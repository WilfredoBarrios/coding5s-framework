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423A38CD-CCDC-4DE4-9D63-F913CABBC9B4}" xr6:coauthVersionLast="47" xr6:coauthVersionMax="47" xr10:uidLastSave="{00000000-0000-0000-0000-000000000000}"/>
  <bookViews>
    <workbookView xWindow="29850" yWindow="1335" windowWidth="27540" windowHeight="13815" xr2:uid="{A9A38741-1811-4719-B778-C7D2DA3EDF0A}"/>
  </bookViews>
  <sheets>
    <sheet name="PromptGenerator" sheetId="1" r:id="rId1"/>
    <sheet name="FGen_S1" sheetId="2" r:id="rId2"/>
    <sheet name="FGen_S2" sheetId="15" r:id="rId3"/>
    <sheet name="FGen_S3" sheetId="16" r:id="rId4"/>
    <sheet name="FGen_S4" sheetId="17" r:id="rId5"/>
    <sheet name="FGen_S5" sheetId="18" r:id="rId6"/>
    <sheet name="CellReference" sheetId="22" r:id="rId7"/>
    <sheet name="License" sheetId="19" r:id="rId8"/>
    <sheet name="HowTo" sheetId="2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121" i="1" l="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5" i="1"/>
  <c r="AD16" i="1"/>
  <c r="AD17" i="1"/>
  <c r="AD18" i="1"/>
  <c r="AD19" i="1"/>
  <c r="AD21" i="1"/>
  <c r="AD22" i="1"/>
  <c r="AD23" i="1"/>
  <c r="AD24" i="1"/>
  <c r="AD25" i="1"/>
  <c r="AD28" i="1"/>
  <c r="AD29" i="1"/>
  <c r="AD30" i="1"/>
  <c r="AD31" i="1"/>
  <c r="AD34" i="1"/>
  <c r="AD35" i="1"/>
  <c r="AD36" i="1"/>
  <c r="AD37" i="1"/>
  <c r="AD39" i="1"/>
  <c r="AD40" i="1"/>
  <c r="AD42" i="1"/>
  <c r="AD43" i="1"/>
  <c r="AD45" i="1"/>
  <c r="AD47" i="1"/>
  <c r="AD48" i="1"/>
  <c r="AD49" i="1"/>
  <c r="AD50" i="1"/>
  <c r="AD51" i="1"/>
  <c r="AD52" i="1"/>
  <c r="AD54" i="1"/>
  <c r="AD55" i="1"/>
  <c r="AD56" i="1"/>
  <c r="AD57" i="1"/>
  <c r="AD58" i="1"/>
  <c r="AD59" i="1"/>
  <c r="AD60" i="1"/>
  <c r="AD62" i="1"/>
  <c r="AD63" i="1"/>
  <c r="AD64" i="1"/>
  <c r="AD65" i="1"/>
  <c r="AD66" i="1"/>
  <c r="AD67" i="1"/>
  <c r="AD68" i="1"/>
  <c r="AD70" i="1"/>
  <c r="AD71" i="1"/>
  <c r="AD72" i="1"/>
  <c r="AD73" i="1"/>
  <c r="AD74" i="1"/>
  <c r="AD75" i="1"/>
  <c r="AD77" i="1"/>
  <c r="AD78" i="1"/>
  <c r="AD79" i="1"/>
  <c r="AD80" i="1"/>
  <c r="AD81" i="1"/>
  <c r="AD82" i="1"/>
  <c r="AD84" i="1"/>
  <c r="AD85" i="1"/>
  <c r="AD86" i="1"/>
  <c r="AD87" i="1"/>
  <c r="AD88" i="1"/>
  <c r="AD89" i="1"/>
  <c r="AD90" i="1"/>
  <c r="AD92" i="1"/>
  <c r="AD93" i="1"/>
  <c r="AD94" i="1"/>
  <c r="AD95" i="1"/>
  <c r="AD96" i="1"/>
  <c r="AD97" i="1"/>
  <c r="AD99" i="1"/>
  <c r="AD100" i="1"/>
  <c r="AD101" i="1"/>
  <c r="AD102" i="1"/>
  <c r="AD103" i="1"/>
  <c r="AD104" i="1"/>
  <c r="AD106" i="1"/>
  <c r="AD107" i="1"/>
  <c r="AD108" i="1"/>
  <c r="AD109" i="1"/>
  <c r="AD110" i="1"/>
  <c r="AD111" i="1"/>
  <c r="AD113" i="1"/>
  <c r="AD114" i="1"/>
  <c r="AD115" i="1"/>
  <c r="AD116" i="1"/>
  <c r="AD117" i="1"/>
  <c r="AD118" i="1"/>
  <c r="AD119"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5" i="1"/>
  <c r="AC16" i="1"/>
  <c r="AC17" i="1"/>
  <c r="AC18" i="1"/>
  <c r="AC19" i="1"/>
  <c r="AC21" i="1"/>
  <c r="AC22" i="1"/>
  <c r="AC23" i="1"/>
  <c r="AC24" i="1"/>
  <c r="AC25" i="1"/>
  <c r="AC28" i="1"/>
  <c r="AC29" i="1"/>
  <c r="AC30" i="1"/>
  <c r="AC31" i="1"/>
  <c r="AC34" i="1"/>
  <c r="AC35" i="1"/>
  <c r="AC36" i="1"/>
  <c r="AC37" i="1"/>
  <c r="AC39" i="1"/>
  <c r="AC40" i="1"/>
  <c r="AC42" i="1"/>
  <c r="AC43" i="1"/>
  <c r="AC45" i="1"/>
  <c r="AC47" i="1"/>
  <c r="AC48" i="1"/>
  <c r="AC49" i="1"/>
  <c r="AC50" i="1"/>
  <c r="AC51" i="1"/>
  <c r="AC52" i="1"/>
  <c r="AC54" i="1"/>
  <c r="AC55" i="1"/>
  <c r="AC56" i="1"/>
  <c r="AC57" i="1"/>
  <c r="AC58" i="1"/>
  <c r="AC59" i="1"/>
  <c r="AC60" i="1"/>
  <c r="AC62" i="1"/>
  <c r="AC63" i="1"/>
  <c r="AC64" i="1"/>
  <c r="AC65" i="1"/>
  <c r="AC66" i="1"/>
  <c r="AC67" i="1"/>
  <c r="AC68" i="1"/>
  <c r="AC70" i="1"/>
  <c r="AC71" i="1"/>
  <c r="AC72" i="1"/>
  <c r="AC73" i="1"/>
  <c r="AC74" i="1"/>
  <c r="AC75" i="1"/>
  <c r="AC77" i="1"/>
  <c r="AC78" i="1"/>
  <c r="AC79" i="1"/>
  <c r="AC80" i="1"/>
  <c r="AC81" i="1"/>
  <c r="AC82" i="1"/>
  <c r="AC84" i="1"/>
  <c r="AC85" i="1"/>
  <c r="AC86" i="1"/>
  <c r="AC87" i="1"/>
  <c r="AC88" i="1"/>
  <c r="AC89" i="1"/>
  <c r="AC90" i="1"/>
  <c r="AC92" i="1"/>
  <c r="AC93" i="1"/>
  <c r="AC94" i="1"/>
  <c r="AC95" i="1"/>
  <c r="AC96" i="1"/>
  <c r="AC97" i="1"/>
  <c r="AC99" i="1"/>
  <c r="AC100" i="1"/>
  <c r="AC101" i="1"/>
  <c r="AC102" i="1"/>
  <c r="AC103" i="1"/>
  <c r="AC104" i="1"/>
  <c r="AC106" i="1"/>
  <c r="AC107" i="1"/>
  <c r="AC108" i="1"/>
  <c r="AC109" i="1"/>
  <c r="AC110" i="1"/>
  <c r="AC111" i="1"/>
  <c r="AC113" i="1"/>
  <c r="AC114" i="1"/>
  <c r="AC115" i="1"/>
  <c r="AC116" i="1"/>
  <c r="AC117" i="1"/>
  <c r="AC118" i="1"/>
  <c r="AC119"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5" i="1"/>
  <c r="AB16" i="1"/>
  <c r="AB17" i="1"/>
  <c r="AB18" i="1"/>
  <c r="AB19" i="1"/>
  <c r="AB21" i="1"/>
  <c r="AB22" i="1"/>
  <c r="AB23" i="1"/>
  <c r="AB24" i="1"/>
  <c r="AB25" i="1"/>
  <c r="AB28" i="1"/>
  <c r="AB29" i="1"/>
  <c r="AB30" i="1"/>
  <c r="AB31" i="1"/>
  <c r="AB34" i="1"/>
  <c r="AB35" i="1"/>
  <c r="AB36" i="1"/>
  <c r="AB37" i="1"/>
  <c r="AB39" i="1"/>
  <c r="AB40" i="1"/>
  <c r="AB42" i="1"/>
  <c r="AB43" i="1"/>
  <c r="AB45" i="1"/>
  <c r="AB47" i="1"/>
  <c r="AB48" i="1"/>
  <c r="AB49" i="1"/>
  <c r="AB50" i="1"/>
  <c r="AB51" i="1"/>
  <c r="AB52" i="1"/>
  <c r="AB54" i="1"/>
  <c r="AB55" i="1"/>
  <c r="AB56" i="1"/>
  <c r="AB57" i="1"/>
  <c r="AB58" i="1"/>
  <c r="AB59" i="1"/>
  <c r="AB60" i="1"/>
  <c r="AB62" i="1"/>
  <c r="AB63" i="1"/>
  <c r="AB64" i="1"/>
  <c r="AB65" i="1"/>
  <c r="AB66" i="1"/>
  <c r="AB67" i="1"/>
  <c r="AB68" i="1"/>
  <c r="AB70" i="1"/>
  <c r="AB71" i="1"/>
  <c r="AB72" i="1"/>
  <c r="AB73" i="1"/>
  <c r="AB74" i="1"/>
  <c r="AB75" i="1"/>
  <c r="AB77" i="1"/>
  <c r="AB78" i="1"/>
  <c r="AB79" i="1"/>
  <c r="AB80" i="1"/>
  <c r="AB81" i="1"/>
  <c r="AB82" i="1"/>
  <c r="AB84" i="1"/>
  <c r="AB85" i="1"/>
  <c r="AB86" i="1"/>
  <c r="AB87" i="1"/>
  <c r="AB88" i="1"/>
  <c r="AB89" i="1"/>
  <c r="AB90" i="1"/>
  <c r="AB92" i="1"/>
  <c r="AB93" i="1"/>
  <c r="AB94" i="1"/>
  <c r="AB95" i="1"/>
  <c r="AB96" i="1"/>
  <c r="AB97" i="1"/>
  <c r="AB99" i="1"/>
  <c r="AB100" i="1"/>
  <c r="AB101" i="1"/>
  <c r="AB102" i="1"/>
  <c r="AB103" i="1"/>
  <c r="AB104" i="1"/>
  <c r="AB106" i="1"/>
  <c r="AB107" i="1"/>
  <c r="AB108" i="1"/>
  <c r="AB109" i="1"/>
  <c r="AB110" i="1"/>
  <c r="AB111" i="1"/>
  <c r="AB113" i="1"/>
  <c r="AB114" i="1"/>
  <c r="AB115" i="1"/>
  <c r="AB116" i="1"/>
  <c r="AB117" i="1"/>
  <c r="AB118" i="1"/>
  <c r="AB119"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5" i="1"/>
  <c r="AA16" i="1"/>
  <c r="AA17" i="1"/>
  <c r="AA18" i="1"/>
  <c r="AA19" i="1"/>
  <c r="AA21" i="1"/>
  <c r="AA22" i="1"/>
  <c r="AA23" i="1"/>
  <c r="AA24" i="1"/>
  <c r="AA25" i="1"/>
  <c r="AA28" i="1"/>
  <c r="AA29" i="1"/>
  <c r="AA30" i="1"/>
  <c r="AA31" i="1"/>
  <c r="AA34" i="1"/>
  <c r="AA35" i="1"/>
  <c r="AA36" i="1"/>
  <c r="AA37" i="1"/>
  <c r="AA39" i="1"/>
  <c r="AA40" i="1"/>
  <c r="AA42" i="1"/>
  <c r="AA43" i="1"/>
  <c r="AA45" i="1"/>
  <c r="AA47" i="1"/>
  <c r="AA48" i="1"/>
  <c r="AA49" i="1"/>
  <c r="AA50" i="1"/>
  <c r="AA51" i="1"/>
  <c r="AA52" i="1"/>
  <c r="AA54" i="1"/>
  <c r="AA55" i="1"/>
  <c r="AA56" i="1"/>
  <c r="AA57" i="1"/>
  <c r="AA58" i="1"/>
  <c r="AA59" i="1"/>
  <c r="AA60" i="1"/>
  <c r="AA62" i="1"/>
  <c r="AA63" i="1"/>
  <c r="AA64" i="1"/>
  <c r="AA65" i="1"/>
  <c r="AA66" i="1"/>
  <c r="AA67" i="1"/>
  <c r="AA68" i="1"/>
  <c r="AA70" i="1"/>
  <c r="AA71" i="1"/>
  <c r="AA72" i="1"/>
  <c r="AA73" i="1"/>
  <c r="AA74" i="1"/>
  <c r="AA75" i="1"/>
  <c r="AA77" i="1"/>
  <c r="AA78" i="1"/>
  <c r="AA79" i="1"/>
  <c r="AA80" i="1"/>
  <c r="AA81" i="1"/>
  <c r="AA82" i="1"/>
  <c r="AA84" i="1"/>
  <c r="AA85" i="1"/>
  <c r="AA86" i="1"/>
  <c r="AA87" i="1"/>
  <c r="AA88" i="1"/>
  <c r="AA89" i="1"/>
  <c r="AA90" i="1"/>
  <c r="AA92" i="1"/>
  <c r="AA93" i="1"/>
  <c r="AA94" i="1"/>
  <c r="AA95" i="1"/>
  <c r="AA96" i="1"/>
  <c r="AA97" i="1"/>
  <c r="AA99" i="1"/>
  <c r="AA100" i="1"/>
  <c r="AA101" i="1"/>
  <c r="AA102" i="1"/>
  <c r="AA103" i="1"/>
  <c r="AA104" i="1"/>
  <c r="AA106" i="1"/>
  <c r="AA107" i="1"/>
  <c r="AA108" i="1"/>
  <c r="AA109" i="1"/>
  <c r="AA110" i="1"/>
  <c r="AA111" i="1"/>
  <c r="AA113" i="1"/>
  <c r="AA114" i="1"/>
  <c r="AA115" i="1"/>
  <c r="AA116" i="1"/>
  <c r="AA117" i="1"/>
  <c r="AA118" i="1"/>
  <c r="AA119"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Z10" i="1"/>
  <c r="Z11" i="1"/>
  <c r="Z12" i="1"/>
  <c r="Z13" i="1"/>
  <c r="Z15" i="1"/>
  <c r="Z16" i="1"/>
  <c r="Z17" i="1"/>
  <c r="Z18" i="1"/>
  <c r="Z19" i="1"/>
  <c r="Z21" i="1"/>
  <c r="Z22" i="1"/>
  <c r="Z23" i="1"/>
  <c r="Z24" i="1"/>
  <c r="Z25" i="1"/>
  <c r="Z28" i="1"/>
  <c r="Z29" i="1"/>
  <c r="Z30" i="1"/>
  <c r="Z31" i="1"/>
  <c r="Z34" i="1"/>
  <c r="Z35" i="1"/>
  <c r="Z36" i="1"/>
  <c r="Z37" i="1"/>
  <c r="Z39" i="1"/>
  <c r="Z40" i="1"/>
  <c r="Z42" i="1"/>
  <c r="Z43" i="1"/>
  <c r="Z45" i="1"/>
  <c r="Z47" i="1"/>
  <c r="Z48" i="1"/>
  <c r="Z49" i="1"/>
  <c r="Z50" i="1"/>
  <c r="Z51" i="1"/>
  <c r="Z52" i="1"/>
  <c r="Z54" i="1"/>
  <c r="Z55" i="1"/>
  <c r="Z56" i="1"/>
  <c r="Z57" i="1"/>
  <c r="Z58" i="1"/>
  <c r="Z59" i="1"/>
  <c r="Z60" i="1"/>
  <c r="Z62" i="1"/>
  <c r="Z63" i="1"/>
  <c r="Z64" i="1"/>
  <c r="Z65" i="1"/>
  <c r="Z66" i="1"/>
  <c r="Z67" i="1"/>
  <c r="Z68" i="1"/>
  <c r="Z70" i="1"/>
  <c r="Z71" i="1"/>
  <c r="Z72" i="1"/>
  <c r="Z73" i="1"/>
  <c r="Z74" i="1"/>
  <c r="Z75" i="1"/>
  <c r="Z77" i="1"/>
  <c r="Z78" i="1"/>
  <c r="Z79" i="1"/>
  <c r="Z80" i="1"/>
  <c r="Z81" i="1"/>
  <c r="Z82" i="1"/>
  <c r="Z84" i="1"/>
  <c r="Z85" i="1"/>
  <c r="Z86" i="1"/>
  <c r="Z87" i="1"/>
  <c r="Z88" i="1"/>
  <c r="Z89" i="1"/>
  <c r="Z90" i="1"/>
  <c r="Z92" i="1"/>
  <c r="Z93" i="1"/>
  <c r="Z94" i="1"/>
  <c r="Z95" i="1"/>
  <c r="Z96" i="1"/>
  <c r="Z97" i="1"/>
  <c r="Z99" i="1"/>
  <c r="Z100" i="1"/>
  <c r="Z101" i="1"/>
  <c r="Z102" i="1"/>
  <c r="Z103" i="1"/>
  <c r="Z104" i="1"/>
  <c r="Z106" i="1"/>
  <c r="Z107" i="1"/>
  <c r="Z108" i="1"/>
  <c r="Z109" i="1"/>
  <c r="Z110" i="1"/>
  <c r="Z111" i="1"/>
  <c r="Z113" i="1"/>
  <c r="Z114" i="1"/>
  <c r="Z115" i="1"/>
  <c r="Z116" i="1"/>
  <c r="Z117" i="1"/>
  <c r="Z118" i="1"/>
  <c r="Z119"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E95"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99" i="17"/>
  <c r="E98" i="17"/>
  <c r="E97" i="17"/>
  <c r="E94" i="17"/>
  <c r="E93" i="17"/>
  <c r="E92" i="17"/>
  <c r="E91" i="17"/>
  <c r="E90" i="17"/>
  <c r="E89" i="17"/>
  <c r="E88" i="17"/>
  <c r="E87" i="17"/>
  <c r="E86" i="17"/>
  <c r="E85" i="17"/>
  <c r="E84" i="17"/>
  <c r="E83" i="17"/>
  <c r="E82" i="17"/>
  <c r="E81" i="17"/>
  <c r="E80" i="17"/>
  <c r="E75" i="17"/>
  <c r="E74" i="17"/>
  <c r="E73" i="17"/>
  <c r="E72" i="17"/>
  <c r="E71" i="17"/>
  <c r="E70" i="17"/>
  <c r="E69" i="17"/>
  <c r="E68" i="17"/>
  <c r="E67" i="17"/>
  <c r="E66" i="17"/>
  <c r="E65" i="17"/>
  <c r="E64" i="17"/>
  <c r="E63" i="17"/>
  <c r="E62" i="17"/>
  <c r="E61" i="17"/>
  <c r="E60" i="17"/>
  <c r="E59" i="17"/>
  <c r="E58" i="17"/>
  <c r="E57" i="17"/>
  <c r="E56" i="17"/>
  <c r="E55" i="17"/>
  <c r="E54"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59" i="2"/>
  <c r="E60" i="2"/>
  <c r="E61" i="2"/>
  <c r="E62" i="2"/>
  <c r="E90" i="2"/>
  <c r="E91" i="2"/>
  <c r="E63" i="2"/>
  <c r="E67" i="2"/>
  <c r="E68" i="2"/>
  <c r="E69" i="2"/>
  <c r="E64" i="2"/>
  <c r="E65" i="2"/>
  <c r="E66" i="2"/>
  <c r="E70" i="2"/>
  <c r="E71" i="2"/>
  <c r="E72" i="2"/>
  <c r="E73" i="2"/>
  <c r="E74" i="2"/>
  <c r="E75" i="2"/>
  <c r="E76" i="2"/>
  <c r="E77" i="2"/>
  <c r="E78" i="2"/>
  <c r="E50" i="2"/>
  <c r="E83" i="2"/>
  <c r="E84" i="2"/>
  <c r="E85" i="2"/>
  <c r="E96" i="2"/>
  <c r="E87" i="2"/>
  <c r="E88" i="2"/>
  <c r="E94" i="2"/>
  <c r="E95" i="2"/>
  <c r="E97" i="2"/>
  <c r="E98" i="2"/>
  <c r="E99" i="2"/>
  <c r="E100" i="2"/>
  <c r="E101" i="2"/>
  <c r="E92" i="2"/>
  <c r="E93" i="2"/>
  <c r="E102" i="2"/>
  <c r="E103" i="2"/>
  <c r="E89" i="2"/>
  <c r="A3" i="1" l="1"/>
  <c r="AH200" i="1"/>
  <c r="B200" i="1" a="1"/>
  <c r="B200" i="1" s="1"/>
  <c r="AH199" i="1"/>
  <c r="B199" i="1" a="1"/>
  <c r="B199" i="1" s="1"/>
  <c r="AH198" i="1"/>
  <c r="B198" i="1" a="1"/>
  <c r="B198" i="1" s="1"/>
  <c r="AH197" i="1"/>
  <c r="B197" i="1" a="1"/>
  <c r="B197" i="1" s="1"/>
  <c r="AH196" i="1"/>
  <c r="B196" i="1" a="1"/>
  <c r="B196" i="1" s="1"/>
  <c r="AH195" i="1"/>
  <c r="B195" i="1" a="1"/>
  <c r="B195" i="1" s="1"/>
  <c r="AH194" i="1"/>
  <c r="B194" i="1" a="1"/>
  <c r="B194" i="1" s="1"/>
  <c r="AH193" i="1"/>
  <c r="B193" i="1" a="1"/>
  <c r="B193" i="1" s="1"/>
  <c r="AH192" i="1"/>
  <c r="B192" i="1" a="1"/>
  <c r="B192" i="1" s="1"/>
  <c r="AH191" i="1"/>
  <c r="B191" i="1" a="1"/>
  <c r="B191" i="1" s="1"/>
  <c r="AH190" i="1"/>
  <c r="B190" i="1" a="1"/>
  <c r="B190" i="1" s="1"/>
  <c r="AH189" i="1"/>
  <c r="B189" i="1" a="1"/>
  <c r="B189" i="1" s="1"/>
  <c r="AH188" i="1"/>
  <c r="B188" i="1" a="1"/>
  <c r="B188" i="1" s="1"/>
  <c r="AH187" i="1"/>
  <c r="B187" i="1" a="1"/>
  <c r="B187" i="1" s="1"/>
  <c r="AH186" i="1"/>
  <c r="B186" i="1" a="1"/>
  <c r="B186" i="1" s="1"/>
  <c r="AH185" i="1"/>
  <c r="B185" i="1" a="1"/>
  <c r="B185" i="1" s="1"/>
  <c r="AH184" i="1"/>
  <c r="B184" i="1" a="1"/>
  <c r="B184" i="1" s="1"/>
  <c r="AH183" i="1"/>
  <c r="B183" i="1" a="1"/>
  <c r="B183" i="1" s="1"/>
  <c r="AH182" i="1"/>
  <c r="B182" i="1" a="1"/>
  <c r="B182" i="1" s="1"/>
  <c r="AH181" i="1"/>
  <c r="B181" i="1" a="1"/>
  <c r="B181" i="1" s="1"/>
  <c r="AH180" i="1"/>
  <c r="B180" i="1" a="1"/>
  <c r="B180" i="1" s="1"/>
  <c r="AH179" i="1"/>
  <c r="B179" i="1" a="1"/>
  <c r="B179" i="1" s="1"/>
  <c r="AH178" i="1"/>
  <c r="B178" i="1" a="1"/>
  <c r="B178" i="1" s="1"/>
  <c r="AH177" i="1"/>
  <c r="B177" i="1" a="1"/>
  <c r="B177" i="1" s="1"/>
  <c r="AH176" i="1"/>
  <c r="B176" i="1" a="1"/>
  <c r="B176" i="1" s="1"/>
  <c r="AH175" i="1"/>
  <c r="B175" i="1" a="1"/>
  <c r="B175" i="1" s="1"/>
  <c r="AH174" i="1"/>
  <c r="B174" i="1" a="1"/>
  <c r="B174" i="1" s="1"/>
  <c r="AH173" i="1"/>
  <c r="B173" i="1" a="1"/>
  <c r="B173" i="1" s="1"/>
  <c r="AH172" i="1"/>
  <c r="B172" i="1" a="1"/>
  <c r="B172" i="1" s="1"/>
  <c r="AH171" i="1"/>
  <c r="B171" i="1" a="1"/>
  <c r="B171" i="1" s="1"/>
  <c r="AH170" i="1"/>
  <c r="B170" i="1" a="1"/>
  <c r="B170" i="1" s="1"/>
  <c r="AH169" i="1"/>
  <c r="B169" i="1" a="1"/>
  <c r="B169" i="1" s="1"/>
  <c r="AH168" i="1"/>
  <c r="B168" i="1" a="1"/>
  <c r="B168" i="1" s="1"/>
  <c r="AH167" i="1"/>
  <c r="B167" i="1" a="1"/>
  <c r="B167" i="1" s="1"/>
  <c r="AH166" i="1"/>
  <c r="B166" i="1" a="1"/>
  <c r="B166" i="1" s="1"/>
  <c r="AH165" i="1"/>
  <c r="B165" i="1" a="1"/>
  <c r="B165" i="1" s="1"/>
  <c r="AH164" i="1"/>
  <c r="B164" i="1" a="1"/>
  <c r="B164" i="1" s="1"/>
  <c r="AH163" i="1"/>
  <c r="B163" i="1" a="1"/>
  <c r="B163" i="1" s="1"/>
  <c r="AH162" i="1"/>
  <c r="B162" i="1" a="1"/>
  <c r="B162" i="1" s="1"/>
  <c r="AH161" i="1"/>
  <c r="B161" i="1" a="1"/>
  <c r="B161" i="1" s="1"/>
  <c r="AH160" i="1"/>
  <c r="B160" i="1" a="1"/>
  <c r="B160" i="1" s="1"/>
  <c r="AH159" i="1"/>
  <c r="B159" i="1" a="1"/>
  <c r="B159" i="1" s="1"/>
  <c r="AH158" i="1"/>
  <c r="B158" i="1" a="1"/>
  <c r="B158" i="1" s="1"/>
  <c r="AH157" i="1"/>
  <c r="B157" i="1" a="1"/>
  <c r="B157" i="1" s="1"/>
  <c r="AH156" i="1"/>
  <c r="B156" i="1" a="1"/>
  <c r="B156" i="1" s="1"/>
  <c r="AH155" i="1"/>
  <c r="B155" i="1" a="1"/>
  <c r="B155" i="1" s="1"/>
  <c r="AH154" i="1"/>
  <c r="B154" i="1"/>
  <c r="B154" i="1" a="1"/>
  <c r="AH153" i="1"/>
  <c r="B153" i="1" a="1"/>
  <c r="B153" i="1" s="1"/>
  <c r="AH152" i="1"/>
  <c r="B152" i="1" a="1"/>
  <c r="B152" i="1" s="1"/>
  <c r="AH151" i="1"/>
  <c r="B151" i="1" a="1"/>
  <c r="B151" i="1" s="1"/>
  <c r="AH150" i="1"/>
  <c r="B150" i="1" a="1"/>
  <c r="B150" i="1" s="1"/>
  <c r="AH149" i="1"/>
  <c r="B149" i="1" a="1"/>
  <c r="B149" i="1" s="1"/>
  <c r="AH148" i="1"/>
  <c r="B148" i="1" a="1"/>
  <c r="B148" i="1" s="1"/>
  <c r="AH147" i="1"/>
  <c r="B147" i="1" a="1"/>
  <c r="B147" i="1" s="1"/>
  <c r="AH146" i="1"/>
  <c r="B146" i="1" a="1"/>
  <c r="B146" i="1" s="1"/>
  <c r="AH145" i="1"/>
  <c r="B145" i="1" a="1"/>
  <c r="B145" i="1" s="1"/>
  <c r="AH144" i="1"/>
  <c r="B144" i="1" a="1"/>
  <c r="B144" i="1" s="1"/>
  <c r="AH143" i="1"/>
  <c r="B143" i="1" a="1"/>
  <c r="B143" i="1" s="1"/>
  <c r="AH142" i="1"/>
  <c r="B142" i="1" a="1"/>
  <c r="B142" i="1" s="1"/>
  <c r="AH141" i="1"/>
  <c r="B141" i="1" a="1"/>
  <c r="B141" i="1" s="1"/>
  <c r="AH140" i="1"/>
  <c r="B140" i="1" a="1"/>
  <c r="B140" i="1" s="1"/>
  <c r="AH139" i="1"/>
  <c r="B139" i="1" a="1"/>
  <c r="B139" i="1" s="1"/>
  <c r="AH138" i="1"/>
  <c r="B138" i="1" a="1"/>
  <c r="B138" i="1" s="1"/>
  <c r="AH137" i="1"/>
  <c r="B137" i="1" a="1"/>
  <c r="B137" i="1" s="1"/>
  <c r="AH136" i="1"/>
  <c r="B136" i="1" a="1"/>
  <c r="B136" i="1" s="1"/>
  <c r="AH135" i="1"/>
  <c r="B135" i="1" a="1"/>
  <c r="B135" i="1" s="1"/>
  <c r="AH134" i="1"/>
  <c r="B134" i="1" a="1"/>
  <c r="B134" i="1" s="1"/>
  <c r="AH133" i="1"/>
  <c r="B133" i="1" a="1"/>
  <c r="B133" i="1" s="1"/>
  <c r="AH132" i="1"/>
  <c r="B132" i="1" a="1"/>
  <c r="B132" i="1" s="1"/>
  <c r="AH131" i="1"/>
  <c r="B131" i="1" a="1"/>
  <c r="B131" i="1" s="1"/>
  <c r="AH130" i="1"/>
  <c r="B130" i="1" a="1"/>
  <c r="B130" i="1" s="1"/>
  <c r="AH129" i="1"/>
  <c r="B129" i="1" a="1"/>
  <c r="B129" i="1" s="1"/>
  <c r="AH128" i="1"/>
  <c r="B128" i="1" a="1"/>
  <c r="B128" i="1" s="1"/>
  <c r="AH127" i="1"/>
  <c r="B127" i="1" a="1"/>
  <c r="B127" i="1" s="1"/>
  <c r="AH126" i="1"/>
  <c r="B126" i="1" a="1"/>
  <c r="B126" i="1" s="1"/>
  <c r="AH125" i="1"/>
  <c r="B125" i="1" a="1"/>
  <c r="B125" i="1" s="1"/>
  <c r="AH124" i="1"/>
  <c r="B124" i="1" a="1"/>
  <c r="B124" i="1" s="1"/>
  <c r="AH123" i="1"/>
  <c r="B123" i="1" a="1"/>
  <c r="B123" i="1" s="1"/>
  <c r="AH122" i="1"/>
  <c r="B122" i="1" a="1"/>
  <c r="B122" i="1" s="1"/>
  <c r="AH121" i="1"/>
  <c r="B121" i="1" a="1"/>
  <c r="B121" i="1" s="1"/>
  <c r="AH120" i="1"/>
  <c r="AH119" i="1"/>
  <c r="B119" i="1" a="1"/>
  <c r="B119" i="1" s="1"/>
  <c r="AH118" i="1"/>
  <c r="B118" i="1" a="1"/>
  <c r="B118" i="1" s="1"/>
  <c r="AH117" i="1"/>
  <c r="B117" i="1" a="1"/>
  <c r="B117" i="1" s="1"/>
  <c r="AH116" i="1"/>
  <c r="B116" i="1" a="1"/>
  <c r="B116" i="1" s="1"/>
  <c r="AH115" i="1"/>
  <c r="B115" i="1" a="1"/>
  <c r="B115" i="1" s="1"/>
  <c r="AH114" i="1"/>
  <c r="B114" i="1" a="1"/>
  <c r="B114" i="1" s="1"/>
  <c r="AH113" i="1"/>
  <c r="B113" i="1" a="1"/>
  <c r="B113" i="1" s="1"/>
  <c r="AH112" i="1"/>
  <c r="AH111" i="1"/>
  <c r="B111" i="1" a="1"/>
  <c r="B111" i="1" s="1"/>
  <c r="AH110" i="1"/>
  <c r="B110" i="1" a="1"/>
  <c r="B110" i="1" s="1"/>
  <c r="AH109" i="1"/>
  <c r="B109" i="1" a="1"/>
  <c r="B109" i="1" s="1"/>
  <c r="AH108" i="1"/>
  <c r="B108" i="1" a="1"/>
  <c r="B108" i="1" s="1"/>
  <c r="AH107" i="1"/>
  <c r="B107" i="1" a="1"/>
  <c r="B107" i="1" s="1"/>
  <c r="AH106" i="1"/>
  <c r="B106" i="1" a="1"/>
  <c r="B106" i="1" s="1"/>
  <c r="AH105" i="1"/>
  <c r="AH104" i="1"/>
  <c r="B104" i="1" a="1"/>
  <c r="B104" i="1" s="1"/>
  <c r="AH103" i="1"/>
  <c r="B103" i="1" a="1"/>
  <c r="B103" i="1" s="1"/>
  <c r="AH102" i="1"/>
  <c r="B102" i="1" a="1"/>
  <c r="B102" i="1" s="1"/>
  <c r="AH101" i="1"/>
  <c r="B101" i="1" a="1"/>
  <c r="B101" i="1" s="1"/>
  <c r="AH100" i="1"/>
  <c r="B100" i="1" a="1"/>
  <c r="B100" i="1" s="1"/>
  <c r="AH99" i="1"/>
  <c r="B99" i="1" a="1"/>
  <c r="B99" i="1" s="1"/>
  <c r="AH98" i="1"/>
  <c r="AH97" i="1"/>
  <c r="B97" i="1" a="1"/>
  <c r="B97" i="1" s="1"/>
  <c r="AH96" i="1"/>
  <c r="B96" i="1" a="1"/>
  <c r="B96" i="1" s="1"/>
  <c r="AH95" i="1"/>
  <c r="B95" i="1" a="1"/>
  <c r="B95" i="1" s="1"/>
  <c r="AH94" i="1"/>
  <c r="B94" i="1" a="1"/>
  <c r="B94" i="1" s="1"/>
  <c r="AH93" i="1"/>
  <c r="B93" i="1" a="1"/>
  <c r="B93" i="1" s="1"/>
  <c r="AH92" i="1"/>
  <c r="B92" i="1" a="1"/>
  <c r="B92" i="1" s="1"/>
  <c r="AH91" i="1"/>
  <c r="AH90" i="1"/>
  <c r="B90" i="1" a="1"/>
  <c r="B90" i="1" s="1"/>
  <c r="AH89" i="1"/>
  <c r="B89" i="1" a="1"/>
  <c r="B89" i="1" s="1"/>
  <c r="AH88" i="1"/>
  <c r="B88" i="1" a="1"/>
  <c r="B88" i="1" s="1"/>
  <c r="AH87" i="1"/>
  <c r="B87" i="1" a="1"/>
  <c r="B87" i="1" s="1"/>
  <c r="AH86" i="1"/>
  <c r="B86" i="1" a="1"/>
  <c r="B86" i="1" s="1"/>
  <c r="AH85" i="1"/>
  <c r="B85" i="1" a="1"/>
  <c r="B85" i="1" s="1"/>
  <c r="AH84" i="1"/>
  <c r="B84" i="1" a="1"/>
  <c r="B84" i="1" s="1"/>
  <c r="AH83" i="1"/>
  <c r="AH82" i="1"/>
  <c r="B82" i="1" a="1"/>
  <c r="B82" i="1" s="1"/>
  <c r="AH81" i="1"/>
  <c r="B81" i="1" a="1"/>
  <c r="B81" i="1" s="1"/>
  <c r="AH80" i="1"/>
  <c r="B80" i="1" a="1"/>
  <c r="B80" i="1" s="1"/>
  <c r="AH79" i="1"/>
  <c r="B79" i="1" a="1"/>
  <c r="B79" i="1" s="1"/>
  <c r="AH78" i="1"/>
  <c r="B78" i="1" a="1"/>
  <c r="B78" i="1" s="1"/>
  <c r="AH77" i="1"/>
  <c r="B77" i="1" a="1"/>
  <c r="B77" i="1" s="1"/>
  <c r="AH76" i="1"/>
  <c r="AH75" i="1"/>
  <c r="B75" i="1" a="1"/>
  <c r="B75" i="1" s="1"/>
  <c r="AH74" i="1"/>
  <c r="B74" i="1" a="1"/>
  <c r="B74" i="1" s="1"/>
  <c r="AH73" i="1"/>
  <c r="B73" i="1" a="1"/>
  <c r="B73" i="1" s="1"/>
  <c r="AH72" i="1"/>
  <c r="B72" i="1" a="1"/>
  <c r="B72" i="1" s="1"/>
  <c r="AH71" i="1"/>
  <c r="B71" i="1" a="1"/>
  <c r="B71" i="1" s="1"/>
  <c r="AH70" i="1"/>
  <c r="B70" i="1" a="1"/>
  <c r="B70" i="1" s="1"/>
  <c r="AH69" i="1"/>
  <c r="AH68" i="1"/>
  <c r="B68" i="1" a="1"/>
  <c r="B68" i="1" s="1"/>
  <c r="AH67" i="1"/>
  <c r="B67" i="1" a="1"/>
  <c r="B67" i="1" s="1"/>
  <c r="AH66" i="1"/>
  <c r="B66" i="1" a="1"/>
  <c r="B66" i="1" s="1"/>
  <c r="AH65" i="1"/>
  <c r="B65" i="1" a="1"/>
  <c r="B65" i="1" s="1"/>
  <c r="AH64" i="1"/>
  <c r="B64" i="1" a="1"/>
  <c r="B64" i="1" s="1"/>
  <c r="AH63" i="1"/>
  <c r="B63" i="1" a="1"/>
  <c r="B63" i="1" s="1"/>
  <c r="AH62" i="1"/>
  <c r="B62" i="1" a="1"/>
  <c r="B62" i="1" s="1"/>
  <c r="AH61" i="1"/>
  <c r="AH60" i="1"/>
  <c r="B60" i="1" a="1"/>
  <c r="B60" i="1" s="1"/>
  <c r="AH59" i="1"/>
  <c r="B59" i="1" a="1"/>
  <c r="B59" i="1" s="1"/>
  <c r="AH58" i="1"/>
  <c r="B58" i="1" a="1"/>
  <c r="B58" i="1" s="1"/>
  <c r="AH57" i="1"/>
  <c r="B57" i="1" a="1"/>
  <c r="B57" i="1" s="1"/>
  <c r="AH56" i="1"/>
  <c r="B56" i="1" a="1"/>
  <c r="B56" i="1" s="1"/>
  <c r="AH55" i="1"/>
  <c r="B55" i="1" a="1"/>
  <c r="B55" i="1" s="1"/>
  <c r="AH54" i="1"/>
  <c r="B54" i="1" a="1"/>
  <c r="B54" i="1" s="1"/>
  <c r="AH53" i="1"/>
  <c r="AH52" i="1"/>
  <c r="B52" i="1" a="1"/>
  <c r="B52" i="1" s="1"/>
  <c r="AH51" i="1"/>
  <c r="B51" i="1" a="1"/>
  <c r="B51" i="1" s="1"/>
  <c r="AH50" i="1"/>
  <c r="B50" i="1" a="1"/>
  <c r="B50" i="1" s="1"/>
  <c r="AH49" i="1"/>
  <c r="B49" i="1" a="1"/>
  <c r="B49" i="1" s="1"/>
  <c r="AH48" i="1"/>
  <c r="B48" i="1"/>
  <c r="B48" i="1" a="1"/>
  <c r="AH47" i="1"/>
  <c r="B47" i="1" a="1"/>
  <c r="B47" i="1" s="1"/>
  <c r="AH46" i="1"/>
  <c r="AH45" i="1"/>
  <c r="B45" i="1" a="1"/>
  <c r="B45" i="1" s="1"/>
  <c r="AH44" i="1"/>
  <c r="AH43" i="1"/>
  <c r="B43" i="1" a="1"/>
  <c r="B43" i="1" s="1"/>
  <c r="AH42" i="1"/>
  <c r="B42" i="1" a="1"/>
  <c r="B42" i="1" s="1"/>
  <c r="AH41" i="1"/>
  <c r="AH40" i="1"/>
  <c r="AH39" i="1"/>
  <c r="B39" i="1" a="1"/>
  <c r="B39" i="1" s="1"/>
  <c r="AH38" i="1"/>
  <c r="AH37" i="1"/>
  <c r="B37" i="1" a="1"/>
  <c r="B37" i="1" s="1"/>
  <c r="AH36" i="1"/>
  <c r="B36" i="1" a="1"/>
  <c r="B36" i="1" s="1"/>
  <c r="AH35" i="1"/>
  <c r="B35" i="1" a="1"/>
  <c r="B35" i="1" s="1"/>
  <c r="AH34" i="1"/>
  <c r="B34" i="1" a="1"/>
  <c r="B34" i="1" s="1"/>
  <c r="AH33" i="1"/>
  <c r="AH32" i="1"/>
  <c r="AH31" i="1"/>
  <c r="B31" i="1" a="1"/>
  <c r="B31" i="1" s="1"/>
  <c r="AH30" i="1"/>
  <c r="B30" i="1" a="1"/>
  <c r="B30" i="1" s="1"/>
  <c r="AH29" i="1"/>
  <c r="B29" i="1" a="1"/>
  <c r="B29" i="1" s="1"/>
  <c r="AH28" i="1"/>
  <c r="B28" i="1" a="1"/>
  <c r="B28" i="1" s="1"/>
  <c r="AH27" i="1"/>
  <c r="AH26" i="1"/>
  <c r="AH25" i="1"/>
  <c r="B25" i="1" a="1"/>
  <c r="B25" i="1" s="1"/>
  <c r="AH24" i="1"/>
  <c r="B24" i="1" a="1"/>
  <c r="B24" i="1" s="1"/>
  <c r="AH23" i="1"/>
  <c r="B23" i="1" a="1"/>
  <c r="B23" i="1" s="1"/>
  <c r="AH22" i="1"/>
  <c r="B22" i="1" a="1"/>
  <c r="B22" i="1" s="1"/>
  <c r="AH21" i="1"/>
  <c r="B21" i="1" a="1"/>
  <c r="B21" i="1" s="1"/>
  <c r="AH20" i="1"/>
  <c r="AH19" i="1"/>
  <c r="B19" i="1" a="1"/>
  <c r="B19" i="1" s="1"/>
  <c r="AH18" i="1"/>
  <c r="B18" i="1" a="1"/>
  <c r="B18" i="1" s="1"/>
  <c r="AH17" i="1"/>
  <c r="B17" i="1" a="1"/>
  <c r="B17" i="1" s="1"/>
  <c r="AH16" i="1"/>
  <c r="B16" i="1" a="1"/>
  <c r="B16" i="1" s="1"/>
  <c r="AH15" i="1"/>
  <c r="B15" i="1" a="1"/>
  <c r="B15" i="1" s="1"/>
  <c r="AH14" i="1"/>
  <c r="AH13" i="1"/>
  <c r="B13" i="1" a="1"/>
  <c r="B13" i="1" s="1"/>
  <c r="AH12" i="1"/>
  <c r="AE7" i="1" s="1"/>
  <c r="B12" i="1" a="1"/>
  <c r="B12" i="1" s="1"/>
  <c r="AH11" i="1"/>
  <c r="B11" i="1" a="1"/>
  <c r="B11" i="1" s="1"/>
  <c r="AH10" i="1"/>
  <c r="B10" i="1" a="1"/>
  <c r="B10" i="1" s="1"/>
  <c r="AH9" i="1"/>
  <c r="C9" i="1"/>
  <c r="C10" i="1" s="1"/>
  <c r="C11" i="1" s="1"/>
  <c r="C12" i="1" s="1"/>
  <c r="C13" i="1" s="1"/>
  <c r="C14" i="1" s="1"/>
  <c r="B9" i="1" a="1"/>
  <c r="B9" i="1" s="1"/>
  <c r="E6" i="1" a="1"/>
  <c r="E6" i="1" s="1"/>
  <c r="C6" i="1"/>
  <c r="E4" i="1"/>
  <c r="E3" i="1" s="1"/>
  <c r="E2" i="1"/>
  <c r="X10" i="1" l="1"/>
  <c r="X22" i="1"/>
  <c r="X34" i="1"/>
  <c r="X58" i="1"/>
  <c r="X70" i="1"/>
  <c r="X82" i="1"/>
  <c r="X94" i="1"/>
  <c r="X106" i="1"/>
  <c r="X118" i="1"/>
  <c r="W10" i="1"/>
  <c r="W22" i="1"/>
  <c r="W34" i="1"/>
  <c r="W58" i="1"/>
  <c r="W70" i="1"/>
  <c r="W82" i="1"/>
  <c r="W94" i="1"/>
  <c r="W106" i="1"/>
  <c r="W118" i="1"/>
  <c r="U10" i="1"/>
  <c r="U22" i="1"/>
  <c r="U34" i="1"/>
  <c r="U58" i="1"/>
  <c r="U70" i="1"/>
  <c r="U82" i="1"/>
  <c r="U94" i="1"/>
  <c r="U106" i="1"/>
  <c r="U118" i="1"/>
  <c r="T10" i="1"/>
  <c r="T22" i="1"/>
  <c r="T34" i="1"/>
  <c r="T58" i="1"/>
  <c r="T70" i="1"/>
  <c r="T82" i="1"/>
  <c r="T94" i="1"/>
  <c r="T106" i="1"/>
  <c r="T118" i="1"/>
  <c r="R10" i="1"/>
  <c r="R22" i="1"/>
  <c r="R34" i="1"/>
  <c r="R58" i="1"/>
  <c r="R70" i="1"/>
  <c r="R82" i="1"/>
  <c r="R94" i="1"/>
  <c r="R106" i="1"/>
  <c r="R118" i="1"/>
  <c r="X11" i="1"/>
  <c r="X23" i="1"/>
  <c r="X35" i="1"/>
  <c r="X47" i="1"/>
  <c r="X59" i="1"/>
  <c r="X71" i="1"/>
  <c r="X95" i="1"/>
  <c r="X107" i="1"/>
  <c r="X119" i="1"/>
  <c r="W11" i="1"/>
  <c r="W23" i="1"/>
  <c r="W35" i="1"/>
  <c r="W47" i="1"/>
  <c r="W59" i="1"/>
  <c r="W71" i="1"/>
  <c r="W95" i="1"/>
  <c r="W107" i="1"/>
  <c r="W119" i="1"/>
  <c r="U11" i="1"/>
  <c r="U23" i="1"/>
  <c r="U35" i="1"/>
  <c r="U47" i="1"/>
  <c r="U59" i="1"/>
  <c r="U71" i="1"/>
  <c r="U95" i="1"/>
  <c r="U107" i="1"/>
  <c r="U119" i="1"/>
  <c r="T11" i="1"/>
  <c r="T23" i="1"/>
  <c r="T35" i="1"/>
  <c r="T47" i="1"/>
  <c r="T59" i="1"/>
  <c r="T71" i="1"/>
  <c r="T95" i="1"/>
  <c r="T107" i="1"/>
  <c r="T119" i="1"/>
  <c r="R11" i="1"/>
  <c r="R23" i="1"/>
  <c r="R35" i="1"/>
  <c r="R47" i="1"/>
  <c r="R59" i="1"/>
  <c r="R71" i="1"/>
  <c r="R95" i="1"/>
  <c r="R107" i="1"/>
  <c r="R119" i="1"/>
  <c r="Q11" i="1"/>
  <c r="Q23" i="1"/>
  <c r="Q35" i="1"/>
  <c r="Q47" i="1"/>
  <c r="Q59" i="1"/>
  <c r="Q71" i="1"/>
  <c r="Q95" i="1"/>
  <c r="Q107" i="1"/>
  <c r="Q119" i="1"/>
  <c r="O11" i="1"/>
  <c r="O23" i="1"/>
  <c r="O35" i="1"/>
  <c r="O47" i="1"/>
  <c r="O59" i="1"/>
  <c r="O71" i="1"/>
  <c r="O95" i="1"/>
  <c r="O107" i="1"/>
  <c r="O119" i="1"/>
  <c r="N11" i="1"/>
  <c r="N25" i="1"/>
  <c r="N39" i="1"/>
  <c r="N54" i="1"/>
  <c r="X12" i="1"/>
  <c r="X24" i="1"/>
  <c r="X36" i="1"/>
  <c r="X48" i="1"/>
  <c r="X60" i="1"/>
  <c r="X72" i="1"/>
  <c r="X84" i="1"/>
  <c r="X96" i="1"/>
  <c r="X108" i="1"/>
  <c r="W12" i="1"/>
  <c r="W24" i="1"/>
  <c r="W36" i="1"/>
  <c r="W48" i="1"/>
  <c r="W60" i="1"/>
  <c r="W72" i="1"/>
  <c r="W84" i="1"/>
  <c r="W96" i="1"/>
  <c r="W108" i="1"/>
  <c r="U12" i="1"/>
  <c r="U24" i="1"/>
  <c r="U36" i="1"/>
  <c r="U48" i="1"/>
  <c r="U60" i="1"/>
  <c r="U72" i="1"/>
  <c r="U84" i="1"/>
  <c r="U96" i="1"/>
  <c r="U108" i="1"/>
  <c r="T12" i="1"/>
  <c r="T24" i="1"/>
  <c r="T36" i="1"/>
  <c r="T48" i="1"/>
  <c r="T60" i="1"/>
  <c r="T72" i="1"/>
  <c r="T84" i="1"/>
  <c r="T96" i="1"/>
  <c r="T108" i="1"/>
  <c r="R12" i="1"/>
  <c r="R24" i="1"/>
  <c r="R36" i="1"/>
  <c r="R48" i="1"/>
  <c r="R60" i="1"/>
  <c r="R72" i="1"/>
  <c r="R84" i="1"/>
  <c r="R96" i="1"/>
  <c r="R108" i="1"/>
  <c r="Q12" i="1"/>
  <c r="Q24" i="1"/>
  <c r="Q36" i="1"/>
  <c r="Q48" i="1"/>
  <c r="Q60" i="1"/>
  <c r="Q72" i="1"/>
  <c r="Q84" i="1"/>
  <c r="Q96" i="1"/>
  <c r="Q108" i="1"/>
  <c r="O12" i="1"/>
  <c r="O24" i="1"/>
  <c r="O36" i="1"/>
  <c r="O48" i="1"/>
  <c r="O60" i="1"/>
  <c r="O72" i="1"/>
  <c r="O84" i="1"/>
  <c r="O96" i="1"/>
  <c r="O108" i="1"/>
  <c r="N12" i="1"/>
  <c r="N40" i="1"/>
  <c r="N55" i="1"/>
  <c r="N68" i="1"/>
  <c r="N82" i="1"/>
  <c r="N96" i="1"/>
  <c r="N110" i="1"/>
  <c r="L16" i="1"/>
  <c r="L28" i="1"/>
  <c r="L40" i="1"/>
  <c r="X13" i="1"/>
  <c r="X25" i="1"/>
  <c r="X37" i="1"/>
  <c r="X49" i="1"/>
  <c r="X73" i="1"/>
  <c r="X85" i="1"/>
  <c r="X97" i="1"/>
  <c r="X109" i="1"/>
  <c r="W13" i="1"/>
  <c r="W25" i="1"/>
  <c r="W37" i="1"/>
  <c r="W49" i="1"/>
  <c r="W73" i="1"/>
  <c r="W85" i="1"/>
  <c r="W97" i="1"/>
  <c r="W109" i="1"/>
  <c r="U13" i="1"/>
  <c r="U25" i="1"/>
  <c r="U37" i="1"/>
  <c r="U49" i="1"/>
  <c r="U73" i="1"/>
  <c r="U85" i="1"/>
  <c r="U97" i="1"/>
  <c r="U109" i="1"/>
  <c r="T13" i="1"/>
  <c r="T25" i="1"/>
  <c r="T37" i="1"/>
  <c r="T49" i="1"/>
  <c r="T73" i="1"/>
  <c r="T85" i="1"/>
  <c r="T97" i="1"/>
  <c r="T109" i="1"/>
  <c r="R13" i="1"/>
  <c r="R25" i="1"/>
  <c r="R37" i="1"/>
  <c r="R49" i="1"/>
  <c r="R73" i="1"/>
  <c r="R85" i="1"/>
  <c r="R97" i="1"/>
  <c r="R109" i="1"/>
  <c r="Q13" i="1"/>
  <c r="Q25" i="1"/>
  <c r="Q37" i="1"/>
  <c r="Q49" i="1"/>
  <c r="Q73" i="1"/>
  <c r="Q85" i="1"/>
  <c r="Q97" i="1"/>
  <c r="Q109" i="1"/>
  <c r="O13" i="1"/>
  <c r="O25" i="1"/>
  <c r="O37" i="1"/>
  <c r="O49" i="1"/>
  <c r="O73" i="1"/>
  <c r="O85" i="1"/>
  <c r="O97" i="1"/>
  <c r="O109" i="1"/>
  <c r="X50" i="1"/>
  <c r="X62" i="1"/>
  <c r="X74" i="1"/>
  <c r="X86" i="1"/>
  <c r="X110" i="1"/>
  <c r="W50" i="1"/>
  <c r="W62" i="1"/>
  <c r="W74" i="1"/>
  <c r="W86" i="1"/>
  <c r="W110" i="1"/>
  <c r="U50" i="1"/>
  <c r="U62" i="1"/>
  <c r="U74" i="1"/>
  <c r="U86" i="1"/>
  <c r="U110" i="1"/>
  <c r="T50" i="1"/>
  <c r="T62" i="1"/>
  <c r="T74" i="1"/>
  <c r="T86" i="1"/>
  <c r="T110" i="1"/>
  <c r="R50" i="1"/>
  <c r="R62" i="1"/>
  <c r="R74" i="1"/>
  <c r="R86" i="1"/>
  <c r="R110" i="1"/>
  <c r="X15" i="1"/>
  <c r="X39" i="1"/>
  <c r="X51" i="1"/>
  <c r="X63" i="1"/>
  <c r="X75" i="1"/>
  <c r="X87" i="1"/>
  <c r="X99" i="1"/>
  <c r="X111" i="1"/>
  <c r="W15" i="1"/>
  <c r="W39" i="1"/>
  <c r="W51" i="1"/>
  <c r="W63" i="1"/>
  <c r="W75" i="1"/>
  <c r="W87" i="1"/>
  <c r="W99" i="1"/>
  <c r="W111" i="1"/>
  <c r="U15" i="1"/>
  <c r="U39" i="1"/>
  <c r="U51" i="1"/>
  <c r="U63" i="1"/>
  <c r="U75" i="1"/>
  <c r="U87" i="1"/>
  <c r="U99" i="1"/>
  <c r="U111" i="1"/>
  <c r="T15" i="1"/>
  <c r="T39" i="1"/>
  <c r="T51" i="1"/>
  <c r="T63" i="1"/>
  <c r="T75" i="1"/>
  <c r="T87" i="1"/>
  <c r="T99" i="1"/>
  <c r="T111" i="1"/>
  <c r="R15" i="1"/>
  <c r="R39" i="1"/>
  <c r="R51" i="1"/>
  <c r="R63" i="1"/>
  <c r="R75" i="1"/>
  <c r="R87" i="1"/>
  <c r="R99" i="1"/>
  <c r="R111" i="1"/>
  <c r="Q15" i="1"/>
  <c r="Q39" i="1"/>
  <c r="Q51" i="1"/>
  <c r="Q63" i="1"/>
  <c r="Q75" i="1"/>
  <c r="Q87" i="1"/>
  <c r="Q99" i="1"/>
  <c r="Q111" i="1"/>
  <c r="O15" i="1"/>
  <c r="O39" i="1"/>
  <c r="O51" i="1"/>
  <c r="O63" i="1"/>
  <c r="O75" i="1"/>
  <c r="O87" i="1"/>
  <c r="O99" i="1"/>
  <c r="O111" i="1"/>
  <c r="N16" i="1"/>
  <c r="N30" i="1"/>
  <c r="N58" i="1"/>
  <c r="N72" i="1"/>
  <c r="N86" i="1"/>
  <c r="N100" i="1"/>
  <c r="N114" i="1"/>
  <c r="L19" i="1"/>
  <c r="L31" i="1"/>
  <c r="L43" i="1"/>
  <c r="L55" i="1"/>
  <c r="X16" i="1"/>
  <c r="X28" i="1"/>
  <c r="X40" i="1"/>
  <c r="X52" i="1"/>
  <c r="X64" i="1"/>
  <c r="X88" i="1"/>
  <c r="X100" i="1"/>
  <c r="W16" i="1"/>
  <c r="W28" i="1"/>
  <c r="W40" i="1"/>
  <c r="W52" i="1"/>
  <c r="W64" i="1"/>
  <c r="W88" i="1"/>
  <c r="W100" i="1"/>
  <c r="U16" i="1"/>
  <c r="U28" i="1"/>
  <c r="U40" i="1"/>
  <c r="U52" i="1"/>
  <c r="U64" i="1"/>
  <c r="U88" i="1"/>
  <c r="U100" i="1"/>
  <c r="T16" i="1"/>
  <c r="T28" i="1"/>
  <c r="T40" i="1"/>
  <c r="T52" i="1"/>
  <c r="T64" i="1"/>
  <c r="T88" i="1"/>
  <c r="T100" i="1"/>
  <c r="R16" i="1"/>
  <c r="R28" i="1"/>
  <c r="R40" i="1"/>
  <c r="R52" i="1"/>
  <c r="R64" i="1"/>
  <c r="R88" i="1"/>
  <c r="R100" i="1"/>
  <c r="Q16" i="1"/>
  <c r="Q28" i="1"/>
  <c r="Q40" i="1"/>
  <c r="Q52" i="1"/>
  <c r="Q64" i="1"/>
  <c r="Q88" i="1"/>
  <c r="Q100" i="1"/>
  <c r="O16" i="1"/>
  <c r="O28" i="1"/>
  <c r="O40" i="1"/>
  <c r="O52" i="1"/>
  <c r="O64" i="1"/>
  <c r="O88" i="1"/>
  <c r="O100" i="1"/>
  <c r="N17" i="1"/>
  <c r="N31" i="1"/>
  <c r="N45" i="1"/>
  <c r="N59" i="1"/>
  <c r="N73" i="1"/>
  <c r="N87" i="1"/>
  <c r="X17" i="1"/>
  <c r="X29" i="1"/>
  <c r="X65" i="1"/>
  <c r="X77" i="1"/>
  <c r="X89" i="1"/>
  <c r="X101" i="1"/>
  <c r="X113" i="1"/>
  <c r="W17" i="1"/>
  <c r="W29" i="1"/>
  <c r="W65" i="1"/>
  <c r="W77" i="1"/>
  <c r="W89" i="1"/>
  <c r="W101" i="1"/>
  <c r="W113" i="1"/>
  <c r="U17" i="1"/>
  <c r="U29" i="1"/>
  <c r="U65" i="1"/>
  <c r="U77" i="1"/>
  <c r="U89" i="1"/>
  <c r="U101" i="1"/>
  <c r="U113" i="1"/>
  <c r="T17" i="1"/>
  <c r="T29" i="1"/>
  <c r="T65" i="1"/>
  <c r="T77" i="1"/>
  <c r="T89" i="1"/>
  <c r="T101" i="1"/>
  <c r="T113" i="1"/>
  <c r="R17" i="1"/>
  <c r="R29" i="1"/>
  <c r="R65" i="1"/>
  <c r="R77" i="1"/>
  <c r="R89" i="1"/>
  <c r="R101" i="1"/>
  <c r="R113" i="1"/>
  <c r="Q17" i="1"/>
  <c r="Q29" i="1"/>
  <c r="Q65" i="1"/>
  <c r="Q77" i="1"/>
  <c r="Q89" i="1"/>
  <c r="Q101" i="1"/>
  <c r="Q113" i="1"/>
  <c r="O17" i="1"/>
  <c r="O29" i="1"/>
  <c r="O65" i="1"/>
  <c r="O77" i="1"/>
  <c r="O89" i="1"/>
  <c r="O101" i="1"/>
  <c r="O113" i="1"/>
  <c r="N18" i="1"/>
  <c r="N47" i="1"/>
  <c r="N60" i="1"/>
  <c r="N74" i="1"/>
  <c r="N88" i="1"/>
  <c r="X18" i="1"/>
  <c r="X30" i="1"/>
  <c r="X42" i="1"/>
  <c r="X54" i="1"/>
  <c r="X66" i="1"/>
  <c r="X78" i="1"/>
  <c r="X90" i="1"/>
  <c r="X102" i="1"/>
  <c r="X114" i="1"/>
  <c r="W18" i="1"/>
  <c r="W30" i="1"/>
  <c r="W42" i="1"/>
  <c r="W54" i="1"/>
  <c r="W66" i="1"/>
  <c r="W78" i="1"/>
  <c r="W90" i="1"/>
  <c r="W102" i="1"/>
  <c r="W114" i="1"/>
  <c r="U18" i="1"/>
  <c r="U30" i="1"/>
  <c r="U42" i="1"/>
  <c r="U54" i="1"/>
  <c r="U66" i="1"/>
  <c r="U78" i="1"/>
  <c r="U90" i="1"/>
  <c r="U102" i="1"/>
  <c r="U114" i="1"/>
  <c r="T18" i="1"/>
  <c r="T30" i="1"/>
  <c r="T42" i="1"/>
  <c r="T54" i="1"/>
  <c r="T66" i="1"/>
  <c r="T78" i="1"/>
  <c r="T90" i="1"/>
  <c r="T102" i="1"/>
  <c r="T114" i="1"/>
  <c r="R18" i="1"/>
  <c r="R30" i="1"/>
  <c r="R42" i="1"/>
  <c r="R54" i="1"/>
  <c r="R66" i="1"/>
  <c r="R78" i="1"/>
  <c r="R90" i="1"/>
  <c r="R102" i="1"/>
  <c r="R114" i="1"/>
  <c r="Q18" i="1"/>
  <c r="Q30" i="1"/>
  <c r="Q42" i="1"/>
  <c r="Q54" i="1"/>
  <c r="Q66" i="1"/>
  <c r="Q78" i="1"/>
  <c r="Q90" i="1"/>
  <c r="Q102" i="1"/>
  <c r="Q114" i="1"/>
  <c r="X19" i="1"/>
  <c r="X31" i="1"/>
  <c r="X43" i="1"/>
  <c r="X55" i="1"/>
  <c r="X67" i="1"/>
  <c r="X79" i="1"/>
  <c r="X103" i="1"/>
  <c r="X115" i="1"/>
  <c r="W19" i="1"/>
  <c r="W31" i="1"/>
  <c r="W43" i="1"/>
  <c r="W55" i="1"/>
  <c r="W67" i="1"/>
  <c r="W79" i="1"/>
  <c r="W103" i="1"/>
  <c r="W115" i="1"/>
  <c r="U19" i="1"/>
  <c r="U31" i="1"/>
  <c r="U43" i="1"/>
  <c r="U55" i="1"/>
  <c r="U67" i="1"/>
  <c r="U79" i="1"/>
  <c r="U103" i="1"/>
  <c r="U115" i="1"/>
  <c r="T19" i="1"/>
  <c r="T31" i="1"/>
  <c r="T43" i="1"/>
  <c r="T55" i="1"/>
  <c r="T67" i="1"/>
  <c r="T79" i="1"/>
  <c r="T103" i="1"/>
  <c r="T115" i="1"/>
  <c r="R19" i="1"/>
  <c r="R31" i="1"/>
  <c r="R43" i="1"/>
  <c r="R55" i="1"/>
  <c r="R67" i="1"/>
  <c r="R79" i="1"/>
  <c r="R103" i="1"/>
  <c r="R115" i="1"/>
  <c r="Q19" i="1"/>
  <c r="Q31" i="1"/>
  <c r="Q43" i="1"/>
  <c r="Q55" i="1"/>
  <c r="Q67" i="1"/>
  <c r="X56" i="1"/>
  <c r="X68" i="1"/>
  <c r="X80" i="1"/>
  <c r="X92" i="1"/>
  <c r="X104" i="1"/>
  <c r="X116" i="1"/>
  <c r="W56" i="1"/>
  <c r="W68" i="1"/>
  <c r="W80" i="1"/>
  <c r="W92" i="1"/>
  <c r="W104" i="1"/>
  <c r="W116" i="1"/>
  <c r="U56" i="1"/>
  <c r="U68" i="1"/>
  <c r="U80" i="1"/>
  <c r="X21" i="1"/>
  <c r="W117" i="1"/>
  <c r="U45" i="1"/>
  <c r="T45" i="1"/>
  <c r="T117" i="1"/>
  <c r="R104" i="1"/>
  <c r="R9" i="1"/>
  <c r="Q45" i="1"/>
  <c r="Q80" i="1"/>
  <c r="Q106" i="1"/>
  <c r="O31" i="1"/>
  <c r="O55" i="1"/>
  <c r="O79" i="1"/>
  <c r="O103" i="1"/>
  <c r="N13" i="1"/>
  <c r="N37" i="1"/>
  <c r="N63" i="1"/>
  <c r="N81" i="1"/>
  <c r="N102" i="1"/>
  <c r="N118" i="1"/>
  <c r="L11" i="1"/>
  <c r="L25" i="1"/>
  <c r="L39" i="1"/>
  <c r="L66" i="1"/>
  <c r="L78" i="1"/>
  <c r="L90" i="1"/>
  <c r="L102" i="1"/>
  <c r="L114" i="1"/>
  <c r="K19" i="1"/>
  <c r="K34" i="1"/>
  <c r="K48" i="1"/>
  <c r="K62" i="1"/>
  <c r="K75" i="1"/>
  <c r="K89" i="1"/>
  <c r="K103" i="1"/>
  <c r="K117" i="1"/>
  <c r="K9" i="1"/>
  <c r="N9" i="1"/>
  <c r="K115" i="1"/>
  <c r="X45" i="1"/>
  <c r="U57" i="1"/>
  <c r="T56" i="1"/>
  <c r="Q10" i="1"/>
  <c r="Q81" i="1"/>
  <c r="Q110" i="1"/>
  <c r="O56" i="1"/>
  <c r="O80" i="1"/>
  <c r="O104" i="1"/>
  <c r="N15" i="1"/>
  <c r="N64" i="1"/>
  <c r="N84" i="1"/>
  <c r="N103" i="1"/>
  <c r="N119" i="1"/>
  <c r="L12" i="1"/>
  <c r="L54" i="1"/>
  <c r="L67" i="1"/>
  <c r="L79" i="1"/>
  <c r="L103" i="1"/>
  <c r="L115" i="1"/>
  <c r="K21" i="1"/>
  <c r="K35" i="1"/>
  <c r="K49" i="1"/>
  <c r="K63" i="1"/>
  <c r="K77" i="1"/>
  <c r="K90" i="1"/>
  <c r="K104" i="1"/>
  <c r="K118" i="1"/>
  <c r="N57" i="1"/>
  <c r="L88" i="1"/>
  <c r="X57" i="1"/>
  <c r="T57" i="1"/>
  <c r="R116" i="1"/>
  <c r="Q50" i="1"/>
  <c r="Q82" i="1"/>
  <c r="Q115" i="1"/>
  <c r="Q9" i="1"/>
  <c r="O57" i="1"/>
  <c r="O81" i="1"/>
  <c r="N19" i="1"/>
  <c r="N42" i="1"/>
  <c r="N65" i="1"/>
  <c r="N85" i="1"/>
  <c r="N104" i="1"/>
  <c r="L13" i="1"/>
  <c r="L42" i="1"/>
  <c r="L56" i="1"/>
  <c r="L68" i="1"/>
  <c r="L80" i="1"/>
  <c r="L92" i="1"/>
  <c r="L104" i="1"/>
  <c r="L116" i="1"/>
  <c r="K22" i="1"/>
  <c r="K36" i="1"/>
  <c r="K50" i="1"/>
  <c r="K64" i="1"/>
  <c r="K78" i="1"/>
  <c r="K92" i="1"/>
  <c r="K106" i="1"/>
  <c r="K119" i="1"/>
  <c r="O50" i="1"/>
  <c r="N99" i="1"/>
  <c r="K59" i="1"/>
  <c r="U81" i="1"/>
  <c r="T68" i="1"/>
  <c r="R45" i="1"/>
  <c r="R117" i="1"/>
  <c r="Q56" i="1"/>
  <c r="Q86" i="1"/>
  <c r="Q116" i="1"/>
  <c r="O10" i="1"/>
  <c r="O34" i="1"/>
  <c r="O58" i="1"/>
  <c r="O82" i="1"/>
  <c r="O106" i="1"/>
  <c r="N21" i="1"/>
  <c r="N43" i="1"/>
  <c r="N66" i="1"/>
  <c r="N89" i="1"/>
  <c r="N106" i="1"/>
  <c r="L29" i="1"/>
  <c r="L57" i="1"/>
  <c r="L81" i="1"/>
  <c r="L93" i="1"/>
  <c r="L117" i="1"/>
  <c r="L9" i="1"/>
  <c r="K23" i="1"/>
  <c r="K37" i="1"/>
  <c r="K51" i="1"/>
  <c r="K65" i="1"/>
  <c r="K79" i="1"/>
  <c r="K93" i="1"/>
  <c r="K107" i="1"/>
  <c r="L37" i="1"/>
  <c r="K17" i="1"/>
  <c r="X81" i="1"/>
  <c r="X9" i="1"/>
  <c r="W21" i="1"/>
  <c r="U92" i="1"/>
  <c r="R56" i="1"/>
  <c r="Q21" i="1"/>
  <c r="Q57" i="1"/>
  <c r="Q117" i="1"/>
  <c r="O62" i="1"/>
  <c r="O86" i="1"/>
  <c r="O110" i="1"/>
  <c r="N22" i="1"/>
  <c r="N48" i="1"/>
  <c r="N67" i="1"/>
  <c r="N90" i="1"/>
  <c r="N107" i="1"/>
  <c r="L15" i="1"/>
  <c r="L30" i="1"/>
  <c r="L45" i="1"/>
  <c r="L58" i="1"/>
  <c r="L70" i="1"/>
  <c r="L82" i="1"/>
  <c r="L94" i="1"/>
  <c r="L106" i="1"/>
  <c r="L118" i="1"/>
  <c r="K10" i="1"/>
  <c r="K24" i="1"/>
  <c r="K52" i="1"/>
  <c r="K66" i="1"/>
  <c r="K80" i="1"/>
  <c r="K94" i="1"/>
  <c r="K108" i="1"/>
  <c r="X93" i="1"/>
  <c r="U93" i="1"/>
  <c r="T80" i="1"/>
  <c r="R57" i="1"/>
  <c r="Q22" i="1"/>
  <c r="Q58" i="1"/>
  <c r="Q92" i="1"/>
  <c r="Q118" i="1"/>
  <c r="O18" i="1"/>
  <c r="O42" i="1"/>
  <c r="O66" i="1"/>
  <c r="O90" i="1"/>
  <c r="O114" i="1"/>
  <c r="N23" i="1"/>
  <c r="N49" i="1"/>
  <c r="N70" i="1"/>
  <c r="N92" i="1"/>
  <c r="N108" i="1"/>
  <c r="L17" i="1"/>
  <c r="L59" i="1"/>
  <c r="L71" i="1"/>
  <c r="L95" i="1"/>
  <c r="L107" i="1"/>
  <c r="L119" i="1"/>
  <c r="K11" i="1"/>
  <c r="K25" i="1"/>
  <c r="K39" i="1"/>
  <c r="K54" i="1"/>
  <c r="K67" i="1"/>
  <c r="K81" i="1"/>
  <c r="K95" i="1"/>
  <c r="K109" i="1"/>
  <c r="O74" i="1"/>
  <c r="N79" i="1"/>
  <c r="L100" i="1"/>
  <c r="K31" i="1"/>
  <c r="W45" i="1"/>
  <c r="U104" i="1"/>
  <c r="U9" i="1"/>
  <c r="T81" i="1"/>
  <c r="R68" i="1"/>
  <c r="Q62" i="1"/>
  <c r="Q93" i="1"/>
  <c r="O19" i="1"/>
  <c r="O43" i="1"/>
  <c r="O67" i="1"/>
  <c r="O115" i="1"/>
  <c r="O9" i="1"/>
  <c r="N24" i="1"/>
  <c r="N50" i="1"/>
  <c r="N71" i="1"/>
  <c r="N93" i="1"/>
  <c r="N109" i="1"/>
  <c r="L18" i="1"/>
  <c r="L47" i="1"/>
  <c r="L60" i="1"/>
  <c r="L72" i="1"/>
  <c r="L84" i="1"/>
  <c r="L96" i="1"/>
  <c r="L108" i="1"/>
  <c r="K12" i="1"/>
  <c r="K40" i="1"/>
  <c r="K55" i="1"/>
  <c r="K68" i="1"/>
  <c r="K82" i="1"/>
  <c r="K96" i="1"/>
  <c r="K110" i="1"/>
  <c r="L23" i="1"/>
  <c r="K45" i="1"/>
  <c r="X117" i="1"/>
  <c r="W57" i="1"/>
  <c r="T92" i="1"/>
  <c r="Q68" i="1"/>
  <c r="Q94" i="1"/>
  <c r="O68" i="1"/>
  <c r="O92" i="1"/>
  <c r="O116" i="1"/>
  <c r="N28" i="1"/>
  <c r="N51" i="1"/>
  <c r="N75" i="1"/>
  <c r="N94" i="1"/>
  <c r="N111" i="1"/>
  <c r="L34" i="1"/>
  <c r="L48" i="1"/>
  <c r="L73" i="1"/>
  <c r="L85" i="1"/>
  <c r="L97" i="1"/>
  <c r="L109" i="1"/>
  <c r="K13" i="1"/>
  <c r="K28" i="1"/>
  <c r="K42" i="1"/>
  <c r="K56" i="1"/>
  <c r="K70" i="1"/>
  <c r="K84" i="1"/>
  <c r="K97" i="1"/>
  <c r="K111" i="1"/>
  <c r="W93" i="1"/>
  <c r="N35" i="1"/>
  <c r="K101" i="1"/>
  <c r="U116" i="1"/>
  <c r="T21" i="1"/>
  <c r="T93" i="1"/>
  <c r="R80" i="1"/>
  <c r="O21" i="1"/>
  <c r="O45" i="1"/>
  <c r="O93" i="1"/>
  <c r="O117" i="1"/>
  <c r="N29" i="1"/>
  <c r="N52" i="1"/>
  <c r="N77" i="1"/>
  <c r="N95" i="1"/>
  <c r="N113" i="1"/>
  <c r="L21" i="1"/>
  <c r="L35" i="1"/>
  <c r="L49" i="1"/>
  <c r="L62" i="1"/>
  <c r="L74" i="1"/>
  <c r="L86" i="1"/>
  <c r="L110" i="1"/>
  <c r="K15" i="1"/>
  <c r="K29" i="1"/>
  <c r="K43" i="1"/>
  <c r="K57" i="1"/>
  <c r="K71" i="1"/>
  <c r="K85" i="1"/>
  <c r="K99" i="1"/>
  <c r="K113" i="1"/>
  <c r="U21" i="1"/>
  <c r="Q74" i="1"/>
  <c r="N116" i="1"/>
  <c r="W81" i="1"/>
  <c r="W9" i="1"/>
  <c r="U117" i="1"/>
  <c r="T104" i="1"/>
  <c r="T9" i="1"/>
  <c r="R81" i="1"/>
  <c r="Q34" i="1"/>
  <c r="Q70" i="1"/>
  <c r="Q103" i="1"/>
  <c r="O22" i="1"/>
  <c r="O70" i="1"/>
  <c r="O94" i="1"/>
  <c r="O118" i="1"/>
  <c r="N34" i="1"/>
  <c r="N56" i="1"/>
  <c r="N78" i="1"/>
  <c r="N97" i="1"/>
  <c r="N115" i="1"/>
  <c r="L22" i="1"/>
  <c r="L36" i="1"/>
  <c r="L50" i="1"/>
  <c r="L63" i="1"/>
  <c r="L75" i="1"/>
  <c r="L87" i="1"/>
  <c r="L99" i="1"/>
  <c r="L111" i="1"/>
  <c r="K16" i="1"/>
  <c r="K30" i="1"/>
  <c r="K58" i="1"/>
  <c r="K72" i="1"/>
  <c r="K86" i="1"/>
  <c r="K100" i="1"/>
  <c r="K114" i="1"/>
  <c r="R92" i="1"/>
  <c r="Q104" i="1"/>
  <c r="L51" i="1"/>
  <c r="K87" i="1"/>
  <c r="T116" i="1"/>
  <c r="R21" i="1"/>
  <c r="R93" i="1"/>
  <c r="Q79" i="1"/>
  <c r="O30" i="1"/>
  <c r="O54" i="1"/>
  <c r="O78" i="1"/>
  <c r="O102" i="1"/>
  <c r="N10" i="1"/>
  <c r="N36" i="1"/>
  <c r="N62" i="1"/>
  <c r="N80" i="1"/>
  <c r="N101" i="1"/>
  <c r="N117" i="1"/>
  <c r="L10" i="1"/>
  <c r="L24" i="1"/>
  <c r="L52" i="1"/>
  <c r="L65" i="1"/>
  <c r="L77" i="1"/>
  <c r="L89" i="1"/>
  <c r="L101" i="1"/>
  <c r="L113" i="1"/>
  <c r="K18" i="1"/>
  <c r="K47" i="1"/>
  <c r="K60" i="1"/>
  <c r="K74" i="1"/>
  <c r="K88" i="1"/>
  <c r="K102" i="1"/>
  <c r="K116" i="1"/>
  <c r="L64" i="1"/>
  <c r="K73" i="1"/>
  <c r="L1" i="1"/>
  <c r="C15" i="1"/>
  <c r="C16" i="1" s="1"/>
  <c r="C17" i="1" s="1"/>
  <c r="C18" i="1" s="1"/>
  <c r="C19" i="1" s="1"/>
  <c r="C20" i="1" s="1"/>
  <c r="C21" i="1" l="1"/>
  <c r="C22" i="1" s="1"/>
  <c r="C23" i="1" s="1"/>
  <c r="C24" i="1" s="1"/>
  <c r="C25" i="1" s="1"/>
  <c r="C26" i="1" s="1"/>
  <c r="C27" i="1" l="1"/>
  <c r="C28" i="1"/>
  <c r="C29" i="1" s="1"/>
  <c r="C30" i="1" s="1"/>
  <c r="C31" i="1" s="1"/>
  <c r="C32" i="1" s="1"/>
  <c r="C33" i="1" l="1"/>
  <c r="C34" i="1"/>
  <c r="C35" i="1" l="1"/>
  <c r="C36" i="1" l="1"/>
  <c r="C37" i="1" l="1"/>
  <c r="C38" i="1" l="1"/>
  <c r="C39" i="1" l="1"/>
  <c r="C40" i="1" l="1"/>
  <c r="C41" i="1" l="1"/>
  <c r="C42" i="1" l="1"/>
  <c r="C43" i="1" l="1"/>
  <c r="C44" i="1" s="1"/>
  <c r="C45" i="1" l="1"/>
  <c r="C46" i="1" s="1"/>
  <c r="C47" i="1" s="1"/>
  <c r="C48" i="1" s="1"/>
  <c r="C49" i="1" s="1"/>
  <c r="C50" i="1" s="1"/>
  <c r="C51" i="1" s="1"/>
  <c r="C52" i="1" s="1"/>
  <c r="C53" i="1" s="1"/>
  <c r="C54" i="1" l="1"/>
  <c r="C55" i="1" s="1"/>
  <c r="C56" i="1" s="1"/>
  <c r="C57" i="1" s="1"/>
  <c r="C58" i="1" s="1"/>
  <c r="C59" i="1" s="1"/>
  <c r="C60" i="1" s="1"/>
  <c r="C61" i="1" s="1"/>
  <c r="C62" i="1" l="1"/>
  <c r="C63" i="1" s="1"/>
  <c r="C64" i="1" s="1"/>
  <c r="C65" i="1" s="1"/>
  <c r="C66" i="1" s="1"/>
  <c r="C67" i="1" s="1"/>
  <c r="C68" i="1" s="1"/>
  <c r="C69" i="1" s="1"/>
  <c r="C70" i="1" l="1"/>
  <c r="C71" i="1" s="1"/>
  <c r="C72" i="1" s="1"/>
  <c r="C73" i="1" s="1"/>
  <c r="C74" i="1" s="1"/>
  <c r="C75" i="1" s="1"/>
  <c r="C76" i="1" s="1"/>
  <c r="C77" i="1" l="1"/>
  <c r="C78" i="1" s="1"/>
  <c r="C79" i="1" s="1"/>
  <c r="C80" i="1" s="1"/>
  <c r="C81" i="1" s="1"/>
  <c r="C82" i="1" s="1"/>
  <c r="C83" i="1" s="1"/>
  <c r="C84" i="1" l="1"/>
  <c r="C85" i="1" l="1"/>
  <c r="C86" i="1" s="1"/>
  <c r="C87" i="1" s="1"/>
  <c r="C88" i="1" s="1"/>
  <c r="C89" i="1" s="1"/>
  <c r="C90" i="1" s="1"/>
  <c r="C91" i="1" s="1"/>
  <c r="C92" i="1" l="1"/>
  <c r="C93" i="1" s="1"/>
  <c r="C94" i="1" s="1"/>
  <c r="C95" i="1" s="1"/>
  <c r="C96" i="1" s="1"/>
  <c r="C97" i="1" s="1"/>
  <c r="C98" i="1" s="1"/>
  <c r="C99" i="1" l="1"/>
  <c r="C100" i="1" s="1"/>
  <c r="C101" i="1" s="1"/>
  <c r="C102" i="1" s="1"/>
  <c r="C103" i="1" s="1"/>
  <c r="C104" i="1" s="1"/>
  <c r="C105" i="1" s="1"/>
  <c r="C106" i="1" l="1"/>
  <c r="C107" i="1" l="1"/>
  <c r="C108" i="1" l="1"/>
  <c r="C109" i="1" l="1"/>
  <c r="C110" i="1" l="1"/>
  <c r="C111" i="1" s="1"/>
  <c r="C112" i="1" s="1"/>
  <c r="C113" i="1" l="1"/>
  <c r="C114" i="1" l="1"/>
  <c r="C115" i="1" l="1"/>
  <c r="C116" i="1" s="1"/>
  <c r="C117" i="1" s="1"/>
  <c r="C118" i="1" s="1"/>
  <c r="C119" i="1" s="1"/>
  <c r="C120" i="1" s="1"/>
  <c r="C121" i="1" l="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41" i="1" l="1" a="1"/>
  <c r="B41" i="1" s="1"/>
  <c r="B26" i="1" a="1"/>
  <c r="B26" i="1" s="1"/>
  <c r="B32" i="1" a="1"/>
  <c r="B32" i="1" s="1"/>
  <c r="B38" i="1" a="1"/>
  <c r="B38" i="1" s="1"/>
  <c r="B44" i="1" a="1"/>
  <c r="B44" i="1" s="1"/>
  <c r="X41" i="1"/>
  <c r="AD41" i="1"/>
  <c r="W41" i="1" s="1"/>
  <c r="U41" i="1"/>
  <c r="AC41" i="1"/>
  <c r="T41" i="1" s="1"/>
  <c r="R41" i="1"/>
  <c r="AB41" i="1"/>
  <c r="Q41" i="1" s="1"/>
  <c r="O41" i="1"/>
  <c r="AA41" i="1"/>
  <c r="N41" i="1" s="1"/>
  <c r="L41" i="1"/>
  <c r="Z41" i="1"/>
  <c r="K41" i="1" s="1"/>
  <c r="B14" i="1" a="1"/>
  <c r="B14" i="1" s="1"/>
  <c r="B20" i="1" a="1"/>
  <c r="B20" i="1" s="1"/>
  <c r="B27" i="1" a="1"/>
  <c r="B27"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 r="AD44" i="1" l="1"/>
  <c r="W44" i="1" s="1"/>
  <c r="AC44" i="1"/>
  <c r="T44" i="1" s="1"/>
  <c r="AB44" i="1"/>
  <c r="Q44" i="1" s="1"/>
  <c r="AA44" i="1"/>
  <c r="N44" i="1" s="1"/>
  <c r="Z44" i="1"/>
  <c r="K44" i="1" s="1"/>
  <c r="O44" i="1"/>
  <c r="R44" i="1"/>
  <c r="X44" i="1"/>
  <c r="L44" i="1"/>
  <c r="U44" i="1"/>
  <c r="Z38" i="1"/>
  <c r="K38" i="1" s="1"/>
  <c r="AD38" i="1"/>
  <c r="W38" i="1" s="1"/>
  <c r="AC38" i="1"/>
  <c r="T38" i="1" s="1"/>
  <c r="AB38" i="1"/>
  <c r="Q38" i="1" s="1"/>
  <c r="AA38" i="1"/>
  <c r="N38" i="1" s="1"/>
  <c r="X38" i="1"/>
  <c r="O38" i="1"/>
  <c r="U38" i="1"/>
  <c r="R38" i="1"/>
  <c r="L38" i="1"/>
  <c r="AB32" i="1"/>
  <c r="Q32" i="1" s="1"/>
  <c r="AC32" i="1"/>
  <c r="T32" i="1" s="1"/>
  <c r="AD32" i="1"/>
  <c r="W32" i="1" s="1"/>
  <c r="Z32" i="1"/>
  <c r="K32" i="1" s="1"/>
  <c r="AA32" i="1"/>
  <c r="N32" i="1" s="1"/>
  <c r="L32" i="1"/>
  <c r="X32" i="1"/>
  <c r="R32" i="1"/>
  <c r="U32" i="1"/>
  <c r="O32" i="1"/>
  <c r="Z26" i="1"/>
  <c r="K26" i="1" s="1"/>
  <c r="AD26" i="1"/>
  <c r="W26" i="1" s="1"/>
  <c r="AC26" i="1"/>
  <c r="T26" i="1" s="1"/>
  <c r="AB26" i="1"/>
  <c r="Q26" i="1" s="1"/>
  <c r="AA26" i="1"/>
  <c r="N26" i="1" s="1"/>
  <c r="X26" i="1"/>
  <c r="U26" i="1"/>
  <c r="O26" i="1"/>
  <c r="R26" i="1"/>
  <c r="L26" i="1"/>
  <c r="AA105" i="1"/>
  <c r="N105" i="1" s="1"/>
  <c r="R105" i="1"/>
  <c r="AB105" i="1"/>
  <c r="Q105" i="1" s="1"/>
  <c r="O105" i="1"/>
  <c r="L105" i="1"/>
  <c r="AD105" i="1"/>
  <c r="W105" i="1" s="1"/>
  <c r="X105" i="1"/>
  <c r="U105" i="1"/>
  <c r="AC105" i="1"/>
  <c r="T105" i="1" s="1"/>
  <c r="Z105" i="1"/>
  <c r="K105" i="1" s="1"/>
  <c r="X20" i="1"/>
  <c r="AD20" i="1"/>
  <c r="W20" i="1" s="1"/>
  <c r="U20" i="1"/>
  <c r="Z20" i="1"/>
  <c r="K20" i="1" s="1"/>
  <c r="AC20" i="1"/>
  <c r="T20" i="1" s="1"/>
  <c r="AA20" i="1"/>
  <c r="N20" i="1" s="1"/>
  <c r="O20" i="1"/>
  <c r="L20" i="1"/>
  <c r="R20" i="1"/>
  <c r="AB20" i="1"/>
  <c r="Q20" i="1" s="1"/>
  <c r="X14" i="1"/>
  <c r="AD14" i="1"/>
  <c r="W14" i="1" s="1"/>
  <c r="U14" i="1"/>
  <c r="AC14" i="1"/>
  <c r="T14" i="1" s="1"/>
  <c r="R14" i="1"/>
  <c r="AB14" i="1"/>
  <c r="Q14" i="1" s="1"/>
  <c r="L14" i="1"/>
  <c r="O14" i="1"/>
  <c r="Z14" i="1"/>
  <c r="K14" i="1" s="1"/>
  <c r="AA14" i="1"/>
  <c r="N14" i="1" s="1"/>
  <c r="X91" i="1"/>
  <c r="AD91" i="1"/>
  <c r="W91" i="1" s="1"/>
  <c r="U91" i="1"/>
  <c r="AC91" i="1"/>
  <c r="T91" i="1" s="1"/>
  <c r="R91" i="1"/>
  <c r="AB91" i="1"/>
  <c r="Q91" i="1" s="1"/>
  <c r="L91" i="1"/>
  <c r="O91" i="1"/>
  <c r="Z91" i="1"/>
  <c r="K91" i="1" s="1"/>
  <c r="AA91" i="1"/>
  <c r="N91" i="1" s="1"/>
  <c r="X112" i="1"/>
  <c r="AD112" i="1"/>
  <c r="W112" i="1" s="1"/>
  <c r="U112" i="1"/>
  <c r="AC112" i="1"/>
  <c r="T112" i="1" s="1"/>
  <c r="R112" i="1"/>
  <c r="AB112" i="1"/>
  <c r="Q112" i="1" s="1"/>
  <c r="O112" i="1"/>
  <c r="AA112" i="1"/>
  <c r="N112" i="1" s="1"/>
  <c r="Z112" i="1"/>
  <c r="K112" i="1" s="1"/>
  <c r="L112" i="1"/>
  <c r="X76" i="1"/>
  <c r="AD76" i="1"/>
  <c r="W76" i="1" s="1"/>
  <c r="U76" i="1"/>
  <c r="AC76" i="1"/>
  <c r="T76" i="1" s="1"/>
  <c r="R76" i="1"/>
  <c r="AB76" i="1"/>
  <c r="Q76" i="1" s="1"/>
  <c r="O76" i="1"/>
  <c r="AA76" i="1"/>
  <c r="N76" i="1" s="1"/>
  <c r="Z76" i="1"/>
  <c r="K76" i="1" s="1"/>
  <c r="L76" i="1"/>
  <c r="X83" i="1"/>
  <c r="AD83" i="1"/>
  <c r="W83" i="1" s="1"/>
  <c r="U83" i="1"/>
  <c r="AC83" i="1"/>
  <c r="T83" i="1" s="1"/>
  <c r="R83" i="1"/>
  <c r="AB83" i="1"/>
  <c r="Q83" i="1" s="1"/>
  <c r="O83" i="1"/>
  <c r="AA83" i="1"/>
  <c r="N83" i="1" s="1"/>
  <c r="Z83" i="1"/>
  <c r="K83" i="1" s="1"/>
  <c r="L83" i="1"/>
  <c r="X61" i="1"/>
  <c r="AD61" i="1"/>
  <c r="W61" i="1" s="1"/>
  <c r="U61" i="1"/>
  <c r="AC61" i="1"/>
  <c r="T61" i="1" s="1"/>
  <c r="R61" i="1"/>
  <c r="AB61" i="1"/>
  <c r="Q61" i="1" s="1"/>
  <c r="O61" i="1"/>
  <c r="AA61" i="1"/>
  <c r="N61" i="1" s="1"/>
  <c r="Z61" i="1"/>
  <c r="K61" i="1" s="1"/>
  <c r="L61" i="1"/>
  <c r="AC69" i="1"/>
  <c r="T69" i="1" s="1"/>
  <c r="U69" i="1"/>
  <c r="AA69" i="1"/>
  <c r="N69" i="1" s="1"/>
  <c r="X69" i="1"/>
  <c r="L69" i="1"/>
  <c r="AB69" i="1"/>
  <c r="Q69" i="1" s="1"/>
  <c r="R69" i="1"/>
  <c r="O69" i="1"/>
  <c r="AD69" i="1"/>
  <c r="W69" i="1" s="1"/>
  <c r="Z69" i="1"/>
  <c r="K69" i="1" s="1"/>
  <c r="X53" i="1"/>
  <c r="AD53" i="1"/>
  <c r="W53" i="1" s="1"/>
  <c r="U53" i="1"/>
  <c r="AC53" i="1"/>
  <c r="T53" i="1" s="1"/>
  <c r="R53" i="1"/>
  <c r="AB53" i="1"/>
  <c r="Q53" i="1" s="1"/>
  <c r="O53" i="1"/>
  <c r="AA53" i="1"/>
  <c r="N53" i="1" s="1"/>
  <c r="L53" i="1"/>
  <c r="Z53" i="1"/>
  <c r="K53" i="1" s="1"/>
  <c r="X46" i="1"/>
  <c r="AD46" i="1"/>
  <c r="W46" i="1" s="1"/>
  <c r="U46" i="1"/>
  <c r="AC46" i="1"/>
  <c r="T46" i="1" s="1"/>
  <c r="R46" i="1"/>
  <c r="AB46" i="1"/>
  <c r="Q46" i="1" s="1"/>
  <c r="Z46" i="1"/>
  <c r="K46" i="1" s="1"/>
  <c r="AA46" i="1"/>
  <c r="N46" i="1" s="1"/>
  <c r="L46" i="1"/>
  <c r="O46" i="1"/>
  <c r="X98" i="1"/>
  <c r="AD98" i="1"/>
  <c r="W98" i="1" s="1"/>
  <c r="U98" i="1"/>
  <c r="AC98" i="1"/>
  <c r="T98" i="1" s="1"/>
  <c r="R98" i="1"/>
  <c r="AB98" i="1"/>
  <c r="Q98" i="1" s="1"/>
  <c r="Z98" i="1"/>
  <c r="K98" i="1" s="1"/>
  <c r="AA98" i="1"/>
  <c r="N98" i="1" s="1"/>
  <c r="O98" i="1"/>
  <c r="L98" i="1"/>
  <c r="X33" i="1"/>
  <c r="AB33" i="1"/>
  <c r="Q33" i="1" s="1"/>
  <c r="AD33" i="1"/>
  <c r="W33" i="1" s="1"/>
  <c r="R33" i="1"/>
  <c r="O33" i="1"/>
  <c r="AC33" i="1"/>
  <c r="T33" i="1" s="1"/>
  <c r="AA33" i="1"/>
  <c r="N33" i="1" s="1"/>
  <c r="L33" i="1"/>
  <c r="U33" i="1"/>
  <c r="Z33" i="1"/>
  <c r="K33" i="1" s="1"/>
  <c r="X120" i="1"/>
  <c r="AD120" i="1"/>
  <c r="W120" i="1" s="1"/>
  <c r="U120" i="1"/>
  <c r="AC120" i="1"/>
  <c r="T120" i="1" s="1"/>
  <c r="R120" i="1"/>
  <c r="AB120" i="1"/>
  <c r="Q120" i="1" s="1"/>
  <c r="O120" i="1"/>
  <c r="AA120" i="1"/>
  <c r="N120" i="1" s="1"/>
  <c r="Z120" i="1"/>
  <c r="K120" i="1" s="1"/>
  <c r="L120" i="1"/>
  <c r="X27" i="1"/>
  <c r="AD27" i="1"/>
  <c r="W27" i="1" s="1"/>
  <c r="U27" i="1"/>
  <c r="AC27" i="1"/>
  <c r="T27" i="1" s="1"/>
  <c r="R27" i="1"/>
  <c r="AB27" i="1"/>
  <c r="Q27" i="1" s="1"/>
  <c r="O27" i="1"/>
  <c r="AA27" i="1"/>
  <c r="N27" i="1" s="1"/>
  <c r="L27" i="1"/>
  <c r="Z27" i="1"/>
  <c r="K2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<sst xmlns="http://schemas.openxmlformats.org/spreadsheetml/2006/main" count="2238" uniqueCount="731">
  <si>
    <t>Stage 1</t>
  </si>
  <si>
    <t xml:space="preserve">Coding5s: </t>
  </si>
  <si>
    <t>AI-Powered Fast Track to Advanced Coding System</t>
  </si>
  <si>
    <t>Stage 1:</t>
  </si>
  <si>
    <t>Stage 2:</t>
  </si>
  <si>
    <t>Stage 3:</t>
  </si>
  <si>
    <t>Stage 4:</t>
  </si>
  <si>
    <t>Stage 5:</t>
  </si>
  <si>
    <t>Learning Now:</t>
  </si>
  <si>
    <t>Python</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</si>
  <si>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</si>
  <si>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</si>
  <si>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</si>
  <si>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</si>
  <si>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</si>
  <si>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</si>
  <si>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</si>
  <si>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</si>
  <si>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</si>
  <si>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</si>
  <si>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</si>
  <si>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</si>
  <si>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</si>
  <si>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</si>
  <si>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</si>
  <si>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</si>
  <si>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</si>
  <si>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</si>
  <si>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</si>
  <si>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</si>
  <si>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</si>
  <si>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</si>
  <si>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</si>
  <si>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</si>
  <si>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</si>
  <si>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</si>
  <si>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</si>
  <si>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</si>
  <si>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</si>
  <si>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</si>
  <si>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</si>
  <si>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</si>
  <si>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</si>
  <si>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</si>
  <si>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</si>
  <si>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</si>
  <si>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</si>
  <si>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</si>
  <si>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</si>
  <si>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</si>
  <si>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</si>
  <si>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</si>
  <si>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</si>
  <si>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</si>
  <si>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</si>
  <si>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</si>
  <si>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</si>
  <si>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</si>
  <si>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</si>
  <si>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</si>
  <si>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</si>
  <si>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</si>
  <si>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</si>
  <si>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</si>
  <si>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</si>
  <si>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</si>
  <si>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</si>
  <si>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</si>
  <si>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</si>
  <si>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</si>
  <si>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</si>
  <si>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</si>
  <si>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</si>
  <si>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</si>
  <si>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</si>
  <si>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</si>
  <si>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</si>
  <si>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</si>
  <si>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</si>
  <si>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</si>
  <si>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N/A</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</si>
  <si>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</si>
  <si>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</si>
  <si>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</si>
  <si>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</si>
  <si>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</si>
  <si>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</si>
  <si>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</si>
  <si>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</si>
  <si>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</si>
  <si>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</si>
  <si>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</si>
  <si>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</si>
  <si>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</si>
  <si>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</si>
  <si>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</si>
  <si>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</si>
  <si>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</si>
  <si>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</si>
  <si>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</si>
  <si>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</si>
  <si>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</si>
  <si>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</si>
  <si>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</si>
  <si>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</si>
  <si>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</si>
  <si>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</si>
  <si>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</si>
  <si>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</si>
  <si>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</si>
  <si>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</si>
  <si>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</si>
  <si>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</si>
  <si>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</si>
  <si>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</si>
  <si>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</si>
  <si>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</si>
  <si>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</si>
  <si>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</si>
  <si>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</si>
  <si>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</si>
  <si>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</si>
  <si>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</si>
  <si>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</si>
  <si>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</si>
  <si>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</si>
  <si>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</si>
  <si>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</si>
  <si>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</si>
  <si>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</si>
  <si>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</si>
  <si>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</si>
  <si>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</si>
  <si>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</si>
  <si>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</si>
  <si>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</si>
  <si>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</si>
  <si>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</si>
  <si>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</si>
  <si>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</si>
  <si>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</si>
  <si>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</si>
  <si>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</si>
  <si>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</si>
  <si>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</si>
  <si>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</si>
  <si>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</si>
  <si>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</si>
  <si>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</si>
  <si>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</si>
  <si>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</si>
  <si>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</si>
  <si>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</si>
  <si>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</si>
  <si>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</si>
  <si>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</si>
  <si>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</si>
  <si>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</si>
  <si>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</si>
  <si>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</si>
  <si>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</si>
  <si>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</si>
  <si>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</si>
  <si>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</si>
  <si>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</si>
  <si>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</si>
  <si>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</si>
  <si>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</si>
  <si>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</si>
  <si>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</si>
  <si>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</si>
  <si>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</si>
  <si>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</si>
  <si>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</si>
  <si>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</si>
  <si>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</si>
  <si>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</si>
  <si>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</si>
  <si>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</si>
  <si>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</si>
  <si>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</si>
  <si>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</si>
  <si>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</si>
  <si>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t>
  </si>
  <si>
    <t>[CODE CONSTRAINTS]</t>
  </si>
  <si>
    <t>[SYNTAX CONFIGURATION RULE]</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</si>
  <si>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</si>
  <si>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</si>
  <si>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</si>
  <si>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</si>
  <si>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</si>
  <si>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</si>
  <si>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</si>
  <si>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</si>
  <si>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</si>
  <si>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</si>
  <si>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Use correct loaders and enforce encoding='utf-8' and newline='' when applicable | " &amp;</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</si>
  <si>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</si>
  <si>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</si>
  <si>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</si>
  <si>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</si>
  <si>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</si>
  <si>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</si>
  <si>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</si>
  <si>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</si>
  <si>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</si>
  <si>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</si>
  <si>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</si>
  <si>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</si>
  <si>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</si>
  <si>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</si>
  <si>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</si>
  <si>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</si>
  <si>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</si>
  <si>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</si>
  <si>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</si>
  <si>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</si>
  <si>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</si>
  <si>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</si>
  <si>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</si>
  <si>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</si>
  <si>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</si>
  <si>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</si>
  <si>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</si>
  <si>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</si>
  <si>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</si>
  <si>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</si>
  <si>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</si>
  <si>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</si>
  <si>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</si>
  <si>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</si>
  <si>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</si>
  <si>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</si>
  <si>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</si>
  <si>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</si>
  <si>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t>
  </si>
  <si>
    <t>Code MUST be clean, readable, educational, executable, and produce correct and accurate results | " &amp;</t>
  </si>
  <si>
    <t>=IF(H9="Topic",</t>
  </si>
  <si>
    <t>[LIBRARY BEING LEARNED]</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</si>
  <si>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 | " &amp;</t>
  </si>
  <si>
    <t>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</si>
  <si>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</si>
  <si>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</si>
  <si>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</si>
  <si>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This: " &amp; IF(F9&gt;=10, "Monetary values formatted with '$', commas, 2 decimals using f-strings.", "Print raw numeric outputs directly without forcing custom monetary formatting structures yet.")&amp;" | " &amp;</t>
  </si>
  <si>
    <t>Include Key Takeaway section at the end | " &amp; IF(AJ9&lt;&gt;"", AJ9, "") &amp;" | " &amp;</t>
  </si>
  <si>
    <t>This: " &amp; IF(F9&gt;=10, "You MUST format output strings elegantly using f-strings natively.", "CRITICAL PROHIBITION: Do NOT use f-strings (f""..."") or any advanced text formatting methods yet. Use basic print() with multiple arguments separated by commas for text labels and variables.")&amp;" | " &amp;</t>
  </si>
  <si>
    <t>End your entire response EXACTLY with this markdown string (ensure all code blocks are closed before it): ⚡ *Coding5s System — Learn Programming by Writing Code* | ",</t>
  </si>
  <si>
    <t>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</si>
  <si>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</si>
  <si>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</si>
  <si>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</si>
  <si>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</si>
  <si>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</si>
  <si>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</si>
  <si>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</si>
  <si>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</si>
  <si>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</si>
  <si>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[ARCHITECTURAL CONSTRAINTS]</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</si>
  <si>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</si>
  <si>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</si>
  <si>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</si>
  <si>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</si>
  <si>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</si>
  <si>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</si>
  <si>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</si>
  <si>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</si>
  <si>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</si>
  <si>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t>
  </si>
  <si>
    <t>"&amp;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</si>
  <si>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</si>
  <si>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</si>
  <si>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</si>
  <si>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</si>
  <si>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</si>
  <si>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</si>
  <si>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</si>
  <si>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</si>
  <si>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[ARCHITECTURE &amp; COMMENT RULE - STRICT]</t>
  </si>
  <si>
    <t>Handle real-world data safely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</si>
  <si>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</si>
  <si>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</si>
  <si>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</si>
  <si>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</si>
  <si>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</si>
  <si>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</si>
  <si>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</si>
  <si>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</si>
  <si>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MUST be between " &amp; IF(G9="Beginner", "25–40", IF(G9="Intermediate", "30–60", "40–100")) &amp; " lines (STRICT) - Multi-step flow " &amp; IF(G9&lt;&gt;"Advanced", "- NO classes ", "") &amp; " | " &amp;</t>
  </si>
  <si>
    <t>" &amp; IF(G9="Beginner", "Avoid functions unless required. Use flat, linear scripts. ", IF(G9="Intermediate", "MUST use modular functions with a main() entry point. ", "MUST use well-structured modular functions with a main() entry point. " )) &amp; " | " &amp;</t>
  </si>
  <si>
    <t>Target Library:</t>
  </si>
  <si>
    <t>" &amp; $I$3 &amp; " | " &amp;</t>
  </si>
  <si>
    <t>Teach through a practical " &amp; $I$2 &amp; " - " &amp; $I$3 &amp; " project following the micro-learning methodology, acting as a supportive tutor, creating a project about  " &amp; I9 &amp; " | " &amp;</t>
  </si>
  <si>
    <t>updated</t>
  </si>
  <si>
    <t>Mentor Stage 1</t>
  </si>
  <si>
    <t>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t>
  </si>
  <si>
    <t>IF an external configuration or data file is needed, include: 1. Short instructional sentence 2. File content in markdown code block 3. Place it strictly BEFORE the main code. | " &amp;</t>
  </si>
  <si>
    <t>New Programming Language - Paradigm &amp; Ecosystem - Rules Generator Prompt</t>
  </si>
  <si>
    <t>Documentation: New Programming Language - Paradigm &amp; Ecosystem - Rules Generator Prompt</t>
  </si>
  <si>
    <t>Stage 2</t>
  </si>
  <si>
    <t>The Immutable Kernel</t>
  </si>
  <si>
    <t>Careless " &amp; $I$2 &amp; " Developer</t>
  </si>
  <si>
    <t>Generate debugging challenges in " &amp; $I$2 &amp; " |</t>
  </si>
  <si>
    <t>" &amp; I9 &amp; " |</t>
  </si>
  <si>
    <t>" &amp; G9 &amp; " |</t>
  </si>
  <si>
    <t>" &amp; D9 &amp; " challenges</t>
  </si>
  <si>
    <t>Use correct loaders and enforce encoding='utf-8' and newline='' when applicable</t>
  </si>
  <si>
    <t>Explicit casting required before comparisons or calculations</t>
  </si>
  <si>
    <t>[ENV USAGE RULE]</t>
  </si>
  <si>
    <t>Environment variables may be used but bugs MUST exist ONLY in code logic, NEVER in config files</t>
  </si>
  <si>
    <t>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t>
  </si>
  <si>
    <t>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</si>
  <si>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</si>
  <si>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</si>
  <si>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</si>
  <si>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</si>
  <si>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</si>
  <si>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</si>
  <si>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</si>
  <si>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</si>
  <si>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</si>
  <si>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</si>
  <si>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</si>
  <si>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</si>
  <si>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</si>
  <si>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</si>
  <si>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</si>
  <si>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</si>
  <si>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</si>
  <si>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t>
  </si>
  <si>
    <t>Code must fail due to syntax errors, runtime exceptions, or produce incorrect output</t>
  </si>
  <si>
    <t>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</si>
  <si>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</si>
  <si>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</si>
  <si>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</si>
  <si>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</si>
  <si>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</si>
  <si>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</si>
  <si>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</si>
  <si>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</si>
  <si>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</si>
  <si>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</si>
  <si>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</si>
  <si>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</si>
  <si>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</si>
  <si>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</si>
  <si>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</si>
  <si>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</si>
  <si>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</si>
  <si>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</si>
  <si>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</si>
  <si>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</si>
  <si>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</si>
  <si>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</si>
  <si>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</si>
  <si>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Include 5–7 bugs. You MUST use a mix of Syntax errors (like typos, missing brackets, indentation errors), Logic errors (produces wrong output), AND common Runtime Exceptions (e.g., TypeError, ValueError, ZeroDivisionError, IndexError, KeyError). Simulate real mistakes a junior developer would make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</si>
  <si>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</si>
  <si>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</si>
  <si>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</si>
  <si>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</si>
  <si>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</si>
  <si>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</si>
  <si>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</si>
  <si>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</si>
  <si>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</si>
  <si>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</si>
  <si>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</si>
  <si>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</si>
  <si>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Code MUST be explicitly PEP 8 compliant. Use descriptive snake_case for variables and functions. NEVER use mutable default arguments (like lists or dicts) in function definitions; use None instead. Ensure proper indentation (4 spaces). Emphasize readability and 'The Zen of Python'.</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</si>
  <si>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</si>
  <si>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</si>
  <si>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</si>
  <si>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</si>
  <si>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</si>
  <si>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</si>
  <si>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</si>
  <si>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</si>
  <si>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</si>
  <si>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</si>
  <si>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</si>
  <si>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[PROGRAMMING LANGUAGE RULE]</t>
  </si>
  <si>
    <t>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t>
  </si>
  <si>
    <t>[FILE PROCESSING RULE]</t>
  </si>
  <si>
    <t>Use standard native libraries for " &amp; $I$2 &amp; " to parse the file type correctly. Adapt code to data structure (tabular, key-value, etc.). Dataset exists locally with original filename.</t>
  </si>
  <si>
    <t>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</si>
  <si>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</si>
  <si>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</si>
  <si>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</si>
  <si>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</si>
  <si>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</si>
  <si>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</si>
  <si>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</si>
  <si>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</si>
  <si>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</si>
  <si>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</si>
  <si>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</si>
  <si>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</si>
  <si>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</si>
  <si>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</si>
  <si>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</si>
  <si>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</si>
  <si>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</si>
  <si>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</si>
  <si>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</si>
  <si>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</si>
  <si>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</si>
  <si>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</si>
  <si>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</si>
  <si>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</si>
  <si>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</si>
  <si>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</si>
  <si>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</si>
  <si>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</si>
  <si>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</si>
  <si>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MUST be between " &amp; IF(G9="Beginner", "25–40", IF(G9="Intermediate", "30–60", "40–100")) &amp; " lines of EXECUTABLE code (STRICT: Do NOT count comments or TODOs) - Multi-step flow - Max 2 functions - NO OOP / classes</t>
  </si>
  <si>
    <t>Use standard native libraries for " &amp; $I$2 &amp; " to parse the file type correctly. Adapt code to data structure. Dataset exists locally with original filename.</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</si>
  <si>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</si>
  <si>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</si>
  <si>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</si>
  <si>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</si>
  <si>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</si>
  <si>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</si>
  <si>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</si>
  <si>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</si>
  <si>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</si>
  <si>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</si>
  <si>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</si>
  <si>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</si>
  <si>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</si>
  <si>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</si>
  <si>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</si>
  <si>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</si>
  <si>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</si>
  <si>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</si>
  <si>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</si>
  <si>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</si>
  <si>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</si>
  <si>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</si>
  <si>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</si>
  <si>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</si>
  <si>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</si>
  <si>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</si>
  <si>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</si>
  <si>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</si>
  <si>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</si>
  <si>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</si>
  <si>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</si>
  <si>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</si>
  <si>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Explicit casting required before calculations</t>
  </si>
  <si>
    <t>Handle missing, malformed, or inconsistent data safely</t>
  </si>
  <si>
    <t>Normalize boolean values before comparison</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</si>
  <si>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</si>
  <si>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</si>
  <si>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</si>
  <si>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</si>
  <si>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</si>
  <si>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</si>
  <si>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</si>
  <si>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</si>
  <si>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</si>
  <si>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</si>
  <si>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</si>
  <si>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</si>
  <si>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</si>
  <si>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</si>
  <si>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</si>
  <si>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Rule: " &amp; IF(G9="Beginner", "Do NOT use functions unless absolutely required by the concept. Use linear scripts. ", IF(G9="Intermediate", "Functions are optional. Use them only if they improve clarity. Avoid over-engineering. ", "Use functions appropriately but code can still be messy. " )) &amp; " | " &amp;</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</si>
  <si>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</si>
  <si>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</si>
  <si>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</si>
  <si>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</si>
  <si>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</si>
  <si>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</si>
  <si>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</si>
  <si>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</si>
  <si>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</si>
  <si>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</si>
  <si>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</si>
  <si>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</si>
  <si>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</si>
  <si>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</si>
  <si>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Rule: " &amp; IF(G9="Beginner", "Avoid functions unless required. ", IF(G9="Intermediate", "Functions optional. ", "Use 2–4 functions but code can still be messy. " )) &amp; " | " &amp;</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</si>
  <si>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</si>
  <si>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</si>
  <si>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</si>
  <si>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</si>
  <si>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</si>
  <si>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</si>
  <si>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</si>
  <si>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</si>
  <si>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</si>
  <si>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</si>
  <si>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</si>
  <si>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</si>
  <si>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</si>
  <si>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</si>
  <si>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</si>
  <si>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</si>
  <si>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</si>
  <si>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</si>
  <si>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</si>
  <si>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</si>
  <si>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</si>
  <si>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</si>
  <si>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</si>
  <si>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</si>
  <si>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</si>
  <si>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</si>
  <si>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</si>
  <si>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</si>
  <si>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</si>
  <si>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</si>
  <si>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</si>
  <si>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</si>
  <si>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</si>
  <si>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</si>
  <si>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</si>
  <si>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</si>
  <si>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</si>
  <si>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</si>
  <si>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</si>
  <si>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</si>
  <si>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Use correct loaders and enforce encoding='utf-8' and newline=' when applicable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</si>
  <si>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</si>
  <si>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</si>
  <si>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</si>
  <si>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</si>
  <si>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</si>
  <si>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</si>
  <si>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</si>
  <si>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</si>
  <si>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</si>
  <si>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</si>
  <si>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</si>
  <si>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</si>
  <si>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</si>
  <si>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</si>
  <si>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</si>
  <si>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</si>
  <si>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</si>
  <si>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</si>
  <si>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</si>
  <si>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</si>
  <si>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</si>
  <si>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</si>
  <si>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</si>
  <si>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</si>
  <si>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</si>
  <si>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</si>
  <si>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</si>
  <si>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</si>
  <si>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</si>
  <si>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</si>
  <si>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</si>
  <si>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</si>
  <si>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</si>
  <si>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</si>
  <si>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</si>
  <si>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</si>
  <si>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</si>
  <si>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</si>
  <si>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</si>
  <si>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</si>
  <si>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</si>
  <si>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</si>
  <si>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</si>
  <si>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</si>
  <si>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</si>
  <si>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</si>
  <si>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</si>
  <si>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</si>
  <si>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</si>
  <si>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</si>
  <si>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</si>
  <si>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</si>
  <si>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</si>
  <si>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</si>
  <si>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</si>
  <si>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</si>
  <si>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</si>
  <si>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Single logical flow (no unnecessary complexity) - CRITICAL PROHIBITION: Do NOT include 'if __name__ == '__main__':' blocks or 'pass' statements. Write scripts as flat, top-level execution flows.</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</si>
  <si>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</si>
  <si>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</si>
  <si>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</si>
  <si>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</si>
  <si>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</si>
  <si>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</si>
  <si>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</si>
  <si>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</si>
  <si>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</si>
  <si>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</si>
  <si>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</si>
  <si>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</si>
  <si>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</si>
  <si>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</si>
  <si>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</si>
  <si>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</si>
  <si>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</si>
  <si>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</si>
  <si>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</si>
  <si>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</si>
  <si>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</si>
  <si>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</si>
  <si>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</si>
  <si>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</si>
  <si>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</si>
  <si>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</si>
  <si>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</si>
  <si>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</si>
  <si>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</si>
  <si>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</si>
  <si>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</si>
  <si>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</si>
  <si>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</si>
  <si>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</si>
  <si>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</si>
  <si>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</si>
  <si>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</si>
  <si>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</si>
  <si>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</si>
  <si>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</si>
  <si>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</si>
  <si>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</si>
  <si>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</si>
  <si>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</si>
  <si>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</si>
  <si>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</si>
  <si>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</si>
  <si>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</si>
  <si>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</si>
  <si>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</si>
  <si>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</si>
  <si>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</si>
  <si>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</si>
  <si>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</si>
  <si>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</si>
  <si>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</si>
  <si>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</si>
  <si>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</si>
  <si>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</si>
  <si>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</si>
  <si>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</si>
  <si>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</si>
  <si>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</si>
  <si>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</si>
  <si>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</si>
  <si>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</si>
  <si>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</si>
  <si>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</si>
  <si>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</si>
  <si>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</si>
  <si>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</si>
  <si>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</si>
  <si>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</si>
  <si>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</si>
  <si>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</si>
  <si>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u</t>
  </si>
  <si>
    <t>Execute basic HTTP GET requests using requests.get() to retrieve web page content and evaluate the HTTP .status_code to confirm a successful connection.</t>
  </si>
  <si>
    <t>Executing Basic GET Requests (requests.get, .status_code)</t>
  </si>
  <si>
    <t>Extract and interpret server response data by accessing the .text attribute for string payloads and the .content attribute for raw bytes using the requests library.</t>
  </si>
  <si>
    <t>Reading Response Content (.text, .content)</t>
  </si>
  <si>
    <t>Parse incoming JSON formatted HTTP responses directly into Python dictionary objects utilizing the built-in .json() method from the requests library.</t>
  </si>
  <si>
    <t>Parsing JSON Responses (.json())</t>
  </si>
  <si>
    <t>Construct dynamic URLs by passing a Python dictionary to the params argument in requests.get() to properly encode query string parameters.</t>
  </si>
  <si>
    <t>Passing URL Query Parameters (params dictionary)</t>
  </si>
  <si>
    <t>Examine HTTP response metadata by accessing .headers for server information, .url to verify the final requested endpoint, and .encoding to check text decoding.</t>
  </si>
  <si>
    <t>Inspecting Response Metadata (.headers, .url, .encoding)</t>
  </si>
  <si>
    <t>Yes</t>
  </si>
  <si>
    <t>Build a simple API data fetching application that takes user search queries as input, processes them by passing them as URL parameters in a GET request to parse the JSON response, and outputs a formatted list of results to the user.</t>
  </si>
  <si>
    <t>Simple API Data Fetcher (Combining GET, Params, and JSON parsing)</t>
  </si>
  <si>
    <t>Securely manage API keys and credentials by loading environment variables from a .env file using load_dotenv() and retrieving them in Python via os.getenv().</t>
  </si>
  <si>
    <t>Introduction to python-dotenv (load_dotenv, os.getenv)</t>
  </si>
  <si>
    <t>Modify default HTTP headers by passing a dictionary to the headers parameter in requests to set custom User-Agents or specify accepted content types.</t>
  </si>
  <si>
    <t>Customizing Request Headers (headers dictionary)</t>
  </si>
  <si>
    <t>Authenticate HTTP requests by providing a tuple containing a username and password to the auth parameter to access protected basic-auth API endpoints.</t>
  </si>
  <si>
    <t>Implementing Basic Authentication (auth tuple)</t>
  </si>
  <si>
    <t>Authorize API access by injecting a Bearer token into the Authorization header using a custom headers dictionary within the requests library.</t>
  </si>
  <si>
    <t>Implementing Bearer Token Authentication (via custom headers)</t>
  </si>
  <si>
    <t>Implement automatic error checking by invoking the raise_for_status() method on a response object to throw an exception for unsuccessful HTTP status codes.</t>
  </si>
  <si>
    <t>Handling HTTP Errors Automatically (raise_for_status())</t>
  </si>
  <si>
    <t>Build a secure API client that takes credentials from a .env file as input, processes the connection by authenticating via custom headers and handling HTTP errors automatically, and outputs the protected data fetched securely.</t>
  </si>
  <si>
    <t>Secure API Client (Dotenv integration, Auth, Headers, Error Handling)</t>
  </si>
  <si>
    <t>Submit standard HTML form-encoded data to a server by passing a dictionary payload to the data parameter within a requests.post() call.</t>
  </si>
  <si>
    <t>Sending Form-Encoded Data with POST (data parameter)</t>
  </si>
  <si>
    <t>Transmit complex data structures to REST APIs by utilizing the json parameter in requests.post() to automatically serialize Python dictionaries into JSON payloads.</t>
  </si>
  <si>
    <t>Sending JSON Data with POST (json parameter)</t>
  </si>
  <si>
    <t>Manage server-side resources by executing requests.put() to replace data, requests.patch() for partial updates, and requests.delete() to remove specified endpoints.</t>
  </si>
  <si>
    <t>Modifying and Deleting Resources (requests.put, .patch, .delete)</t>
  </si>
  <si>
    <t>Debug outward-bound HTTP traffic by inspecting the .request.headers and .request.body attributes of a response object to verify exactly what the requests library sent to the server.</t>
  </si>
  <si>
    <t>Inspecting the Prepared Request (response.request.headers, .body)</t>
  </si>
  <si>
    <t>Prevent network hangs by defining maximum connection and read durations using the timeout parameter in requests to ensure scripts fail gracefully during high latency.</t>
  </si>
  <si>
    <t>Enforcing Request Timeouts (timeout parameter)</t>
  </si>
  <si>
    <t>Build a CRUD operations manager application that takes user commands as input to create, read, update, or delete records, processes these commands using corresponding HTTP methods with enforced timeouts, and outputs the confirmation status of each operation.</t>
  </si>
  <si>
    <t>CRUD Operations Manager (Full GET/POST/PUT/DELETE cycle with timeouts)</t>
  </si>
  <si>
    <t>Control URL redirection behavior by toggling the allow_redirects parameter and trace the routing path by iterating through the response.history list in the requests library.</t>
  </si>
  <si>
    <t>Managing HTTP Redirects (allow_redirects, response.history)</t>
  </si>
  <si>
    <t>Optimize memory usage when downloading large binary files by setting stream=True and iterating over the response using .iter_content() to write data in discrete chunk sizes.</t>
  </si>
  <si>
    <t>Downloading Large/Binary Files in Chunks (iter_content)</t>
  </si>
  <si>
    <t>Execute multipart file uploads by passing a dictionary mapping filenames to opened file objects via the files parameter in a requests.post() request.</t>
  </si>
  <si>
    <t>Uploading Single Files (files parameter with open())</t>
  </si>
  <si>
    <t>Construct complex multipart/form-data requests by simultaneously supplying multiple file objects to the files parameter alongside string key-value pairs in the data parameter.</t>
  </si>
  <si>
    <t>Uploading Multiple Files and Form Data Simultaneously</t>
  </si>
  <si>
    <t>Control SSL certificate validation during HTTPS requests by setting the verify parameter to a custom Certificate Authority bundle path or disabling it entirely for local testing environments.</t>
  </si>
  <si>
    <t>Managing SSL Certificate Verification (verify parameter)</t>
  </si>
  <si>
    <t>Build a robust file transfer utility that takes local file paths or remote URLs as input, processes large transfers utilizing chunked streaming and multipart uploads with explicit SSL verification control, and outputs progress indicators and final transfer statuses.</t>
  </si>
  <si>
    <t>Robust File Transfer Utility (Chunked downloads, multipart uploads, SSL control)</t>
  </si>
  <si>
    <t>Optimize network performance by initializing a requests.Session() object to leverage HTTP connection pooling and persist parameters across multiple requests to the same host.</t>
  </si>
  <si>
    <t>Initializing Connection Pooling and State (requests.Session())</t>
  </si>
  <si>
    <t>Streamline API interactions by setting session-level default headers and authentication mechanisms on a requests.Session() instance to automatically apply them to all outbound requests.</t>
  </si>
  <si>
    <t>Configuring Session-Level Defaults (Default headers, default auth)</t>
  </si>
  <si>
    <t>Manipulate and persist HTTP cookies across requests by extracting them from response.cookies, passing them via the cookies parameter, or utilizing a RequestsCookieJar within a session.</t>
  </si>
  <si>
    <t>Managing Cookies (cookies param, response.cookies, RequestsCookieJar)</t>
  </si>
  <si>
    <t>Route outward HTTP and HTTPS traffic through intermediate proxy servers by passing a protocol-mapped dictionary to the proxies parameter in the requests library.</t>
  </si>
  <si>
    <t>Routing Traffic through Proxies (proxies dictionary)</t>
  </si>
  <si>
    <t>Implement advanced error handling architectures by catching specific requests.exceptions such as Timeout or ConnectionError to execute targeted fallback logic instead of generic failures.</t>
  </si>
  <si>
    <t>Catching Specific Network Exceptions (Timeout, ConnectionError, RequestException)</t>
  </si>
  <si>
    <t>Build a stateful API crawler application that takes an initial seed URL as input, processes the navigation of paginated endpoints utilizing a persistent Session with rotating proxies and resilient exception handling, and outputs an aggregated dataset of extracted resources.</t>
  </si>
  <si>
    <t>Stateful API Crawler (Sessions, persistence, proxy rotation, resilient error catching)</t>
  </si>
  <si>
    <t>Consume Server-Sent Events (SSE) or continuous text streams by enabling stream=True and processing the incoming data line-by-line using the .iter_lines() method.</t>
  </si>
  <si>
    <t>Streaming Text Lines and SSE (stream=True, .iter_lines())</t>
  </si>
  <si>
    <t>Automate post-request processing logic by attaching custom Python callback functions to the hooks parameter to implicitly modify or log response objects immediately upon receipt.</t>
  </si>
  <si>
    <t>Attaching Callbacks to Responses (hooks={'response': callback_function})</t>
  </si>
  <si>
    <t>Construct highly customized HTTP requests by manually instantiating a Request object, compiling it using Session.prepare_request(), and executing it via Session.send() for absolute control over network payloads.</t>
  </si>
  <si>
    <t>Manual Request Crafting (Request, Session.prepare_request, Session.send)</t>
  </si>
  <si>
    <t>Engineer resilient HTTP clients by configuring automatic procedural retries for transient failures using urllib3.util.Retry, wrapping it in an HTTPAdapter, and mounting it to a specific URL prefix via session.mount().</t>
  </si>
  <si>
    <t>Configuring Procedural Retries (urllib3.util.Retry, HTTPAdapter, session.mount)</t>
  </si>
  <si>
    <t>Bypass standard requests data parsing by setting stream=True and accessing the underlying urllib3 socket response directly via response.raw, utilizing decode_content to handle gzip/deflate decompression manually.</t>
  </si>
  <si>
    <t>Accessing the Underlying Socket Response (response.raw, decode_content)</t>
  </si>
  <si>
    <t>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t>
  </si>
  <si>
    <t>Resilient Data Pipeline (Prepared requests, event hooks, retries, and streaming streams)</t>
  </si>
  <si>
    <t>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</si>
</sst>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s>
  <fills count="33">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28">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7" xfId="0" applyFont="1" applyFill="1" applyBorder="1" applyAlignment="1">
      <alignment vertical="center" wrapText="1"/>
    </xf>
    <xf numFmtId="0" fontId="2" fillId="2" borderId="18" xfId="0" applyFont="1" applyFill="1" applyBorder="1" applyAlignment="1">
      <alignment vertical="center" wrapText="1"/>
    </xf>
    <xf numFmtId="0" fontId="0" fillId="4" borderId="1" xfId="0" applyFill="1" applyBorder="1"/>
    <xf numFmtId="0" fontId="14" fillId="8" borderId="19" xfId="0" applyFont="1" applyFill="1" applyBorder="1" applyAlignment="1">
      <alignment vertical="center"/>
    </xf>
    <xf numFmtId="0" fontId="14" fillId="9" borderId="20"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1" xfId="0" applyFont="1" applyFill="1" applyBorder="1" applyAlignment="1">
      <alignment horizontal="center" vertical="center"/>
    </xf>
    <xf numFmtId="0" fontId="0" fillId="12" borderId="21" xfId="0" applyFill="1" applyBorder="1" applyAlignment="1">
      <alignment horizontal="left"/>
    </xf>
    <xf numFmtId="0" fontId="15" fillId="13" borderId="1" xfId="0" applyFont="1" applyFill="1" applyBorder="1" applyAlignment="1">
      <alignment vertical="center"/>
    </xf>
    <xf numFmtId="0" fontId="15" fillId="13" borderId="21" xfId="0" applyFont="1" applyFill="1" applyBorder="1" applyAlignment="1">
      <alignment vertical="center"/>
    </xf>
    <xf numFmtId="0" fontId="15" fillId="14" borderId="22" xfId="0" applyFont="1" applyFill="1" applyBorder="1" applyAlignment="1">
      <alignment vertical="center"/>
    </xf>
    <xf numFmtId="0" fontId="15" fillId="13" borderId="23" xfId="0" applyFont="1" applyFill="1" applyBorder="1" applyAlignment="1">
      <alignment vertical="center"/>
    </xf>
    <xf numFmtId="0" fontId="0" fillId="0" borderId="21" xfId="0" applyBorder="1"/>
    <xf numFmtId="0" fontId="0" fillId="13" borderId="21" xfId="0" applyFill="1" applyBorder="1"/>
    <xf numFmtId="0" fontId="0" fillId="0" borderId="1" xfId="0" applyBorder="1"/>
    <xf numFmtId="0" fontId="5" fillId="4" borderId="1" xfId="0" applyFont="1" applyFill="1" applyBorder="1"/>
    <xf numFmtId="0" fontId="0" fillId="15" borderId="1" xfId="0" applyFill="1" applyBorder="1"/>
    <xf numFmtId="0" fontId="15" fillId="4" borderId="21" xfId="0" applyFont="1" applyFill="1" applyBorder="1" applyAlignment="1">
      <alignment horizontal="center" vertical="center"/>
    </xf>
    <xf numFmtId="0" fontId="0" fillId="16" borderId="21" xfId="0" applyFill="1" applyBorder="1" applyAlignment="1">
      <alignment horizontal="left"/>
    </xf>
    <xf numFmtId="0" fontId="15" fillId="0" borderId="1" xfId="0" applyFont="1" applyBorder="1" applyAlignment="1">
      <alignment vertical="center"/>
    </xf>
    <xf numFmtId="0" fontId="15" fillId="0" borderId="21" xfId="0" applyFont="1" applyBorder="1" applyAlignment="1">
      <alignment vertical="center"/>
    </xf>
    <xf numFmtId="0" fontId="15" fillId="17" borderId="22" xfId="0" applyFont="1" applyFill="1" applyBorder="1" applyAlignment="1">
      <alignment vertical="center"/>
    </xf>
    <xf numFmtId="0" fontId="15" fillId="0" borderId="23" xfId="0" applyFont="1" applyBorder="1" applyAlignment="1">
      <alignment vertical="center"/>
    </xf>
    <xf numFmtId="0" fontId="15" fillId="0" borderId="1" xfId="0" applyFont="1" applyBorder="1" applyAlignment="1">
      <alignment vertical="center" wrapText="1"/>
    </xf>
    <xf numFmtId="0" fontId="15" fillId="0" borderId="21" xfId="0" applyFont="1" applyBorder="1" applyAlignment="1">
      <alignment vertical="center" wrapText="1"/>
    </xf>
    <xf numFmtId="0" fontId="15" fillId="13" borderId="1" xfId="0" applyFont="1" applyFill="1" applyBorder="1" applyAlignment="1">
      <alignment vertical="center" wrapText="1"/>
    </xf>
    <xf numFmtId="0" fontId="15" fillId="13" borderId="21" xfId="0" applyFont="1" applyFill="1" applyBorder="1" applyAlignment="1">
      <alignment vertical="center" wrapText="1"/>
    </xf>
    <xf numFmtId="0" fontId="0" fillId="13" borderId="1" xfId="0" applyFill="1" applyBorder="1"/>
    <xf numFmtId="0" fontId="15" fillId="4" borderId="25" xfId="0" applyFont="1" applyFill="1" applyBorder="1" applyAlignment="1">
      <alignment horizontal="center" vertical="center"/>
    </xf>
    <xf numFmtId="0" fontId="0" fillId="0" borderId="25" xfId="0" applyBorder="1"/>
    <xf numFmtId="0" fontId="15" fillId="17" borderId="26" xfId="0" applyFont="1" applyFill="1" applyBorder="1" applyAlignment="1">
      <alignment vertical="center"/>
    </xf>
    <xf numFmtId="0" fontId="15" fillId="0" borderId="27" xfId="0" applyFont="1" applyBorder="1" applyAlignment="1">
      <alignment vertical="center"/>
    </xf>
    <xf numFmtId="0" fontId="0" fillId="18" borderId="0" xfId="0" applyFill="1"/>
    <xf numFmtId="0" fontId="0" fillId="0" borderId="0" xfId="0" applyAlignment="1">
      <alignment horizontal="left"/>
    </xf>
    <xf numFmtId="0" fontId="2" fillId="2" borderId="16" xfId="0" applyFont="1" applyFill="1" applyBorder="1" applyAlignment="1">
      <alignment vertical="center"/>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4"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2" xfId="0" applyFill="1" applyBorder="1"/>
    <xf numFmtId="0" fontId="2" fillId="2" borderId="28" xfId="0" applyFont="1" applyFill="1" applyBorder="1" applyAlignment="1">
      <alignment horizontal="left"/>
    </xf>
    <xf numFmtId="0" fontId="2" fillId="2" borderId="29" xfId="0" applyFont="1" applyFill="1" applyBorder="1" applyAlignment="1">
      <alignment horizontal="left"/>
    </xf>
    <xf numFmtId="0" fontId="15" fillId="32" borderId="21" xfId="0" applyFont="1" applyFill="1" applyBorder="1" applyAlignment="1">
      <alignment vertical="center"/>
    </xf>
    <xf numFmtId="0" fontId="15" fillId="32" borderId="24"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1" xfId="0" applyFont="1" applyBorder="1"/>
    <xf numFmtId="0" fontId="0" fillId="0" borderId="23" xfId="0" applyBorder="1"/>
    <xf numFmtId="0" fontId="0" fillId="0" borderId="30" xfId="0" applyBorder="1"/>
    <xf numFmtId="0" fontId="1" fillId="0" borderId="31" xfId="0" applyFont="1" applyBorder="1"/>
    <xf numFmtId="0" fontId="0" fillId="0" borderId="32" xfId="0" applyBorder="1"/>
    <xf numFmtId="0" fontId="0" fillId="0" borderId="31" xfId="0" applyBorder="1"/>
    <xf numFmtId="0" fontId="0" fillId="0" borderId="33" xfId="0" applyBorder="1"/>
    <xf numFmtId="0" fontId="0" fillId="0" borderId="34" xfId="0" applyBorder="1"/>
    <xf numFmtId="0" fontId="0" fillId="0" borderId="35"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6">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91</xdr:row>
      <xdr:rowOff>19050</xdr:rowOff>
    </xdr:to>
    <xdr:sp macro="" textlink="">
      <xdr:nvSpPr>
        <xdr:cNvPr id="2" name="TextBox 1">
          <a:extLst>
            <a:ext uri="{FF2B5EF4-FFF2-40B4-BE49-F238E27FC236}">
              <a16:creationId xmlns:a16="http://schemas.microsoft.com/office/drawing/2014/main" id="{89347AAE-F02A-4CF7-33CC-D917727E0566}"/>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80</xdr:row>
      <xdr:rowOff>76200</xdr:rowOff>
    </xdr:to>
    <xdr:sp macro="" textlink="">
      <xdr:nvSpPr>
        <xdr:cNvPr id="3" name="TextBox 2">
          <a:extLst>
            <a:ext uri="{FF2B5EF4-FFF2-40B4-BE49-F238E27FC236}">
              <a16:creationId xmlns:a16="http://schemas.microsoft.com/office/drawing/2014/main" id="{09C8D178-2B4E-4299-B7A0-0F9254F1A55C}"/>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 &amp; $I$2 &amp; " I2 Learning Now Name</a:t>
          </a:r>
        </a:p>
        <a:p>
          <a:r>
            <a:rPr lang="en-US" sz="1100"/>
            <a:t>" &amp; $I$3 &amp; " 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C37E7C01-0475-45E4-9D25-98BF95AB7F42}"/>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7D9966AC-210A-4BE8-8481-C38CDD9DFCCE}"/>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65E9E2DC-F1B9-46DB-91F7-2A8C2B794FF4}"/>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209859B9-C6B8-4C4F-B3BF-A2C1EFAE93DE}"/>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87</xdr:row>
      <xdr:rowOff>19050</xdr:rowOff>
    </xdr:to>
    <xdr:sp macro="" textlink="">
      <xdr:nvSpPr>
        <xdr:cNvPr id="2" name="TextBox 1">
          <a:extLst>
            <a:ext uri="{FF2B5EF4-FFF2-40B4-BE49-F238E27FC236}">
              <a16:creationId xmlns:a16="http://schemas.microsoft.com/office/drawing/2014/main" id="{4AD5BC97-9C2C-4EE7-A475-F8CF9155C241}"/>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77</xdr:row>
      <xdr:rowOff>76200</xdr:rowOff>
    </xdr:to>
    <xdr:sp macro="" textlink="">
      <xdr:nvSpPr>
        <xdr:cNvPr id="3" name="TextBox 2">
          <a:extLst>
            <a:ext uri="{FF2B5EF4-FFF2-40B4-BE49-F238E27FC236}">
              <a16:creationId xmlns:a16="http://schemas.microsoft.com/office/drawing/2014/main" id="{4A17728F-E665-44B4-9EAF-84C5BB033DBA}"/>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302AD371-CACC-409D-A45D-E0EE836B886B}"/>
            </a:ext>
          </a:extLst>
        </xdr:cNvPr>
        <xdr:cNvSpPr txBox="1"/>
      </xdr:nvSpPr>
      <xdr:spPr>
        <a:xfrm>
          <a:off x="13839825"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C0990D3E-2C8A-4CBB-BED3-5C5F88E80C63}"/>
            </a:ext>
          </a:extLst>
        </xdr:cNvPr>
        <xdr:cNvSpPr txBox="1"/>
      </xdr:nvSpPr>
      <xdr:spPr>
        <a:xfrm>
          <a:off x="19888200"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Normal="100" workbookViewId="0">
      <selection activeCell="B7" sqref="B7"/>
    </sheetView>
  </sheetViews>
  <sheetFormatPr defaultColWidth="11.42578125" defaultRowHeight="15"/>
  <cols>
    <col min="1" max="1" width="11.28515625" bestFit="1" customWidth="1"/>
    <col min="2" max="2" width="15.7109375" customWidth="1"/>
    <col min="3" max="3" width="5.7109375"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97"/>
      <c r="B1" s="1"/>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Execute basic HTTP GET requests using requests.get() to retrieve web page content and evaluate the HTTP .status_code to confirm a successful connection.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Executing Basic GET Requests (requests.get, .status_code)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97" t="s">
        <v>234</v>
      </c>
      <c r="B2" s="1"/>
      <c r="C2" s="2"/>
      <c r="D2" s="16"/>
      <c r="E2" s="100" t="str">
        <f>IF(E1="Stage 1","k9:L200",IF(E1="Stage 2","N9:O200",IF(E1="Stage 3","Q9:R200",IF(E1="Stage 4","T9:U200",IF(E1="Stage 5","W9:X200","Stage Incorrecta")))))</f>
        <v>k9:L200</v>
      </c>
      <c r="F2" s="18" t="s">
        <v>8</v>
      </c>
      <c r="G2" s="19"/>
      <c r="H2" s="19"/>
      <c r="I2" s="16" t="s">
        <v>9</v>
      </c>
      <c r="J2" s="16"/>
      <c r="K2" s="123" t="s">
        <v>10</v>
      </c>
      <c r="L2" s="124"/>
      <c r="M2" s="125"/>
      <c r="N2" s="124" t="s">
        <v>11</v>
      </c>
      <c r="O2" s="124"/>
      <c r="P2" s="124"/>
      <c r="Q2" s="126" t="s">
        <v>12</v>
      </c>
      <c r="R2" s="124"/>
      <c r="S2" s="127"/>
      <c r="T2" s="124" t="s">
        <v>13</v>
      </c>
      <c r="U2" s="124"/>
      <c r="V2" s="124"/>
      <c r="W2" s="126" t="s">
        <v>14</v>
      </c>
      <c r="X2" s="124"/>
      <c r="Y2" s="127"/>
      <c r="Z2" s="1"/>
      <c r="AA2" s="1"/>
      <c r="AB2" s="1"/>
      <c r="AC2" s="1"/>
      <c r="AD2" s="1"/>
      <c r="AE2" s="15"/>
      <c r="AF2" s="14"/>
      <c r="AG2" s="14"/>
      <c r="AH2" s="15"/>
      <c r="AI2" s="15"/>
      <c r="AJ2" s="15"/>
      <c r="AK2" s="15"/>
      <c r="AL2" s="15"/>
    </row>
    <row r="3" spans="1:39" ht="26.25">
      <c r="A3" s="97" t="str">
        <f>""</f>
        <v/>
      </c>
      <c r="B3" s="1"/>
      <c r="C3" s="2" t="s">
        <v>15</v>
      </c>
      <c r="D3" s="2"/>
      <c r="E3" s="101">
        <f>COUNTA(E9:E200)-E4</f>
        <v>11</v>
      </c>
      <c r="F3" s="98" t="s">
        <v>290</v>
      </c>
      <c r="G3" s="2"/>
      <c r="H3" s="2"/>
      <c r="I3" s="16" t="s">
        <v>730</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97"/>
      <c r="B4" s="1"/>
      <c r="C4" s="2" t="s">
        <v>16</v>
      </c>
      <c r="D4" s="2"/>
      <c r="E4" s="102">
        <f>COUNTIF($E$9:$E$200,"No")</f>
        <v>25</v>
      </c>
      <c r="F4" s="99"/>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97"/>
      <c r="B5" s="32" t="s">
        <v>17</v>
      </c>
      <c r="C5" s="32" t="s">
        <v>18</v>
      </c>
      <c r="D5" s="2"/>
      <c r="E5" s="32" t="s">
        <v>553</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97"/>
      <c r="B6" s="34" t="s">
        <v>56</v>
      </c>
      <c r="C6" s="17" t="str">
        <f>VLOOKUP(B6,AL:AM,2,0)</f>
        <v>en</v>
      </c>
      <c r="D6" s="2"/>
      <c r="E6" s="35" t="str" cm="1">
        <f t="array" ref="E6">"AL9:"&amp;ADDRESS(_xlfn.AGGREGATE(14, 6, ROW(AL:AL)*(AL:AL&lt;&gt;""), 1), COLUMN(AL:AL))</f>
        <v>AL9:$AL$48</v>
      </c>
      <c r="F6" s="27"/>
      <c r="G6" s="2"/>
      <c r="H6" s="28"/>
      <c r="I6" s="29"/>
      <c r="J6" s="29"/>
      <c r="K6" s="30"/>
      <c r="L6" s="31"/>
      <c r="M6" s="23"/>
      <c r="N6" s="31"/>
      <c r="O6" s="31"/>
      <c r="P6" s="22"/>
      <c r="Q6" s="21"/>
      <c r="R6" s="2"/>
      <c r="S6" s="25"/>
      <c r="T6" s="22"/>
      <c r="U6" s="22"/>
      <c r="V6" s="22"/>
      <c r="W6" s="26"/>
      <c r="X6" s="22"/>
      <c r="Y6" s="25"/>
      <c r="Z6" s="1"/>
      <c r="AA6" s="1"/>
      <c r="AB6" s="1"/>
      <c r="AC6" s="1"/>
      <c r="AD6" s="1"/>
      <c r="AE6" s="106" t="s">
        <v>20</v>
      </c>
      <c r="AF6" s="15"/>
      <c r="AG6" s="15"/>
      <c r="AH6" s="15"/>
      <c r="AI6" s="15"/>
      <c r="AJ6" s="15"/>
      <c r="AK6" s="15"/>
      <c r="AL6" s="15"/>
    </row>
    <row r="7" spans="1:39">
      <c r="A7" s="97"/>
      <c r="B7" s="1"/>
      <c r="C7" s="2"/>
      <c r="D7" s="2"/>
      <c r="E7" s="20"/>
      <c r="F7" s="36"/>
      <c r="G7" s="36"/>
      <c r="H7" s="37"/>
      <c r="I7" s="28"/>
      <c r="J7" s="28"/>
      <c r="K7" s="74"/>
      <c r="L7" s="31"/>
      <c r="M7" s="38"/>
      <c r="N7" s="31"/>
      <c r="O7" s="31" t="s">
        <v>656</v>
      </c>
      <c r="P7" s="22"/>
      <c r="Q7" s="31"/>
      <c r="R7" s="31" t="s">
        <v>656</v>
      </c>
      <c r="S7" s="39"/>
      <c r="T7" s="31"/>
      <c r="U7" s="31"/>
      <c r="V7" s="22"/>
      <c r="W7" s="31" t="s">
        <v>293</v>
      </c>
      <c r="X7" s="31" t="s">
        <v>293</v>
      </c>
      <c r="Y7" s="39"/>
      <c r="Z7" s="2"/>
      <c r="AA7" s="2"/>
      <c r="AB7" s="2"/>
      <c r="AC7" s="2"/>
      <c r="AD7" s="2"/>
      <c r="AE7" s="35" t="str">
        <f>_xlfn.CONCAT(AH9:AH200)</f>
        <v/>
      </c>
      <c r="AF7" s="15"/>
      <c r="AG7" s="15"/>
      <c r="AH7" s="15"/>
      <c r="AI7" s="15"/>
      <c r="AJ7" s="15"/>
      <c r="AK7" s="122" t="s">
        <v>558</v>
      </c>
      <c r="AL7" s="122"/>
      <c r="AM7" s="122"/>
    </row>
    <row r="8" spans="1:39">
      <c r="A8" s="41" t="s">
        <v>21</v>
      </c>
      <c r="B8" s="42" t="s">
        <v>22</v>
      </c>
      <c r="C8" s="43">
        <v>0</v>
      </c>
      <c r="D8" s="43" t="s">
        <v>554</v>
      </c>
      <c r="E8" s="44" t="s">
        <v>23</v>
      </c>
      <c r="F8" s="43" t="s">
        <v>24</v>
      </c>
      <c r="G8" s="42" t="s">
        <v>25</v>
      </c>
      <c r="H8" s="42" t="s">
        <v>26</v>
      </c>
      <c r="I8" s="42" t="s">
        <v>27</v>
      </c>
      <c r="J8" s="42" t="s">
        <v>28</v>
      </c>
      <c r="K8" s="42" t="s">
        <v>29</v>
      </c>
      <c r="L8" s="42" t="s">
        <v>30</v>
      </c>
      <c r="M8" s="42" t="s">
        <v>31</v>
      </c>
      <c r="N8" s="42" t="s">
        <v>32</v>
      </c>
      <c r="O8" s="42" t="s">
        <v>30</v>
      </c>
      <c r="P8" s="42" t="s">
        <v>33</v>
      </c>
      <c r="Q8" s="42" t="s">
        <v>34</v>
      </c>
      <c r="R8" s="42" t="s">
        <v>30</v>
      </c>
      <c r="S8" s="42" t="s">
        <v>35</v>
      </c>
      <c r="T8" s="42" t="s">
        <v>36</v>
      </c>
      <c r="U8" s="42" t="s">
        <v>30</v>
      </c>
      <c r="V8" s="42" t="s">
        <v>37</v>
      </c>
      <c r="W8" s="42" t="s">
        <v>38</v>
      </c>
      <c r="X8" s="42" t="s">
        <v>30</v>
      </c>
      <c r="Y8" s="42" t="s">
        <v>39</v>
      </c>
      <c r="Z8" s="42" t="s">
        <v>40</v>
      </c>
      <c r="AA8" s="42" t="s">
        <v>41</v>
      </c>
      <c r="AB8" s="42" t="s">
        <v>42</v>
      </c>
      <c r="AC8" s="42" t="s">
        <v>43</v>
      </c>
      <c r="AD8" s="42" t="s">
        <v>44</v>
      </c>
      <c r="AE8" s="42" t="s">
        <v>555</v>
      </c>
      <c r="AF8" s="42" t="s">
        <v>556</v>
      </c>
      <c r="AG8" s="42" t="s">
        <v>557</v>
      </c>
      <c r="AH8" s="42" t="s">
        <v>45</v>
      </c>
      <c r="AI8" s="42" t="s">
        <v>46</v>
      </c>
      <c r="AJ8" s="42" t="s">
        <v>560</v>
      </c>
      <c r="AK8" s="42" t="s">
        <v>47</v>
      </c>
      <c r="AL8" s="42" t="s">
        <v>48</v>
      </c>
      <c r="AM8" s="42" t="s">
        <v>18</v>
      </c>
    </row>
    <row r="9" spans="1:39">
      <c r="A9" s="96">
        <v>6</v>
      </c>
      <c r="B9" s="45" t="str" cm="1">
        <f t="array" ref="B9">IF(H9="PROJECT", CHAR(10) &amp; "- " &amp; _xlfn.TEXTJOIN(CHAR(10) &amp; "- ", TRUE, _xlfn._xlws.FILTER($I$9:$I$1000, ($C$9:$C$1000=C9) * ($H$9:$H$1000="Topic"))), "")</f>
        <v/>
      </c>
      <c r="C9" s="45">
        <f t="shared" ref="C9:C72" si="0">IF(AND(H9="Topic",H8="PROJECT"),C8+1,IF(H9="PROJECT",C8,IF(AND(H9="Topic",H8="Topic"),C8,C8+1)))</f>
        <v>1</v>
      </c>
      <c r="D9" s="46">
        <v>3</v>
      </c>
      <c r="E9" s="47" t="s">
        <v>49</v>
      </c>
      <c r="F9" s="48">
        <v>1</v>
      </c>
      <c r="G9" s="49" t="s">
        <v>50</v>
      </c>
      <c r="H9" s="49" t="s">
        <v>51</v>
      </c>
      <c r="I9" s="50" t="s">
        <v>657</v>
      </c>
      <c r="J9" s="51" t="s">
        <v>658</v>
      </c>
      <c r="K9" s="103" t="str">
        <f>IF(H9="Topic",
"[ROLE] Friendly tutor specializing in " &amp; $I$2 &amp; " | " &amp;
"[TOPIC] " &amp; I9 &amp; " | " &amp;
"[LEVEL] " &amp; G9 &amp; " | " &amp;
"[COUNT] " &amp; D9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$A9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IF(F9&gt;=10,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Execute basic HTTP GET requests using requests.get() to retrieve web page content and evaluate the HTTP .status_code to confirm a successful connection. | [LEVEL] Beginner | [COUNT] 3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 | Stage 1 📖 Practice | Python - Requests | 📊 Level: Beginner | 🌐 Coding5s.com
**Concept:** Executing Basic GET Requests (requests.get, .status_code)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5"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HTTP GET requests using requests.get() to retrieve web page content and evaluate the HTTP .status_code to confirm a successful connection.. Topic details: Executing Basic GET Requests (requests.get, .status_code)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Requests | 📊 Level: Beginner
**Topic:** Execute basic HTTP GET requests using requests.get() to retrieve web page content and evaluate the HTTP .status_code to confirm a successful connection.
---
 | [FOOTER RULE - STRICT] End your response with: '--- ⚡ *Coding5s Mentor System — Eliminating Epistemic Debt*' | </v>
      </c>
      <c r="M9" s="52">
        <v>0</v>
      </c>
      <c r="N9" s="104" t="str">
        <f>IF(H9="Topic",
"[ROLE] Careless " &amp; $I$2 &amp; " Developer | " &amp;
"[TASK] Generate debugging challenges in " &amp; $I$2 &amp; " | | " &amp;
"[TOPIC] " &amp; I9 &amp; " | | " &amp;
"[LEVEL] " &amp; G9 &amp; "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Execute basic HTTP GET requests using requests.get() to retrieve web page content and evaluate the HTTP .status_code to confirm a successful connection. | | [LEVEL] Beginner |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2 🐛 Debug | Python - Requests | 📊 Level: Beginner | 🌐 Coding5s.com
Concept: Executing Basic GET Requests (requests.get, .status_code)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5"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HTTP GET requests using requests.get() to retrieve web page content and evaluate the HTTP .status_code to confirm a successful connection.. Topic details: Executing Basic GET Requests (requests.get, .status_code)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Requests | 📊 Level: Beginner
**Topic:** Execute basic HTTP GET requests using requests.get() to retrieve web page content and evaluate the HTTP .status_code to confirm a successful connection.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4" t="str">
        <f>IF(H9="Topic",
"[ROLE] Tech Lead | " &amp;
"[TASK] Assign incomplete " &amp; $I$2 &amp; " script challenges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Execute basic HTTP GET requests using requests.get() to retrieve web page content and evaluate the HTTP .status_code to confirm a successful connection.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3 🧩 Complete | Python - Requests | 📊 Level: Beginner | 🌐 Coding5s.com
**Concept:** Executing Basic GET Requests (requests.get, .status_code)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HTTP GET requests using requests.get() to retrieve web page content and evaluate the HTTP .status_code to confirm a successful connection..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5"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HTTP GET requests using requests.get() to retrieve web page content and evaluate the HTTP .status_code to confirm a successful connection.. Topic details: Executing Basic GET Requests (requests.get, .status_code)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Requests | 📊 Level: Beginner
**Topic:** Execute basic HTTP GET requests using requests.get() to retrieve web page content and evaluate the HTTP .status_code to confirm a successful connection.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4" t="str">
        <f>IF(H9="Topic",
"[ROLE] Tech Lead | " &amp;
"[TASK] Provide intentionally messy but functional code for learning debugging and improvement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Execute basic HTTP GET requests using requests.get() to retrieve web page content and evaluate the HTTP .status_code to confirm a successful connection.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Requests | 📊 Level: Beginner | 🌐 Coding5s.com
**Concept:** Executing Basic GET Requests (requests.get, .status_code)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5"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basic HTTP GET requests using requests.get() to retrieve web page content and evaluate the HTTP .status_code to confirm a successful connection.. Topic details: Executing Basic GET Requests (requests.get, .status_code)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Requests | 📊 Level: Beginner
**Topic:** Execute basic HTTP GET requests using requests.get() to retrieve web page content and evaluate the HTTP .status_code to confirm a successful connection.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8" t="str">
        <f>IF(H9="Topic",
"[ROLE] Tech Product Manager assigning a " &amp; $I$2 &amp; " Jira Ticket | " &amp;
"[TASK] Provide a guided implementation exercise with full solution for learning purposes | " &amp;
"[TOPIC] " &amp; I9 &amp; " | " &amp;
"[LEVEL] " &amp; G9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IF(G9="Beginner", "Use simple scripts or minimal functions. ", IF(G9="Intermediate",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Execute basic HTTP GET requests using requests.get() to retrieve web page content and evaluate the HTTP .status_code to confirm a successful connection. | [LEVEL] Beginner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Requests | 📊 Level: Beginner | 🌐 Coding5s.com
**Concept:** Executing Basic GET Requests (requests.get, .status_code)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5"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HTTP GET requests using requests.get() to retrieve web page content and evaluate the HTTP .status_code to confirm a successful connection.. Goal: Executing Basic GET Requests (requests.get, .status_code)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Requests | 📊 Level: Beginner
**Topic:** Execute basic HTTP GET requests using requests.get() to retrieve web page content and evaluate the HTTP .status_code to confirm a successful connection.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IF(G9="Beginner", "25–40", IF(G9="Intermediate", "30–60", "40–100")) &amp; " lines (STRICT) - Multi-step flow " &amp; IF(G9&lt;&gt;"Advanced", "- NO classes ", "") &amp; " | " &amp;
"[FUNCTION RULE] " &amp; IF(G9="Beginner", "Avoid functions unless required. Use flat, linear scripts. ", IF(G9="Intermediate",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"[CODE CONSTRAINTS] MUST be between " &amp; IF(G9="Beginner", "25–40", IF(G9="Intermediate",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IF(G9="Beginner", "Avoid functions unless required. ", IF(G9="Intermediate",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52</v>
      </c>
      <c r="AF9" s="55" t="s">
        <v>53</v>
      </c>
      <c r="AG9" s="55" t="s">
        <v>54</v>
      </c>
      <c r="AH9" s="56" t="str">
        <f>IF(AE9=$B$6,AG9,"")</f>
        <v/>
      </c>
      <c r="AI9" s="54" t="s">
        <v>55</v>
      </c>
      <c r="AJ9" s="54"/>
      <c r="AK9" s="54">
        <v>1</v>
      </c>
      <c r="AL9" s="54" t="s">
        <v>56</v>
      </c>
      <c r="AM9" s="54" t="s">
        <v>57</v>
      </c>
    </row>
    <row r="10" spans="1:39">
      <c r="A10" s="96">
        <v>6</v>
      </c>
      <c r="B10" s="45" t="str" cm="1">
        <f t="array" ref="B10">IF(H10="PROJECT", CHAR(10) &amp; "- " &amp; _xlfn.TEXTJOIN(CHAR(10) &amp; "- ", TRUE, _xlfn._xlws.FILTER($I$9:$I$1000, ($C$9:$C$1000=C10) * ($H$9:$H$1000="Topic"))), "")</f>
        <v/>
      </c>
      <c r="C10" s="45">
        <f t="shared" si="0"/>
        <v>1</v>
      </c>
      <c r="D10" s="57">
        <v>3</v>
      </c>
      <c r="E10" s="58" t="s">
        <v>49</v>
      </c>
      <c r="F10" s="59">
        <v>2</v>
      </c>
      <c r="G10" s="60" t="s">
        <v>50</v>
      </c>
      <c r="H10" s="60" t="s">
        <v>51</v>
      </c>
      <c r="I10" s="61" t="s">
        <v>659</v>
      </c>
      <c r="J10" s="62" t="s">
        <v>660</v>
      </c>
      <c r="K10" s="103" t="str">
        <f t="shared" ref="K10:K73" si="1">IF(H10="Topic",
"[ROLE] Friendly tutor specializing in " &amp; $I$2 &amp; " | " &amp;
"[TOPIC] " &amp; I10 &amp; " | " &amp;
"[LEVEL] " &amp; G10 &amp; " | " &amp;
"[COUNT] " &amp; D10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$A10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IF(F10&gt;=10,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IF(G10="Beginner","Do NOT use functions unless absolutely required by the concept. Use flat, linear scripts. ",IF(G10="Intermediate","MUST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IF(F10&gt;=10,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Extract and interpret server response data by accessing the .text attribute for string payloads and the .content attribute for raw bytes using the requests library. | [LEVEL] Beginner | [COUNT] 3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 | Stage 1 📖 Practice | Python - Requests | 📊 Level: Beginner | 🌐 Coding5s.com
**Concept:** Reading Response Content (.text, .content)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5"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IF(G10="Beginner","Do NOT use functions unless absolutely required by the concept. Use flat, linear scripts. NO classes. ", IF(G10="Intermediate","MUST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and interpret server response data by accessing the .text attribute for string payloads and the .content attribute for raw bytes using the requests library.. Topic details: Reading Response Content (.text, .content)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Requests | 📊 Level: Beginner
**Topic:** Extract and interpret server response data by accessing the .text attribute for string payloads and the .content attribute for raw bytes using the requests library.
---
 | [FOOTER RULE - STRICT] End your response with: '--- ⚡ *Coding5s Mentor System — Eliminating Epistemic Debt*' | </v>
      </c>
      <c r="M10" s="52">
        <v>0</v>
      </c>
      <c r="N10" s="104" t="str">
        <f t="shared" ref="N10:N73" si="3">IF(H10="Topic",
"[ROLE] Careless " &amp; $I$2 &amp; " Developer | " &amp;
"[TASK] Generate debugging challenges in " &amp; $I$2 &amp; " | | " &amp;
"[TOPIC] " &amp; I10 &amp; " | | " &amp;
"[LEVEL] " &amp; G10 &amp; "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IF(G10="Beginner", "5–15", IF(G10="Intermediate", "10–25", "15–35")) &amp; " lines of EXECUTABLE code per example (STRICT: Do NOT count blank lines towards this limit) " &amp; IF(G10&lt;&gt;"Advanced",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Extract and interpret server response data by accessing the .text attribute for string payloads and the .content attribute for raw bytes using the requests library. | | [LEVEL] Beginner |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2 🐛 Debug | Python - Requests | 📊 Level: Beginner | 🌐 Coding5s.com
Concept: Reading Response Content (.text, .content)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5"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and interpret server response data by accessing the .text attribute for string payloads and the .content attribute for raw bytes using the requests library.. Topic details: Reading Response Content (.text, .content)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Requests | 📊 Level: Beginner
**Topic:** Extract and interpret server response data by accessing the .text attribute for string payloads and the .content attribute for raw bytes using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4" t="str">
        <f t="shared" ref="Q10:Q73" si="5">IF(H10="Topic",
"[ROLE] Tech Lead | " &amp;
"[TASK] Assign incomplete " &amp; $I$2 &amp; " script challenges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IF(G10="Beginner", "5–15", IF(G10="Intermediate",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Extract and interpret server response data by accessing the .text attribute for string payloads and the .content attribute for raw bytes using the requests library.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3 🧩 Complete | Python - Requests | 📊 Level: Beginner | 🌐 Coding5s.com
**Concept:** Reading Response Content (.text, .content)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and interpret server response data by accessing the .text attribute for string payloads and the .content attribute for raw bytes using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5"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and interpret server response data by accessing the .text attribute for string payloads and the .content attribute for raw bytes using the requests library.. Topic details: Reading Response Content (.text, .content)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Requests | 📊 Level: Beginner
**Topic:** Extract and interpret server response data by accessing the .text attribute for string payloads and the .content attribute for raw bytes using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4"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IF(G10="Beginner", "Do NOT use functions unless absolutely required by the concept. Use linear scripts. ", IF(G10="Intermediate",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Extract and interpret server response data by accessing the .text attribute for string payloads and the .content attribute for raw bytes using the requests library.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Requests | 📊 Level: Beginner | 🌐 Coding5s.com
**Concept:** Reading Response Content (.text, .content)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5"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and interpret server response data by accessing the .text attribute for string payloads and the .content attribute for raw bytes using the requests library.. Topic details: Reading Response Content (.text, .content)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Requests | 📊 Level: Beginner
**Topic:** Extract and interpret server response data by accessing the .text attribute for string payloads and the .content attribute for raw bytes using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8"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IF(G10="Beginner", "Use simple scripts or minimal functions. ", IF(G10="Intermediate",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Extract and interpret server response data by accessing the .text attribute for string payloads and the .content attribute for raw bytes using the requests library. | [LEVEL] Beginner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Requests | 📊 Level: Beginner | 🌐 Coding5s.com
**Concept:** Reading Response Content (.text, .content)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5"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and interpret server response data by accessing the .text attribute for string payloads and the .content attribute for raw bytes using the requests library.. Goal: Reading Response Content (.text, .content)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Requests | 📊 Level: Beginner
**Topic:** Extract and interpret server response data by accessing the .text attribute for string payloads and the .content attribute for raw bytes using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IF(G10="Beginner", "25–40", IF(G10="Intermediate", "30–60", "40–100")) &amp; " lines (STRICT) - Multi-step flow " &amp; IF(G10&lt;&gt;"Advanced", "- NO classes ", "") &amp; " | " &amp;
"[FUNCTION RULE] " &amp; IF(G10="Beginner", "Avoid functions unless required. Use flat, linear scripts. ", IF(G10="Intermediate",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"[CODE CONSTRAINTS] MUST be between " &amp; IF(G10="Beginner", "25–40", IF(G10="Intermediate",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IF(G10="Beginner", "Avoid functions unless required. ", IF(G10="Intermediate",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58</v>
      </c>
      <c r="AF10" s="55" t="s">
        <v>59</v>
      </c>
      <c r="AG10" s="55" t="s">
        <v>60</v>
      </c>
      <c r="AH10" s="56" t="str">
        <f>IF(AE10=$B$6,AG10,"")</f>
        <v/>
      </c>
      <c r="AI10" s="54" t="s">
        <v>61</v>
      </c>
      <c r="AJ10" s="54"/>
      <c r="AK10" s="54">
        <v>2</v>
      </c>
      <c r="AL10" s="54" t="s">
        <v>19</v>
      </c>
      <c r="AM10" s="54" t="s">
        <v>62</v>
      </c>
    </row>
    <row r="11" spans="1:39">
      <c r="A11" s="96">
        <v>6</v>
      </c>
      <c r="B11" s="45" t="str" cm="1">
        <f t="array" ref="B11">IF(H11="PROJECT", CHAR(10) &amp; "- " &amp; _xlfn.TEXTJOIN(CHAR(10) &amp; "- ", TRUE, _xlfn._xlws.FILTER($I$9:$I$1000, ($C$9:$C$1000=C11) * ($H$9:$H$1000="Topic"))), "")</f>
        <v/>
      </c>
      <c r="C11" s="45">
        <f t="shared" si="0"/>
        <v>1</v>
      </c>
      <c r="D11" s="46">
        <v>3</v>
      </c>
      <c r="E11" s="58" t="s">
        <v>49</v>
      </c>
      <c r="F11" s="48">
        <v>3</v>
      </c>
      <c r="G11" s="49" t="s">
        <v>50</v>
      </c>
      <c r="H11" s="49" t="s">
        <v>51</v>
      </c>
      <c r="I11" s="50" t="s">
        <v>661</v>
      </c>
      <c r="J11" s="51" t="s">
        <v>662</v>
      </c>
      <c r="K11" s="103" t="str">
        <f t="shared" si="1"/>
        <v xml:space="preserve">[ROLE] Friendly tutor specializing in Python | [TOPIC] Parse incoming JSON formatted HTTP responses directly into Python dictionary objects utilizing the built-in .json() method from the requests library. | [LEVEL] Beginner | [COUNT] 3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 | Stage 1 📖 Practice | Python - Requests | 📊 Level: Beginner | 🌐 Coding5s.com
**Concept:** Parsing JSON Responses (.json())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incoming JSON formatted HTTP responses directly into Python dictionary objects utilizing the built-in .json() method from the requests library.. Topic details: Parsing JSON Responses (.json())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Requests | 📊 Level: Beginner
**Topic:** Parse incoming JSON formatted HTTP responses directly into Python dictionary objects utilizing the built-in .json() method from the requests library.
---
 | [FOOTER RULE - STRICT] End your response with: '--- ⚡ *Coding5s Mentor System — Eliminating Epistemic Debt*' | </v>
      </c>
      <c r="M11" s="52">
        <v>0</v>
      </c>
      <c r="N11" s="104" t="str">
        <f t="shared" si="3"/>
        <v>[ROLE] Careless Python Developer | [TASK] Generate debugging challenges in Python | | [TOPIC] Parse incoming JSON formatted HTTP responses directly into Python dictionary objects utilizing the built-in .json() method from the requests library. | | [LEVEL] Beginner |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2 🐛 Debug | Python - Requests | 📊 Level: Beginner | 🌐 Coding5s.com
Concept: Parsing JSON Responses (.json())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incoming JSON formatted HTTP responses directly into Python dictionary objects utilizing the built-in .json() method from the requests library.. Topic details: Parsing JSON Responses (.json())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Requests | 📊 Level: Beginner
**Topic:** Parse incoming JSON formatted HTTP responses directly into Python dictionary objects utilizing the built-in .json() method from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4" t="str">
        <f t="shared" si="5"/>
        <v>[ROLE] Tech Lead | [TASK] Assign incomplete Python script challenges | [TOPIC] Parse incoming JSON formatted HTTP responses directly into Python dictionary objects utilizing the built-in .json() method from the requests library.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3 🧩 Complete | Python - Requests | 📊 Level: Beginner | 🌐 Coding5s.com
**Concept:** Parsing JSON Responses (.json())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incoming JSON formatted HTTP responses directly into Python dictionary objects utilizing the built-in .json() method from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incoming JSON formatted HTTP responses directly into Python dictionary objects utilizing the built-in .json() method from the requests library.. Topic details: Parsing JSON Responses (.json())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Requests | 📊 Level: Beginner
**Topic:** Parse incoming JSON formatted HTTP responses directly into Python dictionary objects utilizing the built-in .json() method from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4" t="str">
        <f t="shared" si="7"/>
        <v>[ROLE] Tech Lead | [TASK] Provide intentionally messy but functional code for learning debugging and improvement | [TOPIC] Parse incoming JSON formatted HTTP responses directly into Python dictionary objects utilizing the built-in .json() method from the requests library.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Requests | 📊 Level: Beginner | 🌐 Coding5s.com
**Concept:** Parsing JSON Responses (.json())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incoming JSON formatted HTTP responses directly into Python dictionary objects utilizing the built-in .json() method from the requests library.. Topic details: Parsing JSON Responses (.json())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Requests | 📊 Level: Beginner
**Topic:** Parse incoming JSON formatted HTTP responses directly into Python dictionary objects utilizing the built-in .json() method from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8" t="str">
        <f t="shared" si="9"/>
        <v>[ROLE] Tech Product Manager assigning a Python Jira Ticket | [TASK] Provide a guided implementation exercise with full solution for learning purposes | [TOPIC] Parse incoming JSON formatted HTTP responses directly into Python dictionary objects utilizing the built-in .json() method from the requests library. | [LEVEL] Beginner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Requests | 📊 Level: Beginner | 🌐 Coding5s.com
**Concept:** Parsing JSON Responses (.json())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incoming JSON formatted HTTP responses directly into Python dictionary objects utilizing the built-in .json() method from the requests library.. Goal: Parsing JSON Responses (.json())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Requests | 📊 Level: Beginner
**Topic:** Parse incoming JSON formatted HTTP responses directly into Python dictionary objects utilizing the built-in .json() method from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63</v>
      </c>
      <c r="AF11" s="55" t="s">
        <v>64</v>
      </c>
      <c r="AG11" s="55" t="s">
        <v>65</v>
      </c>
      <c r="AH11" s="56" t="str">
        <f>IF(AE11=$B$6,AG11,"")</f>
        <v/>
      </c>
      <c r="AI11" s="54" t="s">
        <v>66</v>
      </c>
      <c r="AJ11" s="54"/>
      <c r="AK11" s="54">
        <v>3</v>
      </c>
      <c r="AL11" s="54" t="s">
        <v>67</v>
      </c>
      <c r="AM11" s="54" t="s">
        <v>68</v>
      </c>
    </row>
    <row r="12" spans="1:39">
      <c r="A12" s="96">
        <v>8</v>
      </c>
      <c r="B12" s="45" t="str" cm="1">
        <f t="array" ref="B12">IF(H12="PROJECT", CHAR(10) &amp; "- " &amp; _xlfn.TEXTJOIN(CHAR(10) &amp; "- ", TRUE, _xlfn._xlws.FILTER($I$9:$I$1000, ($C$9:$C$1000=C12) * ($H$9:$H$1000="Topic"))), "")</f>
        <v/>
      </c>
      <c r="C12" s="45">
        <f t="shared" si="0"/>
        <v>1</v>
      </c>
      <c r="D12" s="57">
        <v>4</v>
      </c>
      <c r="E12" s="58" t="s">
        <v>49</v>
      </c>
      <c r="F12" s="59">
        <v>4</v>
      </c>
      <c r="G12" s="60" t="s">
        <v>50</v>
      </c>
      <c r="H12" s="60" t="s">
        <v>51</v>
      </c>
      <c r="I12" s="61" t="s">
        <v>663</v>
      </c>
      <c r="J12" s="62" t="s">
        <v>664</v>
      </c>
      <c r="K12" s="103" t="str">
        <f t="shared" si="1"/>
        <v xml:space="preserve">[ROLE] Friendly tutor specializing in Python | [TOPIC] Construct dynamic URLs by passing a Python dictionary to the params argument in requests.get() to properly encode query string parameters. | [LEVEL] Beginner | [COUNT] 4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 | Stage 1 📖 Practice | Python - Requests | 📊 Level: Beginner | 🌐 Coding5s.com
**Concept:** Passing URL Query Parameters (params dictionary)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dynamic URLs by passing a Python dictionary to the params argument in requests.get() to properly encode query string parameters.. Topic details: Passing URL Query Parameters (params dictionary)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Requests | 📊 Level: Beginner
**Topic:** Construct dynamic URLs by passing a Python dictionary to the params argument in requests.get() to properly encode query string parameters.
---
 | [FOOTER RULE - STRICT] End your response with: '--- ⚡ *Coding5s Mentor System — Eliminating Epistemic Debt*' | </v>
      </c>
      <c r="M12" s="52">
        <v>0</v>
      </c>
      <c r="N12" s="104" t="str">
        <f t="shared" si="3"/>
        <v>[ROLE] Careless Python Developer | [TASK] Generate debugging challenges in Python | | [TOPIC] Construct dynamic URLs by passing a Python dictionary to the params argument in requests.get() to properly encode query string parameters. | | [LEVEL] Beginner |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2 🐛 Debug | Python - Requests | 📊 Level: Beginner | 🌐 Coding5s.com
Concept: Passing URL Query Parameters (params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dynamic URLs by passing a Python dictionary to the params argument in requests.get() to properly encode query string parameters.. Topic details: Passing URL Query Parameters (params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Requests | 📊 Level: Beginner
**Topic:** Construct dynamic URLs by passing a Python dictionary to the params argument in requests.get() to properly encode query string parameters.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4" t="str">
        <f t="shared" si="5"/>
        <v>[ROLE] Tech Lead | [TASK] Assign incomplete Python script challenges | [TOPIC] Construct dynamic URLs by passing a Python dictionary to the params argument in requests.get() to properly encode query string parameters. | [LEVEL] Beginner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3 🧩 Complete | Python - Requests | 📊 Level: Beginner | 🌐 Coding5s.com
**Concept:** Passing URL Query Parameters (params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dynamic URLs by passing a Python dictionary to the params argument in requests.get() to properly encode query string parameters..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dynamic URLs by passing a Python dictionary to the params argument in requests.get() to properly encode query string parameters.. Topic details: Passing URL Query Parameters (params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Requests | 📊 Level: Beginner
**Topic:** Construct dynamic URLs by passing a Python dictionary to the params argument in requests.get() to properly encode query string parameters.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4" t="str">
        <f t="shared" si="7"/>
        <v>[ROLE] Tech Lead | [TASK] Provide intentionally messy but functional code for learning debugging and improvement | [TOPIC] Construct dynamic URLs by passing a Python dictionary to the params argument in requests.get() to properly encode query string parameters. | [LEVEL] Beginner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Requests | 📊 Level: Beginner | 🌐 Coding5s.com
**Concept:** Passing URL Query Parameters (params dictionary)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dynamic URLs by passing a Python dictionary to the params argument in requests.get() to properly encode query string parameters.. Topic details: Passing URL Query Parameters (params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Requests | 📊 Level: Beginner
**Topic:** Construct dynamic URLs by passing a Python dictionary to the params argument in requests.get() to properly encode query string parameters.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8" t="str">
        <f t="shared" si="9"/>
        <v>[ROLE] Tech Product Manager assigning a Python Jira Ticket | [TASK] Provide a guided implementation exercise with full solution for learning purposes | [TOPIC] Construct dynamic URLs by passing a Python dictionary to the params argument in requests.get() to properly encode query string parameters. | [LEVEL] Beginner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Requests | 📊 Level: Beginner | 🌐 Coding5s.com
**Concept:** Passing URL Query Parameters (params dictionary)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dynamic URLs by passing a Python dictionary to the params argument in requests.get() to properly encode query string parameters.. Goal: Passing URL Query Parameters (params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Requests | 📊 Level: Beginner
**Topic:** Construct dynamic URLs by passing a Python dictionary to the params argument in requests.get() to properly encode query string parameters.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69</v>
      </c>
      <c r="AF12" s="55" t="s">
        <v>70</v>
      </c>
      <c r="AG12" s="55" t="s">
        <v>71</v>
      </c>
      <c r="AH12" s="56" t="str">
        <f>IF(AE12=$B$6,AG12,"")</f>
        <v/>
      </c>
      <c r="AI12" s="54" t="s">
        <v>72</v>
      </c>
      <c r="AJ12" s="54"/>
      <c r="AK12" s="54">
        <v>4</v>
      </c>
      <c r="AL12" s="54" t="s">
        <v>73</v>
      </c>
      <c r="AM12" s="54" t="s">
        <v>74</v>
      </c>
    </row>
    <row r="13" spans="1:39">
      <c r="A13" s="96">
        <v>8</v>
      </c>
      <c r="B13" s="45" t="str" cm="1">
        <f t="array" ref="B13">IF(H13="PROJECT", CHAR(10) &amp; "- " &amp; _xlfn.TEXTJOIN(CHAR(10) &amp; "- ", TRUE, _xlfn._xlws.FILTER($I$9:$I$1000, ($C$9:$C$1000=C13) * ($H$9:$H$1000="Topic"))), "")</f>
        <v/>
      </c>
      <c r="C13" s="45">
        <f t="shared" si="0"/>
        <v>1</v>
      </c>
      <c r="D13" s="46">
        <v>3</v>
      </c>
      <c r="E13" s="58" t="s">
        <v>49</v>
      </c>
      <c r="F13" s="48">
        <v>5</v>
      </c>
      <c r="G13" s="49" t="s">
        <v>50</v>
      </c>
      <c r="H13" s="49" t="s">
        <v>51</v>
      </c>
      <c r="I13" s="50" t="s">
        <v>665</v>
      </c>
      <c r="J13" s="51" t="s">
        <v>666</v>
      </c>
      <c r="K13" s="103" t="str">
        <f t="shared" si="1"/>
        <v xml:space="preserve">[ROLE] Friendly tutor specializing in Python | [TOPIC] Examine HTTP response metadata by accessing .headers for server information, .url to verify the final requested endpoint, and .encoding to check text decoding. | [LEVEL] Beginner | [COUNT] 3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 | Stage 1 📖 Practice | Python - Requests | 📊 Level: Beginner | 🌐 Coding5s.com
**Concept:** Inspecting Response Metadata (.headers, .url, .encoding)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Examine HTTP response metadata by accessing .headers for server information, .url to verify the final requested endpoint, and .encoding to check text decoding.. Topic details: Inspecting Response Metadata (.headers, .url, .encoding)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Requests | 📊 Level: Beginner
**Topic:** Examine HTTP response metadata by accessing .headers for server information, .url to verify the final requested endpoint, and .encoding to check text decoding.
---
 | [FOOTER RULE - STRICT] End your response with: '--- ⚡ *Coding5s Mentor System — Eliminating Epistemic Debt*' | </v>
      </c>
      <c r="M13" s="52">
        <v>0</v>
      </c>
      <c r="N13" s="104" t="str">
        <f t="shared" si="3"/>
        <v>[ROLE] Careless Python Developer | [TASK] Generate debugging challenges in Python | | [TOPIC] Examine HTTP response metadata by accessing .headers for server information, .url to verify the final requested endpoint, and .encoding to check text decoding. | | [LEVEL] Beginner |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2 🐛 Debug | Python - Requests | 📊 Level: Beginner | 🌐 Coding5s.com
Concept: Inspecting Response Metadata (.headers, .url, .encoding)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Examine HTTP response metadata by accessing .headers for server information, .url to verify the final requested endpoint, and .encoding to check text decoding.. Topic details: Inspecting Response Metadata (.headers, .url, .encoding)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Requests | 📊 Level: Beginner
**Topic:** Examine HTTP response metadata by accessing .headers for server information, .url to verify the final requested endpoint, and .encoding to check text decoding.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4" t="str">
        <f t="shared" si="5"/>
        <v>[ROLE] Tech Lead | [TASK] Assign incomplete Python script challenges | [TOPIC] Examine HTTP response metadata by accessing .headers for server information, .url to verify the final requested endpoint, and .encoding to check text decoding.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3 🧩 Complete | Python - Requests | 📊 Level: Beginner | 🌐 Coding5s.com
**Concept:** Inspecting Response Metadata (.headers, .url, .encoding)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Examine HTTP response metadata by accessing .headers for server information, .url to verify the final requested endpoint, and .encoding to check text decoding..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Examine HTTP response metadata by accessing .headers for server information, .url to verify the final requested endpoint, and .encoding to check text decoding.. Topic details: Inspecting Response Metadata (.headers, .url, .encoding)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Requests | 📊 Level: Beginner
**Topic:** Examine HTTP response metadata by accessing .headers for server information, .url to verify the final requested endpoint, and .encoding to check text decoding.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4" t="str">
        <f t="shared" si="7"/>
        <v>[ROLE] Tech Lead | [TASK] Provide intentionally messy but functional code for learning debugging and improvement | [TOPIC] Examine HTTP response metadata by accessing .headers for server information, .url to verify the final requested endpoint, and .encoding to check text decoding.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Requests | 📊 Level: Beginner | 🌐 Coding5s.com
**Concept:** Inspecting Response Metadata (.headers, .url, .encoding)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Examine HTTP response metadata by accessing .headers for server information, .url to verify the final requested endpoint, and .encoding to check text decoding.. Topic details: Inspecting Response Metadata (.headers, .url, .encoding)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Requests | 📊 Level: Beginner
**Topic:** Examine HTTP response metadata by accessing .headers for server information, .url to verify the final requested endpoint, and .encoding to check text decoding.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8" t="str">
        <f t="shared" si="9"/>
        <v>[ROLE] Tech Product Manager assigning a Python Jira Ticket | [TASK] Provide a guided implementation exercise with full solution for learning purposes | [TOPIC] Examine HTTP response metadata by accessing .headers for server information, .url to verify the final requested endpoint, and .encoding to check text decoding. | [LEVEL] Beginner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Requests | 📊 Level: Beginner | 🌐 Coding5s.com
**Concept:** Inspecting Response Metadata (.headers, .url, .encoding)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Examine HTTP response metadata by accessing .headers for server information, .url to verify the final requested endpoint, and .encoding to check text decoding.. Goal: Inspecting Response Metadata (.headers, .url, .encoding)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Requests | 📊 Level: Beginner
**Topic:** Examine HTTP response metadata by accessing .headers for server information, .url to verify the final requested endpoint, and .encoding to check text decoding.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75</v>
      </c>
      <c r="AF13" s="40" t="s">
        <v>76</v>
      </c>
      <c r="AG13" s="40" t="s">
        <v>77</v>
      </c>
      <c r="AH13" s="56" t="str">
        <f t="shared" ref="AH13:AH76" si="16">IF(AE13=$B$6,AG13,"")</f>
        <v/>
      </c>
      <c r="AI13" s="54"/>
      <c r="AJ13" s="54"/>
      <c r="AK13" s="54">
        <v>5</v>
      </c>
      <c r="AL13" s="54" t="s">
        <v>78</v>
      </c>
      <c r="AM13" s="54" t="s">
        <v>79</v>
      </c>
    </row>
    <row r="14" spans="1:39">
      <c r="A14" s="96" t="s">
        <v>80</v>
      </c>
      <c r="B14" s="45" t="str" cm="1">
        <f t="array" ref="B14">IF(H14="PROJECT", CHAR(10) &amp; "- " &amp; _xlfn.TEXTJOIN(CHAR(10) &amp; "- ", TRUE, _xlfn._xlws.FILTER($I$9:$I$1000, ($C$9:$C$1000=C14) * ($H$9:$H$1000="Topic"))), "")</f>
        <v xml:space="preserve">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v>
      </c>
      <c r="C14" s="45">
        <f t="shared" si="0"/>
        <v>1</v>
      </c>
      <c r="D14" s="57">
        <v>0</v>
      </c>
      <c r="E14" s="58" t="s">
        <v>667</v>
      </c>
      <c r="F14" s="59">
        <v>6</v>
      </c>
      <c r="G14" s="60" t="s">
        <v>50</v>
      </c>
      <c r="H14" s="60" t="s">
        <v>81</v>
      </c>
      <c r="I14" s="61" t="s">
        <v>668</v>
      </c>
      <c r="J14" s="62" t="s">
        <v>669</v>
      </c>
      <c r="K14" s="103" t="str">
        <f t="shared" si="1"/>
        <v>[TASK] Teach through a practical Python - Requests project following the micro-learning methodology, acting as a supportive tutor, creating a project about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Requests | 📊 Level: Beginner | 🌐 Coding5s.com
**Project:** Simple API Data Fetcher (Combining GET, Params, and JSON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4"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simple API data fetching application that takes user search queries as input, processes them by passing them as URL parameters in a GET request to parse the JSON response, and outputs a formatted list of results to the user.. Topics applied in this project: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Requests | 📊 Level: Beginner
**Project:** Build a simple API data fetching application that takes user search queries as input, processes them by passing them as URL parameters in a GET request to parse the JSON response, and outputs a formatted list of results to the user.
---
 | [FOOTER RULE - STRICT] End your response with: '--- ⚡ *Coding5s Mentor System — Eliminating Epistemic Debt*' | </v>
      </c>
      <c r="M14" s="52">
        <v>0</v>
      </c>
      <c r="N14" s="104" t="str">
        <f t="shared" si="3"/>
        <v>[ROLE] Careless Python Developer | [TASK] Generate debugging project in Python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Requests | 📊 Level: Beginner | 🌐 Coding5s.com
Project: Simple API Data Fetcher (Combining GET, Params, and JSON parsing)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Requests | 📊 Level: Beginner
**Project:** Build a simple API data fetching application that takes user search queries as input, processes them by passing them as URL parameters in a GET request to parse the JSON response, and outputs a formatted list of results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4" t="str">
        <f t="shared" si="5"/>
        <v>[ROLE] Tech Lead | [TASK] Assign incomplete project script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Requests | 📊 Level: Beginner | 🌐 Coding5s.com
**Project:** Simple API Data Fetcher (Combining GET, Params, and JSON parsing)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Requests | 📊 Level: Beginner
**Project:** Build a simple API data fetching application that takes user search queries as input, processes them by passing them as URL parameters in a GET request to parse the JSON response, and outputs a formatted list of results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4" t="str">
        <f t="shared" si="7"/>
        <v>[ROLE] Tech Lead | [TASK] Provide a messy but functional project for refactoring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Tech Lead. A junior wrote this working but messy code. Tone: professional but exhausted | [HEADER RULE - STRICT] You MUST start your entire response EXACTLY with this markdown block (do not print anything before it):
### 🚀 Project #6 | Stage 4 | Python - Requests | 📊 Level: Beginner | 🌐 Coding5s.com
**Project:** Simple API Data Fetcher (Combining GET, Params, and JSON parsing)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simple API data fetching application that takes user search queries as input, processes them by passing them as URL parameters in a GET request to parse the JSON response, and outputs a formatted list of results to the user.. Topics involved: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Project objective: Simple API Data Fetcher (Combining GET, Params, and JSON parsing)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Requests | 📊 Level: Beginner
**Project:** Build a simple API data fetching application that takes user search queries as input, processes them by passing them as URL parameters in a GET request to parse the JSON response, and outputs a formatted list of results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8" t="str">
        <f t="shared" si="9"/>
        <v>[ROLE] Tech Product Manager assigning a Python Jira Ticket | [TASK] Provide a guided project implementation with full solution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 | Stage 5 | Python - Requests | 📊 Level: Beginner | 🌐 Coding5s.com
**Project:** Simple API Data Fetcher (Combining GET, Params, and JSON parsing)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simple API data fetching application that takes user search queries as input, processes them by passing them as URL parameters in a GET request to parse the JSON response, and outputs a formatted list of results to the user.. Topics integrated: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Business Goal: Simple API Data Fetcher (Combining GET, Params, and JSON parsing)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Requests | 📊 Level: Beginner
**Project:** Build a simple API data fetching application that takes user search queries as input, processes them by passing them as URL parameters in a GET request to parse the JSON response, and outputs a formatted list of results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[TASK] Teach through a practical Python - Requests project following the micro-learning methodology, acting as a supportive tutor, creating a project about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Requests | 📊 Level: Beginner | 🌐 Coding5s.com
**Project:** Simple API Data Fetcher (Combining GET, Params, and JSON parsing)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4" s="56" t="str">
        <f t="shared" si="12"/>
        <v>[ROLE] Careless Python Developer | [TASK] Generate debugging project in Python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Requests | 📊 Level: Beginner | 🌐 Coding5s.com
Project: Simple API Data Fetcher (Combining GET, Params, and JSON parsing)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4" s="56" t="str">
        <f t="shared" si="13"/>
        <v>[ROLE] Tech Lead | [TASK] Assign incomplete project script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Requests | 📊 Level: Beginner | 🌐 Coding5s.com
**Project:** Simple API Data Fetcher (Combining GET, Params, and JSON parsing)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4" s="56" t="str">
        <f t="shared" si="14"/>
        <v>[ROLE] Tech Lead | [TASK] Provide a messy but functional project for refactoring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Tech Lead. A junior wrote this working but messy code. Tone: professional but exhausted | [HEADER RULE - STRICT] You MUST start your entire response EXACTLY with this markdown block (do not print anything before it):
### 🚀 Project #6 | Stage 4 | Python - Requests | 📊 Level: Beginner | 🌐 Coding5s.com
**Project:** Simple API Data Fetcher (Combining GET, Params, and JSON parsing)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4" s="56" t="str">
        <f t="shared" si="15"/>
        <v>[ROLE] Tech Product Manager assigning a Python Jira Ticket | [TASK] Provide a guided project implementation with full solution | [PROJECT] Build a simple API data fetching application that takes user search queries as input, processes them by passing them as URL parameters in a GET request to parse the JSON response, and outputs a formatted list of results to the user. | [TOPICS USED] 
- Execute basic HTTP GET requests using requests.get() to retrieve web page content and evaluate the HTTP .status_code to confirm a successful connection.
- Extract and interpret server response data by accessing the .text attribute for string payloads and the .content attribute for raw bytes using the requests library.
- Parse incoming JSON formatted HTTP responses directly into Python dictionary objects utilizing the built-in .json() method from the requests library.
- Construct dynamic URLs by passing a Python dictionary to the params argument in requests.get() to properly encode query string parameters.
- Examine HTTP response metadata by accessing .headers for server information, .url to verify the final requested endpoint, and .encoding to check text decoding. | [LEVEL] Beginner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 | Stage 5 | Python - Requests | 📊 Level: Beginner | 🌐 Coding5s.com
**Project:** Simple API Data Fetcher (Combining GET, Params, and JSON parsing)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4" s="40" t="s">
        <v>82</v>
      </c>
      <c r="AF14" s="40" t="s">
        <v>83</v>
      </c>
      <c r="AG14" s="40" t="s">
        <v>84</v>
      </c>
      <c r="AH14" s="56" t="str">
        <f t="shared" si="16"/>
        <v/>
      </c>
      <c r="AI14" s="54"/>
      <c r="AJ14" s="54"/>
      <c r="AK14" s="54">
        <v>6</v>
      </c>
      <c r="AL14" s="54" t="s">
        <v>85</v>
      </c>
      <c r="AM14" s="54" t="s">
        <v>86</v>
      </c>
    </row>
    <row r="15" spans="1:39">
      <c r="A15" s="96">
        <v>8</v>
      </c>
      <c r="B15" s="45" t="str" cm="1">
        <f t="array" ref="B15">IF(H15="PROJECT", CHAR(10) &amp; "- " &amp; _xlfn.TEXTJOIN(CHAR(10) &amp; "- ", TRUE, _xlfn._xlws.FILTER($I$9:$I$1000, ($C$9:$C$1000=C15) * ($H$9:$H$1000="Topic"))), "")</f>
        <v/>
      </c>
      <c r="C15" s="45">
        <f t="shared" si="0"/>
        <v>2</v>
      </c>
      <c r="D15" s="46">
        <v>3</v>
      </c>
      <c r="E15" s="58" t="s">
        <v>49</v>
      </c>
      <c r="F15" s="48">
        <v>7</v>
      </c>
      <c r="G15" s="49" t="s">
        <v>50</v>
      </c>
      <c r="H15" s="49" t="s">
        <v>51</v>
      </c>
      <c r="I15" s="50" t="s">
        <v>670</v>
      </c>
      <c r="J15" s="51" t="s">
        <v>671</v>
      </c>
      <c r="K15" s="103" t="str">
        <f t="shared" si="1"/>
        <v xml:space="preserve">[ROLE] Friendly tutor specializing in Python | [TOPIC] Securely manage API keys and credentials by loading environment variables from a .env file using load_dotenv() and retrieving them in Python via os.getenv(). | [LEVEL] Beginner | [COUNT] 3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 | Stage 1 📖 Practice | Python - Requests | 📊 Level: Beginner | 🌐 Coding5s.com
**Concept:** Introduction to python-dotenv (load_dotenv, os.getenv)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Securely manage API keys and credentials by loading environment variables from a .env file using load_dotenv() and retrieving them in Python via os.getenv().. Topic details: Introduction to python-dotenv (load_dotenv, os.getenv)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[MENTOR CONTEXT ALERT] Be aware of the following infrastructure limitation for this exercise: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Use this knowledge to reassure the student if they present an environment error.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Requests | 📊 Level: Beginner
**Topic:** Securely manage API keys and credentials by loading environment variables from a .env file using load_dotenv() and retrieving them in Python via os.getenv().
---
 | [FOOTER RULE - STRICT] End your response with: '--- ⚡ *Coding5s Mentor System — Eliminating Epistemic Debt*' | </v>
      </c>
      <c r="M15" s="52">
        <v>0</v>
      </c>
      <c r="N15" s="104" t="str">
        <f t="shared" si="3"/>
        <v>[ROLE] Careless Python Developer | [TASK] Generate debugging challenges in Python | | [TOPIC] Securely manage API keys and credentials by loading environment variables from a .env file using load_dotenv() and retrieving them in Python via os.getenv(). | | [LEVEL] Beginner |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2 🐛 Debug | Python - Requests | 📊 Level: Beginner | 🌐 Coding5s.com
Concept: Introduction to python-dotenv (load_dotenv,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Securely manage API keys and credentials by loading environment variables from a .env file using load_dotenv() and retrieving them in Python via os.getenv().. Topic details: Introduction to python-dotenv (load_dotenv, os.getenv)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Requests | 📊 Level: Beginner
**Topic:** Securely manage API keys and credentials by loading environment variables from a .env file using load_dotenv() and retrieving them in Python via os.getenv().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4" t="str">
        <f t="shared" si="5"/>
        <v>[ROLE] Tech Lead | [TASK] Assign incomplete Python script challenges | [TOPIC] Securely manage API keys and credentials by loading environment variables from a .env file using load_dotenv() and retrieving them in Python via os.getenv().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3 🧩 Complete | Python - Requests | 📊 Level: Beginner | 🌐 Coding5s.com
**Concept:** Introduction to python-dotenv (load_dotenv,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Securely manage API keys and credentials by loading environment variables from a .env file using load_dotenv() and retrieving them in Python via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Securely manage API keys and credentials by loading environment variables from a .env file using load_dotenv() and retrieving them in Python via os.getenv().. Topic details: Introduction to python-dotenv (load_dotenv, os.getenv)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Requests | 📊 Level: Beginner
**Topic:** Securely manage API keys and credentials by loading environment variables from a .env file using load_dotenv() and retrieving them in Python via os.getenv().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4" t="str">
        <f t="shared" si="7"/>
        <v>[ROLE] Tech Lead | [TASK] Provide intentionally messy but functional code for learning debugging and improvement | [TOPIC] Securely manage API keys and credentials by loading environment variables from a .env file using load_dotenv() and retrieving them in Python via os.getenv().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Requests | 📊 Level: Beginner | 🌐 Coding5s.com
**Concept:** Introduction to python-dotenv (load_dotenv, os.getenv)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Securely manage API keys and credentials by loading environment variables from a .env file using load_dotenv() and retrieving them in Python via os.getenv().. Topic details: Introduction to python-dotenv (load_dotenv,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Requests | 📊 Level: Beginner
**Topic:** Securely manage API keys and credentials by loading environment variables from a .env file using load_dotenv() and retrieving them in Python via os.getenv().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8" t="str">
        <f t="shared" si="9"/>
        <v>[ROLE] Tech Product Manager assigning a Python Jira Ticket | [TASK] Provide a guided implementation exercise with full solution for learning purposes | [TOPIC] Securely manage API keys and credentials by loading environment variables from a .env file using load_dotenv() and retrieving them in Python via os.getenv(). | [LEVEL] Beginner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Requests | 📊 Level: Beginner | 🌐 Coding5s.com
**Concept:** Introduction to python-dotenv (load_dotenv, os.getenv)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Securely manage API keys and credentials by loading environment variables from a .env file using load_dotenv() and retrieving them in Python via os.getenv().. Goal: Introduction to python-dotenv (load_dotenv,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Requests | 📊 Level: Beginner
**Topic:** Securely manage API keys and credentials by loading environment variables from a .env file using load_dotenv() and retrieving them in Python via os.getenv().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87</v>
      </c>
      <c r="AF15" s="40" t="s">
        <v>88</v>
      </c>
      <c r="AG15" s="40" t="s">
        <v>89</v>
      </c>
      <c r="AH15" s="56" t="str">
        <f t="shared" si="16"/>
        <v/>
      </c>
      <c r="AI15" s="54"/>
      <c r="AJ15" s="54" t="s">
        <v>90</v>
      </c>
      <c r="AK15" s="54">
        <v>7</v>
      </c>
      <c r="AL15" s="54" t="s">
        <v>91</v>
      </c>
      <c r="AM15" s="54" t="s">
        <v>92</v>
      </c>
    </row>
    <row r="16" spans="1:39">
      <c r="A16" s="96">
        <v>8</v>
      </c>
      <c r="B16" s="45" t="str" cm="1">
        <f t="array" ref="B16">IF(H16="PROJECT", CHAR(10) &amp; "- " &amp; _xlfn.TEXTJOIN(CHAR(10) &amp; "- ", TRUE, _xlfn._xlws.FILTER($I$9:$I$1000, ($C$9:$C$1000=C16) * ($H$9:$H$1000="Topic"))), "")</f>
        <v/>
      </c>
      <c r="C16" s="45">
        <f t="shared" si="0"/>
        <v>2</v>
      </c>
      <c r="D16" s="57">
        <v>4</v>
      </c>
      <c r="E16" s="58" t="s">
        <v>49</v>
      </c>
      <c r="F16" s="59">
        <v>8</v>
      </c>
      <c r="G16" s="60" t="s">
        <v>50</v>
      </c>
      <c r="H16" s="60" t="s">
        <v>51</v>
      </c>
      <c r="I16" s="61" t="s">
        <v>672</v>
      </c>
      <c r="J16" s="62" t="s">
        <v>673</v>
      </c>
      <c r="K16" s="103" t="str">
        <f t="shared" si="1"/>
        <v xml:space="preserve">[ROLE] Friendly tutor specializing in Python | [TOPIC] Modify default HTTP headers by passing a dictionary to the headers parameter in requests to set custom User-Agents or specify accepted content types. | [LEVEL] Beginner | [COUNT] 4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 | Stage 1 📖 Practice | Python - Requests | 📊 Level: Beginner | 🌐 Coding5s.com
**Concept:** Customizing Request Headers (headers dictionary)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default HTTP headers by passing a dictionary to the headers parameter in requests to set custom User-Agents or specify accepted content types.. Topic details: Customizing Request Headers (headers dictionary)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Requests | 📊 Level: Beginner
**Topic:** Modify default HTTP headers by passing a dictionary to the headers parameter in requests to set custom User-Agents or specify accepted content types.
---
 | [FOOTER RULE - STRICT] End your response with: '--- ⚡ *Coding5s Mentor System — Eliminating Epistemic Debt*' | </v>
      </c>
      <c r="M16" s="52">
        <v>0</v>
      </c>
      <c r="N16" s="104" t="str">
        <f t="shared" si="3"/>
        <v>[ROLE] Careless Python Developer | [TASK] Generate debugging challenges in Python | | [TOPIC] Modify default HTTP headers by passing a dictionary to the headers parameter in requests to set custom User-Agents or specify accepted content types. | | [LEVEL] Beginner |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2 🐛 Debug | Python - Requests | 📊 Level: Beginner | 🌐 Coding5s.com
Concept: Customizing Request Headers (headers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default HTTP headers by passing a dictionary to the headers parameter in requests to set custom User-Agents or specify accepted content types.. Topic details: Customizing Request Headers (headers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Requests | 📊 Level: Beginner
**Topic:** Modify default HTTP headers by passing a dictionary to the headers parameter in requests to set custom User-Agents or specify accepted content types.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4" t="str">
        <f t="shared" si="5"/>
        <v>[ROLE] Tech Lead | [TASK] Assign incomplete Python script challenges | [TOPIC] Modify default HTTP headers by passing a dictionary to the headers parameter in requests to set custom User-Agents or specify accepted content types. | [LEVEL] Beginner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3 🧩 Complete | Python - Requests | 📊 Level: Beginner | 🌐 Coding5s.com
**Concept:** Customizing Request Headers (headers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default HTTP headers by passing a dictionary to the headers parameter in requests to set custom User-Agents or specify accepted content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default HTTP headers by passing a dictionary to the headers parameter in requests to set custom User-Agents or specify accepted content types.. Topic details: Customizing Request Headers (headers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Requests | 📊 Level: Beginner
**Topic:** Modify default HTTP headers by passing a dictionary to the headers parameter in requests to set custom User-Agents or specify accepted content types.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4" t="str">
        <f t="shared" si="7"/>
        <v>[ROLE] Tech Lead | [TASK] Provide intentionally messy but functional code for learning debugging and improvement | [TOPIC] Modify default HTTP headers by passing a dictionary to the headers parameter in requests to set custom User-Agents or specify accepted content types. | [LEVEL] Beginner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Requests | 📊 Level: Beginner | 🌐 Coding5s.com
**Concept:** Customizing Request Headers (headers dictionary)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default HTTP headers by passing a dictionary to the headers parameter in requests to set custom User-Agents or specify accepted content types.. Topic details: Customizing Request Headers (headers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Requests | 📊 Level: Beginner
**Topic:** Modify default HTTP headers by passing a dictionary to the headers parameter in requests to set custom User-Agents or specify accepted content types.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8" t="str">
        <f t="shared" si="9"/>
        <v>[ROLE] Tech Product Manager assigning a Python Jira Ticket | [TASK] Provide a guided implementation exercise with full solution for learning purposes | [TOPIC] Modify default HTTP headers by passing a dictionary to the headers parameter in requests to set custom User-Agents or specify accepted content types. | [LEVEL] Beginner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Requests | 📊 Level: Beginner | 🌐 Coding5s.com
**Concept:** Customizing Request Headers (headers dictionary)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default HTTP headers by passing a dictionary to the headers parameter in requests to set custom User-Agents or specify accepted content types.. Goal: Customizing Request Headers (headers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Requests | 📊 Level: Beginner
**Topic:** Modify default HTTP headers by passing a dictionary to the headers parameter in requests to set custom User-Agents or specify accepted content types.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
      </c>
      <c r="AA16" s="56" t="str">
        <f t="shared" si="12"/>
        <v/>
      </c>
      <c r="AB16" s="56" t="str">
        <f t="shared" si="13"/>
        <v/>
      </c>
      <c r="AC16" s="56" t="str">
        <f t="shared" si="14"/>
        <v/>
      </c>
      <c r="AD16" s="56" t="str">
        <f t="shared" si="15"/>
        <v/>
      </c>
      <c r="AE16" s="40" t="s">
        <v>93</v>
      </c>
      <c r="AF16" s="40" t="s">
        <v>94</v>
      </c>
      <c r="AG16" s="40" t="s">
        <v>95</v>
      </c>
      <c r="AH16" s="56" t="str">
        <f t="shared" si="16"/>
        <v/>
      </c>
      <c r="AI16" s="54"/>
      <c r="AJ16" s="54"/>
      <c r="AK16" s="54">
        <v>8</v>
      </c>
      <c r="AL16" s="54" t="s">
        <v>96</v>
      </c>
      <c r="AM16" s="54" t="s">
        <v>97</v>
      </c>
    </row>
    <row r="17" spans="1:39">
      <c r="A17" s="96">
        <v>8</v>
      </c>
      <c r="B17" s="45" t="str" cm="1">
        <f t="array" ref="B17">IF(H17="PROJECT", CHAR(10) &amp; "- " &amp; _xlfn.TEXTJOIN(CHAR(10) &amp; "- ", TRUE, _xlfn._xlws.FILTER($I$9:$I$1000, ($C$9:$C$1000=C17) * ($H$9:$H$1000="Topic"))), "")</f>
        <v/>
      </c>
      <c r="C17" s="45">
        <f t="shared" si="0"/>
        <v>2</v>
      </c>
      <c r="D17" s="46">
        <v>3</v>
      </c>
      <c r="E17" s="58" t="s">
        <v>49</v>
      </c>
      <c r="F17" s="48">
        <v>9</v>
      </c>
      <c r="G17" s="49" t="s">
        <v>50</v>
      </c>
      <c r="H17" s="49" t="s">
        <v>51</v>
      </c>
      <c r="I17" s="50" t="s">
        <v>674</v>
      </c>
      <c r="J17" s="51" t="s">
        <v>675</v>
      </c>
      <c r="K17" s="103" t="str">
        <f t="shared" si="1"/>
        <v xml:space="preserve">[ROLE] Friendly tutor specializing in Python | [TOPIC] Authenticate HTTP requests by providing a tuple containing a username and password to the auth parameter to access protected basic-auth API endpoints. | [LEVEL] Beginner | [COUNT] 3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 | Stage 1 📖 Practice | Python - Requests | 📊 Level: Beginner | 🌐 Coding5s.com
**Concept:** Implementing Basic Authentication (auth tuple)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Authenticate HTTP requests by providing a tuple containing a username and password to the auth parameter to access protected basic-auth API endpoints.. Topic details: Implementing Basic Authentication (auth tuple)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Requests | 📊 Level: Beginner
**Topic:** Authenticate HTTP requests by providing a tuple containing a username and password to the auth parameter to access protected basic-auth API endpoints.
---
 | [FOOTER RULE - STRICT] End your response with: '--- ⚡ *Coding5s Mentor System — Eliminating Epistemic Debt*' | </v>
      </c>
      <c r="M17" s="53">
        <v>0</v>
      </c>
      <c r="N17" s="104" t="str">
        <f t="shared" si="3"/>
        <v>[ROLE] Careless Python Developer | [TASK] Generate debugging challenges in Python | | [TOPIC] Authenticate HTTP requests by providing a tuple containing a username and password to the auth parameter to access protected basic-auth API endpoints. | | [LEVEL] Beginner |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2 🐛 Debug | Python - Requests | 📊 Level: Beginner | 🌐 Coding5s.com
Concept: Implementing Basic Authentication (auth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Authenticate HTTP requests by providing a tuple containing a username and password to the auth parameter to access protected basic-auth API endpoints.. Topic details: Implementing Basic Authentication (auth tuple)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Requests | 📊 Level: Beginner
**Topic:** Authenticate HTTP requests by providing a tuple containing a username and password to the auth parameter to access protected basic-auth API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4" t="str">
        <f t="shared" si="5"/>
        <v>[ROLE] Tech Lead | [TASK] Assign incomplete Python script challenges | [TOPIC] Authenticate HTTP requests by providing a tuple containing a username and password to the auth parameter to access protected basic-auth API endpoints.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3 🧩 Complete | Python - Requests | 📊 Level: Beginner | 🌐 Coding5s.com
**Concept:** Implementing Basic Authentication (auth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Authenticate HTTP requests by providing a tuple containing a username and password to the auth parameter to access protected basic-auth API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Authenticate HTTP requests by providing a tuple containing a username and password to the auth parameter to access protected basic-auth API endpoints.. Topic details: Implementing Basic Authentication (auth tuple)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Requests | 📊 Level: Beginner
**Topic:** Authenticate HTTP requests by providing a tuple containing a username and password to the auth parameter to access protected basic-auth API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4" t="str">
        <f t="shared" si="7"/>
        <v>[ROLE] Tech Lead | [TASK] Provide intentionally messy but functional code for learning debugging and improvement | [TOPIC] Authenticate HTTP requests by providing a tuple containing a username and password to the auth parameter to access protected basic-auth API endpoints. | [LEVEL] Beginner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Requests | 📊 Level: Beginner | 🌐 Coding5s.com
**Concept:** Implementing Basic Authentication (auth tuple)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Authenticate HTTP requests by providing a tuple containing a username and password to the auth parameter to access protected basic-auth API endpoints.. Topic details: Implementing Basic Authentication (auth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Requests | 📊 Level: Beginner
**Topic:** Authenticate HTTP requests by providing a tuple containing a username and password to the auth parameter to access protected basic-auth API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8" t="str">
        <f t="shared" si="9"/>
        <v>[ROLE] Tech Product Manager assigning a Python Jira Ticket | [TASK] Provide a guided implementation exercise with full solution for learning purposes | [TOPIC] Authenticate HTTP requests by providing a tuple containing a username and password to the auth parameter to access protected basic-auth API endpoints. | [LEVEL] Beginner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Requests | 📊 Level: Beginner | 🌐 Coding5s.com
**Concept:** Implementing Basic Authentication (auth tuple)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Authenticate HTTP requests by providing a tuple containing a username and password to the auth parameter to access protected basic-auth API endpoints.. Goal: Implementing Basic Authentication (auth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Requests | 📊 Level: Beginner
**Topic:** Authenticate HTTP requests by providing a tuple containing a username and password to the auth parameter to access protected basic-auth API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98</v>
      </c>
      <c r="AF17" s="40" t="s">
        <v>99</v>
      </c>
      <c r="AG17" s="40" t="s">
        <v>100</v>
      </c>
      <c r="AH17" s="56" t="str">
        <f t="shared" si="16"/>
        <v/>
      </c>
      <c r="AI17" s="54"/>
      <c r="AJ17" s="54"/>
      <c r="AK17" s="54">
        <v>9</v>
      </c>
      <c r="AL17" s="54" t="s">
        <v>101</v>
      </c>
      <c r="AM17" s="54" t="s">
        <v>102</v>
      </c>
    </row>
    <row r="18" spans="1:39">
      <c r="A18" s="96">
        <v>8</v>
      </c>
      <c r="B18" s="45" t="str" cm="1">
        <f t="array" ref="B18">IF(H18="PROJECT", CHAR(10) &amp; "- " &amp; _xlfn.TEXTJOIN(CHAR(10) &amp; "- ", TRUE, _xlfn._xlws.FILTER($I$9:$I$1000, ($C$9:$C$1000=C18) * ($H$9:$H$1000="Topic"))), "")</f>
        <v/>
      </c>
      <c r="C18" s="45">
        <f t="shared" si="0"/>
        <v>2</v>
      </c>
      <c r="D18" s="57">
        <v>4</v>
      </c>
      <c r="E18" s="58" t="s">
        <v>49</v>
      </c>
      <c r="F18" s="59">
        <v>10</v>
      </c>
      <c r="G18" s="60" t="s">
        <v>50</v>
      </c>
      <c r="H18" s="60" t="s">
        <v>51</v>
      </c>
      <c r="I18" s="61" t="s">
        <v>676</v>
      </c>
      <c r="J18" s="62" t="s">
        <v>677</v>
      </c>
      <c r="K18" s="103" t="str">
        <f t="shared" si="1"/>
        <v xml:space="preserve">[ROLE] Friendly tutor specializing in Python | [TOPIC] Authorize API access by injecting a Bearer token into the Authorization header using a custom headers dictionary within the requests library. | [LEVEL] Beginner | [COUNT] 4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 | Stage 1 📖 Practice | Python - Requests | 📊 Level: Beginner | 🌐 Coding5s.com
**Concept:** Implementing Bearer Token Authentication (via custom headers)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Authorize API access by injecting a Bearer token into the Authorization header using a custom headers dictionary within the requests library.. Topic details: Implementing Bearer Token Authentication (via custom headers)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Requests | 📊 Level: Beginner
**Topic:** Authorize API access by injecting a Bearer token into the Authorization header using a custom headers dictionary within the requests library.
---
 | [FOOTER RULE - STRICT] End your response with: '--- ⚡ *Coding5s Mentor System — Eliminating Epistemic Debt*' | </v>
      </c>
      <c r="M18" s="52">
        <v>0</v>
      </c>
      <c r="N18" s="104" t="str">
        <f t="shared" si="3"/>
        <v>[ROLE] Careless Python Developer | [TASK] Generate debugging challenges in Python | | [TOPIC] Authorize API access by injecting a Bearer token into the Authorization header using a custom headers dictionary within the requests library. | | [LEVEL] Beginner |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2 🐛 Debug | Python - Requests | 📊 Level: Beginner | 🌐 Coding5s.com
Concept: Implementing Bearer Token Authentication (via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Authorize API access by injecting a Bearer token into the Authorization header using a custom headers dictionary within the requests library.. Topic details: Implementing Bearer Token Authentication (via custom headers)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Requests | 📊 Level: Beginner
**Topic:** Authorize API access by injecting a Bearer token into the Authorization header using a custom headers dictionary within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4" t="str">
        <f t="shared" si="5"/>
        <v>[ROLE] Tech Lead | [TASK] Assign incomplete Python script challenges | [TOPIC] Authorize API access by injecting a Bearer token into the Authorization header using a custom headers dictionary within the requests library. | [LEVEL] Beginner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3 🧩 Complete | Python - Requests | 📊 Level: Beginner | 🌐 Coding5s.com
**Concept:** Implementing Bearer Token Authentication (via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Authorize API access by injecting a Bearer token into the Authorization header using a custom headers dictionary within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Authorize API access by injecting a Bearer token into the Authorization header using a custom headers dictionary within the requests library.. Topic details: Implementing Bearer Token Authentication (via custom headers)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Requests | 📊 Level: Beginner
**Topic:** Authorize API access by injecting a Bearer token into the Authorization header using a custom headers dictionary within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4" t="str">
        <f t="shared" si="7"/>
        <v>[ROLE] Tech Lead | [TASK] Provide intentionally messy but functional code for learning debugging and improvement | [TOPIC] Authorize API access by injecting a Bearer token into the Authorization header using a custom headers dictionary within the requests library. | [LEVEL] Beginner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Requests | 📊 Level: Beginner | 🌐 Coding5s.com
**Concept:** Implementing Bearer Token Authentication (via custom headers)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Authorize API access by injecting a Bearer token into the Authorization header using a custom headers dictionary within the requests library.. Topic details: Implementing Bearer Token Authentication (via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Requests | 📊 Level: Beginner
**Topic:** Authorize API access by injecting a Bearer token into the Authorization header using a custom headers dictionary within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8" t="str">
        <f t="shared" si="9"/>
        <v>[ROLE] Tech Product Manager assigning a Python Jira Ticket | [TASK] Provide a guided implementation exercise with full solution for learning purposes | [TOPIC] Authorize API access by injecting a Bearer token into the Authorization header using a custom headers dictionary within the requests library. | [LEVEL] Beginner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Requests | 📊 Level: Beginner | 🌐 Coding5s.com
**Concept:** Implementing Bearer Token Authentication (via custom headers)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Authorize API access by injecting a Bearer token into the Authorization header using a custom headers dictionary within the requests library.. Goal: Implementing Bearer Token Authentication (via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Requests | 📊 Level: Beginner
**Topic:** Authorize API access by injecting a Bearer token into the Authorization header using a custom headers dictionary within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103</v>
      </c>
      <c r="AF18" s="40" t="s">
        <v>104</v>
      </c>
      <c r="AG18" s="40" t="s">
        <v>105</v>
      </c>
      <c r="AH18" s="56" t="str">
        <f t="shared" si="16"/>
        <v/>
      </c>
      <c r="AI18" s="54"/>
      <c r="AJ18" s="54"/>
      <c r="AK18" s="54">
        <v>10</v>
      </c>
      <c r="AL18" s="54" t="s">
        <v>106</v>
      </c>
      <c r="AM18" s="54" t="s">
        <v>107</v>
      </c>
    </row>
    <row r="19" spans="1:39">
      <c r="A19" s="96">
        <v>8</v>
      </c>
      <c r="B19" s="45" t="str" cm="1">
        <f t="array" ref="B19">IF(H19="PROJECT", CHAR(10) &amp; "- " &amp; _xlfn.TEXTJOIN(CHAR(10) &amp; "- ", TRUE, _xlfn._xlws.FILTER($I$9:$I$1000, ($C$9:$C$1000=C19) * ($H$9:$H$1000="Topic"))), "")</f>
        <v/>
      </c>
      <c r="C19" s="45">
        <f t="shared" si="0"/>
        <v>2</v>
      </c>
      <c r="D19" s="46">
        <v>4</v>
      </c>
      <c r="E19" s="58" t="s">
        <v>49</v>
      </c>
      <c r="F19" s="48">
        <v>11</v>
      </c>
      <c r="G19" s="49" t="s">
        <v>50</v>
      </c>
      <c r="H19" s="49" t="s">
        <v>51</v>
      </c>
      <c r="I19" s="50" t="s">
        <v>678</v>
      </c>
      <c r="J19" s="51" t="s">
        <v>679</v>
      </c>
      <c r="K19" s="103" t="str">
        <f t="shared" si="1"/>
        <v xml:space="preserve">[ROLE] Friendly tutor specializing in Python | [TOPIC] Implement automatic error checking by invoking the raise_for_status() method on a response object to throw an exception for unsuccessful HTTP status codes. | [LEVEL] Beginner | [COUNT] 4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 | Stage 1 📖 Practice | Python - Requests | 📊 Level: Beginner | 🌐 Coding5s.com
**Concept:** Handling HTTP Errors Automatically (raise_for_status())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automatic error checking by invoking the raise_for_status() method on a response object to throw an exception for unsuccessful HTTP status codes.. Topic details: Handling HTTP Errors Automatically (raise_for_status())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Requests | 📊 Level: Beginner
**Topic:** Implement automatic error checking by invoking the raise_for_status() method on a response object to throw an exception for unsuccessful HTTP status codes.
---
 | [FOOTER RULE - STRICT] End your response with: '--- ⚡ *Coding5s Mentor System — Eliminating Epistemic Debt*' | </v>
      </c>
      <c r="M19" s="53">
        <v>0</v>
      </c>
      <c r="N19" s="104" t="str">
        <f t="shared" si="3"/>
        <v>[ROLE] Careless Python Developer | [TASK] Generate debugging challenges in Python | | [TOPIC] Implement automatic error checking by invoking the raise_for_status() method on a response object to throw an exception for unsuccessful HTTP status codes. | | [LEVEL] Beginner |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2 🐛 Debug | Python - Requests | 📊 Level: Beginner | 🌐 Coding5s.com
Concept: Handling HTTP Errors Automatically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automatic error checking by invoking the raise_for_status() method on a response object to throw an exception for unsuccessful HTTP status codes.. Topic details: Handling HTTP Errors Automatically (raise_for_status())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Requests | 📊 Level: Beginner
**Topic:** Implement automatic error checking by invoking the raise_for_status() method on a response object to throw an exception for unsuccessful HTTP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4" t="str">
        <f t="shared" si="5"/>
        <v>[ROLE] Tech Lead | [TASK] Assign incomplete Python script challenges | [TOPIC] Implement automatic error checking by invoking the raise_for_status() method on a response object to throw an exception for unsuccessful HTTP status codes. | [LEVEL] Beginner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3 🧩 Complete | Python - Requests | 📊 Level: Beginner | 🌐 Coding5s.com
**Concept:** Handling HTTP Errors Automatically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automatic error checking by invoking the raise_for_status() method on a response object to throw an exception for unsuccessful HTTP status codes..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automatic error checking by invoking the raise_for_status() method on a response object to throw an exception for unsuccessful HTTP status codes.. Topic details: Handling HTTP Errors Automatically (raise_for_status())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Requests | 📊 Level: Beginner
**Topic:** Implement automatic error checking by invoking the raise_for_status() method on a response object to throw an exception for unsuccessful HTTP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4" t="str">
        <f t="shared" si="7"/>
        <v>[ROLE] Tech Lead | [TASK] Provide intentionally messy but functional code for learning debugging and improvement | [TOPIC] Implement automatic error checking by invoking the raise_for_status() method on a response object to throw an exception for unsuccessful HTTP status codes. | [LEVEL] Beginner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Requests | 📊 Level: Beginner | 🌐 Coding5s.com
**Concept:** Handling HTTP Errors Automatically (raise_for_status())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automatic error checking by invoking the raise_for_status() method on a response object to throw an exception for unsuccessful HTTP status codes.. Topic details: Handling HTTP Errors Automatically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Requests | 📊 Level: Beginner
**Topic:** Implement automatic error checking by invoking the raise_for_status() method on a response object to throw an exception for unsuccessful HTTP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8" t="str">
        <f t="shared" si="9"/>
        <v>[ROLE] Tech Product Manager assigning a Python Jira Ticket | [TASK] Provide a guided implementation exercise with full solution for learning purposes | [TOPIC] Implement automatic error checking by invoking the raise_for_status() method on a response object to throw an exception for unsuccessful HTTP status codes. | [LEVEL] Beginner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Requests | 📊 Level: Beginner | 🌐 Coding5s.com
**Concept:** Handling HTTP Errors Automatically (raise_for_status())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automatic error checking by invoking the raise_for_status() method on a response object to throw an exception for unsuccessful HTTP status codes.. Goal: Handling HTTP Errors Automatically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Requests | 📊 Level: Beginner
**Topic:** Implement automatic error checking by invoking the raise_for_status() method on a response object to throw an exception for unsuccessful HTTP status codes.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108</v>
      </c>
      <c r="AF19" s="40" t="s">
        <v>109</v>
      </c>
      <c r="AG19" s="40" t="s">
        <v>110</v>
      </c>
      <c r="AH19" s="56" t="str">
        <f t="shared" si="16"/>
        <v/>
      </c>
      <c r="AI19" s="54"/>
      <c r="AJ19" s="54"/>
      <c r="AK19" s="54">
        <v>11</v>
      </c>
      <c r="AL19" s="54" t="s">
        <v>111</v>
      </c>
      <c r="AM19" s="54" t="s">
        <v>112</v>
      </c>
    </row>
    <row r="20" spans="1:39">
      <c r="A20" s="96" t="s">
        <v>80</v>
      </c>
      <c r="B20" s="45" t="str" cm="1">
        <f t="array" ref="B20">IF(H20="PROJECT", CHAR(10) &amp; "- " &amp; _xlfn.TEXTJOIN(CHAR(10) &amp; "- ", TRUE, _xlfn._xlws.FILTER($I$9:$I$1000, ($C$9:$C$1000=C20) * ($H$9:$H$1000="Topic"))), "")</f>
        <v xml:space="preserve">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v>
      </c>
      <c r="C20" s="45">
        <f t="shared" si="0"/>
        <v>2</v>
      </c>
      <c r="D20" s="57">
        <v>0</v>
      </c>
      <c r="E20" s="58" t="s">
        <v>667</v>
      </c>
      <c r="F20" s="59">
        <v>12</v>
      </c>
      <c r="G20" s="60" t="s">
        <v>50</v>
      </c>
      <c r="H20" s="60" t="s">
        <v>81</v>
      </c>
      <c r="I20" s="61" t="s">
        <v>680</v>
      </c>
      <c r="J20" s="62" t="s">
        <v>681</v>
      </c>
      <c r="K20" s="103" t="str">
        <f t="shared" si="1"/>
        <v>[TASK] Teach through a practical Python - Requests project following the micro-learning methodology, acting as a supportive tutor, creating a project about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Requests | 📊 Level: Beginner | 🌐 Coding5s.com
**Project:** Secure API Client (Dotenv integration, Auth, Headers, Error Handling)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0"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API client that takes credentials from a .env file as input, processes the connection by authenticating via custom headers and handling HTTP errors automatically, and outputs the protected data fetched securely.. Topics applied in this project: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Requests | 📊 Level: Beginner
**Project:** Build a secure API client that takes credentials from a .env file as input, processes the connection by authenticating via custom headers and handling HTTP errors automatically, and outputs the protected data fetched securely.
---
 | [FOOTER RULE - STRICT] End your response with: '--- ⚡ *Coding5s Mentor System — Eliminating Epistemic Debt*' | </v>
      </c>
      <c r="M20" s="52">
        <v>0</v>
      </c>
      <c r="N20" s="104" t="str">
        <f t="shared" si="3"/>
        <v>[ROLE] Careless Python Developer | [TASK] Generate debugging project in Python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Requests | 📊 Level: Beginner | 🌐 Coding5s.com
Project: Secure API Client (Dotenv integration, Auth, Headers, Error Handling)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Requests | 📊 Level: Beginner
**Project:** Build a secure API client that takes credentials from a .env file as input, processes the connection by authenticating via custom headers and handling HTTP errors automatically, and outputs the protected data fetched securely.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4" t="str">
        <f t="shared" si="5"/>
        <v>[ROLE] Tech Lead | [TASK] Assign incomplete project script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Requests | 📊 Level: Beginner | 🌐 Coding5s.com
**Project:** Secure API Client (Dotenv integration, Auth, Headers, Error Handling)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Requests | 📊 Level: Beginner
**Project:** Build a secure API client that takes credentials from a .env file as input, processes the connection by authenticating via custom headers and handling HTTP errors automatically, and outputs the protected data fetched securely.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4" t="str">
        <f t="shared" si="7"/>
        <v>[ROLE] Tech Lead | [TASK] Provide a messy but functional project for refactoring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Tech Lead. A junior wrote this working but messy code. Tone: professional but exhausted | [HEADER RULE - STRICT] You MUST start your entire response EXACTLY with this markdown block (do not print anything before it):
### 🚀 Project #12 | Stage 4 | Python - Requests | 📊 Level: Beginner | 🌐 Coding5s.com
**Project:** Secure API Client (Dotenv integration, Auth, Headers, Error Handling)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API client that takes credentials from a .env file as input, processes the connection by authenticating via custom headers and handling HTTP errors automatically, and outputs the protected data fetched securely.. Topics involved: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Project objective: Secure API Client (Dotenv integration, Auth, Headers, Error Handling)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Requests | 📊 Level: Beginner
**Project:** Build a secure API client that takes credentials from a .env file as input, processes the connection by authenticating via custom headers and handling HTTP errors automatically, and outputs the protected data fetched securely.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8" t="str">
        <f t="shared" si="9"/>
        <v>[ROLE] Tech Product Manager assigning a Python Jira Ticket | [TASK] Provide a guided project implementation with full solution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#12 | Stage 5 | Python - Requests | 📊 Level: Beginner | 🌐 Coding5s.com
**Project:** Secure API Client (Dotenv integration, Auth, Headers, Error Handling)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API client that takes credentials from a .env file as input, processes the connection by authenticating via custom headers and handling HTTP errors automatically, and outputs the protected data fetched securely.. Topics integrated: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Business Goal: Secure API Client (Dotenv integration, Auth, Headers, Error Handling)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Requests | 📊 Level: Beginner
**Project:** Build a secure API client that takes credentials from a .env file as input, processes the connection by authenticating via custom headers and handling HTTP errors automatically, and outputs the protected data fetched securely.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[TASK] Teach through a practical Python - Requests project following the micro-learning methodology, acting as a supportive tutor, creating a project about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Requests | 📊 Level: Beginner | 🌐 Coding5s.com
**Project:** Secure API Client (Dotenv integration, Auth, Headers, Error Handling)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0" s="56" t="str">
        <f t="shared" si="12"/>
        <v>[ROLE] Careless Python Developer | [TASK] Generate debugging project in Python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Requests | 📊 Level: Beginner | 🌐 Coding5s.com
Project: Secure API Client (Dotenv integration, Auth, Headers, Error Handling)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0" s="56" t="str">
        <f t="shared" si="13"/>
        <v>[ROLE] Tech Lead | [TASK] Assign incomplete project script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Requests | 📊 Level: Beginner | 🌐 Coding5s.com
**Project:** Secure API Client (Dotenv integration, Auth, Headers, Error Handling)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0" s="56" t="str">
        <f t="shared" si="14"/>
        <v>[ROLE] Tech Lead | [TASK] Provide a messy but functional project for refactoring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Tech Lead. A junior wrote this working but messy code. Tone: professional but exhausted | [HEADER RULE - STRICT] You MUST start your entire response EXACTLY with this markdown block (do not print anything before it):
### 🚀 Project #12 | Stage 4 | Python - Requests | 📊 Level: Beginner | 🌐 Coding5s.com
**Project:** Secure API Client (Dotenv integration, Auth, Headers, Error Handling)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0" s="56" t="str">
        <f t="shared" si="15"/>
        <v>[ROLE] Tech Product Manager assigning a Python Jira Ticket | [TASK] Provide a guided project implementation with full solution | [PROJECT] Build a secure API client that takes credentials from a .env file as input, processes the connection by authenticating via custom headers and handling HTTP errors automatically, and outputs the protected data fetched securely. | [TOPICS USED] 
- Securely manage API keys and credentials by loading environment variables from a .env file using load_dotenv() and retrieving them in Python via os.getenv().
- Modify default HTTP headers by passing a dictionary to the headers parameter in requests to set custom User-Agents or specify accepted content types.
- Authenticate HTTP requests by providing a tuple containing a username and password to the auth parameter to access protected basic-auth API endpoints.
- Authorize API access by injecting a Bearer token into the Authorization header using a custom headers dictionary within the requests library.
- Implement automatic error checking by invoking the raise_for_status() method on a response object to throw an exception for unsuccessful HTTP status codes. | [LEVEL] Beginner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#12 | Stage 5 | Python - Requests | 📊 Level: Beginner | 🌐 Coding5s.com
**Project:** Secure API Client (Dotenv integration, Auth, Headers, Error Handling)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0" s="40" t="s">
        <v>113</v>
      </c>
      <c r="AF20" s="40" t="s">
        <v>114</v>
      </c>
      <c r="AG20" s="40" t="s">
        <v>115</v>
      </c>
      <c r="AH20" s="56" t="str">
        <f t="shared" si="16"/>
        <v/>
      </c>
      <c r="AI20" s="54"/>
      <c r="AJ20" s="54"/>
      <c r="AK20" s="54">
        <v>12</v>
      </c>
      <c r="AL20" s="54" t="s">
        <v>116</v>
      </c>
      <c r="AM20" s="54" t="s">
        <v>117</v>
      </c>
    </row>
    <row r="21" spans="1:39">
      <c r="A21" s="96">
        <v>10</v>
      </c>
      <c r="B21" s="45" t="str" cm="1">
        <f t="array" ref="B21">IF(H21="PROJECT", CHAR(10) &amp; "- " &amp; _xlfn.TEXTJOIN(CHAR(10) &amp; "- ", TRUE, _xlfn._xlws.FILTER($I$9:$I$1000, ($C$9:$C$1000=C21) * ($H$9:$H$1000="Topic"))), "")</f>
        <v/>
      </c>
      <c r="C21" s="45">
        <f t="shared" si="0"/>
        <v>3</v>
      </c>
      <c r="D21" s="46">
        <v>4</v>
      </c>
      <c r="E21" s="58" t="s">
        <v>49</v>
      </c>
      <c r="F21" s="48">
        <v>13</v>
      </c>
      <c r="G21" s="49" t="s">
        <v>163</v>
      </c>
      <c r="H21" s="49" t="s">
        <v>51</v>
      </c>
      <c r="I21" s="50" t="s">
        <v>682</v>
      </c>
      <c r="J21" s="51" t="s">
        <v>683</v>
      </c>
      <c r="K21" s="103" t="str">
        <f t="shared" si="1"/>
        <v xml:space="preserve">[ROLE] Friendly tutor specializing in Python | [TOPIC] Submit standard HTML form-encoded data to a server by passing a dictionary payload to the data parameter within a requests.post() call. | [LEVEL] Intermediate | [COUNT] 4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#13 | Stage 1 📖 Practice | Python - Requests | 📊 Level: Intermediate | 🌐 Coding5s.com
**Concept:** Sending Form-Encoded Data with POST (data parameter)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Submit standard HTML form-encoded data to a server by passing a dictionary payload to the data parameter within a requests.post() call.. Topic details: Sending Form-Encoded Data with POST (data parameter)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Requests | 📊 Level: Intermediate
**Topic:** Submit standard HTML form-encoded data to a server by passing a dictionary payload to the data parameter within a requests.post() call.
---
 | [FOOTER RULE - STRICT] End your response with: '--- ⚡ *Coding5s Mentor System — Eliminating Epistemic Debt*' | </v>
      </c>
      <c r="M21" s="53">
        <v>0</v>
      </c>
      <c r="N21" s="104" t="str">
        <f t="shared" si="3"/>
        <v>[ROLE] Careless Python Developer | [TASK] Generate debugging challenges in Python | | [TOPIC] Submit standard HTML form-encoded data to a server by passing a dictionary payload to the data parameter within a requests.post() call. | | [LEVEL] Intermediate |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2 🐛 Debug | Python - Requests | 📊 Level: Intermediate | 🌐 Coding5s.com
Concept: Sending Form-Encoded Data with POST (data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Submit standard HTML form-encoded data to a server by passing a dictionary payload to the data parameter within a requests.post() call.. Topic details: Sending Form-Encoded Data with POST (data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Requests | 📊 Level: Intermediate
**Topic:** Submit standard HTML form-encoded data to a server by passing a dictionary payload to the data parameter within a requests.post() call.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4" t="str">
        <f t="shared" si="5"/>
        <v>[ROLE] Tech Lead | [TASK] Assign incomplete Python script challenges | [TOPIC] Submit standard HTML form-encoded data to a server by passing a dictionary payload to the data parameter within a requests.post() call. | [LEVEL] Intermediate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3 🧩 Complete | Python - Requests | 📊 Level: Intermediate | 🌐 Coding5s.com
**Concept:** Sending Form-Encoded Data with POST (data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Submit standard HTML form-encoded data to a server by passing a dictionary payload to the data parameter within a requests.post()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Submit standard HTML form-encoded data to a server by passing a dictionary payload to the data parameter within a requests.post() call.. Topic details: Sending Form-Encoded Data with POST (data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Requests | 📊 Level: Intermediate
**Topic:** Submit standard HTML form-encoded data to a server by passing a dictionary payload to the data parameter within a requests.post() call.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4" t="str">
        <f t="shared" si="7"/>
        <v>[ROLE] Tech Lead | [TASK] Provide intentionally messy but functional code for learning debugging and improvement | [TOPIC] Submit standard HTML form-encoded data to a server by passing a dictionary payload to the data parameter within a requests.post() call. | [LEVEL] Intermediate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Requests | 📊 Level: Intermediate | 🌐 Coding5s.com
**Concept:** Sending Form-Encoded Data with POST (data parameter)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Submit standard HTML form-encoded data to a server by passing a dictionary payload to the data parameter within a requests.post() call.. Topic details: Sending Form-Encoded Data with POST (data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Requests | 📊 Level: Intermediate
**Topic:** Submit standard HTML form-encoded data to a server by passing a dictionary payload to the data parameter within a requests.post() call.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8" t="str">
        <f t="shared" si="9"/>
        <v>[ROLE] Tech Product Manager assigning a Python Jira Ticket | [TASK] Provide a guided implementation exercise with full solution for learning purposes | [TOPIC] Submit standard HTML form-encoded data to a server by passing a dictionary payload to the data parameter within a requests.post() call. | [LEVEL] Intermediate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Requests | 📊 Level: Intermediate | 🌐 Coding5s.com
**Concept:** Sending Form-Encoded Data with POST (data parameter)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Submit standard HTML form-encoded data to a server by passing a dictionary payload to the data parameter within a requests.post() call.. Goal: Sending Form-Encoded Data with POST (data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Requests | 📊 Level: Intermediate
**Topic:** Submit standard HTML form-encoded data to a server by passing a dictionary payload to the data parameter within a requests.post() call.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118</v>
      </c>
      <c r="AF21" s="40" t="s">
        <v>119</v>
      </c>
      <c r="AG21" s="40" t="s">
        <v>120</v>
      </c>
      <c r="AH21" s="56" t="str">
        <f t="shared" si="16"/>
        <v/>
      </c>
      <c r="AI21" s="54"/>
      <c r="AJ21" s="54"/>
      <c r="AK21" s="54">
        <v>13</v>
      </c>
      <c r="AL21" s="54" t="s">
        <v>121</v>
      </c>
      <c r="AM21" s="54" t="s">
        <v>122</v>
      </c>
    </row>
    <row r="22" spans="1:39">
      <c r="A22" s="96">
        <v>10</v>
      </c>
      <c r="B22" s="45" t="str" cm="1">
        <f t="array" ref="B22">IF(H22="PROJECT", CHAR(10) &amp; "- " &amp; _xlfn.TEXTJOIN(CHAR(10) &amp; "- ", TRUE, _xlfn._xlws.FILTER($I$9:$I$1000, ($C$9:$C$1000=C22) * ($H$9:$H$1000="Topic"))), "")</f>
        <v/>
      </c>
      <c r="C22" s="45">
        <f t="shared" si="0"/>
        <v>3</v>
      </c>
      <c r="D22" s="57">
        <v>4</v>
      </c>
      <c r="E22" s="58" t="s">
        <v>49</v>
      </c>
      <c r="F22" s="59">
        <v>14</v>
      </c>
      <c r="G22" s="60" t="s">
        <v>163</v>
      </c>
      <c r="H22" s="60" t="s">
        <v>51</v>
      </c>
      <c r="I22" s="61" t="s">
        <v>684</v>
      </c>
      <c r="J22" s="62" t="s">
        <v>685</v>
      </c>
      <c r="K22" s="103" t="str">
        <f t="shared" si="1"/>
        <v xml:space="preserve">[ROLE] Friendly tutor specializing in Python | [TOPIC] Transmit complex data structures to REST APIs by utilizing the json parameter in requests.post() to automatically serialize Python dictionaries into JSON payloads. | [LEVEL] Intermediate | [COUNT] 4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#14 | Stage 1 📖 Practice | Python - Requests | 📊 Level: Intermediate | 🌐 Coding5s.com
**Concept:** Sending JSON Data with POST (json parameter)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complex data structures to REST APIs by utilizing the json parameter in requests.post() to automatically serialize Python dictionaries into JSON payloads.. Topic details: Sending JSON Data with POST (json parameter)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Requests | 📊 Level: Intermediate
**Topic:** Transmit complex data structures to REST APIs by utilizing the json parameter in requests.post() to automatically serialize Python dictionaries into JSON payloads.
---
 | [FOOTER RULE - STRICT] End your response with: '--- ⚡ *Coding5s Mentor System — Eliminating Epistemic Debt*' | </v>
      </c>
      <c r="M22" s="52">
        <v>0</v>
      </c>
      <c r="N22" s="104" t="str">
        <f t="shared" si="3"/>
        <v>[ROLE] Careless Python Developer | [TASK] Generate debugging challenges in Python | | [TOPIC] Transmit complex data structures to REST APIs by utilizing the json parameter in requests.post() to automatically serialize Python dictionaries into JSON payloads. | | [LEVEL] Intermediate |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2 🐛 Debug | Python - Requests | 📊 Level: Intermediate | 🌐 Coding5s.com
Concept: Sending JSON Data with POST (json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complex data structures to REST APIs by utilizing the json parameter in requests.post() to automatically serialize Python dictionaries into JSON payloads.. Topic details: Sending JSON Data with POST (json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Requests | 📊 Level: Intermediate
**Topic:** Transmit complex data structures to REST APIs by utilizing the json parameter in requests.post() to automatically serialize Python dictionaries into JSON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4" t="str">
        <f t="shared" si="5"/>
        <v>[ROLE] Tech Lead | [TASK] Assign incomplete Python script challenges | [TOPIC] Transmit complex data structures to REST APIs by utilizing the json parameter in requests.post() to automatically serialize Python dictionaries into JSON payloads. | [LEVEL] Intermediate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3 🧩 Complete | Python - Requests | 📊 Level: Intermediate | 🌐 Coding5s.com
**Concept:** Sending JSON Data with POST (json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complex data structures to REST APIs by utilizing the json parameter in requests.post() to automatically serialize Python dictionaries into JSON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complex data structures to REST APIs by utilizing the json parameter in requests.post() to automatically serialize Python dictionaries into JSON payloads.. Topic details: Sending JSON Data with POST (json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Requests | 📊 Level: Intermediate
**Topic:** Transmit complex data structures to REST APIs by utilizing the json parameter in requests.post() to automatically serialize Python dictionaries into JSON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4" t="str">
        <f t="shared" si="7"/>
        <v>[ROLE] Tech Lead | [TASK] Provide intentionally messy but functional code for learning debugging and improvement | [TOPIC] Transmit complex data structures to REST APIs by utilizing the json parameter in requests.post() to automatically serialize Python dictionaries into JSON payloads. | [LEVEL] Intermediate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Requests | 📊 Level: Intermediate | 🌐 Coding5s.com
**Concept:** Sending JSON Data with POST (json parameter)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complex data structures to REST APIs by utilizing the json parameter in requests.post() to automatically serialize Python dictionaries into JSON payloads.. Topic details: Sending JSON Data with POST (json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Requests | 📊 Level: Intermediate
**Topic:** Transmit complex data structures to REST APIs by utilizing the json parameter in requests.post() to automatically serialize Python dictionaries into JSON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8" t="str">
        <f t="shared" si="9"/>
        <v>[ROLE] Tech Product Manager assigning a Python Jira Ticket | [TASK] Provide a guided implementation exercise with full solution for learning purposes | [TOPIC] Transmit complex data structures to REST APIs by utilizing the json parameter in requests.post() to automatically serialize Python dictionaries into JSON payloads. | [LEVEL] Intermediate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Requests | 📊 Level: Intermediate | 🌐 Coding5s.com
**Concept:** Sending JSON Data with POST (json parameter)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complex data structures to REST APIs by utilizing the json parameter in requests.post() to automatically serialize Python dictionaries into JSON payloads.. Goal: Sending JSON Data with POST (json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Requests | 📊 Level: Intermediate
**Topic:** Transmit complex data structures to REST APIs by utilizing the json parameter in requests.post() to automatically serialize Python dictionaries into JSON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123</v>
      </c>
      <c r="AF22" s="40" t="s">
        <v>124</v>
      </c>
      <c r="AG22" s="40" t="s">
        <v>125</v>
      </c>
      <c r="AH22" s="56" t="str">
        <f t="shared" si="16"/>
        <v/>
      </c>
      <c r="AI22" s="54"/>
      <c r="AJ22" s="54"/>
      <c r="AK22" s="54">
        <v>14</v>
      </c>
      <c r="AL22" s="54" t="s">
        <v>126</v>
      </c>
      <c r="AM22" s="54" t="s">
        <v>127</v>
      </c>
    </row>
    <row r="23" spans="1:39">
      <c r="A23" s="96">
        <v>12</v>
      </c>
      <c r="B23" s="45" t="str" cm="1">
        <f t="array" ref="B23">IF(H23="PROJECT", CHAR(10) &amp; "- " &amp; _xlfn.TEXTJOIN(CHAR(10) &amp; "- ", TRUE, _xlfn._xlws.FILTER($I$9:$I$1000, ($C$9:$C$1000=C23) * ($H$9:$H$1000="Topic"))), "")</f>
        <v/>
      </c>
      <c r="C23" s="45">
        <f t="shared" si="0"/>
        <v>3</v>
      </c>
      <c r="D23" s="46">
        <v>5</v>
      </c>
      <c r="E23" s="58" t="s">
        <v>49</v>
      </c>
      <c r="F23" s="48">
        <v>15</v>
      </c>
      <c r="G23" s="49" t="s">
        <v>163</v>
      </c>
      <c r="H23" s="49" t="s">
        <v>51</v>
      </c>
      <c r="I23" s="50" t="s">
        <v>686</v>
      </c>
      <c r="J23" s="51" t="s">
        <v>687</v>
      </c>
      <c r="K23" s="103" t="str">
        <f t="shared" si="1"/>
        <v xml:space="preserve">[ROLE] Friendly tutor specializing in Python | [TOPIC] Manage server-side resources by executing requests.put() to replace data, requests.patch() for partial updates, and requests.delete() to remove specified endpoints. | [LEVEL] Intermediate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#15 | Stage 1 📖 Practice | Python - Requests | 📊 Level: Intermediate | 🌐 Coding5s.com
**Concept:** Modifying and Deleting Resources (requests.put, .patch, .delete)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server-side resources by executing requests.put() to replace data, requests.patch() for partial updates, and requests.delete() to remove specified endpoints.. Topic details: Modifying and Deleting Resources (requests.put, .patch, .delete)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Requests | 📊 Level: Intermediate
**Topic:** Manage server-side resources by executing requests.put() to replace data, requests.patch() for partial updates, and requests.delete() to remove specified endpoints.
---
 | [FOOTER RULE - STRICT] End your response with: '--- ⚡ *Coding5s Mentor System — Eliminating Epistemic Debt*' | </v>
      </c>
      <c r="M23" s="53">
        <v>0</v>
      </c>
      <c r="N23" s="104" t="str">
        <f t="shared" si="3"/>
        <v>[ROLE] Careless Python Developer | [TASK] Generate debugging challenges in Python | | [TOPIC] Manage server-side resources by executing requests.put() to replace data, requests.patch() for partial updates, and requests.delete() to remove specified endpoints. | | [LEVEL] Intermediate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2 🐛 Debug | Python - Requests | 📊 Level: Intermediate | 🌐 Coding5s.com
Concept: Modifying and Deleting Resources (requests.put, .patch, .delete)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server-side resources by executing requests.put() to replace data, requests.patch() for partial updates, and requests.delete() to remove specified endpoints.. Topic details: Modifying and Deleting Resources (requests.put, .patch, .delete)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Requests | 📊 Level: Intermediate
**Topic:** Manage server-side resources by executing requests.put() to replace data, requests.patch() for partial updates, and requests.delete() to remove specified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4" t="str">
        <f t="shared" si="5"/>
        <v>[ROLE] Tech Lead | [TASK] Assign incomplete Python script challenges | [TOPIC] Manage server-side resources by executing requests.put() to replace data, requests.patch() for partial updates, and requests.delete() to remove specified endpoints. | [LEVEL] Intermediate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3 🧩 Complete | Python - Requests | 📊 Level: Intermediate | 🌐 Coding5s.com
**Concept:** Modifying and Deleting Resources (requests.put, .patch, .delete)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server-side resources by executing requests.put() to replace data, requests.patch() for partial updates, and requests.delete() to remove specified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server-side resources by executing requests.put() to replace data, requests.patch() for partial updates, and requests.delete() to remove specified endpoints.. Topic details: Modifying and Deleting Resources (requests.put, .patch, .delete)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Requests | 📊 Level: Intermediate
**Topic:** Manage server-side resources by executing requests.put() to replace data, requests.patch() for partial updates, and requests.delete() to remove specified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4" t="str">
        <f t="shared" si="7"/>
        <v>[ROLE] Tech Lead | [TASK] Provide intentionally messy but functional code for learning debugging and improvement | [TOPIC] Manage server-side resources by executing requests.put() to replace data, requests.patch() for partial updates, and requests.delete() to remove specified endpoints. | [LEVEL] Intermediate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Requests | 📊 Level: Intermediate | 🌐 Coding5s.com
**Concept:** Modifying and Deleting Resources (requests.put, .patch, .delete)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server-side resources by executing requests.put() to replace data, requests.patch() for partial updates, and requests.delete() to remove specified endpoints.. Topic details: Modifying and Deleting Resources (requests.put, .patch, .delete)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Requests | 📊 Level: Intermediate
**Topic:** Manage server-side resources by executing requests.put() to replace data, requests.patch() for partial updates, and requests.delete() to remove specified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8" t="str">
        <f t="shared" si="9"/>
        <v>[ROLE] Tech Product Manager assigning a Python Jira Ticket | [TASK] Provide a guided implementation exercise with full solution for learning purposes | [TOPIC] Manage server-side resources by executing requests.put() to replace data, requests.patch() for partial updates, and requests.delete() to remove specified endpoints. | [LEVEL] Intermediate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Requests | 📊 Level: Intermediate | 🌐 Coding5s.com
**Concept:** Modifying and Deleting Resources (requests.put, .patch, .delete)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server-side resources by executing requests.put() to replace data, requests.patch() for partial updates, and requests.delete() to remove specified endpoints.. Goal: Modifying and Deleting Resources (requests.put, .patch, .delete)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Requests | 📊 Level: Intermediate
**Topic:** Manage server-side resources by executing requests.put() to replace data, requests.patch() for partial updates, and requests.delete() to remove specified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128</v>
      </c>
      <c r="AF23" s="40" t="s">
        <v>129</v>
      </c>
      <c r="AG23" s="40" t="s">
        <v>130</v>
      </c>
      <c r="AH23" s="56" t="str">
        <f t="shared" si="16"/>
        <v/>
      </c>
      <c r="AI23" s="54"/>
      <c r="AJ23" s="54"/>
      <c r="AK23" s="54">
        <v>15</v>
      </c>
      <c r="AL23" s="54" t="s">
        <v>131</v>
      </c>
      <c r="AM23" s="54" t="s">
        <v>132</v>
      </c>
    </row>
    <row r="24" spans="1:39">
      <c r="A24" s="96">
        <v>8</v>
      </c>
      <c r="B24" s="45" t="str" cm="1">
        <f t="array" ref="B24">IF(H24="PROJECT", CHAR(10) &amp; "- " &amp; _xlfn.TEXTJOIN(CHAR(10) &amp; "- ", TRUE, _xlfn._xlws.FILTER($I$9:$I$1000, ($C$9:$C$1000=C24) * ($H$9:$H$1000="Topic"))), "")</f>
        <v/>
      </c>
      <c r="C24" s="45">
        <f t="shared" si="0"/>
        <v>3</v>
      </c>
      <c r="D24" s="57">
        <v>4</v>
      </c>
      <c r="E24" s="58" t="s">
        <v>49</v>
      </c>
      <c r="F24" s="59">
        <v>16</v>
      </c>
      <c r="G24" s="60" t="s">
        <v>163</v>
      </c>
      <c r="H24" s="60" t="s">
        <v>51</v>
      </c>
      <c r="I24" s="61" t="s">
        <v>688</v>
      </c>
      <c r="J24" s="62" t="s">
        <v>689</v>
      </c>
      <c r="K24" s="103" t="str">
        <f t="shared" si="1"/>
        <v xml:space="preserve">[ROLE] Friendly tutor specializing in Python | [TOPIC] Debug outward-bound HTTP traffic by inspecting the .request.headers and .request.body attributes of a response object to verify exactly what the requests library sent to the server. | [LEVEL] Intermediate | [COUNT] 4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#16 | Stage 1 📖 Practice | Python - Requests | 📊 Level: Intermediate | 🌐 Coding5s.com
**Concept:** Inspecting the Prepared Request (response.request.headers, .body)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outward-bound HTTP traffic by inspecting the .request.headers and .request.body attributes of a response object to verify exactly what the requests library sent to the server.. Topic details: Inspecting the Prepared Request (response.request.headers, .body)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Requests | 📊 Level: Intermediate
**Topic:** Debug outward-bound HTTP traffic by inspecting the .request.headers and .request.body attributes of a response object to verify exactly what the requests library sent to the server.
---
 | [FOOTER RULE - STRICT] End your response with: '--- ⚡ *Coding5s Mentor System — Eliminating Epistemic Debt*' | </v>
      </c>
      <c r="M24" s="52">
        <v>0</v>
      </c>
      <c r="N24" s="104" t="str">
        <f t="shared" si="3"/>
        <v>[ROLE] Careless Python Developer | [TASK] Generate debugging challenges in Python | | [TOPIC] Debug outward-bound HTTP traffic by inspecting the .request.headers and .request.body attributes of a response object to verify exactly what the requests library sent to the server. | | [LEVEL] Intermediate |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2 🐛 Debug | Python - Requests | 📊 Level: Intermediate | 🌐 Coding5s.com
Concept: Inspecting the Prepared Request (response.request.headers, .body)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Requests | 📊 Level: Intermediate
**Topic:** Debug outward-bound HTTP traffic by inspecting the .request.headers and .request.body attributes of a response object to verify exactly what the requests library sent to the server.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4" t="str">
        <f t="shared" si="5"/>
        <v>[ROLE] Tech Lead | [TASK] Assign incomplete Python script challenges | [TOPIC] Debug outward-bound HTTP traffic by inspecting the .request.headers and .request.body attributes of a response object to verify exactly what the requests library sent to the server. | [LEVEL] Intermediate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3 🧩 Complete | Python - Requests | 📊 Level: Intermediate | 🌐 Coding5s.com
**Concept:** Inspecting the Prepared Request (response.request.headers, .body)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outward-bound HTTP traffic by inspecting the .request.headers and .request.body attributes of a response object to verify exactly what the requests library sent to the server..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Requests | 📊 Level: Intermediate
**Topic:** Debug outward-bound HTTP traffic by inspecting the .request.headers and .request.body attributes of a response object to verify exactly what the requests library sent to the server.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4" t="str">
        <f t="shared" si="7"/>
        <v>[ROLE] Tech Lead | [TASK] Provide intentionally messy but functional code for learning debugging and improvement | [TOPIC] Debug outward-bound HTTP traffic by inspecting the .request.headers and .request.body attributes of a response object to verify exactly what the requests library sent to the server. | [LEVEL] Intermediate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Requests | 📊 Level: Intermediate | 🌐 Coding5s.com
**Concept:** Inspecting the Prepared Request (response.request.headers, .body)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outward-bound HTTP traffic by inspecting the .request.headers and .request.body attributes of a response object to verify exactly what the requests library sent to the server.. Topic details: Inspecting the Prepared Request (response.request.headers, .body)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Requests | 📊 Level: Intermediate
**Topic:** Debug outward-bound HTTP traffic by inspecting the .request.headers and .request.body attributes of a response object to verify exactly what the requests library sent to the server.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8" t="str">
        <f t="shared" si="9"/>
        <v>[ROLE] Tech Product Manager assigning a Python Jira Ticket | [TASK] Provide a guided implementation exercise with full solution for learning purposes | [TOPIC] Debug outward-bound HTTP traffic by inspecting the .request.headers and .request.body attributes of a response object to verify exactly what the requests library sent to the server. | [LEVEL] Intermediate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Requests | 📊 Level: Intermediate | 🌐 Coding5s.com
**Concept:** Inspecting the Prepared Request (response.request.headers, .body)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outward-bound HTTP traffic by inspecting the .request.headers and .request.body attributes of a response object to verify exactly what the requests library sent to the server.. Goal: Inspecting the Prepared Request (response.request.headers, .body)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Requests | 📊 Level: Intermediate
**Topic:** Debug outward-bound HTTP traffic by inspecting the .request.headers and .request.body attributes of a response object to verify exactly what the requests library sent to the server.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
      </c>
      <c r="AA24" s="56" t="str">
        <f t="shared" si="12"/>
        <v/>
      </c>
      <c r="AB24" s="56" t="str">
        <f t="shared" si="13"/>
        <v/>
      </c>
      <c r="AC24" s="56" t="str">
        <f t="shared" si="14"/>
        <v/>
      </c>
      <c r="AD24" s="56" t="str">
        <f t="shared" si="15"/>
        <v/>
      </c>
      <c r="AE24" s="40" t="s">
        <v>133</v>
      </c>
      <c r="AF24" s="40" t="s">
        <v>134</v>
      </c>
      <c r="AG24" s="40" t="s">
        <v>135</v>
      </c>
      <c r="AH24" s="56" t="str">
        <f t="shared" si="16"/>
        <v/>
      </c>
      <c r="AI24" s="54"/>
      <c r="AJ24" s="54"/>
      <c r="AK24" s="54">
        <v>16</v>
      </c>
      <c r="AL24" s="54" t="s">
        <v>136</v>
      </c>
      <c r="AM24" s="54" t="s">
        <v>137</v>
      </c>
    </row>
    <row r="25" spans="1:39">
      <c r="A25" s="96">
        <v>10</v>
      </c>
      <c r="B25" s="45" t="str" cm="1">
        <f t="array" ref="B25">IF(H25="PROJECT", CHAR(10) &amp; "- " &amp; _xlfn.TEXTJOIN(CHAR(10) &amp; "- ", TRUE, _xlfn._xlws.FILTER($I$9:$I$1000, ($C$9:$C$1000=C25) * ($H$9:$H$1000="Topic"))), "")</f>
        <v/>
      </c>
      <c r="C25" s="45">
        <f t="shared" si="0"/>
        <v>3</v>
      </c>
      <c r="D25" s="46">
        <v>3</v>
      </c>
      <c r="E25" s="58" t="s">
        <v>49</v>
      </c>
      <c r="F25" s="48">
        <v>17</v>
      </c>
      <c r="G25" s="49" t="s">
        <v>163</v>
      </c>
      <c r="H25" s="49" t="s">
        <v>51</v>
      </c>
      <c r="I25" s="50" t="s">
        <v>690</v>
      </c>
      <c r="J25" s="51" t="s">
        <v>691</v>
      </c>
      <c r="K25" s="103" t="str">
        <f t="shared" si="1"/>
        <v xml:space="preserve">[ROLE] Friendly tutor specializing in Python | [TOPIC] Prevent network hangs by defining maximum connection and read durations using the timeout parameter in requests to ensure scripts fail gracefully during high latency. | [LEVEL] Intermediate | [COUNT] 3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#17 | Stage 1 📖 Practice | Python - Requests | 📊 Level: Intermediate | 🌐 Coding5s.com
**Concept:** Enforcing Request Timeouts (timeout parameter)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Prevent network hangs by defining maximum connection and read durations using the timeout parameter in requests to ensure scripts fail gracefully during high latency.. Topic details: Enforcing Request Timeouts (timeout parameter)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Requests | 📊 Level: Intermediate
**Topic:** Prevent network hangs by defining maximum connection and read durations using the timeout parameter in requests to ensure scripts fail gracefully during high latency.
---
 | [FOOTER RULE - STRICT] End your response with: '--- ⚡ *Coding5s Mentor System — Eliminating Epistemic Debt*' | </v>
      </c>
      <c r="M25" s="53">
        <v>0</v>
      </c>
      <c r="N25" s="104" t="str">
        <f t="shared" si="3"/>
        <v>[ROLE] Careless Python Developer | [TASK] Generate debugging challenges in Python | | [TOPIC] Prevent network hangs by defining maximum connection and read durations using the timeout parameter in requests to ensure scripts fail gracefully during high latency. | | [LEVEL] Intermediate |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2 🐛 Debug | Python - Requests | 📊 Level: Intermediate | 🌐 Coding5s.com
Concept: Enforcing Request Timeouts (timeout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Prevent network hangs by defining maximum connection and read durations using the timeout parameter in requests to ensure scripts fail gracefully during high latency.. Topic details: Enforcing Request Timeouts (timeout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Requests | 📊 Level: Intermediate
**Topic:** Prevent network hangs by defining maximum connection and read durations using the timeout parameter in requests to ensure scripts fail gracefully during high latency.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4" t="str">
        <f t="shared" si="5"/>
        <v>[ROLE] Tech Lead | [TASK] Assign incomplete Python script challenges | [TOPIC] Prevent network hangs by defining maximum connection and read durations using the timeout parameter in requests to ensure scripts fail gracefully during high latency. | [LEVEL] Intermediate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3 🧩 Complete | Python - Requests | 📊 Level: Intermediate | 🌐 Coding5s.com
**Concept:** Enforcing Request Timeouts (timeout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Prevent network hangs by defining maximum connection and read durations using the timeout parameter in requests to ensure scripts fail gracefully during high latency..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Prevent network hangs by defining maximum connection and read durations using the timeout parameter in requests to ensure scripts fail gracefully during high latency.. Topic details: Enforcing Request Timeouts (timeout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Requests | 📊 Level: Intermediate
**Topic:** Prevent network hangs by defining maximum connection and read durations using the timeout parameter in requests to ensure scripts fail gracefully during high latency.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4" t="str">
        <f t="shared" si="7"/>
        <v>[ROLE] Tech Lead | [TASK] Provide intentionally messy but functional code for learning debugging and improvement | [TOPIC] Prevent network hangs by defining maximum connection and read durations using the timeout parameter in requests to ensure scripts fail gracefully during high latency. | [LEVEL] Intermediate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Requests | 📊 Level: Intermediate | 🌐 Coding5s.com
**Concept:** Enforcing Request Timeouts (timeout parameter)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Prevent network hangs by defining maximum connection and read durations using the timeout parameter in requests to ensure scripts fail gracefully during high latency.. Topic details: Enforcing Request Timeouts (timeout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Requests | 📊 Level: Intermediate
**Topic:** Prevent network hangs by defining maximum connection and read durations using the timeout parameter in requests to ensure scripts fail gracefully during high latency.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8" t="str">
        <f t="shared" si="9"/>
        <v>[ROLE] Tech Product Manager assigning a Python Jira Ticket | [TASK] Provide a guided implementation exercise with full solution for learning purposes | [TOPIC] Prevent network hangs by defining maximum connection and read durations using the timeout parameter in requests to ensure scripts fail gracefully during high latency. | [LEVEL] Intermediate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Requests | 📊 Level: Intermediate | 🌐 Coding5s.com
**Concept:** Enforcing Request Timeouts (timeout parameter)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Prevent network hangs by defining maximum connection and read durations using the timeout parameter in requests to ensure scripts fail gracefully during high latency.. Goal: Enforcing Request Timeouts (timeout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Requests | 📊 Level: Intermediate
**Topic:** Prevent network hangs by defining maximum connection and read durations using the timeout parameter in requests to ensure scripts fail gracefully during high latency.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
      </c>
      <c r="AA25" s="56" t="str">
        <f t="shared" si="12"/>
        <v/>
      </c>
      <c r="AB25" s="56" t="str">
        <f t="shared" si="13"/>
        <v/>
      </c>
      <c r="AC25" s="56" t="str">
        <f t="shared" si="14"/>
        <v/>
      </c>
      <c r="AD25" s="56" t="str">
        <f t="shared" si="15"/>
        <v/>
      </c>
      <c r="AE25" s="40" t="s">
        <v>138</v>
      </c>
      <c r="AF25" s="40" t="s">
        <v>139</v>
      </c>
      <c r="AG25" s="40" t="s">
        <v>140</v>
      </c>
      <c r="AH25" s="56" t="str">
        <f t="shared" si="16"/>
        <v/>
      </c>
      <c r="AI25" s="54"/>
      <c r="AJ25" s="54"/>
      <c r="AK25" s="54">
        <v>17</v>
      </c>
      <c r="AL25" s="54" t="s">
        <v>141</v>
      </c>
      <c r="AM25" s="54" t="s">
        <v>142</v>
      </c>
    </row>
    <row r="26" spans="1:39">
      <c r="A26" s="96" t="s">
        <v>80</v>
      </c>
      <c r="B26" s="45" t="str" cm="1">
        <f t="array" ref="B26">IF(H26="PROJECT", CHAR(10) &amp; "- " &amp; _xlfn.TEXTJOIN(CHAR(10) &amp; "- ", TRUE, _xlfn._xlws.FILTER($I$9:$I$1000, ($C$9:$C$1000=C26) * ($H$9:$H$1000="Topic"))), "")</f>
        <v xml:space="preserve">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v>
      </c>
      <c r="C26" s="45">
        <f t="shared" si="0"/>
        <v>3</v>
      </c>
      <c r="D26" s="57">
        <v>0</v>
      </c>
      <c r="E26" s="58" t="s">
        <v>667</v>
      </c>
      <c r="F26" s="59">
        <v>18</v>
      </c>
      <c r="G26" s="60" t="s">
        <v>163</v>
      </c>
      <c r="H26" s="60" t="s">
        <v>81</v>
      </c>
      <c r="I26" s="61" t="s">
        <v>692</v>
      </c>
      <c r="J26" s="62" t="s">
        <v>693</v>
      </c>
      <c r="K26" s="103" t="str">
        <f t="shared" si="1"/>
        <v>[TASK] Teach through a practical Python - Requests project following the micro-learning methodology, acting as a supportive tutor, creating a project about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Python - Requests | 📊 Level: Intermediate | 🌐 Coding5s.com
**Project:** CRUD Operations Manager (Full GET/POST/PUT/DELETE cycle with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6"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CRUD operations manager application that takes user commands as input to create, read, update, or delete records, processes these commands using corresponding HTTP methods with enforced timeouts, and outputs the confirmation status of each operation.. Topics applied in this project: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#18 | Practice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[FOOTER RULE - STRICT] End your response with: '--- ⚡ *Coding5s Mentor System — Eliminating Epistemic Debt*' | </v>
      </c>
      <c r="M26" s="52">
        <v>0</v>
      </c>
      <c r="N26" s="104" t="str">
        <f t="shared" si="3"/>
        <v>[ROLE] Careless Python Developer | [TASK] Generate debugging project in Python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Python - Requests | 📊 Level: Intermediate | 🌐 Coding5s.com
Project: CRUD Operations Manager (Full GET/POST/PUT/DELETE cycle with timeouts)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#18 | Debug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4" t="str">
        <f t="shared" si="5"/>
        <v>[ROLE] Tech Lead | [TASK] Assign incomplete project script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Python - Requests | 📊 Level: Intermediate | 🌐 Coding5s.com
**Project:** CRUD Operations Manager (Full GET/POST/PUT/DELETE cycle with timeouts)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#18 | Complete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4" t="str">
        <f t="shared" si="7"/>
        <v>[ROLE] Tech Lead | [TASK] Provide a messy but functional project for refactoring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Tech Lead. A junior wrote this working but messy code. Tone: professional but exhausted | [HEADER RULE - STRICT] You MUST start your entire response EXACTLY with this markdown block (do not print anything before it):
### 🚀 Project #18 | Stage 4 | Python - Requests | 📊 Level: Intermediate | 🌐 Coding5s.com
**Project:** CRUD Operations Manager (Full GET/POST/PUT/DELETE cycle with timeouts)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CRUD operations manager application that takes user commands as input to create, read, update, or delete records, processes these commands using corresponding HTTP methods with enforced timeouts, and outputs the confirmation status of each operation.. Topics involved: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Project objective: CRUD Operations Manager (Full GET/POST/PUT/DELETE cycle with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#18 | Refactor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8" t="str">
        <f t="shared" si="9"/>
        <v>[ROLE] Tech Product Manager assigning a Python Jira Ticket | [TASK] Provide a guided project implementation with full solution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#18 | Stage 5 | Python - Requests | 📊 Level: Intermediate | 🌐 Coding5s.com
**Project:** CRUD Operations Manager (Full GET/POST/PUT/DELETE cycle with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CRUD operations manager application that takes user commands as input to create, read, update, or delete records, processes these commands using corresponding HTTP methods with enforced timeouts, and outputs the confirmation status of each operation.. Topics integrated: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Business Goal: CRUD Operations Manager (Full GET/POST/PUT/DELETE cycle with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#18 | Extend | Python - Requests | 📊 Level: Intermediate
**Project:** Build a CRUD operations manager application that takes user commands as input to create, read, update, or delete records, processes these commands using corresponding HTTP methods with enforced timeouts, and outputs the confirmation status of each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[TASK] Teach through a practical Python - Requests project following the micro-learning methodology, acting as a supportive tutor, creating a project about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#18 | Stage 1 | Python - Requests | 📊 Level: Intermediate | 🌐 Coding5s.com
**Project:** CRUD Operations Manager (Full GET/POST/PUT/DELETE cycle with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6" s="56" t="str">
        <f t="shared" si="12"/>
        <v>[ROLE] Careless Python Developer | [TASK] Generate debugging project in Python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[OUTPUT] Only header, dataset summary or statement (if any), email intro, objective, expected output, broken code, and footer | [HEADER RULE - STRICT] You MUST start your entire response EXACTLY with this markdown block (do not print anything before it):
### 🚀 Project #18 | Stage 2 | Python - Requests | 📊 Level: Intermediate | 🌐 Coding5s.com
Project: CRUD Operations Manager (Full GET/POST/PUT/DELETE cycle with timeouts)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Malay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6" s="56" t="str">
        <f t="shared" si="13"/>
        <v>[ROLE] Tech Lead | [TASK] Assign incomplete project script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#18 | Stage 3 | Python - Requests | 📊 Level: Intermediate | 🌐 Coding5s.com
**Project:** CRUD Operations Manager (Full GET/POST/PUT/DELETE cycle with timeouts)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6" s="56" t="str">
        <f t="shared" si="14"/>
        <v>[ROLE] Tech Lead | [TASK] Provide a messy but functional project for refactoring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Tech Lead. A junior wrote this working but messy code. Tone: professional but exhausted | [HEADER RULE - STRICT] You MUST start your entire response EXACTLY with this markdown block (do not print anything before it):
### 🚀 Project #18 | Stage 4 | Python - Requests | 📊 Level: Intermediate | 🌐 Coding5s.com
**Project:** CRUD Operations Manager (Full GET/POST/PUT/DELETE cycle with timeouts)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6" s="56" t="str">
        <f t="shared" si="15"/>
        <v>[ROLE] Tech Product Manager assigning a Python Jira Ticket | [TASK] Provide a guided project implementation with full solution | [PROJECT] Build a CRUD operations manager application that takes user commands as input to create, read, update, or delete records, processes these commands using corresponding HTTP methods with enforced timeouts, and outputs the confirmation status of each operation. | [TOPICS USED] 
- Submit standard HTML form-encoded data to a server by passing a dictionary payload to the data parameter within a requests.post() call.
- Transmit complex data structures to REST APIs by utilizing the json parameter in requests.post() to automatically serialize Python dictionaries into JSON payloads.
- Manage server-side resources by executing requests.put() to replace data, requests.patch() for partial updates, and requests.delete() to remove specified endpoints.
- Debug outward-bound HTTP traffic by inspecting the .request.headers and .request.body attributes of a response object to verify exactly what the requests library sent to the server.
- Prevent network hangs by defining maximum connection and read durations using the timeout parameter in requests to ensure scripts fail gracefully during high latency. | [LEVEL] Intermediate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#18 | Stage 5 | Python - Requests | 📊 Level: Intermediate | 🌐 Coding5s.com
**Project:** CRUD Operations Manager (Full GET/POST/PUT/DELETE cycle with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6" s="40" t="s">
        <v>143</v>
      </c>
      <c r="AF26" s="40" t="s">
        <v>144</v>
      </c>
      <c r="AG26" s="40" t="s">
        <v>145</v>
      </c>
      <c r="AH26" s="56" t="str">
        <f t="shared" si="16"/>
        <v/>
      </c>
      <c r="AI26" s="54"/>
      <c r="AJ26" s="54"/>
      <c r="AK26" s="54">
        <v>18</v>
      </c>
      <c r="AL26" s="54" t="s">
        <v>146</v>
      </c>
      <c r="AM26" s="54" t="s">
        <v>147</v>
      </c>
    </row>
    <row r="27" spans="1:39">
      <c r="A27" s="96">
        <v>12</v>
      </c>
      <c r="B27" s="45" t="str" cm="1">
        <f t="array" ref="B27">IF(H27="PROJECT", CHAR(10) &amp; "- " &amp; _xlfn.TEXTJOIN(CHAR(10) &amp; "- ", TRUE, _xlfn._xlws.FILTER($I$9:$I$1000, ($C$9:$C$1000=C27) * ($H$9:$H$1000="Topic"))), "")</f>
        <v/>
      </c>
      <c r="C27" s="45">
        <f t="shared" si="0"/>
        <v>4</v>
      </c>
      <c r="D27" s="46">
        <v>4</v>
      </c>
      <c r="E27" s="58" t="s">
        <v>49</v>
      </c>
      <c r="F27" s="48">
        <v>19</v>
      </c>
      <c r="G27" s="49" t="s">
        <v>163</v>
      </c>
      <c r="H27" s="49" t="s">
        <v>51</v>
      </c>
      <c r="I27" s="50" t="s">
        <v>694</v>
      </c>
      <c r="J27" s="51" t="s">
        <v>695</v>
      </c>
      <c r="K27" s="103" t="str">
        <f t="shared" si="1"/>
        <v xml:space="preserve">[ROLE] Friendly tutor specializing in Python | [TOPIC] Control URL redirection behavior by toggling the allow_redirects parameter and trace the routing path by iterating through the response.history list in the requests library. | [LEVEL] Intermediate | [COUNT] 4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#19 | Stage 1 📖 Practice | Python - Requests | 📊 Level: Intermediate | 🌐 Coding5s.com
**Concept:** Managing HTTP Redirects (allow_redirects, response.history)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URL redirection behavior by toggling the allow_redirects parameter and trace the routing path by iterating through the response.history list in the requests library.. Topic details: Managing HTTP Redirects (allow_redirects, response.history)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Requests | 📊 Level: Intermediate
**Topic:** Control URL redirection behavior by toggling the allow_redirects parameter and trace the routing path by iterating through the response.history list in the requests library.
---
 | [FOOTER RULE - STRICT] End your response with: '--- ⚡ *Coding5s Mentor System — Eliminating Epistemic Debt*' | </v>
      </c>
      <c r="M27" s="53">
        <v>0</v>
      </c>
      <c r="N27" s="104" t="str">
        <f t="shared" si="3"/>
        <v>[ROLE] Careless Python Developer | [TASK] Generate debugging challenges in Python | | [TOPIC] Control URL redirection behavior by toggling the allow_redirects parameter and trace the routing path by iterating through the response.history list in the requests library. | | [LEVEL] Intermediate |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#19 | Stage 2 🐛 Debug | Python - Requests | 📊 Level: Intermediate | 🌐 Coding5s.com
Concept: Managing HTTP Redirects (allow_redirects, response.history)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Requests | 📊 Level: Intermediate
**Topic:** Control URL redirection behavior by toggling the allow_redirects parameter and trace the routing path by iterating through the response.history list 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4" t="str">
        <f t="shared" si="5"/>
        <v>[ROLE] Tech Lead | [TASK] Assign incomplete Python script challenges | [TOPIC] Control URL redirection behavior by toggling the allow_redirects parameter and trace the routing path by iterating through the response.history list in the requests library. | [LEVEL] Intermediate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#19 | Stage 3 🧩 Complete | Python - Requests | 📊 Level: Intermediate | 🌐 Coding5s.com
**Concept:** Managing HTTP Redirects (allow_redirects, response.history)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URL redirection behavior by toggling the allow_redirects parameter and trace the routing path by iterating through the response.history list 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Requests | 📊 Level: Intermediate
**Topic:** Control URL redirection behavior by toggling the allow_redirects parameter and trace the routing path by iterating through the response.history list 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4" t="str">
        <f t="shared" si="7"/>
        <v>[ROLE] Tech Lead | [TASK] Provide intentionally messy but functional code for learning debugging and improvement | [TOPIC] Control URL redirection behavior by toggling the allow_redirects parameter and trace the routing path by iterating through the response.history list in the requests library. | [LEVEL] Intermediate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Requests | 📊 Level: Intermediate | 🌐 Coding5s.com
**Concept:** Managing HTTP Redirects (allow_redirects, response.history)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URL redirection behavior by toggling the allow_redirects parameter and trace the routing path by iterating through the response.history list in the requests library.. Topic details: Managing HTTP Redirects (allow_redirects, response.history)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Requests | 📊 Level: Intermediate
**Topic:** Control URL redirection behavior by toggling the allow_redirects parameter and trace the routing path by iterating through the response.history list 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8" t="str">
        <f t="shared" si="9"/>
        <v>[ROLE] Tech Product Manager assigning a Python Jira Ticket | [TASK] Provide a guided implementation exercise with full solution for learning purposes | [TOPIC] Control URL redirection behavior by toggling the allow_redirects parameter and trace the routing path by iterating through the response.history list in the requests library. | [LEVEL] Intermediate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Requests | 📊 Level: Intermediate | 🌐 Coding5s.com
**Concept:** Managing HTTP Redirects (allow_redirects, response.history)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URL redirection behavior by toggling the allow_redirects parameter and trace the routing path by iterating through the response.history list in the requests library.. Goal: Managing HTTP Redirects (allow_redirects, response.history)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Requests | 📊 Level: Intermediate
**Topic:** Control URL redirection behavior by toggling the allow_redirects parameter and trace the routing path by iterating through the response.history list 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
      </c>
      <c r="AA27" s="56" t="str">
        <f t="shared" si="12"/>
        <v/>
      </c>
      <c r="AB27" s="56" t="str">
        <f t="shared" si="13"/>
        <v/>
      </c>
      <c r="AC27" s="56" t="str">
        <f t="shared" si="14"/>
        <v/>
      </c>
      <c r="AD27" s="56" t="str">
        <f t="shared" si="15"/>
        <v/>
      </c>
      <c r="AE27" s="40" t="s">
        <v>148</v>
      </c>
      <c r="AF27" s="40" t="s">
        <v>149</v>
      </c>
      <c r="AG27" s="40" t="s">
        <v>150</v>
      </c>
      <c r="AH27" s="56" t="str">
        <f t="shared" si="16"/>
        <v/>
      </c>
      <c r="AI27" s="54"/>
      <c r="AJ27" s="54"/>
      <c r="AK27" s="54">
        <v>19</v>
      </c>
      <c r="AL27" s="54" t="s">
        <v>108</v>
      </c>
      <c r="AM27" s="54" t="s">
        <v>109</v>
      </c>
    </row>
    <row r="28" spans="1:39">
      <c r="A28" s="96">
        <v>8</v>
      </c>
      <c r="B28" s="45" t="str" cm="1">
        <f t="array" ref="B28">IF(H28="PROJECT", CHAR(10) &amp; "- " &amp; _xlfn.TEXTJOIN(CHAR(10) &amp; "- ", TRUE, _xlfn._xlws.FILTER($I$9:$I$1000, ($C$9:$C$1000=C28) * ($H$9:$H$1000="Topic"))), "")</f>
        <v/>
      </c>
      <c r="C28" s="45">
        <f t="shared" si="0"/>
        <v>4</v>
      </c>
      <c r="D28" s="57">
        <v>5</v>
      </c>
      <c r="E28" s="58" t="s">
        <v>667</v>
      </c>
      <c r="F28" s="59">
        <v>20</v>
      </c>
      <c r="G28" s="60" t="s">
        <v>163</v>
      </c>
      <c r="H28" s="60" t="s">
        <v>51</v>
      </c>
      <c r="I28" s="61" t="s">
        <v>696</v>
      </c>
      <c r="J28" s="62" t="s">
        <v>697</v>
      </c>
      <c r="K28" s="103" t="str">
        <f t="shared" si="1"/>
        <v xml:space="preserve">[ROLE] Friendly tutor specializing in Python | [TOPIC] Optimize memory usage when downloading large binary files by setting stream=True and iterating over the response using .iter_content() to write data in discrete chunk sizes. | [LEVEL] Intermediate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#20 | Stage 1 📖 Practice | Python - Requests | 📊 Level: Intermediate | 🌐 Coding5s.com
**Concept:** Downloading Large/Binary Files in Chunks (iter_content)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memory usage when downloading large binary files by setting stream=True and iterating over the response using .iter_content() to write data in discrete chunk sizes.. Topic details: Downloading Large/Binary Files in Chunks (iter_content)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Requests | 📊 Level: Intermediate
**Topic:** Optimize memory usage when downloading large binary files by setting stream=True and iterating over the response using .iter_content() to write data in discrete chunk sizes.
---
 | [FOOTER RULE - STRICT] End your response with: '--- ⚡ *Coding5s Mentor System — Eliminating Epistemic Debt*' | </v>
      </c>
      <c r="M28" s="52">
        <v>0</v>
      </c>
      <c r="N28" s="104" t="str">
        <f t="shared" si="3"/>
        <v>[ROLE] Careless Python Developer | [TASK] Generate debugging challenges in Python | | [TOPIC] Optimize memory usage when downloading large binary files by setting stream=True and iterating over the response using .iter_content() to write data in discrete chunk sizes. | | [LEVEL] Intermediate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2 🐛 Debug | Python - Requests | 📊 Level: Intermediate | 🌐 Coding5s.com
Concept: Downloading Large/Binary Files in Chunks (iter_content)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memory usage when downloading large binary files by setting stream=True and iterating over the response using .iter_content() to write data in discrete chunk sizes.. Topic details: Downloading Large/Binary Files in Chunks (iter_content)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Requests | 📊 Level: Intermediate
**Topic:** Optimize memory usage when downloading large binary files by setting stream=True and iterating over the response using .iter_content() to write data in discrete chunk sizes.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4" t="str">
        <f t="shared" si="5"/>
        <v>[ROLE] Tech Lead | [TASK] Assign incomplete Python script challenges | [TOPIC] Optimize memory usage when downloading large binary files by setting stream=True and iterating over the response using .iter_content() to write data in discrete chunk sizes. | [LEVEL] Intermediate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3 🧩 Complete | Python - Requests | 📊 Level: Intermediate | 🌐 Coding5s.com
**Concept:** Downloading Large/Binary Files in Chunks (iter_content)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memory usage when downloading large binary files by setting stream=True and iterating over the response using .iter_content() to write data in discrete chunk sizes..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memory usage when downloading large binary files by setting stream=True and iterating over the response using .iter_content() to write data in discrete chunk sizes.. Topic details: Downloading Large/Binary Files in Chunks (iter_content)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Requests | 📊 Level: Intermediate
**Topic:** Optimize memory usage when downloading large binary files by setting stream=True and iterating over the response using .iter_content() to write data in discrete chunk sizes.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4" t="str">
        <f t="shared" si="7"/>
        <v>[ROLE] Tech Lead | [TASK] Provide intentionally messy but functional code for learning debugging and improvement | [TOPIC] Optimize memory usage when downloading large binary files by setting stream=True and iterating over the response using .iter_content() to write data in discrete chunk sizes. | [LEVEL] Intermediate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Requests | 📊 Level: Intermediate | 🌐 Coding5s.com
**Concept:** Downloading Large/Binary Files in Chunks (iter_content)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memory usage when downloading large binary files by setting stream=True and iterating over the response using .iter_content() to write data in discrete chunk sizes.. Topic details: Downloading Large/Binary Files in Chunks (iter_content)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Requests | 📊 Level: Intermediate
**Topic:** Optimize memory usage when downloading large binary files by setting stream=True and iterating over the response using .iter_content() to write data in discrete chunk sizes.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8" t="str">
        <f t="shared" si="9"/>
        <v>[ROLE] Tech Product Manager assigning a Python Jira Ticket | [TASK] Provide a guided implementation exercise with full solution for learning purposes | [TOPIC] Optimize memory usage when downloading large binary files by setting stream=True and iterating over the response using .iter_content() to write data in discrete chunk sizes. | [LEVEL] Intermediate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Requests | 📊 Level: Intermediate | 🌐 Coding5s.com
**Concept:** Downloading Large/Binary Files in Chunks (iter_content)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memory usage when downloading large binary files by setting stream=True and iterating over the response using .iter_content() to write data in discrete chunk sizes.. Goal: Downloading Large/Binary Files in Chunks (iter_content)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Requests | 📊 Level: Intermediate
**Topic:** Optimize memory usage when downloading large binary files by setting stream=True and iterating over the response using .iter_content() to write data in discrete chunk sizes.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151</v>
      </c>
      <c r="AF28" s="40" t="s">
        <v>152</v>
      </c>
      <c r="AG28" s="40" t="s">
        <v>153</v>
      </c>
      <c r="AH28" s="56" t="str">
        <f t="shared" si="16"/>
        <v/>
      </c>
      <c r="AI28" s="54"/>
      <c r="AJ28" s="54"/>
      <c r="AK28" s="54">
        <v>20</v>
      </c>
      <c r="AL28" s="54" t="s">
        <v>113</v>
      </c>
      <c r="AM28" s="54" t="s">
        <v>114</v>
      </c>
    </row>
    <row r="29" spans="1:39">
      <c r="A29" s="96">
        <v>8</v>
      </c>
      <c r="B29" s="45" t="str" cm="1">
        <f t="array" ref="B29">IF(H29="PROJECT", CHAR(10) &amp; "- " &amp; _xlfn.TEXTJOIN(CHAR(10) &amp; "- ", TRUE, _xlfn._xlws.FILTER($I$9:$I$1000, ($C$9:$C$1000=C29) * ($H$9:$H$1000="Topic"))), "")</f>
        <v/>
      </c>
      <c r="C29" s="45">
        <f t="shared" si="0"/>
        <v>4</v>
      </c>
      <c r="D29" s="46">
        <v>5</v>
      </c>
      <c r="E29" s="58" t="s">
        <v>667</v>
      </c>
      <c r="F29" s="48">
        <v>21</v>
      </c>
      <c r="G29" s="49" t="s">
        <v>163</v>
      </c>
      <c r="H29" s="49" t="s">
        <v>51</v>
      </c>
      <c r="I29" s="50" t="s">
        <v>698</v>
      </c>
      <c r="J29" s="51" t="s">
        <v>699</v>
      </c>
      <c r="K29" s="103" t="str">
        <f t="shared" si="1"/>
        <v xml:space="preserve">[ROLE] Friendly tutor specializing in Python | [TOPIC] Execute multipart file uploads by passing a dictionary mapping filenames to opened file objects via the files parameter in a requests.post() request. | [LEVEL] Intermediate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#21 | Stage 1 📖 Practice | Python - Requests | 📊 Level: Intermediate | 🌐 Coding5s.com
**Concept:** Uploading Single Files (files parameter with open())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multipart file uploads by passing a dictionary mapping filenames to opened file objects via the files parameter in a requests.post() request.. Topic details: Uploading Single Files (files parameter with open())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Requests | 📊 Level: Intermediate
**Topic:** Execute multipart file uploads by passing a dictionary mapping filenames to opened file objects via the files parameter in a requests.post() request.
---
 | [FOOTER RULE - STRICT] End your response with: '--- ⚡ *Coding5s Mentor System — Eliminating Epistemic Debt*' | </v>
      </c>
      <c r="M29" s="53">
        <v>0</v>
      </c>
      <c r="N29" s="104" t="str">
        <f t="shared" si="3"/>
        <v>[ROLE] Careless Python Developer | [TASK] Generate debugging challenges in Python | | [TOPIC] Execute multipart file uploads by passing a dictionary mapping filenames to opened file objects via the files parameter in a requests.post() request. | | [LEVEL] Intermediate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2 🐛 Debug | Python - Requests | 📊 Level: Intermediate | 🌐 Coding5s.com
Concept: Uploading Single Files (files parameter with open())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multipart file uploads by passing a dictionary mapping filenames to opened file objects via the files parameter in a requests.post() request.. Topic details: Uploading Single Files (files parameter with open())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Requests | 📊 Level: Intermediate
**Topic:** Execute multipart file uploads by passing a dictionary mapping filenames to opened file objects via the files parameter in a requests.post() request.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4" t="str">
        <f t="shared" si="5"/>
        <v>[ROLE] Tech Lead | [TASK] Assign incomplete Python script challenges | [TOPIC] Execute multipart file uploads by passing a dictionary mapping filenames to opened file objects via the files parameter in a requests.post() request. | [LEVEL] Intermediate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3 🧩 Complete | Python - Requests | 📊 Level: Intermediate | 🌐 Coding5s.com
**Concept:** Uploading Single Files (files parameter with open())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multipart file uploads by passing a dictionary mapping filenames to opened file objects via the files parameter in a requests.post() request..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multipart file uploads by passing a dictionary mapping filenames to opened file objects via the files parameter in a requests.post() request.. Topic details: Uploading Single Files (files parameter with open())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Requests | 📊 Level: Intermediate
**Topic:** Execute multipart file uploads by passing a dictionary mapping filenames to opened file objects via the files parameter in a requests.post() request.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4" t="str">
        <f t="shared" si="7"/>
        <v>[ROLE] Tech Lead | [TASK] Provide intentionally messy but functional code for learning debugging and improvement | [TOPIC] Execute multipart file uploads by passing a dictionary mapping filenames to opened file objects via the files parameter in a requests.post() request. | [LEVEL] Intermediate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Requests | 📊 Level: Intermediate | 🌐 Coding5s.com
**Concept:** Uploading Single Files (files parameter with open())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multipart file uploads by passing a dictionary mapping filenames to opened file objects via the files parameter in a requests.post() request.. Topic details: Uploading Single Files (files parameter with open())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Requests | 📊 Level: Intermediate
**Topic:** Execute multipart file uploads by passing a dictionary mapping filenames to opened file objects via the files parameter in a requests.post() request.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8" t="str">
        <f t="shared" si="9"/>
        <v>[ROLE] Tech Product Manager assigning a Python Jira Ticket | [TASK] Provide a guided implementation exercise with full solution for learning purposes | [TOPIC] Execute multipart file uploads by passing a dictionary mapping filenames to opened file objects via the files parameter in a requests.post() request. | [LEVEL] Intermediate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Requests | 📊 Level: Intermediate | 🌐 Coding5s.com
**Concept:** Uploading Single Files (files parameter with open())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multipart file uploads by passing a dictionary mapping filenames to opened file objects via the files parameter in a requests.post() request.. Goal: Uploading Single Files (files parameter with open())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Requests | 📊 Level: Intermediate
**Topic:** Execute multipart file uploads by passing a dictionary mapping filenames to opened file objects via the files parameter in a requests.post() request.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154</v>
      </c>
      <c r="AF29" s="40" t="s">
        <v>155</v>
      </c>
      <c r="AG29" s="40" t="s">
        <v>156</v>
      </c>
      <c r="AH29" s="56" t="str">
        <f t="shared" si="16"/>
        <v/>
      </c>
      <c r="AI29" s="54"/>
      <c r="AJ29" s="54"/>
      <c r="AK29" s="54">
        <v>21</v>
      </c>
      <c r="AL29" s="54" t="s">
        <v>118</v>
      </c>
      <c r="AM29" s="54" t="s">
        <v>119</v>
      </c>
    </row>
    <row r="30" spans="1:39">
      <c r="A30" s="96">
        <v>10</v>
      </c>
      <c r="B30" s="45" t="str" cm="1">
        <f t="array" ref="B30">IF(H30="PROJECT", CHAR(10) &amp; "- " &amp; _xlfn.TEXTJOIN(CHAR(10) &amp; "- ", TRUE, _xlfn._xlws.FILTER($I$9:$I$1000, ($C$9:$C$1000=C30) * ($H$9:$H$1000="Topic"))), "")</f>
        <v/>
      </c>
      <c r="C30" s="45">
        <f t="shared" si="0"/>
        <v>4</v>
      </c>
      <c r="D30" s="57">
        <v>5</v>
      </c>
      <c r="E30" s="58" t="s">
        <v>667</v>
      </c>
      <c r="F30" s="59">
        <v>22</v>
      </c>
      <c r="G30" s="60" t="s">
        <v>163</v>
      </c>
      <c r="H30" s="60" t="s">
        <v>51</v>
      </c>
      <c r="I30" s="61" t="s">
        <v>700</v>
      </c>
      <c r="J30" s="62" t="s">
        <v>701</v>
      </c>
      <c r="K30" s="103" t="str">
        <f t="shared" si="1"/>
        <v xml:space="preserve">[ROLE] Friendly tutor specializing in Python | [TOPIC] Construct complex multipart/form-data requests by simultaneously supplying multiple file objects to the files parameter alongside string key-value pairs in the data parameter. | [LEVEL] Intermediate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#22 | Stage 1 📖 Practice | Python - Requests | 📊 Level: Intermediate | 🌐 Coding5s.com
**Concept:** Uploading Multiple Files and Form Data Simultaneously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multipart/form-data requests by simultaneously supplying multiple file objects to the files parameter alongside string key-value pairs in the data parameter.. Topic details: Uploading Multiple Files and Form Data Simultaneously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Requests | 📊 Level: Intermediate
**Topic:** Construct complex multipart/form-data requests by simultaneously supplying multiple file objects to the files parameter alongside string key-value pairs in the data parameter.
---
 | [FOOTER RULE - STRICT] End your response with: '--- ⚡ *Coding5s Mentor System — Eliminating Epistemic Debt*' | </v>
      </c>
      <c r="M30" s="52">
        <v>0</v>
      </c>
      <c r="N30" s="104" t="str">
        <f t="shared" si="3"/>
        <v>[ROLE] Careless Python Developer | [TASK] Generate debugging challenges in Python | | [TOPIC] Construct complex multipart/form-data requests by simultaneously supplying multiple file objects to the files parameter alongside string key-value pairs in the data parameter. | | [LEVEL] Intermediate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2 🐛 Debug | Python - Requests | 📊 Level: Intermediate | 🌐 Coding5s.com
Concept: Uploading Multiple Files and Form Data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Requests | 📊 Level: Intermediate
**Topic:** Construct complex multipart/form-data requests by simultaneously supplying multiple file objects to the files parameter alongside string key-value pairs in the data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4" t="str">
        <f t="shared" si="5"/>
        <v>[ROLE] Tech Lead | [TASK] Assign incomplete Python script challenges | [TOPIC] Construct complex multipart/form-data requests by simultaneously supplying multiple file objects to the files parameter alongside string key-value pairs in the data parameter. | [LEVEL] Intermediate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3 🧩 Complete | Python - Requests | 📊 Level: Intermediate | 🌐 Coding5s.com
**Concept:** Uploading Multiple Files and Form Data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multipart/form-data requests by simultaneously supplying multiple file objects to the files parameter alongside string key-value pairs in the data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Requests | 📊 Level: Intermediate
**Topic:** Construct complex multipart/form-data requests by simultaneously supplying multiple file objects to the files parameter alongside string key-value pairs in the data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4" t="str">
        <f t="shared" si="7"/>
        <v>[ROLE] Tech Lead | [TASK] Provide intentionally messy but functional code for learning debugging and improvement | [TOPIC] Construct complex multipart/form-data requests by simultaneously supplying multiple file objects to the files parameter alongside string key-value pairs in the data parameter. | [LEVEL] Intermediate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Requests | 📊 Level: Intermediate | 🌐 Coding5s.com
**Concept:** Uploading Multiple Files and Form Data Simultaneously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multipart/form-data requests by simultaneously supplying multiple file objects to the files parameter alongside string key-value pairs in the data parameter.. Topic details: Uploading Multiple Files and Form Data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Requests | 📊 Level: Intermediate
**Topic:** Construct complex multipart/form-data requests by simultaneously supplying multiple file objects to the files parameter alongside string key-value pairs in the data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8" t="str">
        <f t="shared" si="9"/>
        <v>[ROLE] Tech Product Manager assigning a Python Jira Ticket | [TASK] Provide a guided implementation exercise with full solution for learning purposes | [TOPIC] Construct complex multipart/form-data requests by simultaneously supplying multiple file objects to the files parameter alongside string key-value pairs in the data parameter. | [LEVEL] Intermediate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Requests | 📊 Level: Intermediate | 🌐 Coding5s.com
**Concept:** Uploading Multiple Files and Form Data Simultaneously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multipart/form-data requests by simultaneously supplying multiple file objects to the files parameter alongside string key-value pairs in the data parameter.. Goal: Uploading Multiple Files and Form Data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Requests | 📊 Level: Intermediate
**Topic:** Construct complex multipart/form-data requests by simultaneously supplying multiple file objects to the files parameter alongside string key-value pairs in the data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157</v>
      </c>
      <c r="AF30" s="40" t="s">
        <v>158</v>
      </c>
      <c r="AG30" s="40" t="s">
        <v>159</v>
      </c>
      <c r="AH30" s="56" t="str">
        <f t="shared" si="16"/>
        <v/>
      </c>
      <c r="AI30" s="54"/>
      <c r="AJ30" s="54"/>
      <c r="AK30" s="54">
        <v>22</v>
      </c>
      <c r="AL30" s="54" t="s">
        <v>123</v>
      </c>
      <c r="AM30" s="54" t="s">
        <v>124</v>
      </c>
    </row>
    <row r="31" spans="1:39">
      <c r="A31" s="96">
        <v>8</v>
      </c>
      <c r="B31" s="45" t="str" cm="1">
        <f t="array" ref="B31">IF(H31="PROJECT", CHAR(10) &amp; "- " &amp; _xlfn.TEXTJOIN(CHAR(10) &amp; "- ", TRUE, _xlfn._xlws.FILTER($I$9:$I$1000, ($C$9:$C$1000=C31) * ($H$9:$H$1000="Topic"))), "")</f>
        <v/>
      </c>
      <c r="C31" s="45">
        <f t="shared" si="0"/>
        <v>4</v>
      </c>
      <c r="D31" s="46">
        <v>3</v>
      </c>
      <c r="E31" s="58" t="s">
        <v>49</v>
      </c>
      <c r="F31" s="48">
        <v>23</v>
      </c>
      <c r="G31" s="49" t="s">
        <v>163</v>
      </c>
      <c r="H31" s="49" t="s">
        <v>51</v>
      </c>
      <c r="I31" s="50" t="s">
        <v>702</v>
      </c>
      <c r="J31" s="51" t="s">
        <v>703</v>
      </c>
      <c r="K31" s="103" t="str">
        <f t="shared" si="1"/>
        <v xml:space="preserve">[ROLE] Friendly tutor specializing in Python | [TOPIC] Control SSL certificate validation during HTTPS requests by setting the verify parameter to a custom Certificate Authority bundle path or disabling it entirely for local testing environments. | [LEVEL] Intermediate | [COUNT] 3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#23 | Stage 1 📖 Practice | Python - Requests | 📊 Level: Intermediate | 🌐 Coding5s.com
**Concept:** Managing SSL Certificate Verification (verify parameter)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SSL certificate validation during HTTPS requests by setting the verify parameter to a custom Certificate Authority bundle path or disabling it entirely for local testing environments.. Topic details: Managing SSL Certificate Verification (verify parameter)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Requests | 📊 Level: Intermediate
**Topic:** Control SSL certificate validation during HTTPS requests by setting the verify parameter to a custom Certificate Authority bundle path or disabling it entirely for local testing environments.
---
 | [FOOTER RULE - STRICT] End your response with: '--- ⚡ *Coding5s Mentor System — Eliminating Epistemic Debt*' | </v>
      </c>
      <c r="M31" s="53">
        <v>0</v>
      </c>
      <c r="N31" s="104" t="str">
        <f t="shared" si="3"/>
        <v>[ROLE] Careless Python Developer | [TASK] Generate debugging challenges in Python | | [TOPIC] Control SSL certificate validation during HTTPS requests by setting the verify parameter to a custom Certificate Authority bundle path or disabling it entirely for local testing environments. | | [LEVEL] Intermediate |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2 🐛 Debug | Python - Requests | 📊 Level: Intermediate | 🌐 Coding5s.com
Concept: Managing SSL Certificate Verification (verify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Requests | 📊 Level: Intermediate
**Topic:** Control SSL certificate validation during HTTPS requests by setting the verify parameter to a custom Certificate Authority bundle path or disabling it entirely for local testing environments.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4" t="str">
        <f t="shared" si="5"/>
        <v>[ROLE] Tech Lead | [TASK] Assign incomplete Python script challenges | [TOPIC] Control SSL certificate validation during HTTPS requests by setting the verify parameter to a custom Certificate Authority bundle path or disabling it entirely for local testing environments. | [LEVEL] Intermediate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3 🧩 Complete | Python - Requests | 📊 Level: Intermediate | 🌐 Coding5s.com
**Concept:** Managing SSL Certificate Verification (verify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SSL certificate validation during HTTPS requests by setting the verify parameter to a custom Certificate Authority bundle path or disabling it entirely for local testing environments..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Requests | 📊 Level: Intermediate
**Topic:** Control SSL certificate validation during HTTPS requests by setting the verify parameter to a custom Certificate Authority bundle path or disabling it entirely for local testing environments.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4" t="str">
        <f t="shared" si="7"/>
        <v>[ROLE] Tech Lead | [TASK] Provide intentionally messy but functional code for learning debugging and improvement | [TOPIC] Control SSL certificate validation during HTTPS requests by setting the verify parameter to a custom Certificate Authority bundle path or disabling it entirely for local testing environments. | [LEVEL] Intermediate | [COUNT] 3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Requests | 📊 Level: Intermediate | 🌐 Coding5s.com
**Concept:** Managing SSL Certificate Verification (verify parameter)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SSL certificate validation during HTTPS requests by setting the verify parameter to a custom Certificate Authority bundle path or disabling it entirely for local testing environments.. Topic details: Managing SSL Certificate Verification (verify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Requests | 📊 Level: Intermediate
**Topic:** Control SSL certificate validation during HTTPS requests by setting the verify parameter to a custom Certificate Authority bundle path or disabling it entirely for local testing environments.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8" t="str">
        <f t="shared" si="9"/>
        <v>[ROLE] Tech Product Manager assigning a Python Jira Ticket | [TASK] Provide a guided implementation exercise with full solution for learning purposes | [TOPIC] Control SSL certificate validation during HTTPS requests by setting the verify parameter to a custom Certificate Authority bundle path or disabling it entirely for local testing environments. | [LEVEL] Intermediate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Requests | 📊 Level: Intermediate | 🌐 Coding5s.com
**Concept:** Managing SSL Certificate Verification (verify parameter)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SSL certificate validation during HTTPS requests by setting the verify parameter to a custom Certificate Authority bundle path or disabling it entirely for local testing environments.. Goal: Managing SSL Certificate Verification (verify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Requests | 📊 Level: Intermediate
**Topic:** Control SSL certificate validation during HTTPS requests by setting the verify parameter to a custom Certificate Authority bundle path or disabling it entirely for local testing environments.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160</v>
      </c>
      <c r="AF31" s="40" t="s">
        <v>161</v>
      </c>
      <c r="AG31" s="40" t="s">
        <v>162</v>
      </c>
      <c r="AH31" s="56" t="str">
        <f t="shared" si="16"/>
        <v/>
      </c>
      <c r="AI31" s="54"/>
      <c r="AJ31" s="54"/>
      <c r="AK31" s="54">
        <v>23</v>
      </c>
      <c r="AL31" s="54" t="s">
        <v>128</v>
      </c>
      <c r="AM31" s="54" t="s">
        <v>129</v>
      </c>
    </row>
    <row r="32" spans="1:39">
      <c r="A32" s="96" t="s">
        <v>80</v>
      </c>
      <c r="B32" s="45" t="str" cm="1">
        <f t="array" ref="B32">IF(H32="PROJECT", CHAR(10) &amp; "- " &amp; _xlfn.TEXTJOIN(CHAR(10) &amp; "- ", TRUE, _xlfn._xlws.FILTER($I$9:$I$1000, ($C$9:$C$1000=C32) * ($H$9:$H$1000="Topic"))), "")</f>
        <v xml:space="preserve">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v>
      </c>
      <c r="C32" s="45">
        <f t="shared" si="0"/>
        <v>4</v>
      </c>
      <c r="D32" s="57">
        <v>0</v>
      </c>
      <c r="E32" s="58" t="s">
        <v>667</v>
      </c>
      <c r="F32" s="59">
        <v>24</v>
      </c>
      <c r="G32" s="60" t="s">
        <v>163</v>
      </c>
      <c r="H32" s="60" t="s">
        <v>81</v>
      </c>
      <c r="I32" s="61" t="s">
        <v>704</v>
      </c>
      <c r="J32" s="62" t="s">
        <v>705</v>
      </c>
      <c r="K32" s="103" t="str">
        <f t="shared" si="1"/>
        <v>[TASK] Teach through a practical Python - Requests project following the micro-learning methodology, acting as a supportive tutor, creating a project about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 Requests | 📊 Level: Intermediate | 🌐 Coding5s.com
**Project:** Robust File Transfer Utility (Chunked downloads, multipart uploads, SSL control)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applied in this project: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[FOOTER RULE - STRICT] End your response with: '--- ⚡ *Coding5s Mentor System — Eliminating Epistemic Debt*' | </v>
      </c>
      <c r="M32" s="52">
        <v>0</v>
      </c>
      <c r="N32" s="104" t="str">
        <f t="shared" si="3"/>
        <v>[ROLE] Careless Python Developer | [TASK] Generate debugging project in Python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 Requests | 📊 Level: Intermediate | 🌐 Coding5s.com
Project: Robust File Transfer Utility (Chunked downloads, multipart uploads, SSL control)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4" t="str">
        <f t="shared" si="5"/>
        <v>[ROLE] Tech Lead | [TASK] Assign incomplete project script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 Requests | 📊 Level: Intermediate | 🌐 Coding5s.com
**Project:** Robust File Transfer Utility (Chunked downloads, multipart uploads, SSL control)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4" t="str">
        <f t="shared" si="7"/>
        <v>[ROLE] Tech Lead | [TASK] Provide a messy but functional project for refactoring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 Requests | 📊 Level: Intermediate | 🌐 Coding5s.com
**Project:** Robust File Transfer Utility (Chunked downloads, multipart uploads, SSL control)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involved: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Project objective: Robust File Transfer Utility (Chunked downloads, multipart uploads, SSL control)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8" t="str">
        <f t="shared" si="9"/>
        <v>[ROLE] Tech Product Manager assigning a Python Jira Ticket | [TASK] Provide a guided project implementation with full solution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#24 | Stage 5 | Python - Requests | 📊 Level: Intermediate | 🌐 Coding5s.com
**Project:** Robust File Transfer Utility (Chunked downloads, multipart uploads, SSL control)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file transfer utility that takes local file paths or remote URLs as input, processes large transfers utilizing chunked streaming and multipart uploads with explicit SSL verification control, and outputs progress indicators and final transfer statuses.. Topics integrated: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Business Goal: Robust File Transfer Utility (Chunked downloads, multipart uploads, SSL control)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 Requests | 📊 Level: Intermediate
**Project:** Build a robust file transfer utility that takes local file paths or remote URLs as input, processes large transfers utilizing chunked streaming and multipart uploads with explicit SSL verification control, and outputs progress indicators and final transfer statuses.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[TASK] Teach through a practical Python - Requests project following the micro-learning methodology, acting as a supportive tutor, creating a project about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 Requests | 📊 Level: Intermediate | 🌐 Coding5s.com
**Project:** Robust File Transfer Utility (Chunked downloads, multipart uploads, SSL control)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2"/>
        <v>[ROLE] Careless Python Developer | [TASK] Generate debugging project in Python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 Requests | 📊 Level: Intermediate | 🌐 Coding5s.com
Project: Robust File Transfer Utility (Chunked downloads, multipart uploads, SSL control)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3"/>
        <v>[ROLE] Tech Lead | [TASK] Assign incomplete project script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 Requests | 📊 Level: Intermediate | 🌐 Coding5s.com
**Project:** Robust File Transfer Utility (Chunked downloads, multipart uploads, SSL control)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4"/>
        <v>[ROLE] Tech Lead | [TASK] Provide a messy but functional project for refactoring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 Requests | 📊 Level: Intermediate | 🌐 Coding5s.com
**Project:** Robust File Transfer Utility (Chunked downloads, multipart uploads, SSL control)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5"/>
        <v>[ROLE] Tech Product Manager assigning a Python Jira Ticket | [TASK] Provide a guided project implementation with full solution | [PROJECT] Build a robust file transfer utility that takes local file paths or remote URLs as input, processes large transfers utilizing chunked streaming and multipart uploads with explicit SSL verification control, and outputs progress indicators and final transfer statuses. | [TOPICS USED] 
- Control URL redirection behavior by toggling the allow_redirects parameter and trace the routing path by iterating through the response.history list in the requests library.
- Optimize memory usage when downloading large binary files by setting stream=True and iterating over the response using .iter_content() to write data in discrete chunk sizes.
- Execute multipart file uploads by passing a dictionary mapping filenames to opened file objects via the files parameter in a requests.post() request.
- Construct complex multipart/form-data requests by simultaneously supplying multiple file objects to the files parameter alongside string key-value pairs in the data parameter.
- Control SSL certificate validation during HTTPS requests by setting the verify parameter to a custom Certificate Authority bundle path or disabling it entirely for local testing environments. | [LEVEL] Intermediate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#24 | Stage 5 | Python - Requests | 📊 Level: Intermediate | 🌐 Coding5s.com
**Project:** Robust File Transfer Utility (Chunked downloads, multipart uploads, SSL control)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16"/>
        <v/>
      </c>
      <c r="AI32" s="54"/>
      <c r="AJ32" s="54"/>
      <c r="AK32" s="54">
        <v>24</v>
      </c>
      <c r="AL32" s="54" t="s">
        <v>133</v>
      </c>
      <c r="AM32" s="54" t="s">
        <v>134</v>
      </c>
    </row>
    <row r="33" spans="1:39">
      <c r="A33" s="96">
        <v>12</v>
      </c>
      <c r="B33" s="45" t="str" cm="1">
        <f t="array" ref="B33">IF(H33="PROJECT", CHAR(10) &amp; "- " &amp; _xlfn.TEXTJOIN(CHAR(10) &amp; "- ", TRUE, _xlfn._xlws.FILTER($I$9:$I$1000, ($C$9:$C$1000=C33) * ($H$9:$H$1000="Topic"))), "")</f>
        <v/>
      </c>
      <c r="C33" s="45">
        <f t="shared" si="0"/>
        <v>5</v>
      </c>
      <c r="D33" s="46">
        <v>5</v>
      </c>
      <c r="E33" s="58" t="s">
        <v>49</v>
      </c>
      <c r="F33" s="48">
        <v>25</v>
      </c>
      <c r="G33" s="49" t="s">
        <v>164</v>
      </c>
      <c r="H33" s="49" t="s">
        <v>51</v>
      </c>
      <c r="I33" s="50" t="s">
        <v>706</v>
      </c>
      <c r="J33" s="51" t="s">
        <v>707</v>
      </c>
      <c r="K33" s="103" t="str">
        <f t="shared" si="1"/>
        <v xml:space="preserve">[ROLE] Friendly tutor specializing in Python | [TOPIC] Optimize network performance by initializing a requests.Session() object to leverage HTTP connection pooling and persist parameters across multiple requests to the same host. | [LEVEL] Advanced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#25 | Stage 1 📖 Practice | Python - Requests | 📊 Level: Advanced | 🌐 Coding5s.com
**Concept:** Initializing Connection Pooling and State (requests.Session())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network performance by initializing a requests.Session() object to leverage HTTP connection pooling and persist parameters across multiple requests to the same host.. Topic details: Initializing Connection Pooling and State (requests.Session())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 Requests | 📊 Level: Advanced
**Topic:** Optimize network performance by initializing a requests.Session() object to leverage HTTP connection pooling and persist parameters across multiple requests to the same host.
---
 | [FOOTER RULE - STRICT] End your response with: '--- ⚡ *Coding5s Mentor System — Eliminating Epistemic Debt*' | </v>
      </c>
      <c r="M33" s="53">
        <v>0</v>
      </c>
      <c r="N33" s="104" t="str">
        <f t="shared" si="3"/>
        <v>[ROLE] Careless Python Developer | [TASK] Generate debugging challenges in Python | | [TOPIC] Optimize network performance by initializing a requests.Session() object to leverage HTTP connection pooling and persist parameters across multiple requests to the same host. | | [LEVEL] Advanced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#25 | Stage 2 🐛 Debug | Python - Requests | 📊 Level: Advanced | 🌐 Coding5s.com
Concept: Initializing Connection Pooling and State (requests.Session())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 Requests | 📊 Level: Advanced
**Topic:** Optimize network performance by initializing a requests.Session() object to leverage HTTP connection pooling and persist parameters across multiple requests to the same host.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4" t="str">
        <f t="shared" si="5"/>
        <v>[ROLE] Tech Lead | [TASK] Assign incomplete Python script challenges | [TOPIC] Optimize network performance by initializing a requests.Session() object to leverage HTTP connection pooling and persist parameters across multiple requests to the same host.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#25 | Stage 3 🧩 Complete | Python - Requests | 📊 Level: Advanced | 🌐 Coding5s.com
**Concept:** Initializing Connection Pooling and State (requests.Session())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network performance by initializing a requests.Session() object to leverage HTTP connection pooling and persist parameters across multiple requests to the same host..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 Requests | 📊 Level: Advanced
**Topic:** Optimize network performance by initializing a requests.Session() object to leverage HTTP connection pooling and persist parameters across multiple requests to the same host.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4" t="str">
        <f t="shared" si="7"/>
        <v>[ROLE] Tech Lead | [TASK] Provide intentionally messy but functional code for learning debugging and improvement | [TOPIC] Optimize network performance by initializing a requests.Session() object to leverage HTTP connection pooling and persist parameters across multiple requests to the same host.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 Requests | 📊 Level: Advanced | 🌐 Coding5s.com
**Concept:** Initializing Connection Pooling and State (requests.Session())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network performance by initializing a requests.Session() object to leverage HTTP connection pooling and persist parameters across multiple requests to the same host.. Topic details: Initializing Connection Pooling and State (requests.Session())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 Requests | 📊 Level: Advanced
**Topic:** Optimize network performance by initializing a requests.Session() object to leverage HTTP connection pooling and persist parameters across multiple requests to the same host.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8" t="str">
        <f t="shared" si="9"/>
        <v>[ROLE] Tech Product Manager assigning a Python Jira Ticket | [TASK] Provide a guided implementation exercise with full solution for learning purposes | [TOPIC] Optimize network performance by initializing a requests.Session() object to leverage HTTP connection pooling and persist parameters across multiple requests to the same host. | [LEVEL] Advanced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 Requests | 📊 Level: Advanced | 🌐 Coding5s.com
**Concept:** Initializing Connection Pooling and State (requests.Session())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network performance by initializing a requests.Session() object to leverage HTTP connection pooling and persist parameters across multiple requests to the same host.. Goal: Initializing Connection Pooling and State (requests.Session())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 Requests | 📊 Level: Advanced
**Topic:** Optimize network performance by initializing a requests.Session() object to leverage HTTP connection pooling and persist parameters across multiple requests to the same host.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
      </c>
      <c r="AA33" s="56" t="str">
        <f t="shared" si="12"/>
        <v/>
      </c>
      <c r="AB33" s="56" t="str">
        <f t="shared" si="13"/>
        <v/>
      </c>
      <c r="AC33" s="56" t="str">
        <f t="shared" si="14"/>
        <v/>
      </c>
      <c r="AD33" s="56" t="str">
        <f t="shared" si="15"/>
        <v/>
      </c>
      <c r="AE33" s="40"/>
      <c r="AF33" s="40"/>
      <c r="AG33" s="40"/>
      <c r="AH33" s="56" t="str">
        <f t="shared" si="16"/>
        <v/>
      </c>
      <c r="AI33" s="54"/>
      <c r="AJ33" s="54"/>
      <c r="AK33" s="54">
        <v>25</v>
      </c>
      <c r="AL33" s="54" t="s">
        <v>138</v>
      </c>
      <c r="AM33" s="54" t="s">
        <v>139</v>
      </c>
    </row>
    <row r="34" spans="1:39">
      <c r="A34" s="96">
        <v>8</v>
      </c>
      <c r="B34" s="45" t="str" cm="1">
        <f t="array" ref="B34">IF(H34="PROJECT", CHAR(10) &amp; "- " &amp; _xlfn.TEXTJOIN(CHAR(10) &amp; "- ", TRUE, _xlfn._xlws.FILTER($I$9:$I$1000, ($C$9:$C$1000=C34) * ($H$9:$H$1000="Topic"))), "")</f>
        <v/>
      </c>
      <c r="C34" s="45">
        <f t="shared" si="0"/>
        <v>5</v>
      </c>
      <c r="D34" s="57">
        <v>5</v>
      </c>
      <c r="E34" s="58" t="s">
        <v>49</v>
      </c>
      <c r="F34" s="59">
        <v>26</v>
      </c>
      <c r="G34" s="60" t="s">
        <v>164</v>
      </c>
      <c r="H34" s="60" t="s">
        <v>51</v>
      </c>
      <c r="I34" s="61" t="s">
        <v>708</v>
      </c>
      <c r="J34" s="62" t="s">
        <v>709</v>
      </c>
      <c r="K34" s="103" t="str">
        <f t="shared" si="1"/>
        <v xml:space="preserve">[ROLE] Friendly tutor specializing in Python | [TOPIC] Streamline API interactions by setting session-level default headers and authentication mechanisms on a requests.Session() instance to automatically apply them to all outbound requests. | [LEVEL] Advanced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#26 | Stage 1 📖 Practice | Python - Requests | 📊 Level: Advanced | 🌐 Coding5s.com
**Concept:** Configuring Session-Level Defaults (Default headers, default auth)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Streamline API interactions by setting session-level default headers and authentication mechanisms on a requests.Session() instance to automatically apply them to all outbound requests.. Topic details: Configuring Session-Level Defaults (Default headers, default auth)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Requests | 📊 Level: Advanced
**Topic:** Streamline API interactions by setting session-level default headers and authentication mechanisms on a requests.Session() instance to automatically apply them to all outbound requests.
---
 | [FOOTER RULE - STRICT] End your response with: '--- ⚡ *Coding5s Mentor System — Eliminating Epistemic Debt*' | </v>
      </c>
      <c r="M34" s="52">
        <v>0</v>
      </c>
      <c r="N34" s="104" t="str">
        <f t="shared" si="3"/>
        <v>[ROLE] Careless Python Developer | [TASK] Generate debugging challenges in Python | | [TOPIC] Streamline API interactions by setting session-level default headers and authentication mechanisms on a requests.Session() instance to automatically apply them to all outbound requests. | | [LEVEL] Advanced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2 🐛 Debug | Python - Requests | 📊 Level: Advanced | 🌐 Coding5s.com
Concept: Configuring Session-Level Defaults (Default headers, default auth)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Requests | 📊 Level: Advanced
**Topic:** Streamline API interactions by setting session-level default headers and authentication mechanisms on a requests.Session() instance to automatically apply them to all outbound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4" t="str">
        <f t="shared" si="5"/>
        <v>[ROLE] Tech Lead | [TASK] Assign incomplete Python script challenges | [TOPIC] Streamline API interactions by setting session-level default headers and authentication mechanisms on a requests.Session() instance to automatically apply them to all outbound requests.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3 🧩 Complete | Python - Requests | 📊 Level: Advanced | 🌐 Coding5s.com
**Concept:** Configuring Session-Level Defaults (Default headers, default auth)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Streamline API interactions by setting session-level default headers and authentication mechanisms on a requests.Session() instance to automatically apply them to all outbound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Requests | 📊 Level: Advanced
**Topic:** Streamline API interactions by setting session-level default headers and authentication mechanisms on a requests.Session() instance to automatically apply them to all outbound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4" t="str">
        <f t="shared" si="7"/>
        <v>[ROLE] Tech Lead | [TASK] Provide intentionally messy but functional code for learning debugging and improvement | [TOPIC] Streamline API interactions by setting session-level default headers and authentication mechanisms on a requests.Session() instance to automatically apply them to all outbound requests.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Requests | 📊 Level: Advanced | 🌐 Coding5s.com
**Concept:** Configuring Session-Level Defaults (Default headers, default auth)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Streamline API interactions by setting session-level default headers and authentication mechanisms on a requests.Session() instance to automatically apply them to all outbound requests.. Topic details: Configuring Session-Level Defaults (Default headers, default auth)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Requests | 📊 Level: Advanced
**Topic:** Streamline API interactions by setting session-level default headers and authentication mechanisms on a requests.Session() instance to automatically apply them to all outbound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8" t="str">
        <f t="shared" si="9"/>
        <v>[ROLE] Tech Product Manager assigning a Python Jira Ticket | [TASK] Provide a guided implementation exercise with full solution for learning purposes | [TOPIC] Streamline API interactions by setting session-level default headers and authentication mechanisms on a requests.Session() instance to automatically apply them to all outbound requests. | [LEVEL] Advanced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Requests | 📊 Level: Advanced | 🌐 Coding5s.com
**Concept:** Configuring Session-Level Defaults (Default headers, default auth)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Streamline API interactions by setting session-level default headers and authentication mechanisms on a requests.Session() instance to automatically apply them to all outbound requests.. Goal: Configuring Session-Level Defaults (Default headers, default auth)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Requests | 📊 Level: Advanced
**Topic:** Streamline API interactions by setting session-level default headers and authentication mechanisms on a requests.Session() instance to automatically apply them to all outbound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
      </c>
      <c r="AA34" s="56" t="str">
        <f t="shared" si="12"/>
        <v/>
      </c>
      <c r="AB34" s="56" t="str">
        <f t="shared" si="13"/>
        <v/>
      </c>
      <c r="AC34" s="56" t="str">
        <f t="shared" si="14"/>
        <v/>
      </c>
      <c r="AD34" s="56" t="str">
        <f t="shared" si="15"/>
        <v/>
      </c>
      <c r="AE34" s="40"/>
      <c r="AF34" s="40"/>
      <c r="AG34" s="40"/>
      <c r="AH34" s="56" t="str">
        <f t="shared" si="16"/>
        <v/>
      </c>
      <c r="AI34" s="54"/>
      <c r="AJ34" s="54"/>
      <c r="AK34" s="54">
        <v>26</v>
      </c>
      <c r="AL34" s="54" t="s">
        <v>143</v>
      </c>
      <c r="AM34" s="54" t="s">
        <v>144</v>
      </c>
    </row>
    <row r="35" spans="1:39">
      <c r="A35" s="96">
        <v>10</v>
      </c>
      <c r="B35" s="45" t="str" cm="1">
        <f t="array" ref="B35">IF(H35="PROJECT", CHAR(10) &amp; "- " &amp; _xlfn.TEXTJOIN(CHAR(10) &amp; "- ", TRUE, _xlfn._xlws.FILTER($I$9:$I$1000, ($C$9:$C$1000=C35) * ($H$9:$H$1000="Topic"))), "")</f>
        <v/>
      </c>
      <c r="C35" s="45">
        <f t="shared" si="0"/>
        <v>5</v>
      </c>
      <c r="D35" s="46">
        <v>5</v>
      </c>
      <c r="E35" s="58" t="s">
        <v>49</v>
      </c>
      <c r="F35" s="48">
        <v>27</v>
      </c>
      <c r="G35" s="49" t="s">
        <v>164</v>
      </c>
      <c r="H35" s="49" t="s">
        <v>51</v>
      </c>
      <c r="I35" s="50" t="s">
        <v>710</v>
      </c>
      <c r="J35" s="51" t="s">
        <v>711</v>
      </c>
      <c r="K35" s="103" t="str">
        <f t="shared" si="1"/>
        <v xml:space="preserve">[ROLE] Friendly tutor specializing in Python | [TOPIC] Manipulate and persist HTTP cookies across requests by extracting them from response.cookies, passing them via the cookies parameter, or utilizing a RequestsCookieJar within a session. | [LEVEL] Advanced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#27 | Stage 1 📖 Practice | Python - Requests | 📊 Level: Advanced | 🌐 Coding5s.com
**Concept:** Managing Cookies (cookies param, response.cookies, RequestsCookieJar)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and persist HTTP cookies across requests by extracting them from response.cookies, passing them via the cookies parameter, or utilizing a RequestsCookieJar within a session.. Topic details: Managing Cookies (cookies param, response.cookies, RequestsCookieJar)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Requests | 📊 Level: Advanced
**Topic:** Manipulate and persist HTTP cookies across requests by extracting them from response.cookies, passing them via the cookies parameter, or utilizing a RequestsCookieJar within a session.
---
 | [FOOTER RULE - STRICT] End your response with: '--- ⚡ *Coding5s Mentor System — Eliminating Epistemic Debt*' | </v>
      </c>
      <c r="M35" s="53">
        <v>0</v>
      </c>
      <c r="N35" s="104" t="str">
        <f t="shared" si="3"/>
        <v>[ROLE] Careless Python Developer | [TASK] Generate debugging challenges in Python | | [TOPIC] Manipulate and persist HTTP cookies across requests by extracting them from response.cookies, passing them via the cookies parameter, or utilizing a RequestsCookieJar within a session. | | [LEVEL] Advanced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2 🐛 Debug | Python - Requests | 📊 Level: Advanced | 🌐 Coding5s.com
Concept: Managing Cookies (cookies param, response.cookies, RequestsCookieJar)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Requests | 📊 Level: Advanced
**Topic:** Manipulate and persist HTTP cookies across requests by extracting them from response.cookies, passing them via the cookies parameter, or utilizing a RequestsCookieJar within a session.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4" t="str">
        <f t="shared" si="5"/>
        <v>[ROLE] Tech Lead | [TASK] Assign incomplete Python script challenges | [TOPIC] Manipulate and persist HTTP cookies across requests by extracting them from response.cookies, passing them via the cookies parameter, or utilizing a RequestsCookieJar within a session.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3 🧩 Complete | Python - Requests | 📊 Level: Advanced | 🌐 Coding5s.com
**Concept:** Managing Cookies (cookies param, response.cookies, RequestsCookieJar)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and persist HTTP cookies across requests by extracting them from response.cookies, passing them via the cookies parameter, or utilizing a RequestsCookieJar within a session..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Requests | 📊 Level: Advanced
**Topic:** Manipulate and persist HTTP cookies across requests by extracting them from response.cookies, passing them via the cookies parameter, or utilizing a RequestsCookieJar within a session.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4" t="str">
        <f t="shared" si="7"/>
        <v>[ROLE] Tech Lead | [TASK] Provide intentionally messy but functional code for learning debugging and improvement | [TOPIC] Manipulate and persist HTTP cookies across requests by extracting them from response.cookies, passing them via the cookies parameter, or utilizing a RequestsCookieJar within a session.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Requests | 📊 Level: Advanced | 🌐 Coding5s.com
**Concept:** Managing Cookies (cookies param, response.cookies, RequestsCookieJar)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and persist HTTP cookies across requests by extracting them from response.cookies, passing them via the cookies parameter, or utilizing a RequestsCookieJar within a session.. Topic details: Managing Cookies (cookies param, response.cookies, RequestsCookieJar)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Requests | 📊 Level: Advanced
**Topic:** Manipulate and persist HTTP cookies across requests by extracting them from response.cookies, passing them via the cookies parameter, or utilizing a RequestsCookieJar within a session.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8" t="str">
        <f t="shared" si="9"/>
        <v>[ROLE] Tech Product Manager assigning a Python Jira Ticket | [TASK] Provide a guided implementation exercise with full solution for learning purposes | [TOPIC] Manipulate and persist HTTP cookies across requests by extracting them from response.cookies, passing them via the cookies parameter, or utilizing a RequestsCookieJar within a session. | [LEVEL] Advanced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Requests | 📊 Level: Advanced | 🌐 Coding5s.com
**Concept:** Managing Cookies (cookies param, response.cookies, RequestsCookieJar)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and persist HTTP cookies across requests by extracting them from response.cookies, passing them via the cookies parameter, or utilizing a RequestsCookieJar within a session.. Goal: Managing Cookies (cookies param, response.cookies, RequestsCookieJar)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Requests | 📊 Level: Advanced
**Topic:** Manipulate and persist HTTP cookies across requests by extracting them from response.cookies, passing them via the cookies parameter, or utilizing a RequestsCookieJar within a session.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 t="shared" si="16"/>
        <v/>
      </c>
      <c r="AI35" s="54"/>
      <c r="AJ35" s="54"/>
      <c r="AK35" s="54">
        <v>27</v>
      </c>
      <c r="AL35" s="54" t="s">
        <v>148</v>
      </c>
      <c r="AM35" s="54" t="s">
        <v>149</v>
      </c>
    </row>
    <row r="36" spans="1:39">
      <c r="A36" s="96">
        <v>8</v>
      </c>
      <c r="B36" s="45" t="str" cm="1">
        <f t="array" ref="B36">IF(H36="PROJECT", CHAR(10) &amp; "- " &amp; _xlfn.TEXTJOIN(CHAR(10) &amp; "- ", TRUE, _xlfn._xlws.FILTER($I$9:$I$1000, ($C$9:$C$1000=C36) * ($H$9:$H$1000="Topic"))), "")</f>
        <v/>
      </c>
      <c r="C36" s="45">
        <f t="shared" si="0"/>
        <v>5</v>
      </c>
      <c r="D36" s="57">
        <v>4</v>
      </c>
      <c r="E36" s="58" t="s">
        <v>49</v>
      </c>
      <c r="F36" s="59">
        <v>28</v>
      </c>
      <c r="G36" s="60" t="s">
        <v>164</v>
      </c>
      <c r="H36" s="60" t="s">
        <v>51</v>
      </c>
      <c r="I36" s="61" t="s">
        <v>712</v>
      </c>
      <c r="J36" s="62" t="s">
        <v>713</v>
      </c>
      <c r="K36" s="103" t="str">
        <f t="shared" si="1"/>
        <v xml:space="preserve">[ROLE] Friendly tutor specializing in Python | [TOPIC] Route outward HTTP and HTTPS traffic through intermediate proxy servers by passing a protocol-mapped dictionary to the proxies parameter in the requests library. | [LEVEL] Advanced | [COUNT] 4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#28 | Stage 1 📖 Practice | Python - Requests | 📊 Level: Advanced | 🌐 Coding5s.com
**Concept:** Routing Traffic through Proxies (proxies dictionary)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outward HTTP and HTTPS traffic through intermediate proxy servers by passing a protocol-mapped dictionary to the proxies parameter in the requests library.. Topic details: Routing Traffic through Proxies (proxies dictionary)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Requests | 📊 Level: Advanced
**Topic:** Route outward HTTP and HTTPS traffic through intermediate proxy servers by passing a protocol-mapped dictionary to the proxies parameter in the requests library.
---
 | [FOOTER RULE - STRICT] End your response with: '--- ⚡ *Coding5s Mentor System — Eliminating Epistemic Debt*' | </v>
      </c>
      <c r="M36" s="52">
        <v>0</v>
      </c>
      <c r="N36" s="104" t="str">
        <f t="shared" si="3"/>
        <v>[ROLE] Careless Python Developer | [TASK] Generate debugging challenges in Python | | [TOPIC] Route outward HTTP and HTTPS traffic through intermediate proxy servers by passing a protocol-mapped dictionary to the proxies parameter in the requests library. | | [LEVEL] Advanced |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2 🐛 Debug | Python - Requests | 📊 Level: Advanced | 🌐 Coding5s.com
Concept: Routing Traffic through Proxies (proxies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outward HTTP and HTTPS traffic through intermediate proxy servers by passing a protocol-mapped dictionary to the proxies parameter in the requests library.. Topic details: Routing Traffic through Proxies (proxies dictionary)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Requests | 📊 Level: Advanced
**Topic:** Route outward HTTP and HTTPS traffic through intermediate proxy servers by passing a protocol-mapped dictionary to the proxies parameter 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4" t="str">
        <f t="shared" si="5"/>
        <v>[ROLE] Tech Lead | [TASK] Assign incomplete Python script challenges | [TOPIC] Route outward HTTP and HTTPS traffic through intermediate proxy servers by passing a protocol-mapped dictionary to the proxies parameter in the requests library. | [LEVEL] Advanced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3 🧩 Complete | Python - Requests | 📊 Level: Advanced | 🌐 Coding5s.com
**Concept:** Routing Traffic through Proxies (proxies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outward HTTP and HTTPS traffic through intermediate proxy servers by passing a protocol-mapped dictionary to the proxies parameter in the requests library..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outward HTTP and HTTPS traffic through intermediate proxy servers by passing a protocol-mapped dictionary to the proxies parameter in the requests library.. Topic details: Routing Traffic through Proxies (proxies dictionary)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Requests | 📊 Level: Advanced
**Topic:** Route outward HTTP and HTTPS traffic through intermediate proxy servers by passing a protocol-mapped dictionary to the proxies parameter 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4" t="str">
        <f t="shared" si="7"/>
        <v>[ROLE] Tech Lead | [TASK] Provide intentionally messy but functional code for learning debugging and improvement | [TOPIC] Route outward HTTP and HTTPS traffic through intermediate proxy servers by passing a protocol-mapped dictionary to the proxies parameter in the requests library. | [LEVEL] Advanced | [COUNT] 4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Requests | 📊 Level: Advanced | 🌐 Coding5s.com
**Concept:** Routing Traffic through Proxies (proxies dictionary)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Route outward HTTP and HTTPS traffic through intermediate proxy servers by passing a protocol-mapped dictionary to the proxies parameter in the requests library.. Topic details: Routing Traffic through Proxies (proxies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Requests | 📊 Level: Advanced
**Topic:** Route outward HTTP and HTTPS traffic through intermediate proxy servers by passing a protocol-mapped dictionary to the proxies parameter 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8" t="str">
        <f t="shared" si="9"/>
        <v>[ROLE] Tech Product Manager assigning a Python Jira Ticket | [TASK] Provide a guided implementation exercise with full solution for learning purposes | [TOPIC] Route outward HTTP and HTTPS traffic through intermediate proxy servers by passing a protocol-mapped dictionary to the proxies parameter in the requests library. | [LEVEL] Advanced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Requests | 📊 Level: Advanced | 🌐 Coding5s.com
**Concept:** Routing Traffic through Proxies (proxies dictionary)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outward HTTP and HTTPS traffic through intermediate proxy servers by passing a protocol-mapped dictionary to the proxies parameter in the requests library.. Goal: Routing Traffic through Proxies (proxies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Requests | 📊 Level: Advanced
**Topic:** Route outward HTTP and HTTPS traffic through intermediate proxy servers by passing a protocol-mapped dictionary to the proxies parameter in the requests library.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 t="shared" si="16"/>
        <v/>
      </c>
      <c r="AI36" s="54"/>
      <c r="AJ36" s="54"/>
      <c r="AK36" s="54">
        <v>28</v>
      </c>
      <c r="AL36" s="54" t="s">
        <v>151</v>
      </c>
      <c r="AM36" s="54" t="s">
        <v>152</v>
      </c>
    </row>
    <row r="37" spans="1:39">
      <c r="A37" s="96">
        <v>10</v>
      </c>
      <c r="B37" s="45" t="str" cm="1">
        <f t="array" ref="B37">IF(H37="PROJECT", CHAR(10) &amp; "- " &amp; _xlfn.TEXTJOIN(CHAR(10) &amp; "- ", TRUE, _xlfn._xlws.FILTER($I$9:$I$1000, ($C$9:$C$1000=C37) * ($H$9:$H$1000="Topic"))), "")</f>
        <v/>
      </c>
      <c r="C37" s="45">
        <f t="shared" si="0"/>
        <v>5</v>
      </c>
      <c r="D37" s="46">
        <v>5</v>
      </c>
      <c r="E37" s="58" t="s">
        <v>49</v>
      </c>
      <c r="F37" s="48">
        <v>29</v>
      </c>
      <c r="G37" s="49" t="s">
        <v>164</v>
      </c>
      <c r="H37" s="49" t="s">
        <v>51</v>
      </c>
      <c r="I37" s="50" t="s">
        <v>714</v>
      </c>
      <c r="J37" s="51" t="s">
        <v>715</v>
      </c>
      <c r="K37" s="103" t="str">
        <f t="shared" si="1"/>
        <v xml:space="preserve">[ROLE] Friendly tutor specializing in Python | [TOPIC] Implement advanced error handling architectures by catching specific requests.exceptions such as Timeout or ConnectionError to execute targeted fallback logic instead of generic failures. | [LEVEL] Advanced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#29 | Stage 1 📖 Practice | Python - Requests | 📊 Level: Advanced | 🌐 Coding5s.com
**Concept:** Catching Specific Network Exceptions (Timeout, ConnectionError, RequestException)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Requests | 📊 Level: Advanced
**Topic:** Implement advanced error handling architectures by catching specific requests.exceptions such as Timeout or ConnectionError to execute targeted fallback logic instead of generic failures.
---
 | [FOOTER RULE - STRICT] End your response with: '--- ⚡ *Coding5s Mentor System — Eliminating Epistemic Debt*' | </v>
      </c>
      <c r="M37" s="53">
        <v>0</v>
      </c>
      <c r="N37" s="104" t="str">
        <f t="shared" si="3"/>
        <v>[ROLE] Careless Python Developer | [TASK] Generate debugging challenges in Python | | [TOPIC] Implement advanced error handling architectures by catching specific requests.exceptions such as Timeout or ConnectionError to execute targeted fallback logic instead of generic failures. | | [LEVEL] Advanced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2 🐛 Debug | Python - Requests | 📊 Level: Advanced | 🌐 Coding5s.com
Concept: Catching Specific Network Exceptions (Timeout, ConnectionError, RequestException)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Requests | 📊 Level: Advanced
**Topic:** Implement advanced error handling architectures by catching specific requests.exceptions such as Timeout or ConnectionError to execute targeted fallback logic instead of generic failures.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4" t="str">
        <f t="shared" si="5"/>
        <v>[ROLE] Tech Lead | [TASK] Assign incomplete Python script challenges | [TOPIC] Implement advanced error handling architectures by catching specific requests.exceptions such as Timeout or ConnectionError to execute targeted fallback logic instead of generic failures.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3 🧩 Complete | Python - Requests | 📊 Level: Advanced | 🌐 Coding5s.com
**Concept:** Catching Specific Network Exceptions (Timeout, ConnectionError, RequestException)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advanced error handling architectures by catching specific requests.exceptions such as Timeout or ConnectionError to execute targeted fallback logic instead of generic failures..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Requests | 📊 Level: Advanced
**Topic:** Implement advanced error handling architectures by catching specific requests.exceptions such as Timeout or ConnectionError to execute targeted fallback logic instead of generic failures.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4" t="str">
        <f t="shared" si="7"/>
        <v>[ROLE] Tech Lead | [TASK] Provide intentionally messy but functional code for learning debugging and improvement | [TOPIC] Implement advanced error handling architectures by catching specific requests.exceptions such as Timeout or ConnectionError to execute targeted fallback logic instead of generic failures.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Requests | 📊 Level: Advanced | 🌐 Coding5s.com
**Concept:** Catching Specific Network Exceptions (Timeout, ConnectionError, RequestException)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advanced error handling architectures by catching specific requests.exceptions such as Timeout or ConnectionError to execute targeted fallback logic instead of generic failures.. Topic details: Catching Specific Network Exceptions (Timeout, ConnectionError, RequestException)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Requests | 📊 Level: Advanced
**Topic:** Implement advanced error handling architectures by catching specific requests.exceptions such as Timeout or ConnectionError to execute targeted fallback logic instead of generic failures.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8" t="str">
        <f t="shared" si="9"/>
        <v>[ROLE] Tech Product Manager assigning a Python Jira Ticket | [TASK] Provide a guided implementation exercise with full solution for learning purposes | [TOPIC] Implement advanced error handling architectures by catching specific requests.exceptions such as Timeout or ConnectionError to execute targeted fallback logic instead of generic failures. | [LEVEL] Advanced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Requests | 📊 Level: Advanced | 🌐 Coding5s.com
**Concept:** Catching Specific Network Exceptions (Timeout, ConnectionError, RequestException)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advanced error handling architectures by catching specific requests.exceptions such as Timeout or ConnectionError to execute targeted fallback logic instead of generic failures.. Goal: Catching Specific Network Exceptions (Timeout, ConnectionError, RequestException)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Requests | 📊 Level: Advanced
**Topic:** Implement advanced error handling architectures by catching specific requests.exceptions such as Timeout or ConnectionError to execute targeted fallback logic instead of generic failures.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154</v>
      </c>
      <c r="AM37" s="54" t="s">
        <v>155</v>
      </c>
    </row>
    <row r="38" spans="1:39">
      <c r="A38" s="96" t="s">
        <v>80</v>
      </c>
      <c r="B38" s="45" t="str" cm="1">
        <f t="array" ref="B38">IF(H38="PROJECT", CHAR(10) &amp; "- " &amp; _xlfn.TEXTJOIN(CHAR(10) &amp; "- ", TRUE, _xlfn._xlws.FILTER($I$9:$I$1000, ($C$9:$C$1000=C38) * ($H$9:$H$1000="Topic"))), "")</f>
        <v xml:space="preserve">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v>
      </c>
      <c r="C38" s="45">
        <f t="shared" si="0"/>
        <v>5</v>
      </c>
      <c r="D38" s="57">
        <v>0</v>
      </c>
      <c r="E38" s="58" t="s">
        <v>667</v>
      </c>
      <c r="F38" s="59">
        <v>30</v>
      </c>
      <c r="G38" s="60" t="s">
        <v>164</v>
      </c>
      <c r="H38" s="60" t="s">
        <v>81</v>
      </c>
      <c r="I38" s="61" t="s">
        <v>716</v>
      </c>
      <c r="J38" s="62" t="s">
        <v>717</v>
      </c>
      <c r="K38" s="103" t="str">
        <f t="shared" si="1"/>
        <v>[TASK] Teach through a practical Python - Requests project following the micro-learning methodology, acting as a supportive tutor, creating a project about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#30 | Stage 1 | Python - Requests | 📊 Level: Advanced | 🌐 Coding5s.com
**Project:** Stateful API Crawler (Sessions, persistence, proxy rotation, resilient error catching)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8"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applied in this project: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#30 | Practice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[FOOTER RULE - STRICT] End your response with: '--- ⚡ *Coding5s Mentor System — Eliminating Epistemic Debt*' | </v>
      </c>
      <c r="M38" s="52">
        <v>0</v>
      </c>
      <c r="N38" s="104" t="str">
        <f t="shared" si="3"/>
        <v>[ROLE] Careless Python Developer | [TASK] Generate debugging project in Python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[OUTPUT] Only header, dataset summary or statement (if any), email intro, objective, expected output, broken code, and footer | [HEADER RULE - STRICT] You MUST start your entire response EXACTLY with this markdown block (do not print anything before it):
### 🚀 Project #30 | Stage 2 | Python - Requests | 📊 Level: Advanced | 🌐 Coding5s.com
Project: Stateful API Crawler (Sessions, persistence, proxy rotation, resilient error catching)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#30 | Debug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4" t="str">
        <f t="shared" si="5"/>
        <v>[ROLE] Tech Lead | [TASK] Assign incomplete project script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#30 | Stage 3 | Python - Requests | 📊 Level: Advanced | 🌐 Coding5s.com
**Project:** Stateful API Crawler (Sessions, persistence, proxy rotation, resilient error catching)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#30 | Complete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4" t="str">
        <f t="shared" si="7"/>
        <v>[ROLE] Tech Lead | [TASK] Provide a messy but functional project for refactoring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Tech Lead. A junior wrote this working but messy code. Tone: professional but exhausted | [HEADER RULE - STRICT] You MUST start your entire response EXACTLY with this markdown block (do not print anything before it):
### 🚀 Project #30 | Stage 4 | Python - Requests | 📊 Level: Advanced | 🌐 Coding5s.com
**Project:** Stateful API Crawler (Sessions, persistence, proxy rotation, resilient error catching)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involved: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Project objective: Stateful API Crawler (Sessions, persistence, proxy rotation, resilient error catching)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#30 | Refactor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8" t="str">
        <f t="shared" si="9"/>
        <v>[ROLE] Tech Product Manager assigning a Python Jira Ticket | [TASK] Provide a guided project implementation with full solution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#30 | Stage 5 | Python - Requests | 📊 Level: Advanced | 🌐 Coding5s.com
**Project:** Stateful API Crawler (Sessions, persistence, proxy rotation, resilient error catching)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Topics integrated: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Business Goal: Stateful API Crawler (Sessions, persistence, proxy rotation, resilient error catching)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#30 | Extend | Python - Requests | 📊 Level: Advanced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[TASK] Teach through a practical Python - Requests project following the micro-learning methodology, acting as a supportive tutor, creating a project about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#30 | Stage 1 | Python - Requests | 📊 Level: Advanced | 🌐 Coding5s.com
**Project:** Stateful API Crawler (Sessions, persistence, proxy rotation, resilient error catching)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8" s="56" t="str">
        <f t="shared" si="12"/>
        <v>[ROLE] Careless Python Developer | [TASK] Generate debugging project in Python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[OUTPUT] Only header, dataset summary or statement (if any), email intro, objective, expected output, broken code, and footer | [HEADER RULE - STRICT] You MUST start your entire response EXACTLY with this markdown block (do not print anything before it):
### 🚀 Project #30 | Stage 2 | Python - Requests | 📊 Level: Advanced | 🌐 Coding5s.com
Project: Stateful API Crawler (Sessions, persistence, proxy rotation, resilient error catching)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8" s="56" t="str">
        <f t="shared" si="13"/>
        <v>[ROLE] Tech Lead | [TASK] Assign incomplete project script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#30 | Stage 3 | Python - Requests | 📊 Level: Advanced | 🌐 Coding5s.com
**Project:** Stateful API Crawler (Sessions, persistence, proxy rotation, resilient error catching)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8" s="56" t="str">
        <f t="shared" si="14"/>
        <v>[ROLE] Tech Lead | [TASK] Provide a messy but functional project for refactoring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Tech Lead. A junior wrote this working but messy code. Tone: professional but exhausted | [HEADER RULE - STRICT] You MUST start your entire response EXACTLY with this markdown block (do not print anything before it):
### 🚀 Project #30 | Stage 4 | Python - Requests | 📊 Level: Advanced | 🌐 Coding5s.com
**Project:** Stateful API Crawler (Sessions, persistence, proxy rotation, resilient error catching)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8" s="56" t="str">
        <f t="shared" si="15"/>
        <v>[ROLE] Tech Product Manager assigning a Python Jira Ticket | [TASK] Provide a guided project implementation with full solution | [PROJECT] Build a stateful API crawler application that takes an initial seed URL as input, processes the navigation of paginated endpoints utilizing a persistent Session with rotating proxies and resilient exception handling, and outputs an aggregated dataset of extracted resources. | [TOPICS USED] 
- Optimize network performance by initializing a requests.Session() object to leverage HTTP connection pooling and persist parameters across multiple requests to the same host.
- Streamline API interactions by setting session-level default headers and authentication mechanisms on a requests.Session() instance to automatically apply them to all outbound requests.
- Manipulate and persist HTTP cookies across requests by extracting them from response.cookies, passing them via the cookies parameter, or utilizing a RequestsCookieJar within a session.
- Route outward HTTP and HTTPS traffic through intermediate proxy servers by passing a protocol-mapped dictionary to the proxies parameter in the requests library.
- Implement advanced error handling architectures by catching specific requests.exceptions such as Timeout or ConnectionError to execute targeted fallback logic instead of generic failures. | [LEVEL] Advanced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#30 | Stage 5 | Python - Requests | 📊 Level: Advanced | 🌐 Coding5s.com
**Project:** Stateful API Crawler (Sessions, persistence, proxy rotation, resilient error catching)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8" s="40"/>
      <c r="AF38" s="40"/>
      <c r="AG38" s="40"/>
      <c r="AH38" s="56" t="str">
        <f t="shared" si="16"/>
        <v/>
      </c>
      <c r="AI38" s="54"/>
      <c r="AJ38" s="54"/>
      <c r="AK38" s="54">
        <v>30</v>
      </c>
      <c r="AL38" s="54" t="s">
        <v>157</v>
      </c>
      <c r="AM38" s="54" t="s">
        <v>158</v>
      </c>
    </row>
    <row r="39" spans="1:39">
      <c r="A39" s="96">
        <v>8</v>
      </c>
      <c r="B39" s="45" t="str" cm="1">
        <f t="array" ref="B39">IF(H39="PROJECT", CHAR(10) &amp; "- " &amp; _xlfn.TEXTJOIN(CHAR(10) &amp; "- ", TRUE, _xlfn._xlws.FILTER($I$9:$I$1000, ($C$9:$C$1000=C39) * ($H$9:$H$1000="Topic"))), "")</f>
        <v/>
      </c>
      <c r="C39" s="45">
        <f t="shared" si="0"/>
        <v>6</v>
      </c>
      <c r="D39" s="46">
        <v>5</v>
      </c>
      <c r="E39" s="58" t="s">
        <v>667</v>
      </c>
      <c r="F39" s="48">
        <v>31</v>
      </c>
      <c r="G39" s="49" t="s">
        <v>164</v>
      </c>
      <c r="H39" s="49" t="s">
        <v>51</v>
      </c>
      <c r="I39" s="50" t="s">
        <v>718</v>
      </c>
      <c r="J39" s="51" t="s">
        <v>719</v>
      </c>
      <c r="K39" s="103" t="str">
        <f t="shared" si="1"/>
        <v xml:space="preserve">[ROLE] Friendly tutor specializing in Python | [TOPIC] Consume Server-Sent Events (SSE) or continuous text streams by enabling stream=True and processing the incoming data line-by-line using the .iter_lines() method. | [LEVEL] Advanced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#31 | Stage 1 📖 Practice | Python - Requests | 📊 Level: Advanced | 🌐 Coding5s.com
**Concept:** Streaming Text Lines and SSE (stream=True, .iter_lines())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Consume Server-Sent Events (SSE) or continuous text streams by enabling stream=True and processing the incoming data line-by-line using the .iter_lines() method.. Topic details: Streaming Text Lines and SSE (stream=True, .iter_lines())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Requests | 📊 Level: Advanced
**Topic:** Consume Server-Sent Events (SSE) or continuous text streams by enabling stream=True and processing the incoming data line-by-line using the .iter_lines() method.
---
 | [FOOTER RULE - STRICT] End your response with: '--- ⚡ *Coding5s Mentor System — Eliminating Epistemic Debt*' | </v>
      </c>
      <c r="M39" s="53">
        <v>0</v>
      </c>
      <c r="N39" s="104" t="str">
        <f t="shared" si="3"/>
        <v>[ROLE] Careless Python Developer | [TASK] Generate debugging challenges in Python | | [TOPIC] Consume Server-Sent Events (SSE) or continuous text streams by enabling stream=True and processing the incoming data line-by-line using the .iter_lines() method. | | [LEVEL] Advanced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2 🐛 Debug | Python - Requests | 📊 Level: Advanced | 🌐 Coding5s.com
Concept: Streaming Text Lines and SSE (stream=True, .iter_lines())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Consume Server-Sent Events (SSE) or continuous text streams by enabling stream=True and processing the incoming data line-by-line using the .iter_lines() method.. Topic details: Streaming Text Lines and SSE (stream=True, .iter_lines())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Requests | 📊 Level: Advanced
**Topic:** Consume Server-Sent Events (SSE) or continuous text streams by enabling stream=True and processing the incoming data line-by-line using the .iter_lines()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4" t="str">
        <f t="shared" si="5"/>
        <v>[ROLE] Tech Lead | [TASK] Assign incomplete Python script challenges | [TOPIC] Consume Server-Sent Events (SSE) or continuous text streams by enabling stream=True and processing the incoming data line-by-line using the .iter_lines() method.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3 🧩 Complete | Python - Requests | 📊 Level: Advanced | 🌐 Coding5s.com
**Concept:** Streaming Text Lines and SSE (stream=True, .iter_lines())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Consume Server-Sent Events (SSE) or continuous text streams by enabling stream=True and processing the incoming data line-by-line using the .iter_lines()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Consume Server-Sent Events (SSE) or continuous text streams by enabling stream=True and processing the incoming data line-by-line using the .iter_lines() method.. Topic details: Streaming Text Lines and SSE (stream=True, .iter_lines())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Requests | 📊 Level: Advanced
**Topic:** Consume Server-Sent Events (SSE) or continuous text streams by enabling stream=True and processing the incoming data line-by-line using the .iter_lines()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4" t="str">
        <f t="shared" si="7"/>
        <v>[ROLE] Tech Lead | [TASK] Provide intentionally messy but functional code for learning debugging and improvement | [TOPIC] Consume Server-Sent Events (SSE) or continuous text streams by enabling stream=True and processing the incoming data line-by-line using the .iter_lines() method.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Requests | 📊 Level: Advanced | 🌐 Coding5s.com
**Concept:** Streaming Text Lines and SSE (stream=True, .iter_lines())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Consume Server-Sent Events (SSE) or continuous text streams by enabling stream=True and processing the incoming data line-by-line using the .iter_lines() method.. Topic details: Streaming Text Lines and SSE (stream=True, .iter_lines())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Requests | 📊 Level: Advanced
**Topic:** Consume Server-Sent Events (SSE) or continuous text streams by enabling stream=True and processing the incoming data line-by-line using the .iter_lines()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8" t="str">
        <f t="shared" si="9"/>
        <v>[ROLE] Tech Product Manager assigning a Python Jira Ticket | [TASK] Provide a guided implementation exercise with full solution for learning purposes | [TOPIC] Consume Server-Sent Events (SSE) or continuous text streams by enabling stream=True and processing the incoming data line-by-line using the .iter_lines() method. | [LEVEL] Advanced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Requests | 📊 Level: Advanced | 🌐 Coding5s.com
**Concept:** Streaming Text Lines and SSE (stream=True, .iter_lines())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Consume Server-Sent Events (SSE) or continuous text streams by enabling stream=True and processing the incoming data line-by-line using the .iter_lines() method.. Goal: Streaming Text Lines and SSE (stream=True, .iter_lines())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Requests | 📊 Level: Advanced
**Topic:** Consume Server-Sent Events (SSE) or continuous text streams by enabling stream=True and processing the incoming data line-by-line using the .iter_lines()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1"/>
        <v/>
      </c>
      <c r="AA39" s="56" t="str">
        <f t="shared" si="12"/>
        <v/>
      </c>
      <c r="AB39" s="56" t="str">
        <f t="shared" si="13"/>
        <v/>
      </c>
      <c r="AC39" s="56" t="str">
        <f t="shared" si="14"/>
        <v/>
      </c>
      <c r="AD39" s="56" t="str">
        <f t="shared" si="15"/>
        <v/>
      </c>
      <c r="AE39" s="40"/>
      <c r="AF39" s="40"/>
      <c r="AG39" s="40"/>
      <c r="AH39" s="56" t="str">
        <f t="shared" si="16"/>
        <v/>
      </c>
      <c r="AI39" s="54"/>
      <c r="AJ39" s="54"/>
      <c r="AK39" s="54">
        <v>31</v>
      </c>
      <c r="AL39" s="54" t="s">
        <v>52</v>
      </c>
      <c r="AM39" s="54" t="s">
        <v>53</v>
      </c>
    </row>
    <row r="40" spans="1:39">
      <c r="A40" s="96">
        <v>10</v>
      </c>
      <c r="B40" s="45" t="str" cm="1">
        <f t="array" ref="B40">IF(H40="PROJECT", CHAR(10) &amp; "- " &amp; _xlfn.TEXTJOIN(CHAR(10) &amp; "- ", TRUE, _xlfn._xlws.FILTER($I$9:$I$1000, ($C$9:$C$1000=C40) * ($H$9:$H$1000="Topic"))), "")</f>
        <v/>
      </c>
      <c r="C40" s="45">
        <f t="shared" si="0"/>
        <v>6</v>
      </c>
      <c r="D40" s="57">
        <v>5</v>
      </c>
      <c r="E40" s="58" t="s">
        <v>49</v>
      </c>
      <c r="F40" s="59">
        <v>32</v>
      </c>
      <c r="G40" s="60" t="s">
        <v>164</v>
      </c>
      <c r="H40" s="60" t="s">
        <v>51</v>
      </c>
      <c r="I40" s="61" t="s">
        <v>720</v>
      </c>
      <c r="J40" s="62" t="s">
        <v>721</v>
      </c>
      <c r="K40" s="103" t="str">
        <f>IF(H40="Topic",
"[ROLE] Friendly tutor specializing in " &amp; $I$2 &amp; " | " &amp;
"[TOPIC] " &amp; I40 &amp; " | " &amp;
"[LEVEL] " &amp; G40 &amp; " | " &amp;
"[COUNT] " &amp; D40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$A40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IF(F40&gt;=10,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IF(G40="Beginner","Do NOT use functions unless absolutely required by the concept. Use flat, linear scripts. ",IF(G40="Intermediate","MUST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IF(F40&gt;=10,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F40 &amp; " | Stage 1 📖 Practice | " &amp; IF($I$3="", $I$2, $I$2&amp; " - " &amp;$I$3) &amp; " | 📊 Level: " &amp; G40 &amp; " | 🌐 Coding5s.com" &amp; CHAR(10) &amp; "**Concept:** " &amp; J40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D40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IF(AJ40&lt;&gt;"", AJ40,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IF(H40="PROJECT", Z40, ""))</f>
        <v xml:space="preserve">[ROLE] Friendly tutor specializing in Python | [TOPIC] Automate post-request processing logic by attaching custom Python callback functions to the hooks parameter to implicitly modify or log response objects immediately upon receipt. | [LEVEL] Advanced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#32 | Stage 1 📖 Practice | Python - Requests | 📊 Level: Advanced | 🌐 Coding5s.com
**Concept:** Attaching Callbacks to Responses (hooks={'response': callback_function})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Automate post-request processing logic by attaching custom Python callback functions to the hooks parameter to implicitly modify or log response objects immediately upon receipt.. Topic details: Attaching Callbacks to Responses (hooks={'response': callback_function})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Requests | 📊 Level: Advanced
**Topic:** Automate post-request processing logic by attaching custom Python callback functions to the hooks parameter to implicitly modify or log response objects immediately upon receipt.
---
 | [FOOTER RULE - STRICT] End your response with: '--- ⚡ *Coding5s Mentor System — Eliminating Epistemic Debt*' | </v>
      </c>
      <c r="M40" s="52">
        <v>0</v>
      </c>
      <c r="N40" s="104" t="str">
        <f t="shared" si="3"/>
        <v>[ROLE] Careless Python Developer | [TASK] Generate debugging challenges in Python | | [TOPIC] Automate post-request processing logic by attaching custom Python callback functions to the hooks parameter to implicitly modify or log response objects immediately upon receipt. | | [LEVEL] Advanced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2 🐛 Debug | Python - Requests | 📊 Level: Advanced | 🌐 Coding5s.com
Concept: Attaching Callbacks to Responses (hooks={'response': callback_function})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Requests | 📊 Level: Advanced
**Topic:** Automate post-request processing logic by attaching custom Python callback functions to the hooks parameter to implicitly modify or log response objects immediately upon receipt.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4" t="str">
        <f t="shared" si="5"/>
        <v>[ROLE] Tech Lead | [TASK] Assign incomplete Python script challenges | [TOPIC] Automate post-request processing logic by attaching custom Python callback functions to the hooks parameter to implicitly modify or log response objects immediately upon receipt.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3 🧩 Complete | Python - Requests | 📊 Level: Advanced | 🌐 Coding5s.com
**Concept:** Attaching Callbacks to Responses (hooks={'response': callback_function})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Automate post-request processing logic by attaching custom Python callback functions to the hooks parameter to implicitly modify or log response objects immediately upon receipt..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Requests | 📊 Level: Advanced
**Topic:** Automate post-request processing logic by attaching custom Python callback functions to the hooks parameter to implicitly modify or log response objects immediately upon receipt.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4" t="str">
        <f t="shared" si="7"/>
        <v>[ROLE] Tech Lead | [TASK] Provide intentionally messy but functional code for learning debugging and improvement | [TOPIC] Automate post-request processing logic by attaching custom Python callback functions to the hooks parameter to implicitly modify or log response objects immediately upon receipt.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Requests | 📊 Level: Advanced | 🌐 Coding5s.com
**Concept:** Attaching Callbacks to Responses (hooks={'response': callback_function})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Automate post-request processing logic by attaching custom Python callback functions to the hooks parameter to implicitly modify or log response objects immediately upon receipt.. Topic details: Attaching Callbacks to Responses (hooks={'response': callback_function})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Requests | 📊 Level: Advanced
**Topic:** Automate post-request processing logic by attaching custom Python callback functions to the hooks parameter to implicitly modify or log response objects immediately upon receipt.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8" t="str">
        <f t="shared" si="9"/>
        <v>[ROLE] Tech Product Manager assigning a Python Jira Ticket | [TASK] Provide a guided implementation exercise with full solution for learning purposes | [TOPIC] Automate post-request processing logic by attaching custom Python callback functions to the hooks parameter to implicitly modify or log response objects immediately upon receipt. | [LEVEL] Advanced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Requests | 📊 Level: Advanced | 🌐 Coding5s.com
**Concept:** Attaching Callbacks to Responses (hooks={'response': callback_function})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Automate post-request processing logic by attaching custom Python callback functions to the hooks parameter to implicitly modify or log response objects immediately upon receipt.. Goal: Attaching Callbacks to Responses (hooks={'response': callback_function})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Requests | 📊 Level: Advanced
**Topic:** Automate post-request processing logic by attaching custom Python callback functions to the hooks parameter to implicitly modify or log response objects immediately upon receipt.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58</v>
      </c>
      <c r="AM40" s="54" t="s">
        <v>59</v>
      </c>
    </row>
    <row r="41" spans="1:39">
      <c r="A41" s="96">
        <v>12</v>
      </c>
      <c r="B41" s="45" t="str" cm="1">
        <f t="array" ref="B41">IF(H41="PROJECT", CHAR(10) &amp; "- " &amp; _xlfn.TEXTJOIN(CHAR(10) &amp; "- ", TRUE, _xlfn._xlws.FILTER($I$9:$I$1000, ($C$9:$C$1000=C41) * ($H$9:$H$1000="Topic"))), "")</f>
        <v/>
      </c>
      <c r="C41" s="45">
        <f t="shared" si="0"/>
        <v>6</v>
      </c>
      <c r="D41" s="46">
        <v>5</v>
      </c>
      <c r="E41" s="58" t="s">
        <v>49</v>
      </c>
      <c r="F41" s="48">
        <v>33</v>
      </c>
      <c r="G41" s="49" t="s">
        <v>164</v>
      </c>
      <c r="H41" s="49" t="s">
        <v>51</v>
      </c>
      <c r="I41" s="50" t="s">
        <v>722</v>
      </c>
      <c r="J41" s="51" t="s">
        <v>723</v>
      </c>
      <c r="K41" s="103" t="str">
        <f>IF(H41="Topic",
"[ROLE] Friendly tutor specializing in " &amp; $I$2 &amp; " | " &amp;
"[TOPIC] " &amp; I41 &amp; " | " &amp;
"[LEVEL] " &amp; G41 &amp; " | " &amp;
"[COUNT] " &amp; D41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$A41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IF(F41&gt;=10,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IF(G41="Beginner","Do NOT use functions unless absolutely required by the concept. Use flat, linear scripts. ",IF(G41="Intermediate","MUST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IF(F41&gt;=10,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F41 &amp; " | Stage 1 📖 Practice | " &amp; IF($I$3="", $I$2, $I$2&amp; " - " &amp;$I$3) &amp; " | 📊 Level: " &amp; G41 &amp; " | 🌐 Coding5s.com" &amp; CHAR(10) &amp; "**Concept:** " &amp; J41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D41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IF(AJ41&lt;&gt;"", AJ41,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IF(H41="PROJECT", Z41, ""))</f>
        <v xml:space="preserve">[ROLE] Friendly tutor specializing in Python | [TOPIC] Construct highly customized HTTP requests by manually instantiating a Request object, compiling it using Session.prepare_request(), and executing it via Session.send() for absolute control over network payloads. | [LEVEL] Advanced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#33 | Stage 1 📖 Practice | Python - Requests | 📊 Level: Advanced | 🌐 Coding5s.com
**Concept:** Manual Request Crafting (Request, Session.prepare_request, Session.send)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Requests | 📊 Level: Advanced
**Topic:** Construct highly customized HTTP requests by manually instantiating a Request object, compiling it using Session.prepare_request(), and executing it via Session.send() for absolute control over network payloads.
---
 | [FOOTER RULE - STRICT] End your response with: '--- ⚡ *Coding5s Mentor System — Eliminating Epistemic Debt*' | </v>
      </c>
      <c r="M41" s="53">
        <v>0</v>
      </c>
      <c r="N41" s="104" t="str">
        <f t="shared" si="3"/>
        <v>[ROLE] Careless Python Developer | [TASK] Generate debugging challenges in Python | | [TOPIC] Construct highly customized HTTP requests by manually instantiating a Request object, compiling it using Session.prepare_request(), and executing it via Session.send() for absolute control over network payloads. | | [LEVEL] Advanced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#33 | Stage 2 🐛 Debug | Python - Requests | 📊 Level: Advanced | 🌐 Coding5s.com
Concept: Manual Request Crafting (Request, Session.prepare_request, Session.send)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Requests | 📊 Level: Advanced
**Topic:** Construct highly customized HTTP requests by manually instantiating a Request object, compiling it using Session.prepare_request(), and executing it via Session.send() for absolute control over network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4" t="str">
        <f t="shared" si="5"/>
        <v>[ROLE] Tech Lead | [TASK] Assign incomplete Python script challenges | [TOPIC] Construct highly customized HTTP requests by manually instantiating a Request object, compiling it using Session.prepare_request(), and executing it via Session.send() for absolute control over network payloads.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#33 | Stage 3 🧩 Complete | Python - Requests | 📊 Level: Advanced | 🌐 Coding5s.com
**Concept:** Manual Request Crafting (Request, Session.prepare_request, Session.send)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highly customized HTTP requests by manually instantiating a Request object, compiling it using Session.prepare_request(), and executing it via Session.send() for absolute control over network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Requests | 📊 Level: Advanced
**Topic:** Construct highly customized HTTP requests by manually instantiating a Request object, compiling it using Session.prepare_request(), and executing it via Session.send() for absolute control over network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4" t="str">
        <f t="shared" si="7"/>
        <v>[ROLE] Tech Lead | [TASK] Provide intentionally messy but functional code for learning debugging and improvement | [TOPIC] Construct highly customized HTTP requests by manually instantiating a Request object, compiling it using Session.prepare_request(), and executing it via Session.send() for absolute control over network payloads.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Requests | 📊 Level: Advanced | 🌐 Coding5s.com
**Concept:** Manual Request Crafting (Request, Session.prepare_request, Session.send)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highly customized HTTP requests by manually instantiating a Request object, compiling it using Session.prepare_request(), and executing it via Session.send() for absolute control over network payloads.. Topic details: Manual Request Crafting (Request, Session.prepare_request, Session.send)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Requests | 📊 Level: Advanced
**Topic:** Construct highly customized HTTP requests by manually instantiating a Request object, compiling it using Session.prepare_request(), and executing it via Session.send() for absolute control over network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8" t="str">
        <f t="shared" si="9"/>
        <v>[ROLE] Tech Product Manager assigning a Python Jira Ticket | [TASK] Provide a guided implementation exercise with full solution for learning purposes | [TOPIC] Construct highly customized HTTP requests by manually instantiating a Request object, compiling it using Session.prepare_request(), and executing it via Session.send() for absolute control over network payloads. | [LEVEL] Advanced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Requests | 📊 Level: Advanced | 🌐 Coding5s.com
**Concept:** Manual Request Crafting (Request, Session.prepare_request, Session.send)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highly customized HTTP requests by manually instantiating a Request object, compiling it using Session.prepare_request(), and executing it via Session.send() for absolute control over network payloads.. Goal: Manual Request Crafting (Request, Session.prepare_request, Session.send)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Requests | 📊 Level: Advanced
**Topic:** Construct highly customized HTTP requests by manually instantiating a Request object, compiling it using Session.prepare_request(), and executing it via Session.send() for absolute control over network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1"/>
        <v/>
      </c>
      <c r="AA41" s="56" t="str">
        <f t="shared" si="12"/>
        <v/>
      </c>
      <c r="AB41" s="56" t="str">
        <f t="shared" si="13"/>
        <v/>
      </c>
      <c r="AC41" s="56" t="str">
        <f t="shared" si="14"/>
        <v/>
      </c>
      <c r="AD41" s="56" t="str">
        <f t="shared" si="15"/>
        <v/>
      </c>
      <c r="AE41" s="40"/>
      <c r="AF41" s="40"/>
      <c r="AG41" s="40"/>
      <c r="AH41" s="56" t="str">
        <f t="shared" si="16"/>
        <v/>
      </c>
      <c r="AI41" s="54"/>
      <c r="AJ41" s="54"/>
      <c r="AK41" s="54">
        <v>33</v>
      </c>
      <c r="AL41" s="54" t="s">
        <v>63</v>
      </c>
      <c r="AM41" s="54" t="s">
        <v>64</v>
      </c>
    </row>
    <row r="42" spans="1:39">
      <c r="A42" s="96">
        <v>10</v>
      </c>
      <c r="B42" s="45" t="str" cm="1">
        <f t="array" ref="B42">IF(H42="PROJECT", CHAR(10) &amp; "- " &amp; _xlfn.TEXTJOIN(CHAR(10) &amp; "- ", TRUE, _xlfn._xlws.FILTER($I$9:$I$1000, ($C$9:$C$1000=C42) * ($H$9:$H$1000="Topic"))), "")</f>
        <v/>
      </c>
      <c r="C42" s="45">
        <f t="shared" si="0"/>
        <v>6</v>
      </c>
      <c r="D42" s="57">
        <v>5</v>
      </c>
      <c r="E42" s="58" t="s">
        <v>49</v>
      </c>
      <c r="F42" s="59">
        <v>34</v>
      </c>
      <c r="G42" s="60" t="s">
        <v>164</v>
      </c>
      <c r="H42" s="60" t="s">
        <v>51</v>
      </c>
      <c r="I42" s="61" t="s">
        <v>724</v>
      </c>
      <c r="J42" s="62" t="s">
        <v>725</v>
      </c>
      <c r="K42" s="103" t="str">
        <f t="shared" si="1"/>
        <v xml:space="preserve">[ROLE] Friendly tutor specializing in Python | [TOPIC] Engineer resilient HTTP clients by configuring automatic procedural retries for transient failures using urllib3.util.Retry, wrapping it in an HTTPAdapter, and mounting it to a specific URL prefix via session.mount(). | [LEVEL] Advanced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#34 | Stage 1 📖 Practice | Python - Requests | 📊 Level: Advanced | 🌐 Coding5s.com
**Concept:** Configuring Procedural Retries (urllib3.util.Retry, HTTPAdapter, session.mount)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Requests | 📊 Level: Advanced
**Topic:** Engineer resilient HTTP clients by configuring automatic procedural retries for transient failures using urllib3.util.Retry, wrapping it in an HTTPAdapter, and mounting it to a specific URL prefix via session.mount().
---
 | [FOOTER RULE - STRICT] End your response with: '--- ⚡ *Coding5s Mentor System — Eliminating Epistemic Debt*' | </v>
      </c>
      <c r="M42" s="52">
        <v>0</v>
      </c>
      <c r="N42" s="104" t="str">
        <f t="shared" si="3"/>
        <v>[ROLE] Careless Python Developer | [TASK] Generate debugging challenges in Python | | [TOPIC] Engineer resilient HTTP clients by configuring automatic procedural retries for transient failures using urllib3.util.Retry, wrapping it in an HTTPAdapter, and mounting it to a specific URL prefix via session.mount(). | | [LEVEL] Advanced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2 🐛 Debug | Python - Requests | 📊 Level: Advanced | 🌐 Coding5s.com
Concept: Configuring Procedural Retries (urllib3.util.Retry, HTTPAdapter, session.mount)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Requests | 📊 Level: Advanced
**Topic:** Engineer resilient HTTP clients by configuring automatic procedural retries for transient failures using urllib3.util.Retry, wrapping it in an HTTPAdapter, and mounting it to a specific URL prefix via session.mount().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4" t="str">
        <f t="shared" si="5"/>
        <v>[ROLE] Tech Lead | [TASK] Assign incomplete Python script challenges | [TOPIC] Engineer resilient HTTP clients by configuring automatic procedural retries for transient failures using urllib3.util.Retry, wrapping it in an HTTPAdapter, and mounting it to a specific URL prefix via session.mount().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3 🧩 Complete | Python - Requests | 📊 Level: Advanced | 🌐 Coding5s.com
**Concept:** Configuring Procedural Retries (urllib3.util.Retry, HTTPAdapter, session.mount)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Engineer resilient HTTP clients by configuring automatic procedural retries for transient failures using urllib3.util.Retry, wrapping it in an HTTPAdapter, and mounting it to a specific URL prefix via session.mount()..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Requests | 📊 Level: Advanced
**Topic:** Engineer resilient HTTP clients by configuring automatic procedural retries for transient failures using urllib3.util.Retry, wrapping it in an HTTPAdapter, and mounting it to a specific URL prefix via session.mount().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4" t="str">
        <f t="shared" si="7"/>
        <v>[ROLE] Tech Lead | [TASK] Provide intentionally messy but functional code for learning debugging and improvement | [TOPIC] Engineer resilient HTTP clients by configuring automatic procedural retries for transient failures using urllib3.util.Retry, wrapping it in an HTTPAdapter, and mounting it to a specific URL prefix via session.mount().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Requests | 📊 Level: Advanced | 🌐 Coding5s.com
**Concept:** Configuring Procedural Retries (urllib3.util.Retry, HTTPAdapter, session.mount)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Engineer resilient HTTP clients by configuring automatic procedural retries for transient failures using urllib3.util.Retry, wrapping it in an HTTPAdapter, and mounting it to a specific URL prefix via session.mount().. Topic details: Configuring Procedural Retries (urllib3.util.Retry, HTTPAdapter, session.mount)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Requests | 📊 Level: Advanced
**Topic:** Engineer resilient HTTP clients by configuring automatic procedural retries for transient failures using urllib3.util.Retry, wrapping it in an HTTPAdapter, and mounting it to a specific URL prefix via session.mount().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8" t="str">
        <f t="shared" si="9"/>
        <v>[ROLE] Tech Product Manager assigning a Python Jira Ticket | [TASK] Provide a guided implementation exercise with full solution for learning purposes | [TOPIC] Engineer resilient HTTP clients by configuring automatic procedural retries for transient failures using urllib3.util.Retry, wrapping it in an HTTPAdapter, and mounting it to a specific URL prefix via session.mount(). | [LEVEL] Advanced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Requests | 📊 Level: Advanced | 🌐 Coding5s.com
**Concept:** Configuring Procedural Retries (urllib3.util.Retry, HTTPAdapter, session.mount)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Engineer resilient HTTP clients by configuring automatic procedural retries for transient failures using urllib3.util.Retry, wrapping it in an HTTPAdapter, and mounting it to a specific URL prefix via session.mount().. Goal: Configuring Procedural Retries (urllib3.util.Retry, HTTPAdapter, session.mount)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Requests | 📊 Level: Advanced
**Topic:** Engineer resilient HTTP clients by configuring automatic procedural retries for transient failures using urllib3.util.Retry, wrapping it in an HTTPAdapter, and mounting it to a specific URL prefix via session.mount().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1"/>
        <v/>
      </c>
      <c r="AA42" s="56" t="str">
        <f t="shared" si="12"/>
        <v/>
      </c>
      <c r="AB42" s="56" t="str">
        <f t="shared" si="13"/>
        <v/>
      </c>
      <c r="AC42" s="56" t="str">
        <f t="shared" si="14"/>
        <v/>
      </c>
      <c r="AD42" s="56" t="str">
        <f t="shared" si="15"/>
        <v/>
      </c>
      <c r="AE42" s="40"/>
      <c r="AF42" s="40"/>
      <c r="AG42" s="40"/>
      <c r="AH42" s="56" t="str">
        <f t="shared" si="16"/>
        <v/>
      </c>
      <c r="AI42" s="54"/>
      <c r="AJ42" s="54"/>
      <c r="AK42" s="54">
        <v>34</v>
      </c>
      <c r="AL42" s="54" t="s">
        <v>69</v>
      </c>
      <c r="AM42" s="54" t="s">
        <v>70</v>
      </c>
    </row>
    <row r="43" spans="1:39">
      <c r="A43" s="96">
        <v>12</v>
      </c>
      <c r="B43" s="45" t="str" cm="1">
        <f t="array" ref="B43">IF(H43="PROJECT", CHAR(10) &amp; "- " &amp; _xlfn.TEXTJOIN(CHAR(10) &amp; "- ", TRUE, _xlfn._xlws.FILTER($I$9:$I$1000, ($C$9:$C$1000=C43) * ($H$9:$H$1000="Topic"))), "")</f>
        <v/>
      </c>
      <c r="C43" s="45">
        <f t="shared" si="0"/>
        <v>6</v>
      </c>
      <c r="D43" s="46">
        <v>5</v>
      </c>
      <c r="E43" s="58" t="s">
        <v>667</v>
      </c>
      <c r="F43" s="48">
        <v>35</v>
      </c>
      <c r="G43" s="49" t="s">
        <v>164</v>
      </c>
      <c r="H43" s="49" t="s">
        <v>51</v>
      </c>
      <c r="I43" s="50" t="s">
        <v>726</v>
      </c>
      <c r="J43" s="51" t="s">
        <v>727</v>
      </c>
      <c r="K43" s="103" t="str">
        <f t="shared" si="1"/>
        <v xml:space="preserve">[ROLE] Friendly tutor specializing in Python | [TOPIC] Bypass standard requests data parsing by setting stream=True and accessing the underlying urllib3 socket response directly via response.raw, utilizing decode_content to handle gzip/deflate decompression manually. | [LEVEL] Advanced | [COUNT] 5 examples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#35 | Stage 1 📖 Practice | Python - Requests | 📊 Level: Advanced | 🌐 Coding5s.com
**Concept:** Accessing the Underlying Socket Response (response.raw, decode_content)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Requests | 📊 Level: Advanced
**Topic:** Bypass standard requests data parsing by setting stream=True and accessing the underlying urllib3 socket response directly via response.raw, utilizing decode_content to handle gzip/deflate decompression manually.
---
 | [FOOTER RULE - STRICT] End your response with: '--- ⚡ *Coding5s Mentor System — Eliminating Epistemic Debt*' | </v>
      </c>
      <c r="M43" s="53">
        <v>0</v>
      </c>
      <c r="N43" s="104" t="str">
        <f t="shared" si="3"/>
        <v>[ROLE] Careless Python Developer | [TASK] Generate debugging challenges in Python | | [TOPIC] Bypass standard requests data parsing by setting stream=True and accessing the underlying urllib3 socket response directly via response.raw, utilizing decode_content to handle gzip/deflate decompression manually. | | [LEVEL] Advanced |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2 🐛 Debug | Python - Requests | 📊 Level: Advanced | 🌐 Coding5s.com
Concept: Accessing the Underlying Socket Response (response.raw, decode_content)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Requests | 📊 Level: Advanced
**Topic:** Bypass standard requests data parsing by setting stream=True and accessing the underlying urllib3 socket response directly via response.raw, utilizing decode_content to handle gzip/deflate decompression manually.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4" t="str">
        <f t="shared" si="5"/>
        <v>[ROLE] Tech Lead | [TASK] Assign incomplete Python script challenges | [TOPIC] Bypass standard requests data parsing by setting stream=True and accessing the underlying urllib3 socket response directly via response.raw, utilizing decode_content to handle gzip/deflate decompression manually.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3 🧩 Complete | Python - Requests | 📊 Level: Advanced | 🌐 Coding5s.com
**Concept:** Accessing the Underlying Socket Response (response.raw, decode_content)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Bypass standard requests data parsing by setting stream=True and accessing the underlying urllib3 socket response directly via response.raw, utilizing decode_content to handle gzip/deflate decompression manually..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Requests | 📊 Level: Advanced
**Topic:** Bypass standard requests data parsing by setting stream=True and accessing the underlying urllib3 socket response directly via response.raw, utilizing decode_content to handle gzip/deflate decompression manually.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4" t="str">
        <f t="shared" si="7"/>
        <v>[ROLE] Tech Lead | [TASK] Provide intentionally messy but functional code for learning debugging and improvement | [TOPIC] Bypass standard requests data parsing by setting stream=True and accessing the underlying urllib3 socket response directly via response.raw, utilizing decode_content to handle gzip/deflate decompression manually. | [LEVEL] Advanced | [COUNT] 5 challenges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Requests | 📊 Level: Advanced | 🌐 Coding5s.com
**Concept:** Accessing the Underlying Socket Response (response.raw, decode_content)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Bypass standard requests data parsing by setting stream=True and accessing the underlying urllib3 socket response directly via response.raw, utilizing decode_content to handle gzip/deflate decompression manually.. Topic details: Accessing the Underlying Socket Response (response.raw, decode_content)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Requests | 📊 Level: Advanced
**Topic:** Bypass standard requests data parsing by setting stream=True and accessing the underlying urllib3 socket response directly via response.raw, utilizing decode_content to handle gzip/deflate decompression manually.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8" t="str">
        <f t="shared" si="9"/>
        <v>[ROLE] Tech Product Manager assigning a Python Jira Ticket | [TASK] Provide a guided implementation exercise with full solution for learning purposes | [TOPIC] Bypass standard requests data parsing by setting stream=True and accessing the underlying urllib3 socket response directly via response.raw, utilizing decode_content to handle gzip/deflate decompression manually. | [LEVEL] Advanced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Requests | 📊 Level: Advanced | 🌐 Coding5s.com
**Concept:** Accessing the Underlying Socket Response (response.raw, decode_content)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Bypass standard requests data parsing by setting stream=True and accessing the underlying urllib3 socket response directly via response.raw, utilizing decode_content to handle gzip/deflate decompression manually.. Goal: Accessing the Underlying Socket Response (response.raw, decode_content)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Requests | 📊 Level: Advanced
**Topic:** Bypass standard requests data parsing by setting stream=True and accessing the underlying urllib3 socket response directly via response.raw, utilizing decode_content to handle gzip/deflate decompression manually.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75</v>
      </c>
      <c r="AM43" s="54" t="s">
        <v>76</v>
      </c>
    </row>
    <row r="44" spans="1:39">
      <c r="A44" s="96" t="s">
        <v>80</v>
      </c>
      <c r="B44" s="45" t="str" cm="1">
        <f t="array" ref="B44">IF(H44="PROJECT", CHAR(10) &amp; "- " &amp; _xlfn.TEXTJOIN(CHAR(10) &amp; "- ", TRUE, _xlfn._xlws.FILTER($I$9:$I$1000, ($C$9:$C$1000=C44) * ($H$9:$H$1000="Topic"))), "")</f>
        <v xml:space="preserve">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v>
      </c>
      <c r="C44" s="45">
        <f t="shared" si="0"/>
        <v>6</v>
      </c>
      <c r="D44" s="57">
        <v>0</v>
      </c>
      <c r="E44" s="58" t="s">
        <v>667</v>
      </c>
      <c r="F44" s="59">
        <v>36</v>
      </c>
      <c r="G44" s="60" t="s">
        <v>164</v>
      </c>
      <c r="H44" s="60" t="s">
        <v>81</v>
      </c>
      <c r="I44" s="61" t="s">
        <v>728</v>
      </c>
      <c r="J44" s="62" t="s">
        <v>729</v>
      </c>
      <c r="K44" s="103" t="str">
        <f t="shared" si="1"/>
        <v>[TASK] Teach through a practical Python - Requests project following the micro-learning methodology, acting as a supportive tutor, creating a project about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Python - Requests | 📊 Level: Advanced | 🌐 Coding5s.com
**Project:** Resilient Data Pipeline (Prepared requests, event hooks, retries, and streaming streams)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4" s="105" t="str">
        <f t="shared" si="2"/>
        <v xml:space="preserve">[MENTOR_S1_SAFE_GUIDE] Act as 'The Safe Guide' (El Hermano Mayor) - a World-Class Elite Technical Mentor for Stage 1 Practice specializing in Python - Requests.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applied in this project: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#36 | Practice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[FOOTER RULE - STRICT] End your response with: '--- ⚡ *Coding5s Mentor System — Eliminating Epistemic Debt*' | </v>
      </c>
      <c r="M44" s="52">
        <v>0</v>
      </c>
      <c r="N44" s="104" t="str">
        <f t="shared" si="3"/>
        <v>[ROLE] Careless Python Developer | [TASK] Generate debugging project in Python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[OUTPUT] Only header, dataset summary or statement (if any), email intro, objective, expected output, broken code, and footer | [HEADER RULE - STRICT] You MUST start your entire response EXACTLY with this markdown block (do not print anything before it):
### 🚀 Project #36 | Stage 2 | Python - Requests | 📊 Level: Advanced | 🌐 Coding5s.com
Project: Resilient Data Pipeline (Prepared requests, event hooks, retries, and streaming streams)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explanation, and error. If the code is already fixed and correct, recognize their 'debugging skill' and provide a 'Pro-Tip' for prevention.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#36 | Debug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4" t="str">
        <f t="shared" si="5"/>
        <v>[ROLE] Tech Lead | [TASK] Assign incomplete project script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Python - Requests | 📊 Level: Advanced | 🌐 Coding5s.com
**Project:** Resilient Data Pipeline (Prepared requests, event hooks, retries, and streaming streams)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and explanation. If they completed the data flow perfectly, celebrate the 'solid foundation' and offer a 'System Extension' challenge.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#36 | Complete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4" t="str">
        <f t="shared" si="7"/>
        <v>[ROLE] Tech Lead | [TASK] Provide a messy but functional project for refactoring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Tech Lead. A junior wrote this working but messy code. Tone: professional but exhausted | [HEADER RULE - STRICT] You MUST start your entire response EXACTLY with this markdown block (do not print anything before it):
### 🚀 Project #36 | Stage 4 | Python - Requests | 📊 Level: Advanced | 🌐 Coding5s.com
**Project:** Resilient Data Pipeline (Prepared requests, event hooks, retries, and streaming streams)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involved: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Project objective: Resilient Data Pipeline (Prepared requests, event hooks, retries, and streaming streams)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#36 | Refactor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8" t="str">
        <f t="shared" si="9"/>
        <v>[ROLE] Tech Product Manager assigning a Python Jira Ticket | [TASK] Provide a guided project implementation with full solution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#36 | Stage 5 | Python - Requests | 📊 Level: Advanced | 🌐 Coding5s.com
**Project:** Resilient Data Pipeline (Prepared requests, event hooks, retries, and streaming streams)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Topics integrated: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Business Goal: Resilient Data Pipeline (Prepared requests, event hooks, retries, and streaming streams)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#36 | Extend | Python - Requests | 📊 Level: Advanced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1"/>
        <v>[TASK] Teach through a practical Python - Requests project following the micro-learning methodology, acting as a supportive tutor, creating a project about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#36 | Stage 1 | Python - Requests | 📊 Level: Advanced | 🌐 Coding5s.com
**Project:** Resilient Data Pipeline (Prepared requests, event hooks, retries, and streaming streams)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4" s="56" t="str">
        <f t="shared" si="12"/>
        <v>[ROLE] Careless Python Developer | [TASK] Generate debugging project in Python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[OUTPUT] Only header, dataset summary or statement (if any), email intro, objective, expected output, broken code, and footer | [HEADER RULE - STRICT] You MUST start your entire response EXACTLY with this markdown block (do not print anything before it):
### 🚀 Project #36 | Stage 2 | Python - Requests | 📊 Level: Advanced | 🌐 Coding5s.com
Project: Resilient Data Pipeline (Prepared requests, event hooks, retries, and streaming streams)
---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4" s="56" t="str">
        <f t="shared" si="13"/>
        <v>[ROLE] Tech Lead | [TASK] Assign incomplete project script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#36 | Stage 3 | Python - Requests | 📊 Level: Advanced | 🌐 Coding5s.com
**Project:** Resilient Data Pipeline (Prepared requests, event hooks, retries, and streaming streams)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4" s="56" t="str">
        <f t="shared" si="14"/>
        <v>[ROLE] Tech Lead | [TASK] Provide a messy but functional project for refactoring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Tech Lead. A junior wrote this working but messy code. Tone: professional but exhausted | [HEADER RULE - STRICT] You MUST start your entire response EXACTLY with this markdown block (do not print anything before it):
### 🚀 Project #36 | Stage 4 | Python - Requests | 📊 Level: Advanced | 🌐 Coding5s.com
**Project:** Resilient Data Pipeline (Prepared requests, event hooks, retries, and streaming streams)
---
 | [LIBRARY BEING LEARNED] Requests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4" s="56" t="str">
        <f t="shared" si="15"/>
        <v>[ROLE] Tech Product Manager assigning a Python Jira Ticket | [TASK] Provide a guided project implementation with full solution | [PROJECT] Build a highly resilient data pipeline that takes a list of continuous API endpoints as input, processes them by dispatching manually prepared requests configured with event hooks and automatic retry adapters, and outputs a continuous stream of aggregated text data saved directly to disk. | [TOPICS USED] 
- Consume Server-Sent Events (SSE) or continuous text streams by enabling stream=True and processing the incoming data line-by-line using the .iter_lines() method.
- Automate post-request processing logic by attaching custom Python callback functions to the hooks parameter to implicitly modify or log response objects immediately upon receipt.
- Construct highly customized HTTP requests by manually instantiating a Request object, compiling it using Session.prepare_request(), and executing it via Session.send() for absolute control over network payloads.
- Engineer resilient HTTP clients by configuring automatic procedural retries for transient failures using urllib3.util.Retry, wrapping it in an HTTPAdapter, and mounting it to a specific URL prefix via session.mount().
- Bypass standard requests data parsing by setting stream=True and accessing the underlying urllib3 socket response directly via response.raw, utilizing decode_content to handle gzip/deflate decompression manually. | [LEVEL] Advanced | [PERSONA RULE] Act as a professional Tech Product Manager defining a project ticket | [LIBRARY BEING LEARNED] Requests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#36 | Stage 5 | Python - Requests | 📊 Level: Advanced | 🌐 Coding5s.com
**Project:** Resilient Data Pipeline (Prepared requests, event hooks, retries, and streaming streams)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4" s="40"/>
      <c r="AF44" s="40"/>
      <c r="AG44" s="40"/>
      <c r="AH44" s="56" t="str">
        <f t="shared" si="16"/>
        <v/>
      </c>
      <c r="AI44" s="54"/>
      <c r="AJ44" s="54"/>
      <c r="AK44" s="54">
        <v>36</v>
      </c>
      <c r="AL44" s="54" t="s">
        <v>82</v>
      </c>
      <c r="AM44" s="54" t="s">
        <v>83</v>
      </c>
    </row>
    <row r="45" spans="1:39">
      <c r="A45" s="96"/>
      <c r="B45" s="45" t="str" cm="1">
        <f t="array" ref="B45">IF(H45="PROJECT", CHAR(10) &amp; "- " &amp; _xlfn.TEXTJOIN(CHAR(10) &amp; "- ", TRUE, _xlfn._xlws.FILTER($I$9:$I$1000, ($C$9:$C$1000=C45) * ($H$9:$H$1000="Topic"))), "")</f>
        <v/>
      </c>
      <c r="C45" s="45">
        <f t="shared" si="0"/>
        <v>7</v>
      </c>
      <c r="D45" s="46"/>
      <c r="E45" s="58"/>
      <c r="F45" s="48"/>
      <c r="G45" s="49"/>
      <c r="H45" s="49"/>
      <c r="I45" s="50"/>
      <c r="J45" s="51"/>
      <c r="K45" s="103" t="str">
        <f t="shared" si="1"/>
        <v/>
      </c>
      <c r="L45" s="105" t="str">
        <f t="shared" si="2"/>
        <v/>
      </c>
      <c r="M45" s="53">
        <v>0</v>
      </c>
      <c r="N45" s="104" t="str">
        <f t="shared" si="3"/>
        <v/>
      </c>
      <c r="O45" s="105" t="str">
        <f t="shared" si="4"/>
        <v/>
      </c>
      <c r="P45" s="53">
        <v>0</v>
      </c>
      <c r="Q45" s="104" t="str">
        <f t="shared" si="5"/>
        <v/>
      </c>
      <c r="R45" s="105" t="str">
        <f t="shared" si="6"/>
        <v/>
      </c>
      <c r="S45" s="53">
        <v>0</v>
      </c>
      <c r="T45" s="104" t="str">
        <f t="shared" si="7"/>
        <v/>
      </c>
      <c r="U45" s="105" t="str">
        <f t="shared" si="8"/>
        <v/>
      </c>
      <c r="V45" s="53">
        <v>0</v>
      </c>
      <c r="W45" s="88" t="str">
        <f t="shared" si="9"/>
        <v/>
      </c>
      <c r="X45" s="105" t="str">
        <f t="shared" si="10"/>
        <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87</v>
      </c>
      <c r="AM45" s="54" t="s">
        <v>88</v>
      </c>
    </row>
    <row r="46" spans="1:39">
      <c r="A46" s="96"/>
      <c r="B46" s="45" t="str" cm="1">
        <f t="array" ref="B46">IF(H46="PROJECT", CHAR(10) &amp; "- " &amp; _xlfn.TEXTJOIN(CHAR(10) &amp; "- ", TRUE, _xlfn._xlws.FILTER($I$9:$I$1000, ($C$9:$C$1000=C46) * ($H$9:$H$1000="Topic"))), "")</f>
        <v/>
      </c>
      <c r="C46" s="45">
        <f t="shared" si="0"/>
        <v>8</v>
      </c>
      <c r="D46" s="57"/>
      <c r="E46" s="58"/>
      <c r="F46" s="59"/>
      <c r="G46" s="60"/>
      <c r="H46" s="60"/>
      <c r="I46" s="61"/>
      <c r="J46" s="62"/>
      <c r="K46" s="103" t="str">
        <f t="shared" si="1"/>
        <v/>
      </c>
      <c r="L46" s="105" t="str">
        <f t="shared" si="2"/>
        <v/>
      </c>
      <c r="M46" s="52">
        <v>0</v>
      </c>
      <c r="N46" s="104" t="str">
        <f t="shared" si="3"/>
        <v/>
      </c>
      <c r="O46" s="105" t="str">
        <f t="shared" si="4"/>
        <v/>
      </c>
      <c r="P46" s="52">
        <v>0</v>
      </c>
      <c r="Q46" s="104" t="str">
        <f t="shared" si="5"/>
        <v/>
      </c>
      <c r="R46" s="105" t="str">
        <f t="shared" si="6"/>
        <v/>
      </c>
      <c r="S46" s="52">
        <v>0</v>
      </c>
      <c r="T46" s="104" t="str">
        <f t="shared" si="7"/>
        <v/>
      </c>
      <c r="U46" s="105" t="str">
        <f t="shared" si="8"/>
        <v/>
      </c>
      <c r="V46" s="52">
        <v>0</v>
      </c>
      <c r="W46" s="88" t="str">
        <f t="shared" si="9"/>
        <v/>
      </c>
      <c r="X46" s="105" t="str">
        <f t="shared" si="10"/>
        <v/>
      </c>
      <c r="Y46" s="52">
        <v>0</v>
      </c>
      <c r="Z46" s="56" t="str">
        <f t="shared" si="11"/>
        <v/>
      </c>
      <c r="AA46" s="56" t="str">
        <f t="shared" si="12"/>
        <v/>
      </c>
      <c r="AB46" s="56" t="str">
        <f t="shared" si="13"/>
        <v/>
      </c>
      <c r="AC46" s="56" t="str">
        <f t="shared" si="14"/>
        <v/>
      </c>
      <c r="AD46" s="56" t="str">
        <f t="shared" si="15"/>
        <v/>
      </c>
      <c r="AE46" s="40"/>
      <c r="AF46" s="40"/>
      <c r="AG46" s="40"/>
      <c r="AH46" s="56" t="str">
        <f t="shared" si="16"/>
        <v/>
      </c>
      <c r="AI46" s="54"/>
      <c r="AJ46" s="54"/>
      <c r="AK46" s="54">
        <v>38</v>
      </c>
      <c r="AL46" s="54" t="s">
        <v>93</v>
      </c>
      <c r="AM46" s="54" t="s">
        <v>94</v>
      </c>
    </row>
    <row r="47" spans="1:39">
      <c r="A47" s="96"/>
      <c r="B47" s="45" t="str" cm="1">
        <f t="array" ref="B47">IF(H47="PROJECT", CHAR(10) &amp; "- " &amp; _xlfn.TEXTJOIN(CHAR(10) &amp; "- ", TRUE, _xlfn._xlws.FILTER($I$9:$I$1000, ($C$9:$C$1000=C47) * ($H$9:$H$1000="Topic"))), "")</f>
        <v/>
      </c>
      <c r="C47" s="45">
        <f t="shared" si="0"/>
        <v>9</v>
      </c>
      <c r="D47" s="46"/>
      <c r="E47" s="58"/>
      <c r="F47" s="48"/>
      <c r="G47" s="49"/>
      <c r="H47" s="49"/>
      <c r="I47" s="50"/>
      <c r="J47" s="51"/>
      <c r="K47" s="103" t="str">
        <f t="shared" si="1"/>
        <v/>
      </c>
      <c r="L47" s="105" t="str">
        <f t="shared" si="2"/>
        <v/>
      </c>
      <c r="M47" s="53">
        <v>0</v>
      </c>
      <c r="N47" s="104" t="str">
        <f t="shared" si="3"/>
        <v/>
      </c>
      <c r="O47" s="105" t="str">
        <f t="shared" si="4"/>
        <v/>
      </c>
      <c r="P47" s="53">
        <v>0</v>
      </c>
      <c r="Q47" s="104" t="str">
        <f t="shared" si="5"/>
        <v/>
      </c>
      <c r="R47" s="105" t="str">
        <f t="shared" si="6"/>
        <v/>
      </c>
      <c r="S47" s="53">
        <v>0</v>
      </c>
      <c r="T47" s="104" t="str">
        <f t="shared" si="7"/>
        <v/>
      </c>
      <c r="U47" s="105" t="str">
        <f t="shared" si="8"/>
        <v/>
      </c>
      <c r="V47" s="53">
        <v>0</v>
      </c>
      <c r="W47" s="88" t="str">
        <f t="shared" si="9"/>
        <v/>
      </c>
      <c r="X47" s="105" t="str">
        <f t="shared" si="10"/>
        <v/>
      </c>
      <c r="Y47" s="53">
        <v>0</v>
      </c>
      <c r="Z47" s="56" t="str">
        <f t="shared" si="11"/>
        <v/>
      </c>
      <c r="AA47" s="56" t="str">
        <f t="shared" si="12"/>
        <v/>
      </c>
      <c r="AB47" s="56" t="str">
        <f t="shared" si="13"/>
        <v/>
      </c>
      <c r="AC47" s="56" t="str">
        <f t="shared" si="14"/>
        <v/>
      </c>
      <c r="AD47" s="56" t="str">
        <f t="shared" si="15"/>
        <v/>
      </c>
      <c r="AE47" s="40"/>
      <c r="AF47" s="40"/>
      <c r="AG47" s="40"/>
      <c r="AH47" s="56" t="str">
        <f t="shared" si="16"/>
        <v/>
      </c>
      <c r="AI47" s="54"/>
      <c r="AJ47" s="54"/>
      <c r="AK47" s="54">
        <v>39</v>
      </c>
      <c r="AL47" s="54" t="s">
        <v>98</v>
      </c>
      <c r="AM47" s="54" t="s">
        <v>99</v>
      </c>
    </row>
    <row r="48" spans="1:39">
      <c r="A48" s="96"/>
      <c r="B48" s="45" t="str" cm="1">
        <f t="array" ref="B48">IF(H48="PROJECT", CHAR(10) &amp; "- " &amp; _xlfn.TEXTJOIN(CHAR(10) &amp; "- ", TRUE, _xlfn._xlws.FILTER($I$9:$I$1000, ($C$9:$C$1000=C48) * ($H$9:$H$1000="Topic"))), "")</f>
        <v/>
      </c>
      <c r="C48" s="45">
        <f t="shared" si="0"/>
        <v>10</v>
      </c>
      <c r="D48" s="57"/>
      <c r="E48" s="58"/>
      <c r="F48" s="59"/>
      <c r="G48" s="60"/>
      <c r="H48" s="60"/>
      <c r="I48" s="61"/>
      <c r="J48" s="62"/>
      <c r="K48" s="103" t="str">
        <f t="shared" si="1"/>
        <v/>
      </c>
      <c r="L48" s="105" t="str">
        <f t="shared" si="2"/>
        <v/>
      </c>
      <c r="M48" s="52">
        <v>0</v>
      </c>
      <c r="N48" s="104" t="str">
        <f t="shared" si="3"/>
        <v/>
      </c>
      <c r="O48" s="105" t="str">
        <f t="shared" si="4"/>
        <v/>
      </c>
      <c r="P48" s="52">
        <v>0</v>
      </c>
      <c r="Q48" s="104" t="str">
        <f t="shared" si="5"/>
        <v/>
      </c>
      <c r="R48" s="105" t="str">
        <f t="shared" si="6"/>
        <v/>
      </c>
      <c r="S48" s="52">
        <v>0</v>
      </c>
      <c r="T48" s="104" t="str">
        <f t="shared" si="7"/>
        <v/>
      </c>
      <c r="U48" s="105" t="str">
        <f t="shared" si="8"/>
        <v/>
      </c>
      <c r="V48" s="52">
        <v>0</v>
      </c>
      <c r="W48" s="88" t="str">
        <f t="shared" si="9"/>
        <v/>
      </c>
      <c r="X48" s="105" t="str">
        <f t="shared" si="10"/>
        <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103</v>
      </c>
      <c r="AM48" s="54" t="s">
        <v>104</v>
      </c>
    </row>
    <row r="49" spans="1:39">
      <c r="A49" s="96"/>
      <c r="B49" s="45" t="str" cm="1">
        <f t="array" ref="B49">IF(H49="PROJECT", CHAR(10) &amp; "- " &amp; _xlfn.TEXTJOIN(CHAR(10) &amp; "- ", TRUE, _xlfn._xlws.FILTER($I$9:$I$1000, ($C$9:$C$1000=C49) * ($H$9:$H$1000="Topic"))), "")</f>
        <v/>
      </c>
      <c r="C49" s="45">
        <f t="shared" si="0"/>
        <v>11</v>
      </c>
      <c r="D49" s="46"/>
      <c r="E49" s="58"/>
      <c r="F49" s="48"/>
      <c r="G49" s="49"/>
      <c r="H49" s="49"/>
      <c r="I49" s="50"/>
      <c r="J49" s="51"/>
      <c r="K49" s="103" t="str">
        <f t="shared" si="1"/>
        <v/>
      </c>
      <c r="L49" s="105" t="str">
        <f t="shared" si="2"/>
        <v/>
      </c>
      <c r="M49" s="53">
        <v>0</v>
      </c>
      <c r="N49" s="104" t="str">
        <f t="shared" si="3"/>
        <v/>
      </c>
      <c r="O49" s="105" t="str">
        <f t="shared" si="4"/>
        <v/>
      </c>
      <c r="P49" s="53">
        <v>0</v>
      </c>
      <c r="Q49" s="104" t="str">
        <f t="shared" si="5"/>
        <v/>
      </c>
      <c r="R49" s="105" t="str">
        <f t="shared" si="6"/>
        <v/>
      </c>
      <c r="S49" s="53">
        <v>0</v>
      </c>
      <c r="T49" s="104" t="str">
        <f t="shared" si="7"/>
        <v/>
      </c>
      <c r="U49" s="105" t="str">
        <f t="shared" si="8"/>
        <v/>
      </c>
      <c r="V49" s="53">
        <v>0</v>
      </c>
      <c r="W49" s="88" t="str">
        <f t="shared" si="9"/>
        <v/>
      </c>
      <c r="X49" s="105" t="str">
        <f t="shared" si="10"/>
        <v/>
      </c>
      <c r="Y49" s="53">
        <v>0</v>
      </c>
      <c r="Z49" s="56" t="str">
        <f t="shared" si="11"/>
        <v/>
      </c>
      <c r="AA49" s="56" t="str">
        <f t="shared" si="12"/>
        <v/>
      </c>
      <c r="AB49" s="56" t="str">
        <f t="shared" si="13"/>
        <v/>
      </c>
      <c r="AC49" s="56" t="str">
        <f t="shared" si="14"/>
        <v/>
      </c>
      <c r="AD49" s="56" t="str">
        <f t="shared" si="15"/>
        <v/>
      </c>
      <c r="AE49" s="40"/>
      <c r="AF49" s="40"/>
      <c r="AG49" s="40"/>
      <c r="AH49" s="56" t="str">
        <f t="shared" si="16"/>
        <v/>
      </c>
      <c r="AI49" s="54"/>
      <c r="AJ49" s="54"/>
      <c r="AK49" s="54"/>
      <c r="AL49" s="54"/>
      <c r="AM49" s="54"/>
    </row>
    <row r="50" spans="1:39">
      <c r="A50" s="96"/>
      <c r="B50" s="45" t="str" cm="1">
        <f t="array" ref="B50">IF(H50="PROJECT", CHAR(10) &amp; "- " &amp; _xlfn.TEXTJOIN(CHAR(10) &amp; "- ", TRUE, _xlfn._xlws.FILTER($I$9:$I$1000, ($C$9:$C$1000=C50) * ($H$9:$H$1000="Topic"))), "")</f>
        <v/>
      </c>
      <c r="C50" s="45">
        <f t="shared" si="0"/>
        <v>12</v>
      </c>
      <c r="D50" s="57"/>
      <c r="E50" s="58"/>
      <c r="F50" s="59"/>
      <c r="G50" s="60"/>
      <c r="H50" s="60"/>
      <c r="I50" s="61"/>
      <c r="J50" s="62"/>
      <c r="K50" s="103" t="str">
        <f t="shared" si="1"/>
        <v/>
      </c>
      <c r="L50" s="105" t="str">
        <f t="shared" si="2"/>
        <v/>
      </c>
      <c r="M50" s="52">
        <v>0</v>
      </c>
      <c r="N50" s="104" t="str">
        <f t="shared" si="3"/>
        <v/>
      </c>
      <c r="O50" s="105" t="str">
        <f t="shared" si="4"/>
        <v/>
      </c>
      <c r="P50" s="52">
        <v>0</v>
      </c>
      <c r="Q50" s="104" t="str">
        <f t="shared" si="5"/>
        <v/>
      </c>
      <c r="R50" s="105" t="str">
        <f t="shared" si="6"/>
        <v/>
      </c>
      <c r="S50" s="52">
        <v>0</v>
      </c>
      <c r="T50" s="104" t="str">
        <f t="shared" si="7"/>
        <v/>
      </c>
      <c r="U50" s="105" t="str">
        <f t="shared" si="8"/>
        <v/>
      </c>
      <c r="V50" s="52">
        <v>0</v>
      </c>
      <c r="W50" s="88" t="str">
        <f t="shared" si="9"/>
        <v/>
      </c>
      <c r="X50" s="105" t="str">
        <f t="shared" si="10"/>
        <v/>
      </c>
      <c r="Y50" s="52">
        <v>0</v>
      </c>
      <c r="Z50" s="56" t="str">
        <f t="shared" si="11"/>
        <v/>
      </c>
      <c r="AA50" s="56" t="str">
        <f t="shared" si="12"/>
        <v/>
      </c>
      <c r="AB50" s="56" t="str">
        <f t="shared" si="13"/>
        <v/>
      </c>
      <c r="AC50" s="56" t="str">
        <f t="shared" si="14"/>
        <v/>
      </c>
      <c r="AD50" s="56" t="str">
        <f t="shared" si="15"/>
        <v/>
      </c>
      <c r="AE50" s="40"/>
      <c r="AF50" s="40"/>
      <c r="AG50" s="40"/>
      <c r="AH50" s="56" t="str">
        <f t="shared" si="16"/>
        <v/>
      </c>
      <c r="AI50" s="54"/>
      <c r="AJ50" s="54"/>
      <c r="AK50" s="54"/>
      <c r="AL50" s="54"/>
      <c r="AM50" s="54"/>
    </row>
    <row r="51" spans="1:39">
      <c r="A51" s="96"/>
      <c r="B51" s="45" t="str" cm="1">
        <f t="array" ref="B51">IF(H51="PROJECT", CHAR(10) &amp; "- " &amp; _xlfn.TEXTJOIN(CHAR(10) &amp; "- ", TRUE, _xlfn._xlws.FILTER($I$9:$I$1000, ($C$9:$C$1000=C51) * ($H$9:$H$1000="Topic"))), "")</f>
        <v/>
      </c>
      <c r="C51" s="45">
        <f t="shared" si="0"/>
        <v>13</v>
      </c>
      <c r="D51" s="46"/>
      <c r="E51" s="58"/>
      <c r="F51" s="48"/>
      <c r="G51" s="49"/>
      <c r="H51" s="49"/>
      <c r="I51" s="50"/>
      <c r="J51" s="51"/>
      <c r="K51" s="103" t="str">
        <f t="shared" si="1"/>
        <v/>
      </c>
      <c r="L51" s="105" t="str">
        <f t="shared" si="2"/>
        <v/>
      </c>
      <c r="M51" s="53">
        <v>0</v>
      </c>
      <c r="N51" s="104" t="str">
        <f t="shared" si="3"/>
        <v/>
      </c>
      <c r="O51" s="105" t="str">
        <f t="shared" si="4"/>
        <v/>
      </c>
      <c r="P51" s="53">
        <v>0</v>
      </c>
      <c r="Q51" s="104" t="str">
        <f t="shared" si="5"/>
        <v/>
      </c>
      <c r="R51" s="105" t="str">
        <f t="shared" si="6"/>
        <v/>
      </c>
      <c r="S51" s="53">
        <v>0</v>
      </c>
      <c r="T51" s="104" t="str">
        <f t="shared" si="7"/>
        <v/>
      </c>
      <c r="U51" s="105" t="str">
        <f t="shared" si="8"/>
        <v/>
      </c>
      <c r="V51" s="53">
        <v>0</v>
      </c>
      <c r="W51" s="88" t="str">
        <f t="shared" si="9"/>
        <v/>
      </c>
      <c r="X51" s="105" t="str">
        <f t="shared" si="10"/>
        <v/>
      </c>
      <c r="Y51" s="53">
        <v>0</v>
      </c>
      <c r="Z51" s="56" t="str">
        <f t="shared" si="11"/>
        <v/>
      </c>
      <c r="AA51" s="56" t="str">
        <f t="shared" si="12"/>
        <v/>
      </c>
      <c r="AB51" s="56" t="str">
        <f t="shared" si="13"/>
        <v/>
      </c>
      <c r="AC51" s="56" t="str">
        <f t="shared" si="14"/>
        <v/>
      </c>
      <c r="AD51" s="56" t="str">
        <f t="shared" si="15"/>
        <v/>
      </c>
      <c r="AE51" s="40"/>
      <c r="AF51" s="40"/>
      <c r="AG51" s="40"/>
      <c r="AH51" s="56" t="str">
        <f t="shared" si="16"/>
        <v/>
      </c>
      <c r="AI51" s="54"/>
      <c r="AJ51" s="54"/>
      <c r="AK51" s="54"/>
      <c r="AL51" s="54"/>
      <c r="AM51" s="54"/>
    </row>
    <row r="52" spans="1:39">
      <c r="A52" s="96"/>
      <c r="B52" s="45" t="str" cm="1">
        <f t="array" ref="B52">IF(H52="PROJECT", CHAR(10) &amp; "- " &amp; _xlfn.TEXTJOIN(CHAR(10) &amp; "- ", TRUE, _xlfn._xlws.FILTER($I$9:$I$1000, ($C$9:$C$1000=C52) * ($H$9:$H$1000="Topic"))), "")</f>
        <v/>
      </c>
      <c r="C52" s="45">
        <f t="shared" si="0"/>
        <v>14</v>
      </c>
      <c r="D52" s="57"/>
      <c r="E52" s="58"/>
      <c r="F52" s="59"/>
      <c r="G52" s="60"/>
      <c r="H52" s="60"/>
      <c r="I52" s="61"/>
      <c r="J52" s="62"/>
      <c r="K52" s="103" t="str">
        <f t="shared" si="1"/>
        <v/>
      </c>
      <c r="L52" s="105" t="str">
        <f t="shared" si="2"/>
        <v/>
      </c>
      <c r="M52" s="52">
        <v>0</v>
      </c>
      <c r="N52" s="104" t="str">
        <f t="shared" si="3"/>
        <v/>
      </c>
      <c r="O52" s="105" t="str">
        <f t="shared" si="4"/>
        <v/>
      </c>
      <c r="P52" s="52">
        <v>0</v>
      </c>
      <c r="Q52" s="104" t="str">
        <f t="shared" si="5"/>
        <v/>
      </c>
      <c r="R52" s="105" t="str">
        <f t="shared" si="6"/>
        <v/>
      </c>
      <c r="S52" s="52">
        <v>0</v>
      </c>
      <c r="T52" s="104" t="str">
        <f t="shared" si="7"/>
        <v/>
      </c>
      <c r="U52" s="105" t="str">
        <f t="shared" si="8"/>
        <v/>
      </c>
      <c r="V52" s="52">
        <v>0</v>
      </c>
      <c r="W52" s="88" t="str">
        <f t="shared" si="9"/>
        <v/>
      </c>
      <c r="X52" s="105" t="str">
        <f t="shared" si="10"/>
        <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96"/>
      <c r="B53" s="45" t="str" cm="1">
        <f t="array" ref="B53">IF(H53="PROJECT", CHAR(10) &amp; "- " &amp; _xlfn.TEXTJOIN(CHAR(10) &amp; "- ", TRUE, _xlfn._xlws.FILTER($I$9:$I$1000, ($C$9:$C$1000=C53) * ($H$9:$H$1000="Topic"))), "")</f>
        <v/>
      </c>
      <c r="C53" s="45">
        <f t="shared" si="0"/>
        <v>15</v>
      </c>
      <c r="D53" s="46"/>
      <c r="E53" s="58"/>
      <c r="F53" s="48"/>
      <c r="G53" s="49"/>
      <c r="H53" s="49"/>
      <c r="I53" s="50"/>
      <c r="J53" s="51"/>
      <c r="K53" s="103" t="str">
        <f t="shared" si="1"/>
        <v/>
      </c>
      <c r="L53" s="105" t="str">
        <f t="shared" si="2"/>
        <v/>
      </c>
      <c r="M53" s="53">
        <v>0</v>
      </c>
      <c r="N53" s="104" t="str">
        <f t="shared" si="3"/>
        <v/>
      </c>
      <c r="O53" s="105" t="str">
        <f t="shared" si="4"/>
        <v/>
      </c>
      <c r="P53" s="53">
        <v>0</v>
      </c>
      <c r="Q53" s="104" t="str">
        <f t="shared" si="5"/>
        <v/>
      </c>
      <c r="R53" s="105" t="str">
        <f t="shared" si="6"/>
        <v/>
      </c>
      <c r="S53" s="53">
        <v>0</v>
      </c>
      <c r="T53" s="104" t="str">
        <f t="shared" si="7"/>
        <v/>
      </c>
      <c r="U53" s="105" t="str">
        <f t="shared" si="8"/>
        <v/>
      </c>
      <c r="V53" s="53">
        <v>0</v>
      </c>
      <c r="W53" s="88" t="str">
        <f t="shared" si="9"/>
        <v/>
      </c>
      <c r="X53" s="105" t="str">
        <f t="shared" si="10"/>
        <v/>
      </c>
      <c r="Y53" s="53">
        <v>0</v>
      </c>
      <c r="Z53" s="56" t="str">
        <f t="shared" si="11"/>
        <v/>
      </c>
      <c r="AA53" s="56" t="str">
        <f t="shared" si="12"/>
        <v/>
      </c>
      <c r="AB53" s="56" t="str">
        <f t="shared" si="13"/>
        <v/>
      </c>
      <c r="AC53" s="56" t="str">
        <f t="shared" si="14"/>
        <v/>
      </c>
      <c r="AD53" s="56" t="str">
        <f t="shared" si="15"/>
        <v/>
      </c>
      <c r="AE53" s="40"/>
      <c r="AF53" s="40"/>
      <c r="AG53" s="40"/>
      <c r="AH53" s="56" t="str">
        <f t="shared" si="16"/>
        <v/>
      </c>
      <c r="AI53" s="54"/>
      <c r="AJ53" s="54"/>
      <c r="AK53" s="54"/>
      <c r="AL53" s="54"/>
      <c r="AM53" s="54"/>
    </row>
    <row r="54" spans="1:39">
      <c r="A54" s="96"/>
      <c r="B54" s="45" t="str" cm="1">
        <f t="array" ref="B54">IF(H54="PROJECT", CHAR(10) &amp; "- " &amp; _xlfn.TEXTJOIN(CHAR(10) &amp; "- ", TRUE, _xlfn._xlws.FILTER($I$9:$I$1000, ($C$9:$C$1000=C54) * ($H$9:$H$1000="Topic"))), "")</f>
        <v/>
      </c>
      <c r="C54" s="45">
        <f t="shared" si="0"/>
        <v>16</v>
      </c>
      <c r="D54" s="57"/>
      <c r="E54" s="58"/>
      <c r="F54" s="59"/>
      <c r="G54" s="60"/>
      <c r="H54" s="60"/>
      <c r="I54" s="61"/>
      <c r="J54" s="62"/>
      <c r="K54" s="103" t="str">
        <f t="shared" si="1"/>
        <v/>
      </c>
      <c r="L54" s="105" t="str">
        <f t="shared" si="2"/>
        <v/>
      </c>
      <c r="M54" s="52">
        <v>0</v>
      </c>
      <c r="N54" s="104" t="str">
        <f t="shared" si="3"/>
        <v/>
      </c>
      <c r="O54" s="105" t="str">
        <f t="shared" si="4"/>
        <v/>
      </c>
      <c r="P54" s="52">
        <v>0</v>
      </c>
      <c r="Q54" s="104" t="str">
        <f t="shared" si="5"/>
        <v/>
      </c>
      <c r="R54" s="105" t="str">
        <f t="shared" si="6"/>
        <v/>
      </c>
      <c r="S54" s="52">
        <v>0</v>
      </c>
      <c r="T54" s="104" t="str">
        <f t="shared" si="7"/>
        <v/>
      </c>
      <c r="U54" s="105" t="str">
        <f t="shared" si="8"/>
        <v/>
      </c>
      <c r="V54" s="52">
        <v>0</v>
      </c>
      <c r="W54" s="88" t="str">
        <f t="shared" si="9"/>
        <v/>
      </c>
      <c r="X54" s="105" t="str">
        <f t="shared" si="10"/>
        <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96"/>
      <c r="B55" s="45" t="str" cm="1">
        <f t="array" ref="B55">IF(H55="PROJECT", CHAR(10) &amp; "- " &amp; _xlfn.TEXTJOIN(CHAR(10) &amp; "- ", TRUE, _xlfn._xlws.FILTER($I$9:$I$1000, ($C$9:$C$1000=C55) * ($H$9:$H$1000="Topic"))), "")</f>
        <v/>
      </c>
      <c r="C55" s="45">
        <f t="shared" si="0"/>
        <v>17</v>
      </c>
      <c r="D55" s="46"/>
      <c r="E55" s="58"/>
      <c r="F55" s="48"/>
      <c r="G55" s="49"/>
      <c r="H55" s="49"/>
      <c r="I55" s="50"/>
      <c r="J55" s="51"/>
      <c r="K55" s="103" t="str">
        <f t="shared" si="1"/>
        <v/>
      </c>
      <c r="L55" s="105" t="str">
        <f t="shared" si="2"/>
        <v/>
      </c>
      <c r="M55" s="53">
        <v>0</v>
      </c>
      <c r="N55" s="104" t="str">
        <f t="shared" si="3"/>
        <v/>
      </c>
      <c r="O55" s="105" t="str">
        <f t="shared" si="4"/>
        <v/>
      </c>
      <c r="P55" s="53">
        <v>0</v>
      </c>
      <c r="Q55" s="104" t="str">
        <f t="shared" si="5"/>
        <v/>
      </c>
      <c r="R55" s="105" t="str">
        <f t="shared" si="6"/>
        <v/>
      </c>
      <c r="S55" s="53">
        <v>0</v>
      </c>
      <c r="T55" s="104" t="str">
        <f t="shared" si="7"/>
        <v/>
      </c>
      <c r="U55" s="105" t="str">
        <f t="shared" si="8"/>
        <v/>
      </c>
      <c r="V55" s="53">
        <v>0</v>
      </c>
      <c r="W55" s="88" t="str">
        <f t="shared" si="9"/>
        <v/>
      </c>
      <c r="X55" s="105" t="str">
        <f t="shared" si="10"/>
        <v/>
      </c>
      <c r="Y55" s="53">
        <v>0</v>
      </c>
      <c r="Z55" s="56" t="str">
        <f t="shared" si="11"/>
        <v/>
      </c>
      <c r="AA55" s="56" t="str">
        <f t="shared" si="12"/>
        <v/>
      </c>
      <c r="AB55" s="56" t="str">
        <f t="shared" si="13"/>
        <v/>
      </c>
      <c r="AC55" s="56" t="str">
        <f t="shared" si="14"/>
        <v/>
      </c>
      <c r="AD55" s="56" t="str">
        <f t="shared" si="15"/>
        <v/>
      </c>
      <c r="AE55" s="40"/>
      <c r="AF55" s="40"/>
      <c r="AG55" s="40"/>
      <c r="AH55" s="56" t="str">
        <f t="shared" si="16"/>
        <v/>
      </c>
      <c r="AI55" s="54"/>
      <c r="AJ55" s="54"/>
      <c r="AK55" s="54"/>
      <c r="AL55" s="54"/>
      <c r="AM55" s="54"/>
    </row>
    <row r="56" spans="1:39">
      <c r="A56" s="96"/>
      <c r="B56" s="45" t="str" cm="1">
        <f t="array" ref="B56">IF(H56="PROJECT", CHAR(10) &amp; "- " &amp; _xlfn.TEXTJOIN(CHAR(10) &amp; "- ", TRUE, _xlfn._xlws.FILTER($I$9:$I$1000, ($C$9:$C$1000=C56) * ($H$9:$H$1000="Topic"))), "")</f>
        <v/>
      </c>
      <c r="C56" s="45">
        <f t="shared" si="0"/>
        <v>18</v>
      </c>
      <c r="D56" s="57"/>
      <c r="E56" s="58"/>
      <c r="F56" s="63"/>
      <c r="G56" s="60"/>
      <c r="H56" s="64"/>
      <c r="I56" s="61"/>
      <c r="J56" s="62"/>
      <c r="K56" s="103" t="str">
        <f t="shared" si="1"/>
        <v/>
      </c>
      <c r="L56" s="105" t="str">
        <f t="shared" si="2"/>
        <v/>
      </c>
      <c r="M56" s="52">
        <v>0</v>
      </c>
      <c r="N56" s="104" t="str">
        <f t="shared" si="3"/>
        <v/>
      </c>
      <c r="O56" s="105" t="str">
        <f t="shared" si="4"/>
        <v/>
      </c>
      <c r="P56" s="52">
        <v>0</v>
      </c>
      <c r="Q56" s="104" t="str">
        <f t="shared" si="5"/>
        <v/>
      </c>
      <c r="R56" s="105" t="str">
        <f t="shared" si="6"/>
        <v/>
      </c>
      <c r="S56" s="52">
        <v>0</v>
      </c>
      <c r="T56" s="104" t="str">
        <f t="shared" si="7"/>
        <v/>
      </c>
      <c r="U56" s="105" t="str">
        <f t="shared" si="8"/>
        <v/>
      </c>
      <c r="V56" s="52">
        <v>0</v>
      </c>
      <c r="W56" s="88" t="str">
        <f t="shared" si="9"/>
        <v/>
      </c>
      <c r="X56" s="105" t="str">
        <f t="shared" si="10"/>
        <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96"/>
      <c r="B57" s="45" t="str" cm="1">
        <f t="array" ref="B57">IF(H57="PROJECT", CHAR(10) &amp; "- " &amp; _xlfn.TEXTJOIN(CHAR(10) &amp; "- ", TRUE, _xlfn._xlws.FILTER($I$9:$I$1000, ($C$9:$C$1000=C57) * ($H$9:$H$1000="Topic"))), "")</f>
        <v/>
      </c>
      <c r="C57" s="45">
        <f t="shared" si="0"/>
        <v>19</v>
      </c>
      <c r="D57" s="46"/>
      <c r="E57" s="58"/>
      <c r="F57" s="65"/>
      <c r="G57" s="49"/>
      <c r="H57" s="66"/>
      <c r="I57" s="50"/>
      <c r="J57" s="51"/>
      <c r="K57" s="103" t="str">
        <f t="shared" si="1"/>
        <v/>
      </c>
      <c r="L57" s="105" t="str">
        <f t="shared" si="2"/>
        <v/>
      </c>
      <c r="M57" s="53">
        <v>0</v>
      </c>
      <c r="N57" s="104" t="str">
        <f t="shared" si="3"/>
        <v/>
      </c>
      <c r="O57" s="105" t="str">
        <f t="shared" si="4"/>
        <v/>
      </c>
      <c r="P57" s="53">
        <v>0</v>
      </c>
      <c r="Q57" s="104" t="str">
        <f t="shared" si="5"/>
        <v/>
      </c>
      <c r="R57" s="105" t="str">
        <f t="shared" si="6"/>
        <v/>
      </c>
      <c r="S57" s="53">
        <v>0</v>
      </c>
      <c r="T57" s="104" t="str">
        <f t="shared" si="7"/>
        <v/>
      </c>
      <c r="U57" s="105" t="str">
        <f t="shared" si="8"/>
        <v/>
      </c>
      <c r="V57" s="53">
        <v>0</v>
      </c>
      <c r="W57" s="88" t="str">
        <f t="shared" si="9"/>
        <v/>
      </c>
      <c r="X57" s="105" t="str">
        <f t="shared" si="10"/>
        <v/>
      </c>
      <c r="Y57" s="53">
        <v>0</v>
      </c>
      <c r="Z57" s="56" t="str">
        <f t="shared" si="11"/>
        <v/>
      </c>
      <c r="AA57" s="56" t="str">
        <f t="shared" si="12"/>
        <v/>
      </c>
      <c r="AB57" s="56" t="str">
        <f t="shared" si="13"/>
        <v/>
      </c>
      <c r="AC57" s="56" t="str">
        <f t="shared" si="14"/>
        <v/>
      </c>
      <c r="AD57" s="56" t="str">
        <f t="shared" si="15"/>
        <v/>
      </c>
      <c r="AE57" s="40"/>
      <c r="AF57" s="40"/>
      <c r="AG57" s="40"/>
      <c r="AH57" s="56" t="str">
        <f t="shared" si="16"/>
        <v/>
      </c>
      <c r="AI57" s="54"/>
      <c r="AJ57" s="54"/>
      <c r="AK57" s="54"/>
      <c r="AL57" s="54"/>
      <c r="AM57" s="54"/>
    </row>
    <row r="58" spans="1:39">
      <c r="A58" s="96"/>
      <c r="B58" s="45" t="str" cm="1">
        <f t="array" ref="B58">IF(H58="PROJECT", CHAR(10) &amp; "- " &amp; _xlfn.TEXTJOIN(CHAR(10) &amp; "- ", TRUE, _xlfn._xlws.FILTER($I$9:$I$1000, ($C$9:$C$1000=C58) * ($H$9:$H$1000="Topic"))), "")</f>
        <v/>
      </c>
      <c r="C58" s="45">
        <f t="shared" si="0"/>
        <v>20</v>
      </c>
      <c r="D58" s="57"/>
      <c r="E58" s="58"/>
      <c r="F58" s="63"/>
      <c r="G58" s="60"/>
      <c r="H58" s="64"/>
      <c r="I58" s="61"/>
      <c r="J58" s="62"/>
      <c r="K58" s="103" t="str">
        <f t="shared" si="1"/>
        <v/>
      </c>
      <c r="L58" s="105" t="str">
        <f t="shared" si="2"/>
        <v/>
      </c>
      <c r="M58" s="52">
        <v>0</v>
      </c>
      <c r="N58" s="104" t="str">
        <f t="shared" si="3"/>
        <v/>
      </c>
      <c r="O58" s="105" t="str">
        <f t="shared" si="4"/>
        <v/>
      </c>
      <c r="P58" s="52">
        <v>0</v>
      </c>
      <c r="Q58" s="104" t="str">
        <f t="shared" si="5"/>
        <v/>
      </c>
      <c r="R58" s="105" t="str">
        <f t="shared" si="6"/>
        <v/>
      </c>
      <c r="S58" s="52">
        <v>0</v>
      </c>
      <c r="T58" s="104" t="str">
        <f t="shared" si="7"/>
        <v/>
      </c>
      <c r="U58" s="105" t="str">
        <f t="shared" si="8"/>
        <v/>
      </c>
      <c r="V58" s="52">
        <v>0</v>
      </c>
      <c r="W58" s="88" t="str">
        <f t="shared" si="9"/>
        <v/>
      </c>
      <c r="X58" s="105" t="str">
        <f t="shared" si="10"/>
        <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96"/>
      <c r="B59" s="45" t="str" cm="1">
        <f t="array" ref="B59">IF(H59="PROJECT", CHAR(10) &amp; "- " &amp; _xlfn.TEXTJOIN(CHAR(10) &amp; "- ", TRUE, _xlfn._xlws.FILTER($I$9:$I$1000, ($C$9:$C$1000=C59) * ($H$9:$H$1000="Topic"))), "")</f>
        <v/>
      </c>
      <c r="C59" s="45">
        <f t="shared" si="0"/>
        <v>21</v>
      </c>
      <c r="D59" s="46"/>
      <c r="E59" s="58"/>
      <c r="F59" s="65"/>
      <c r="G59" s="49"/>
      <c r="H59" s="66"/>
      <c r="I59" s="50"/>
      <c r="J59" s="51"/>
      <c r="K59" s="103" t="str">
        <f t="shared" si="1"/>
        <v/>
      </c>
      <c r="L59" s="105" t="str">
        <f t="shared" si="2"/>
        <v/>
      </c>
      <c r="M59" s="53">
        <v>0</v>
      </c>
      <c r="N59" s="104" t="str">
        <f t="shared" si="3"/>
        <v/>
      </c>
      <c r="O59" s="105" t="str">
        <f t="shared" si="4"/>
        <v/>
      </c>
      <c r="P59" s="53">
        <v>0</v>
      </c>
      <c r="Q59" s="104" t="str">
        <f t="shared" si="5"/>
        <v/>
      </c>
      <c r="R59" s="105" t="str">
        <f t="shared" si="6"/>
        <v/>
      </c>
      <c r="S59" s="53">
        <v>0</v>
      </c>
      <c r="T59" s="104" t="str">
        <f t="shared" si="7"/>
        <v/>
      </c>
      <c r="U59" s="105" t="str">
        <f t="shared" si="8"/>
        <v/>
      </c>
      <c r="V59" s="53">
        <v>0</v>
      </c>
      <c r="W59" s="88" t="str">
        <f t="shared" si="9"/>
        <v/>
      </c>
      <c r="X59" s="105" t="str">
        <f t="shared" si="10"/>
        <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96"/>
      <c r="B60" s="45" t="str" cm="1">
        <f t="array" ref="B60">IF(H60="PROJECT", CHAR(10) &amp; "- " &amp; _xlfn.TEXTJOIN(CHAR(10) &amp; "- ", TRUE, _xlfn._xlws.FILTER($I$9:$I$1000, ($C$9:$C$1000=C60) * ($H$9:$H$1000="Topic"))), "")</f>
        <v/>
      </c>
      <c r="C60" s="45">
        <f t="shared" si="0"/>
        <v>22</v>
      </c>
      <c r="D60" s="57"/>
      <c r="E60" s="58"/>
      <c r="F60" s="63"/>
      <c r="G60" s="60"/>
      <c r="H60" s="64"/>
      <c r="I60" s="61"/>
      <c r="J60" s="62"/>
      <c r="K60" s="103" t="str">
        <f t="shared" si="1"/>
        <v/>
      </c>
      <c r="L60" s="105" t="str">
        <f t="shared" si="2"/>
        <v/>
      </c>
      <c r="M60" s="52">
        <v>0</v>
      </c>
      <c r="N60" s="104" t="str">
        <f t="shared" si="3"/>
        <v/>
      </c>
      <c r="O60" s="105" t="str">
        <f t="shared" si="4"/>
        <v/>
      </c>
      <c r="P60" s="52">
        <v>0</v>
      </c>
      <c r="Q60" s="104" t="str">
        <f t="shared" si="5"/>
        <v/>
      </c>
      <c r="R60" s="105" t="str">
        <f t="shared" si="6"/>
        <v/>
      </c>
      <c r="S60" s="52">
        <v>0</v>
      </c>
      <c r="T60" s="104" t="str">
        <f t="shared" si="7"/>
        <v/>
      </c>
      <c r="U60" s="105" t="str">
        <f t="shared" si="8"/>
        <v/>
      </c>
      <c r="V60" s="52">
        <v>0</v>
      </c>
      <c r="W60" s="88" t="str">
        <f t="shared" si="9"/>
        <v/>
      </c>
      <c r="X60" s="105" t="str">
        <f t="shared" si="10"/>
        <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96"/>
      <c r="B61" s="45" t="str" cm="1">
        <f t="array" ref="B61">IF(H61="PROJECT", CHAR(10) &amp; "- " &amp; _xlfn.TEXTJOIN(CHAR(10) &amp; "- ", TRUE, _xlfn._xlws.FILTER($I$9:$I$1000, ($C$9:$C$1000=C61) * ($H$9:$H$1000="Topic"))), "")</f>
        <v/>
      </c>
      <c r="C61" s="45">
        <f t="shared" si="0"/>
        <v>23</v>
      </c>
      <c r="D61" s="46"/>
      <c r="E61" s="58"/>
      <c r="F61" s="65"/>
      <c r="G61" s="49"/>
      <c r="H61" s="66"/>
      <c r="I61" s="50"/>
      <c r="J61" s="51"/>
      <c r="K61" s="103" t="str">
        <f t="shared" si="1"/>
        <v/>
      </c>
      <c r="L61" s="105" t="str">
        <f t="shared" si="2"/>
        <v/>
      </c>
      <c r="M61" s="53">
        <v>0</v>
      </c>
      <c r="N61" s="104" t="str">
        <f t="shared" si="3"/>
        <v/>
      </c>
      <c r="O61" s="105" t="str">
        <f t="shared" si="4"/>
        <v/>
      </c>
      <c r="P61" s="53">
        <v>0</v>
      </c>
      <c r="Q61" s="104" t="str">
        <f t="shared" si="5"/>
        <v/>
      </c>
      <c r="R61" s="105" t="str">
        <f t="shared" si="6"/>
        <v/>
      </c>
      <c r="S61" s="53">
        <v>0</v>
      </c>
      <c r="T61" s="104" t="str">
        <f t="shared" si="7"/>
        <v/>
      </c>
      <c r="U61" s="105" t="str">
        <f t="shared" si="8"/>
        <v/>
      </c>
      <c r="V61" s="53">
        <v>0</v>
      </c>
      <c r="W61" s="88" t="str">
        <f t="shared" si="9"/>
        <v/>
      </c>
      <c r="X61" s="105" t="str">
        <f t="shared" si="10"/>
        <v/>
      </c>
      <c r="Y61" s="53">
        <v>0</v>
      </c>
      <c r="Z61" s="56" t="str">
        <f t="shared" si="11"/>
        <v/>
      </c>
      <c r="AA61" s="56" t="str">
        <f t="shared" si="12"/>
        <v/>
      </c>
      <c r="AB61" s="56" t="str">
        <f t="shared" si="13"/>
        <v/>
      </c>
      <c r="AC61" s="56" t="str">
        <f t="shared" si="14"/>
        <v/>
      </c>
      <c r="AD61" s="56" t="str">
        <f t="shared" si="15"/>
        <v/>
      </c>
      <c r="AE61" s="40"/>
      <c r="AF61" s="40"/>
      <c r="AG61" s="40"/>
      <c r="AH61" s="56" t="str">
        <f t="shared" si="16"/>
        <v/>
      </c>
      <c r="AI61" s="54"/>
      <c r="AJ61" s="54"/>
      <c r="AK61" s="54"/>
      <c r="AL61" s="54"/>
      <c r="AM61" s="54"/>
    </row>
    <row r="62" spans="1:39">
      <c r="A62" s="96"/>
      <c r="B62" s="45" t="str" cm="1">
        <f t="array" ref="B62">IF(H62="PROJECT", CHAR(10) &amp; "- " &amp; _xlfn.TEXTJOIN(CHAR(10) &amp; "- ", TRUE, _xlfn._xlws.FILTER($I$9:$I$1000, ($C$9:$C$1000=C62) * ($H$9:$H$1000="Topic"))), "")</f>
        <v/>
      </c>
      <c r="C62" s="45">
        <f t="shared" si="0"/>
        <v>24</v>
      </c>
      <c r="D62" s="57"/>
      <c r="E62" s="58"/>
      <c r="F62" s="63"/>
      <c r="G62" s="60"/>
      <c r="H62" s="64"/>
      <c r="I62" s="61"/>
      <c r="J62" s="62"/>
      <c r="K62" s="103" t="str">
        <f t="shared" si="1"/>
        <v/>
      </c>
      <c r="L62" s="105" t="str">
        <f t="shared" si="2"/>
        <v/>
      </c>
      <c r="M62" s="52">
        <v>0</v>
      </c>
      <c r="N62" s="104" t="str">
        <f t="shared" si="3"/>
        <v/>
      </c>
      <c r="O62" s="105" t="str">
        <f t="shared" si="4"/>
        <v/>
      </c>
      <c r="P62" s="52">
        <v>0</v>
      </c>
      <c r="Q62" s="104" t="str">
        <f t="shared" si="5"/>
        <v/>
      </c>
      <c r="R62" s="105" t="str">
        <f t="shared" si="6"/>
        <v/>
      </c>
      <c r="S62" s="52">
        <v>0</v>
      </c>
      <c r="T62" s="104" t="str">
        <f t="shared" si="7"/>
        <v/>
      </c>
      <c r="U62" s="105" t="str">
        <f t="shared" si="8"/>
        <v/>
      </c>
      <c r="V62" s="52">
        <v>0</v>
      </c>
      <c r="W62" s="88" t="str">
        <f t="shared" si="9"/>
        <v/>
      </c>
      <c r="X62" s="105" t="str">
        <f t="shared" si="10"/>
        <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96"/>
      <c r="B63" s="45" t="str" cm="1">
        <f t="array" ref="B63">IF(H63="PROJECT", CHAR(10) &amp; "- " &amp; _xlfn.TEXTJOIN(CHAR(10) &amp; "- ", TRUE, _xlfn._xlws.FILTER($I$9:$I$1000, ($C$9:$C$1000=C63) * ($H$9:$H$1000="Topic"))), "")</f>
        <v/>
      </c>
      <c r="C63" s="45">
        <f t="shared" si="0"/>
        <v>25</v>
      </c>
      <c r="D63" s="46"/>
      <c r="E63" s="58"/>
      <c r="F63" s="65"/>
      <c r="G63" s="49"/>
      <c r="H63" s="66"/>
      <c r="I63" s="50"/>
      <c r="J63" s="51"/>
      <c r="K63" s="103" t="str">
        <f t="shared" si="1"/>
        <v/>
      </c>
      <c r="L63" s="105" t="str">
        <f t="shared" si="2"/>
        <v/>
      </c>
      <c r="M63" s="53">
        <v>0</v>
      </c>
      <c r="N63" s="104" t="str">
        <f t="shared" si="3"/>
        <v/>
      </c>
      <c r="O63" s="105" t="str">
        <f t="shared" si="4"/>
        <v/>
      </c>
      <c r="P63" s="53">
        <v>0</v>
      </c>
      <c r="Q63" s="104" t="str">
        <f t="shared" si="5"/>
        <v/>
      </c>
      <c r="R63" s="105" t="str">
        <f t="shared" si="6"/>
        <v/>
      </c>
      <c r="S63" s="53">
        <v>0</v>
      </c>
      <c r="T63" s="104" t="str">
        <f t="shared" si="7"/>
        <v/>
      </c>
      <c r="U63" s="105" t="str">
        <f t="shared" si="8"/>
        <v/>
      </c>
      <c r="V63" s="53">
        <v>0</v>
      </c>
      <c r="W63" s="88" t="str">
        <f t="shared" si="9"/>
        <v/>
      </c>
      <c r="X63" s="105" t="str">
        <f t="shared" si="10"/>
        <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96"/>
      <c r="B64" s="45" t="str" cm="1">
        <f t="array" ref="B64">IF(H64="PROJECT", CHAR(10) &amp; "- " &amp; _xlfn.TEXTJOIN(CHAR(10) &amp; "- ", TRUE, _xlfn._xlws.FILTER($I$9:$I$1000, ($C$9:$C$1000=C64) * ($H$9:$H$1000="Topic"))), "")</f>
        <v/>
      </c>
      <c r="C64" s="45">
        <f t="shared" si="0"/>
        <v>26</v>
      </c>
      <c r="D64" s="57"/>
      <c r="E64" s="58"/>
      <c r="F64" s="63"/>
      <c r="G64" s="60"/>
      <c r="H64" s="64"/>
      <c r="I64" s="61"/>
      <c r="J64" s="62"/>
      <c r="K64" s="103" t="str">
        <f t="shared" si="1"/>
        <v/>
      </c>
      <c r="L64" s="105" t="str">
        <f t="shared" si="2"/>
        <v/>
      </c>
      <c r="M64" s="52">
        <v>0</v>
      </c>
      <c r="N64" s="104" t="str">
        <f t="shared" si="3"/>
        <v/>
      </c>
      <c r="O64" s="105" t="str">
        <f t="shared" si="4"/>
        <v/>
      </c>
      <c r="P64" s="52">
        <v>0</v>
      </c>
      <c r="Q64" s="104" t="str">
        <f t="shared" si="5"/>
        <v/>
      </c>
      <c r="R64" s="105" t="str">
        <f t="shared" si="6"/>
        <v/>
      </c>
      <c r="S64" s="52">
        <v>0</v>
      </c>
      <c r="T64" s="104" t="str">
        <f t="shared" si="7"/>
        <v/>
      </c>
      <c r="U64" s="105" t="str">
        <f t="shared" si="8"/>
        <v/>
      </c>
      <c r="V64" s="52">
        <v>0</v>
      </c>
      <c r="W64" s="88" t="str">
        <f t="shared" si="9"/>
        <v/>
      </c>
      <c r="X64" s="105" t="str">
        <f t="shared" si="10"/>
        <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96"/>
      <c r="B65" s="45" t="str" cm="1">
        <f t="array" ref="B65">IF(H65="PROJECT", CHAR(10) &amp; "- " &amp; _xlfn.TEXTJOIN(CHAR(10) &amp; "- ", TRUE, _xlfn._xlws.FILTER($I$9:$I$1000, ($C$9:$C$1000=C65) * ($H$9:$H$1000="Topic"))), "")</f>
        <v/>
      </c>
      <c r="C65" s="45">
        <f t="shared" si="0"/>
        <v>27</v>
      </c>
      <c r="D65" s="46"/>
      <c r="E65" s="58"/>
      <c r="F65" s="65"/>
      <c r="G65" s="49"/>
      <c r="H65" s="66"/>
      <c r="I65" s="50"/>
      <c r="J65" s="51"/>
      <c r="K65" s="103" t="str">
        <f t="shared" si="1"/>
        <v/>
      </c>
      <c r="L65" s="105" t="str">
        <f t="shared" si="2"/>
        <v/>
      </c>
      <c r="M65" s="53">
        <v>0</v>
      </c>
      <c r="N65" s="104" t="str">
        <f t="shared" si="3"/>
        <v/>
      </c>
      <c r="O65" s="105" t="str">
        <f t="shared" si="4"/>
        <v/>
      </c>
      <c r="P65" s="53">
        <v>0</v>
      </c>
      <c r="Q65" s="104" t="str">
        <f t="shared" si="5"/>
        <v/>
      </c>
      <c r="R65" s="105" t="str">
        <f t="shared" si="6"/>
        <v/>
      </c>
      <c r="S65" s="53">
        <v>0</v>
      </c>
      <c r="T65" s="104" t="str">
        <f t="shared" si="7"/>
        <v/>
      </c>
      <c r="U65" s="105" t="str">
        <f t="shared" si="8"/>
        <v/>
      </c>
      <c r="V65" s="53">
        <v>0</v>
      </c>
      <c r="W65" s="88" t="str">
        <f t="shared" si="9"/>
        <v/>
      </c>
      <c r="X65" s="105" t="str">
        <f t="shared" si="10"/>
        <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96"/>
      <c r="B66" s="45" t="str" cm="1">
        <f t="array" ref="B66">IF(H66="PROJECT", CHAR(10) &amp; "- " &amp; _xlfn.TEXTJOIN(CHAR(10) &amp; "- ", TRUE, _xlfn._xlws.FILTER($I$9:$I$1000, ($C$9:$C$1000=C66) * ($H$9:$H$1000="Topic"))), "")</f>
        <v/>
      </c>
      <c r="C66" s="45">
        <f t="shared" si="0"/>
        <v>28</v>
      </c>
      <c r="D66" s="57"/>
      <c r="E66" s="58"/>
      <c r="F66" s="63"/>
      <c r="G66" s="60"/>
      <c r="H66" s="64"/>
      <c r="I66" s="61"/>
      <c r="J66" s="62"/>
      <c r="K66" s="103" t="str">
        <f t="shared" si="1"/>
        <v/>
      </c>
      <c r="L66" s="105" t="str">
        <f t="shared" si="2"/>
        <v/>
      </c>
      <c r="M66" s="52">
        <v>0</v>
      </c>
      <c r="N66" s="104" t="str">
        <f t="shared" si="3"/>
        <v/>
      </c>
      <c r="O66" s="105" t="str">
        <f t="shared" si="4"/>
        <v/>
      </c>
      <c r="P66" s="52">
        <v>0</v>
      </c>
      <c r="Q66" s="104" t="str">
        <f t="shared" si="5"/>
        <v/>
      </c>
      <c r="R66" s="105" t="str">
        <f t="shared" si="6"/>
        <v/>
      </c>
      <c r="S66" s="52">
        <v>0</v>
      </c>
      <c r="T66" s="104" t="str">
        <f t="shared" si="7"/>
        <v/>
      </c>
      <c r="U66" s="105" t="str">
        <f t="shared" si="8"/>
        <v/>
      </c>
      <c r="V66" s="52">
        <v>0</v>
      </c>
      <c r="W66" s="88" t="str">
        <f t="shared" si="9"/>
        <v/>
      </c>
      <c r="X66" s="105" t="str">
        <f t="shared" si="10"/>
        <v/>
      </c>
      <c r="Y66" s="52">
        <v>0</v>
      </c>
      <c r="Z66" s="56" t="str">
        <f t="shared" si="11"/>
        <v/>
      </c>
      <c r="AA66" s="56" t="str">
        <f t="shared" si="12"/>
        <v/>
      </c>
      <c r="AB66" s="56" t="str">
        <f t="shared" si="13"/>
        <v/>
      </c>
      <c r="AC66" s="56" t="str">
        <f t="shared" si="14"/>
        <v/>
      </c>
      <c r="AD66" s="56" t="str">
        <f t="shared" si="15"/>
        <v/>
      </c>
      <c r="AE66" s="40"/>
      <c r="AF66" s="40"/>
      <c r="AG66" s="40"/>
      <c r="AH66" s="56" t="str">
        <f t="shared" si="16"/>
        <v/>
      </c>
      <c r="AI66" s="54"/>
      <c r="AJ66" s="54"/>
      <c r="AK66" s="54"/>
      <c r="AL66" s="54"/>
      <c r="AM66" s="54"/>
    </row>
    <row r="67" spans="1:39">
      <c r="A67" s="96"/>
      <c r="B67" s="45" t="str" cm="1">
        <f t="array" ref="B67">IF(H67="PROJECT", CHAR(10) &amp; "- " &amp; _xlfn.TEXTJOIN(CHAR(10) &amp; "- ", TRUE, _xlfn._xlws.FILTER($I$9:$I$1000, ($C$9:$C$1000=C67) * ($H$9:$H$1000="Topic"))), "")</f>
        <v/>
      </c>
      <c r="C67" s="45">
        <f t="shared" si="0"/>
        <v>29</v>
      </c>
      <c r="D67" s="46"/>
      <c r="E67" s="58"/>
      <c r="F67" s="65"/>
      <c r="G67" s="49"/>
      <c r="H67" s="66"/>
      <c r="I67" s="50"/>
      <c r="J67" s="51"/>
      <c r="K67" s="103" t="str">
        <f t="shared" si="1"/>
        <v/>
      </c>
      <c r="L67" s="105" t="str">
        <f t="shared" si="2"/>
        <v/>
      </c>
      <c r="M67" s="53">
        <v>0</v>
      </c>
      <c r="N67" s="104" t="str">
        <f t="shared" si="3"/>
        <v/>
      </c>
      <c r="O67" s="105" t="str">
        <f t="shared" si="4"/>
        <v/>
      </c>
      <c r="P67" s="53">
        <v>0</v>
      </c>
      <c r="Q67" s="104" t="str">
        <f t="shared" si="5"/>
        <v/>
      </c>
      <c r="R67" s="105" t="str">
        <f t="shared" si="6"/>
        <v/>
      </c>
      <c r="S67" s="53">
        <v>0</v>
      </c>
      <c r="T67" s="104" t="str">
        <f t="shared" si="7"/>
        <v/>
      </c>
      <c r="U67" s="105" t="str">
        <f t="shared" si="8"/>
        <v/>
      </c>
      <c r="V67" s="53">
        <v>0</v>
      </c>
      <c r="W67" s="88" t="str">
        <f t="shared" si="9"/>
        <v/>
      </c>
      <c r="X67" s="105" t="str">
        <f t="shared" si="10"/>
        <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96"/>
      <c r="B68" s="45" t="str" cm="1">
        <f t="array" ref="B68">IF(H68="PROJECT", CHAR(10) &amp; "- " &amp; _xlfn.TEXTJOIN(CHAR(10) &amp; "- ", TRUE, _xlfn._xlws.FILTER($I$9:$I$1000, ($C$9:$C$1000=C68) * ($H$9:$H$1000="Topic"))), "")</f>
        <v/>
      </c>
      <c r="C68" s="45">
        <f t="shared" si="0"/>
        <v>30</v>
      </c>
      <c r="D68" s="57"/>
      <c r="E68" s="58"/>
      <c r="F68" s="63"/>
      <c r="G68" s="60"/>
      <c r="H68" s="60"/>
      <c r="I68" s="61"/>
      <c r="J68" s="62"/>
      <c r="K68" s="103" t="str">
        <f t="shared" si="1"/>
        <v/>
      </c>
      <c r="L68" s="105" t="str">
        <f t="shared" si="2"/>
        <v/>
      </c>
      <c r="M68" s="52">
        <v>0</v>
      </c>
      <c r="N68" s="104" t="str">
        <f t="shared" si="3"/>
        <v/>
      </c>
      <c r="O68" s="105" t="str">
        <f t="shared" si="4"/>
        <v/>
      </c>
      <c r="P68" s="52">
        <v>0</v>
      </c>
      <c r="Q68" s="104" t="str">
        <f t="shared" si="5"/>
        <v/>
      </c>
      <c r="R68" s="105" t="str">
        <f t="shared" si="6"/>
        <v/>
      </c>
      <c r="S68" s="52">
        <v>0</v>
      </c>
      <c r="T68" s="104" t="str">
        <f t="shared" si="7"/>
        <v/>
      </c>
      <c r="U68" s="105" t="str">
        <f t="shared" si="8"/>
        <v/>
      </c>
      <c r="V68" s="52">
        <v>0</v>
      </c>
      <c r="W68" s="88" t="str">
        <f t="shared" si="9"/>
        <v/>
      </c>
      <c r="X68" s="105" t="str">
        <f t="shared" si="10"/>
        <v/>
      </c>
      <c r="Y68" s="52">
        <v>0</v>
      </c>
      <c r="Z68" s="56" t="str">
        <f t="shared" si="11"/>
        <v/>
      </c>
      <c r="AA68" s="56" t="str">
        <f t="shared" si="12"/>
        <v/>
      </c>
      <c r="AB68" s="56" t="str">
        <f t="shared" si="13"/>
        <v/>
      </c>
      <c r="AC68" s="56" t="str">
        <f t="shared" si="14"/>
        <v/>
      </c>
      <c r="AD68" s="56" t="str">
        <f t="shared" si="15"/>
        <v/>
      </c>
      <c r="AE68" s="40"/>
      <c r="AF68" s="40"/>
      <c r="AG68" s="40"/>
      <c r="AH68" s="56" t="str">
        <f t="shared" si="16"/>
        <v/>
      </c>
      <c r="AI68" s="54"/>
      <c r="AJ68" s="54"/>
      <c r="AK68" s="54"/>
      <c r="AL68" s="54"/>
      <c r="AM68" s="54"/>
    </row>
    <row r="69" spans="1:39">
      <c r="A69" s="96"/>
      <c r="B69" s="45" t="str" cm="1">
        <f t="array" ref="B69">IF(H69="PROJECT", CHAR(10) &amp; "- " &amp; _xlfn.TEXTJOIN(CHAR(10) &amp; "- ", TRUE, _xlfn._xlws.FILTER($I$9:$I$1000, ($C$9:$C$1000=C69) * ($H$9:$H$1000="Topic"))), "")</f>
        <v/>
      </c>
      <c r="C69" s="45">
        <f t="shared" si="0"/>
        <v>31</v>
      </c>
      <c r="D69" s="46"/>
      <c r="E69" s="58"/>
      <c r="F69" s="65"/>
      <c r="G69" s="49"/>
      <c r="H69" s="66"/>
      <c r="I69" s="50"/>
      <c r="J69" s="51"/>
      <c r="K69" s="103" t="str">
        <f t="shared" si="1"/>
        <v/>
      </c>
      <c r="L69" s="105" t="str">
        <f t="shared" si="2"/>
        <v/>
      </c>
      <c r="M69" s="53">
        <v>0</v>
      </c>
      <c r="N69" s="104" t="str">
        <f t="shared" si="3"/>
        <v/>
      </c>
      <c r="O69" s="105" t="str">
        <f t="shared" si="4"/>
        <v/>
      </c>
      <c r="P69" s="53">
        <v>0</v>
      </c>
      <c r="Q69" s="104" t="str">
        <f t="shared" si="5"/>
        <v/>
      </c>
      <c r="R69" s="105" t="str">
        <f t="shared" si="6"/>
        <v/>
      </c>
      <c r="S69" s="53">
        <v>0</v>
      </c>
      <c r="T69" s="104" t="str">
        <f t="shared" si="7"/>
        <v/>
      </c>
      <c r="U69" s="105" t="str">
        <f t="shared" si="8"/>
        <v/>
      </c>
      <c r="V69" s="53">
        <v>0</v>
      </c>
      <c r="W69" s="88" t="str">
        <f t="shared" si="9"/>
        <v/>
      </c>
      <c r="X69" s="105" t="str">
        <f t="shared" si="10"/>
        <v/>
      </c>
      <c r="Y69" s="53">
        <v>0</v>
      </c>
      <c r="Z69" s="56" t="str">
        <f t="shared" si="11"/>
        <v/>
      </c>
      <c r="AA69" s="56" t="str">
        <f t="shared" si="12"/>
        <v/>
      </c>
      <c r="AB69" s="56" t="str">
        <f t="shared" si="13"/>
        <v/>
      </c>
      <c r="AC69" s="56" t="str">
        <f t="shared" si="14"/>
        <v/>
      </c>
      <c r="AD69" s="56" t="str">
        <f t="shared" si="15"/>
        <v/>
      </c>
      <c r="AE69" s="40"/>
      <c r="AF69" s="40"/>
      <c r="AG69" s="40"/>
      <c r="AH69" s="56" t="str">
        <f t="shared" si="16"/>
        <v/>
      </c>
      <c r="AI69" s="54"/>
      <c r="AJ69" s="54"/>
      <c r="AK69" s="54"/>
      <c r="AL69" s="54"/>
      <c r="AM69" s="54"/>
    </row>
    <row r="70" spans="1:39">
      <c r="A70" s="96"/>
      <c r="B70" s="45" t="str" cm="1">
        <f t="array" ref="B70">IF(H70="PROJECT", CHAR(10) &amp; "- " &amp; _xlfn.TEXTJOIN(CHAR(10) &amp; "- ", TRUE, _xlfn._xlws.FILTER($I$9:$I$1000, ($C$9:$C$1000=C70) * ($H$9:$H$1000="Topic"))), "")</f>
        <v/>
      </c>
      <c r="C70" s="45">
        <f t="shared" si="0"/>
        <v>32</v>
      </c>
      <c r="D70" s="57"/>
      <c r="E70" s="58"/>
      <c r="F70" s="63"/>
      <c r="G70" s="60"/>
      <c r="H70" s="64"/>
      <c r="I70" s="61"/>
      <c r="J70" s="62"/>
      <c r="K70" s="103" t="str">
        <f t="shared" si="1"/>
        <v/>
      </c>
      <c r="L70" s="105" t="str">
        <f t="shared" si="2"/>
        <v/>
      </c>
      <c r="M70" s="52">
        <v>0</v>
      </c>
      <c r="N70" s="104" t="str">
        <f t="shared" si="3"/>
        <v/>
      </c>
      <c r="O70" s="105" t="str">
        <f t="shared" si="4"/>
        <v/>
      </c>
      <c r="P70" s="52">
        <v>0</v>
      </c>
      <c r="Q70" s="104" t="str">
        <f t="shared" si="5"/>
        <v/>
      </c>
      <c r="R70" s="105" t="str">
        <f t="shared" si="6"/>
        <v/>
      </c>
      <c r="S70" s="52">
        <v>0</v>
      </c>
      <c r="T70" s="104" t="str">
        <f t="shared" si="7"/>
        <v/>
      </c>
      <c r="U70" s="105" t="str">
        <f t="shared" si="8"/>
        <v/>
      </c>
      <c r="V70" s="52">
        <v>0</v>
      </c>
      <c r="W70" s="88" t="str">
        <f t="shared" si="9"/>
        <v/>
      </c>
      <c r="X70" s="105" t="str">
        <f t="shared" si="10"/>
        <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96"/>
      <c r="B71" s="45" t="str" cm="1">
        <f t="array" ref="B71">IF(H71="PROJECT", CHAR(10) &amp; "- " &amp; _xlfn.TEXTJOIN(CHAR(10) &amp; "- ", TRUE, _xlfn._xlws.FILTER($I$9:$I$1000, ($C$9:$C$1000=C71) * ($H$9:$H$1000="Topic"))), "")</f>
        <v/>
      </c>
      <c r="C71" s="45">
        <f t="shared" si="0"/>
        <v>33</v>
      </c>
      <c r="D71" s="46"/>
      <c r="E71" s="58"/>
      <c r="F71" s="65"/>
      <c r="G71" s="49"/>
      <c r="H71" s="66"/>
      <c r="I71" s="50"/>
      <c r="J71" s="51"/>
      <c r="K71" s="103" t="str">
        <f t="shared" si="1"/>
        <v/>
      </c>
      <c r="L71" s="105" t="str">
        <f t="shared" si="2"/>
        <v/>
      </c>
      <c r="M71" s="53">
        <v>0</v>
      </c>
      <c r="N71" s="104" t="str">
        <f t="shared" si="3"/>
        <v/>
      </c>
      <c r="O71" s="105" t="str">
        <f t="shared" si="4"/>
        <v/>
      </c>
      <c r="P71" s="53">
        <v>0</v>
      </c>
      <c r="Q71" s="104" t="str">
        <f t="shared" si="5"/>
        <v/>
      </c>
      <c r="R71" s="105" t="str">
        <f t="shared" si="6"/>
        <v/>
      </c>
      <c r="S71" s="53">
        <v>0</v>
      </c>
      <c r="T71" s="104" t="str">
        <f t="shared" si="7"/>
        <v/>
      </c>
      <c r="U71" s="105" t="str">
        <f t="shared" si="8"/>
        <v/>
      </c>
      <c r="V71" s="53">
        <v>0</v>
      </c>
      <c r="W71" s="88" t="str">
        <f t="shared" si="9"/>
        <v/>
      </c>
      <c r="X71" s="105" t="str">
        <f t="shared" si="10"/>
        <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96"/>
      <c r="B72" s="45" t="str" cm="1">
        <f t="array" ref="B72">IF(H72="PROJECT", CHAR(10) &amp; "- " &amp; _xlfn.TEXTJOIN(CHAR(10) &amp; "- ", TRUE, _xlfn._xlws.FILTER($I$9:$I$1000, ($C$9:$C$1000=C72) * ($H$9:$H$1000="Topic"))), "")</f>
        <v/>
      </c>
      <c r="C72" s="45">
        <f t="shared" si="0"/>
        <v>34</v>
      </c>
      <c r="D72" s="57"/>
      <c r="E72" s="58"/>
      <c r="F72" s="63"/>
      <c r="G72" s="60"/>
      <c r="H72" s="64"/>
      <c r="I72" s="61"/>
      <c r="J72" s="62"/>
      <c r="K72" s="103" t="str">
        <f t="shared" si="1"/>
        <v/>
      </c>
      <c r="L72" s="105" t="str">
        <f t="shared" si="2"/>
        <v/>
      </c>
      <c r="M72" s="52">
        <v>0</v>
      </c>
      <c r="N72" s="104" t="str">
        <f t="shared" si="3"/>
        <v/>
      </c>
      <c r="O72" s="105" t="str">
        <f t="shared" si="4"/>
        <v/>
      </c>
      <c r="P72" s="52">
        <v>0</v>
      </c>
      <c r="Q72" s="104" t="str">
        <f t="shared" si="5"/>
        <v/>
      </c>
      <c r="R72" s="105" t="str">
        <f t="shared" si="6"/>
        <v/>
      </c>
      <c r="S72" s="52">
        <v>0</v>
      </c>
      <c r="T72" s="104" t="str">
        <f t="shared" si="7"/>
        <v/>
      </c>
      <c r="U72" s="105" t="str">
        <f t="shared" si="8"/>
        <v/>
      </c>
      <c r="V72" s="52">
        <v>0</v>
      </c>
      <c r="W72" s="88" t="str">
        <f t="shared" si="9"/>
        <v/>
      </c>
      <c r="X72" s="105" t="str">
        <f t="shared" si="10"/>
        <v/>
      </c>
      <c r="Y72" s="52">
        <v>0</v>
      </c>
      <c r="Z72" s="56" t="str">
        <f t="shared" si="11"/>
        <v/>
      </c>
      <c r="AA72" s="56" t="str">
        <f t="shared" si="12"/>
        <v/>
      </c>
      <c r="AB72" s="56" t="str">
        <f t="shared" si="13"/>
        <v/>
      </c>
      <c r="AC72" s="56" t="str">
        <f t="shared" si="14"/>
        <v/>
      </c>
      <c r="AD72" s="56" t="str">
        <f t="shared" si="15"/>
        <v/>
      </c>
      <c r="AE72" s="40"/>
      <c r="AF72" s="40"/>
      <c r="AG72" s="40"/>
      <c r="AH72" s="56" t="str">
        <f t="shared" si="16"/>
        <v/>
      </c>
      <c r="AI72" s="54"/>
      <c r="AJ72" s="54"/>
      <c r="AK72" s="54"/>
      <c r="AL72" s="54"/>
      <c r="AM72" s="54"/>
    </row>
    <row r="73" spans="1:39">
      <c r="A73" s="96"/>
      <c r="B73" s="45" t="str" cm="1">
        <f t="array" ref="B73">IF(H73="PROJECT", CHAR(10) &amp; "- " &amp; _xlfn.TEXTJOIN(CHAR(10) &amp; "- ", TRUE, _xlfn._xlws.FILTER($I$9:$I$1000, ($C$9:$C$1000=C73) * ($H$9:$H$1000="Topic"))), "")</f>
        <v/>
      </c>
      <c r="C73" s="45">
        <f t="shared" ref="C73:C136" si="17">IF(AND(H73="Topic",H72="PROJECT"),C72+1,IF(H73="PROJECT",C72,IF(AND(H73="Topic",H72="Topic"),C72,C72+1)))</f>
        <v>35</v>
      </c>
      <c r="D73" s="46"/>
      <c r="E73" s="58"/>
      <c r="F73" s="67"/>
      <c r="G73" s="53"/>
      <c r="H73" s="49"/>
      <c r="I73" s="50"/>
      <c r="J73" s="51"/>
      <c r="K73" s="103" t="str">
        <f t="shared" si="1"/>
        <v/>
      </c>
      <c r="L73" s="105" t="str">
        <f t="shared" si="2"/>
        <v/>
      </c>
      <c r="M73" s="53">
        <v>0</v>
      </c>
      <c r="N73" s="104" t="str">
        <f t="shared" si="3"/>
        <v/>
      </c>
      <c r="O73" s="105" t="str">
        <f t="shared" si="4"/>
        <v/>
      </c>
      <c r="P73" s="53">
        <v>0</v>
      </c>
      <c r="Q73" s="104" t="str">
        <f t="shared" si="5"/>
        <v/>
      </c>
      <c r="R73" s="105" t="str">
        <f t="shared" si="6"/>
        <v/>
      </c>
      <c r="S73" s="53">
        <v>0</v>
      </c>
      <c r="T73" s="104" t="str">
        <f t="shared" si="7"/>
        <v/>
      </c>
      <c r="U73" s="105" t="str">
        <f t="shared" si="8"/>
        <v/>
      </c>
      <c r="V73" s="53">
        <v>0</v>
      </c>
      <c r="W73" s="88" t="str">
        <f t="shared" si="9"/>
        <v/>
      </c>
      <c r="X73" s="105" t="str">
        <f t="shared" si="10"/>
        <v/>
      </c>
      <c r="Y73" s="53">
        <v>0</v>
      </c>
      <c r="Z73" s="56" t="str">
        <f t="shared" si="11"/>
        <v/>
      </c>
      <c r="AA73" s="56" t="str">
        <f t="shared" si="12"/>
        <v/>
      </c>
      <c r="AB73" s="56" t="str">
        <f t="shared" si="13"/>
        <v/>
      </c>
      <c r="AC73" s="56" t="str">
        <f t="shared" si="14"/>
        <v/>
      </c>
      <c r="AD73" s="56" t="str">
        <f t="shared" si="15"/>
        <v/>
      </c>
      <c r="AE73" s="40"/>
      <c r="AF73" s="40"/>
      <c r="AG73" s="40"/>
      <c r="AH73" s="56" t="str">
        <f t="shared" si="16"/>
        <v/>
      </c>
      <c r="AI73" s="54"/>
      <c r="AJ73" s="54"/>
      <c r="AK73" s="54"/>
      <c r="AL73" s="54"/>
      <c r="AM73" s="54"/>
    </row>
    <row r="74" spans="1:39">
      <c r="A74" s="96"/>
      <c r="B74" s="45" t="str" cm="1">
        <f t="array" ref="B74">IF(H74="PROJECT", CHAR(10) &amp; "- " &amp; _xlfn.TEXTJOIN(CHAR(10) &amp; "- ", TRUE, _xlfn._xlws.FILTER($I$9:$I$1000, ($C$9:$C$1000=C74) * ($H$9:$H$1000="Topic"))), "")</f>
        <v/>
      </c>
      <c r="C74" s="45">
        <f t="shared" si="17"/>
        <v>36</v>
      </c>
      <c r="D74" s="57"/>
      <c r="E74" s="58"/>
      <c r="F74" s="54"/>
      <c r="G74" s="52"/>
      <c r="H74" s="52"/>
      <c r="I74" s="61"/>
      <c r="J74" s="62"/>
      <c r="K74" s="103" t="str">
        <f t="shared" ref="K74:K137" si="18">IF(H74="Topic",
"[ROLE] Friendly tutor specializing in " &amp; $I$2 &amp; " | " &amp;
"[TOPIC] " &amp; I74 &amp; " | " &amp;
"[LEVEL] " &amp; G74 &amp; " | " &amp;
"[COUNT] " &amp; D74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$A74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IF(F74&gt;=10,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IF(G74="Beginner","Do NOT use functions unless absolutely required by the concept. Use flat, linear scripts. ",IF(G74="Intermediate","MUST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IF(F74&gt;=10,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5" t="str">
        <f t="shared" ref="L74:L137" si="19">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IF(G74="Beginner","Do NOT use functions unless absolutely required by the concept. Use flat, linear scripts. NO classes. ", IF(G74="Intermediate","MUST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4" t="str">
        <f t="shared" ref="N74:N137" si="20">IF(H74="Topic",
"[ROLE] Careless " &amp; $I$2 &amp; " Developer | " &amp;
"[TASK] Generate debugging challenges in " &amp; $I$2 &amp; " | | " &amp;
"[TOPIC] " &amp; I74 &amp; " | | " &amp;
"[LEVEL] " &amp; G74 &amp; "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IF(G74="Beginner", "5–15", IF(G74="Intermediate", "10–25", "15–35")) &amp; " lines of EXECUTABLE code per example (STRICT: Do NOT count blank lines towards this limit) " &amp; IF(G74&lt;&gt;"Advanced",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5" t="str">
        <f t="shared" ref="O74:O137" si="21">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4" t="str">
        <f t="shared" ref="Q74:Q137" si="22">IF(H74="Topic",
"[ROLE] Tech Lead | " &amp;
"[TASK] Assign incomplete " &amp; $I$2 &amp; " script challenges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IF(G74="Beginner", "5–15", IF(G74="Intermediate",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5" t="str">
        <f t="shared" ref="R74:R137" si="23">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4" t="str">
        <f t="shared" ref="T74:T137" si="24">IF(H74="Topic",
"[ROLE] Tech Lead | " &amp;
"[TASK] Provide intentionally messy but functional code for learning debugging and improvement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IF(G74="Beginner", "Do NOT use functions unless absolutely required by the concept. Use linear scripts. ", IF(G74="Intermediate",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5" t="str">
        <f t="shared" ref="U74:U137" si="25">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8" t="str">
        <f t="shared" ref="W74:W137" si="26">IF(H74="Topic",
"[ROLE] Tech Product Manager assigning a " &amp; $I$2 &amp; " Jira Ticket | " &amp;
"[TASK] Provide a guided implementation exercise with full solution for learning purposes | " &amp;
"[TOPIC] " &amp; I74 &amp; " | " &amp;
"[LEVEL] " &amp; G74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IF(G74="Beginner", "Use simple scripts or minimal functions. ", IF(G74="Intermediate",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5" t="str">
        <f t="shared" ref="X74:X137" si="27">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28">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IF(G74="Beginner", "25–40", IF(G74="Intermediate", "30–60", "40–100")) &amp; " lines (STRICT) - Multi-step flow " &amp; IF(G74&lt;&gt;"Advanced", "- NO classes ", "") &amp; " | " &amp;
"[FUNCTION RULE] " &amp; IF(G74="Beginner", "Avoid functions unless required. Use flat, linear scripts. ", IF(G74="Intermediate",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9">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0">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"[CODE CONSTRAINTS] MUST be between " &amp; IF(G74="Beginner", "25–40", IF(G74="Intermediate",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1">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IF(G74="Beginner", "Avoid functions unless required. ", IF(G74="Intermediate",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2">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96"/>
      <c r="B75" s="45" t="str" cm="1">
        <f t="array" ref="B75">IF(H75="PROJECT", CHAR(10) &amp; "- " &amp; _xlfn.TEXTJOIN(CHAR(10) &amp; "- ", TRUE, _xlfn._xlws.FILTER($I$9:$I$1000, ($C$9:$C$1000=C75) * ($H$9:$H$1000="Topic"))), "")</f>
        <v/>
      </c>
      <c r="C75" s="45">
        <f t="shared" si="17"/>
        <v>37</v>
      </c>
      <c r="D75" s="46"/>
      <c r="E75" s="58"/>
      <c r="F75" s="67"/>
      <c r="G75" s="53"/>
      <c r="H75" s="53"/>
      <c r="I75" s="50"/>
      <c r="J75" s="51"/>
      <c r="K75" s="103" t="str">
        <f t="shared" si="18"/>
        <v/>
      </c>
      <c r="L75" s="105" t="str">
        <f t="shared" si="19"/>
        <v/>
      </c>
      <c r="M75" s="53">
        <v>0</v>
      </c>
      <c r="N75" s="104" t="str">
        <f t="shared" si="20"/>
        <v/>
      </c>
      <c r="O75" s="105" t="str">
        <f t="shared" si="21"/>
        <v/>
      </c>
      <c r="P75" s="53">
        <v>0</v>
      </c>
      <c r="Q75" s="104" t="str">
        <f t="shared" si="22"/>
        <v/>
      </c>
      <c r="R75" s="105" t="str">
        <f t="shared" si="23"/>
        <v/>
      </c>
      <c r="S75" s="53">
        <v>0</v>
      </c>
      <c r="T75" s="104" t="str">
        <f t="shared" si="24"/>
        <v/>
      </c>
      <c r="U75" s="105" t="str">
        <f t="shared" si="25"/>
        <v/>
      </c>
      <c r="V75" s="53">
        <v>0</v>
      </c>
      <c r="W75" s="88" t="str">
        <f t="shared" si="26"/>
        <v/>
      </c>
      <c r="X75" s="105" t="str">
        <f t="shared" si="27"/>
        <v/>
      </c>
      <c r="Y75" s="53">
        <v>0</v>
      </c>
      <c r="Z75" s="56" t="str">
        <f t="shared" si="28"/>
        <v/>
      </c>
      <c r="AA75" s="56" t="str">
        <f t="shared" si="29"/>
        <v/>
      </c>
      <c r="AB75" s="56" t="str">
        <f t="shared" si="30"/>
        <v/>
      </c>
      <c r="AC75" s="56" t="str">
        <f t="shared" si="31"/>
        <v/>
      </c>
      <c r="AD75" s="56" t="str">
        <f t="shared" si="32"/>
        <v/>
      </c>
      <c r="AE75" s="40"/>
      <c r="AF75" s="40"/>
      <c r="AG75" s="40"/>
      <c r="AH75" s="56" t="str">
        <f t="shared" si="16"/>
        <v/>
      </c>
      <c r="AI75" s="54"/>
      <c r="AJ75" s="54"/>
      <c r="AK75" s="54"/>
      <c r="AL75" s="54"/>
      <c r="AM75" s="54"/>
    </row>
    <row r="76" spans="1:39">
      <c r="A76" s="96"/>
      <c r="B76" s="45" t="str" cm="1">
        <f t="array" ref="B76">IF(H76="PROJECT", CHAR(10) &amp; "- " &amp; _xlfn.TEXTJOIN(CHAR(10) &amp; "- ", TRUE, _xlfn._xlws.FILTER($I$9:$I$1000, ($C$9:$C$1000=C76) * ($H$9:$H$1000="Topic"))), "")</f>
        <v/>
      </c>
      <c r="C76" s="45">
        <f t="shared" si="17"/>
        <v>38</v>
      </c>
      <c r="D76" s="57"/>
      <c r="E76" s="58"/>
      <c r="F76" s="54"/>
      <c r="G76" s="52"/>
      <c r="H76" s="52"/>
      <c r="I76" s="61"/>
      <c r="J76" s="62"/>
      <c r="K76" s="103" t="str">
        <f t="shared" si="18"/>
        <v/>
      </c>
      <c r="L76" s="105" t="str">
        <f t="shared" si="19"/>
        <v/>
      </c>
      <c r="M76" s="52">
        <v>0</v>
      </c>
      <c r="N76" s="104" t="str">
        <f t="shared" si="20"/>
        <v/>
      </c>
      <c r="O76" s="105" t="str">
        <f t="shared" si="21"/>
        <v/>
      </c>
      <c r="P76" s="52">
        <v>0</v>
      </c>
      <c r="Q76" s="104" t="str">
        <f t="shared" si="22"/>
        <v/>
      </c>
      <c r="R76" s="105" t="str">
        <f t="shared" si="23"/>
        <v/>
      </c>
      <c r="S76" s="52">
        <v>0</v>
      </c>
      <c r="T76" s="104" t="str">
        <f t="shared" si="24"/>
        <v/>
      </c>
      <c r="U76" s="105" t="str">
        <f t="shared" si="25"/>
        <v/>
      </c>
      <c r="V76" s="52">
        <v>0</v>
      </c>
      <c r="W76" s="88" t="str">
        <f t="shared" si="26"/>
        <v/>
      </c>
      <c r="X76" s="105" t="str">
        <f t="shared" si="27"/>
        <v/>
      </c>
      <c r="Y76" s="52">
        <v>0</v>
      </c>
      <c r="Z76" s="56" t="str">
        <f t="shared" si="28"/>
        <v/>
      </c>
      <c r="AA76" s="56" t="str">
        <f t="shared" si="29"/>
        <v/>
      </c>
      <c r="AB76" s="56" t="str">
        <f t="shared" si="30"/>
        <v/>
      </c>
      <c r="AC76" s="56" t="str">
        <f t="shared" si="31"/>
        <v/>
      </c>
      <c r="AD76" s="56" t="str">
        <f t="shared" si="32"/>
        <v/>
      </c>
      <c r="AE76" s="40"/>
      <c r="AF76" s="40"/>
      <c r="AG76" s="40"/>
      <c r="AH76" s="56" t="str">
        <f t="shared" si="16"/>
        <v/>
      </c>
      <c r="AI76" s="54"/>
      <c r="AJ76" s="54"/>
      <c r="AK76" s="54"/>
      <c r="AL76" s="54"/>
      <c r="AM76" s="54"/>
    </row>
    <row r="77" spans="1:39">
      <c r="A77" s="96"/>
      <c r="B77" s="45" t="str" cm="1">
        <f t="array" ref="B77">IF(H77="PROJECT", CHAR(10) &amp; "- " &amp; _xlfn.TEXTJOIN(CHAR(10) &amp; "- ", TRUE, _xlfn._xlws.FILTER($I$9:$I$1000, ($C$9:$C$1000=C77) * ($H$9:$H$1000="Topic"))), "")</f>
        <v/>
      </c>
      <c r="C77" s="45">
        <f t="shared" si="17"/>
        <v>39</v>
      </c>
      <c r="D77" s="46"/>
      <c r="E77" s="58"/>
      <c r="F77" s="67"/>
      <c r="G77" s="53"/>
      <c r="H77" s="53"/>
      <c r="I77" s="50"/>
      <c r="J77" s="51"/>
      <c r="K77" s="103" t="str">
        <f t="shared" si="18"/>
        <v/>
      </c>
      <c r="L77" s="105" t="str">
        <f t="shared" si="19"/>
        <v/>
      </c>
      <c r="M77" s="53">
        <v>0</v>
      </c>
      <c r="N77" s="104" t="str">
        <f t="shared" si="20"/>
        <v/>
      </c>
      <c r="O77" s="105" t="str">
        <f t="shared" si="21"/>
        <v/>
      </c>
      <c r="P77" s="53">
        <v>0</v>
      </c>
      <c r="Q77" s="104" t="str">
        <f t="shared" si="22"/>
        <v/>
      </c>
      <c r="R77" s="105" t="str">
        <f t="shared" si="23"/>
        <v/>
      </c>
      <c r="S77" s="53">
        <v>0</v>
      </c>
      <c r="T77" s="104" t="str">
        <f t="shared" si="24"/>
        <v/>
      </c>
      <c r="U77" s="105" t="str">
        <f t="shared" si="25"/>
        <v/>
      </c>
      <c r="V77" s="53">
        <v>0</v>
      </c>
      <c r="W77" s="88" t="str">
        <f t="shared" si="26"/>
        <v/>
      </c>
      <c r="X77" s="105" t="str">
        <f t="shared" si="27"/>
        <v/>
      </c>
      <c r="Y77" s="53">
        <v>0</v>
      </c>
      <c r="Z77" s="56" t="str">
        <f t="shared" si="28"/>
        <v/>
      </c>
      <c r="AA77" s="56" t="str">
        <f t="shared" si="29"/>
        <v/>
      </c>
      <c r="AB77" s="56" t="str">
        <f t="shared" si="30"/>
        <v/>
      </c>
      <c r="AC77" s="56" t="str">
        <f t="shared" si="31"/>
        <v/>
      </c>
      <c r="AD77" s="56" t="str">
        <f t="shared" si="32"/>
        <v/>
      </c>
      <c r="AE77" s="40"/>
      <c r="AF77" s="40"/>
      <c r="AG77" s="40"/>
      <c r="AH77" s="56" t="str">
        <f t="shared" ref="AH77:AH140" si="33">IF(AE77=$B$6,AG77,"")</f>
        <v/>
      </c>
      <c r="AI77" s="54"/>
      <c r="AJ77" s="54"/>
      <c r="AK77" s="54"/>
      <c r="AL77" s="54"/>
      <c r="AM77" s="54"/>
    </row>
    <row r="78" spans="1:39">
      <c r="A78" s="96"/>
      <c r="B78" s="45" t="str" cm="1">
        <f t="array" ref="B78">IF(H78="PROJECT", CHAR(10) &amp; "- " &amp; _xlfn.TEXTJOIN(CHAR(10) &amp; "- ", TRUE, _xlfn._xlws.FILTER($I$9:$I$1000, ($C$9:$C$1000=C78) * ($H$9:$H$1000="Topic"))), "")</f>
        <v/>
      </c>
      <c r="C78" s="45">
        <f t="shared" si="17"/>
        <v>40</v>
      </c>
      <c r="D78" s="57"/>
      <c r="E78" s="58"/>
      <c r="F78" s="54"/>
      <c r="G78" s="52"/>
      <c r="H78" s="52"/>
      <c r="I78" s="61"/>
      <c r="J78" s="62"/>
      <c r="K78" s="103" t="str">
        <f t="shared" si="18"/>
        <v/>
      </c>
      <c r="L78" s="105" t="str">
        <f t="shared" si="19"/>
        <v/>
      </c>
      <c r="M78" s="52">
        <v>0</v>
      </c>
      <c r="N78" s="104" t="str">
        <f t="shared" si="20"/>
        <v/>
      </c>
      <c r="O78" s="105" t="str">
        <f t="shared" si="21"/>
        <v/>
      </c>
      <c r="P78" s="52">
        <v>0</v>
      </c>
      <c r="Q78" s="104" t="str">
        <f t="shared" si="22"/>
        <v/>
      </c>
      <c r="R78" s="105" t="str">
        <f t="shared" si="23"/>
        <v/>
      </c>
      <c r="S78" s="52">
        <v>0</v>
      </c>
      <c r="T78" s="104" t="str">
        <f t="shared" si="24"/>
        <v/>
      </c>
      <c r="U78" s="105" t="str">
        <f t="shared" si="25"/>
        <v/>
      </c>
      <c r="V78" s="52">
        <v>0</v>
      </c>
      <c r="W78" s="88" t="str">
        <f t="shared" si="26"/>
        <v/>
      </c>
      <c r="X78" s="105" t="str">
        <f t="shared" si="27"/>
        <v/>
      </c>
      <c r="Y78" s="52">
        <v>0</v>
      </c>
      <c r="Z78" s="56" t="str">
        <f t="shared" si="28"/>
        <v/>
      </c>
      <c r="AA78" s="56" t="str">
        <f t="shared" si="29"/>
        <v/>
      </c>
      <c r="AB78" s="56" t="str">
        <f t="shared" si="30"/>
        <v/>
      </c>
      <c r="AC78" s="56" t="str">
        <f t="shared" si="31"/>
        <v/>
      </c>
      <c r="AD78" s="56" t="str">
        <f t="shared" si="32"/>
        <v/>
      </c>
      <c r="AE78" s="40"/>
      <c r="AF78" s="40"/>
      <c r="AG78" s="40"/>
      <c r="AH78" s="56" t="str">
        <f t="shared" si="33"/>
        <v/>
      </c>
      <c r="AI78" s="54"/>
      <c r="AJ78" s="54"/>
      <c r="AK78" s="54"/>
      <c r="AL78" s="54"/>
      <c r="AM78" s="54"/>
    </row>
    <row r="79" spans="1:39">
      <c r="A79" s="96"/>
      <c r="B79" s="45" t="str" cm="1">
        <f t="array" ref="B79">IF(H79="PROJECT", CHAR(10) &amp; "- " &amp; _xlfn.TEXTJOIN(CHAR(10) &amp; "- ", TRUE, _xlfn._xlws.FILTER($I$9:$I$1000, ($C$9:$C$1000=C79) * ($H$9:$H$1000="Topic"))), "")</f>
        <v/>
      </c>
      <c r="C79" s="45">
        <f t="shared" si="17"/>
        <v>41</v>
      </c>
      <c r="D79" s="46"/>
      <c r="E79" s="58"/>
      <c r="F79" s="67"/>
      <c r="G79" s="53"/>
      <c r="H79" s="53"/>
      <c r="I79" s="50"/>
      <c r="J79" s="51"/>
      <c r="K79" s="103" t="str">
        <f t="shared" si="18"/>
        <v/>
      </c>
      <c r="L79" s="105" t="str">
        <f t="shared" si="19"/>
        <v/>
      </c>
      <c r="M79" s="53">
        <v>0</v>
      </c>
      <c r="N79" s="104" t="str">
        <f t="shared" si="20"/>
        <v/>
      </c>
      <c r="O79" s="105" t="str">
        <f t="shared" si="21"/>
        <v/>
      </c>
      <c r="P79" s="53">
        <v>0</v>
      </c>
      <c r="Q79" s="104" t="str">
        <f t="shared" si="22"/>
        <v/>
      </c>
      <c r="R79" s="105" t="str">
        <f t="shared" si="23"/>
        <v/>
      </c>
      <c r="S79" s="53">
        <v>0</v>
      </c>
      <c r="T79" s="104" t="str">
        <f t="shared" si="24"/>
        <v/>
      </c>
      <c r="U79" s="105" t="str">
        <f t="shared" si="25"/>
        <v/>
      </c>
      <c r="V79" s="53">
        <v>0</v>
      </c>
      <c r="W79" s="88" t="str">
        <f t="shared" si="26"/>
        <v/>
      </c>
      <c r="X79" s="105" t="str">
        <f t="shared" si="27"/>
        <v/>
      </c>
      <c r="Y79" s="53">
        <v>0</v>
      </c>
      <c r="Z79" s="56" t="str">
        <f t="shared" si="28"/>
        <v/>
      </c>
      <c r="AA79" s="56" t="str">
        <f t="shared" si="29"/>
        <v/>
      </c>
      <c r="AB79" s="56" t="str">
        <f t="shared" si="30"/>
        <v/>
      </c>
      <c r="AC79" s="56" t="str">
        <f t="shared" si="31"/>
        <v/>
      </c>
      <c r="AD79" s="56" t="str">
        <f t="shared" si="32"/>
        <v/>
      </c>
      <c r="AE79" s="40"/>
      <c r="AF79" s="40"/>
      <c r="AG79" s="40"/>
      <c r="AH79" s="56" t="str">
        <f t="shared" si="33"/>
        <v/>
      </c>
      <c r="AI79" s="54"/>
      <c r="AJ79" s="54"/>
      <c r="AK79" s="54"/>
      <c r="AL79" s="54"/>
      <c r="AM79" s="54"/>
    </row>
    <row r="80" spans="1:39">
      <c r="A80" s="96"/>
      <c r="B80" s="45" t="str" cm="1">
        <f t="array" ref="B80">IF(H80="PROJECT", CHAR(10) &amp; "- " &amp; _xlfn.TEXTJOIN(CHAR(10) &amp; "- ", TRUE, _xlfn._xlws.FILTER($I$9:$I$1000, ($C$9:$C$1000=C80) * ($H$9:$H$1000="Topic"))), "")</f>
        <v/>
      </c>
      <c r="C80" s="45">
        <f t="shared" si="17"/>
        <v>42</v>
      </c>
      <c r="D80" s="57"/>
      <c r="E80" s="58"/>
      <c r="F80" s="54"/>
      <c r="G80" s="52"/>
      <c r="H80" s="60"/>
      <c r="I80" s="61"/>
      <c r="J80" s="62"/>
      <c r="K80" s="103" t="str">
        <f t="shared" si="18"/>
        <v/>
      </c>
      <c r="L80" s="105" t="str">
        <f t="shared" si="19"/>
        <v/>
      </c>
      <c r="M80" s="52">
        <v>0</v>
      </c>
      <c r="N80" s="104" t="str">
        <f t="shared" si="20"/>
        <v/>
      </c>
      <c r="O80" s="105" t="str">
        <f t="shared" si="21"/>
        <v/>
      </c>
      <c r="P80" s="52">
        <v>0</v>
      </c>
      <c r="Q80" s="104" t="str">
        <f t="shared" si="22"/>
        <v/>
      </c>
      <c r="R80" s="105" t="str">
        <f t="shared" si="23"/>
        <v/>
      </c>
      <c r="S80" s="52">
        <v>0</v>
      </c>
      <c r="T80" s="104" t="str">
        <f t="shared" si="24"/>
        <v/>
      </c>
      <c r="U80" s="105" t="str">
        <f t="shared" si="25"/>
        <v/>
      </c>
      <c r="V80" s="52">
        <v>0</v>
      </c>
      <c r="W80" s="88" t="str">
        <f t="shared" si="26"/>
        <v/>
      </c>
      <c r="X80" s="105" t="str">
        <f t="shared" si="27"/>
        <v/>
      </c>
      <c r="Y80" s="52">
        <v>0</v>
      </c>
      <c r="Z80" s="56" t="str">
        <f t="shared" si="28"/>
        <v/>
      </c>
      <c r="AA80" s="56" t="str">
        <f t="shared" si="29"/>
        <v/>
      </c>
      <c r="AB80" s="56" t="str">
        <f t="shared" si="30"/>
        <v/>
      </c>
      <c r="AC80" s="56" t="str">
        <f t="shared" si="31"/>
        <v/>
      </c>
      <c r="AD80" s="56" t="str">
        <f t="shared" si="32"/>
        <v/>
      </c>
      <c r="AE80" s="40"/>
      <c r="AF80" s="40"/>
      <c r="AG80" s="40"/>
      <c r="AH80" s="56" t="str">
        <f t="shared" si="33"/>
        <v/>
      </c>
      <c r="AI80" s="54"/>
      <c r="AJ80" s="54"/>
      <c r="AK80" s="54"/>
      <c r="AL80" s="54"/>
      <c r="AM80" s="54"/>
    </row>
    <row r="81" spans="1:39">
      <c r="A81" s="96"/>
      <c r="B81" s="45" t="str" cm="1">
        <f t="array" ref="B81">IF(H81="PROJECT", CHAR(10) &amp; "- " &amp; _xlfn.TEXTJOIN(CHAR(10) &amp; "- ", TRUE, _xlfn._xlws.FILTER($I$9:$I$1000, ($C$9:$C$1000=C81) * ($H$9:$H$1000="Topic"))), "")</f>
        <v/>
      </c>
      <c r="C81" s="45">
        <f t="shared" si="17"/>
        <v>43</v>
      </c>
      <c r="D81" s="46"/>
      <c r="E81" s="58"/>
      <c r="F81" s="67"/>
      <c r="G81" s="53"/>
      <c r="H81" s="53"/>
      <c r="I81" s="50"/>
      <c r="J81" s="51"/>
      <c r="K81" s="103" t="str">
        <f t="shared" si="18"/>
        <v/>
      </c>
      <c r="L81" s="105" t="str">
        <f t="shared" si="19"/>
        <v/>
      </c>
      <c r="M81" s="53">
        <v>0</v>
      </c>
      <c r="N81" s="104" t="str">
        <f t="shared" si="20"/>
        <v/>
      </c>
      <c r="O81" s="105" t="str">
        <f t="shared" si="21"/>
        <v/>
      </c>
      <c r="P81" s="53">
        <v>0</v>
      </c>
      <c r="Q81" s="104" t="str">
        <f t="shared" si="22"/>
        <v/>
      </c>
      <c r="R81" s="105" t="str">
        <f t="shared" si="23"/>
        <v/>
      </c>
      <c r="S81" s="53">
        <v>0</v>
      </c>
      <c r="T81" s="104" t="str">
        <f t="shared" si="24"/>
        <v/>
      </c>
      <c r="U81" s="105" t="str">
        <f t="shared" si="25"/>
        <v/>
      </c>
      <c r="V81" s="53">
        <v>0</v>
      </c>
      <c r="W81" s="88" t="str">
        <f t="shared" si="26"/>
        <v/>
      </c>
      <c r="X81" s="105" t="str">
        <f t="shared" si="27"/>
        <v/>
      </c>
      <c r="Y81" s="53">
        <v>0</v>
      </c>
      <c r="Z81" s="56" t="str">
        <f t="shared" si="28"/>
        <v/>
      </c>
      <c r="AA81" s="56" t="str">
        <f t="shared" si="29"/>
        <v/>
      </c>
      <c r="AB81" s="56" t="str">
        <f t="shared" si="30"/>
        <v/>
      </c>
      <c r="AC81" s="56" t="str">
        <f t="shared" si="31"/>
        <v/>
      </c>
      <c r="AD81" s="56" t="str">
        <f t="shared" si="32"/>
        <v/>
      </c>
      <c r="AE81" s="40"/>
      <c r="AF81" s="40"/>
      <c r="AG81" s="40"/>
      <c r="AH81" s="56" t="str">
        <f t="shared" si="33"/>
        <v/>
      </c>
      <c r="AI81" s="54"/>
      <c r="AJ81" s="54"/>
      <c r="AK81" s="54"/>
      <c r="AL81" s="54"/>
      <c r="AM81" s="54"/>
    </row>
    <row r="82" spans="1:39">
      <c r="A82" s="96"/>
      <c r="B82" s="45" t="str" cm="1">
        <f t="array" ref="B82">IF(H82="PROJECT", CHAR(10) &amp; "- " &amp; _xlfn.TEXTJOIN(CHAR(10) &amp; "- ", TRUE, _xlfn._xlws.FILTER($I$9:$I$1000, ($C$9:$C$1000=C82) * ($H$9:$H$1000="Topic"))), "")</f>
        <v/>
      </c>
      <c r="C82" s="45">
        <f t="shared" si="17"/>
        <v>44</v>
      </c>
      <c r="D82" s="57"/>
      <c r="E82" s="58"/>
      <c r="F82" s="54"/>
      <c r="G82" s="52"/>
      <c r="H82" s="52"/>
      <c r="I82" s="61"/>
      <c r="J82" s="62"/>
      <c r="K82" s="103" t="str">
        <f t="shared" si="18"/>
        <v/>
      </c>
      <c r="L82" s="105" t="str">
        <f t="shared" si="19"/>
        <v/>
      </c>
      <c r="M82" s="52">
        <v>0</v>
      </c>
      <c r="N82" s="104" t="str">
        <f t="shared" si="20"/>
        <v/>
      </c>
      <c r="O82" s="105" t="str">
        <f t="shared" si="21"/>
        <v/>
      </c>
      <c r="P82" s="52">
        <v>0</v>
      </c>
      <c r="Q82" s="104" t="str">
        <f t="shared" si="22"/>
        <v/>
      </c>
      <c r="R82" s="105" t="str">
        <f t="shared" si="23"/>
        <v/>
      </c>
      <c r="S82" s="52">
        <v>0</v>
      </c>
      <c r="T82" s="104" t="str">
        <f t="shared" si="24"/>
        <v/>
      </c>
      <c r="U82" s="105" t="str">
        <f t="shared" si="25"/>
        <v/>
      </c>
      <c r="V82" s="52">
        <v>0</v>
      </c>
      <c r="W82" s="88" t="str">
        <f t="shared" si="26"/>
        <v/>
      </c>
      <c r="X82" s="105" t="str">
        <f t="shared" si="27"/>
        <v/>
      </c>
      <c r="Y82" s="52">
        <v>0</v>
      </c>
      <c r="Z82" s="56" t="str">
        <f t="shared" si="28"/>
        <v/>
      </c>
      <c r="AA82" s="56" t="str">
        <f t="shared" si="29"/>
        <v/>
      </c>
      <c r="AB82" s="56" t="str">
        <f t="shared" si="30"/>
        <v/>
      </c>
      <c r="AC82" s="56" t="str">
        <f t="shared" si="31"/>
        <v/>
      </c>
      <c r="AD82" s="56" t="str">
        <f t="shared" si="32"/>
        <v/>
      </c>
      <c r="AE82" s="40"/>
      <c r="AF82" s="40"/>
      <c r="AG82" s="40"/>
      <c r="AH82" s="56" t="str">
        <f t="shared" si="33"/>
        <v/>
      </c>
      <c r="AI82" s="54"/>
      <c r="AJ82" s="54"/>
      <c r="AK82" s="54"/>
      <c r="AL82" s="54"/>
      <c r="AM82" s="54"/>
    </row>
    <row r="83" spans="1:39">
      <c r="A83" s="96"/>
      <c r="B83" s="45" t="str" cm="1">
        <f t="array" ref="B83">IF(H83="PROJECT", CHAR(10) &amp; "- " &amp; _xlfn.TEXTJOIN(CHAR(10) &amp; "- ", TRUE, _xlfn._xlws.FILTER($I$9:$I$1000, ($C$9:$C$1000=C83) * ($H$9:$H$1000="Topic"))), "")</f>
        <v/>
      </c>
      <c r="C83" s="45">
        <f t="shared" si="17"/>
        <v>45</v>
      </c>
      <c r="D83" s="46"/>
      <c r="E83" s="58"/>
      <c r="F83" s="67"/>
      <c r="G83" s="53"/>
      <c r="H83" s="53"/>
      <c r="I83" s="50"/>
      <c r="J83" s="51"/>
      <c r="K83" s="103" t="str">
        <f t="shared" si="18"/>
        <v/>
      </c>
      <c r="L83" s="105" t="str">
        <f t="shared" si="19"/>
        <v/>
      </c>
      <c r="M83" s="53">
        <v>0</v>
      </c>
      <c r="N83" s="104" t="str">
        <f t="shared" si="20"/>
        <v/>
      </c>
      <c r="O83" s="105" t="str">
        <f t="shared" si="21"/>
        <v/>
      </c>
      <c r="P83" s="53">
        <v>0</v>
      </c>
      <c r="Q83" s="104" t="str">
        <f t="shared" si="22"/>
        <v/>
      </c>
      <c r="R83" s="105" t="str">
        <f t="shared" si="23"/>
        <v/>
      </c>
      <c r="S83" s="53">
        <v>0</v>
      </c>
      <c r="T83" s="104" t="str">
        <f t="shared" si="24"/>
        <v/>
      </c>
      <c r="U83" s="105" t="str">
        <f t="shared" si="25"/>
        <v/>
      </c>
      <c r="V83" s="53">
        <v>0</v>
      </c>
      <c r="W83" s="88" t="str">
        <f t="shared" si="26"/>
        <v/>
      </c>
      <c r="X83" s="105" t="str">
        <f t="shared" si="27"/>
        <v/>
      </c>
      <c r="Y83" s="53">
        <v>0</v>
      </c>
      <c r="Z83" s="56" t="str">
        <f t="shared" si="28"/>
        <v/>
      </c>
      <c r="AA83" s="56" t="str">
        <f t="shared" si="29"/>
        <v/>
      </c>
      <c r="AB83" s="56" t="str">
        <f t="shared" si="30"/>
        <v/>
      </c>
      <c r="AC83" s="56" t="str">
        <f t="shared" si="31"/>
        <v/>
      </c>
      <c r="AD83" s="56" t="str">
        <f t="shared" si="32"/>
        <v/>
      </c>
      <c r="AE83" s="40"/>
      <c r="AF83" s="40"/>
      <c r="AG83" s="40"/>
      <c r="AH83" s="56" t="str">
        <f t="shared" si="33"/>
        <v/>
      </c>
      <c r="AI83" s="54"/>
      <c r="AJ83" s="54"/>
      <c r="AK83" s="54"/>
      <c r="AL83" s="54"/>
      <c r="AM83" s="54"/>
    </row>
    <row r="84" spans="1:39">
      <c r="A84" s="96"/>
      <c r="B84" s="45" t="str" cm="1">
        <f t="array" ref="B84">IF(H84="PROJECT", CHAR(10) &amp; "- " &amp; _xlfn.TEXTJOIN(CHAR(10) &amp; "- ", TRUE, _xlfn._xlws.FILTER($I$9:$I$1000, ($C$9:$C$1000=C84) * ($H$9:$H$1000="Topic"))), "")</f>
        <v/>
      </c>
      <c r="C84" s="45">
        <f t="shared" si="17"/>
        <v>46</v>
      </c>
      <c r="D84" s="57"/>
      <c r="E84" s="58"/>
      <c r="F84" s="54"/>
      <c r="G84" s="52"/>
      <c r="H84" s="52"/>
      <c r="I84" s="61"/>
      <c r="J84" s="62"/>
      <c r="K84" s="103" t="str">
        <f t="shared" si="18"/>
        <v/>
      </c>
      <c r="L84" s="105" t="str">
        <f t="shared" si="19"/>
        <v/>
      </c>
      <c r="M84" s="52">
        <v>0</v>
      </c>
      <c r="N84" s="104" t="str">
        <f t="shared" si="20"/>
        <v/>
      </c>
      <c r="O84" s="105" t="str">
        <f t="shared" si="21"/>
        <v/>
      </c>
      <c r="P84" s="52">
        <v>0</v>
      </c>
      <c r="Q84" s="104" t="str">
        <f t="shared" si="22"/>
        <v/>
      </c>
      <c r="R84" s="105" t="str">
        <f t="shared" si="23"/>
        <v/>
      </c>
      <c r="S84" s="52">
        <v>0</v>
      </c>
      <c r="T84" s="104" t="str">
        <f t="shared" si="24"/>
        <v/>
      </c>
      <c r="U84" s="105" t="str">
        <f t="shared" si="25"/>
        <v/>
      </c>
      <c r="V84" s="52">
        <v>0</v>
      </c>
      <c r="W84" s="88" t="str">
        <f t="shared" si="26"/>
        <v/>
      </c>
      <c r="X84" s="105" t="str">
        <f t="shared" si="27"/>
        <v/>
      </c>
      <c r="Y84" s="52">
        <v>0</v>
      </c>
      <c r="Z84" s="56" t="str">
        <f t="shared" si="28"/>
        <v/>
      </c>
      <c r="AA84" s="56" t="str">
        <f t="shared" si="29"/>
        <v/>
      </c>
      <c r="AB84" s="56" t="str">
        <f t="shared" si="30"/>
        <v/>
      </c>
      <c r="AC84" s="56" t="str">
        <f t="shared" si="31"/>
        <v/>
      </c>
      <c r="AD84" s="56" t="str">
        <f t="shared" si="32"/>
        <v/>
      </c>
      <c r="AE84" s="40"/>
      <c r="AF84" s="40"/>
      <c r="AG84" s="40"/>
      <c r="AH84" s="56" t="str">
        <f t="shared" si="33"/>
        <v/>
      </c>
      <c r="AI84" s="54"/>
      <c r="AJ84" s="54"/>
      <c r="AK84" s="54"/>
      <c r="AL84" s="54"/>
      <c r="AM84" s="54"/>
    </row>
    <row r="85" spans="1:39">
      <c r="A85" s="96"/>
      <c r="B85" s="45" t="str" cm="1">
        <f t="array" ref="B85">IF(H85="PROJECT", CHAR(10) &amp; "- " &amp; _xlfn.TEXTJOIN(CHAR(10) &amp; "- ", TRUE, _xlfn._xlws.FILTER($I$9:$I$1000, ($C$9:$C$1000=C85) * ($H$9:$H$1000="Topic"))), "")</f>
        <v/>
      </c>
      <c r="C85" s="45">
        <f t="shared" si="17"/>
        <v>47</v>
      </c>
      <c r="D85" s="46"/>
      <c r="E85" s="58"/>
      <c r="F85" s="67"/>
      <c r="G85" s="53"/>
      <c r="H85" s="53"/>
      <c r="I85" s="50"/>
      <c r="J85" s="51"/>
      <c r="K85" s="103" t="str">
        <f t="shared" si="18"/>
        <v/>
      </c>
      <c r="L85" s="105" t="str">
        <f t="shared" si="19"/>
        <v/>
      </c>
      <c r="M85" s="53">
        <v>0</v>
      </c>
      <c r="N85" s="104" t="str">
        <f t="shared" si="20"/>
        <v/>
      </c>
      <c r="O85" s="105" t="str">
        <f t="shared" si="21"/>
        <v/>
      </c>
      <c r="P85" s="53">
        <v>0</v>
      </c>
      <c r="Q85" s="104" t="str">
        <f t="shared" si="22"/>
        <v/>
      </c>
      <c r="R85" s="105" t="str">
        <f t="shared" si="23"/>
        <v/>
      </c>
      <c r="S85" s="53">
        <v>0</v>
      </c>
      <c r="T85" s="104" t="str">
        <f t="shared" si="24"/>
        <v/>
      </c>
      <c r="U85" s="105" t="str">
        <f t="shared" si="25"/>
        <v/>
      </c>
      <c r="V85" s="53">
        <v>0</v>
      </c>
      <c r="W85" s="88" t="str">
        <f t="shared" si="26"/>
        <v/>
      </c>
      <c r="X85" s="105" t="str">
        <f t="shared" si="27"/>
        <v/>
      </c>
      <c r="Y85" s="53">
        <v>0</v>
      </c>
      <c r="Z85" s="56" t="str">
        <f t="shared" si="28"/>
        <v/>
      </c>
      <c r="AA85" s="56" t="str">
        <f t="shared" si="29"/>
        <v/>
      </c>
      <c r="AB85" s="56" t="str">
        <f t="shared" si="30"/>
        <v/>
      </c>
      <c r="AC85" s="56" t="str">
        <f t="shared" si="31"/>
        <v/>
      </c>
      <c r="AD85" s="56" t="str">
        <f t="shared" si="32"/>
        <v/>
      </c>
      <c r="AE85" s="40"/>
      <c r="AF85" s="40"/>
      <c r="AG85" s="40"/>
      <c r="AH85" s="56" t="str">
        <f t="shared" si="33"/>
        <v/>
      </c>
      <c r="AI85" s="54"/>
      <c r="AJ85" s="54"/>
      <c r="AK85" s="54"/>
      <c r="AL85" s="54"/>
      <c r="AM85" s="54"/>
    </row>
    <row r="86" spans="1:39">
      <c r="A86" s="96"/>
      <c r="B86" s="45" t="str" cm="1">
        <f t="array" ref="B86">IF(H86="PROJECT", CHAR(10) &amp; "- " &amp; _xlfn.TEXTJOIN(CHAR(10) &amp; "- ", TRUE, _xlfn._xlws.FILTER($I$9:$I$1000, ($C$9:$C$1000=C86) * ($H$9:$H$1000="Topic"))), "")</f>
        <v/>
      </c>
      <c r="C86" s="45">
        <f t="shared" si="17"/>
        <v>48</v>
      </c>
      <c r="D86" s="57"/>
      <c r="E86" s="58"/>
      <c r="F86" s="54"/>
      <c r="G86" s="52"/>
      <c r="H86" s="52"/>
      <c r="I86" s="61"/>
      <c r="J86" s="62"/>
      <c r="K86" s="103" t="str">
        <f t="shared" si="18"/>
        <v/>
      </c>
      <c r="L86" s="105" t="str">
        <f t="shared" si="19"/>
        <v/>
      </c>
      <c r="M86" s="52">
        <v>0</v>
      </c>
      <c r="N86" s="104" t="str">
        <f t="shared" si="20"/>
        <v/>
      </c>
      <c r="O86" s="105" t="str">
        <f t="shared" si="21"/>
        <v/>
      </c>
      <c r="P86" s="52">
        <v>0</v>
      </c>
      <c r="Q86" s="104" t="str">
        <f t="shared" si="22"/>
        <v/>
      </c>
      <c r="R86" s="105" t="str">
        <f t="shared" si="23"/>
        <v/>
      </c>
      <c r="S86" s="52">
        <v>0</v>
      </c>
      <c r="T86" s="104" t="str">
        <f t="shared" si="24"/>
        <v/>
      </c>
      <c r="U86" s="105" t="str">
        <f t="shared" si="25"/>
        <v/>
      </c>
      <c r="V86" s="52">
        <v>0</v>
      </c>
      <c r="W86" s="88" t="str">
        <f t="shared" si="26"/>
        <v/>
      </c>
      <c r="X86" s="105" t="str">
        <f t="shared" si="27"/>
        <v/>
      </c>
      <c r="Y86" s="52">
        <v>0</v>
      </c>
      <c r="Z86" s="56" t="str">
        <f t="shared" si="28"/>
        <v/>
      </c>
      <c r="AA86" s="56" t="str">
        <f t="shared" si="29"/>
        <v/>
      </c>
      <c r="AB86" s="56" t="str">
        <f t="shared" si="30"/>
        <v/>
      </c>
      <c r="AC86" s="56" t="str">
        <f t="shared" si="31"/>
        <v/>
      </c>
      <c r="AD86" s="56" t="str">
        <f t="shared" si="32"/>
        <v/>
      </c>
      <c r="AE86" s="40"/>
      <c r="AF86" s="40"/>
      <c r="AG86" s="40"/>
      <c r="AH86" s="56" t="str">
        <f t="shared" si="33"/>
        <v/>
      </c>
      <c r="AI86" s="54"/>
      <c r="AJ86" s="54"/>
      <c r="AK86" s="54"/>
      <c r="AL86" s="54"/>
      <c r="AM86" s="54"/>
    </row>
    <row r="87" spans="1:39">
      <c r="A87" s="96"/>
      <c r="B87" s="45" t="str" cm="1">
        <f t="array" ref="B87">IF(H87="PROJECT", CHAR(10) &amp; "- " &amp; _xlfn.TEXTJOIN(CHAR(10) &amp; "- ", TRUE, _xlfn._xlws.FILTER($I$9:$I$1000, ($C$9:$C$1000=C87) * ($H$9:$H$1000="Topic"))), "")</f>
        <v/>
      </c>
      <c r="C87" s="45">
        <f t="shared" si="17"/>
        <v>49</v>
      </c>
      <c r="D87" s="46"/>
      <c r="E87" s="58"/>
      <c r="F87" s="67"/>
      <c r="G87" s="53"/>
      <c r="H87" s="53"/>
      <c r="I87" s="50"/>
      <c r="J87" s="51"/>
      <c r="K87" s="103" t="str">
        <f t="shared" si="18"/>
        <v/>
      </c>
      <c r="L87" s="105" t="str">
        <f t="shared" si="19"/>
        <v/>
      </c>
      <c r="M87" s="53">
        <v>0</v>
      </c>
      <c r="N87" s="104" t="str">
        <f t="shared" si="20"/>
        <v/>
      </c>
      <c r="O87" s="105" t="str">
        <f t="shared" si="21"/>
        <v/>
      </c>
      <c r="P87" s="53">
        <v>0</v>
      </c>
      <c r="Q87" s="104" t="str">
        <f t="shared" si="22"/>
        <v/>
      </c>
      <c r="R87" s="105" t="str">
        <f t="shared" si="23"/>
        <v/>
      </c>
      <c r="S87" s="53">
        <v>0</v>
      </c>
      <c r="T87" s="104" t="str">
        <f t="shared" si="24"/>
        <v/>
      </c>
      <c r="U87" s="105" t="str">
        <f t="shared" si="25"/>
        <v/>
      </c>
      <c r="V87" s="53">
        <v>0</v>
      </c>
      <c r="W87" s="88" t="str">
        <f t="shared" si="26"/>
        <v/>
      </c>
      <c r="X87" s="105" t="str">
        <f t="shared" si="27"/>
        <v/>
      </c>
      <c r="Y87" s="53">
        <v>0</v>
      </c>
      <c r="Z87" s="56" t="str">
        <f t="shared" si="28"/>
        <v/>
      </c>
      <c r="AA87" s="56" t="str">
        <f t="shared" si="29"/>
        <v/>
      </c>
      <c r="AB87" s="56" t="str">
        <f t="shared" si="30"/>
        <v/>
      </c>
      <c r="AC87" s="56" t="str">
        <f t="shared" si="31"/>
        <v/>
      </c>
      <c r="AD87" s="56" t="str">
        <f t="shared" si="32"/>
        <v/>
      </c>
      <c r="AE87" s="40"/>
      <c r="AF87" s="40"/>
      <c r="AG87" s="40"/>
      <c r="AH87" s="56" t="str">
        <f t="shared" si="33"/>
        <v/>
      </c>
      <c r="AI87" s="54"/>
      <c r="AJ87" s="54"/>
      <c r="AK87" s="54"/>
      <c r="AL87" s="54"/>
      <c r="AM87" s="54"/>
    </row>
    <row r="88" spans="1:39">
      <c r="A88" s="96"/>
      <c r="B88" s="45" t="str" cm="1">
        <f t="array" ref="B88">IF(H88="PROJECT", CHAR(10) &amp; "- " &amp; _xlfn.TEXTJOIN(CHAR(10) &amp; "- ", TRUE, _xlfn._xlws.FILTER($I$9:$I$1000, ($C$9:$C$1000=C88) * ($H$9:$H$1000="Topic"))), "")</f>
        <v/>
      </c>
      <c r="C88" s="45">
        <f t="shared" si="17"/>
        <v>50</v>
      </c>
      <c r="D88" s="57"/>
      <c r="E88" s="58"/>
      <c r="F88" s="54"/>
      <c r="G88" s="52"/>
      <c r="H88" s="52"/>
      <c r="I88" s="61"/>
      <c r="J88" s="62"/>
      <c r="K88" s="103" t="str">
        <f t="shared" si="18"/>
        <v/>
      </c>
      <c r="L88" s="105" t="str">
        <f t="shared" si="19"/>
        <v/>
      </c>
      <c r="M88" s="52">
        <v>0</v>
      </c>
      <c r="N88" s="104" t="str">
        <f t="shared" si="20"/>
        <v/>
      </c>
      <c r="O88" s="105" t="str">
        <f t="shared" si="21"/>
        <v/>
      </c>
      <c r="P88" s="52">
        <v>0</v>
      </c>
      <c r="Q88" s="104" t="str">
        <f t="shared" si="22"/>
        <v/>
      </c>
      <c r="R88" s="105" t="str">
        <f t="shared" si="23"/>
        <v/>
      </c>
      <c r="S88" s="52">
        <v>0</v>
      </c>
      <c r="T88" s="104" t="str">
        <f t="shared" si="24"/>
        <v/>
      </c>
      <c r="U88" s="105" t="str">
        <f t="shared" si="25"/>
        <v/>
      </c>
      <c r="V88" s="52">
        <v>0</v>
      </c>
      <c r="W88" s="88" t="str">
        <f t="shared" si="26"/>
        <v/>
      </c>
      <c r="X88" s="105" t="str">
        <f t="shared" si="27"/>
        <v/>
      </c>
      <c r="Y88" s="52">
        <v>0</v>
      </c>
      <c r="Z88" s="56" t="str">
        <f t="shared" si="28"/>
        <v/>
      </c>
      <c r="AA88" s="56" t="str">
        <f t="shared" si="29"/>
        <v/>
      </c>
      <c r="AB88" s="56" t="str">
        <f t="shared" si="30"/>
        <v/>
      </c>
      <c r="AC88" s="56" t="str">
        <f t="shared" si="31"/>
        <v/>
      </c>
      <c r="AD88" s="56" t="str">
        <f t="shared" si="32"/>
        <v/>
      </c>
      <c r="AE88" s="40"/>
      <c r="AF88" s="40"/>
      <c r="AG88" s="40"/>
      <c r="AH88" s="56" t="str">
        <f t="shared" si="33"/>
        <v/>
      </c>
      <c r="AI88" s="54"/>
      <c r="AJ88" s="54"/>
      <c r="AK88" s="54"/>
      <c r="AL88" s="54"/>
      <c r="AM88" s="54"/>
    </row>
    <row r="89" spans="1:39">
      <c r="A89" s="96"/>
      <c r="B89" s="45" t="str" cm="1">
        <f t="array" ref="B89">IF(H89="PROJECT", CHAR(10) &amp; "- " &amp; _xlfn.TEXTJOIN(CHAR(10) &amp; "- ", TRUE, _xlfn._xlws.FILTER($I$9:$I$1000, ($C$9:$C$1000=C89) * ($H$9:$H$1000="Topic"))), "")</f>
        <v/>
      </c>
      <c r="C89" s="45">
        <f t="shared" si="17"/>
        <v>51</v>
      </c>
      <c r="D89" s="46"/>
      <c r="E89" s="58"/>
      <c r="F89" s="67"/>
      <c r="G89" s="53"/>
      <c r="H89" s="53"/>
      <c r="I89" s="50"/>
      <c r="J89" s="51"/>
      <c r="K89" s="103" t="str">
        <f t="shared" si="18"/>
        <v/>
      </c>
      <c r="L89" s="105" t="str">
        <f t="shared" si="19"/>
        <v/>
      </c>
      <c r="M89" s="53">
        <v>0</v>
      </c>
      <c r="N89" s="104" t="str">
        <f t="shared" si="20"/>
        <v/>
      </c>
      <c r="O89" s="105" t="str">
        <f t="shared" si="21"/>
        <v/>
      </c>
      <c r="P89" s="53">
        <v>0</v>
      </c>
      <c r="Q89" s="104" t="str">
        <f t="shared" si="22"/>
        <v/>
      </c>
      <c r="R89" s="105" t="str">
        <f t="shared" si="23"/>
        <v/>
      </c>
      <c r="S89" s="53">
        <v>0</v>
      </c>
      <c r="T89" s="104" t="str">
        <f t="shared" si="24"/>
        <v/>
      </c>
      <c r="U89" s="105" t="str">
        <f t="shared" si="25"/>
        <v/>
      </c>
      <c r="V89" s="53">
        <v>0</v>
      </c>
      <c r="W89" s="88" t="str">
        <f t="shared" si="26"/>
        <v/>
      </c>
      <c r="X89" s="105" t="str">
        <f t="shared" si="27"/>
        <v/>
      </c>
      <c r="Y89" s="53">
        <v>0</v>
      </c>
      <c r="Z89" s="56" t="str">
        <f t="shared" si="28"/>
        <v/>
      </c>
      <c r="AA89" s="56" t="str">
        <f t="shared" si="29"/>
        <v/>
      </c>
      <c r="AB89" s="56" t="str">
        <f t="shared" si="30"/>
        <v/>
      </c>
      <c r="AC89" s="56" t="str">
        <f t="shared" si="31"/>
        <v/>
      </c>
      <c r="AD89" s="56" t="str">
        <f t="shared" si="32"/>
        <v/>
      </c>
      <c r="AE89" s="40"/>
      <c r="AF89" s="40"/>
      <c r="AG89" s="40"/>
      <c r="AH89" s="56" t="str">
        <f t="shared" si="33"/>
        <v/>
      </c>
      <c r="AI89" s="54"/>
      <c r="AJ89" s="54"/>
      <c r="AK89" s="54"/>
      <c r="AL89" s="54"/>
      <c r="AM89" s="54"/>
    </row>
    <row r="90" spans="1:39">
      <c r="A90" s="96"/>
      <c r="B90" s="45" t="str" cm="1">
        <f t="array" ref="B90">IF(H90="PROJECT", CHAR(10) &amp; "- " &amp; _xlfn.TEXTJOIN(CHAR(10) &amp; "- ", TRUE, _xlfn._xlws.FILTER($I$9:$I$1000, ($C$9:$C$1000=C90) * ($H$9:$H$1000="Topic"))), "")</f>
        <v/>
      </c>
      <c r="C90" s="45">
        <f t="shared" si="17"/>
        <v>52</v>
      </c>
      <c r="D90" s="57"/>
      <c r="E90" s="58"/>
      <c r="F90" s="54"/>
      <c r="G90" s="52"/>
      <c r="H90" s="52"/>
      <c r="I90" s="61"/>
      <c r="J90" s="62"/>
      <c r="K90" s="103" t="str">
        <f t="shared" si="18"/>
        <v/>
      </c>
      <c r="L90" s="105" t="str">
        <f t="shared" si="19"/>
        <v/>
      </c>
      <c r="M90" s="52">
        <v>0</v>
      </c>
      <c r="N90" s="104" t="str">
        <f t="shared" si="20"/>
        <v/>
      </c>
      <c r="O90" s="105" t="str">
        <f t="shared" si="21"/>
        <v/>
      </c>
      <c r="P90" s="52">
        <v>0</v>
      </c>
      <c r="Q90" s="104" t="str">
        <f t="shared" si="22"/>
        <v/>
      </c>
      <c r="R90" s="105" t="str">
        <f t="shared" si="23"/>
        <v/>
      </c>
      <c r="S90" s="52">
        <v>0</v>
      </c>
      <c r="T90" s="104" t="str">
        <f t="shared" si="24"/>
        <v/>
      </c>
      <c r="U90" s="105" t="str">
        <f t="shared" si="25"/>
        <v/>
      </c>
      <c r="V90" s="52">
        <v>0</v>
      </c>
      <c r="W90" s="88" t="str">
        <f t="shared" si="26"/>
        <v/>
      </c>
      <c r="X90" s="105" t="str">
        <f t="shared" si="27"/>
        <v/>
      </c>
      <c r="Y90" s="52">
        <v>0</v>
      </c>
      <c r="Z90" s="56" t="str">
        <f t="shared" si="28"/>
        <v/>
      </c>
      <c r="AA90" s="56" t="str">
        <f t="shared" si="29"/>
        <v/>
      </c>
      <c r="AB90" s="56" t="str">
        <f t="shared" si="30"/>
        <v/>
      </c>
      <c r="AC90" s="56" t="str">
        <f t="shared" si="31"/>
        <v/>
      </c>
      <c r="AD90" s="56" t="str">
        <f t="shared" si="32"/>
        <v/>
      </c>
      <c r="AE90" s="40"/>
      <c r="AF90" s="40"/>
      <c r="AG90" s="40"/>
      <c r="AH90" s="56" t="str">
        <f t="shared" si="33"/>
        <v/>
      </c>
      <c r="AI90" s="54"/>
      <c r="AJ90" s="54"/>
      <c r="AK90" s="54"/>
      <c r="AL90" s="54"/>
      <c r="AM90" s="54"/>
    </row>
    <row r="91" spans="1:39">
      <c r="A91" s="96"/>
      <c r="B91" s="45" t="str" cm="1">
        <f t="array" ref="B91">IF(H91="PROJECT", CHAR(10) &amp; "- " &amp; _xlfn.TEXTJOIN(CHAR(10) &amp; "- ", TRUE, _xlfn._xlws.FILTER($I$9:$I$1000, ($C$9:$C$1000=C91) * ($H$9:$H$1000="Topic"))), "")</f>
        <v/>
      </c>
      <c r="C91" s="45">
        <f t="shared" si="17"/>
        <v>53</v>
      </c>
      <c r="D91" s="46"/>
      <c r="E91" s="58"/>
      <c r="F91" s="67"/>
      <c r="G91" s="53"/>
      <c r="H91" s="53"/>
      <c r="I91" s="50"/>
      <c r="J91" s="51"/>
      <c r="K91" s="103" t="str">
        <f t="shared" si="18"/>
        <v/>
      </c>
      <c r="L91" s="105" t="str">
        <f t="shared" si="19"/>
        <v/>
      </c>
      <c r="M91" s="53">
        <v>0</v>
      </c>
      <c r="N91" s="104" t="str">
        <f t="shared" si="20"/>
        <v/>
      </c>
      <c r="O91" s="105" t="str">
        <f t="shared" si="21"/>
        <v/>
      </c>
      <c r="P91" s="53">
        <v>0</v>
      </c>
      <c r="Q91" s="104" t="str">
        <f t="shared" si="22"/>
        <v/>
      </c>
      <c r="R91" s="105" t="str">
        <f t="shared" si="23"/>
        <v/>
      </c>
      <c r="S91" s="53">
        <v>0</v>
      </c>
      <c r="T91" s="104" t="str">
        <f t="shared" si="24"/>
        <v/>
      </c>
      <c r="U91" s="105" t="str">
        <f t="shared" si="25"/>
        <v/>
      </c>
      <c r="V91" s="53">
        <v>0</v>
      </c>
      <c r="W91" s="88" t="str">
        <f t="shared" si="26"/>
        <v/>
      </c>
      <c r="X91" s="105" t="str">
        <f t="shared" si="27"/>
        <v/>
      </c>
      <c r="Y91" s="53">
        <v>0</v>
      </c>
      <c r="Z91" s="56" t="str">
        <f t="shared" si="28"/>
        <v/>
      </c>
      <c r="AA91" s="56" t="str">
        <f t="shared" si="29"/>
        <v/>
      </c>
      <c r="AB91" s="56" t="str">
        <f t="shared" si="30"/>
        <v/>
      </c>
      <c r="AC91" s="56" t="str">
        <f t="shared" si="31"/>
        <v/>
      </c>
      <c r="AD91" s="56" t="str">
        <f t="shared" si="32"/>
        <v/>
      </c>
      <c r="AE91" s="40"/>
      <c r="AF91" s="40"/>
      <c r="AG91" s="40"/>
      <c r="AH91" s="56" t="str">
        <f t="shared" si="33"/>
        <v/>
      </c>
      <c r="AI91" s="54"/>
      <c r="AJ91" s="54"/>
      <c r="AK91" s="54"/>
      <c r="AL91" s="54"/>
      <c r="AM91" s="54"/>
    </row>
    <row r="92" spans="1:39">
      <c r="A92" s="96"/>
      <c r="B92" s="45" t="str" cm="1">
        <f t="array" ref="B92">IF(H92="PROJECT", CHAR(10) &amp; "- " &amp; _xlfn.TEXTJOIN(CHAR(10) &amp; "- ", TRUE, _xlfn._xlws.FILTER($I$9:$I$1000, ($C$9:$C$1000=C92) * ($H$9:$H$1000="Topic"))), "")</f>
        <v/>
      </c>
      <c r="C92" s="45">
        <f t="shared" si="17"/>
        <v>54</v>
      </c>
      <c r="D92" s="57"/>
      <c r="E92" s="58"/>
      <c r="F92" s="54"/>
      <c r="G92" s="52"/>
      <c r="H92" s="52"/>
      <c r="I92" s="61"/>
      <c r="J92" s="62"/>
      <c r="K92" s="103" t="str">
        <f t="shared" si="18"/>
        <v/>
      </c>
      <c r="L92" s="105" t="str">
        <f t="shared" si="19"/>
        <v/>
      </c>
      <c r="M92" s="52">
        <v>0</v>
      </c>
      <c r="N92" s="104" t="str">
        <f t="shared" si="20"/>
        <v/>
      </c>
      <c r="O92" s="105" t="str">
        <f t="shared" si="21"/>
        <v/>
      </c>
      <c r="P92" s="52">
        <v>0</v>
      </c>
      <c r="Q92" s="104" t="str">
        <f t="shared" si="22"/>
        <v/>
      </c>
      <c r="R92" s="105" t="str">
        <f t="shared" si="23"/>
        <v/>
      </c>
      <c r="S92" s="52">
        <v>0</v>
      </c>
      <c r="T92" s="104" t="str">
        <f t="shared" si="24"/>
        <v/>
      </c>
      <c r="U92" s="105" t="str">
        <f t="shared" si="25"/>
        <v/>
      </c>
      <c r="V92" s="52">
        <v>0</v>
      </c>
      <c r="W92" s="88" t="str">
        <f t="shared" si="26"/>
        <v/>
      </c>
      <c r="X92" s="105" t="str">
        <f t="shared" si="27"/>
        <v/>
      </c>
      <c r="Y92" s="52">
        <v>0</v>
      </c>
      <c r="Z92" s="56" t="str">
        <f t="shared" si="28"/>
        <v/>
      </c>
      <c r="AA92" s="56" t="str">
        <f t="shared" si="29"/>
        <v/>
      </c>
      <c r="AB92" s="56" t="str">
        <f t="shared" si="30"/>
        <v/>
      </c>
      <c r="AC92" s="56" t="str">
        <f t="shared" si="31"/>
        <v/>
      </c>
      <c r="AD92" s="56" t="str">
        <f t="shared" si="32"/>
        <v/>
      </c>
      <c r="AE92" s="40"/>
      <c r="AF92" s="40"/>
      <c r="AG92" s="40"/>
      <c r="AH92" s="56" t="str">
        <f t="shared" si="33"/>
        <v/>
      </c>
      <c r="AI92" s="54"/>
      <c r="AJ92" s="54"/>
      <c r="AK92" s="54"/>
      <c r="AL92" s="54"/>
      <c r="AM92" s="54"/>
    </row>
    <row r="93" spans="1:39">
      <c r="A93" s="96"/>
      <c r="B93" s="45" t="str" cm="1">
        <f t="array" ref="B93">IF(H93="PROJECT", CHAR(10) &amp; "- " &amp; _xlfn.TEXTJOIN(CHAR(10) &amp; "- ", TRUE, _xlfn._xlws.FILTER($I$9:$I$1000, ($C$9:$C$1000=C93) * ($H$9:$H$1000="Topic"))), "")</f>
        <v/>
      </c>
      <c r="C93" s="45">
        <f t="shared" si="17"/>
        <v>55</v>
      </c>
      <c r="D93" s="46"/>
      <c r="E93" s="58"/>
      <c r="F93" s="67"/>
      <c r="G93" s="53"/>
      <c r="H93" s="53"/>
      <c r="I93" s="50"/>
      <c r="J93" s="51"/>
      <c r="K93" s="103" t="str">
        <f t="shared" si="18"/>
        <v/>
      </c>
      <c r="L93" s="105" t="str">
        <f t="shared" si="19"/>
        <v/>
      </c>
      <c r="M93" s="53">
        <v>0</v>
      </c>
      <c r="N93" s="104" t="str">
        <f t="shared" si="20"/>
        <v/>
      </c>
      <c r="O93" s="105" t="str">
        <f t="shared" si="21"/>
        <v/>
      </c>
      <c r="P93" s="53">
        <v>0</v>
      </c>
      <c r="Q93" s="104" t="str">
        <f t="shared" si="22"/>
        <v/>
      </c>
      <c r="R93" s="105" t="str">
        <f t="shared" si="23"/>
        <v/>
      </c>
      <c r="S93" s="53">
        <v>0</v>
      </c>
      <c r="T93" s="104" t="str">
        <f t="shared" si="24"/>
        <v/>
      </c>
      <c r="U93" s="105" t="str">
        <f t="shared" si="25"/>
        <v/>
      </c>
      <c r="V93" s="53">
        <v>0</v>
      </c>
      <c r="W93" s="88" t="str">
        <f t="shared" si="26"/>
        <v/>
      </c>
      <c r="X93" s="105" t="str">
        <f t="shared" si="27"/>
        <v/>
      </c>
      <c r="Y93" s="53">
        <v>0</v>
      </c>
      <c r="Z93" s="56" t="str">
        <f t="shared" si="28"/>
        <v/>
      </c>
      <c r="AA93" s="56" t="str">
        <f t="shared" si="29"/>
        <v/>
      </c>
      <c r="AB93" s="56" t="str">
        <f t="shared" si="30"/>
        <v/>
      </c>
      <c r="AC93" s="56" t="str">
        <f t="shared" si="31"/>
        <v/>
      </c>
      <c r="AD93" s="56" t="str">
        <f t="shared" si="32"/>
        <v/>
      </c>
      <c r="AE93" s="40"/>
      <c r="AF93" s="40"/>
      <c r="AG93" s="40"/>
      <c r="AH93" s="56" t="str">
        <f t="shared" si="33"/>
        <v/>
      </c>
      <c r="AI93" s="54"/>
      <c r="AJ93" s="54"/>
      <c r="AK93" s="54"/>
      <c r="AL93" s="54"/>
      <c r="AM93" s="54"/>
    </row>
    <row r="94" spans="1:39">
      <c r="A94" s="96"/>
      <c r="B94" s="45" t="str" cm="1">
        <f t="array" ref="B94">IF(H94="PROJECT", CHAR(10) &amp; "- " &amp; _xlfn.TEXTJOIN(CHAR(10) &amp; "- ", TRUE, _xlfn._xlws.FILTER($I$9:$I$1000, ($C$9:$C$1000=C94) * ($H$9:$H$1000="Topic"))), "")</f>
        <v/>
      </c>
      <c r="C94" s="45">
        <f t="shared" si="17"/>
        <v>56</v>
      </c>
      <c r="D94" s="57"/>
      <c r="E94" s="58"/>
      <c r="F94" s="54"/>
      <c r="G94" s="52"/>
      <c r="H94" s="52"/>
      <c r="I94" s="61"/>
      <c r="J94" s="62"/>
      <c r="K94" s="103" t="str">
        <f t="shared" si="18"/>
        <v/>
      </c>
      <c r="L94" s="105" t="str">
        <f t="shared" si="19"/>
        <v/>
      </c>
      <c r="M94" s="52">
        <v>0</v>
      </c>
      <c r="N94" s="104" t="str">
        <f t="shared" si="20"/>
        <v/>
      </c>
      <c r="O94" s="105" t="str">
        <f t="shared" si="21"/>
        <v/>
      </c>
      <c r="P94" s="52">
        <v>0</v>
      </c>
      <c r="Q94" s="104" t="str">
        <f t="shared" si="22"/>
        <v/>
      </c>
      <c r="R94" s="105" t="str">
        <f t="shared" si="23"/>
        <v/>
      </c>
      <c r="S94" s="52">
        <v>0</v>
      </c>
      <c r="T94" s="104" t="str">
        <f t="shared" si="24"/>
        <v/>
      </c>
      <c r="U94" s="105" t="str">
        <f t="shared" si="25"/>
        <v/>
      </c>
      <c r="V94" s="52">
        <v>0</v>
      </c>
      <c r="W94" s="88" t="str">
        <f t="shared" si="26"/>
        <v/>
      </c>
      <c r="X94" s="105" t="str">
        <f t="shared" si="27"/>
        <v/>
      </c>
      <c r="Y94" s="52">
        <v>0</v>
      </c>
      <c r="Z94" s="56" t="str">
        <f t="shared" si="28"/>
        <v/>
      </c>
      <c r="AA94" s="56" t="str">
        <f t="shared" si="29"/>
        <v/>
      </c>
      <c r="AB94" s="56" t="str">
        <f t="shared" si="30"/>
        <v/>
      </c>
      <c r="AC94" s="56" t="str">
        <f t="shared" si="31"/>
        <v/>
      </c>
      <c r="AD94" s="56" t="str">
        <f t="shared" si="32"/>
        <v/>
      </c>
      <c r="AE94" s="40"/>
      <c r="AF94" s="40"/>
      <c r="AG94" s="40"/>
      <c r="AH94" s="56" t="str">
        <f t="shared" si="33"/>
        <v/>
      </c>
      <c r="AI94" s="54"/>
      <c r="AJ94" s="54"/>
      <c r="AK94" s="54"/>
      <c r="AL94" s="54"/>
      <c r="AM94" s="54"/>
    </row>
    <row r="95" spans="1:39">
      <c r="A95" s="96"/>
      <c r="B95" s="45" t="str" cm="1">
        <f t="array" ref="B95">IF(H95="PROJECT", CHAR(10) &amp; "- " &amp; _xlfn.TEXTJOIN(CHAR(10) &amp; "- ", TRUE, _xlfn._xlws.FILTER($I$9:$I$1000, ($C$9:$C$1000=C95) * ($H$9:$H$1000="Topic"))), "")</f>
        <v/>
      </c>
      <c r="C95" s="45">
        <f t="shared" si="17"/>
        <v>57</v>
      </c>
      <c r="D95" s="46"/>
      <c r="E95" s="58"/>
      <c r="F95" s="67"/>
      <c r="G95" s="53"/>
      <c r="H95" s="53"/>
      <c r="I95" s="50"/>
      <c r="J95" s="51"/>
      <c r="K95" s="103" t="str">
        <f t="shared" si="18"/>
        <v/>
      </c>
      <c r="L95" s="105" t="str">
        <f t="shared" si="19"/>
        <v/>
      </c>
      <c r="M95" s="53">
        <v>0</v>
      </c>
      <c r="N95" s="104" t="str">
        <f t="shared" si="20"/>
        <v/>
      </c>
      <c r="O95" s="105" t="str">
        <f t="shared" si="21"/>
        <v/>
      </c>
      <c r="P95" s="53">
        <v>0</v>
      </c>
      <c r="Q95" s="104" t="str">
        <f t="shared" si="22"/>
        <v/>
      </c>
      <c r="R95" s="105" t="str">
        <f t="shared" si="23"/>
        <v/>
      </c>
      <c r="S95" s="53">
        <v>0</v>
      </c>
      <c r="T95" s="104" t="str">
        <f t="shared" si="24"/>
        <v/>
      </c>
      <c r="U95" s="105" t="str">
        <f t="shared" si="25"/>
        <v/>
      </c>
      <c r="V95" s="53">
        <v>0</v>
      </c>
      <c r="W95" s="88" t="str">
        <f t="shared" si="26"/>
        <v/>
      </c>
      <c r="X95" s="105" t="str">
        <f t="shared" si="27"/>
        <v/>
      </c>
      <c r="Y95" s="53">
        <v>0</v>
      </c>
      <c r="Z95" s="56" t="str">
        <f t="shared" si="28"/>
        <v/>
      </c>
      <c r="AA95" s="56" t="str">
        <f t="shared" si="29"/>
        <v/>
      </c>
      <c r="AB95" s="56" t="str">
        <f t="shared" si="30"/>
        <v/>
      </c>
      <c r="AC95" s="56" t="str">
        <f t="shared" si="31"/>
        <v/>
      </c>
      <c r="AD95" s="56" t="str">
        <f t="shared" si="32"/>
        <v/>
      </c>
      <c r="AE95" s="40"/>
      <c r="AF95" s="40"/>
      <c r="AG95" s="40"/>
      <c r="AH95" s="56" t="str">
        <f t="shared" si="33"/>
        <v/>
      </c>
      <c r="AI95" s="54"/>
      <c r="AJ95" s="54"/>
      <c r="AK95" s="54"/>
      <c r="AL95" s="54"/>
      <c r="AM95" s="54"/>
    </row>
    <row r="96" spans="1:39">
      <c r="A96" s="96"/>
      <c r="B96" s="45" t="str" cm="1">
        <f t="array" ref="B96">IF(H96="PROJECT", CHAR(10) &amp; "- " &amp; _xlfn.TEXTJOIN(CHAR(10) &amp; "- ", TRUE, _xlfn._xlws.FILTER($I$9:$I$1000, ($C$9:$C$1000=C96) * ($H$9:$H$1000="Topic"))), "")</f>
        <v/>
      </c>
      <c r="C96" s="45">
        <f t="shared" si="17"/>
        <v>58</v>
      </c>
      <c r="D96" s="57"/>
      <c r="E96" s="58"/>
      <c r="F96" s="54"/>
      <c r="G96" s="52"/>
      <c r="H96" s="52"/>
      <c r="I96" s="61"/>
      <c r="J96" s="62"/>
      <c r="K96" s="103" t="str">
        <f t="shared" si="18"/>
        <v/>
      </c>
      <c r="L96" s="105" t="str">
        <f t="shared" si="19"/>
        <v/>
      </c>
      <c r="M96" s="52">
        <v>0</v>
      </c>
      <c r="N96" s="104" t="str">
        <f t="shared" si="20"/>
        <v/>
      </c>
      <c r="O96" s="105" t="str">
        <f t="shared" si="21"/>
        <v/>
      </c>
      <c r="P96" s="52">
        <v>0</v>
      </c>
      <c r="Q96" s="104" t="str">
        <f t="shared" si="22"/>
        <v/>
      </c>
      <c r="R96" s="105" t="str">
        <f t="shared" si="23"/>
        <v/>
      </c>
      <c r="S96" s="52">
        <v>0</v>
      </c>
      <c r="T96" s="104" t="str">
        <f t="shared" si="24"/>
        <v/>
      </c>
      <c r="U96" s="105" t="str">
        <f t="shared" si="25"/>
        <v/>
      </c>
      <c r="V96" s="52">
        <v>0</v>
      </c>
      <c r="W96" s="88" t="str">
        <f t="shared" si="26"/>
        <v/>
      </c>
      <c r="X96" s="105" t="str">
        <f t="shared" si="27"/>
        <v/>
      </c>
      <c r="Y96" s="52">
        <v>0</v>
      </c>
      <c r="Z96" s="56" t="str">
        <f t="shared" si="28"/>
        <v/>
      </c>
      <c r="AA96" s="56" t="str">
        <f t="shared" si="29"/>
        <v/>
      </c>
      <c r="AB96" s="56" t="str">
        <f t="shared" si="30"/>
        <v/>
      </c>
      <c r="AC96" s="56" t="str">
        <f t="shared" si="31"/>
        <v/>
      </c>
      <c r="AD96" s="56" t="str">
        <f t="shared" si="32"/>
        <v/>
      </c>
      <c r="AE96" s="40"/>
      <c r="AF96" s="40"/>
      <c r="AG96" s="40"/>
      <c r="AH96" s="56" t="str">
        <f t="shared" si="33"/>
        <v/>
      </c>
      <c r="AI96" s="54"/>
      <c r="AJ96" s="54"/>
      <c r="AK96" s="54"/>
      <c r="AL96" s="54"/>
      <c r="AM96" s="54"/>
    </row>
    <row r="97" spans="1:39">
      <c r="A97" s="96"/>
      <c r="B97" s="45" t="str" cm="1">
        <f t="array" ref="B97">IF(H97="PROJECT", CHAR(10) &amp; "- " &amp; _xlfn.TEXTJOIN(CHAR(10) &amp; "- ", TRUE, _xlfn._xlws.FILTER($I$9:$I$1000, ($C$9:$C$1000=C97) * ($H$9:$H$1000="Topic"))), "")</f>
        <v/>
      </c>
      <c r="C97" s="45">
        <f t="shared" si="17"/>
        <v>59</v>
      </c>
      <c r="D97" s="46"/>
      <c r="E97" s="58"/>
      <c r="F97" s="67"/>
      <c r="G97" s="53"/>
      <c r="H97" s="53"/>
      <c r="I97" s="50"/>
      <c r="J97" s="51"/>
      <c r="K97" s="103" t="str">
        <f t="shared" si="18"/>
        <v/>
      </c>
      <c r="L97" s="105" t="str">
        <f t="shared" si="19"/>
        <v/>
      </c>
      <c r="M97" s="53">
        <v>0</v>
      </c>
      <c r="N97" s="104" t="str">
        <f t="shared" si="20"/>
        <v/>
      </c>
      <c r="O97" s="105" t="str">
        <f t="shared" si="21"/>
        <v/>
      </c>
      <c r="P97" s="53">
        <v>0</v>
      </c>
      <c r="Q97" s="104" t="str">
        <f t="shared" si="22"/>
        <v/>
      </c>
      <c r="R97" s="105" t="str">
        <f t="shared" si="23"/>
        <v/>
      </c>
      <c r="S97" s="53">
        <v>0</v>
      </c>
      <c r="T97" s="104" t="str">
        <f t="shared" si="24"/>
        <v/>
      </c>
      <c r="U97" s="105" t="str">
        <f t="shared" si="25"/>
        <v/>
      </c>
      <c r="V97" s="53">
        <v>0</v>
      </c>
      <c r="W97" s="88" t="str">
        <f t="shared" si="26"/>
        <v/>
      </c>
      <c r="X97" s="105" t="str">
        <f t="shared" si="27"/>
        <v/>
      </c>
      <c r="Y97" s="53">
        <v>0</v>
      </c>
      <c r="Z97" s="56" t="str">
        <f t="shared" si="28"/>
        <v/>
      </c>
      <c r="AA97" s="56" t="str">
        <f t="shared" si="29"/>
        <v/>
      </c>
      <c r="AB97" s="56" t="str">
        <f t="shared" si="30"/>
        <v/>
      </c>
      <c r="AC97" s="56" t="str">
        <f t="shared" si="31"/>
        <v/>
      </c>
      <c r="AD97" s="56" t="str">
        <f t="shared" si="32"/>
        <v/>
      </c>
      <c r="AE97" s="40"/>
      <c r="AF97" s="40"/>
      <c r="AG97" s="40"/>
      <c r="AH97" s="56" t="str">
        <f t="shared" si="33"/>
        <v/>
      </c>
      <c r="AI97" s="54"/>
      <c r="AJ97" s="54"/>
      <c r="AK97" s="54"/>
      <c r="AL97" s="54"/>
      <c r="AM97" s="54"/>
    </row>
    <row r="98" spans="1:39">
      <c r="A98" s="96"/>
      <c r="B98" s="45" t="str" cm="1">
        <f t="array" ref="B98">IF(H98="PROJECT", CHAR(10) &amp; "- " &amp; _xlfn.TEXTJOIN(CHAR(10) &amp; "- ", TRUE, _xlfn._xlws.FILTER($I$9:$I$1000, ($C$9:$C$1000=C98) * ($H$9:$H$1000="Topic"))), "")</f>
        <v/>
      </c>
      <c r="C98" s="45">
        <f t="shared" si="17"/>
        <v>60</v>
      </c>
      <c r="D98" s="57"/>
      <c r="E98" s="58"/>
      <c r="F98" s="54"/>
      <c r="G98" s="52"/>
      <c r="H98" s="52"/>
      <c r="I98" s="61"/>
      <c r="J98" s="62"/>
      <c r="K98" s="103" t="str">
        <f t="shared" si="18"/>
        <v/>
      </c>
      <c r="L98" s="105" t="str">
        <f t="shared" si="19"/>
        <v/>
      </c>
      <c r="M98" s="52">
        <v>0</v>
      </c>
      <c r="N98" s="104" t="str">
        <f t="shared" si="20"/>
        <v/>
      </c>
      <c r="O98" s="105" t="str">
        <f t="shared" si="21"/>
        <v/>
      </c>
      <c r="P98" s="52">
        <v>0</v>
      </c>
      <c r="Q98" s="104" t="str">
        <f t="shared" si="22"/>
        <v/>
      </c>
      <c r="R98" s="105" t="str">
        <f t="shared" si="23"/>
        <v/>
      </c>
      <c r="S98" s="52">
        <v>0</v>
      </c>
      <c r="T98" s="104" t="str">
        <f t="shared" si="24"/>
        <v/>
      </c>
      <c r="U98" s="105" t="str">
        <f t="shared" si="25"/>
        <v/>
      </c>
      <c r="V98" s="52">
        <v>0</v>
      </c>
      <c r="W98" s="88" t="str">
        <f t="shared" si="26"/>
        <v/>
      </c>
      <c r="X98" s="105" t="str">
        <f t="shared" si="27"/>
        <v/>
      </c>
      <c r="Y98" s="52">
        <v>0</v>
      </c>
      <c r="Z98" s="56" t="str">
        <f t="shared" si="28"/>
        <v/>
      </c>
      <c r="AA98" s="56" t="str">
        <f t="shared" si="29"/>
        <v/>
      </c>
      <c r="AB98" s="56" t="str">
        <f t="shared" si="30"/>
        <v/>
      </c>
      <c r="AC98" s="56" t="str">
        <f t="shared" si="31"/>
        <v/>
      </c>
      <c r="AD98" s="56" t="str">
        <f t="shared" si="32"/>
        <v/>
      </c>
      <c r="AE98" s="40"/>
      <c r="AF98" s="40"/>
      <c r="AG98" s="40"/>
      <c r="AH98" s="56" t="str">
        <f t="shared" si="33"/>
        <v/>
      </c>
      <c r="AI98" s="54"/>
      <c r="AJ98" s="54"/>
      <c r="AK98" s="54"/>
      <c r="AL98" s="54"/>
      <c r="AM98" s="54"/>
    </row>
    <row r="99" spans="1:39">
      <c r="A99" s="96"/>
      <c r="B99" s="45" t="str" cm="1">
        <f t="array" ref="B99">IF(H99="PROJECT", CHAR(10) &amp; "- " &amp; _xlfn.TEXTJOIN(CHAR(10) &amp; "- ", TRUE, _xlfn._xlws.FILTER($I$9:$I$1000, ($C$9:$C$1000=C99) * ($H$9:$H$1000="Topic"))), "")</f>
        <v/>
      </c>
      <c r="C99" s="45">
        <f t="shared" si="17"/>
        <v>61</v>
      </c>
      <c r="D99" s="46"/>
      <c r="E99" s="58"/>
      <c r="F99" s="67"/>
      <c r="G99" s="53"/>
      <c r="H99" s="53"/>
      <c r="I99" s="50"/>
      <c r="J99" s="51"/>
      <c r="K99" s="103" t="str">
        <f t="shared" si="18"/>
        <v/>
      </c>
      <c r="L99" s="105" t="str">
        <f t="shared" si="19"/>
        <v/>
      </c>
      <c r="M99" s="53">
        <v>0</v>
      </c>
      <c r="N99" s="104" t="str">
        <f t="shared" si="20"/>
        <v/>
      </c>
      <c r="O99" s="105" t="str">
        <f t="shared" si="21"/>
        <v/>
      </c>
      <c r="P99" s="53">
        <v>0</v>
      </c>
      <c r="Q99" s="104" t="str">
        <f t="shared" si="22"/>
        <v/>
      </c>
      <c r="R99" s="105" t="str">
        <f t="shared" si="23"/>
        <v/>
      </c>
      <c r="S99" s="53">
        <v>0</v>
      </c>
      <c r="T99" s="104" t="str">
        <f t="shared" si="24"/>
        <v/>
      </c>
      <c r="U99" s="105" t="str">
        <f t="shared" si="25"/>
        <v/>
      </c>
      <c r="V99" s="53">
        <v>0</v>
      </c>
      <c r="W99" s="88" t="str">
        <f t="shared" si="26"/>
        <v/>
      </c>
      <c r="X99" s="105" t="str">
        <f t="shared" si="27"/>
        <v/>
      </c>
      <c r="Y99" s="53">
        <v>0</v>
      </c>
      <c r="Z99" s="56" t="str">
        <f t="shared" si="28"/>
        <v/>
      </c>
      <c r="AA99" s="56" t="str">
        <f t="shared" si="29"/>
        <v/>
      </c>
      <c r="AB99" s="56" t="str">
        <f t="shared" si="30"/>
        <v/>
      </c>
      <c r="AC99" s="56" t="str">
        <f t="shared" si="31"/>
        <v/>
      </c>
      <c r="AD99" s="56" t="str">
        <f t="shared" si="32"/>
        <v/>
      </c>
      <c r="AE99" s="40"/>
      <c r="AF99" s="40"/>
      <c r="AG99" s="40"/>
      <c r="AH99" s="56" t="str">
        <f t="shared" si="33"/>
        <v/>
      </c>
      <c r="AI99" s="54"/>
      <c r="AJ99" s="54"/>
      <c r="AK99" s="54"/>
      <c r="AL99" s="54"/>
      <c r="AM99" s="54"/>
    </row>
    <row r="100" spans="1:39">
      <c r="A100" s="96"/>
      <c r="B100" s="45" t="str" cm="1">
        <f t="array" ref="B100">IF(H100="PROJECT", CHAR(10) &amp; "- " &amp; _xlfn.TEXTJOIN(CHAR(10) &amp; "- ", TRUE, _xlfn._xlws.FILTER($I$9:$I$1000, ($C$9:$C$1000=C100) * ($H$9:$H$1000="Topic"))), "")</f>
        <v/>
      </c>
      <c r="C100" s="45">
        <f t="shared" si="17"/>
        <v>62</v>
      </c>
      <c r="D100" s="57"/>
      <c r="E100" s="58"/>
      <c r="F100" s="54"/>
      <c r="G100" s="52"/>
      <c r="H100" s="52"/>
      <c r="I100" s="61"/>
      <c r="J100" s="62"/>
      <c r="K100" s="103" t="str">
        <f t="shared" si="18"/>
        <v/>
      </c>
      <c r="L100" s="105" t="str">
        <f t="shared" si="19"/>
        <v/>
      </c>
      <c r="M100" s="52">
        <v>0</v>
      </c>
      <c r="N100" s="104" t="str">
        <f t="shared" si="20"/>
        <v/>
      </c>
      <c r="O100" s="105" t="str">
        <f t="shared" si="21"/>
        <v/>
      </c>
      <c r="P100" s="52">
        <v>0</v>
      </c>
      <c r="Q100" s="104" t="str">
        <f t="shared" si="22"/>
        <v/>
      </c>
      <c r="R100" s="105" t="str">
        <f t="shared" si="23"/>
        <v/>
      </c>
      <c r="S100" s="52">
        <v>0</v>
      </c>
      <c r="T100" s="104" t="str">
        <f t="shared" si="24"/>
        <v/>
      </c>
      <c r="U100" s="105" t="str">
        <f t="shared" si="25"/>
        <v/>
      </c>
      <c r="V100" s="52">
        <v>0</v>
      </c>
      <c r="W100" s="88" t="str">
        <f t="shared" si="26"/>
        <v/>
      </c>
      <c r="X100" s="105" t="str">
        <f t="shared" si="27"/>
        <v/>
      </c>
      <c r="Y100" s="52">
        <v>0</v>
      </c>
      <c r="Z100" s="56" t="str">
        <f t="shared" si="28"/>
        <v/>
      </c>
      <c r="AA100" s="56" t="str">
        <f t="shared" si="29"/>
        <v/>
      </c>
      <c r="AB100" s="56" t="str">
        <f t="shared" si="30"/>
        <v/>
      </c>
      <c r="AC100" s="56" t="str">
        <f t="shared" si="31"/>
        <v/>
      </c>
      <c r="AD100" s="56" t="str">
        <f t="shared" si="32"/>
        <v/>
      </c>
      <c r="AE100" s="40"/>
      <c r="AF100" s="40"/>
      <c r="AG100" s="40"/>
      <c r="AH100" s="56" t="str">
        <f t="shared" si="33"/>
        <v/>
      </c>
      <c r="AI100" s="54"/>
      <c r="AJ100" s="54"/>
      <c r="AK100" s="54"/>
      <c r="AL100" s="54"/>
      <c r="AM100" s="54"/>
    </row>
    <row r="101" spans="1:39">
      <c r="A101" s="96"/>
      <c r="B101" s="45" t="str" cm="1">
        <f t="array" ref="B101">IF(H101="PROJECT", CHAR(10) &amp; "- " &amp; _xlfn.TEXTJOIN(CHAR(10) &amp; "- ", TRUE, _xlfn._xlws.FILTER($I$9:$I$1000, ($C$9:$C$1000=C101) * ($H$9:$H$1000="Topic"))), "")</f>
        <v/>
      </c>
      <c r="C101" s="45">
        <f t="shared" si="17"/>
        <v>63</v>
      </c>
      <c r="D101" s="46"/>
      <c r="E101" s="58"/>
      <c r="F101" s="67"/>
      <c r="G101" s="53"/>
      <c r="H101" s="53"/>
      <c r="I101" s="50"/>
      <c r="J101" s="51"/>
      <c r="K101" s="103" t="str">
        <f t="shared" si="18"/>
        <v/>
      </c>
      <c r="L101" s="105" t="str">
        <f t="shared" si="19"/>
        <v/>
      </c>
      <c r="M101" s="53">
        <v>0</v>
      </c>
      <c r="N101" s="104" t="str">
        <f t="shared" si="20"/>
        <v/>
      </c>
      <c r="O101" s="105" t="str">
        <f t="shared" si="21"/>
        <v/>
      </c>
      <c r="P101" s="53">
        <v>0</v>
      </c>
      <c r="Q101" s="104" t="str">
        <f t="shared" si="22"/>
        <v/>
      </c>
      <c r="R101" s="105" t="str">
        <f t="shared" si="23"/>
        <v/>
      </c>
      <c r="S101" s="53">
        <v>0</v>
      </c>
      <c r="T101" s="104" t="str">
        <f t="shared" si="24"/>
        <v/>
      </c>
      <c r="U101" s="105" t="str">
        <f t="shared" si="25"/>
        <v/>
      </c>
      <c r="V101" s="53">
        <v>0</v>
      </c>
      <c r="W101" s="88" t="str">
        <f t="shared" si="26"/>
        <v/>
      </c>
      <c r="X101" s="105" t="str">
        <f t="shared" si="27"/>
        <v/>
      </c>
      <c r="Y101" s="53">
        <v>0</v>
      </c>
      <c r="Z101" s="56" t="str">
        <f t="shared" si="28"/>
        <v/>
      </c>
      <c r="AA101" s="56" t="str">
        <f t="shared" si="29"/>
        <v/>
      </c>
      <c r="AB101" s="56" t="str">
        <f t="shared" si="30"/>
        <v/>
      </c>
      <c r="AC101" s="56" t="str">
        <f t="shared" si="31"/>
        <v/>
      </c>
      <c r="AD101" s="56" t="str">
        <f t="shared" si="32"/>
        <v/>
      </c>
      <c r="AE101" s="40"/>
      <c r="AF101" s="40"/>
      <c r="AG101" s="40"/>
      <c r="AH101" s="56" t="str">
        <f t="shared" si="33"/>
        <v/>
      </c>
      <c r="AI101" s="54"/>
      <c r="AJ101" s="54"/>
      <c r="AK101" s="54"/>
      <c r="AL101" s="54"/>
      <c r="AM101" s="54"/>
    </row>
    <row r="102" spans="1:39">
      <c r="A102" s="96"/>
      <c r="B102" s="45" t="str" cm="1">
        <f t="array" ref="B102">IF(H102="PROJECT", CHAR(10) &amp; "- " &amp; _xlfn.TEXTJOIN(CHAR(10) &amp; "- ", TRUE, _xlfn._xlws.FILTER($I$9:$I$1000, ($C$9:$C$1000=C102) * ($H$9:$H$1000="Topic"))), "")</f>
        <v/>
      </c>
      <c r="C102" s="45">
        <f t="shared" si="17"/>
        <v>64</v>
      </c>
      <c r="D102" s="57"/>
      <c r="E102" s="58"/>
      <c r="F102" s="54"/>
      <c r="G102" s="52"/>
      <c r="H102" s="52"/>
      <c r="I102" s="61"/>
      <c r="J102" s="62"/>
      <c r="K102" s="103" t="str">
        <f t="shared" si="18"/>
        <v/>
      </c>
      <c r="L102" s="105" t="str">
        <f t="shared" si="19"/>
        <v/>
      </c>
      <c r="M102" s="52">
        <v>0</v>
      </c>
      <c r="N102" s="104" t="str">
        <f t="shared" si="20"/>
        <v/>
      </c>
      <c r="O102" s="105" t="str">
        <f t="shared" si="21"/>
        <v/>
      </c>
      <c r="P102" s="52">
        <v>0</v>
      </c>
      <c r="Q102" s="104" t="str">
        <f t="shared" si="22"/>
        <v/>
      </c>
      <c r="R102" s="105" t="str">
        <f t="shared" si="23"/>
        <v/>
      </c>
      <c r="S102" s="52">
        <v>0</v>
      </c>
      <c r="T102" s="104" t="str">
        <f t="shared" si="24"/>
        <v/>
      </c>
      <c r="U102" s="105" t="str">
        <f t="shared" si="25"/>
        <v/>
      </c>
      <c r="V102" s="52">
        <v>0</v>
      </c>
      <c r="W102" s="88" t="str">
        <f t="shared" si="26"/>
        <v/>
      </c>
      <c r="X102" s="105" t="str">
        <f t="shared" si="27"/>
        <v/>
      </c>
      <c r="Y102" s="52">
        <v>0</v>
      </c>
      <c r="Z102" s="56" t="str">
        <f t="shared" si="28"/>
        <v/>
      </c>
      <c r="AA102" s="56" t="str">
        <f t="shared" si="29"/>
        <v/>
      </c>
      <c r="AB102" s="56" t="str">
        <f t="shared" si="30"/>
        <v/>
      </c>
      <c r="AC102" s="56" t="str">
        <f t="shared" si="31"/>
        <v/>
      </c>
      <c r="AD102" s="56" t="str">
        <f t="shared" si="32"/>
        <v/>
      </c>
      <c r="AE102" s="40"/>
      <c r="AF102" s="40"/>
      <c r="AG102" s="40"/>
      <c r="AH102" s="56" t="str">
        <f t="shared" si="33"/>
        <v/>
      </c>
      <c r="AI102" s="54"/>
      <c r="AJ102" s="54"/>
      <c r="AK102" s="54"/>
      <c r="AL102" s="54"/>
      <c r="AM102" s="54"/>
    </row>
    <row r="103" spans="1:39">
      <c r="A103" s="96"/>
      <c r="B103" s="45" t="str" cm="1">
        <f t="array" ref="B103">IF(H103="PROJECT", CHAR(10) &amp; "- " &amp; _xlfn.TEXTJOIN(CHAR(10) &amp; "- ", TRUE, _xlfn._xlws.FILTER($I$9:$I$1000, ($C$9:$C$1000=C103) * ($H$9:$H$1000="Topic"))), "")</f>
        <v/>
      </c>
      <c r="C103" s="45">
        <f t="shared" si="17"/>
        <v>65</v>
      </c>
      <c r="D103" s="46"/>
      <c r="E103" s="58"/>
      <c r="F103" s="67"/>
      <c r="G103" s="53"/>
      <c r="H103" s="53"/>
      <c r="I103" s="50"/>
      <c r="J103" s="51"/>
      <c r="K103" s="103" t="str">
        <f t="shared" si="18"/>
        <v/>
      </c>
      <c r="L103" s="105" t="str">
        <f t="shared" si="19"/>
        <v/>
      </c>
      <c r="M103" s="53">
        <v>0</v>
      </c>
      <c r="N103" s="104" t="str">
        <f t="shared" si="20"/>
        <v/>
      </c>
      <c r="O103" s="105" t="str">
        <f t="shared" si="21"/>
        <v/>
      </c>
      <c r="P103" s="53">
        <v>0</v>
      </c>
      <c r="Q103" s="104" t="str">
        <f t="shared" si="22"/>
        <v/>
      </c>
      <c r="R103" s="105" t="str">
        <f t="shared" si="23"/>
        <v/>
      </c>
      <c r="S103" s="53">
        <v>0</v>
      </c>
      <c r="T103" s="104" t="str">
        <f t="shared" si="24"/>
        <v/>
      </c>
      <c r="U103" s="105" t="str">
        <f t="shared" si="25"/>
        <v/>
      </c>
      <c r="V103" s="53">
        <v>0</v>
      </c>
      <c r="W103" s="88" t="str">
        <f t="shared" si="26"/>
        <v/>
      </c>
      <c r="X103" s="105" t="str">
        <f t="shared" si="27"/>
        <v/>
      </c>
      <c r="Y103" s="53">
        <v>0</v>
      </c>
      <c r="Z103" s="56" t="str">
        <f t="shared" si="28"/>
        <v/>
      </c>
      <c r="AA103" s="56" t="str">
        <f t="shared" si="29"/>
        <v/>
      </c>
      <c r="AB103" s="56" t="str">
        <f t="shared" si="30"/>
        <v/>
      </c>
      <c r="AC103" s="56" t="str">
        <f t="shared" si="31"/>
        <v/>
      </c>
      <c r="AD103" s="56" t="str">
        <f t="shared" si="32"/>
        <v/>
      </c>
      <c r="AE103" s="40"/>
      <c r="AF103" s="40"/>
      <c r="AG103" s="40"/>
      <c r="AH103" s="56" t="str">
        <f t="shared" si="33"/>
        <v/>
      </c>
      <c r="AI103" s="54"/>
      <c r="AJ103" s="54"/>
      <c r="AK103" s="54"/>
      <c r="AL103" s="54"/>
      <c r="AM103" s="54"/>
    </row>
    <row r="104" spans="1:39">
      <c r="A104" s="96"/>
      <c r="B104" s="45" t="str" cm="1">
        <f t="array" ref="B104">IF(H104="PROJECT", CHAR(10) &amp; "- " &amp; _xlfn.TEXTJOIN(CHAR(10) &amp; "- ", TRUE, _xlfn._xlws.FILTER($I$9:$I$1000, ($C$9:$C$1000=C104) * ($H$9:$H$1000="Topic"))), "")</f>
        <v/>
      </c>
      <c r="C104" s="45">
        <f t="shared" si="17"/>
        <v>66</v>
      </c>
      <c r="D104" s="57"/>
      <c r="E104" s="58"/>
      <c r="F104" s="54"/>
      <c r="G104" s="52"/>
      <c r="H104" s="52"/>
      <c r="I104" s="61"/>
      <c r="J104" s="62"/>
      <c r="K104" s="103" t="str">
        <f t="shared" si="18"/>
        <v/>
      </c>
      <c r="L104" s="105" t="str">
        <f t="shared" si="19"/>
        <v/>
      </c>
      <c r="M104" s="52">
        <v>0</v>
      </c>
      <c r="N104" s="104" t="str">
        <f t="shared" si="20"/>
        <v/>
      </c>
      <c r="O104" s="105" t="str">
        <f t="shared" si="21"/>
        <v/>
      </c>
      <c r="P104" s="52">
        <v>0</v>
      </c>
      <c r="Q104" s="104" t="str">
        <f t="shared" si="22"/>
        <v/>
      </c>
      <c r="R104" s="105" t="str">
        <f t="shared" si="23"/>
        <v/>
      </c>
      <c r="S104" s="52">
        <v>0</v>
      </c>
      <c r="T104" s="104" t="str">
        <f t="shared" si="24"/>
        <v/>
      </c>
      <c r="U104" s="105" t="str">
        <f t="shared" si="25"/>
        <v/>
      </c>
      <c r="V104" s="52">
        <v>0</v>
      </c>
      <c r="W104" s="88" t="str">
        <f t="shared" si="26"/>
        <v/>
      </c>
      <c r="X104" s="105" t="str">
        <f t="shared" si="27"/>
        <v/>
      </c>
      <c r="Y104" s="52">
        <v>0</v>
      </c>
      <c r="Z104" s="56" t="str">
        <f t="shared" si="28"/>
        <v/>
      </c>
      <c r="AA104" s="56" t="str">
        <f t="shared" si="29"/>
        <v/>
      </c>
      <c r="AB104" s="56" t="str">
        <f t="shared" si="30"/>
        <v/>
      </c>
      <c r="AC104" s="56" t="str">
        <f t="shared" si="31"/>
        <v/>
      </c>
      <c r="AD104" s="56" t="str">
        <f t="shared" si="32"/>
        <v/>
      </c>
      <c r="AE104" s="40"/>
      <c r="AF104" s="40"/>
      <c r="AG104" s="40"/>
      <c r="AH104" s="56" t="str">
        <f t="shared" si="33"/>
        <v/>
      </c>
      <c r="AI104" s="54"/>
      <c r="AJ104" s="54"/>
      <c r="AK104" s="54"/>
      <c r="AL104" s="54"/>
      <c r="AM104" s="54"/>
    </row>
    <row r="105" spans="1:39">
      <c r="A105" s="96"/>
      <c r="B105" s="45" t="str" cm="1">
        <f t="array" ref="B105">IF(H105="PROJECT", CHAR(10) &amp; "- " &amp; _xlfn.TEXTJOIN(CHAR(10) &amp; "- ", TRUE, _xlfn._xlws.FILTER($I$9:$I$1000, ($C$9:$C$1000=C105) * ($H$9:$H$1000="Topic"))), "")</f>
        <v/>
      </c>
      <c r="C105" s="45">
        <f t="shared" si="17"/>
        <v>67</v>
      </c>
      <c r="D105" s="46"/>
      <c r="E105" s="58"/>
      <c r="F105" s="67"/>
      <c r="G105" s="53"/>
      <c r="H105" s="53"/>
      <c r="I105" s="50"/>
      <c r="J105" s="51"/>
      <c r="K105" s="103" t="str">
        <f t="shared" si="18"/>
        <v/>
      </c>
      <c r="L105" s="105" t="str">
        <f t="shared" si="19"/>
        <v/>
      </c>
      <c r="M105" s="53">
        <v>0</v>
      </c>
      <c r="N105" s="104" t="str">
        <f t="shared" si="20"/>
        <v/>
      </c>
      <c r="O105" s="105" t="str">
        <f t="shared" si="21"/>
        <v/>
      </c>
      <c r="P105" s="53">
        <v>0</v>
      </c>
      <c r="Q105" s="104" t="str">
        <f t="shared" si="22"/>
        <v/>
      </c>
      <c r="R105" s="105" t="str">
        <f t="shared" si="23"/>
        <v/>
      </c>
      <c r="S105" s="53">
        <v>0</v>
      </c>
      <c r="T105" s="104" t="str">
        <f t="shared" si="24"/>
        <v/>
      </c>
      <c r="U105" s="105" t="str">
        <f t="shared" si="25"/>
        <v/>
      </c>
      <c r="V105" s="53">
        <v>0</v>
      </c>
      <c r="W105" s="88" t="str">
        <f t="shared" si="26"/>
        <v/>
      </c>
      <c r="X105" s="105" t="str">
        <f t="shared" si="27"/>
        <v/>
      </c>
      <c r="Y105" s="53">
        <v>0</v>
      </c>
      <c r="Z105" s="56" t="str">
        <f t="shared" si="28"/>
        <v/>
      </c>
      <c r="AA105" s="56" t="str">
        <f t="shared" si="29"/>
        <v/>
      </c>
      <c r="AB105" s="56" t="str">
        <f t="shared" si="30"/>
        <v/>
      </c>
      <c r="AC105" s="56" t="str">
        <f t="shared" si="31"/>
        <v/>
      </c>
      <c r="AD105" s="56" t="str">
        <f t="shared" si="32"/>
        <v/>
      </c>
      <c r="AE105" s="40"/>
      <c r="AF105" s="40"/>
      <c r="AG105" s="40"/>
      <c r="AH105" s="56" t="str">
        <f t="shared" si="33"/>
        <v/>
      </c>
      <c r="AI105" s="54"/>
      <c r="AJ105" s="54"/>
      <c r="AK105" s="54"/>
      <c r="AL105" s="54"/>
      <c r="AM105" s="54"/>
    </row>
    <row r="106" spans="1:39">
      <c r="A106" s="96"/>
      <c r="B106" s="45" t="str" cm="1">
        <f t="array" ref="B106">IF(H106="PROJECT", CHAR(10) &amp; "- " &amp; _xlfn.TEXTJOIN(CHAR(10) &amp; "- ", TRUE, _xlfn._xlws.FILTER($I$9:$I$1000, ($C$9:$C$1000=C106) * ($H$9:$H$1000="Topic"))), "")</f>
        <v/>
      </c>
      <c r="C106" s="45">
        <f t="shared" si="17"/>
        <v>68</v>
      </c>
      <c r="D106" s="57"/>
      <c r="E106" s="58"/>
      <c r="F106" s="54"/>
      <c r="G106" s="52"/>
      <c r="H106" s="52"/>
      <c r="I106" s="61"/>
      <c r="J106" s="62"/>
      <c r="K106" s="103" t="str">
        <f t="shared" si="18"/>
        <v/>
      </c>
      <c r="L106" s="105" t="str">
        <f t="shared" si="19"/>
        <v/>
      </c>
      <c r="M106" s="52">
        <v>0</v>
      </c>
      <c r="N106" s="104" t="str">
        <f t="shared" si="20"/>
        <v/>
      </c>
      <c r="O106" s="105" t="str">
        <f t="shared" si="21"/>
        <v/>
      </c>
      <c r="P106" s="52">
        <v>0</v>
      </c>
      <c r="Q106" s="104" t="str">
        <f t="shared" si="22"/>
        <v/>
      </c>
      <c r="R106" s="105" t="str">
        <f t="shared" si="23"/>
        <v/>
      </c>
      <c r="S106" s="52">
        <v>0</v>
      </c>
      <c r="T106" s="104" t="str">
        <f t="shared" si="24"/>
        <v/>
      </c>
      <c r="U106" s="105" t="str">
        <f t="shared" si="25"/>
        <v/>
      </c>
      <c r="V106" s="52">
        <v>0</v>
      </c>
      <c r="W106" s="88" t="str">
        <f t="shared" si="26"/>
        <v/>
      </c>
      <c r="X106" s="105" t="str">
        <f t="shared" si="27"/>
        <v/>
      </c>
      <c r="Y106" s="52">
        <v>0</v>
      </c>
      <c r="Z106" s="56" t="str">
        <f t="shared" si="28"/>
        <v/>
      </c>
      <c r="AA106" s="56" t="str">
        <f t="shared" si="29"/>
        <v/>
      </c>
      <c r="AB106" s="56" t="str">
        <f t="shared" si="30"/>
        <v/>
      </c>
      <c r="AC106" s="56" t="str">
        <f t="shared" si="31"/>
        <v/>
      </c>
      <c r="AD106" s="56" t="str">
        <f t="shared" si="32"/>
        <v/>
      </c>
      <c r="AE106" s="40"/>
      <c r="AF106" s="40"/>
      <c r="AG106" s="40"/>
      <c r="AH106" s="56" t="str">
        <f t="shared" si="33"/>
        <v/>
      </c>
      <c r="AI106" s="54"/>
      <c r="AJ106" s="54"/>
      <c r="AK106" s="54"/>
      <c r="AL106" s="54"/>
      <c r="AM106" s="54"/>
    </row>
    <row r="107" spans="1:39">
      <c r="A107" s="96"/>
      <c r="B107" s="45" t="str" cm="1">
        <f t="array" ref="B107">IF(H107="PROJECT", CHAR(10) &amp; "- " &amp; _xlfn.TEXTJOIN(CHAR(10) &amp; "- ", TRUE, _xlfn._xlws.FILTER($I$9:$I$1000, ($C$9:$C$1000=C107) * ($H$9:$H$1000="Topic"))), "")</f>
        <v/>
      </c>
      <c r="C107" s="45">
        <f t="shared" si="17"/>
        <v>69</v>
      </c>
      <c r="D107" s="46"/>
      <c r="E107" s="58"/>
      <c r="F107" s="67"/>
      <c r="G107" s="53"/>
      <c r="H107" s="53"/>
      <c r="I107" s="50"/>
      <c r="J107" s="51"/>
      <c r="K107" s="103" t="str">
        <f t="shared" si="18"/>
        <v/>
      </c>
      <c r="L107" s="105" t="str">
        <f t="shared" si="19"/>
        <v/>
      </c>
      <c r="M107" s="53">
        <v>0</v>
      </c>
      <c r="N107" s="104" t="str">
        <f t="shared" si="20"/>
        <v/>
      </c>
      <c r="O107" s="105" t="str">
        <f t="shared" si="21"/>
        <v/>
      </c>
      <c r="P107" s="53">
        <v>0</v>
      </c>
      <c r="Q107" s="104" t="str">
        <f t="shared" si="22"/>
        <v/>
      </c>
      <c r="R107" s="105" t="str">
        <f t="shared" si="23"/>
        <v/>
      </c>
      <c r="S107" s="53">
        <v>0</v>
      </c>
      <c r="T107" s="104" t="str">
        <f t="shared" si="24"/>
        <v/>
      </c>
      <c r="U107" s="105" t="str">
        <f t="shared" si="25"/>
        <v/>
      </c>
      <c r="V107" s="53">
        <v>0</v>
      </c>
      <c r="W107" s="88" t="str">
        <f t="shared" si="26"/>
        <v/>
      </c>
      <c r="X107" s="105" t="str">
        <f t="shared" si="27"/>
        <v/>
      </c>
      <c r="Y107" s="53">
        <v>0</v>
      </c>
      <c r="Z107" s="56" t="str">
        <f t="shared" si="28"/>
        <v/>
      </c>
      <c r="AA107" s="56" t="str">
        <f t="shared" si="29"/>
        <v/>
      </c>
      <c r="AB107" s="56" t="str">
        <f t="shared" si="30"/>
        <v/>
      </c>
      <c r="AC107" s="56" t="str">
        <f t="shared" si="31"/>
        <v/>
      </c>
      <c r="AD107" s="56" t="str">
        <f t="shared" si="32"/>
        <v/>
      </c>
      <c r="AE107" s="40"/>
      <c r="AF107" s="40"/>
      <c r="AG107" s="40"/>
      <c r="AH107" s="56" t="str">
        <f t="shared" si="33"/>
        <v/>
      </c>
      <c r="AI107" s="54"/>
      <c r="AJ107" s="54"/>
      <c r="AK107" s="54"/>
      <c r="AL107" s="54"/>
      <c r="AM107" s="54"/>
    </row>
    <row r="108" spans="1:39">
      <c r="A108" s="96"/>
      <c r="B108" s="45" t="str" cm="1">
        <f t="array" ref="B108">IF(H108="PROJECT", CHAR(10) &amp; "- " &amp; _xlfn.TEXTJOIN(CHAR(10) &amp; "- ", TRUE, _xlfn._xlws.FILTER($I$9:$I$1000, ($C$9:$C$1000=C108) * ($H$9:$H$1000="Topic"))), "")</f>
        <v/>
      </c>
      <c r="C108" s="45">
        <f t="shared" si="17"/>
        <v>70</v>
      </c>
      <c r="D108" s="57"/>
      <c r="E108" s="58"/>
      <c r="F108" s="54"/>
      <c r="G108" s="52"/>
      <c r="H108" s="52"/>
      <c r="I108" s="61"/>
      <c r="J108" s="62"/>
      <c r="K108" s="103" t="str">
        <f t="shared" si="18"/>
        <v/>
      </c>
      <c r="L108" s="105" t="str">
        <f t="shared" si="19"/>
        <v/>
      </c>
      <c r="M108" s="52">
        <v>0</v>
      </c>
      <c r="N108" s="104" t="str">
        <f t="shared" si="20"/>
        <v/>
      </c>
      <c r="O108" s="105" t="str">
        <f t="shared" si="21"/>
        <v/>
      </c>
      <c r="P108" s="52">
        <v>0</v>
      </c>
      <c r="Q108" s="104" t="str">
        <f t="shared" si="22"/>
        <v/>
      </c>
      <c r="R108" s="105" t="str">
        <f t="shared" si="23"/>
        <v/>
      </c>
      <c r="S108" s="52">
        <v>0</v>
      </c>
      <c r="T108" s="104" t="str">
        <f t="shared" si="24"/>
        <v/>
      </c>
      <c r="U108" s="105" t="str">
        <f t="shared" si="25"/>
        <v/>
      </c>
      <c r="V108" s="52">
        <v>0</v>
      </c>
      <c r="W108" s="88" t="str">
        <f t="shared" si="26"/>
        <v/>
      </c>
      <c r="X108" s="105" t="str">
        <f t="shared" si="27"/>
        <v/>
      </c>
      <c r="Y108" s="52">
        <v>0</v>
      </c>
      <c r="Z108" s="56" t="str">
        <f t="shared" si="28"/>
        <v/>
      </c>
      <c r="AA108" s="56" t="str">
        <f t="shared" si="29"/>
        <v/>
      </c>
      <c r="AB108" s="56" t="str">
        <f t="shared" si="30"/>
        <v/>
      </c>
      <c r="AC108" s="56" t="str">
        <f t="shared" si="31"/>
        <v/>
      </c>
      <c r="AD108" s="56" t="str">
        <f t="shared" si="32"/>
        <v/>
      </c>
      <c r="AE108" s="40"/>
      <c r="AF108" s="40"/>
      <c r="AG108" s="40"/>
      <c r="AH108" s="56" t="str">
        <f t="shared" si="33"/>
        <v/>
      </c>
      <c r="AI108" s="54"/>
      <c r="AJ108" s="54"/>
      <c r="AK108" s="54"/>
      <c r="AL108" s="54"/>
      <c r="AM108" s="54"/>
    </row>
    <row r="109" spans="1:39">
      <c r="A109" s="96"/>
      <c r="B109" s="45" t="str" cm="1">
        <f t="array" ref="B109">IF(H109="PROJECT", CHAR(10) &amp; "- " &amp; _xlfn.TEXTJOIN(CHAR(10) &amp; "- ", TRUE, _xlfn._xlws.FILTER($I$9:$I$1000, ($C$9:$C$1000=C109) * ($H$9:$H$1000="Topic"))), "")</f>
        <v/>
      </c>
      <c r="C109" s="45">
        <f t="shared" si="17"/>
        <v>71</v>
      </c>
      <c r="D109" s="46"/>
      <c r="E109" s="58"/>
      <c r="F109" s="67"/>
      <c r="G109" s="53"/>
      <c r="H109" s="53"/>
      <c r="I109" s="50"/>
      <c r="J109" s="51"/>
      <c r="K109" s="103" t="str">
        <f t="shared" si="18"/>
        <v/>
      </c>
      <c r="L109" s="105" t="str">
        <f t="shared" si="19"/>
        <v/>
      </c>
      <c r="M109" s="53">
        <v>0</v>
      </c>
      <c r="N109" s="104" t="str">
        <f t="shared" si="20"/>
        <v/>
      </c>
      <c r="O109" s="105" t="str">
        <f t="shared" si="21"/>
        <v/>
      </c>
      <c r="P109" s="53">
        <v>0</v>
      </c>
      <c r="Q109" s="104" t="str">
        <f t="shared" si="22"/>
        <v/>
      </c>
      <c r="R109" s="105" t="str">
        <f t="shared" si="23"/>
        <v/>
      </c>
      <c r="S109" s="53">
        <v>0</v>
      </c>
      <c r="T109" s="104" t="str">
        <f t="shared" si="24"/>
        <v/>
      </c>
      <c r="U109" s="105" t="str">
        <f t="shared" si="25"/>
        <v/>
      </c>
      <c r="V109" s="53">
        <v>0</v>
      </c>
      <c r="W109" s="88" t="str">
        <f t="shared" si="26"/>
        <v/>
      </c>
      <c r="X109" s="105" t="str">
        <f t="shared" si="27"/>
        <v/>
      </c>
      <c r="Y109" s="53">
        <v>0</v>
      </c>
      <c r="Z109" s="56" t="str">
        <f t="shared" si="28"/>
        <v/>
      </c>
      <c r="AA109" s="56" t="str">
        <f t="shared" si="29"/>
        <v/>
      </c>
      <c r="AB109" s="56" t="str">
        <f t="shared" si="30"/>
        <v/>
      </c>
      <c r="AC109" s="56" t="str">
        <f t="shared" si="31"/>
        <v/>
      </c>
      <c r="AD109" s="56" t="str">
        <f t="shared" si="32"/>
        <v/>
      </c>
      <c r="AE109" s="40"/>
      <c r="AF109" s="40"/>
      <c r="AG109" s="40"/>
      <c r="AH109" s="56" t="str">
        <f t="shared" si="33"/>
        <v/>
      </c>
      <c r="AI109" s="54"/>
      <c r="AJ109" s="54"/>
      <c r="AK109" s="54"/>
      <c r="AL109" s="54"/>
      <c r="AM109" s="54"/>
    </row>
    <row r="110" spans="1:39">
      <c r="A110" s="96"/>
      <c r="B110" s="45" t="str" cm="1">
        <f t="array" ref="B110">IF(H110="PROJECT", CHAR(10) &amp; "- " &amp; _xlfn.TEXTJOIN(CHAR(10) &amp; "- ", TRUE, _xlfn._xlws.FILTER($I$9:$I$1000, ($C$9:$C$1000=C110) * ($H$9:$H$1000="Topic"))), "")</f>
        <v/>
      </c>
      <c r="C110" s="45">
        <f t="shared" si="17"/>
        <v>72</v>
      </c>
      <c r="D110" s="57"/>
      <c r="E110" s="58"/>
      <c r="F110" s="54"/>
      <c r="G110" s="52"/>
      <c r="H110" s="52"/>
      <c r="I110" s="61"/>
      <c r="J110" s="62"/>
      <c r="K110" s="103" t="str">
        <f t="shared" si="18"/>
        <v/>
      </c>
      <c r="L110" s="105" t="str">
        <f t="shared" si="19"/>
        <v/>
      </c>
      <c r="M110" s="52">
        <v>0</v>
      </c>
      <c r="N110" s="104" t="str">
        <f t="shared" si="20"/>
        <v/>
      </c>
      <c r="O110" s="105" t="str">
        <f t="shared" si="21"/>
        <v/>
      </c>
      <c r="P110" s="52">
        <v>0</v>
      </c>
      <c r="Q110" s="104" t="str">
        <f t="shared" si="22"/>
        <v/>
      </c>
      <c r="R110" s="105" t="str">
        <f t="shared" si="23"/>
        <v/>
      </c>
      <c r="S110" s="52">
        <v>0</v>
      </c>
      <c r="T110" s="104" t="str">
        <f t="shared" si="24"/>
        <v/>
      </c>
      <c r="U110" s="105" t="str">
        <f t="shared" si="25"/>
        <v/>
      </c>
      <c r="V110" s="52">
        <v>0</v>
      </c>
      <c r="W110" s="88" t="str">
        <f t="shared" si="26"/>
        <v/>
      </c>
      <c r="X110" s="105" t="str">
        <f t="shared" si="27"/>
        <v/>
      </c>
      <c r="Y110" s="52">
        <v>0</v>
      </c>
      <c r="Z110" s="56" t="str">
        <f t="shared" si="28"/>
        <v/>
      </c>
      <c r="AA110" s="56" t="str">
        <f t="shared" si="29"/>
        <v/>
      </c>
      <c r="AB110" s="56" t="str">
        <f t="shared" si="30"/>
        <v/>
      </c>
      <c r="AC110" s="56" t="str">
        <f t="shared" si="31"/>
        <v/>
      </c>
      <c r="AD110" s="56" t="str">
        <f t="shared" si="32"/>
        <v/>
      </c>
      <c r="AE110" s="40"/>
      <c r="AF110" s="40"/>
      <c r="AG110" s="40"/>
      <c r="AH110" s="56" t="str">
        <f t="shared" si="33"/>
        <v/>
      </c>
      <c r="AI110" s="54"/>
      <c r="AJ110" s="54"/>
      <c r="AK110" s="54"/>
      <c r="AL110" s="54"/>
      <c r="AM110" s="54"/>
    </row>
    <row r="111" spans="1:39">
      <c r="A111" s="96"/>
      <c r="B111" s="45" t="str" cm="1">
        <f t="array" ref="B111">IF(H111="PROJECT", CHAR(10) &amp; "- " &amp; _xlfn.TEXTJOIN(CHAR(10) &amp; "- ", TRUE, _xlfn._xlws.FILTER($I$9:$I$1000, ($C$9:$C$1000=C111) * ($H$9:$H$1000="Topic"))), "")</f>
        <v/>
      </c>
      <c r="C111" s="45">
        <f t="shared" si="17"/>
        <v>73</v>
      </c>
      <c r="D111" s="46"/>
      <c r="E111" s="58"/>
      <c r="F111" s="67"/>
      <c r="G111" s="53"/>
      <c r="H111" s="53"/>
      <c r="I111" s="50"/>
      <c r="J111" s="51"/>
      <c r="K111" s="103" t="str">
        <f t="shared" si="18"/>
        <v/>
      </c>
      <c r="L111" s="105" t="str">
        <f t="shared" si="19"/>
        <v/>
      </c>
      <c r="M111" s="53">
        <v>0</v>
      </c>
      <c r="N111" s="104" t="str">
        <f t="shared" si="20"/>
        <v/>
      </c>
      <c r="O111" s="105" t="str">
        <f t="shared" si="21"/>
        <v/>
      </c>
      <c r="P111" s="53">
        <v>0</v>
      </c>
      <c r="Q111" s="104" t="str">
        <f t="shared" si="22"/>
        <v/>
      </c>
      <c r="R111" s="105" t="str">
        <f t="shared" si="23"/>
        <v/>
      </c>
      <c r="S111" s="53">
        <v>0</v>
      </c>
      <c r="T111" s="104" t="str">
        <f t="shared" si="24"/>
        <v/>
      </c>
      <c r="U111" s="105" t="str">
        <f t="shared" si="25"/>
        <v/>
      </c>
      <c r="V111" s="53">
        <v>0</v>
      </c>
      <c r="W111" s="88" t="str">
        <f t="shared" si="26"/>
        <v/>
      </c>
      <c r="X111" s="105" t="str">
        <f t="shared" si="27"/>
        <v/>
      </c>
      <c r="Y111" s="53">
        <v>0</v>
      </c>
      <c r="Z111" s="56" t="str">
        <f t="shared" si="28"/>
        <v/>
      </c>
      <c r="AA111" s="56" t="str">
        <f t="shared" si="29"/>
        <v/>
      </c>
      <c r="AB111" s="56" t="str">
        <f t="shared" si="30"/>
        <v/>
      </c>
      <c r="AC111" s="56" t="str">
        <f t="shared" si="31"/>
        <v/>
      </c>
      <c r="AD111" s="56" t="str">
        <f t="shared" si="32"/>
        <v/>
      </c>
      <c r="AE111" s="40"/>
      <c r="AF111" s="40"/>
      <c r="AG111" s="40"/>
      <c r="AH111" s="56" t="str">
        <f t="shared" si="33"/>
        <v/>
      </c>
      <c r="AI111" s="54"/>
      <c r="AJ111" s="54"/>
      <c r="AK111" s="54"/>
      <c r="AL111" s="54"/>
      <c r="AM111" s="54"/>
    </row>
    <row r="112" spans="1:39">
      <c r="A112" s="96"/>
      <c r="B112" s="45" t="str" cm="1">
        <f t="array" ref="B112">IF(H112="PROJECT", CHAR(10) &amp; "- " &amp; _xlfn.TEXTJOIN(CHAR(10) &amp; "- ", TRUE, _xlfn._xlws.FILTER($I$9:$I$1000, ($C$9:$C$1000=C112) * ($H$9:$H$1000="Topic"))), "")</f>
        <v/>
      </c>
      <c r="C112" s="45">
        <f t="shared" si="17"/>
        <v>74</v>
      </c>
      <c r="D112" s="57"/>
      <c r="E112" s="58"/>
      <c r="F112" s="54"/>
      <c r="G112" s="52"/>
      <c r="H112" s="52"/>
      <c r="I112" s="61"/>
      <c r="J112" s="62"/>
      <c r="K112" s="103" t="str">
        <f t="shared" si="18"/>
        <v/>
      </c>
      <c r="L112" s="105" t="str">
        <f t="shared" si="19"/>
        <v/>
      </c>
      <c r="M112" s="52">
        <v>0</v>
      </c>
      <c r="N112" s="104" t="str">
        <f t="shared" si="20"/>
        <v/>
      </c>
      <c r="O112" s="105" t="str">
        <f t="shared" si="21"/>
        <v/>
      </c>
      <c r="P112" s="52">
        <v>0</v>
      </c>
      <c r="Q112" s="104" t="str">
        <f t="shared" si="22"/>
        <v/>
      </c>
      <c r="R112" s="105" t="str">
        <f t="shared" si="23"/>
        <v/>
      </c>
      <c r="S112" s="52">
        <v>0</v>
      </c>
      <c r="T112" s="104" t="str">
        <f t="shared" si="24"/>
        <v/>
      </c>
      <c r="U112" s="105" t="str">
        <f t="shared" si="25"/>
        <v/>
      </c>
      <c r="V112" s="52">
        <v>0</v>
      </c>
      <c r="W112" s="88" t="str">
        <f t="shared" si="26"/>
        <v/>
      </c>
      <c r="X112" s="105" t="str">
        <f t="shared" si="27"/>
        <v/>
      </c>
      <c r="Y112" s="52">
        <v>0</v>
      </c>
      <c r="Z112" s="56" t="str">
        <f t="shared" si="28"/>
        <v/>
      </c>
      <c r="AA112" s="56" t="str">
        <f t="shared" si="29"/>
        <v/>
      </c>
      <c r="AB112" s="56" t="str">
        <f t="shared" si="30"/>
        <v/>
      </c>
      <c r="AC112" s="56" t="str">
        <f t="shared" si="31"/>
        <v/>
      </c>
      <c r="AD112" s="56" t="str">
        <f t="shared" si="32"/>
        <v/>
      </c>
      <c r="AE112" s="40"/>
      <c r="AF112" s="40"/>
      <c r="AG112" s="40"/>
      <c r="AH112" s="56" t="str">
        <f t="shared" si="33"/>
        <v/>
      </c>
      <c r="AI112" s="54"/>
      <c r="AJ112" s="54"/>
      <c r="AK112" s="54"/>
      <c r="AL112" s="54"/>
      <c r="AM112" s="54"/>
    </row>
    <row r="113" spans="1:39">
      <c r="A113" s="96"/>
      <c r="B113" s="45" t="str" cm="1">
        <f t="array" ref="B113">IF(H113="PROJECT", CHAR(10) &amp; "- " &amp; _xlfn.TEXTJOIN(CHAR(10) &amp; "- ", TRUE, _xlfn._xlws.FILTER($I$9:$I$1000, ($C$9:$C$1000=C113) * ($H$9:$H$1000="Topic"))), "")</f>
        <v/>
      </c>
      <c r="C113" s="45">
        <f t="shared" si="17"/>
        <v>75</v>
      </c>
      <c r="D113" s="46"/>
      <c r="E113" s="58"/>
      <c r="F113" s="67"/>
      <c r="G113" s="53"/>
      <c r="H113" s="53"/>
      <c r="I113" s="50"/>
      <c r="J113" s="51"/>
      <c r="K113" s="103" t="str">
        <f t="shared" si="18"/>
        <v/>
      </c>
      <c r="L113" s="105" t="str">
        <f t="shared" si="19"/>
        <v/>
      </c>
      <c r="M113" s="53">
        <v>0</v>
      </c>
      <c r="N113" s="104" t="str">
        <f t="shared" si="20"/>
        <v/>
      </c>
      <c r="O113" s="105" t="str">
        <f t="shared" si="21"/>
        <v/>
      </c>
      <c r="P113" s="53">
        <v>0</v>
      </c>
      <c r="Q113" s="104" t="str">
        <f t="shared" si="22"/>
        <v/>
      </c>
      <c r="R113" s="105" t="str">
        <f t="shared" si="23"/>
        <v/>
      </c>
      <c r="S113" s="53">
        <v>0</v>
      </c>
      <c r="T113" s="104" t="str">
        <f t="shared" si="24"/>
        <v/>
      </c>
      <c r="U113" s="105" t="str">
        <f t="shared" si="25"/>
        <v/>
      </c>
      <c r="V113" s="53">
        <v>0</v>
      </c>
      <c r="W113" s="88" t="str">
        <f t="shared" si="26"/>
        <v/>
      </c>
      <c r="X113" s="105" t="str">
        <f t="shared" si="27"/>
        <v/>
      </c>
      <c r="Y113" s="53">
        <v>0</v>
      </c>
      <c r="Z113" s="56" t="str">
        <f t="shared" si="28"/>
        <v/>
      </c>
      <c r="AA113" s="56" t="str">
        <f t="shared" si="29"/>
        <v/>
      </c>
      <c r="AB113" s="56" t="str">
        <f t="shared" si="30"/>
        <v/>
      </c>
      <c r="AC113" s="56" t="str">
        <f t="shared" si="31"/>
        <v/>
      </c>
      <c r="AD113" s="56" t="str">
        <f t="shared" si="32"/>
        <v/>
      </c>
      <c r="AE113" s="40"/>
      <c r="AF113" s="40"/>
      <c r="AG113" s="40"/>
      <c r="AH113" s="56" t="str">
        <f t="shared" si="33"/>
        <v/>
      </c>
      <c r="AI113" s="54"/>
      <c r="AJ113" s="54"/>
      <c r="AK113" s="54"/>
      <c r="AL113" s="54"/>
      <c r="AM113" s="54"/>
    </row>
    <row r="114" spans="1:39">
      <c r="A114" s="96"/>
      <c r="B114" s="45" t="str" cm="1">
        <f t="array" ref="B114">IF(H114="PROJECT", CHAR(10) &amp; "- " &amp; _xlfn.TEXTJOIN(CHAR(10) &amp; "- ", TRUE, _xlfn._xlws.FILTER($I$9:$I$1000, ($C$9:$C$1000=C114) * ($H$9:$H$1000="Topic"))), "")</f>
        <v/>
      </c>
      <c r="C114" s="45">
        <f t="shared" si="17"/>
        <v>76</v>
      </c>
      <c r="D114" s="57"/>
      <c r="E114" s="58"/>
      <c r="F114" s="54"/>
      <c r="G114" s="52"/>
      <c r="H114" s="52"/>
      <c r="I114" s="61"/>
      <c r="J114" s="62"/>
      <c r="K114" s="103" t="str">
        <f t="shared" si="18"/>
        <v/>
      </c>
      <c r="L114" s="105" t="str">
        <f t="shared" si="19"/>
        <v/>
      </c>
      <c r="M114" s="52">
        <v>0</v>
      </c>
      <c r="N114" s="104" t="str">
        <f t="shared" si="20"/>
        <v/>
      </c>
      <c r="O114" s="105" t="str">
        <f t="shared" si="21"/>
        <v/>
      </c>
      <c r="P114" s="52">
        <v>0</v>
      </c>
      <c r="Q114" s="104" t="str">
        <f t="shared" si="22"/>
        <v/>
      </c>
      <c r="R114" s="105" t="str">
        <f t="shared" si="23"/>
        <v/>
      </c>
      <c r="S114" s="52">
        <v>0</v>
      </c>
      <c r="T114" s="104" t="str">
        <f t="shared" si="24"/>
        <v/>
      </c>
      <c r="U114" s="105" t="str">
        <f t="shared" si="25"/>
        <v/>
      </c>
      <c r="V114" s="52">
        <v>0</v>
      </c>
      <c r="W114" s="88" t="str">
        <f t="shared" si="26"/>
        <v/>
      </c>
      <c r="X114" s="105" t="str">
        <f t="shared" si="27"/>
        <v/>
      </c>
      <c r="Y114" s="52">
        <v>0</v>
      </c>
      <c r="Z114" s="56" t="str">
        <f t="shared" si="28"/>
        <v/>
      </c>
      <c r="AA114" s="56" t="str">
        <f t="shared" si="29"/>
        <v/>
      </c>
      <c r="AB114" s="56" t="str">
        <f t="shared" si="30"/>
        <v/>
      </c>
      <c r="AC114" s="56" t="str">
        <f t="shared" si="31"/>
        <v/>
      </c>
      <c r="AD114" s="56" t="str">
        <f t="shared" si="32"/>
        <v/>
      </c>
      <c r="AE114" s="40"/>
      <c r="AF114" s="40"/>
      <c r="AG114" s="40"/>
      <c r="AH114" s="56" t="str">
        <f t="shared" si="33"/>
        <v/>
      </c>
      <c r="AI114" s="54"/>
      <c r="AJ114" s="54"/>
      <c r="AK114" s="54"/>
      <c r="AL114" s="54"/>
      <c r="AM114" s="54"/>
    </row>
    <row r="115" spans="1:39">
      <c r="A115" s="96"/>
      <c r="B115" s="45" t="str" cm="1">
        <f t="array" ref="B115">IF(H115="PROJECT", CHAR(10) &amp; "- " &amp; _xlfn.TEXTJOIN(CHAR(10) &amp; "- ", TRUE, _xlfn._xlws.FILTER($I$9:$I$1000, ($C$9:$C$1000=C115) * ($H$9:$H$1000="Topic"))), "")</f>
        <v/>
      </c>
      <c r="C115" s="45">
        <f t="shared" si="17"/>
        <v>77</v>
      </c>
      <c r="D115" s="46"/>
      <c r="E115" s="58"/>
      <c r="F115" s="67"/>
      <c r="G115" s="53"/>
      <c r="H115" s="53"/>
      <c r="I115" s="50"/>
      <c r="J115" s="51"/>
      <c r="K115" s="103" t="str">
        <f t="shared" si="18"/>
        <v/>
      </c>
      <c r="L115" s="105" t="str">
        <f t="shared" si="19"/>
        <v/>
      </c>
      <c r="M115" s="53">
        <v>0</v>
      </c>
      <c r="N115" s="104" t="str">
        <f t="shared" si="20"/>
        <v/>
      </c>
      <c r="O115" s="105" t="str">
        <f t="shared" si="21"/>
        <v/>
      </c>
      <c r="P115" s="53">
        <v>0</v>
      </c>
      <c r="Q115" s="104" t="str">
        <f t="shared" si="22"/>
        <v/>
      </c>
      <c r="R115" s="105" t="str">
        <f t="shared" si="23"/>
        <v/>
      </c>
      <c r="S115" s="53">
        <v>0</v>
      </c>
      <c r="T115" s="104" t="str">
        <f t="shared" si="24"/>
        <v/>
      </c>
      <c r="U115" s="105" t="str">
        <f t="shared" si="25"/>
        <v/>
      </c>
      <c r="V115" s="53">
        <v>0</v>
      </c>
      <c r="W115" s="88" t="str">
        <f t="shared" si="26"/>
        <v/>
      </c>
      <c r="X115" s="105" t="str">
        <f t="shared" si="27"/>
        <v/>
      </c>
      <c r="Y115" s="53">
        <v>0</v>
      </c>
      <c r="Z115" s="56" t="str">
        <f t="shared" si="28"/>
        <v/>
      </c>
      <c r="AA115" s="56" t="str">
        <f t="shared" si="29"/>
        <v/>
      </c>
      <c r="AB115" s="56" t="str">
        <f t="shared" si="30"/>
        <v/>
      </c>
      <c r="AC115" s="56" t="str">
        <f t="shared" si="31"/>
        <v/>
      </c>
      <c r="AD115" s="56" t="str">
        <f t="shared" si="32"/>
        <v/>
      </c>
      <c r="AE115" s="40"/>
      <c r="AF115" s="40"/>
      <c r="AG115" s="40"/>
      <c r="AH115" s="56" t="str">
        <f t="shared" si="33"/>
        <v/>
      </c>
      <c r="AI115" s="54"/>
      <c r="AJ115" s="54"/>
      <c r="AK115" s="54"/>
      <c r="AL115" s="54"/>
      <c r="AM115" s="54"/>
    </row>
    <row r="116" spans="1:39">
      <c r="A116" s="96"/>
      <c r="B116" s="45" t="str" cm="1">
        <f t="array" ref="B116">IF(H116="PROJECT", CHAR(10) &amp; "- " &amp; _xlfn.TEXTJOIN(CHAR(10) &amp; "- ", TRUE, _xlfn._xlws.FILTER($I$9:$I$1000, ($C$9:$C$1000=C116) * ($H$9:$H$1000="Topic"))), "")</f>
        <v/>
      </c>
      <c r="C116" s="45">
        <f t="shared" si="17"/>
        <v>78</v>
      </c>
      <c r="D116" s="57"/>
      <c r="E116" s="58"/>
      <c r="F116" s="54"/>
      <c r="G116" s="52"/>
      <c r="H116" s="52"/>
      <c r="I116" s="61"/>
      <c r="J116" s="62"/>
      <c r="K116" s="103" t="str">
        <f t="shared" si="18"/>
        <v/>
      </c>
      <c r="L116" s="105" t="str">
        <f t="shared" si="19"/>
        <v/>
      </c>
      <c r="M116" s="52">
        <v>0</v>
      </c>
      <c r="N116" s="104" t="str">
        <f t="shared" si="20"/>
        <v/>
      </c>
      <c r="O116" s="105" t="str">
        <f t="shared" si="21"/>
        <v/>
      </c>
      <c r="P116" s="52">
        <v>0</v>
      </c>
      <c r="Q116" s="104" t="str">
        <f t="shared" si="22"/>
        <v/>
      </c>
      <c r="R116" s="105" t="str">
        <f t="shared" si="23"/>
        <v/>
      </c>
      <c r="S116" s="52">
        <v>0</v>
      </c>
      <c r="T116" s="104" t="str">
        <f t="shared" si="24"/>
        <v/>
      </c>
      <c r="U116" s="105" t="str">
        <f t="shared" si="25"/>
        <v/>
      </c>
      <c r="V116" s="52">
        <v>0</v>
      </c>
      <c r="W116" s="88" t="str">
        <f t="shared" si="26"/>
        <v/>
      </c>
      <c r="X116" s="105" t="str">
        <f t="shared" si="27"/>
        <v/>
      </c>
      <c r="Y116" s="52">
        <v>0</v>
      </c>
      <c r="Z116" s="56" t="str">
        <f t="shared" si="28"/>
        <v/>
      </c>
      <c r="AA116" s="56" t="str">
        <f t="shared" si="29"/>
        <v/>
      </c>
      <c r="AB116" s="56" t="str">
        <f t="shared" si="30"/>
        <v/>
      </c>
      <c r="AC116" s="56" t="str">
        <f t="shared" si="31"/>
        <v/>
      </c>
      <c r="AD116" s="56" t="str">
        <f t="shared" si="32"/>
        <v/>
      </c>
      <c r="AE116" s="40"/>
      <c r="AF116" s="40"/>
      <c r="AG116" s="40"/>
      <c r="AH116" s="56" t="str">
        <f t="shared" si="33"/>
        <v/>
      </c>
      <c r="AI116" s="54"/>
      <c r="AJ116" s="54"/>
      <c r="AK116" s="54"/>
      <c r="AL116" s="54"/>
      <c r="AM116" s="54"/>
    </row>
    <row r="117" spans="1:39">
      <c r="A117" s="96"/>
      <c r="B117" s="45" t="str" cm="1">
        <f t="array" ref="B117">IF(H117="PROJECT", CHAR(10) &amp; "- " &amp; _xlfn.TEXTJOIN(CHAR(10) &amp; "- ", TRUE, _xlfn._xlws.FILTER($I$9:$I$1000, ($C$9:$C$1000=C117) * ($H$9:$H$1000="Topic"))), "")</f>
        <v/>
      </c>
      <c r="C117" s="45">
        <f t="shared" si="17"/>
        <v>79</v>
      </c>
      <c r="D117" s="46"/>
      <c r="E117" s="58"/>
      <c r="F117" s="67"/>
      <c r="G117" s="53"/>
      <c r="H117" s="53"/>
      <c r="I117" s="50"/>
      <c r="J117" s="51"/>
      <c r="K117" s="103" t="str">
        <f t="shared" si="18"/>
        <v/>
      </c>
      <c r="L117" s="105" t="str">
        <f t="shared" si="19"/>
        <v/>
      </c>
      <c r="M117" s="53">
        <v>0</v>
      </c>
      <c r="N117" s="104" t="str">
        <f t="shared" si="20"/>
        <v/>
      </c>
      <c r="O117" s="105" t="str">
        <f t="shared" si="21"/>
        <v/>
      </c>
      <c r="P117" s="53">
        <v>0</v>
      </c>
      <c r="Q117" s="104" t="str">
        <f t="shared" si="22"/>
        <v/>
      </c>
      <c r="R117" s="105" t="str">
        <f t="shared" si="23"/>
        <v/>
      </c>
      <c r="S117" s="53">
        <v>0</v>
      </c>
      <c r="T117" s="104" t="str">
        <f t="shared" si="24"/>
        <v/>
      </c>
      <c r="U117" s="105" t="str">
        <f t="shared" si="25"/>
        <v/>
      </c>
      <c r="V117" s="53">
        <v>0</v>
      </c>
      <c r="W117" s="88" t="str">
        <f t="shared" si="26"/>
        <v/>
      </c>
      <c r="X117" s="105" t="str">
        <f t="shared" si="27"/>
        <v/>
      </c>
      <c r="Y117" s="53">
        <v>0</v>
      </c>
      <c r="Z117" s="56" t="str">
        <f t="shared" si="28"/>
        <v/>
      </c>
      <c r="AA117" s="56" t="str">
        <f t="shared" si="29"/>
        <v/>
      </c>
      <c r="AB117" s="56" t="str">
        <f t="shared" si="30"/>
        <v/>
      </c>
      <c r="AC117" s="56" t="str">
        <f t="shared" si="31"/>
        <v/>
      </c>
      <c r="AD117" s="56" t="str">
        <f t="shared" si="32"/>
        <v/>
      </c>
      <c r="AE117" s="40"/>
      <c r="AF117" s="40"/>
      <c r="AG117" s="40"/>
      <c r="AH117" s="56" t="str">
        <f t="shared" si="33"/>
        <v/>
      </c>
      <c r="AI117" s="54"/>
      <c r="AJ117" s="54"/>
      <c r="AK117" s="54"/>
      <c r="AL117" s="54"/>
      <c r="AM117" s="54"/>
    </row>
    <row r="118" spans="1:39">
      <c r="A118" s="96"/>
      <c r="B118" s="45" t="str" cm="1">
        <f t="array" ref="B118">IF(H118="PROJECT", CHAR(10) &amp; "- " &amp; _xlfn.TEXTJOIN(CHAR(10) &amp; "- ", TRUE, _xlfn._xlws.FILTER($I$9:$I$1000, ($C$9:$C$1000=C118) * ($H$9:$H$1000="Topic"))), "")</f>
        <v/>
      </c>
      <c r="C118" s="45">
        <f t="shared" si="17"/>
        <v>80</v>
      </c>
      <c r="D118" s="57"/>
      <c r="E118" s="58"/>
      <c r="F118" s="54"/>
      <c r="G118" s="52"/>
      <c r="H118" s="52"/>
      <c r="I118" s="61"/>
      <c r="J118" s="62"/>
      <c r="K118" s="103" t="str">
        <f t="shared" si="18"/>
        <v/>
      </c>
      <c r="L118" s="105" t="str">
        <f t="shared" si="19"/>
        <v/>
      </c>
      <c r="M118" s="52">
        <v>0</v>
      </c>
      <c r="N118" s="104" t="str">
        <f t="shared" si="20"/>
        <v/>
      </c>
      <c r="O118" s="105" t="str">
        <f t="shared" si="21"/>
        <v/>
      </c>
      <c r="P118" s="52">
        <v>0</v>
      </c>
      <c r="Q118" s="104" t="str">
        <f t="shared" si="22"/>
        <v/>
      </c>
      <c r="R118" s="105" t="str">
        <f t="shared" si="23"/>
        <v/>
      </c>
      <c r="S118" s="52">
        <v>0</v>
      </c>
      <c r="T118" s="104" t="str">
        <f t="shared" si="24"/>
        <v/>
      </c>
      <c r="U118" s="105" t="str">
        <f t="shared" si="25"/>
        <v/>
      </c>
      <c r="V118" s="52">
        <v>0</v>
      </c>
      <c r="W118" s="88" t="str">
        <f t="shared" si="26"/>
        <v/>
      </c>
      <c r="X118" s="105" t="str">
        <f t="shared" si="27"/>
        <v/>
      </c>
      <c r="Y118" s="52">
        <v>0</v>
      </c>
      <c r="Z118" s="56" t="str">
        <f t="shared" si="28"/>
        <v/>
      </c>
      <c r="AA118" s="56" t="str">
        <f t="shared" si="29"/>
        <v/>
      </c>
      <c r="AB118" s="56" t="str">
        <f t="shared" si="30"/>
        <v/>
      </c>
      <c r="AC118" s="56" t="str">
        <f t="shared" si="31"/>
        <v/>
      </c>
      <c r="AD118" s="56" t="str">
        <f t="shared" si="32"/>
        <v/>
      </c>
      <c r="AE118" s="40"/>
      <c r="AF118" s="40"/>
      <c r="AG118" s="40"/>
      <c r="AH118" s="56" t="str">
        <f t="shared" si="33"/>
        <v/>
      </c>
      <c r="AI118" s="54"/>
      <c r="AJ118" s="54"/>
      <c r="AK118" s="54"/>
      <c r="AL118" s="54"/>
      <c r="AM118" s="54"/>
    </row>
    <row r="119" spans="1:39">
      <c r="A119" s="96"/>
      <c r="B119" s="45" t="str" cm="1">
        <f t="array" ref="B119">IF(H119="PROJECT", CHAR(10) &amp; "- " &amp; _xlfn.TEXTJOIN(CHAR(10) &amp; "- ", TRUE, _xlfn._xlws.FILTER($I$9:$I$1000, ($C$9:$C$1000=C119) * ($H$9:$H$1000="Topic"))), "")</f>
        <v/>
      </c>
      <c r="C119" s="45">
        <f t="shared" si="17"/>
        <v>81</v>
      </c>
      <c r="D119" s="46"/>
      <c r="E119" s="58"/>
      <c r="F119" s="67"/>
      <c r="G119" s="53"/>
      <c r="H119" s="53"/>
      <c r="I119" s="50"/>
      <c r="J119" s="51"/>
      <c r="K119" s="103" t="str">
        <f t="shared" si="18"/>
        <v/>
      </c>
      <c r="L119" s="105" t="str">
        <f t="shared" si="19"/>
        <v/>
      </c>
      <c r="M119" s="53">
        <v>0</v>
      </c>
      <c r="N119" s="104" t="str">
        <f t="shared" si="20"/>
        <v/>
      </c>
      <c r="O119" s="105" t="str">
        <f t="shared" si="21"/>
        <v/>
      </c>
      <c r="P119" s="53">
        <v>0</v>
      </c>
      <c r="Q119" s="104" t="str">
        <f t="shared" si="22"/>
        <v/>
      </c>
      <c r="R119" s="105" t="str">
        <f t="shared" si="23"/>
        <v/>
      </c>
      <c r="S119" s="53">
        <v>0</v>
      </c>
      <c r="T119" s="104" t="str">
        <f t="shared" si="24"/>
        <v/>
      </c>
      <c r="U119" s="105" t="str">
        <f t="shared" si="25"/>
        <v/>
      </c>
      <c r="V119" s="53">
        <v>0</v>
      </c>
      <c r="W119" s="88" t="str">
        <f t="shared" si="26"/>
        <v/>
      </c>
      <c r="X119" s="105" t="str">
        <f t="shared" si="27"/>
        <v/>
      </c>
      <c r="Y119" s="53">
        <v>0</v>
      </c>
      <c r="Z119" s="56" t="str">
        <f t="shared" si="28"/>
        <v/>
      </c>
      <c r="AA119" s="56" t="str">
        <f t="shared" si="29"/>
        <v/>
      </c>
      <c r="AB119" s="56" t="str">
        <f t="shared" si="30"/>
        <v/>
      </c>
      <c r="AC119" s="56" t="str">
        <f t="shared" si="31"/>
        <v/>
      </c>
      <c r="AD119" s="56" t="str">
        <f t="shared" si="32"/>
        <v/>
      </c>
      <c r="AE119" s="40"/>
      <c r="AF119" s="40"/>
      <c r="AG119" s="40"/>
      <c r="AH119" s="56" t="str">
        <f t="shared" si="33"/>
        <v/>
      </c>
      <c r="AI119" s="54"/>
      <c r="AJ119" s="54"/>
      <c r="AK119" s="54"/>
      <c r="AL119" s="54"/>
      <c r="AM119" s="54"/>
    </row>
    <row r="120" spans="1:39">
      <c r="A120" s="96"/>
      <c r="B120" s="45" t="str" cm="1">
        <f t="array" ref="B120">IF(H120="PROJECT", CHAR(10) &amp; "- " &amp; _xlfn.TEXTJOIN(CHAR(10) &amp; "- ", TRUE, _xlfn._xlws.FILTER($I$9:$I$1000, ($C$9:$C$1000=C120) * ($H$9:$H$1000="Topic"))), "")</f>
        <v/>
      </c>
      <c r="C120" s="45">
        <f t="shared" si="17"/>
        <v>82</v>
      </c>
      <c r="D120" s="57"/>
      <c r="E120" s="58"/>
      <c r="F120" s="54"/>
      <c r="G120" s="52"/>
      <c r="H120" s="52"/>
      <c r="I120" s="61"/>
      <c r="J120" s="62"/>
      <c r="K120" s="103" t="str">
        <f t="shared" si="18"/>
        <v/>
      </c>
      <c r="L120" s="105" t="str">
        <f t="shared" si="19"/>
        <v/>
      </c>
      <c r="M120" s="52">
        <v>0</v>
      </c>
      <c r="N120" s="104" t="str">
        <f t="shared" si="20"/>
        <v/>
      </c>
      <c r="O120" s="105" t="str">
        <f t="shared" si="21"/>
        <v/>
      </c>
      <c r="P120" s="52">
        <v>0</v>
      </c>
      <c r="Q120" s="104" t="str">
        <f t="shared" si="22"/>
        <v/>
      </c>
      <c r="R120" s="105" t="str">
        <f t="shared" si="23"/>
        <v/>
      </c>
      <c r="S120" s="52">
        <v>0</v>
      </c>
      <c r="T120" s="104" t="str">
        <f t="shared" si="24"/>
        <v/>
      </c>
      <c r="U120" s="105" t="str">
        <f t="shared" si="25"/>
        <v/>
      </c>
      <c r="V120" s="52">
        <v>0</v>
      </c>
      <c r="W120" s="88" t="str">
        <f t="shared" si="26"/>
        <v/>
      </c>
      <c r="X120" s="105" t="str">
        <f t="shared" si="27"/>
        <v/>
      </c>
      <c r="Y120" s="52">
        <v>0</v>
      </c>
      <c r="Z120" s="56" t="str">
        <f t="shared" si="28"/>
        <v/>
      </c>
      <c r="AA120" s="56" t="str">
        <f t="shared" si="29"/>
        <v/>
      </c>
      <c r="AB120" s="56" t="str">
        <f t="shared" si="30"/>
        <v/>
      </c>
      <c r="AC120" s="56" t="str">
        <f t="shared" si="31"/>
        <v/>
      </c>
      <c r="AD120" s="56" t="str">
        <f t="shared" si="32"/>
        <v/>
      </c>
      <c r="AE120" s="40"/>
      <c r="AF120" s="40"/>
      <c r="AG120" s="40"/>
      <c r="AH120" s="56" t="str">
        <f t="shared" si="33"/>
        <v/>
      </c>
      <c r="AI120" s="54"/>
      <c r="AJ120" s="54"/>
      <c r="AK120" s="54"/>
      <c r="AL120" s="54"/>
      <c r="AM120" s="54"/>
    </row>
    <row r="121" spans="1:39">
      <c r="A121" s="96"/>
      <c r="B121" s="45" t="str" cm="1">
        <f t="array" ref="B121">IF(H121="PROJECT", CHAR(10) &amp; "- " &amp; _xlfn.TEXTJOIN(CHAR(10) &amp; "- ", TRUE, _xlfn._xlws.FILTER($I$9:$I$1000, ($C$9:$C$1000=C121) * ($H$9:$H$1000="Topic"))), "")</f>
        <v/>
      </c>
      <c r="C121" s="45">
        <f t="shared" si="17"/>
        <v>83</v>
      </c>
      <c r="D121" s="46"/>
      <c r="E121" s="58"/>
      <c r="F121" s="67"/>
      <c r="G121" s="53"/>
      <c r="H121" s="53"/>
      <c r="I121" s="50"/>
      <c r="J121" s="51"/>
      <c r="K121" s="103" t="str">
        <f t="shared" si="18"/>
        <v/>
      </c>
      <c r="L121" s="105" t="str">
        <f t="shared" si="19"/>
        <v/>
      </c>
      <c r="M121" s="53">
        <v>0</v>
      </c>
      <c r="N121" s="104" t="str">
        <f t="shared" si="20"/>
        <v/>
      </c>
      <c r="O121" s="105" t="str">
        <f t="shared" si="21"/>
        <v/>
      </c>
      <c r="P121" s="53">
        <v>0</v>
      </c>
      <c r="Q121" s="104" t="str">
        <f t="shared" si="22"/>
        <v/>
      </c>
      <c r="R121" s="105" t="str">
        <f t="shared" si="23"/>
        <v/>
      </c>
      <c r="S121" s="53">
        <v>0</v>
      </c>
      <c r="T121" s="104" t="str">
        <f t="shared" si="24"/>
        <v/>
      </c>
      <c r="U121" s="105" t="str">
        <f t="shared" si="25"/>
        <v/>
      </c>
      <c r="V121" s="53">
        <v>0</v>
      </c>
      <c r="W121" s="88" t="str">
        <f t="shared" si="26"/>
        <v/>
      </c>
      <c r="X121" s="105" t="str">
        <f t="shared" si="27"/>
        <v/>
      </c>
      <c r="Y121" s="53">
        <v>0</v>
      </c>
      <c r="Z121" s="56" t="str">
        <f t="shared" si="28"/>
        <v/>
      </c>
      <c r="AA121" s="56" t="str">
        <f t="shared" si="29"/>
        <v/>
      </c>
      <c r="AB121" s="56" t="str">
        <f t="shared" si="30"/>
        <v/>
      </c>
      <c r="AC121" s="56" t="str">
        <f t="shared" si="31"/>
        <v/>
      </c>
      <c r="AD121" s="56" t="str">
        <f t="shared" si="32"/>
        <v/>
      </c>
      <c r="AE121" s="40"/>
      <c r="AF121" s="40"/>
      <c r="AG121" s="40"/>
      <c r="AH121" s="56" t="str">
        <f t="shared" si="33"/>
        <v/>
      </c>
      <c r="AI121" s="54"/>
      <c r="AJ121" s="54"/>
      <c r="AK121" s="54"/>
      <c r="AL121" s="54"/>
      <c r="AM121" s="54"/>
    </row>
    <row r="122" spans="1:39">
      <c r="A122" s="96"/>
      <c r="B122" s="45" t="str" cm="1">
        <f t="array" ref="B122">IF(H122="PROJECT", CHAR(10) &amp; "- " &amp; _xlfn.TEXTJOIN(CHAR(10) &amp; "- ", TRUE, _xlfn._xlws.FILTER($I$9:$I$1000, ($C$9:$C$1000=C122) * ($H$9:$H$1000="Topic"))), "")</f>
        <v/>
      </c>
      <c r="C122" s="45">
        <f t="shared" si="17"/>
        <v>84</v>
      </c>
      <c r="D122" s="57"/>
      <c r="E122" s="58"/>
      <c r="F122" s="54"/>
      <c r="G122" s="52"/>
      <c r="H122" s="52"/>
      <c r="I122" s="61"/>
      <c r="J122" s="62"/>
      <c r="K122" s="103" t="str">
        <f t="shared" si="18"/>
        <v/>
      </c>
      <c r="L122" s="105" t="str">
        <f t="shared" si="19"/>
        <v/>
      </c>
      <c r="M122" s="52">
        <v>0</v>
      </c>
      <c r="N122" s="104" t="str">
        <f t="shared" si="20"/>
        <v/>
      </c>
      <c r="O122" s="105" t="str">
        <f t="shared" si="21"/>
        <v/>
      </c>
      <c r="P122" s="52">
        <v>0</v>
      </c>
      <c r="Q122" s="104" t="str">
        <f t="shared" si="22"/>
        <v/>
      </c>
      <c r="R122" s="105" t="str">
        <f t="shared" si="23"/>
        <v/>
      </c>
      <c r="S122" s="52">
        <v>0</v>
      </c>
      <c r="T122" s="104" t="str">
        <f t="shared" si="24"/>
        <v/>
      </c>
      <c r="U122" s="105" t="str">
        <f t="shared" si="25"/>
        <v/>
      </c>
      <c r="V122" s="52">
        <v>0</v>
      </c>
      <c r="W122" s="88" t="str">
        <f t="shared" si="26"/>
        <v/>
      </c>
      <c r="X122" s="105" t="str">
        <f t="shared" si="27"/>
        <v/>
      </c>
      <c r="Y122" s="52">
        <v>0</v>
      </c>
      <c r="Z122" s="56" t="str">
        <f t="shared" si="28"/>
        <v/>
      </c>
      <c r="AA122" s="56" t="str">
        <f t="shared" si="29"/>
        <v/>
      </c>
      <c r="AB122" s="56" t="str">
        <f t="shared" si="30"/>
        <v/>
      </c>
      <c r="AC122" s="56" t="str">
        <f t="shared" si="31"/>
        <v/>
      </c>
      <c r="AD122" s="56" t="str">
        <f t="shared" si="32"/>
        <v/>
      </c>
      <c r="AE122" s="40"/>
      <c r="AF122" s="40"/>
      <c r="AG122" s="40"/>
      <c r="AH122" s="56" t="str">
        <f t="shared" si="33"/>
        <v/>
      </c>
      <c r="AI122" s="54"/>
      <c r="AJ122" s="54"/>
      <c r="AK122" s="54"/>
      <c r="AL122" s="54"/>
      <c r="AM122" s="54"/>
    </row>
    <row r="123" spans="1:39">
      <c r="A123" s="96"/>
      <c r="B123" s="45" t="str" cm="1">
        <f t="array" ref="B123">IF(H123="PROJECT", CHAR(10) &amp; "- " &amp; _xlfn.TEXTJOIN(CHAR(10) &amp; "- ", TRUE, _xlfn._xlws.FILTER($I$9:$I$1000, ($C$9:$C$1000=C123) * ($H$9:$H$1000="Topic"))), "")</f>
        <v/>
      </c>
      <c r="C123" s="45">
        <f t="shared" si="17"/>
        <v>85</v>
      </c>
      <c r="D123" s="46"/>
      <c r="E123" s="58"/>
      <c r="F123" s="67"/>
      <c r="G123" s="53"/>
      <c r="H123" s="53"/>
      <c r="I123" s="50"/>
      <c r="J123" s="51"/>
      <c r="K123" s="103" t="str">
        <f t="shared" si="18"/>
        <v/>
      </c>
      <c r="L123" s="105" t="str">
        <f t="shared" si="19"/>
        <v/>
      </c>
      <c r="M123" s="53">
        <v>0</v>
      </c>
      <c r="N123" s="104" t="str">
        <f t="shared" si="20"/>
        <v/>
      </c>
      <c r="O123" s="105" t="str">
        <f t="shared" si="21"/>
        <v/>
      </c>
      <c r="P123" s="53">
        <v>0</v>
      </c>
      <c r="Q123" s="104" t="str">
        <f t="shared" si="22"/>
        <v/>
      </c>
      <c r="R123" s="105" t="str">
        <f t="shared" si="23"/>
        <v/>
      </c>
      <c r="S123" s="53">
        <v>0</v>
      </c>
      <c r="T123" s="104" t="str">
        <f t="shared" si="24"/>
        <v/>
      </c>
      <c r="U123" s="105" t="str">
        <f t="shared" si="25"/>
        <v/>
      </c>
      <c r="V123" s="53">
        <v>0</v>
      </c>
      <c r="W123" s="88" t="str">
        <f t="shared" si="26"/>
        <v/>
      </c>
      <c r="X123" s="105" t="str">
        <f t="shared" si="27"/>
        <v/>
      </c>
      <c r="Y123" s="53">
        <v>0</v>
      </c>
      <c r="Z123" s="56" t="str">
        <f t="shared" si="28"/>
        <v/>
      </c>
      <c r="AA123" s="56" t="str">
        <f t="shared" si="29"/>
        <v/>
      </c>
      <c r="AB123" s="56" t="str">
        <f t="shared" si="30"/>
        <v/>
      </c>
      <c r="AC123" s="56" t="str">
        <f t="shared" si="31"/>
        <v/>
      </c>
      <c r="AD123" s="56" t="str">
        <f t="shared" si="32"/>
        <v/>
      </c>
      <c r="AE123" s="40"/>
      <c r="AF123" s="40"/>
      <c r="AG123" s="40"/>
      <c r="AH123" s="56" t="str">
        <f t="shared" si="33"/>
        <v/>
      </c>
      <c r="AI123" s="54"/>
      <c r="AJ123" s="54"/>
      <c r="AK123" s="54"/>
      <c r="AL123" s="54"/>
      <c r="AM123" s="54"/>
    </row>
    <row r="124" spans="1:39">
      <c r="A124" s="96"/>
      <c r="B124" s="45" t="str" cm="1">
        <f t="array" ref="B124">IF(H124="PROJECT", CHAR(10) &amp; "- " &amp; _xlfn.TEXTJOIN(CHAR(10) &amp; "- ", TRUE, _xlfn._xlws.FILTER($I$9:$I$1000, ($C$9:$C$1000=C124) * ($H$9:$H$1000="Topic"))), "")</f>
        <v/>
      </c>
      <c r="C124" s="45">
        <f t="shared" si="17"/>
        <v>86</v>
      </c>
      <c r="D124" s="57"/>
      <c r="E124" s="58"/>
      <c r="F124" s="54"/>
      <c r="G124" s="52"/>
      <c r="H124" s="52"/>
      <c r="I124" s="61"/>
      <c r="J124" s="62"/>
      <c r="K124" s="103" t="str">
        <f t="shared" si="18"/>
        <v/>
      </c>
      <c r="L124" s="105" t="str">
        <f t="shared" si="19"/>
        <v/>
      </c>
      <c r="M124" s="52">
        <v>0</v>
      </c>
      <c r="N124" s="104" t="str">
        <f t="shared" si="20"/>
        <v/>
      </c>
      <c r="O124" s="105" t="str">
        <f t="shared" si="21"/>
        <v/>
      </c>
      <c r="P124" s="52">
        <v>0</v>
      </c>
      <c r="Q124" s="104" t="str">
        <f t="shared" si="22"/>
        <v/>
      </c>
      <c r="R124" s="105" t="str">
        <f t="shared" si="23"/>
        <v/>
      </c>
      <c r="S124" s="52">
        <v>0</v>
      </c>
      <c r="T124" s="104" t="str">
        <f t="shared" si="24"/>
        <v/>
      </c>
      <c r="U124" s="105" t="str">
        <f t="shared" si="25"/>
        <v/>
      </c>
      <c r="V124" s="52">
        <v>0</v>
      </c>
      <c r="W124" s="88" t="str">
        <f t="shared" si="26"/>
        <v/>
      </c>
      <c r="X124" s="105" t="str">
        <f t="shared" si="27"/>
        <v/>
      </c>
      <c r="Y124" s="52">
        <v>0</v>
      </c>
      <c r="Z124" s="56" t="str">
        <f t="shared" si="28"/>
        <v/>
      </c>
      <c r="AA124" s="56" t="str">
        <f t="shared" si="29"/>
        <v/>
      </c>
      <c r="AB124" s="56" t="str">
        <f t="shared" si="30"/>
        <v/>
      </c>
      <c r="AC124" s="56" t="str">
        <f t="shared" si="31"/>
        <v/>
      </c>
      <c r="AD124" s="56" t="str">
        <f t="shared" si="32"/>
        <v/>
      </c>
      <c r="AE124" s="40"/>
      <c r="AF124" s="40"/>
      <c r="AG124" s="40"/>
      <c r="AH124" s="56" t="str">
        <f t="shared" si="33"/>
        <v/>
      </c>
      <c r="AI124" s="54"/>
      <c r="AJ124" s="54"/>
      <c r="AK124" s="54"/>
      <c r="AL124" s="54"/>
      <c r="AM124" s="54"/>
    </row>
    <row r="125" spans="1:39">
      <c r="A125" s="96"/>
      <c r="B125" s="45" t="str" cm="1">
        <f t="array" ref="B125">IF(H125="PROJECT", CHAR(10) &amp; "- " &amp; _xlfn.TEXTJOIN(CHAR(10) &amp; "- ", TRUE, _xlfn._xlws.FILTER($I$9:$I$1000, ($C$9:$C$1000=C125) * ($H$9:$H$1000="Topic"))), "")</f>
        <v/>
      </c>
      <c r="C125" s="45">
        <f t="shared" si="17"/>
        <v>87</v>
      </c>
      <c r="D125" s="46"/>
      <c r="E125" s="58"/>
      <c r="F125" s="67"/>
      <c r="G125" s="53"/>
      <c r="H125" s="53"/>
      <c r="I125" s="50"/>
      <c r="J125" s="51"/>
      <c r="K125" s="103" t="str">
        <f t="shared" si="18"/>
        <v/>
      </c>
      <c r="L125" s="105" t="str">
        <f t="shared" si="19"/>
        <v/>
      </c>
      <c r="M125" s="53">
        <v>0</v>
      </c>
      <c r="N125" s="104" t="str">
        <f t="shared" si="20"/>
        <v/>
      </c>
      <c r="O125" s="105" t="str">
        <f t="shared" si="21"/>
        <v/>
      </c>
      <c r="P125" s="53">
        <v>0</v>
      </c>
      <c r="Q125" s="104" t="str">
        <f t="shared" si="22"/>
        <v/>
      </c>
      <c r="R125" s="105" t="str">
        <f t="shared" si="23"/>
        <v/>
      </c>
      <c r="S125" s="53">
        <v>0</v>
      </c>
      <c r="T125" s="104" t="str">
        <f t="shared" si="24"/>
        <v/>
      </c>
      <c r="U125" s="105" t="str">
        <f t="shared" si="25"/>
        <v/>
      </c>
      <c r="V125" s="53">
        <v>0</v>
      </c>
      <c r="W125" s="88" t="str">
        <f t="shared" si="26"/>
        <v/>
      </c>
      <c r="X125" s="105" t="str">
        <f t="shared" si="27"/>
        <v/>
      </c>
      <c r="Y125" s="53">
        <v>0</v>
      </c>
      <c r="Z125" s="56" t="str">
        <f t="shared" si="28"/>
        <v/>
      </c>
      <c r="AA125" s="56" t="str">
        <f t="shared" si="29"/>
        <v/>
      </c>
      <c r="AB125" s="56" t="str">
        <f t="shared" si="30"/>
        <v/>
      </c>
      <c r="AC125" s="56" t="str">
        <f t="shared" si="31"/>
        <v/>
      </c>
      <c r="AD125" s="56" t="str">
        <f t="shared" si="32"/>
        <v/>
      </c>
      <c r="AE125" s="40"/>
      <c r="AF125" s="40"/>
      <c r="AG125" s="40"/>
      <c r="AH125" s="56" t="str">
        <f t="shared" si="33"/>
        <v/>
      </c>
      <c r="AI125" s="54"/>
      <c r="AJ125" s="54"/>
      <c r="AK125" s="54"/>
      <c r="AL125" s="54"/>
      <c r="AM125" s="54"/>
    </row>
    <row r="126" spans="1:39">
      <c r="A126" s="96"/>
      <c r="B126" s="45" t="str" cm="1">
        <f t="array" ref="B126">IF(H126="PROJECT", CHAR(10) &amp; "- " &amp; _xlfn.TEXTJOIN(CHAR(10) &amp; "- ", TRUE, _xlfn._xlws.FILTER($I$9:$I$1000, ($C$9:$C$1000=C126) * ($H$9:$H$1000="Topic"))), "")</f>
        <v/>
      </c>
      <c r="C126" s="45">
        <f t="shared" si="17"/>
        <v>88</v>
      </c>
      <c r="D126" s="57"/>
      <c r="E126" s="58"/>
      <c r="F126" s="54"/>
      <c r="G126" s="52"/>
      <c r="H126" s="52"/>
      <c r="I126" s="61"/>
      <c r="J126" s="62"/>
      <c r="K126" s="103" t="str">
        <f t="shared" si="18"/>
        <v/>
      </c>
      <c r="L126" s="105" t="str">
        <f t="shared" si="19"/>
        <v/>
      </c>
      <c r="M126" s="52">
        <v>0</v>
      </c>
      <c r="N126" s="104" t="str">
        <f t="shared" si="20"/>
        <v/>
      </c>
      <c r="O126" s="105" t="str">
        <f t="shared" si="21"/>
        <v/>
      </c>
      <c r="P126" s="52">
        <v>0</v>
      </c>
      <c r="Q126" s="104" t="str">
        <f t="shared" si="22"/>
        <v/>
      </c>
      <c r="R126" s="105" t="str">
        <f t="shared" si="23"/>
        <v/>
      </c>
      <c r="S126" s="52">
        <v>0</v>
      </c>
      <c r="T126" s="104" t="str">
        <f t="shared" si="24"/>
        <v/>
      </c>
      <c r="U126" s="105" t="str">
        <f t="shared" si="25"/>
        <v/>
      </c>
      <c r="V126" s="52">
        <v>0</v>
      </c>
      <c r="W126" s="88" t="str">
        <f t="shared" si="26"/>
        <v/>
      </c>
      <c r="X126" s="105" t="str">
        <f t="shared" si="27"/>
        <v/>
      </c>
      <c r="Y126" s="52">
        <v>0</v>
      </c>
      <c r="Z126" s="56" t="str">
        <f t="shared" si="28"/>
        <v/>
      </c>
      <c r="AA126" s="56" t="str">
        <f t="shared" si="29"/>
        <v/>
      </c>
      <c r="AB126" s="56" t="str">
        <f t="shared" si="30"/>
        <v/>
      </c>
      <c r="AC126" s="56" t="str">
        <f t="shared" si="31"/>
        <v/>
      </c>
      <c r="AD126" s="56" t="str">
        <f t="shared" si="32"/>
        <v/>
      </c>
      <c r="AE126" s="40"/>
      <c r="AF126" s="40"/>
      <c r="AG126" s="40"/>
      <c r="AH126" s="56" t="str">
        <f t="shared" si="33"/>
        <v/>
      </c>
      <c r="AI126" s="54"/>
      <c r="AJ126" s="54"/>
      <c r="AK126" s="54"/>
      <c r="AL126" s="54"/>
      <c r="AM126" s="54"/>
    </row>
    <row r="127" spans="1:39">
      <c r="A127" s="96"/>
      <c r="B127" s="45" t="str" cm="1">
        <f t="array" ref="B127">IF(H127="PROJECT", CHAR(10) &amp; "- " &amp; _xlfn.TEXTJOIN(CHAR(10) &amp; "- ", TRUE, _xlfn._xlws.FILTER($I$9:$I$1000, ($C$9:$C$1000=C127) * ($H$9:$H$1000="Topic"))), "")</f>
        <v/>
      </c>
      <c r="C127" s="45">
        <f t="shared" si="17"/>
        <v>89</v>
      </c>
      <c r="D127" s="46"/>
      <c r="E127" s="58"/>
      <c r="F127" s="67"/>
      <c r="G127" s="53"/>
      <c r="H127" s="53"/>
      <c r="I127" s="50"/>
      <c r="J127" s="51"/>
      <c r="K127" s="103" t="str">
        <f t="shared" si="18"/>
        <v/>
      </c>
      <c r="L127" s="105" t="str">
        <f t="shared" si="19"/>
        <v/>
      </c>
      <c r="M127" s="53">
        <v>0</v>
      </c>
      <c r="N127" s="104" t="str">
        <f t="shared" si="20"/>
        <v/>
      </c>
      <c r="O127" s="105" t="str">
        <f t="shared" si="21"/>
        <v/>
      </c>
      <c r="P127" s="53">
        <v>0</v>
      </c>
      <c r="Q127" s="104" t="str">
        <f t="shared" si="22"/>
        <v/>
      </c>
      <c r="R127" s="105" t="str">
        <f t="shared" si="23"/>
        <v/>
      </c>
      <c r="S127" s="53">
        <v>0</v>
      </c>
      <c r="T127" s="104" t="str">
        <f t="shared" si="24"/>
        <v/>
      </c>
      <c r="U127" s="105" t="str">
        <f t="shared" si="25"/>
        <v/>
      </c>
      <c r="V127" s="53">
        <v>0</v>
      </c>
      <c r="W127" s="88" t="str">
        <f t="shared" si="26"/>
        <v/>
      </c>
      <c r="X127" s="105" t="str">
        <f t="shared" si="27"/>
        <v/>
      </c>
      <c r="Y127" s="53">
        <v>0</v>
      </c>
      <c r="Z127" s="56" t="str">
        <f t="shared" si="28"/>
        <v/>
      </c>
      <c r="AA127" s="56" t="str">
        <f t="shared" si="29"/>
        <v/>
      </c>
      <c r="AB127" s="56" t="str">
        <f t="shared" si="30"/>
        <v/>
      </c>
      <c r="AC127" s="56" t="str">
        <f t="shared" si="31"/>
        <v/>
      </c>
      <c r="AD127" s="56" t="str">
        <f t="shared" si="32"/>
        <v/>
      </c>
      <c r="AE127" s="40"/>
      <c r="AF127" s="40"/>
      <c r="AG127" s="40"/>
      <c r="AH127" s="56" t="str">
        <f t="shared" si="33"/>
        <v/>
      </c>
      <c r="AI127" s="54"/>
      <c r="AJ127" s="54"/>
      <c r="AK127" s="54"/>
      <c r="AL127" s="54"/>
      <c r="AM127" s="54"/>
    </row>
    <row r="128" spans="1:39">
      <c r="A128" s="96"/>
      <c r="B128" s="45" t="str" cm="1">
        <f t="array" ref="B128">IF(H128="PROJECT", CHAR(10) &amp; "- " &amp; _xlfn.TEXTJOIN(CHAR(10) &amp; "- ", TRUE, _xlfn._xlws.FILTER($I$9:$I$1000, ($C$9:$C$1000=C128) * ($H$9:$H$1000="Topic"))), "")</f>
        <v/>
      </c>
      <c r="C128" s="45">
        <f t="shared" si="17"/>
        <v>90</v>
      </c>
      <c r="D128" s="57"/>
      <c r="E128" s="58"/>
      <c r="F128" s="54"/>
      <c r="G128" s="52"/>
      <c r="H128" s="52"/>
      <c r="I128" s="61"/>
      <c r="J128" s="62"/>
      <c r="K128" s="103" t="str">
        <f t="shared" si="18"/>
        <v/>
      </c>
      <c r="L128" s="105" t="str">
        <f t="shared" si="19"/>
        <v/>
      </c>
      <c r="M128" s="52">
        <v>0</v>
      </c>
      <c r="N128" s="104" t="str">
        <f t="shared" si="20"/>
        <v/>
      </c>
      <c r="O128" s="105" t="str">
        <f t="shared" si="21"/>
        <v/>
      </c>
      <c r="P128" s="52">
        <v>0</v>
      </c>
      <c r="Q128" s="104" t="str">
        <f t="shared" si="22"/>
        <v/>
      </c>
      <c r="R128" s="105" t="str">
        <f t="shared" si="23"/>
        <v/>
      </c>
      <c r="S128" s="52">
        <v>0</v>
      </c>
      <c r="T128" s="104" t="str">
        <f t="shared" si="24"/>
        <v/>
      </c>
      <c r="U128" s="105" t="str">
        <f t="shared" si="25"/>
        <v/>
      </c>
      <c r="V128" s="52">
        <v>0</v>
      </c>
      <c r="W128" s="88" t="str">
        <f t="shared" si="26"/>
        <v/>
      </c>
      <c r="X128" s="105" t="str">
        <f t="shared" si="27"/>
        <v/>
      </c>
      <c r="Y128" s="52">
        <v>0</v>
      </c>
      <c r="Z128" s="56" t="str">
        <f t="shared" si="28"/>
        <v/>
      </c>
      <c r="AA128" s="56" t="str">
        <f t="shared" si="29"/>
        <v/>
      </c>
      <c r="AB128" s="56" t="str">
        <f t="shared" si="30"/>
        <v/>
      </c>
      <c r="AC128" s="56" t="str">
        <f t="shared" si="31"/>
        <v/>
      </c>
      <c r="AD128" s="56" t="str">
        <f t="shared" si="32"/>
        <v/>
      </c>
      <c r="AE128" s="40"/>
      <c r="AF128" s="40"/>
      <c r="AG128" s="40"/>
      <c r="AH128" s="56" t="str">
        <f t="shared" si="33"/>
        <v/>
      </c>
      <c r="AI128" s="54"/>
      <c r="AJ128" s="54"/>
      <c r="AK128" s="54"/>
      <c r="AL128" s="54"/>
      <c r="AM128" s="54"/>
    </row>
    <row r="129" spans="1:39">
      <c r="A129" s="96"/>
      <c r="B129" s="45" t="str" cm="1">
        <f t="array" ref="B129">IF(H129="PROJECT", CHAR(10) &amp; "- " &amp; _xlfn.TEXTJOIN(CHAR(10) &amp; "- ", TRUE, _xlfn._xlws.FILTER($I$9:$I$1000, ($C$9:$C$1000=C129) * ($H$9:$H$1000="Topic"))), "")</f>
        <v/>
      </c>
      <c r="C129" s="45">
        <f t="shared" si="17"/>
        <v>91</v>
      </c>
      <c r="D129" s="46"/>
      <c r="E129" s="58"/>
      <c r="F129" s="67"/>
      <c r="G129" s="53"/>
      <c r="H129" s="53"/>
      <c r="I129" s="50"/>
      <c r="J129" s="51"/>
      <c r="K129" s="103" t="str">
        <f t="shared" si="18"/>
        <v/>
      </c>
      <c r="L129" s="105" t="str">
        <f t="shared" si="19"/>
        <v/>
      </c>
      <c r="M129" s="53">
        <v>0</v>
      </c>
      <c r="N129" s="104" t="str">
        <f t="shared" si="20"/>
        <v/>
      </c>
      <c r="O129" s="105" t="str">
        <f t="shared" si="21"/>
        <v/>
      </c>
      <c r="P129" s="53">
        <v>0</v>
      </c>
      <c r="Q129" s="104" t="str">
        <f t="shared" si="22"/>
        <v/>
      </c>
      <c r="R129" s="105" t="str">
        <f t="shared" si="23"/>
        <v/>
      </c>
      <c r="S129" s="53">
        <v>0</v>
      </c>
      <c r="T129" s="104" t="str">
        <f t="shared" si="24"/>
        <v/>
      </c>
      <c r="U129" s="105" t="str">
        <f t="shared" si="25"/>
        <v/>
      </c>
      <c r="V129" s="53">
        <v>0</v>
      </c>
      <c r="W129" s="88" t="str">
        <f t="shared" si="26"/>
        <v/>
      </c>
      <c r="X129" s="105" t="str">
        <f t="shared" si="27"/>
        <v/>
      </c>
      <c r="Y129" s="53">
        <v>0</v>
      </c>
      <c r="Z129" s="56" t="str">
        <f t="shared" si="28"/>
        <v/>
      </c>
      <c r="AA129" s="56" t="str">
        <f t="shared" si="29"/>
        <v/>
      </c>
      <c r="AB129" s="56" t="str">
        <f t="shared" si="30"/>
        <v/>
      </c>
      <c r="AC129" s="56" t="str">
        <f t="shared" si="31"/>
        <v/>
      </c>
      <c r="AD129" s="56" t="str">
        <f t="shared" si="32"/>
        <v/>
      </c>
      <c r="AE129" s="40"/>
      <c r="AF129" s="40"/>
      <c r="AG129" s="40"/>
      <c r="AH129" s="56" t="str">
        <f t="shared" si="33"/>
        <v/>
      </c>
      <c r="AI129" s="54"/>
      <c r="AJ129" s="54"/>
      <c r="AK129" s="54"/>
      <c r="AL129" s="54"/>
      <c r="AM129" s="54"/>
    </row>
    <row r="130" spans="1:39">
      <c r="A130" s="96"/>
      <c r="B130" s="45" t="str" cm="1">
        <f t="array" ref="B130">IF(H130="PROJECT", CHAR(10) &amp; "- " &amp; _xlfn.TEXTJOIN(CHAR(10) &amp; "- ", TRUE, _xlfn._xlws.FILTER($I$9:$I$1000, ($C$9:$C$1000=C130) * ($H$9:$H$1000="Topic"))), "")</f>
        <v/>
      </c>
      <c r="C130" s="45">
        <f t="shared" si="17"/>
        <v>92</v>
      </c>
      <c r="D130" s="57"/>
      <c r="E130" s="58"/>
      <c r="F130" s="54"/>
      <c r="G130" s="52"/>
      <c r="H130" s="52"/>
      <c r="I130" s="61"/>
      <c r="J130" s="62"/>
      <c r="K130" s="103" t="str">
        <f t="shared" si="18"/>
        <v/>
      </c>
      <c r="L130" s="105" t="str">
        <f t="shared" si="19"/>
        <v/>
      </c>
      <c r="M130" s="52">
        <v>0</v>
      </c>
      <c r="N130" s="104" t="str">
        <f t="shared" si="20"/>
        <v/>
      </c>
      <c r="O130" s="105" t="str">
        <f t="shared" si="21"/>
        <v/>
      </c>
      <c r="P130" s="52">
        <v>0</v>
      </c>
      <c r="Q130" s="104" t="str">
        <f t="shared" si="22"/>
        <v/>
      </c>
      <c r="R130" s="105" t="str">
        <f t="shared" si="23"/>
        <v/>
      </c>
      <c r="S130" s="52">
        <v>0</v>
      </c>
      <c r="T130" s="104" t="str">
        <f t="shared" si="24"/>
        <v/>
      </c>
      <c r="U130" s="105" t="str">
        <f t="shared" si="25"/>
        <v/>
      </c>
      <c r="V130" s="52">
        <v>0</v>
      </c>
      <c r="W130" s="88" t="str">
        <f t="shared" si="26"/>
        <v/>
      </c>
      <c r="X130" s="105" t="str">
        <f t="shared" si="27"/>
        <v/>
      </c>
      <c r="Y130" s="52">
        <v>0</v>
      </c>
      <c r="Z130" s="56" t="str">
        <f t="shared" si="28"/>
        <v/>
      </c>
      <c r="AA130" s="56" t="str">
        <f t="shared" si="29"/>
        <v/>
      </c>
      <c r="AB130" s="56" t="str">
        <f t="shared" si="30"/>
        <v/>
      </c>
      <c r="AC130" s="56" t="str">
        <f t="shared" si="31"/>
        <v/>
      </c>
      <c r="AD130" s="56" t="str">
        <f t="shared" si="32"/>
        <v/>
      </c>
      <c r="AE130" s="40"/>
      <c r="AF130" s="40"/>
      <c r="AG130" s="40"/>
      <c r="AH130" s="56" t="str">
        <f t="shared" si="33"/>
        <v/>
      </c>
      <c r="AI130" s="54"/>
      <c r="AJ130" s="54"/>
      <c r="AK130" s="54"/>
      <c r="AL130" s="54"/>
      <c r="AM130" s="54"/>
    </row>
    <row r="131" spans="1:39">
      <c r="A131" s="96"/>
      <c r="B131" s="45" t="str" cm="1">
        <f t="array" ref="B131">IF(H131="PROJECT", CHAR(10) &amp; "- " &amp; _xlfn.TEXTJOIN(CHAR(10) &amp; "- ", TRUE, _xlfn._xlws.FILTER($I$9:$I$1000, ($C$9:$C$1000=C131) * ($H$9:$H$1000="Topic"))), "")</f>
        <v/>
      </c>
      <c r="C131" s="45">
        <f t="shared" si="17"/>
        <v>93</v>
      </c>
      <c r="D131" s="46"/>
      <c r="E131" s="58"/>
      <c r="F131" s="67"/>
      <c r="G131" s="53"/>
      <c r="H131" s="53"/>
      <c r="I131" s="50"/>
      <c r="J131" s="51"/>
      <c r="K131" s="103" t="str">
        <f t="shared" si="18"/>
        <v/>
      </c>
      <c r="L131" s="105" t="str">
        <f t="shared" si="19"/>
        <v/>
      </c>
      <c r="M131" s="53">
        <v>0</v>
      </c>
      <c r="N131" s="104" t="str">
        <f t="shared" si="20"/>
        <v/>
      </c>
      <c r="O131" s="105" t="str">
        <f t="shared" si="21"/>
        <v/>
      </c>
      <c r="P131" s="53">
        <v>0</v>
      </c>
      <c r="Q131" s="104" t="str">
        <f t="shared" si="22"/>
        <v/>
      </c>
      <c r="R131" s="105" t="str">
        <f t="shared" si="23"/>
        <v/>
      </c>
      <c r="S131" s="53">
        <v>0</v>
      </c>
      <c r="T131" s="104" t="str">
        <f t="shared" si="24"/>
        <v/>
      </c>
      <c r="U131" s="105" t="str">
        <f t="shared" si="25"/>
        <v/>
      </c>
      <c r="V131" s="53">
        <v>0</v>
      </c>
      <c r="W131" s="88" t="str">
        <f t="shared" si="26"/>
        <v/>
      </c>
      <c r="X131" s="105" t="str">
        <f t="shared" si="27"/>
        <v/>
      </c>
      <c r="Y131" s="53">
        <v>0</v>
      </c>
      <c r="Z131" s="56" t="str">
        <f t="shared" si="28"/>
        <v/>
      </c>
      <c r="AA131" s="56" t="str">
        <f t="shared" si="29"/>
        <v/>
      </c>
      <c r="AB131" s="56" t="str">
        <f t="shared" si="30"/>
        <v/>
      </c>
      <c r="AC131" s="56" t="str">
        <f t="shared" si="31"/>
        <v/>
      </c>
      <c r="AD131" s="56" t="str">
        <f t="shared" si="32"/>
        <v/>
      </c>
      <c r="AE131" s="40"/>
      <c r="AF131" s="40"/>
      <c r="AG131" s="40"/>
      <c r="AH131" s="56" t="str">
        <f t="shared" si="33"/>
        <v/>
      </c>
      <c r="AI131" s="54"/>
      <c r="AJ131" s="54"/>
      <c r="AK131" s="54"/>
      <c r="AL131" s="54"/>
      <c r="AM131" s="54"/>
    </row>
    <row r="132" spans="1:39">
      <c r="A132" s="96"/>
      <c r="B132" s="45" t="str" cm="1">
        <f t="array" ref="B132">IF(H132="PROJECT", CHAR(10) &amp; "- " &amp; _xlfn.TEXTJOIN(CHAR(10) &amp; "- ", TRUE, _xlfn._xlws.FILTER($I$9:$I$1000, ($C$9:$C$1000=C132) * ($H$9:$H$1000="Topic"))), "")</f>
        <v/>
      </c>
      <c r="C132" s="45">
        <f t="shared" si="17"/>
        <v>94</v>
      </c>
      <c r="D132" s="57"/>
      <c r="E132" s="58"/>
      <c r="F132" s="54"/>
      <c r="G132" s="52"/>
      <c r="H132" s="52"/>
      <c r="I132" s="61"/>
      <c r="J132" s="62"/>
      <c r="K132" s="103" t="str">
        <f t="shared" si="18"/>
        <v/>
      </c>
      <c r="L132" s="105" t="str">
        <f t="shared" si="19"/>
        <v/>
      </c>
      <c r="M132" s="52">
        <v>0</v>
      </c>
      <c r="N132" s="104" t="str">
        <f t="shared" si="20"/>
        <v/>
      </c>
      <c r="O132" s="105" t="str">
        <f t="shared" si="21"/>
        <v/>
      </c>
      <c r="P132" s="52">
        <v>0</v>
      </c>
      <c r="Q132" s="104" t="str">
        <f t="shared" si="22"/>
        <v/>
      </c>
      <c r="R132" s="105" t="str">
        <f t="shared" si="23"/>
        <v/>
      </c>
      <c r="S132" s="52">
        <v>0</v>
      </c>
      <c r="T132" s="104" t="str">
        <f t="shared" si="24"/>
        <v/>
      </c>
      <c r="U132" s="105" t="str">
        <f t="shared" si="25"/>
        <v/>
      </c>
      <c r="V132" s="52">
        <v>0</v>
      </c>
      <c r="W132" s="88" t="str">
        <f t="shared" si="26"/>
        <v/>
      </c>
      <c r="X132" s="105" t="str">
        <f t="shared" si="27"/>
        <v/>
      </c>
      <c r="Y132" s="52">
        <v>0</v>
      </c>
      <c r="Z132" s="56" t="str">
        <f t="shared" si="28"/>
        <v/>
      </c>
      <c r="AA132" s="56" t="str">
        <f t="shared" si="29"/>
        <v/>
      </c>
      <c r="AB132" s="56" t="str">
        <f t="shared" si="30"/>
        <v/>
      </c>
      <c r="AC132" s="56" t="str">
        <f t="shared" si="31"/>
        <v/>
      </c>
      <c r="AD132" s="56" t="str">
        <f t="shared" si="32"/>
        <v/>
      </c>
      <c r="AE132" s="40"/>
      <c r="AF132" s="40"/>
      <c r="AG132" s="40"/>
      <c r="AH132" s="56" t="str">
        <f t="shared" si="33"/>
        <v/>
      </c>
      <c r="AI132" s="54"/>
      <c r="AJ132" s="54"/>
      <c r="AK132" s="54"/>
      <c r="AL132" s="54"/>
      <c r="AM132" s="54"/>
    </row>
    <row r="133" spans="1:39">
      <c r="A133" s="96"/>
      <c r="B133" s="45" t="str" cm="1">
        <f t="array" ref="B133">IF(H133="PROJECT", CHAR(10) &amp; "- " &amp; _xlfn.TEXTJOIN(CHAR(10) &amp; "- ", TRUE, _xlfn._xlws.FILTER($I$9:$I$1000, ($C$9:$C$1000=C133) * ($H$9:$H$1000="Topic"))), "")</f>
        <v/>
      </c>
      <c r="C133" s="45">
        <f t="shared" si="17"/>
        <v>95</v>
      </c>
      <c r="D133" s="46"/>
      <c r="E133" s="58"/>
      <c r="F133" s="67"/>
      <c r="G133" s="53"/>
      <c r="H133" s="53"/>
      <c r="I133" s="50"/>
      <c r="J133" s="51"/>
      <c r="K133" s="103" t="str">
        <f t="shared" si="18"/>
        <v/>
      </c>
      <c r="L133" s="105" t="str">
        <f t="shared" si="19"/>
        <v/>
      </c>
      <c r="M133" s="53">
        <v>0</v>
      </c>
      <c r="N133" s="104" t="str">
        <f t="shared" si="20"/>
        <v/>
      </c>
      <c r="O133" s="105" t="str">
        <f t="shared" si="21"/>
        <v/>
      </c>
      <c r="P133" s="53">
        <v>0</v>
      </c>
      <c r="Q133" s="104" t="str">
        <f t="shared" si="22"/>
        <v/>
      </c>
      <c r="R133" s="105" t="str">
        <f t="shared" si="23"/>
        <v/>
      </c>
      <c r="S133" s="53">
        <v>0</v>
      </c>
      <c r="T133" s="104" t="str">
        <f t="shared" si="24"/>
        <v/>
      </c>
      <c r="U133" s="105" t="str">
        <f t="shared" si="25"/>
        <v/>
      </c>
      <c r="V133" s="53">
        <v>0</v>
      </c>
      <c r="W133" s="88" t="str">
        <f t="shared" si="26"/>
        <v/>
      </c>
      <c r="X133" s="105" t="str">
        <f t="shared" si="27"/>
        <v/>
      </c>
      <c r="Y133" s="53">
        <v>0</v>
      </c>
      <c r="Z133" s="56" t="str">
        <f t="shared" si="28"/>
        <v/>
      </c>
      <c r="AA133" s="56" t="str">
        <f t="shared" si="29"/>
        <v/>
      </c>
      <c r="AB133" s="56" t="str">
        <f t="shared" si="30"/>
        <v/>
      </c>
      <c r="AC133" s="56" t="str">
        <f t="shared" si="31"/>
        <v/>
      </c>
      <c r="AD133" s="56" t="str">
        <f t="shared" si="32"/>
        <v/>
      </c>
      <c r="AE133" s="40"/>
      <c r="AF133" s="40"/>
      <c r="AG133" s="40"/>
      <c r="AH133" s="56" t="str">
        <f t="shared" si="33"/>
        <v/>
      </c>
      <c r="AI133" s="54"/>
      <c r="AJ133" s="54"/>
      <c r="AK133" s="54"/>
      <c r="AL133" s="54"/>
      <c r="AM133" s="54"/>
    </row>
    <row r="134" spans="1:39">
      <c r="A134" s="96"/>
      <c r="B134" s="45" t="str" cm="1">
        <f t="array" ref="B134">IF(H134="PROJECT", CHAR(10) &amp; "- " &amp; _xlfn.TEXTJOIN(CHAR(10) &amp; "- ", TRUE, _xlfn._xlws.FILTER($I$9:$I$1000, ($C$9:$C$1000=C134) * ($H$9:$H$1000="Topic"))), "")</f>
        <v/>
      </c>
      <c r="C134" s="45">
        <f t="shared" si="17"/>
        <v>96</v>
      </c>
      <c r="D134" s="57"/>
      <c r="E134" s="58"/>
      <c r="F134" s="54"/>
      <c r="G134" s="52"/>
      <c r="H134" s="52"/>
      <c r="I134" s="61"/>
      <c r="J134" s="62"/>
      <c r="K134" s="103" t="str">
        <f t="shared" si="18"/>
        <v/>
      </c>
      <c r="L134" s="105" t="str">
        <f t="shared" si="19"/>
        <v/>
      </c>
      <c r="M134" s="52">
        <v>0</v>
      </c>
      <c r="N134" s="104" t="str">
        <f t="shared" si="20"/>
        <v/>
      </c>
      <c r="O134" s="105" t="str">
        <f t="shared" si="21"/>
        <v/>
      </c>
      <c r="P134" s="52">
        <v>0</v>
      </c>
      <c r="Q134" s="104" t="str">
        <f t="shared" si="22"/>
        <v/>
      </c>
      <c r="R134" s="105" t="str">
        <f t="shared" si="23"/>
        <v/>
      </c>
      <c r="S134" s="52">
        <v>0</v>
      </c>
      <c r="T134" s="104" t="str">
        <f t="shared" si="24"/>
        <v/>
      </c>
      <c r="U134" s="105" t="str">
        <f t="shared" si="25"/>
        <v/>
      </c>
      <c r="V134" s="52">
        <v>0</v>
      </c>
      <c r="W134" s="88" t="str">
        <f t="shared" si="26"/>
        <v/>
      </c>
      <c r="X134" s="105" t="str">
        <f t="shared" si="27"/>
        <v/>
      </c>
      <c r="Y134" s="52">
        <v>0</v>
      </c>
      <c r="Z134" s="56" t="str">
        <f t="shared" si="28"/>
        <v/>
      </c>
      <c r="AA134" s="56" t="str">
        <f t="shared" si="29"/>
        <v/>
      </c>
      <c r="AB134" s="56" t="str">
        <f t="shared" si="30"/>
        <v/>
      </c>
      <c r="AC134" s="56" t="str">
        <f t="shared" si="31"/>
        <v/>
      </c>
      <c r="AD134" s="56" t="str">
        <f t="shared" si="32"/>
        <v/>
      </c>
      <c r="AE134" s="40"/>
      <c r="AF134" s="40"/>
      <c r="AG134" s="40"/>
      <c r="AH134" s="56" t="str">
        <f t="shared" si="33"/>
        <v/>
      </c>
      <c r="AI134" s="54"/>
      <c r="AJ134" s="54"/>
      <c r="AK134" s="54"/>
      <c r="AL134" s="54"/>
      <c r="AM134" s="54"/>
    </row>
    <row r="135" spans="1:39">
      <c r="A135" s="96"/>
      <c r="B135" s="45" t="str" cm="1">
        <f t="array" ref="B135">IF(H135="PROJECT", CHAR(10) &amp; "- " &amp; _xlfn.TEXTJOIN(CHAR(10) &amp; "- ", TRUE, _xlfn._xlws.FILTER($I$9:$I$1000, ($C$9:$C$1000=C135) * ($H$9:$H$1000="Topic"))), "")</f>
        <v/>
      </c>
      <c r="C135" s="45">
        <f t="shared" si="17"/>
        <v>97</v>
      </c>
      <c r="D135" s="46"/>
      <c r="E135" s="58"/>
      <c r="F135" s="67"/>
      <c r="G135" s="53"/>
      <c r="H135" s="53"/>
      <c r="I135" s="50"/>
      <c r="J135" s="51"/>
      <c r="K135" s="103" t="str">
        <f t="shared" si="18"/>
        <v/>
      </c>
      <c r="L135" s="105" t="str">
        <f t="shared" si="19"/>
        <v/>
      </c>
      <c r="M135" s="53">
        <v>0</v>
      </c>
      <c r="N135" s="104" t="str">
        <f t="shared" si="20"/>
        <v/>
      </c>
      <c r="O135" s="105" t="str">
        <f t="shared" si="21"/>
        <v/>
      </c>
      <c r="P135" s="53">
        <v>0</v>
      </c>
      <c r="Q135" s="104" t="str">
        <f t="shared" si="22"/>
        <v/>
      </c>
      <c r="R135" s="105" t="str">
        <f t="shared" si="23"/>
        <v/>
      </c>
      <c r="S135" s="53">
        <v>0</v>
      </c>
      <c r="T135" s="104" t="str">
        <f t="shared" si="24"/>
        <v/>
      </c>
      <c r="U135" s="105" t="str">
        <f t="shared" si="25"/>
        <v/>
      </c>
      <c r="V135" s="53">
        <v>0</v>
      </c>
      <c r="W135" s="88" t="str">
        <f t="shared" si="26"/>
        <v/>
      </c>
      <c r="X135" s="105" t="str">
        <f t="shared" si="27"/>
        <v/>
      </c>
      <c r="Y135" s="53">
        <v>0</v>
      </c>
      <c r="Z135" s="56" t="str">
        <f t="shared" si="28"/>
        <v/>
      </c>
      <c r="AA135" s="56" t="str">
        <f t="shared" si="29"/>
        <v/>
      </c>
      <c r="AB135" s="56" t="str">
        <f t="shared" si="30"/>
        <v/>
      </c>
      <c r="AC135" s="56" t="str">
        <f t="shared" si="31"/>
        <v/>
      </c>
      <c r="AD135" s="56" t="str">
        <f t="shared" si="32"/>
        <v/>
      </c>
      <c r="AE135" s="40"/>
      <c r="AF135" s="40"/>
      <c r="AG135" s="40"/>
      <c r="AH135" s="56" t="str">
        <f t="shared" si="33"/>
        <v/>
      </c>
      <c r="AI135" s="54"/>
      <c r="AJ135" s="54"/>
      <c r="AK135" s="54"/>
      <c r="AL135" s="54"/>
      <c r="AM135" s="54"/>
    </row>
    <row r="136" spans="1:39">
      <c r="A136" s="96"/>
      <c r="B136" s="45" t="str" cm="1">
        <f t="array" ref="B136">IF(H136="PROJECT", CHAR(10) &amp; "- " &amp; _xlfn.TEXTJOIN(CHAR(10) &amp; "- ", TRUE, _xlfn._xlws.FILTER($I$9:$I$1000, ($C$9:$C$1000=C136) * ($H$9:$H$1000="Topic"))), "")</f>
        <v/>
      </c>
      <c r="C136" s="45">
        <f t="shared" si="17"/>
        <v>98</v>
      </c>
      <c r="D136" s="57"/>
      <c r="E136" s="58"/>
      <c r="F136" s="54"/>
      <c r="G136" s="52"/>
      <c r="H136" s="52"/>
      <c r="I136" s="61"/>
      <c r="J136" s="62"/>
      <c r="K136" s="103" t="str">
        <f t="shared" si="18"/>
        <v/>
      </c>
      <c r="L136" s="105" t="str">
        <f t="shared" si="19"/>
        <v/>
      </c>
      <c r="M136" s="52">
        <v>0</v>
      </c>
      <c r="N136" s="104" t="str">
        <f t="shared" si="20"/>
        <v/>
      </c>
      <c r="O136" s="105" t="str">
        <f t="shared" si="21"/>
        <v/>
      </c>
      <c r="P136" s="52">
        <v>0</v>
      </c>
      <c r="Q136" s="104" t="str">
        <f t="shared" si="22"/>
        <v/>
      </c>
      <c r="R136" s="105" t="str">
        <f t="shared" si="23"/>
        <v/>
      </c>
      <c r="S136" s="52">
        <v>0</v>
      </c>
      <c r="T136" s="104" t="str">
        <f t="shared" si="24"/>
        <v/>
      </c>
      <c r="U136" s="105" t="str">
        <f t="shared" si="25"/>
        <v/>
      </c>
      <c r="V136" s="52">
        <v>0</v>
      </c>
      <c r="W136" s="88" t="str">
        <f t="shared" si="26"/>
        <v/>
      </c>
      <c r="X136" s="105" t="str">
        <f t="shared" si="27"/>
        <v/>
      </c>
      <c r="Y136" s="52">
        <v>0</v>
      </c>
      <c r="Z136" s="56" t="str">
        <f t="shared" si="28"/>
        <v/>
      </c>
      <c r="AA136" s="56" t="str">
        <f t="shared" si="29"/>
        <v/>
      </c>
      <c r="AB136" s="56" t="str">
        <f t="shared" si="30"/>
        <v/>
      </c>
      <c r="AC136" s="56" t="str">
        <f t="shared" si="31"/>
        <v/>
      </c>
      <c r="AD136" s="56" t="str">
        <f t="shared" si="32"/>
        <v/>
      </c>
      <c r="AE136" s="40"/>
      <c r="AF136" s="40"/>
      <c r="AG136" s="40"/>
      <c r="AH136" s="56" t="str">
        <f t="shared" si="33"/>
        <v/>
      </c>
      <c r="AI136" s="54"/>
      <c r="AJ136" s="54"/>
      <c r="AK136" s="54"/>
      <c r="AL136" s="54"/>
      <c r="AM136" s="54"/>
    </row>
    <row r="137" spans="1:39">
      <c r="A137" s="96"/>
      <c r="B137" s="45" t="str" cm="1">
        <f t="array" ref="B137">IF(H137="PROJECT", CHAR(10) &amp; "- " &amp; _xlfn.TEXTJOIN(CHAR(10) &amp; "- ", TRUE, _xlfn._xlws.FILTER($I$9:$I$1000, ($C$9:$C$1000=C137) * ($H$9:$H$1000="Topic"))), "")</f>
        <v/>
      </c>
      <c r="C137" s="45">
        <f t="shared" ref="C137:C200" si="34">IF(AND(H137="Topic",H136="PROJECT"),C136+1,IF(H137="PROJECT",C136,IF(AND(H137="Topic",H136="Topic"),C136,C136+1)))</f>
        <v>99</v>
      </c>
      <c r="D137" s="46"/>
      <c r="E137" s="58"/>
      <c r="F137" s="67"/>
      <c r="G137" s="53"/>
      <c r="H137" s="53"/>
      <c r="I137" s="50"/>
      <c r="J137" s="51"/>
      <c r="K137" s="103" t="str">
        <f t="shared" si="18"/>
        <v/>
      </c>
      <c r="L137" s="105" t="str">
        <f t="shared" si="19"/>
        <v/>
      </c>
      <c r="M137" s="53">
        <v>0</v>
      </c>
      <c r="N137" s="104" t="str">
        <f t="shared" si="20"/>
        <v/>
      </c>
      <c r="O137" s="105" t="str">
        <f t="shared" si="21"/>
        <v/>
      </c>
      <c r="P137" s="53">
        <v>0</v>
      </c>
      <c r="Q137" s="104" t="str">
        <f t="shared" si="22"/>
        <v/>
      </c>
      <c r="R137" s="105" t="str">
        <f t="shared" si="23"/>
        <v/>
      </c>
      <c r="S137" s="53">
        <v>0</v>
      </c>
      <c r="T137" s="104" t="str">
        <f t="shared" si="24"/>
        <v/>
      </c>
      <c r="U137" s="105" t="str">
        <f t="shared" si="25"/>
        <v/>
      </c>
      <c r="V137" s="53">
        <v>0</v>
      </c>
      <c r="W137" s="88" t="str">
        <f t="shared" si="26"/>
        <v/>
      </c>
      <c r="X137" s="105" t="str">
        <f t="shared" si="27"/>
        <v/>
      </c>
      <c r="Y137" s="53">
        <v>0</v>
      </c>
      <c r="Z137" s="56" t="str">
        <f t="shared" si="28"/>
        <v/>
      </c>
      <c r="AA137" s="56" t="str">
        <f t="shared" si="29"/>
        <v/>
      </c>
      <c r="AB137" s="56" t="str">
        <f t="shared" si="30"/>
        <v/>
      </c>
      <c r="AC137" s="56" t="str">
        <f t="shared" si="31"/>
        <v/>
      </c>
      <c r="AD137" s="56" t="str">
        <f t="shared" si="32"/>
        <v/>
      </c>
      <c r="AE137" s="40"/>
      <c r="AF137" s="40"/>
      <c r="AG137" s="40"/>
      <c r="AH137" s="56" t="str">
        <f t="shared" si="33"/>
        <v/>
      </c>
      <c r="AI137" s="54"/>
      <c r="AJ137" s="54"/>
      <c r="AK137" s="54"/>
      <c r="AL137" s="54"/>
      <c r="AM137" s="54"/>
    </row>
    <row r="138" spans="1:39">
      <c r="A138" s="96"/>
      <c r="B138" s="45" t="str" cm="1">
        <f t="array" ref="B138">IF(H138="PROJECT", CHAR(10) &amp; "- " &amp; _xlfn.TEXTJOIN(CHAR(10) &amp; "- ", TRUE, _xlfn._xlws.FILTER($I$9:$I$1000, ($C$9:$C$1000=C138) * ($H$9:$H$1000="Topic"))), "")</f>
        <v/>
      </c>
      <c r="C138" s="45">
        <f t="shared" si="34"/>
        <v>100</v>
      </c>
      <c r="D138" s="57"/>
      <c r="E138" s="58"/>
      <c r="F138" s="54"/>
      <c r="G138" s="52"/>
      <c r="H138" s="52"/>
      <c r="I138" s="61"/>
      <c r="J138" s="62"/>
      <c r="K138" s="103" t="str">
        <f t="shared" ref="K138:K200" si="35">IF(H138="Topic",
"[ROLE] Friendly tutor specializing in " &amp; $I$2 &amp; " | " &amp;
"[TOPIC] " &amp; I138 &amp; " | " &amp;
"[LEVEL] " &amp; G138 &amp; " | " &amp;
"[COUNT] " &amp; D138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$A138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IF(F138&gt;=10,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IF(G138="Beginner","Do NOT use functions unless absolutely required by the concept. Use flat, linear scripts. ",IF(G138="Intermediate","MUST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IF(F138&gt;=10,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5" t="str">
        <f t="shared" ref="L138:L200" si="36">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IF(G138="Beginner","Do NOT use functions unless absolutely required by the concept. Use flat, linear scripts. NO classes. ", IF(G138="Intermediate","MUST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4" t="str">
        <f t="shared" ref="N138:N200" si="37">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IF(G138="Beginner", "5–15", IF(G138="Intermediate", "10–25", "15–35")) &amp; " lines of EXECUTABLE code per example (STRICT: Do NOT count blank lines towards this limit) " &amp; IF(G138&lt;&gt;"Advanced",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5" t="str">
        <f t="shared" ref="O138:O200" si="38">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4" t="str">
        <f t="shared" ref="Q138:Q200" si="39">IF(H138="Topic",
"[ROLE] Tech Lead | " &amp;
"[TASK] Assign incomplete " &amp; $I$2 &amp; " script challenges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IF(G138="Beginner", "5–15", IF(G138="Intermediate",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5" t="str">
        <f t="shared" ref="R138:R200" si="40">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4" t="str">
        <f t="shared" ref="T138:T200" si="41">IF(H138="Topic",
"[ROLE] Tech Lead | " &amp;
"[TASK] Provide intentionally messy but functional code for learning debugging and improvement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IF(G138="Beginner", "Do NOT use functions unless absolutely required by the concept. Use linear scripts. ", IF(G138="Intermediate",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5" t="str">
        <f t="shared" ref="U138:U200" si="42">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8" t="str">
        <f t="shared" ref="W138:W200" si="43">IF(H138="Topic",
"[ROLE] Tech Product Manager assigning a " &amp; $I$2 &amp; " Jira Ticket | " &amp;
"[TASK] Provide a guided implementation exercise with full solution for learning purposes | " &amp;
"[TOPIC] " &amp; I138 &amp; " | " &amp;
"[LEVEL] " &amp; G138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IF(G138="Beginner", "Use simple scripts or minimal functions. ", IF(G138="Intermediate",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5" t="str">
        <f t="shared" ref="X138:X200" si="44">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5">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IF(G138="Beginner", "25–40", IF(G138="Intermediate", "30–60", "40–100")) &amp; " lines (STRICT) - Multi-step flow " &amp; IF(G138&lt;&gt;"Advanced", "- NO classes ", "") &amp; " | " &amp;
"[FUNCTION RULE] " &amp; IF(G138="Beginner", "Avoid functions unless required. Use flat, linear scripts. ", IF(G138="Intermediate",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6">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7">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"[CODE CONSTRAINTS] MUST be between " &amp; IF(G138="Beginner", "25–40", IF(G138="Intermediate",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8">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IF(G138="Beginner", "Avoid functions unless required. ", IF(G138="Intermediate",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9">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3"/>
        <v/>
      </c>
      <c r="AI138" s="54"/>
      <c r="AJ138" s="54"/>
      <c r="AK138" s="54"/>
      <c r="AL138" s="54"/>
      <c r="AM138" s="54"/>
    </row>
    <row r="139" spans="1:39">
      <c r="A139" s="96"/>
      <c r="B139" s="45" t="str" cm="1">
        <f t="array" ref="B139">IF(H139="PROJECT", CHAR(10) &amp; "- " &amp; _xlfn.TEXTJOIN(CHAR(10) &amp; "- ", TRUE, _xlfn._xlws.FILTER($I$9:$I$1000, ($C$9:$C$1000=C139) * ($H$9:$H$1000="Topic"))), "")</f>
        <v/>
      </c>
      <c r="C139" s="45">
        <f t="shared" si="34"/>
        <v>101</v>
      </c>
      <c r="D139" s="46"/>
      <c r="E139" s="58"/>
      <c r="F139" s="67"/>
      <c r="G139" s="53"/>
      <c r="H139" s="53"/>
      <c r="I139" s="50"/>
      <c r="J139" s="51"/>
      <c r="K139" s="103" t="str">
        <f t="shared" si="35"/>
        <v/>
      </c>
      <c r="L139" s="105" t="str">
        <f t="shared" si="36"/>
        <v/>
      </c>
      <c r="M139" s="53">
        <v>0</v>
      </c>
      <c r="N139" s="104" t="str">
        <f t="shared" si="37"/>
        <v/>
      </c>
      <c r="O139" s="105" t="str">
        <f t="shared" si="38"/>
        <v/>
      </c>
      <c r="P139" s="53">
        <v>0</v>
      </c>
      <c r="Q139" s="104" t="str">
        <f t="shared" si="39"/>
        <v/>
      </c>
      <c r="R139" s="105" t="str">
        <f t="shared" si="40"/>
        <v/>
      </c>
      <c r="S139" s="53">
        <v>0</v>
      </c>
      <c r="T139" s="104" t="str">
        <f t="shared" si="41"/>
        <v/>
      </c>
      <c r="U139" s="105" t="str">
        <f t="shared" si="42"/>
        <v/>
      </c>
      <c r="V139" s="53">
        <v>0</v>
      </c>
      <c r="W139" s="88" t="str">
        <f t="shared" si="43"/>
        <v/>
      </c>
      <c r="X139" s="105" t="str">
        <f t="shared" si="44"/>
        <v/>
      </c>
      <c r="Y139" s="53">
        <v>0</v>
      </c>
      <c r="Z139" s="56" t="str">
        <f t="shared" si="45"/>
        <v/>
      </c>
      <c r="AA139" s="56" t="str">
        <f t="shared" si="46"/>
        <v/>
      </c>
      <c r="AB139" s="56" t="str">
        <f t="shared" si="47"/>
        <v/>
      </c>
      <c r="AC139" s="56" t="str">
        <f t="shared" si="48"/>
        <v/>
      </c>
      <c r="AD139" s="56" t="str">
        <f t="shared" si="49"/>
        <v/>
      </c>
      <c r="AE139" s="40"/>
      <c r="AF139" s="40"/>
      <c r="AG139" s="40"/>
      <c r="AH139" s="56" t="str">
        <f t="shared" si="33"/>
        <v/>
      </c>
      <c r="AI139" s="54"/>
      <c r="AJ139" s="54"/>
      <c r="AK139" s="54"/>
      <c r="AL139" s="54"/>
      <c r="AM139" s="54"/>
    </row>
    <row r="140" spans="1:39">
      <c r="A140" s="96"/>
      <c r="B140" s="45" t="str" cm="1">
        <f t="array" ref="B140">IF(H140="PROJECT", CHAR(10) &amp; "- " &amp; _xlfn.TEXTJOIN(CHAR(10) &amp; "- ", TRUE, _xlfn._xlws.FILTER($I$9:$I$1000, ($C$9:$C$1000=C140) * ($H$9:$H$1000="Topic"))), "")</f>
        <v/>
      </c>
      <c r="C140" s="45">
        <f t="shared" si="34"/>
        <v>102</v>
      </c>
      <c r="D140" s="57"/>
      <c r="E140" s="58"/>
      <c r="F140" s="54"/>
      <c r="G140" s="52"/>
      <c r="H140" s="52"/>
      <c r="I140" s="61"/>
      <c r="J140" s="62"/>
      <c r="K140" s="103" t="str">
        <f t="shared" si="35"/>
        <v/>
      </c>
      <c r="L140" s="105" t="str">
        <f t="shared" si="36"/>
        <v/>
      </c>
      <c r="M140" s="52">
        <v>0</v>
      </c>
      <c r="N140" s="104" t="str">
        <f t="shared" si="37"/>
        <v/>
      </c>
      <c r="O140" s="105" t="str">
        <f t="shared" si="38"/>
        <v/>
      </c>
      <c r="P140" s="52">
        <v>0</v>
      </c>
      <c r="Q140" s="104" t="str">
        <f t="shared" si="39"/>
        <v/>
      </c>
      <c r="R140" s="105" t="str">
        <f t="shared" si="40"/>
        <v/>
      </c>
      <c r="S140" s="52">
        <v>0</v>
      </c>
      <c r="T140" s="104" t="str">
        <f t="shared" si="41"/>
        <v/>
      </c>
      <c r="U140" s="105" t="str">
        <f t="shared" si="42"/>
        <v/>
      </c>
      <c r="V140" s="52">
        <v>0</v>
      </c>
      <c r="W140" s="88" t="str">
        <f t="shared" si="43"/>
        <v/>
      </c>
      <c r="X140" s="105" t="str">
        <f t="shared" si="44"/>
        <v/>
      </c>
      <c r="Y140" s="52">
        <v>0</v>
      </c>
      <c r="Z140" s="56" t="str">
        <f t="shared" si="45"/>
        <v/>
      </c>
      <c r="AA140" s="56" t="str">
        <f t="shared" si="46"/>
        <v/>
      </c>
      <c r="AB140" s="56" t="str">
        <f t="shared" si="47"/>
        <v/>
      </c>
      <c r="AC140" s="56" t="str">
        <f t="shared" si="48"/>
        <v/>
      </c>
      <c r="AD140" s="56" t="str">
        <f t="shared" si="49"/>
        <v/>
      </c>
      <c r="AE140" s="40"/>
      <c r="AF140" s="40"/>
      <c r="AG140" s="40"/>
      <c r="AH140" s="56" t="str">
        <f t="shared" si="33"/>
        <v/>
      </c>
      <c r="AI140" s="54"/>
      <c r="AJ140" s="54"/>
      <c r="AK140" s="54"/>
      <c r="AL140" s="54"/>
      <c r="AM140" s="54"/>
    </row>
    <row r="141" spans="1:39">
      <c r="A141" s="96"/>
      <c r="B141" s="45" t="str" cm="1">
        <f t="array" ref="B141">IF(H141="PROJECT", CHAR(10) &amp; "- " &amp; _xlfn.TEXTJOIN(CHAR(10) &amp; "- ", TRUE, _xlfn._xlws.FILTER($I$9:$I$1000, ($C$9:$C$1000=C141) * ($H$9:$H$1000="Topic"))), "")</f>
        <v/>
      </c>
      <c r="C141" s="45">
        <f t="shared" si="34"/>
        <v>103</v>
      </c>
      <c r="D141" s="46"/>
      <c r="E141" s="58"/>
      <c r="F141" s="67"/>
      <c r="G141" s="53"/>
      <c r="H141" s="53"/>
      <c r="I141" s="50"/>
      <c r="J141" s="51"/>
      <c r="K141" s="103" t="str">
        <f t="shared" si="35"/>
        <v/>
      </c>
      <c r="L141" s="105" t="str">
        <f t="shared" si="36"/>
        <v/>
      </c>
      <c r="M141" s="53">
        <v>0</v>
      </c>
      <c r="N141" s="104" t="str">
        <f t="shared" si="37"/>
        <v/>
      </c>
      <c r="O141" s="105" t="str">
        <f t="shared" si="38"/>
        <v/>
      </c>
      <c r="P141" s="53">
        <v>0</v>
      </c>
      <c r="Q141" s="104" t="str">
        <f t="shared" si="39"/>
        <v/>
      </c>
      <c r="R141" s="105" t="str">
        <f t="shared" si="40"/>
        <v/>
      </c>
      <c r="S141" s="53">
        <v>0</v>
      </c>
      <c r="T141" s="104" t="str">
        <f t="shared" si="41"/>
        <v/>
      </c>
      <c r="U141" s="105" t="str">
        <f t="shared" si="42"/>
        <v/>
      </c>
      <c r="V141" s="53">
        <v>0</v>
      </c>
      <c r="W141" s="88" t="str">
        <f t="shared" si="43"/>
        <v/>
      </c>
      <c r="X141" s="105" t="str">
        <f t="shared" si="44"/>
        <v/>
      </c>
      <c r="Y141" s="53">
        <v>0</v>
      </c>
      <c r="Z141" s="56" t="str">
        <f t="shared" si="45"/>
        <v/>
      </c>
      <c r="AA141" s="56" t="str">
        <f t="shared" si="46"/>
        <v/>
      </c>
      <c r="AB141" s="56" t="str">
        <f t="shared" si="47"/>
        <v/>
      </c>
      <c r="AC141" s="56" t="str">
        <f t="shared" si="48"/>
        <v/>
      </c>
      <c r="AD141" s="56" t="str">
        <f t="shared" si="49"/>
        <v/>
      </c>
      <c r="AE141" s="40"/>
      <c r="AF141" s="40"/>
      <c r="AG141" s="40"/>
      <c r="AH141" s="56" t="str">
        <f t="shared" ref="AH141:AH200" si="50">IF(AE141=$B$6,AG141,"")</f>
        <v/>
      </c>
      <c r="AI141" s="54"/>
      <c r="AJ141" s="54"/>
      <c r="AK141" s="54"/>
      <c r="AL141" s="54"/>
      <c r="AM141" s="54"/>
    </row>
    <row r="142" spans="1:39">
      <c r="A142" s="96"/>
      <c r="B142" s="45" t="str" cm="1">
        <f t="array" ref="B142">IF(H142="PROJECT", CHAR(10) &amp; "- " &amp; _xlfn.TEXTJOIN(CHAR(10) &amp; "- ", TRUE, _xlfn._xlws.FILTER($I$9:$I$1000, ($C$9:$C$1000=C142) * ($H$9:$H$1000="Topic"))), "")</f>
        <v/>
      </c>
      <c r="C142" s="45">
        <f t="shared" si="34"/>
        <v>104</v>
      </c>
      <c r="D142" s="57"/>
      <c r="E142" s="58"/>
      <c r="F142" s="54"/>
      <c r="G142" s="52"/>
      <c r="H142" s="52"/>
      <c r="I142" s="61"/>
      <c r="J142" s="62"/>
      <c r="K142" s="103" t="str">
        <f t="shared" si="35"/>
        <v/>
      </c>
      <c r="L142" s="105" t="str">
        <f t="shared" si="36"/>
        <v/>
      </c>
      <c r="M142" s="52">
        <v>0</v>
      </c>
      <c r="N142" s="104" t="str">
        <f t="shared" si="37"/>
        <v/>
      </c>
      <c r="O142" s="105" t="str">
        <f t="shared" si="38"/>
        <v/>
      </c>
      <c r="P142" s="52">
        <v>0</v>
      </c>
      <c r="Q142" s="104" t="str">
        <f t="shared" si="39"/>
        <v/>
      </c>
      <c r="R142" s="105" t="str">
        <f t="shared" si="40"/>
        <v/>
      </c>
      <c r="S142" s="52">
        <v>0</v>
      </c>
      <c r="T142" s="104" t="str">
        <f t="shared" si="41"/>
        <v/>
      </c>
      <c r="U142" s="105" t="str">
        <f t="shared" si="42"/>
        <v/>
      </c>
      <c r="V142" s="52">
        <v>0</v>
      </c>
      <c r="W142" s="88" t="str">
        <f t="shared" si="43"/>
        <v/>
      </c>
      <c r="X142" s="105" t="str">
        <f t="shared" si="44"/>
        <v/>
      </c>
      <c r="Y142" s="52">
        <v>0</v>
      </c>
      <c r="Z142" s="56" t="str">
        <f t="shared" si="45"/>
        <v/>
      </c>
      <c r="AA142" s="56" t="str">
        <f t="shared" si="46"/>
        <v/>
      </c>
      <c r="AB142" s="56" t="str">
        <f t="shared" si="47"/>
        <v/>
      </c>
      <c r="AC142" s="56" t="str">
        <f t="shared" si="48"/>
        <v/>
      </c>
      <c r="AD142" s="56" t="str">
        <f t="shared" si="49"/>
        <v/>
      </c>
      <c r="AE142" s="40"/>
      <c r="AF142" s="40"/>
      <c r="AG142" s="40"/>
      <c r="AH142" s="56" t="str">
        <f t="shared" si="50"/>
        <v/>
      </c>
      <c r="AI142" s="54"/>
      <c r="AJ142" s="54"/>
      <c r="AK142" s="54"/>
      <c r="AL142" s="54"/>
      <c r="AM142" s="54"/>
    </row>
    <row r="143" spans="1:39">
      <c r="A143" s="96"/>
      <c r="B143" s="45" t="str" cm="1">
        <f t="array" ref="B143">IF(H143="PROJECT", CHAR(10) &amp; "- " &amp; _xlfn.TEXTJOIN(CHAR(10) &amp; "- ", TRUE, _xlfn._xlws.FILTER($I$9:$I$1000, ($C$9:$C$1000=C143) * ($H$9:$H$1000="Topic"))), "")</f>
        <v/>
      </c>
      <c r="C143" s="45">
        <f t="shared" si="34"/>
        <v>105</v>
      </c>
      <c r="D143" s="46"/>
      <c r="E143" s="58"/>
      <c r="F143" s="67"/>
      <c r="G143" s="53"/>
      <c r="H143" s="53"/>
      <c r="I143" s="50"/>
      <c r="J143" s="51"/>
      <c r="K143" s="103" t="str">
        <f t="shared" si="35"/>
        <v/>
      </c>
      <c r="L143" s="105" t="str">
        <f t="shared" si="36"/>
        <v/>
      </c>
      <c r="M143" s="53">
        <v>0</v>
      </c>
      <c r="N143" s="104" t="str">
        <f t="shared" si="37"/>
        <v/>
      </c>
      <c r="O143" s="105" t="str">
        <f t="shared" si="38"/>
        <v/>
      </c>
      <c r="P143" s="53">
        <v>0</v>
      </c>
      <c r="Q143" s="104" t="str">
        <f t="shared" si="39"/>
        <v/>
      </c>
      <c r="R143" s="105" t="str">
        <f t="shared" si="40"/>
        <v/>
      </c>
      <c r="S143" s="53">
        <v>0</v>
      </c>
      <c r="T143" s="104" t="str">
        <f t="shared" si="41"/>
        <v/>
      </c>
      <c r="U143" s="105" t="str">
        <f t="shared" si="42"/>
        <v/>
      </c>
      <c r="V143" s="53">
        <v>0</v>
      </c>
      <c r="W143" s="88" t="str">
        <f t="shared" si="43"/>
        <v/>
      </c>
      <c r="X143" s="105" t="str">
        <f t="shared" si="44"/>
        <v/>
      </c>
      <c r="Y143" s="53">
        <v>0</v>
      </c>
      <c r="Z143" s="56" t="str">
        <f t="shared" si="45"/>
        <v/>
      </c>
      <c r="AA143" s="56" t="str">
        <f t="shared" si="46"/>
        <v/>
      </c>
      <c r="AB143" s="56" t="str">
        <f t="shared" si="47"/>
        <v/>
      </c>
      <c r="AC143" s="56" t="str">
        <f t="shared" si="48"/>
        <v/>
      </c>
      <c r="AD143" s="56" t="str">
        <f t="shared" si="49"/>
        <v/>
      </c>
      <c r="AE143" s="40"/>
      <c r="AF143" s="40"/>
      <c r="AG143" s="40"/>
      <c r="AH143" s="56" t="str">
        <f t="shared" si="50"/>
        <v/>
      </c>
      <c r="AI143" s="54"/>
      <c r="AJ143" s="54"/>
      <c r="AK143" s="54"/>
      <c r="AL143" s="54"/>
      <c r="AM143" s="54"/>
    </row>
    <row r="144" spans="1:39">
      <c r="A144" s="96"/>
      <c r="B144" s="45" t="str" cm="1">
        <f t="array" ref="B144">IF(H144="PROJECT", CHAR(10) &amp; "- " &amp; _xlfn.TEXTJOIN(CHAR(10) &amp; "- ", TRUE, _xlfn._xlws.FILTER($I$9:$I$1000, ($C$9:$C$1000=C144) * ($H$9:$H$1000="Topic"))), "")</f>
        <v/>
      </c>
      <c r="C144" s="45">
        <f t="shared" si="34"/>
        <v>106</v>
      </c>
      <c r="D144" s="57"/>
      <c r="E144" s="58"/>
      <c r="F144" s="54"/>
      <c r="G144" s="52"/>
      <c r="H144" s="52"/>
      <c r="I144" s="61"/>
      <c r="J144" s="62"/>
      <c r="K144" s="103" t="str">
        <f t="shared" si="35"/>
        <v/>
      </c>
      <c r="L144" s="105" t="str">
        <f t="shared" si="36"/>
        <v/>
      </c>
      <c r="M144" s="52">
        <v>0</v>
      </c>
      <c r="N144" s="104" t="str">
        <f t="shared" si="37"/>
        <v/>
      </c>
      <c r="O144" s="105" t="str">
        <f t="shared" si="38"/>
        <v/>
      </c>
      <c r="P144" s="52">
        <v>0</v>
      </c>
      <c r="Q144" s="104" t="str">
        <f t="shared" si="39"/>
        <v/>
      </c>
      <c r="R144" s="105" t="str">
        <f t="shared" si="40"/>
        <v/>
      </c>
      <c r="S144" s="52">
        <v>0</v>
      </c>
      <c r="T144" s="104" t="str">
        <f t="shared" si="41"/>
        <v/>
      </c>
      <c r="U144" s="105" t="str">
        <f t="shared" si="42"/>
        <v/>
      </c>
      <c r="V144" s="52">
        <v>0</v>
      </c>
      <c r="W144" s="88" t="str">
        <f t="shared" si="43"/>
        <v/>
      </c>
      <c r="X144" s="105" t="str">
        <f t="shared" si="44"/>
        <v/>
      </c>
      <c r="Y144" s="52">
        <v>0</v>
      </c>
      <c r="Z144" s="56" t="str">
        <f t="shared" si="45"/>
        <v/>
      </c>
      <c r="AA144" s="56" t="str">
        <f t="shared" si="46"/>
        <v/>
      </c>
      <c r="AB144" s="56" t="str">
        <f t="shared" si="47"/>
        <v/>
      </c>
      <c r="AC144" s="56" t="str">
        <f t="shared" si="48"/>
        <v/>
      </c>
      <c r="AD144" s="56" t="str">
        <f t="shared" si="49"/>
        <v/>
      </c>
      <c r="AE144" s="40"/>
      <c r="AF144" s="40"/>
      <c r="AG144" s="40"/>
      <c r="AH144" s="56" t="str">
        <f t="shared" si="50"/>
        <v/>
      </c>
      <c r="AI144" s="54"/>
      <c r="AJ144" s="54"/>
      <c r="AK144" s="54"/>
      <c r="AL144" s="54"/>
      <c r="AM144" s="54"/>
    </row>
    <row r="145" spans="1:39">
      <c r="A145" s="96"/>
      <c r="B145" s="45" t="str" cm="1">
        <f t="array" ref="B145">IF(H145="PROJECT", CHAR(10) &amp; "- " &amp; _xlfn.TEXTJOIN(CHAR(10) &amp; "- ", TRUE, _xlfn._xlws.FILTER($I$9:$I$1000, ($C$9:$C$1000=C145) * ($H$9:$H$1000="Topic"))), "")</f>
        <v/>
      </c>
      <c r="C145" s="45">
        <f t="shared" si="34"/>
        <v>107</v>
      </c>
      <c r="D145" s="46"/>
      <c r="E145" s="58"/>
      <c r="F145" s="67"/>
      <c r="G145" s="53"/>
      <c r="H145" s="53"/>
      <c r="I145" s="50"/>
      <c r="J145" s="51"/>
      <c r="K145" s="103" t="str">
        <f t="shared" si="35"/>
        <v/>
      </c>
      <c r="L145" s="105" t="str">
        <f t="shared" si="36"/>
        <v/>
      </c>
      <c r="M145" s="53">
        <v>0</v>
      </c>
      <c r="N145" s="104" t="str">
        <f t="shared" si="37"/>
        <v/>
      </c>
      <c r="O145" s="105" t="str">
        <f t="shared" si="38"/>
        <v/>
      </c>
      <c r="P145" s="53">
        <v>0</v>
      </c>
      <c r="Q145" s="104" t="str">
        <f t="shared" si="39"/>
        <v/>
      </c>
      <c r="R145" s="105" t="str">
        <f t="shared" si="40"/>
        <v/>
      </c>
      <c r="S145" s="53">
        <v>0</v>
      </c>
      <c r="T145" s="104" t="str">
        <f t="shared" si="41"/>
        <v/>
      </c>
      <c r="U145" s="105" t="str">
        <f t="shared" si="42"/>
        <v/>
      </c>
      <c r="V145" s="53">
        <v>0</v>
      </c>
      <c r="W145" s="88" t="str">
        <f t="shared" si="43"/>
        <v/>
      </c>
      <c r="X145" s="105" t="str">
        <f t="shared" si="44"/>
        <v/>
      </c>
      <c r="Y145" s="53">
        <v>0</v>
      </c>
      <c r="Z145" s="56" t="str">
        <f t="shared" si="45"/>
        <v/>
      </c>
      <c r="AA145" s="56" t="str">
        <f t="shared" si="46"/>
        <v/>
      </c>
      <c r="AB145" s="56" t="str">
        <f t="shared" si="47"/>
        <v/>
      </c>
      <c r="AC145" s="56" t="str">
        <f t="shared" si="48"/>
        <v/>
      </c>
      <c r="AD145" s="56" t="str">
        <f t="shared" si="49"/>
        <v/>
      </c>
      <c r="AE145" s="40"/>
      <c r="AF145" s="40"/>
      <c r="AG145" s="40"/>
      <c r="AH145" s="56" t="str">
        <f t="shared" si="50"/>
        <v/>
      </c>
      <c r="AI145" s="54"/>
      <c r="AJ145" s="54"/>
      <c r="AK145" s="54"/>
      <c r="AL145" s="54"/>
      <c r="AM145" s="54"/>
    </row>
    <row r="146" spans="1:39">
      <c r="A146" s="96"/>
      <c r="B146" s="45" t="str" cm="1">
        <f t="array" ref="B146">IF(H146="PROJECT", CHAR(10) &amp; "- " &amp; _xlfn.TEXTJOIN(CHAR(10) &amp; "- ", TRUE, _xlfn._xlws.FILTER($I$9:$I$1000, ($C$9:$C$1000=C146) * ($H$9:$H$1000="Topic"))), "")</f>
        <v/>
      </c>
      <c r="C146" s="45">
        <f t="shared" si="34"/>
        <v>108</v>
      </c>
      <c r="D146" s="57"/>
      <c r="E146" s="58"/>
      <c r="F146" s="54"/>
      <c r="G146" s="52"/>
      <c r="H146" s="52"/>
      <c r="I146" s="61"/>
      <c r="J146" s="62"/>
      <c r="K146" s="103" t="str">
        <f t="shared" si="35"/>
        <v/>
      </c>
      <c r="L146" s="105" t="str">
        <f t="shared" si="36"/>
        <v/>
      </c>
      <c r="M146" s="52">
        <v>0</v>
      </c>
      <c r="N146" s="104" t="str">
        <f t="shared" si="37"/>
        <v/>
      </c>
      <c r="O146" s="105" t="str">
        <f t="shared" si="38"/>
        <v/>
      </c>
      <c r="P146" s="52">
        <v>0</v>
      </c>
      <c r="Q146" s="104" t="str">
        <f t="shared" si="39"/>
        <v/>
      </c>
      <c r="R146" s="105" t="str">
        <f t="shared" si="40"/>
        <v/>
      </c>
      <c r="S146" s="52">
        <v>0</v>
      </c>
      <c r="T146" s="104" t="str">
        <f t="shared" si="41"/>
        <v/>
      </c>
      <c r="U146" s="105" t="str">
        <f t="shared" si="42"/>
        <v/>
      </c>
      <c r="V146" s="52">
        <v>0</v>
      </c>
      <c r="W146" s="88" t="str">
        <f t="shared" si="43"/>
        <v/>
      </c>
      <c r="X146" s="105" t="str">
        <f t="shared" si="44"/>
        <v/>
      </c>
      <c r="Y146" s="52">
        <v>0</v>
      </c>
      <c r="Z146" s="56" t="str">
        <f t="shared" si="45"/>
        <v/>
      </c>
      <c r="AA146" s="56" t="str">
        <f t="shared" si="46"/>
        <v/>
      </c>
      <c r="AB146" s="56" t="str">
        <f t="shared" si="47"/>
        <v/>
      </c>
      <c r="AC146" s="56" t="str">
        <f t="shared" si="48"/>
        <v/>
      </c>
      <c r="AD146" s="56" t="str">
        <f t="shared" si="49"/>
        <v/>
      </c>
      <c r="AE146" s="40"/>
      <c r="AF146" s="40"/>
      <c r="AG146" s="40"/>
      <c r="AH146" s="56" t="str">
        <f t="shared" si="50"/>
        <v/>
      </c>
      <c r="AI146" s="54"/>
      <c r="AJ146" s="54"/>
      <c r="AK146" s="54"/>
      <c r="AL146" s="54"/>
      <c r="AM146" s="54"/>
    </row>
    <row r="147" spans="1:39">
      <c r="A147" s="96"/>
      <c r="B147" s="45" t="str" cm="1">
        <f t="array" ref="B147">IF(H147="PROJECT", CHAR(10) &amp; "- " &amp; _xlfn.TEXTJOIN(CHAR(10) &amp; "- ", TRUE, _xlfn._xlws.FILTER($I$9:$I$1000, ($C$9:$C$1000=C147) * ($H$9:$H$1000="Topic"))), "")</f>
        <v/>
      </c>
      <c r="C147" s="45">
        <f t="shared" si="34"/>
        <v>109</v>
      </c>
      <c r="D147" s="46"/>
      <c r="E147" s="58"/>
      <c r="F147" s="67"/>
      <c r="G147" s="53"/>
      <c r="H147" s="53"/>
      <c r="I147" s="50"/>
      <c r="J147" s="51"/>
      <c r="K147" s="103" t="str">
        <f t="shared" si="35"/>
        <v/>
      </c>
      <c r="L147" s="105" t="str">
        <f t="shared" si="36"/>
        <v/>
      </c>
      <c r="M147" s="53">
        <v>0</v>
      </c>
      <c r="N147" s="104" t="str">
        <f t="shared" si="37"/>
        <v/>
      </c>
      <c r="O147" s="105" t="str">
        <f t="shared" si="38"/>
        <v/>
      </c>
      <c r="P147" s="53">
        <v>0</v>
      </c>
      <c r="Q147" s="104" t="str">
        <f t="shared" si="39"/>
        <v/>
      </c>
      <c r="R147" s="105" t="str">
        <f t="shared" si="40"/>
        <v/>
      </c>
      <c r="S147" s="53">
        <v>0</v>
      </c>
      <c r="T147" s="104" t="str">
        <f t="shared" si="41"/>
        <v/>
      </c>
      <c r="U147" s="105" t="str">
        <f t="shared" si="42"/>
        <v/>
      </c>
      <c r="V147" s="53">
        <v>0</v>
      </c>
      <c r="W147" s="88" t="str">
        <f t="shared" si="43"/>
        <v/>
      </c>
      <c r="X147" s="105" t="str">
        <f t="shared" si="44"/>
        <v/>
      </c>
      <c r="Y147" s="53">
        <v>0</v>
      </c>
      <c r="Z147" s="56" t="str">
        <f t="shared" si="45"/>
        <v/>
      </c>
      <c r="AA147" s="56" t="str">
        <f t="shared" si="46"/>
        <v/>
      </c>
      <c r="AB147" s="56" t="str">
        <f t="shared" si="47"/>
        <v/>
      </c>
      <c r="AC147" s="56" t="str">
        <f t="shared" si="48"/>
        <v/>
      </c>
      <c r="AD147" s="56" t="str">
        <f t="shared" si="49"/>
        <v/>
      </c>
      <c r="AE147" s="40"/>
      <c r="AF147" s="40"/>
      <c r="AG147" s="40"/>
      <c r="AH147" s="56" t="str">
        <f t="shared" si="50"/>
        <v/>
      </c>
      <c r="AI147" s="54"/>
      <c r="AJ147" s="54"/>
      <c r="AK147" s="54"/>
      <c r="AL147" s="54"/>
      <c r="AM147" s="54"/>
    </row>
    <row r="148" spans="1:39">
      <c r="A148" s="96"/>
      <c r="B148" s="45" t="str" cm="1">
        <f t="array" ref="B148">IF(H148="PROJECT", CHAR(10) &amp; "- " &amp; _xlfn.TEXTJOIN(CHAR(10) &amp; "- ", TRUE, _xlfn._xlws.FILTER($I$9:$I$1000, ($C$9:$C$1000=C148) * ($H$9:$H$1000="Topic"))), "")</f>
        <v/>
      </c>
      <c r="C148" s="45">
        <f t="shared" si="34"/>
        <v>110</v>
      </c>
      <c r="D148" s="57"/>
      <c r="E148" s="58"/>
      <c r="F148" s="54"/>
      <c r="G148" s="52"/>
      <c r="H148" s="52"/>
      <c r="I148" s="61"/>
      <c r="J148" s="62"/>
      <c r="K148" s="103" t="str">
        <f t="shared" si="35"/>
        <v/>
      </c>
      <c r="L148" s="105" t="str">
        <f t="shared" si="36"/>
        <v/>
      </c>
      <c r="M148" s="52">
        <v>0</v>
      </c>
      <c r="N148" s="104" t="str">
        <f t="shared" si="37"/>
        <v/>
      </c>
      <c r="O148" s="105" t="str">
        <f t="shared" si="38"/>
        <v/>
      </c>
      <c r="P148" s="52">
        <v>0</v>
      </c>
      <c r="Q148" s="104" t="str">
        <f t="shared" si="39"/>
        <v/>
      </c>
      <c r="R148" s="105" t="str">
        <f t="shared" si="40"/>
        <v/>
      </c>
      <c r="S148" s="52">
        <v>0</v>
      </c>
      <c r="T148" s="104" t="str">
        <f t="shared" si="41"/>
        <v/>
      </c>
      <c r="U148" s="105" t="str">
        <f t="shared" si="42"/>
        <v/>
      </c>
      <c r="V148" s="52">
        <v>0</v>
      </c>
      <c r="W148" s="88" t="str">
        <f t="shared" si="43"/>
        <v/>
      </c>
      <c r="X148" s="105" t="str">
        <f t="shared" si="44"/>
        <v/>
      </c>
      <c r="Y148" s="52">
        <v>0</v>
      </c>
      <c r="Z148" s="56" t="str">
        <f t="shared" si="45"/>
        <v/>
      </c>
      <c r="AA148" s="56" t="str">
        <f t="shared" si="46"/>
        <v/>
      </c>
      <c r="AB148" s="56" t="str">
        <f t="shared" si="47"/>
        <v/>
      </c>
      <c r="AC148" s="56" t="str">
        <f t="shared" si="48"/>
        <v/>
      </c>
      <c r="AD148" s="56" t="str">
        <f t="shared" si="49"/>
        <v/>
      </c>
      <c r="AE148" s="40"/>
      <c r="AF148" s="40"/>
      <c r="AG148" s="40"/>
      <c r="AH148" s="56" t="str">
        <f t="shared" si="50"/>
        <v/>
      </c>
      <c r="AI148" s="54"/>
      <c r="AJ148" s="54"/>
      <c r="AK148" s="54"/>
      <c r="AL148" s="54"/>
      <c r="AM148" s="54"/>
    </row>
    <row r="149" spans="1:39">
      <c r="A149" s="96"/>
      <c r="B149" s="45" t="str" cm="1">
        <f t="array" ref="B149">IF(H149="PROJECT", CHAR(10) &amp; "- " &amp; _xlfn.TEXTJOIN(CHAR(10) &amp; "- ", TRUE, _xlfn._xlws.FILTER($I$9:$I$1000, ($C$9:$C$1000=C149) * ($H$9:$H$1000="Topic"))), "")</f>
        <v/>
      </c>
      <c r="C149" s="45">
        <f t="shared" si="34"/>
        <v>111</v>
      </c>
      <c r="D149" s="46"/>
      <c r="E149" s="58"/>
      <c r="F149" s="67"/>
      <c r="G149" s="53"/>
      <c r="H149" s="53"/>
      <c r="I149" s="50"/>
      <c r="J149" s="51"/>
      <c r="K149" s="103" t="str">
        <f t="shared" si="35"/>
        <v/>
      </c>
      <c r="L149" s="105" t="str">
        <f t="shared" si="36"/>
        <v/>
      </c>
      <c r="M149" s="53">
        <v>0</v>
      </c>
      <c r="N149" s="104" t="str">
        <f t="shared" si="37"/>
        <v/>
      </c>
      <c r="O149" s="105" t="str">
        <f t="shared" si="38"/>
        <v/>
      </c>
      <c r="P149" s="53">
        <v>0</v>
      </c>
      <c r="Q149" s="104" t="str">
        <f t="shared" si="39"/>
        <v/>
      </c>
      <c r="R149" s="105" t="str">
        <f t="shared" si="40"/>
        <v/>
      </c>
      <c r="S149" s="53">
        <v>0</v>
      </c>
      <c r="T149" s="104" t="str">
        <f t="shared" si="41"/>
        <v/>
      </c>
      <c r="U149" s="105" t="str">
        <f t="shared" si="42"/>
        <v/>
      </c>
      <c r="V149" s="53">
        <v>0</v>
      </c>
      <c r="W149" s="88" t="str">
        <f t="shared" si="43"/>
        <v/>
      </c>
      <c r="X149" s="105" t="str">
        <f t="shared" si="44"/>
        <v/>
      </c>
      <c r="Y149" s="53">
        <v>0</v>
      </c>
      <c r="Z149" s="56" t="str">
        <f t="shared" si="45"/>
        <v/>
      </c>
      <c r="AA149" s="56" t="str">
        <f t="shared" si="46"/>
        <v/>
      </c>
      <c r="AB149" s="56" t="str">
        <f t="shared" si="47"/>
        <v/>
      </c>
      <c r="AC149" s="56" t="str">
        <f t="shared" si="48"/>
        <v/>
      </c>
      <c r="AD149" s="56" t="str">
        <f t="shared" si="49"/>
        <v/>
      </c>
      <c r="AE149" s="40"/>
      <c r="AF149" s="40"/>
      <c r="AG149" s="40"/>
      <c r="AH149" s="56" t="str">
        <f t="shared" si="50"/>
        <v/>
      </c>
      <c r="AI149" s="54"/>
      <c r="AJ149" s="54"/>
      <c r="AK149" s="54"/>
      <c r="AL149" s="54"/>
      <c r="AM149" s="54"/>
    </row>
    <row r="150" spans="1:39">
      <c r="A150" s="96"/>
      <c r="B150" s="45" t="str" cm="1">
        <f t="array" ref="B150">IF(H150="PROJECT", CHAR(10) &amp; "- " &amp; _xlfn.TEXTJOIN(CHAR(10) &amp; "- ", TRUE, _xlfn._xlws.FILTER($I$9:$I$1000, ($C$9:$C$1000=C150) * ($H$9:$H$1000="Topic"))), "")</f>
        <v/>
      </c>
      <c r="C150" s="45">
        <f t="shared" si="34"/>
        <v>112</v>
      </c>
      <c r="D150" s="57"/>
      <c r="E150" s="58"/>
      <c r="F150" s="54"/>
      <c r="G150" s="52"/>
      <c r="H150" s="52"/>
      <c r="I150" s="61"/>
      <c r="J150" s="62"/>
      <c r="K150" s="103" t="str">
        <f t="shared" si="35"/>
        <v/>
      </c>
      <c r="L150" s="105" t="str">
        <f t="shared" si="36"/>
        <v/>
      </c>
      <c r="M150" s="52">
        <v>0</v>
      </c>
      <c r="N150" s="104" t="str">
        <f t="shared" si="37"/>
        <v/>
      </c>
      <c r="O150" s="105" t="str">
        <f t="shared" si="38"/>
        <v/>
      </c>
      <c r="P150" s="52">
        <v>0</v>
      </c>
      <c r="Q150" s="104" t="str">
        <f t="shared" si="39"/>
        <v/>
      </c>
      <c r="R150" s="105" t="str">
        <f t="shared" si="40"/>
        <v/>
      </c>
      <c r="S150" s="52">
        <v>0</v>
      </c>
      <c r="T150" s="104" t="str">
        <f t="shared" si="41"/>
        <v/>
      </c>
      <c r="U150" s="105" t="str">
        <f t="shared" si="42"/>
        <v/>
      </c>
      <c r="V150" s="52">
        <v>0</v>
      </c>
      <c r="W150" s="88" t="str">
        <f t="shared" si="43"/>
        <v/>
      </c>
      <c r="X150" s="105" t="str">
        <f t="shared" si="44"/>
        <v/>
      </c>
      <c r="Y150" s="52">
        <v>0</v>
      </c>
      <c r="Z150" s="56" t="str">
        <f t="shared" si="45"/>
        <v/>
      </c>
      <c r="AA150" s="56" t="str">
        <f t="shared" si="46"/>
        <v/>
      </c>
      <c r="AB150" s="56" t="str">
        <f t="shared" si="47"/>
        <v/>
      </c>
      <c r="AC150" s="56" t="str">
        <f t="shared" si="48"/>
        <v/>
      </c>
      <c r="AD150" s="56" t="str">
        <f t="shared" si="49"/>
        <v/>
      </c>
      <c r="AE150" s="40"/>
      <c r="AF150" s="40"/>
      <c r="AG150" s="40"/>
      <c r="AH150" s="56" t="str">
        <f t="shared" si="50"/>
        <v/>
      </c>
      <c r="AI150" s="54"/>
      <c r="AJ150" s="54"/>
      <c r="AK150" s="54"/>
      <c r="AL150" s="54"/>
      <c r="AM150" s="54"/>
    </row>
    <row r="151" spans="1:39">
      <c r="A151" s="96"/>
      <c r="B151" s="45" t="str" cm="1">
        <f t="array" ref="B151">IF(H151="PROJECT", CHAR(10) &amp; "- " &amp; _xlfn.TEXTJOIN(CHAR(10) &amp; "- ", TRUE, _xlfn._xlws.FILTER($I$9:$I$1000, ($C$9:$C$1000=C151) * ($H$9:$H$1000="Topic"))), "")</f>
        <v/>
      </c>
      <c r="C151" s="45">
        <f t="shared" si="34"/>
        <v>113</v>
      </c>
      <c r="D151" s="46"/>
      <c r="E151" s="58"/>
      <c r="F151" s="67"/>
      <c r="G151" s="53"/>
      <c r="H151" s="53"/>
      <c r="I151" s="50"/>
      <c r="J151" s="51"/>
      <c r="K151" s="103" t="str">
        <f t="shared" si="35"/>
        <v/>
      </c>
      <c r="L151" s="105" t="str">
        <f t="shared" si="36"/>
        <v/>
      </c>
      <c r="M151" s="53">
        <v>0</v>
      </c>
      <c r="N151" s="104" t="str">
        <f t="shared" si="37"/>
        <v/>
      </c>
      <c r="O151" s="105" t="str">
        <f t="shared" si="38"/>
        <v/>
      </c>
      <c r="P151" s="53">
        <v>0</v>
      </c>
      <c r="Q151" s="104" t="str">
        <f t="shared" si="39"/>
        <v/>
      </c>
      <c r="R151" s="105" t="str">
        <f t="shared" si="40"/>
        <v/>
      </c>
      <c r="S151" s="53">
        <v>0</v>
      </c>
      <c r="T151" s="104" t="str">
        <f t="shared" si="41"/>
        <v/>
      </c>
      <c r="U151" s="105" t="str">
        <f t="shared" si="42"/>
        <v/>
      </c>
      <c r="V151" s="53">
        <v>0</v>
      </c>
      <c r="W151" s="88" t="str">
        <f t="shared" si="43"/>
        <v/>
      </c>
      <c r="X151" s="105" t="str">
        <f t="shared" si="44"/>
        <v/>
      </c>
      <c r="Y151" s="53">
        <v>0</v>
      </c>
      <c r="Z151" s="56" t="str">
        <f t="shared" si="45"/>
        <v/>
      </c>
      <c r="AA151" s="56" t="str">
        <f t="shared" si="46"/>
        <v/>
      </c>
      <c r="AB151" s="56" t="str">
        <f t="shared" si="47"/>
        <v/>
      </c>
      <c r="AC151" s="56" t="str">
        <f t="shared" si="48"/>
        <v/>
      </c>
      <c r="AD151" s="56" t="str">
        <f t="shared" si="49"/>
        <v/>
      </c>
      <c r="AE151" s="40"/>
      <c r="AF151" s="40"/>
      <c r="AG151" s="40"/>
      <c r="AH151" s="56" t="str">
        <f t="shared" si="50"/>
        <v/>
      </c>
      <c r="AI151" s="54"/>
      <c r="AJ151" s="54"/>
      <c r="AK151" s="54"/>
      <c r="AL151" s="54"/>
      <c r="AM151" s="54"/>
    </row>
    <row r="152" spans="1:39">
      <c r="A152" s="96"/>
      <c r="B152" s="45" t="str" cm="1">
        <f t="array" ref="B152">IF(H152="PROJECT", CHAR(10) &amp; "- " &amp; _xlfn.TEXTJOIN(CHAR(10) &amp; "- ", TRUE, _xlfn._xlws.FILTER($I$9:$I$1000, ($C$9:$C$1000=C152) * ($H$9:$H$1000="Topic"))), "")</f>
        <v/>
      </c>
      <c r="C152" s="45">
        <f t="shared" si="34"/>
        <v>114</v>
      </c>
      <c r="D152" s="57"/>
      <c r="E152" s="58"/>
      <c r="F152" s="54"/>
      <c r="G152" s="52"/>
      <c r="H152" s="52"/>
      <c r="I152" s="61"/>
      <c r="J152" s="62"/>
      <c r="K152" s="103" t="str">
        <f t="shared" si="35"/>
        <v/>
      </c>
      <c r="L152" s="105" t="str">
        <f t="shared" si="36"/>
        <v/>
      </c>
      <c r="M152" s="52">
        <v>0</v>
      </c>
      <c r="N152" s="104" t="str">
        <f t="shared" si="37"/>
        <v/>
      </c>
      <c r="O152" s="105" t="str">
        <f t="shared" si="38"/>
        <v/>
      </c>
      <c r="P152" s="52">
        <v>0</v>
      </c>
      <c r="Q152" s="104" t="str">
        <f t="shared" si="39"/>
        <v/>
      </c>
      <c r="R152" s="105" t="str">
        <f t="shared" si="40"/>
        <v/>
      </c>
      <c r="S152" s="52">
        <v>0</v>
      </c>
      <c r="T152" s="104" t="str">
        <f t="shared" si="41"/>
        <v/>
      </c>
      <c r="U152" s="105" t="str">
        <f t="shared" si="42"/>
        <v/>
      </c>
      <c r="V152" s="52">
        <v>0</v>
      </c>
      <c r="W152" s="88" t="str">
        <f t="shared" si="43"/>
        <v/>
      </c>
      <c r="X152" s="105" t="str">
        <f t="shared" si="44"/>
        <v/>
      </c>
      <c r="Y152" s="52">
        <v>0</v>
      </c>
      <c r="Z152" s="56" t="str">
        <f t="shared" si="45"/>
        <v/>
      </c>
      <c r="AA152" s="56" t="str">
        <f t="shared" si="46"/>
        <v/>
      </c>
      <c r="AB152" s="56" t="str">
        <f t="shared" si="47"/>
        <v/>
      </c>
      <c r="AC152" s="56" t="str">
        <f t="shared" si="48"/>
        <v/>
      </c>
      <c r="AD152" s="56" t="str">
        <f t="shared" si="49"/>
        <v/>
      </c>
      <c r="AE152" s="40"/>
      <c r="AF152" s="40"/>
      <c r="AG152" s="40"/>
      <c r="AH152" s="56" t="str">
        <f t="shared" si="50"/>
        <v/>
      </c>
      <c r="AI152" s="54"/>
      <c r="AJ152" s="54"/>
      <c r="AK152" s="54"/>
      <c r="AL152" s="54"/>
      <c r="AM152" s="54"/>
    </row>
    <row r="153" spans="1:39">
      <c r="A153" s="96"/>
      <c r="B153" s="45" t="str" cm="1">
        <f t="array" ref="B153">IF(H153="PROJECT", CHAR(10) &amp; "- " &amp; _xlfn.TEXTJOIN(CHAR(10) &amp; "- ", TRUE, _xlfn._xlws.FILTER($I$9:$I$1000, ($C$9:$C$1000=C153) * ($H$9:$H$1000="Topic"))), "")</f>
        <v/>
      </c>
      <c r="C153" s="45">
        <f t="shared" si="34"/>
        <v>115</v>
      </c>
      <c r="D153" s="46"/>
      <c r="E153" s="58"/>
      <c r="F153" s="67"/>
      <c r="G153" s="53"/>
      <c r="H153" s="53"/>
      <c r="I153" s="50"/>
      <c r="J153" s="51"/>
      <c r="K153" s="103" t="str">
        <f t="shared" si="35"/>
        <v/>
      </c>
      <c r="L153" s="105" t="str">
        <f t="shared" si="36"/>
        <v/>
      </c>
      <c r="M153" s="53">
        <v>0</v>
      </c>
      <c r="N153" s="104" t="str">
        <f t="shared" si="37"/>
        <v/>
      </c>
      <c r="O153" s="105" t="str">
        <f t="shared" si="38"/>
        <v/>
      </c>
      <c r="P153" s="53">
        <v>0</v>
      </c>
      <c r="Q153" s="104" t="str">
        <f t="shared" si="39"/>
        <v/>
      </c>
      <c r="R153" s="105" t="str">
        <f t="shared" si="40"/>
        <v/>
      </c>
      <c r="S153" s="53">
        <v>0</v>
      </c>
      <c r="T153" s="104" t="str">
        <f t="shared" si="41"/>
        <v/>
      </c>
      <c r="U153" s="105" t="str">
        <f t="shared" si="42"/>
        <v/>
      </c>
      <c r="V153" s="53">
        <v>0</v>
      </c>
      <c r="W153" s="88" t="str">
        <f t="shared" si="43"/>
        <v/>
      </c>
      <c r="X153" s="105" t="str">
        <f t="shared" si="44"/>
        <v/>
      </c>
      <c r="Y153" s="53">
        <v>0</v>
      </c>
      <c r="Z153" s="56" t="str">
        <f t="shared" si="45"/>
        <v/>
      </c>
      <c r="AA153" s="56" t="str">
        <f t="shared" si="46"/>
        <v/>
      </c>
      <c r="AB153" s="56" t="str">
        <f t="shared" si="47"/>
        <v/>
      </c>
      <c r="AC153" s="56" t="str">
        <f t="shared" si="48"/>
        <v/>
      </c>
      <c r="AD153" s="56" t="str">
        <f t="shared" si="49"/>
        <v/>
      </c>
      <c r="AE153" s="40"/>
      <c r="AF153" s="40"/>
      <c r="AG153" s="40"/>
      <c r="AH153" s="56" t="str">
        <f t="shared" si="50"/>
        <v/>
      </c>
      <c r="AI153" s="54"/>
      <c r="AJ153" s="54"/>
      <c r="AK153" s="54"/>
      <c r="AL153" s="54"/>
      <c r="AM153" s="54"/>
    </row>
    <row r="154" spans="1:39">
      <c r="A154" s="96"/>
      <c r="B154" s="45" t="str" cm="1">
        <f t="array" ref="B154">IF(H154="PROJECT", CHAR(10) &amp; "- " &amp; _xlfn.TEXTJOIN(CHAR(10) &amp; "- ", TRUE, _xlfn._xlws.FILTER($I$9:$I$1000, ($C$9:$C$1000=C154) * ($H$9:$H$1000="Topic"))), "")</f>
        <v/>
      </c>
      <c r="C154" s="45">
        <f t="shared" si="34"/>
        <v>116</v>
      </c>
      <c r="D154" s="57"/>
      <c r="E154" s="58"/>
      <c r="F154" s="54"/>
      <c r="G154" s="52"/>
      <c r="H154" s="52"/>
      <c r="I154" s="61"/>
      <c r="J154" s="62"/>
      <c r="K154" s="103" t="str">
        <f t="shared" si="35"/>
        <v/>
      </c>
      <c r="L154" s="105" t="str">
        <f t="shared" si="36"/>
        <v/>
      </c>
      <c r="M154" s="52">
        <v>0</v>
      </c>
      <c r="N154" s="104" t="str">
        <f t="shared" si="37"/>
        <v/>
      </c>
      <c r="O154" s="105" t="str">
        <f t="shared" si="38"/>
        <v/>
      </c>
      <c r="P154" s="52">
        <v>0</v>
      </c>
      <c r="Q154" s="104" t="str">
        <f t="shared" si="39"/>
        <v/>
      </c>
      <c r="R154" s="105" t="str">
        <f t="shared" si="40"/>
        <v/>
      </c>
      <c r="S154" s="52">
        <v>0</v>
      </c>
      <c r="T154" s="104" t="str">
        <f t="shared" si="41"/>
        <v/>
      </c>
      <c r="U154" s="105" t="str">
        <f t="shared" si="42"/>
        <v/>
      </c>
      <c r="V154" s="52">
        <v>0</v>
      </c>
      <c r="W154" s="88" t="str">
        <f t="shared" si="43"/>
        <v/>
      </c>
      <c r="X154" s="105" t="str">
        <f t="shared" si="44"/>
        <v/>
      </c>
      <c r="Y154" s="52">
        <v>0</v>
      </c>
      <c r="Z154" s="56" t="str">
        <f t="shared" si="45"/>
        <v/>
      </c>
      <c r="AA154" s="56" t="str">
        <f t="shared" si="46"/>
        <v/>
      </c>
      <c r="AB154" s="56" t="str">
        <f t="shared" si="47"/>
        <v/>
      </c>
      <c r="AC154" s="56" t="str">
        <f t="shared" si="48"/>
        <v/>
      </c>
      <c r="AD154" s="56" t="str">
        <f t="shared" si="49"/>
        <v/>
      </c>
      <c r="AE154" s="40"/>
      <c r="AF154" s="40"/>
      <c r="AG154" s="40"/>
      <c r="AH154" s="56" t="str">
        <f t="shared" si="50"/>
        <v/>
      </c>
      <c r="AI154" s="54"/>
      <c r="AJ154" s="54"/>
      <c r="AK154" s="54"/>
      <c r="AL154" s="54"/>
      <c r="AM154" s="54"/>
    </row>
    <row r="155" spans="1:39">
      <c r="A155" s="96"/>
      <c r="B155" s="45" t="str" cm="1">
        <f t="array" ref="B155">IF(H155="PROJECT", CHAR(10) &amp; "- " &amp; _xlfn.TEXTJOIN(CHAR(10) &amp; "- ", TRUE, _xlfn._xlws.FILTER($I$9:$I$1000, ($C$9:$C$1000=C155) * ($H$9:$H$1000="Topic"))), "")</f>
        <v/>
      </c>
      <c r="C155" s="45">
        <f t="shared" si="34"/>
        <v>117</v>
      </c>
      <c r="D155" s="46"/>
      <c r="E155" s="58"/>
      <c r="F155" s="67"/>
      <c r="G155" s="53"/>
      <c r="H155" s="53"/>
      <c r="I155" s="50"/>
      <c r="J155" s="51"/>
      <c r="K155" s="103" t="str">
        <f t="shared" si="35"/>
        <v/>
      </c>
      <c r="L155" s="105" t="str">
        <f t="shared" si="36"/>
        <v/>
      </c>
      <c r="M155" s="53">
        <v>0</v>
      </c>
      <c r="N155" s="104" t="str">
        <f t="shared" si="37"/>
        <v/>
      </c>
      <c r="O155" s="105" t="str">
        <f t="shared" si="38"/>
        <v/>
      </c>
      <c r="P155" s="53">
        <v>0</v>
      </c>
      <c r="Q155" s="104" t="str">
        <f t="shared" si="39"/>
        <v/>
      </c>
      <c r="R155" s="105" t="str">
        <f t="shared" si="40"/>
        <v/>
      </c>
      <c r="S155" s="53">
        <v>0</v>
      </c>
      <c r="T155" s="104" t="str">
        <f t="shared" si="41"/>
        <v/>
      </c>
      <c r="U155" s="105" t="str">
        <f t="shared" si="42"/>
        <v/>
      </c>
      <c r="V155" s="53">
        <v>0</v>
      </c>
      <c r="W155" s="88" t="str">
        <f t="shared" si="43"/>
        <v/>
      </c>
      <c r="X155" s="105" t="str">
        <f t="shared" si="44"/>
        <v/>
      </c>
      <c r="Y155" s="53">
        <v>0</v>
      </c>
      <c r="Z155" s="56" t="str">
        <f t="shared" si="45"/>
        <v/>
      </c>
      <c r="AA155" s="56" t="str">
        <f t="shared" si="46"/>
        <v/>
      </c>
      <c r="AB155" s="56" t="str">
        <f t="shared" si="47"/>
        <v/>
      </c>
      <c r="AC155" s="56" t="str">
        <f t="shared" si="48"/>
        <v/>
      </c>
      <c r="AD155" s="56" t="str">
        <f t="shared" si="49"/>
        <v/>
      </c>
      <c r="AE155" s="40"/>
      <c r="AF155" s="40"/>
      <c r="AG155" s="40"/>
      <c r="AH155" s="56" t="str">
        <f t="shared" si="50"/>
        <v/>
      </c>
      <c r="AI155" s="54"/>
      <c r="AJ155" s="54"/>
      <c r="AK155" s="54"/>
      <c r="AL155" s="54"/>
      <c r="AM155" s="54"/>
    </row>
    <row r="156" spans="1:39">
      <c r="A156" s="96"/>
      <c r="B156" s="45" t="str" cm="1">
        <f t="array" ref="B156">IF(H156="PROJECT", CHAR(10) &amp; "- " &amp; _xlfn.TEXTJOIN(CHAR(10) &amp; "- ", TRUE, _xlfn._xlws.FILTER($I$9:$I$1000, ($C$9:$C$1000=C156) * ($H$9:$H$1000="Topic"))), "")</f>
        <v/>
      </c>
      <c r="C156" s="45">
        <f t="shared" si="34"/>
        <v>118</v>
      </c>
      <c r="D156" s="57"/>
      <c r="E156" s="58"/>
      <c r="F156" s="54"/>
      <c r="G156" s="52"/>
      <c r="H156" s="52"/>
      <c r="I156" s="61"/>
      <c r="J156" s="62"/>
      <c r="K156" s="103" t="str">
        <f t="shared" si="35"/>
        <v/>
      </c>
      <c r="L156" s="105" t="str">
        <f t="shared" si="36"/>
        <v/>
      </c>
      <c r="M156" s="52">
        <v>0</v>
      </c>
      <c r="N156" s="104" t="str">
        <f t="shared" si="37"/>
        <v/>
      </c>
      <c r="O156" s="105" t="str">
        <f t="shared" si="38"/>
        <v/>
      </c>
      <c r="P156" s="52">
        <v>0</v>
      </c>
      <c r="Q156" s="104" t="str">
        <f t="shared" si="39"/>
        <v/>
      </c>
      <c r="R156" s="105" t="str">
        <f t="shared" si="40"/>
        <v/>
      </c>
      <c r="S156" s="52">
        <v>0</v>
      </c>
      <c r="T156" s="104" t="str">
        <f t="shared" si="41"/>
        <v/>
      </c>
      <c r="U156" s="105" t="str">
        <f t="shared" si="42"/>
        <v/>
      </c>
      <c r="V156" s="52">
        <v>0</v>
      </c>
      <c r="W156" s="88" t="str">
        <f t="shared" si="43"/>
        <v/>
      </c>
      <c r="X156" s="105" t="str">
        <f t="shared" si="44"/>
        <v/>
      </c>
      <c r="Y156" s="52">
        <v>0</v>
      </c>
      <c r="Z156" s="56" t="str">
        <f t="shared" si="45"/>
        <v/>
      </c>
      <c r="AA156" s="56" t="str">
        <f t="shared" si="46"/>
        <v/>
      </c>
      <c r="AB156" s="56" t="str">
        <f t="shared" si="47"/>
        <v/>
      </c>
      <c r="AC156" s="56" t="str">
        <f t="shared" si="48"/>
        <v/>
      </c>
      <c r="AD156" s="56" t="str">
        <f t="shared" si="49"/>
        <v/>
      </c>
      <c r="AE156" s="40"/>
      <c r="AF156" s="40"/>
      <c r="AG156" s="40"/>
      <c r="AH156" s="56" t="str">
        <f t="shared" si="50"/>
        <v/>
      </c>
      <c r="AI156" s="54"/>
      <c r="AJ156" s="54"/>
      <c r="AK156" s="54"/>
      <c r="AL156" s="54"/>
      <c r="AM156" s="54"/>
    </row>
    <row r="157" spans="1:39">
      <c r="A157" s="96"/>
      <c r="B157" s="45" t="str" cm="1">
        <f t="array" ref="B157">IF(H157="PROJECT", CHAR(10) &amp; "- " &amp; _xlfn.TEXTJOIN(CHAR(10) &amp; "- ", TRUE, _xlfn._xlws.FILTER($I$9:$I$1000, ($C$9:$C$1000=C157) * ($H$9:$H$1000="Topic"))), "")</f>
        <v/>
      </c>
      <c r="C157" s="45">
        <f t="shared" si="34"/>
        <v>119</v>
      </c>
      <c r="D157" s="46"/>
      <c r="E157" s="58"/>
      <c r="F157" s="67"/>
      <c r="G157" s="53"/>
      <c r="H157" s="53"/>
      <c r="I157" s="50"/>
      <c r="J157" s="51"/>
      <c r="K157" s="103" t="str">
        <f t="shared" si="35"/>
        <v/>
      </c>
      <c r="L157" s="105" t="str">
        <f t="shared" si="36"/>
        <v/>
      </c>
      <c r="M157" s="53">
        <v>0</v>
      </c>
      <c r="N157" s="104" t="str">
        <f t="shared" si="37"/>
        <v/>
      </c>
      <c r="O157" s="105" t="str">
        <f t="shared" si="38"/>
        <v/>
      </c>
      <c r="P157" s="53">
        <v>0</v>
      </c>
      <c r="Q157" s="104" t="str">
        <f t="shared" si="39"/>
        <v/>
      </c>
      <c r="R157" s="105" t="str">
        <f t="shared" si="40"/>
        <v/>
      </c>
      <c r="S157" s="53">
        <v>0</v>
      </c>
      <c r="T157" s="104" t="str">
        <f t="shared" si="41"/>
        <v/>
      </c>
      <c r="U157" s="105" t="str">
        <f t="shared" si="42"/>
        <v/>
      </c>
      <c r="V157" s="53">
        <v>0</v>
      </c>
      <c r="W157" s="88" t="str">
        <f t="shared" si="43"/>
        <v/>
      </c>
      <c r="X157" s="105" t="str">
        <f t="shared" si="44"/>
        <v/>
      </c>
      <c r="Y157" s="53">
        <v>0</v>
      </c>
      <c r="Z157" s="56" t="str">
        <f t="shared" si="45"/>
        <v/>
      </c>
      <c r="AA157" s="56" t="str">
        <f t="shared" si="46"/>
        <v/>
      </c>
      <c r="AB157" s="56" t="str">
        <f t="shared" si="47"/>
        <v/>
      </c>
      <c r="AC157" s="56" t="str">
        <f t="shared" si="48"/>
        <v/>
      </c>
      <c r="AD157" s="56" t="str">
        <f t="shared" si="49"/>
        <v/>
      </c>
      <c r="AE157" s="40"/>
      <c r="AF157" s="40"/>
      <c r="AG157" s="40"/>
      <c r="AH157" s="56" t="str">
        <f t="shared" si="50"/>
        <v/>
      </c>
      <c r="AI157" s="54"/>
      <c r="AJ157" s="54"/>
      <c r="AK157" s="54"/>
      <c r="AL157" s="54"/>
      <c r="AM157" s="54"/>
    </row>
    <row r="158" spans="1:39">
      <c r="A158" s="96"/>
      <c r="B158" s="45" t="str" cm="1">
        <f t="array" ref="B158">IF(H158="PROJECT", CHAR(10) &amp; "- " &amp; _xlfn.TEXTJOIN(CHAR(10) &amp; "- ", TRUE, _xlfn._xlws.FILTER($I$9:$I$1000, ($C$9:$C$1000=C158) * ($H$9:$H$1000="Topic"))), "")</f>
        <v/>
      </c>
      <c r="C158" s="45">
        <f t="shared" si="34"/>
        <v>120</v>
      </c>
      <c r="D158" s="57"/>
      <c r="E158" s="58"/>
      <c r="F158" s="54"/>
      <c r="G158" s="52"/>
      <c r="H158" s="52"/>
      <c r="I158" s="61"/>
      <c r="J158" s="62"/>
      <c r="K158" s="103" t="str">
        <f t="shared" si="35"/>
        <v/>
      </c>
      <c r="L158" s="105" t="str">
        <f t="shared" si="36"/>
        <v/>
      </c>
      <c r="M158" s="52">
        <v>0</v>
      </c>
      <c r="N158" s="104" t="str">
        <f t="shared" si="37"/>
        <v/>
      </c>
      <c r="O158" s="105" t="str">
        <f t="shared" si="38"/>
        <v/>
      </c>
      <c r="P158" s="52">
        <v>0</v>
      </c>
      <c r="Q158" s="104" t="str">
        <f t="shared" si="39"/>
        <v/>
      </c>
      <c r="R158" s="105" t="str">
        <f t="shared" si="40"/>
        <v/>
      </c>
      <c r="S158" s="52">
        <v>0</v>
      </c>
      <c r="T158" s="104" t="str">
        <f t="shared" si="41"/>
        <v/>
      </c>
      <c r="U158" s="105" t="str">
        <f t="shared" si="42"/>
        <v/>
      </c>
      <c r="V158" s="52">
        <v>0</v>
      </c>
      <c r="W158" s="88" t="str">
        <f t="shared" si="43"/>
        <v/>
      </c>
      <c r="X158" s="105" t="str">
        <f t="shared" si="44"/>
        <v/>
      </c>
      <c r="Y158" s="52">
        <v>0</v>
      </c>
      <c r="Z158" s="56" t="str">
        <f t="shared" si="45"/>
        <v/>
      </c>
      <c r="AA158" s="56" t="str">
        <f t="shared" si="46"/>
        <v/>
      </c>
      <c r="AB158" s="56" t="str">
        <f t="shared" si="47"/>
        <v/>
      </c>
      <c r="AC158" s="56" t="str">
        <f t="shared" si="48"/>
        <v/>
      </c>
      <c r="AD158" s="56" t="str">
        <f t="shared" si="49"/>
        <v/>
      </c>
      <c r="AE158" s="40"/>
      <c r="AF158" s="40"/>
      <c r="AG158" s="40"/>
      <c r="AH158" s="56" t="str">
        <f t="shared" si="50"/>
        <v/>
      </c>
      <c r="AI158" s="54"/>
      <c r="AJ158" s="54"/>
      <c r="AK158" s="54"/>
      <c r="AL158" s="54"/>
      <c r="AM158" s="54"/>
    </row>
    <row r="159" spans="1:39">
      <c r="A159" s="96"/>
      <c r="B159" s="45" t="str" cm="1">
        <f t="array" ref="B159">IF(H159="PROJECT", CHAR(10) &amp; "- " &amp; _xlfn.TEXTJOIN(CHAR(10) &amp; "- ", TRUE, _xlfn._xlws.FILTER($I$9:$I$1000, ($C$9:$C$1000=C159) * ($H$9:$H$1000="Topic"))), "")</f>
        <v/>
      </c>
      <c r="C159" s="45">
        <f t="shared" si="34"/>
        <v>121</v>
      </c>
      <c r="D159" s="46"/>
      <c r="E159" s="58"/>
      <c r="F159" s="67"/>
      <c r="G159" s="53"/>
      <c r="H159" s="53"/>
      <c r="I159" s="50"/>
      <c r="J159" s="51"/>
      <c r="K159" s="103" t="str">
        <f t="shared" si="35"/>
        <v/>
      </c>
      <c r="L159" s="105" t="str">
        <f t="shared" si="36"/>
        <v/>
      </c>
      <c r="M159" s="53">
        <v>0</v>
      </c>
      <c r="N159" s="104" t="str">
        <f t="shared" si="37"/>
        <v/>
      </c>
      <c r="O159" s="105" t="str">
        <f t="shared" si="38"/>
        <v/>
      </c>
      <c r="P159" s="53">
        <v>0</v>
      </c>
      <c r="Q159" s="104" t="str">
        <f t="shared" si="39"/>
        <v/>
      </c>
      <c r="R159" s="105" t="str">
        <f t="shared" si="40"/>
        <v/>
      </c>
      <c r="S159" s="53">
        <v>0</v>
      </c>
      <c r="T159" s="104" t="str">
        <f t="shared" si="41"/>
        <v/>
      </c>
      <c r="U159" s="105" t="str">
        <f t="shared" si="42"/>
        <v/>
      </c>
      <c r="V159" s="53">
        <v>0</v>
      </c>
      <c r="W159" s="88" t="str">
        <f t="shared" si="43"/>
        <v/>
      </c>
      <c r="X159" s="105" t="str">
        <f t="shared" si="44"/>
        <v/>
      </c>
      <c r="Y159" s="53">
        <v>0</v>
      </c>
      <c r="Z159" s="56" t="str">
        <f t="shared" si="45"/>
        <v/>
      </c>
      <c r="AA159" s="56" t="str">
        <f t="shared" si="46"/>
        <v/>
      </c>
      <c r="AB159" s="56" t="str">
        <f t="shared" si="47"/>
        <v/>
      </c>
      <c r="AC159" s="56" t="str">
        <f t="shared" si="48"/>
        <v/>
      </c>
      <c r="AD159" s="56" t="str">
        <f t="shared" si="49"/>
        <v/>
      </c>
      <c r="AE159" s="40"/>
      <c r="AF159" s="40"/>
      <c r="AG159" s="40"/>
      <c r="AH159" s="56" t="str">
        <f t="shared" si="50"/>
        <v/>
      </c>
      <c r="AI159" s="54"/>
      <c r="AJ159" s="54"/>
      <c r="AK159" s="54"/>
      <c r="AL159" s="54"/>
      <c r="AM159" s="54"/>
    </row>
    <row r="160" spans="1:39">
      <c r="A160" s="96"/>
      <c r="B160" s="45" t="str" cm="1">
        <f t="array" ref="B160">IF(H160="PROJECT", CHAR(10) &amp; "- " &amp; _xlfn.TEXTJOIN(CHAR(10) &amp; "- ", TRUE, _xlfn._xlws.FILTER($I$9:$I$1000, ($C$9:$C$1000=C160) * ($H$9:$H$1000="Topic"))), "")</f>
        <v/>
      </c>
      <c r="C160" s="45">
        <f t="shared" si="34"/>
        <v>122</v>
      </c>
      <c r="D160" s="57"/>
      <c r="E160" s="58"/>
      <c r="F160" s="54"/>
      <c r="G160" s="52"/>
      <c r="H160" s="52"/>
      <c r="I160" s="61"/>
      <c r="J160" s="62"/>
      <c r="K160" s="103" t="str">
        <f t="shared" si="35"/>
        <v/>
      </c>
      <c r="L160" s="105" t="str">
        <f t="shared" si="36"/>
        <v/>
      </c>
      <c r="M160" s="52">
        <v>0</v>
      </c>
      <c r="N160" s="104" t="str">
        <f t="shared" si="37"/>
        <v/>
      </c>
      <c r="O160" s="105" t="str">
        <f t="shared" si="38"/>
        <v/>
      </c>
      <c r="P160" s="52">
        <v>0</v>
      </c>
      <c r="Q160" s="104" t="str">
        <f t="shared" si="39"/>
        <v/>
      </c>
      <c r="R160" s="105" t="str">
        <f t="shared" si="40"/>
        <v/>
      </c>
      <c r="S160" s="52">
        <v>0</v>
      </c>
      <c r="T160" s="104" t="str">
        <f t="shared" si="41"/>
        <v/>
      </c>
      <c r="U160" s="105" t="str">
        <f t="shared" si="42"/>
        <v/>
      </c>
      <c r="V160" s="52">
        <v>0</v>
      </c>
      <c r="W160" s="88" t="str">
        <f t="shared" si="43"/>
        <v/>
      </c>
      <c r="X160" s="105" t="str">
        <f t="shared" si="44"/>
        <v/>
      </c>
      <c r="Y160" s="52">
        <v>0</v>
      </c>
      <c r="Z160" s="56" t="str">
        <f t="shared" si="45"/>
        <v/>
      </c>
      <c r="AA160" s="56" t="str">
        <f t="shared" si="46"/>
        <v/>
      </c>
      <c r="AB160" s="56" t="str">
        <f t="shared" si="47"/>
        <v/>
      </c>
      <c r="AC160" s="56" t="str">
        <f t="shared" si="48"/>
        <v/>
      </c>
      <c r="AD160" s="56" t="str">
        <f t="shared" si="49"/>
        <v/>
      </c>
      <c r="AE160" s="40"/>
      <c r="AF160" s="40"/>
      <c r="AG160" s="40"/>
      <c r="AH160" s="56" t="str">
        <f t="shared" si="50"/>
        <v/>
      </c>
      <c r="AI160" s="54"/>
      <c r="AJ160" s="54"/>
      <c r="AK160" s="54"/>
      <c r="AL160" s="54"/>
      <c r="AM160" s="54"/>
    </row>
    <row r="161" spans="1:39">
      <c r="A161" s="96"/>
      <c r="B161" s="45" t="str" cm="1">
        <f t="array" ref="B161">IF(H161="PROJECT", CHAR(10) &amp; "- " &amp; _xlfn.TEXTJOIN(CHAR(10) &amp; "- ", TRUE, _xlfn._xlws.FILTER($I$9:$I$1000, ($C$9:$C$1000=C161) * ($H$9:$H$1000="Topic"))), "")</f>
        <v/>
      </c>
      <c r="C161" s="45">
        <f t="shared" si="34"/>
        <v>123</v>
      </c>
      <c r="D161" s="46"/>
      <c r="E161" s="58"/>
      <c r="F161" s="67"/>
      <c r="G161" s="53"/>
      <c r="H161" s="53"/>
      <c r="I161" s="50"/>
      <c r="J161" s="51"/>
      <c r="K161" s="103" t="str">
        <f t="shared" si="35"/>
        <v/>
      </c>
      <c r="L161" s="105" t="str">
        <f t="shared" si="36"/>
        <v/>
      </c>
      <c r="M161" s="53">
        <v>0</v>
      </c>
      <c r="N161" s="104" t="str">
        <f t="shared" si="37"/>
        <v/>
      </c>
      <c r="O161" s="105" t="str">
        <f t="shared" si="38"/>
        <v/>
      </c>
      <c r="P161" s="53">
        <v>0</v>
      </c>
      <c r="Q161" s="104" t="str">
        <f t="shared" si="39"/>
        <v/>
      </c>
      <c r="R161" s="105" t="str">
        <f t="shared" si="40"/>
        <v/>
      </c>
      <c r="S161" s="53">
        <v>0</v>
      </c>
      <c r="T161" s="104" t="str">
        <f t="shared" si="41"/>
        <v/>
      </c>
      <c r="U161" s="105" t="str">
        <f t="shared" si="42"/>
        <v/>
      </c>
      <c r="V161" s="53">
        <v>0</v>
      </c>
      <c r="W161" s="88" t="str">
        <f t="shared" si="43"/>
        <v/>
      </c>
      <c r="X161" s="105" t="str">
        <f t="shared" si="44"/>
        <v/>
      </c>
      <c r="Y161" s="53">
        <v>0</v>
      </c>
      <c r="Z161" s="56" t="str">
        <f t="shared" si="45"/>
        <v/>
      </c>
      <c r="AA161" s="56" t="str">
        <f t="shared" si="46"/>
        <v/>
      </c>
      <c r="AB161" s="56" t="str">
        <f t="shared" si="47"/>
        <v/>
      </c>
      <c r="AC161" s="56" t="str">
        <f t="shared" si="48"/>
        <v/>
      </c>
      <c r="AD161" s="56" t="str">
        <f t="shared" si="49"/>
        <v/>
      </c>
      <c r="AE161" s="40"/>
      <c r="AF161" s="40"/>
      <c r="AG161" s="40"/>
      <c r="AH161" s="56" t="str">
        <f t="shared" si="50"/>
        <v/>
      </c>
      <c r="AI161" s="54"/>
      <c r="AJ161" s="54"/>
      <c r="AK161" s="54"/>
      <c r="AL161" s="54"/>
      <c r="AM161" s="54"/>
    </row>
    <row r="162" spans="1:39">
      <c r="A162" s="96"/>
      <c r="B162" s="45" t="str" cm="1">
        <f t="array" ref="B162">IF(H162="PROJECT", CHAR(10) &amp; "- " &amp; _xlfn.TEXTJOIN(CHAR(10) &amp; "- ", TRUE, _xlfn._xlws.FILTER($I$9:$I$1000, ($C$9:$C$1000=C162) * ($H$9:$H$1000="Topic"))), "")</f>
        <v/>
      </c>
      <c r="C162" s="45">
        <f t="shared" si="34"/>
        <v>124</v>
      </c>
      <c r="D162" s="57"/>
      <c r="E162" s="58"/>
      <c r="F162" s="54"/>
      <c r="G162" s="52"/>
      <c r="H162" s="52"/>
      <c r="I162" s="61"/>
      <c r="J162" s="62"/>
      <c r="K162" s="103" t="str">
        <f t="shared" si="35"/>
        <v/>
      </c>
      <c r="L162" s="105" t="str">
        <f t="shared" si="36"/>
        <v/>
      </c>
      <c r="M162" s="52">
        <v>0</v>
      </c>
      <c r="N162" s="104" t="str">
        <f t="shared" si="37"/>
        <v/>
      </c>
      <c r="O162" s="105" t="str">
        <f t="shared" si="38"/>
        <v/>
      </c>
      <c r="P162" s="52">
        <v>0</v>
      </c>
      <c r="Q162" s="104" t="str">
        <f t="shared" si="39"/>
        <v/>
      </c>
      <c r="R162" s="105" t="str">
        <f t="shared" si="40"/>
        <v/>
      </c>
      <c r="S162" s="52">
        <v>0</v>
      </c>
      <c r="T162" s="104" t="str">
        <f t="shared" si="41"/>
        <v/>
      </c>
      <c r="U162" s="105" t="str">
        <f t="shared" si="42"/>
        <v/>
      </c>
      <c r="V162" s="52">
        <v>0</v>
      </c>
      <c r="W162" s="88" t="str">
        <f t="shared" si="43"/>
        <v/>
      </c>
      <c r="X162" s="105" t="str">
        <f t="shared" si="44"/>
        <v/>
      </c>
      <c r="Y162" s="52">
        <v>0</v>
      </c>
      <c r="Z162" s="56" t="str">
        <f t="shared" si="45"/>
        <v/>
      </c>
      <c r="AA162" s="56" t="str">
        <f t="shared" si="46"/>
        <v/>
      </c>
      <c r="AB162" s="56" t="str">
        <f t="shared" si="47"/>
        <v/>
      </c>
      <c r="AC162" s="56" t="str">
        <f t="shared" si="48"/>
        <v/>
      </c>
      <c r="AD162" s="56" t="str">
        <f t="shared" si="49"/>
        <v/>
      </c>
      <c r="AE162" s="40"/>
      <c r="AF162" s="40"/>
      <c r="AG162" s="40"/>
      <c r="AH162" s="56" t="str">
        <f t="shared" si="50"/>
        <v/>
      </c>
      <c r="AI162" s="54"/>
      <c r="AJ162" s="54"/>
      <c r="AK162" s="54"/>
      <c r="AL162" s="54"/>
      <c r="AM162" s="54"/>
    </row>
    <row r="163" spans="1:39">
      <c r="A163" s="96"/>
      <c r="B163" s="45" t="str" cm="1">
        <f t="array" ref="B163">IF(H163="PROJECT", CHAR(10) &amp; "- " &amp; _xlfn.TEXTJOIN(CHAR(10) &amp; "- ", TRUE, _xlfn._xlws.FILTER($I$9:$I$1000, ($C$9:$C$1000=C163) * ($H$9:$H$1000="Topic"))), "")</f>
        <v/>
      </c>
      <c r="C163" s="45">
        <f t="shared" si="34"/>
        <v>125</v>
      </c>
      <c r="D163" s="46"/>
      <c r="E163" s="58"/>
      <c r="F163" s="67"/>
      <c r="G163" s="53"/>
      <c r="H163" s="53"/>
      <c r="I163" s="50"/>
      <c r="J163" s="51"/>
      <c r="K163" s="103" t="str">
        <f t="shared" si="35"/>
        <v/>
      </c>
      <c r="L163" s="105" t="str">
        <f t="shared" si="36"/>
        <v/>
      </c>
      <c r="M163" s="53">
        <v>0</v>
      </c>
      <c r="N163" s="104" t="str">
        <f t="shared" si="37"/>
        <v/>
      </c>
      <c r="O163" s="105" t="str">
        <f t="shared" si="38"/>
        <v/>
      </c>
      <c r="P163" s="53">
        <v>0</v>
      </c>
      <c r="Q163" s="104" t="str">
        <f t="shared" si="39"/>
        <v/>
      </c>
      <c r="R163" s="105" t="str">
        <f t="shared" si="40"/>
        <v/>
      </c>
      <c r="S163" s="53">
        <v>0</v>
      </c>
      <c r="T163" s="104" t="str">
        <f t="shared" si="41"/>
        <v/>
      </c>
      <c r="U163" s="105" t="str">
        <f t="shared" si="42"/>
        <v/>
      </c>
      <c r="V163" s="53">
        <v>0</v>
      </c>
      <c r="W163" s="88" t="str">
        <f t="shared" si="43"/>
        <v/>
      </c>
      <c r="X163" s="105" t="str">
        <f t="shared" si="44"/>
        <v/>
      </c>
      <c r="Y163" s="53">
        <v>0</v>
      </c>
      <c r="Z163" s="56" t="str">
        <f t="shared" si="45"/>
        <v/>
      </c>
      <c r="AA163" s="56" t="str">
        <f t="shared" si="46"/>
        <v/>
      </c>
      <c r="AB163" s="56" t="str">
        <f t="shared" si="47"/>
        <v/>
      </c>
      <c r="AC163" s="56" t="str">
        <f t="shared" si="48"/>
        <v/>
      </c>
      <c r="AD163" s="56" t="str">
        <f t="shared" si="49"/>
        <v/>
      </c>
      <c r="AE163" s="40"/>
      <c r="AF163" s="40"/>
      <c r="AG163" s="40"/>
      <c r="AH163" s="56" t="str">
        <f t="shared" si="50"/>
        <v/>
      </c>
      <c r="AI163" s="54"/>
      <c r="AJ163" s="54"/>
      <c r="AK163" s="54"/>
      <c r="AL163" s="54"/>
      <c r="AM163" s="54"/>
    </row>
    <row r="164" spans="1:39">
      <c r="A164" s="96"/>
      <c r="B164" s="45" t="str" cm="1">
        <f t="array" ref="B164">IF(H164="PROJECT", CHAR(10) &amp; "- " &amp; _xlfn.TEXTJOIN(CHAR(10) &amp; "- ", TRUE, _xlfn._xlws.FILTER($I$9:$I$1000, ($C$9:$C$1000=C164) * ($H$9:$H$1000="Topic"))), "")</f>
        <v/>
      </c>
      <c r="C164" s="45">
        <f t="shared" si="34"/>
        <v>126</v>
      </c>
      <c r="D164" s="57"/>
      <c r="E164" s="58"/>
      <c r="F164" s="54"/>
      <c r="G164" s="52"/>
      <c r="H164" s="52"/>
      <c r="I164" s="61"/>
      <c r="J164" s="62"/>
      <c r="K164" s="103" t="str">
        <f t="shared" si="35"/>
        <v/>
      </c>
      <c r="L164" s="105" t="str">
        <f t="shared" si="36"/>
        <v/>
      </c>
      <c r="M164" s="52">
        <v>0</v>
      </c>
      <c r="N164" s="104" t="str">
        <f t="shared" si="37"/>
        <v/>
      </c>
      <c r="O164" s="105" t="str">
        <f t="shared" si="38"/>
        <v/>
      </c>
      <c r="P164" s="52">
        <v>0</v>
      </c>
      <c r="Q164" s="104" t="str">
        <f t="shared" si="39"/>
        <v/>
      </c>
      <c r="R164" s="105" t="str">
        <f t="shared" si="40"/>
        <v/>
      </c>
      <c r="S164" s="52">
        <v>0</v>
      </c>
      <c r="T164" s="104" t="str">
        <f t="shared" si="41"/>
        <v/>
      </c>
      <c r="U164" s="105" t="str">
        <f t="shared" si="42"/>
        <v/>
      </c>
      <c r="V164" s="52">
        <v>0</v>
      </c>
      <c r="W164" s="88" t="str">
        <f t="shared" si="43"/>
        <v/>
      </c>
      <c r="X164" s="105" t="str">
        <f t="shared" si="44"/>
        <v/>
      </c>
      <c r="Y164" s="52">
        <v>0</v>
      </c>
      <c r="Z164" s="56" t="str">
        <f t="shared" si="45"/>
        <v/>
      </c>
      <c r="AA164" s="56" t="str">
        <f t="shared" si="46"/>
        <v/>
      </c>
      <c r="AB164" s="56" t="str">
        <f t="shared" si="47"/>
        <v/>
      </c>
      <c r="AC164" s="56" t="str">
        <f t="shared" si="48"/>
        <v/>
      </c>
      <c r="AD164" s="56" t="str">
        <f t="shared" si="49"/>
        <v/>
      </c>
      <c r="AE164" s="40"/>
      <c r="AF164" s="40"/>
      <c r="AG164" s="40"/>
      <c r="AH164" s="56" t="str">
        <f t="shared" si="50"/>
        <v/>
      </c>
      <c r="AI164" s="54"/>
      <c r="AJ164" s="54"/>
      <c r="AK164" s="54"/>
      <c r="AL164" s="54"/>
      <c r="AM164" s="54"/>
    </row>
    <row r="165" spans="1:39">
      <c r="A165" s="96"/>
      <c r="B165" s="45" t="str" cm="1">
        <f t="array" ref="B165">IF(H165="PROJECT", CHAR(10) &amp; "- " &amp; _xlfn.TEXTJOIN(CHAR(10) &amp; "- ", TRUE, _xlfn._xlws.FILTER($I$9:$I$1000, ($C$9:$C$1000=C165) * ($H$9:$H$1000="Topic"))), "")</f>
        <v/>
      </c>
      <c r="C165" s="45">
        <f t="shared" si="34"/>
        <v>127</v>
      </c>
      <c r="D165" s="46"/>
      <c r="E165" s="58"/>
      <c r="F165" s="67"/>
      <c r="G165" s="53"/>
      <c r="H165" s="53"/>
      <c r="I165" s="50"/>
      <c r="J165" s="51"/>
      <c r="K165" s="103" t="str">
        <f t="shared" si="35"/>
        <v/>
      </c>
      <c r="L165" s="105" t="str">
        <f t="shared" si="36"/>
        <v/>
      </c>
      <c r="M165" s="53">
        <v>0</v>
      </c>
      <c r="N165" s="104" t="str">
        <f t="shared" si="37"/>
        <v/>
      </c>
      <c r="O165" s="105" t="str">
        <f t="shared" si="38"/>
        <v/>
      </c>
      <c r="P165" s="53">
        <v>0</v>
      </c>
      <c r="Q165" s="104" t="str">
        <f t="shared" si="39"/>
        <v/>
      </c>
      <c r="R165" s="105" t="str">
        <f t="shared" si="40"/>
        <v/>
      </c>
      <c r="S165" s="53">
        <v>0</v>
      </c>
      <c r="T165" s="104" t="str">
        <f t="shared" si="41"/>
        <v/>
      </c>
      <c r="U165" s="105" t="str">
        <f t="shared" si="42"/>
        <v/>
      </c>
      <c r="V165" s="53">
        <v>0</v>
      </c>
      <c r="W165" s="88" t="str">
        <f t="shared" si="43"/>
        <v/>
      </c>
      <c r="X165" s="105" t="str">
        <f t="shared" si="44"/>
        <v/>
      </c>
      <c r="Y165" s="53">
        <v>0</v>
      </c>
      <c r="Z165" s="56" t="str">
        <f t="shared" si="45"/>
        <v/>
      </c>
      <c r="AA165" s="56" t="str">
        <f t="shared" si="46"/>
        <v/>
      </c>
      <c r="AB165" s="56" t="str">
        <f t="shared" si="47"/>
        <v/>
      </c>
      <c r="AC165" s="56" t="str">
        <f t="shared" si="48"/>
        <v/>
      </c>
      <c r="AD165" s="56" t="str">
        <f t="shared" si="49"/>
        <v/>
      </c>
      <c r="AE165" s="40"/>
      <c r="AF165" s="40"/>
      <c r="AG165" s="40"/>
      <c r="AH165" s="56" t="str">
        <f t="shared" si="50"/>
        <v/>
      </c>
      <c r="AI165" s="54"/>
      <c r="AJ165" s="54"/>
      <c r="AK165" s="54"/>
      <c r="AL165" s="54"/>
      <c r="AM165" s="54"/>
    </row>
    <row r="166" spans="1:39">
      <c r="A166" s="96"/>
      <c r="B166" s="45" t="str" cm="1">
        <f t="array" ref="B166">IF(H166="PROJECT", CHAR(10) &amp; "- " &amp; _xlfn.TEXTJOIN(CHAR(10) &amp; "- ", TRUE, _xlfn._xlws.FILTER($I$9:$I$1000, ($C$9:$C$1000=C166) * ($H$9:$H$1000="Topic"))), "")</f>
        <v/>
      </c>
      <c r="C166" s="45">
        <f t="shared" si="34"/>
        <v>128</v>
      </c>
      <c r="D166" s="57"/>
      <c r="E166" s="58"/>
      <c r="F166" s="54"/>
      <c r="G166" s="52"/>
      <c r="H166" s="52"/>
      <c r="I166" s="61"/>
      <c r="J166" s="62"/>
      <c r="K166" s="103" t="str">
        <f t="shared" si="35"/>
        <v/>
      </c>
      <c r="L166" s="105" t="str">
        <f t="shared" si="36"/>
        <v/>
      </c>
      <c r="M166" s="52">
        <v>0</v>
      </c>
      <c r="N166" s="104" t="str">
        <f t="shared" si="37"/>
        <v/>
      </c>
      <c r="O166" s="105" t="str">
        <f t="shared" si="38"/>
        <v/>
      </c>
      <c r="P166" s="52">
        <v>0</v>
      </c>
      <c r="Q166" s="104" t="str">
        <f t="shared" si="39"/>
        <v/>
      </c>
      <c r="R166" s="105" t="str">
        <f t="shared" si="40"/>
        <v/>
      </c>
      <c r="S166" s="52">
        <v>0</v>
      </c>
      <c r="T166" s="104" t="str">
        <f t="shared" si="41"/>
        <v/>
      </c>
      <c r="U166" s="105" t="str">
        <f t="shared" si="42"/>
        <v/>
      </c>
      <c r="V166" s="52">
        <v>0</v>
      </c>
      <c r="W166" s="88" t="str">
        <f t="shared" si="43"/>
        <v/>
      </c>
      <c r="X166" s="105" t="str">
        <f t="shared" si="44"/>
        <v/>
      </c>
      <c r="Y166" s="52">
        <v>0</v>
      </c>
      <c r="Z166" s="56" t="str">
        <f t="shared" si="45"/>
        <v/>
      </c>
      <c r="AA166" s="56" t="str">
        <f t="shared" si="46"/>
        <v/>
      </c>
      <c r="AB166" s="56" t="str">
        <f t="shared" si="47"/>
        <v/>
      </c>
      <c r="AC166" s="56" t="str">
        <f t="shared" si="48"/>
        <v/>
      </c>
      <c r="AD166" s="56" t="str">
        <f t="shared" si="49"/>
        <v/>
      </c>
      <c r="AE166" s="40"/>
      <c r="AF166" s="40"/>
      <c r="AG166" s="40"/>
      <c r="AH166" s="56" t="str">
        <f t="shared" si="50"/>
        <v/>
      </c>
      <c r="AI166" s="54"/>
      <c r="AJ166" s="54"/>
      <c r="AK166" s="54"/>
      <c r="AL166" s="54"/>
      <c r="AM166" s="54"/>
    </row>
    <row r="167" spans="1:39">
      <c r="A167" s="96"/>
      <c r="B167" s="45" t="str" cm="1">
        <f t="array" ref="B167">IF(H167="PROJECT", CHAR(10) &amp; "- " &amp; _xlfn.TEXTJOIN(CHAR(10) &amp; "- ", TRUE, _xlfn._xlws.FILTER($I$9:$I$1000, ($C$9:$C$1000=C167) * ($H$9:$H$1000="Topic"))), "")</f>
        <v/>
      </c>
      <c r="C167" s="45">
        <f t="shared" si="34"/>
        <v>129</v>
      </c>
      <c r="D167" s="46"/>
      <c r="E167" s="58"/>
      <c r="F167" s="67"/>
      <c r="G167" s="53"/>
      <c r="H167" s="53"/>
      <c r="I167" s="50"/>
      <c r="J167" s="51"/>
      <c r="K167" s="103" t="str">
        <f t="shared" si="35"/>
        <v/>
      </c>
      <c r="L167" s="105" t="str">
        <f t="shared" si="36"/>
        <v/>
      </c>
      <c r="M167" s="53">
        <v>0</v>
      </c>
      <c r="N167" s="104" t="str">
        <f t="shared" si="37"/>
        <v/>
      </c>
      <c r="O167" s="105" t="str">
        <f t="shared" si="38"/>
        <v/>
      </c>
      <c r="P167" s="53">
        <v>0</v>
      </c>
      <c r="Q167" s="104" t="str">
        <f t="shared" si="39"/>
        <v/>
      </c>
      <c r="R167" s="105" t="str">
        <f t="shared" si="40"/>
        <v/>
      </c>
      <c r="S167" s="53">
        <v>0</v>
      </c>
      <c r="T167" s="104" t="str">
        <f t="shared" si="41"/>
        <v/>
      </c>
      <c r="U167" s="105" t="str">
        <f t="shared" si="42"/>
        <v/>
      </c>
      <c r="V167" s="53">
        <v>0</v>
      </c>
      <c r="W167" s="88" t="str">
        <f t="shared" si="43"/>
        <v/>
      </c>
      <c r="X167" s="105" t="str">
        <f t="shared" si="44"/>
        <v/>
      </c>
      <c r="Y167" s="53">
        <v>0</v>
      </c>
      <c r="Z167" s="56" t="str">
        <f t="shared" si="45"/>
        <v/>
      </c>
      <c r="AA167" s="56" t="str">
        <f t="shared" si="46"/>
        <v/>
      </c>
      <c r="AB167" s="56" t="str">
        <f t="shared" si="47"/>
        <v/>
      </c>
      <c r="AC167" s="56" t="str">
        <f t="shared" si="48"/>
        <v/>
      </c>
      <c r="AD167" s="56" t="str">
        <f t="shared" si="49"/>
        <v/>
      </c>
      <c r="AE167" s="40"/>
      <c r="AF167" s="40"/>
      <c r="AG167" s="40"/>
      <c r="AH167" s="56" t="str">
        <f t="shared" si="50"/>
        <v/>
      </c>
      <c r="AI167" s="54"/>
      <c r="AJ167" s="54"/>
      <c r="AK167" s="54"/>
      <c r="AL167" s="54"/>
      <c r="AM167" s="54"/>
    </row>
    <row r="168" spans="1:39">
      <c r="A168" s="96"/>
      <c r="B168" s="45" t="str" cm="1">
        <f t="array" ref="B168">IF(H168="PROJECT", CHAR(10) &amp; "- " &amp; _xlfn.TEXTJOIN(CHAR(10) &amp; "- ", TRUE, _xlfn._xlws.FILTER($I$9:$I$1000, ($C$9:$C$1000=C168) * ($H$9:$H$1000="Topic"))), "")</f>
        <v/>
      </c>
      <c r="C168" s="45">
        <f t="shared" si="34"/>
        <v>130</v>
      </c>
      <c r="D168" s="57"/>
      <c r="E168" s="58"/>
      <c r="F168" s="54"/>
      <c r="G168" s="52"/>
      <c r="H168" s="52"/>
      <c r="I168" s="61"/>
      <c r="J168" s="62"/>
      <c r="K168" s="103" t="str">
        <f t="shared" si="35"/>
        <v/>
      </c>
      <c r="L168" s="105" t="str">
        <f t="shared" si="36"/>
        <v/>
      </c>
      <c r="M168" s="52">
        <v>0</v>
      </c>
      <c r="N168" s="104" t="str">
        <f t="shared" si="37"/>
        <v/>
      </c>
      <c r="O168" s="105" t="str">
        <f t="shared" si="38"/>
        <v/>
      </c>
      <c r="P168" s="52">
        <v>0</v>
      </c>
      <c r="Q168" s="104" t="str">
        <f t="shared" si="39"/>
        <v/>
      </c>
      <c r="R168" s="105" t="str">
        <f t="shared" si="40"/>
        <v/>
      </c>
      <c r="S168" s="52">
        <v>0</v>
      </c>
      <c r="T168" s="104" t="str">
        <f t="shared" si="41"/>
        <v/>
      </c>
      <c r="U168" s="105" t="str">
        <f t="shared" si="42"/>
        <v/>
      </c>
      <c r="V168" s="52">
        <v>0</v>
      </c>
      <c r="W168" s="88" t="str">
        <f t="shared" si="43"/>
        <v/>
      </c>
      <c r="X168" s="105" t="str">
        <f t="shared" si="44"/>
        <v/>
      </c>
      <c r="Y168" s="52">
        <v>0</v>
      </c>
      <c r="Z168" s="56" t="str">
        <f t="shared" si="45"/>
        <v/>
      </c>
      <c r="AA168" s="56" t="str">
        <f t="shared" si="46"/>
        <v/>
      </c>
      <c r="AB168" s="56" t="str">
        <f t="shared" si="47"/>
        <v/>
      </c>
      <c r="AC168" s="56" t="str">
        <f t="shared" si="48"/>
        <v/>
      </c>
      <c r="AD168" s="56" t="str">
        <f t="shared" si="49"/>
        <v/>
      </c>
      <c r="AE168" s="40"/>
      <c r="AF168" s="40"/>
      <c r="AG168" s="40"/>
      <c r="AH168" s="56" t="str">
        <f t="shared" si="50"/>
        <v/>
      </c>
      <c r="AI168" s="54"/>
      <c r="AJ168" s="54"/>
      <c r="AK168" s="54"/>
      <c r="AL168" s="54"/>
      <c r="AM168" s="54"/>
    </row>
    <row r="169" spans="1:39">
      <c r="A169" s="96"/>
      <c r="B169" s="45" t="str" cm="1">
        <f t="array" ref="B169">IF(H169="PROJECT", CHAR(10) &amp; "- " &amp; _xlfn.TEXTJOIN(CHAR(10) &amp; "- ", TRUE, _xlfn._xlws.FILTER($I$9:$I$1000, ($C$9:$C$1000=C169) * ($H$9:$H$1000="Topic"))), "")</f>
        <v/>
      </c>
      <c r="C169" s="45">
        <f t="shared" si="34"/>
        <v>131</v>
      </c>
      <c r="D169" s="46"/>
      <c r="E169" s="58"/>
      <c r="F169" s="67"/>
      <c r="G169" s="53"/>
      <c r="H169" s="53"/>
      <c r="I169" s="50"/>
      <c r="J169" s="51"/>
      <c r="K169" s="103" t="str">
        <f t="shared" si="35"/>
        <v/>
      </c>
      <c r="L169" s="105" t="str">
        <f t="shared" si="36"/>
        <v/>
      </c>
      <c r="M169" s="53">
        <v>0</v>
      </c>
      <c r="N169" s="104" t="str">
        <f t="shared" si="37"/>
        <v/>
      </c>
      <c r="O169" s="105" t="str">
        <f t="shared" si="38"/>
        <v/>
      </c>
      <c r="P169" s="53">
        <v>0</v>
      </c>
      <c r="Q169" s="104" t="str">
        <f t="shared" si="39"/>
        <v/>
      </c>
      <c r="R169" s="105" t="str">
        <f t="shared" si="40"/>
        <v/>
      </c>
      <c r="S169" s="53">
        <v>0</v>
      </c>
      <c r="T169" s="104" t="str">
        <f t="shared" si="41"/>
        <v/>
      </c>
      <c r="U169" s="105" t="str">
        <f t="shared" si="42"/>
        <v/>
      </c>
      <c r="V169" s="53">
        <v>0</v>
      </c>
      <c r="W169" s="88" t="str">
        <f t="shared" si="43"/>
        <v/>
      </c>
      <c r="X169" s="105" t="str">
        <f t="shared" si="44"/>
        <v/>
      </c>
      <c r="Y169" s="53">
        <v>0</v>
      </c>
      <c r="Z169" s="56" t="str">
        <f t="shared" si="45"/>
        <v/>
      </c>
      <c r="AA169" s="56" t="str">
        <f t="shared" si="46"/>
        <v/>
      </c>
      <c r="AB169" s="56" t="str">
        <f t="shared" si="47"/>
        <v/>
      </c>
      <c r="AC169" s="56" t="str">
        <f t="shared" si="48"/>
        <v/>
      </c>
      <c r="AD169" s="56" t="str">
        <f t="shared" si="49"/>
        <v/>
      </c>
      <c r="AE169" s="40"/>
      <c r="AF169" s="40"/>
      <c r="AG169" s="40"/>
      <c r="AH169" s="56" t="str">
        <f t="shared" si="50"/>
        <v/>
      </c>
      <c r="AI169" s="54"/>
      <c r="AJ169" s="54"/>
      <c r="AK169" s="54"/>
      <c r="AL169" s="54"/>
      <c r="AM169" s="54"/>
    </row>
    <row r="170" spans="1:39">
      <c r="A170" s="96"/>
      <c r="B170" s="45" t="str" cm="1">
        <f t="array" ref="B170">IF(H170="PROJECT", CHAR(10) &amp; "- " &amp; _xlfn.TEXTJOIN(CHAR(10) &amp; "- ", TRUE, _xlfn._xlws.FILTER($I$9:$I$1000, ($C$9:$C$1000=C170) * ($H$9:$H$1000="Topic"))), "")</f>
        <v/>
      </c>
      <c r="C170" s="45">
        <f t="shared" si="34"/>
        <v>132</v>
      </c>
      <c r="D170" s="57"/>
      <c r="E170" s="58"/>
      <c r="F170" s="54"/>
      <c r="G170" s="52"/>
      <c r="H170" s="52"/>
      <c r="I170" s="61"/>
      <c r="J170" s="62"/>
      <c r="K170" s="103" t="str">
        <f t="shared" si="35"/>
        <v/>
      </c>
      <c r="L170" s="105" t="str">
        <f t="shared" si="36"/>
        <v/>
      </c>
      <c r="M170" s="52">
        <v>0</v>
      </c>
      <c r="N170" s="104" t="str">
        <f t="shared" si="37"/>
        <v/>
      </c>
      <c r="O170" s="105" t="str">
        <f t="shared" si="38"/>
        <v/>
      </c>
      <c r="P170" s="52">
        <v>0</v>
      </c>
      <c r="Q170" s="104" t="str">
        <f t="shared" si="39"/>
        <v/>
      </c>
      <c r="R170" s="105" t="str">
        <f t="shared" si="40"/>
        <v/>
      </c>
      <c r="S170" s="52">
        <v>0</v>
      </c>
      <c r="T170" s="104" t="str">
        <f t="shared" si="41"/>
        <v/>
      </c>
      <c r="U170" s="105" t="str">
        <f t="shared" si="42"/>
        <v/>
      </c>
      <c r="V170" s="52">
        <v>0</v>
      </c>
      <c r="W170" s="88" t="str">
        <f t="shared" si="43"/>
        <v/>
      </c>
      <c r="X170" s="105" t="str">
        <f t="shared" si="44"/>
        <v/>
      </c>
      <c r="Y170" s="52">
        <v>0</v>
      </c>
      <c r="Z170" s="56" t="str">
        <f t="shared" si="45"/>
        <v/>
      </c>
      <c r="AA170" s="56" t="str">
        <f t="shared" si="46"/>
        <v/>
      </c>
      <c r="AB170" s="56" t="str">
        <f t="shared" si="47"/>
        <v/>
      </c>
      <c r="AC170" s="56" t="str">
        <f t="shared" si="48"/>
        <v/>
      </c>
      <c r="AD170" s="56" t="str">
        <f t="shared" si="49"/>
        <v/>
      </c>
      <c r="AE170" s="40"/>
      <c r="AF170" s="40"/>
      <c r="AG170" s="40"/>
      <c r="AH170" s="56" t="str">
        <f t="shared" si="50"/>
        <v/>
      </c>
      <c r="AI170" s="54"/>
      <c r="AJ170" s="54"/>
      <c r="AK170" s="54"/>
      <c r="AL170" s="54"/>
      <c r="AM170" s="54"/>
    </row>
    <row r="171" spans="1:39">
      <c r="A171" s="96"/>
      <c r="B171" s="45" t="str" cm="1">
        <f t="array" ref="B171">IF(H171="PROJECT", CHAR(10) &amp; "- " &amp; _xlfn.TEXTJOIN(CHAR(10) &amp; "- ", TRUE, _xlfn._xlws.FILTER($I$9:$I$1000, ($C$9:$C$1000=C171) * ($H$9:$H$1000="Topic"))), "")</f>
        <v/>
      </c>
      <c r="C171" s="45">
        <f t="shared" si="34"/>
        <v>133</v>
      </c>
      <c r="D171" s="46"/>
      <c r="E171" s="58"/>
      <c r="F171" s="67"/>
      <c r="G171" s="53"/>
      <c r="H171" s="53"/>
      <c r="I171" s="50"/>
      <c r="J171" s="51"/>
      <c r="K171" s="103" t="str">
        <f t="shared" si="35"/>
        <v/>
      </c>
      <c r="L171" s="105" t="str">
        <f t="shared" si="36"/>
        <v/>
      </c>
      <c r="M171" s="53">
        <v>0</v>
      </c>
      <c r="N171" s="104" t="str">
        <f t="shared" si="37"/>
        <v/>
      </c>
      <c r="O171" s="105" t="str">
        <f t="shared" si="38"/>
        <v/>
      </c>
      <c r="P171" s="53">
        <v>0</v>
      </c>
      <c r="Q171" s="104" t="str">
        <f t="shared" si="39"/>
        <v/>
      </c>
      <c r="R171" s="105" t="str">
        <f t="shared" si="40"/>
        <v/>
      </c>
      <c r="S171" s="53">
        <v>0</v>
      </c>
      <c r="T171" s="104" t="str">
        <f t="shared" si="41"/>
        <v/>
      </c>
      <c r="U171" s="105" t="str">
        <f t="shared" si="42"/>
        <v/>
      </c>
      <c r="V171" s="53">
        <v>0</v>
      </c>
      <c r="W171" s="88" t="str">
        <f t="shared" si="43"/>
        <v/>
      </c>
      <c r="X171" s="105" t="str">
        <f t="shared" si="44"/>
        <v/>
      </c>
      <c r="Y171" s="53">
        <v>0</v>
      </c>
      <c r="Z171" s="56" t="str">
        <f t="shared" si="45"/>
        <v/>
      </c>
      <c r="AA171" s="56" t="str">
        <f t="shared" si="46"/>
        <v/>
      </c>
      <c r="AB171" s="56" t="str">
        <f t="shared" si="47"/>
        <v/>
      </c>
      <c r="AC171" s="56" t="str">
        <f t="shared" si="48"/>
        <v/>
      </c>
      <c r="AD171" s="56" t="str">
        <f t="shared" si="49"/>
        <v/>
      </c>
      <c r="AE171" s="40"/>
      <c r="AF171" s="40"/>
      <c r="AG171" s="40"/>
      <c r="AH171" s="56" t="str">
        <f t="shared" si="50"/>
        <v/>
      </c>
      <c r="AI171" s="54"/>
      <c r="AJ171" s="54"/>
      <c r="AK171" s="54"/>
      <c r="AL171" s="54"/>
      <c r="AM171" s="54"/>
    </row>
    <row r="172" spans="1:39">
      <c r="A172" s="96"/>
      <c r="B172" s="45" t="str" cm="1">
        <f t="array" ref="B172">IF(H172="PROJECT", CHAR(10) &amp; "- " &amp; _xlfn.TEXTJOIN(CHAR(10) &amp; "- ", TRUE, _xlfn._xlws.FILTER($I$9:$I$1000, ($C$9:$C$1000=C172) * ($H$9:$H$1000="Topic"))), "")</f>
        <v/>
      </c>
      <c r="C172" s="45">
        <f t="shared" si="34"/>
        <v>134</v>
      </c>
      <c r="D172" s="57"/>
      <c r="E172" s="58"/>
      <c r="F172" s="54"/>
      <c r="G172" s="52"/>
      <c r="H172" s="52"/>
      <c r="I172" s="61"/>
      <c r="J172" s="62"/>
      <c r="K172" s="103" t="str">
        <f t="shared" si="35"/>
        <v/>
      </c>
      <c r="L172" s="105" t="str">
        <f t="shared" si="36"/>
        <v/>
      </c>
      <c r="M172" s="52">
        <v>0</v>
      </c>
      <c r="N172" s="104" t="str">
        <f t="shared" si="37"/>
        <v/>
      </c>
      <c r="O172" s="105" t="str">
        <f t="shared" si="38"/>
        <v/>
      </c>
      <c r="P172" s="52">
        <v>0</v>
      </c>
      <c r="Q172" s="104" t="str">
        <f t="shared" si="39"/>
        <v/>
      </c>
      <c r="R172" s="105" t="str">
        <f t="shared" si="40"/>
        <v/>
      </c>
      <c r="S172" s="52">
        <v>0</v>
      </c>
      <c r="T172" s="104" t="str">
        <f t="shared" si="41"/>
        <v/>
      </c>
      <c r="U172" s="105" t="str">
        <f t="shared" si="42"/>
        <v/>
      </c>
      <c r="V172" s="52">
        <v>0</v>
      </c>
      <c r="W172" s="88" t="str">
        <f t="shared" si="43"/>
        <v/>
      </c>
      <c r="X172" s="105" t="str">
        <f t="shared" si="44"/>
        <v/>
      </c>
      <c r="Y172" s="52">
        <v>0</v>
      </c>
      <c r="Z172" s="56" t="str">
        <f t="shared" si="45"/>
        <v/>
      </c>
      <c r="AA172" s="56" t="str">
        <f t="shared" si="46"/>
        <v/>
      </c>
      <c r="AB172" s="56" t="str">
        <f t="shared" si="47"/>
        <v/>
      </c>
      <c r="AC172" s="56" t="str">
        <f t="shared" si="48"/>
        <v/>
      </c>
      <c r="AD172" s="56" t="str">
        <f t="shared" si="49"/>
        <v/>
      </c>
      <c r="AE172" s="40"/>
      <c r="AF172" s="40"/>
      <c r="AG172" s="40"/>
      <c r="AH172" s="56" t="str">
        <f t="shared" si="50"/>
        <v/>
      </c>
      <c r="AI172" s="54"/>
      <c r="AJ172" s="54"/>
      <c r="AK172" s="54"/>
      <c r="AL172" s="54"/>
      <c r="AM172" s="54"/>
    </row>
    <row r="173" spans="1:39">
      <c r="A173" s="96"/>
      <c r="B173" s="45" t="str" cm="1">
        <f t="array" ref="B173">IF(H173="PROJECT", CHAR(10) &amp; "- " &amp; _xlfn.TEXTJOIN(CHAR(10) &amp; "- ", TRUE, _xlfn._xlws.FILTER($I$9:$I$1000, ($C$9:$C$1000=C173) * ($H$9:$H$1000="Topic"))), "")</f>
        <v/>
      </c>
      <c r="C173" s="45">
        <f t="shared" si="34"/>
        <v>135</v>
      </c>
      <c r="D173" s="46"/>
      <c r="E173" s="58"/>
      <c r="F173" s="67"/>
      <c r="G173" s="53"/>
      <c r="H173" s="53"/>
      <c r="I173" s="50"/>
      <c r="J173" s="51"/>
      <c r="K173" s="103" t="str">
        <f t="shared" si="35"/>
        <v/>
      </c>
      <c r="L173" s="105" t="str">
        <f t="shared" si="36"/>
        <v/>
      </c>
      <c r="M173" s="53">
        <v>0</v>
      </c>
      <c r="N173" s="104" t="str">
        <f t="shared" si="37"/>
        <v/>
      </c>
      <c r="O173" s="105" t="str">
        <f t="shared" si="38"/>
        <v/>
      </c>
      <c r="P173" s="53">
        <v>0</v>
      </c>
      <c r="Q173" s="104" t="str">
        <f t="shared" si="39"/>
        <v/>
      </c>
      <c r="R173" s="105" t="str">
        <f t="shared" si="40"/>
        <v/>
      </c>
      <c r="S173" s="53">
        <v>0</v>
      </c>
      <c r="T173" s="104" t="str">
        <f t="shared" si="41"/>
        <v/>
      </c>
      <c r="U173" s="105" t="str">
        <f t="shared" si="42"/>
        <v/>
      </c>
      <c r="V173" s="53">
        <v>0</v>
      </c>
      <c r="W173" s="88" t="str">
        <f t="shared" si="43"/>
        <v/>
      </c>
      <c r="X173" s="105" t="str">
        <f t="shared" si="44"/>
        <v/>
      </c>
      <c r="Y173" s="53">
        <v>0</v>
      </c>
      <c r="Z173" s="56" t="str">
        <f t="shared" si="45"/>
        <v/>
      </c>
      <c r="AA173" s="56" t="str">
        <f t="shared" si="46"/>
        <v/>
      </c>
      <c r="AB173" s="56" t="str">
        <f t="shared" si="47"/>
        <v/>
      </c>
      <c r="AC173" s="56" t="str">
        <f t="shared" si="48"/>
        <v/>
      </c>
      <c r="AD173" s="56" t="str">
        <f t="shared" si="49"/>
        <v/>
      </c>
      <c r="AE173" s="40"/>
      <c r="AF173" s="40"/>
      <c r="AG173" s="40"/>
      <c r="AH173" s="56" t="str">
        <f t="shared" si="50"/>
        <v/>
      </c>
      <c r="AI173" s="54"/>
      <c r="AJ173" s="54"/>
      <c r="AK173" s="54"/>
      <c r="AL173" s="54"/>
      <c r="AM173" s="54"/>
    </row>
    <row r="174" spans="1:39">
      <c r="A174" s="96"/>
      <c r="B174" s="45" t="str" cm="1">
        <f t="array" ref="B174">IF(H174="PROJECT", CHAR(10) &amp; "- " &amp; _xlfn.TEXTJOIN(CHAR(10) &amp; "- ", TRUE, _xlfn._xlws.FILTER($I$9:$I$1000, ($C$9:$C$1000=C174) * ($H$9:$H$1000="Topic"))), "")</f>
        <v/>
      </c>
      <c r="C174" s="45">
        <f t="shared" si="34"/>
        <v>136</v>
      </c>
      <c r="D174" s="57"/>
      <c r="E174" s="58"/>
      <c r="F174" s="54"/>
      <c r="G174" s="52"/>
      <c r="H174" s="52"/>
      <c r="I174" s="61"/>
      <c r="J174" s="62"/>
      <c r="K174" s="103" t="str">
        <f t="shared" si="35"/>
        <v/>
      </c>
      <c r="L174" s="105" t="str">
        <f t="shared" si="36"/>
        <v/>
      </c>
      <c r="M174" s="52">
        <v>0</v>
      </c>
      <c r="N174" s="104" t="str">
        <f t="shared" si="37"/>
        <v/>
      </c>
      <c r="O174" s="105" t="str">
        <f t="shared" si="38"/>
        <v/>
      </c>
      <c r="P174" s="52">
        <v>0</v>
      </c>
      <c r="Q174" s="104" t="str">
        <f t="shared" si="39"/>
        <v/>
      </c>
      <c r="R174" s="105" t="str">
        <f t="shared" si="40"/>
        <v/>
      </c>
      <c r="S174" s="52">
        <v>0</v>
      </c>
      <c r="T174" s="104" t="str">
        <f t="shared" si="41"/>
        <v/>
      </c>
      <c r="U174" s="105" t="str">
        <f t="shared" si="42"/>
        <v/>
      </c>
      <c r="V174" s="52">
        <v>0</v>
      </c>
      <c r="W174" s="88" t="str">
        <f t="shared" si="43"/>
        <v/>
      </c>
      <c r="X174" s="105" t="str">
        <f t="shared" si="44"/>
        <v/>
      </c>
      <c r="Y174" s="52">
        <v>0</v>
      </c>
      <c r="Z174" s="56" t="str">
        <f t="shared" si="45"/>
        <v/>
      </c>
      <c r="AA174" s="56" t="str">
        <f t="shared" si="46"/>
        <v/>
      </c>
      <c r="AB174" s="56" t="str">
        <f t="shared" si="47"/>
        <v/>
      </c>
      <c r="AC174" s="56" t="str">
        <f t="shared" si="48"/>
        <v/>
      </c>
      <c r="AD174" s="56" t="str">
        <f t="shared" si="49"/>
        <v/>
      </c>
      <c r="AE174" s="40"/>
      <c r="AF174" s="40"/>
      <c r="AG174" s="40"/>
      <c r="AH174" s="56" t="str">
        <f t="shared" si="50"/>
        <v/>
      </c>
      <c r="AI174" s="54"/>
      <c r="AJ174" s="54"/>
      <c r="AK174" s="54"/>
      <c r="AL174" s="54"/>
      <c r="AM174" s="54"/>
    </row>
    <row r="175" spans="1:39">
      <c r="A175" s="96"/>
      <c r="B175" s="45" t="str" cm="1">
        <f t="array" ref="B175">IF(H175="PROJECT", CHAR(10) &amp; "- " &amp; _xlfn.TEXTJOIN(CHAR(10) &amp; "- ", TRUE, _xlfn._xlws.FILTER($I$9:$I$1000, ($C$9:$C$1000=C175) * ($H$9:$H$1000="Topic"))), "")</f>
        <v/>
      </c>
      <c r="C175" s="45">
        <f t="shared" si="34"/>
        <v>137</v>
      </c>
      <c r="D175" s="46"/>
      <c r="E175" s="58"/>
      <c r="F175" s="67"/>
      <c r="G175" s="53"/>
      <c r="H175" s="53"/>
      <c r="I175" s="50"/>
      <c r="J175" s="51"/>
      <c r="K175" s="103" t="str">
        <f t="shared" si="35"/>
        <v/>
      </c>
      <c r="L175" s="105" t="str">
        <f t="shared" si="36"/>
        <v/>
      </c>
      <c r="M175" s="53">
        <v>0</v>
      </c>
      <c r="N175" s="104" t="str">
        <f t="shared" si="37"/>
        <v/>
      </c>
      <c r="O175" s="105" t="str">
        <f t="shared" si="38"/>
        <v/>
      </c>
      <c r="P175" s="53">
        <v>0</v>
      </c>
      <c r="Q175" s="104" t="str">
        <f t="shared" si="39"/>
        <v/>
      </c>
      <c r="R175" s="105" t="str">
        <f t="shared" si="40"/>
        <v/>
      </c>
      <c r="S175" s="53">
        <v>0</v>
      </c>
      <c r="T175" s="104" t="str">
        <f t="shared" si="41"/>
        <v/>
      </c>
      <c r="U175" s="105" t="str">
        <f t="shared" si="42"/>
        <v/>
      </c>
      <c r="V175" s="53">
        <v>0</v>
      </c>
      <c r="W175" s="88" t="str">
        <f t="shared" si="43"/>
        <v/>
      </c>
      <c r="X175" s="105" t="str">
        <f t="shared" si="44"/>
        <v/>
      </c>
      <c r="Y175" s="53">
        <v>0</v>
      </c>
      <c r="Z175" s="56" t="str">
        <f t="shared" si="45"/>
        <v/>
      </c>
      <c r="AA175" s="56" t="str">
        <f t="shared" si="46"/>
        <v/>
      </c>
      <c r="AB175" s="56" t="str">
        <f t="shared" si="47"/>
        <v/>
      </c>
      <c r="AC175" s="56" t="str">
        <f t="shared" si="48"/>
        <v/>
      </c>
      <c r="AD175" s="56" t="str">
        <f t="shared" si="49"/>
        <v/>
      </c>
      <c r="AE175" s="40"/>
      <c r="AF175" s="40"/>
      <c r="AG175" s="40"/>
      <c r="AH175" s="56" t="str">
        <f t="shared" si="50"/>
        <v/>
      </c>
      <c r="AI175" s="54"/>
      <c r="AJ175" s="54"/>
      <c r="AK175" s="54"/>
      <c r="AL175" s="54"/>
      <c r="AM175" s="54"/>
    </row>
    <row r="176" spans="1:39">
      <c r="A176" s="96"/>
      <c r="B176" s="45" t="str" cm="1">
        <f t="array" ref="B176">IF(H176="PROJECT", CHAR(10) &amp; "- " &amp; _xlfn.TEXTJOIN(CHAR(10) &amp; "- ", TRUE, _xlfn._xlws.FILTER($I$9:$I$1000, ($C$9:$C$1000=C176) * ($H$9:$H$1000="Topic"))), "")</f>
        <v/>
      </c>
      <c r="C176" s="45">
        <f t="shared" si="34"/>
        <v>138</v>
      </c>
      <c r="D176" s="57"/>
      <c r="E176" s="58"/>
      <c r="F176" s="54"/>
      <c r="G176" s="52"/>
      <c r="H176" s="52"/>
      <c r="I176" s="61"/>
      <c r="J176" s="62"/>
      <c r="K176" s="103" t="str">
        <f t="shared" si="35"/>
        <v/>
      </c>
      <c r="L176" s="105" t="str">
        <f t="shared" si="36"/>
        <v/>
      </c>
      <c r="M176" s="52">
        <v>0</v>
      </c>
      <c r="N176" s="104" t="str">
        <f t="shared" si="37"/>
        <v/>
      </c>
      <c r="O176" s="105" t="str">
        <f t="shared" si="38"/>
        <v/>
      </c>
      <c r="P176" s="52">
        <v>0</v>
      </c>
      <c r="Q176" s="104" t="str">
        <f t="shared" si="39"/>
        <v/>
      </c>
      <c r="R176" s="105" t="str">
        <f t="shared" si="40"/>
        <v/>
      </c>
      <c r="S176" s="52">
        <v>0</v>
      </c>
      <c r="T176" s="104" t="str">
        <f t="shared" si="41"/>
        <v/>
      </c>
      <c r="U176" s="105" t="str">
        <f t="shared" si="42"/>
        <v/>
      </c>
      <c r="V176" s="52">
        <v>0</v>
      </c>
      <c r="W176" s="88" t="str">
        <f t="shared" si="43"/>
        <v/>
      </c>
      <c r="X176" s="105" t="str">
        <f t="shared" si="44"/>
        <v/>
      </c>
      <c r="Y176" s="52">
        <v>0</v>
      </c>
      <c r="Z176" s="56" t="str">
        <f t="shared" si="45"/>
        <v/>
      </c>
      <c r="AA176" s="56" t="str">
        <f t="shared" si="46"/>
        <v/>
      </c>
      <c r="AB176" s="56" t="str">
        <f t="shared" si="47"/>
        <v/>
      </c>
      <c r="AC176" s="56" t="str">
        <f t="shared" si="48"/>
        <v/>
      </c>
      <c r="AD176" s="56" t="str">
        <f t="shared" si="49"/>
        <v/>
      </c>
      <c r="AE176" s="40"/>
      <c r="AF176" s="40"/>
      <c r="AG176" s="40"/>
      <c r="AH176" s="56" t="str">
        <f t="shared" si="50"/>
        <v/>
      </c>
      <c r="AI176" s="54"/>
      <c r="AJ176" s="54"/>
      <c r="AK176" s="54"/>
      <c r="AL176" s="54"/>
      <c r="AM176" s="54"/>
    </row>
    <row r="177" spans="1:39">
      <c r="A177" s="96"/>
      <c r="B177" s="45" t="str" cm="1">
        <f t="array" ref="B177">IF(H177="PROJECT", CHAR(10) &amp; "- " &amp; _xlfn.TEXTJOIN(CHAR(10) &amp; "- ", TRUE, _xlfn._xlws.FILTER($I$9:$I$1000, ($C$9:$C$1000=C177) * ($H$9:$H$1000="Topic"))), "")</f>
        <v/>
      </c>
      <c r="C177" s="45">
        <f t="shared" si="34"/>
        <v>139</v>
      </c>
      <c r="D177" s="46"/>
      <c r="E177" s="58"/>
      <c r="F177" s="67"/>
      <c r="G177" s="53"/>
      <c r="H177" s="53"/>
      <c r="I177" s="50"/>
      <c r="J177" s="51"/>
      <c r="K177" s="103" t="str">
        <f t="shared" si="35"/>
        <v/>
      </c>
      <c r="L177" s="105" t="str">
        <f t="shared" si="36"/>
        <v/>
      </c>
      <c r="M177" s="53">
        <v>0</v>
      </c>
      <c r="N177" s="104" t="str">
        <f t="shared" si="37"/>
        <v/>
      </c>
      <c r="O177" s="105" t="str">
        <f t="shared" si="38"/>
        <v/>
      </c>
      <c r="P177" s="53">
        <v>0</v>
      </c>
      <c r="Q177" s="104" t="str">
        <f t="shared" si="39"/>
        <v/>
      </c>
      <c r="R177" s="105" t="str">
        <f t="shared" si="40"/>
        <v/>
      </c>
      <c r="S177" s="53">
        <v>0</v>
      </c>
      <c r="T177" s="104" t="str">
        <f t="shared" si="41"/>
        <v/>
      </c>
      <c r="U177" s="105" t="str">
        <f t="shared" si="42"/>
        <v/>
      </c>
      <c r="V177" s="53">
        <v>0</v>
      </c>
      <c r="W177" s="88" t="str">
        <f t="shared" si="43"/>
        <v/>
      </c>
      <c r="X177" s="105" t="str">
        <f t="shared" si="44"/>
        <v/>
      </c>
      <c r="Y177" s="53">
        <v>0</v>
      </c>
      <c r="Z177" s="56" t="str">
        <f t="shared" si="45"/>
        <v/>
      </c>
      <c r="AA177" s="56" t="str">
        <f t="shared" si="46"/>
        <v/>
      </c>
      <c r="AB177" s="56" t="str">
        <f t="shared" si="47"/>
        <v/>
      </c>
      <c r="AC177" s="56" t="str">
        <f t="shared" si="48"/>
        <v/>
      </c>
      <c r="AD177" s="56" t="str">
        <f t="shared" si="49"/>
        <v/>
      </c>
      <c r="AE177" s="40"/>
      <c r="AF177" s="40"/>
      <c r="AG177" s="40"/>
      <c r="AH177" s="56" t="str">
        <f t="shared" si="50"/>
        <v/>
      </c>
      <c r="AI177" s="54"/>
      <c r="AJ177" s="54"/>
      <c r="AK177" s="54"/>
      <c r="AL177" s="54"/>
      <c r="AM177" s="54"/>
    </row>
    <row r="178" spans="1:39">
      <c r="A178" s="96"/>
      <c r="B178" s="45" t="str" cm="1">
        <f t="array" ref="B178">IF(H178="PROJECT", CHAR(10) &amp; "- " &amp; _xlfn.TEXTJOIN(CHAR(10) &amp; "- ", TRUE, _xlfn._xlws.FILTER($I$9:$I$1000, ($C$9:$C$1000=C178) * ($H$9:$H$1000="Topic"))), "")</f>
        <v/>
      </c>
      <c r="C178" s="45">
        <f t="shared" si="34"/>
        <v>140</v>
      </c>
      <c r="D178" s="57"/>
      <c r="E178" s="58"/>
      <c r="F178" s="54"/>
      <c r="G178" s="52"/>
      <c r="H178" s="52"/>
      <c r="I178" s="61"/>
      <c r="J178" s="62"/>
      <c r="K178" s="103" t="str">
        <f t="shared" si="35"/>
        <v/>
      </c>
      <c r="L178" s="105" t="str">
        <f t="shared" si="36"/>
        <v/>
      </c>
      <c r="M178" s="52">
        <v>0</v>
      </c>
      <c r="N178" s="104" t="str">
        <f t="shared" si="37"/>
        <v/>
      </c>
      <c r="O178" s="105" t="str">
        <f t="shared" si="38"/>
        <v/>
      </c>
      <c r="P178" s="52">
        <v>0</v>
      </c>
      <c r="Q178" s="104" t="str">
        <f t="shared" si="39"/>
        <v/>
      </c>
      <c r="R178" s="105" t="str">
        <f t="shared" si="40"/>
        <v/>
      </c>
      <c r="S178" s="52">
        <v>0</v>
      </c>
      <c r="T178" s="104" t="str">
        <f t="shared" si="41"/>
        <v/>
      </c>
      <c r="U178" s="105" t="str">
        <f t="shared" si="42"/>
        <v/>
      </c>
      <c r="V178" s="52">
        <v>0</v>
      </c>
      <c r="W178" s="88" t="str">
        <f t="shared" si="43"/>
        <v/>
      </c>
      <c r="X178" s="105" t="str">
        <f t="shared" si="44"/>
        <v/>
      </c>
      <c r="Y178" s="52">
        <v>0</v>
      </c>
      <c r="Z178" s="56" t="str">
        <f t="shared" si="45"/>
        <v/>
      </c>
      <c r="AA178" s="56" t="str">
        <f t="shared" si="46"/>
        <v/>
      </c>
      <c r="AB178" s="56" t="str">
        <f t="shared" si="47"/>
        <v/>
      </c>
      <c r="AC178" s="56" t="str">
        <f t="shared" si="48"/>
        <v/>
      </c>
      <c r="AD178" s="56" t="str">
        <f t="shared" si="49"/>
        <v/>
      </c>
      <c r="AE178" s="40"/>
      <c r="AF178" s="40"/>
      <c r="AG178" s="40"/>
      <c r="AH178" s="56" t="str">
        <f t="shared" si="50"/>
        <v/>
      </c>
      <c r="AI178" s="54"/>
      <c r="AJ178" s="54"/>
      <c r="AK178" s="54"/>
      <c r="AL178" s="54"/>
      <c r="AM178" s="54"/>
    </row>
    <row r="179" spans="1:39">
      <c r="A179" s="96"/>
      <c r="B179" s="45" t="str" cm="1">
        <f t="array" ref="B179">IF(H179="PROJECT", CHAR(10) &amp; "- " &amp; _xlfn.TEXTJOIN(CHAR(10) &amp; "- ", TRUE, _xlfn._xlws.FILTER($I$9:$I$1000, ($C$9:$C$1000=C179) * ($H$9:$H$1000="Topic"))), "")</f>
        <v/>
      </c>
      <c r="C179" s="45">
        <f t="shared" si="34"/>
        <v>141</v>
      </c>
      <c r="D179" s="46"/>
      <c r="E179" s="58"/>
      <c r="F179" s="67"/>
      <c r="G179" s="53"/>
      <c r="H179" s="53"/>
      <c r="I179" s="50"/>
      <c r="J179" s="51"/>
      <c r="K179" s="103" t="str">
        <f t="shared" si="35"/>
        <v/>
      </c>
      <c r="L179" s="105" t="str">
        <f t="shared" si="36"/>
        <v/>
      </c>
      <c r="M179" s="53">
        <v>0</v>
      </c>
      <c r="N179" s="104" t="str">
        <f t="shared" si="37"/>
        <v/>
      </c>
      <c r="O179" s="105" t="str">
        <f t="shared" si="38"/>
        <v/>
      </c>
      <c r="P179" s="53">
        <v>0</v>
      </c>
      <c r="Q179" s="104" t="str">
        <f t="shared" si="39"/>
        <v/>
      </c>
      <c r="R179" s="105" t="str">
        <f t="shared" si="40"/>
        <v/>
      </c>
      <c r="S179" s="53">
        <v>0</v>
      </c>
      <c r="T179" s="104" t="str">
        <f t="shared" si="41"/>
        <v/>
      </c>
      <c r="U179" s="105" t="str">
        <f t="shared" si="42"/>
        <v/>
      </c>
      <c r="V179" s="53">
        <v>0</v>
      </c>
      <c r="W179" s="88" t="str">
        <f t="shared" si="43"/>
        <v/>
      </c>
      <c r="X179" s="105" t="str">
        <f t="shared" si="44"/>
        <v/>
      </c>
      <c r="Y179" s="53">
        <v>0</v>
      </c>
      <c r="Z179" s="56" t="str">
        <f t="shared" si="45"/>
        <v/>
      </c>
      <c r="AA179" s="56" t="str">
        <f t="shared" si="46"/>
        <v/>
      </c>
      <c r="AB179" s="56" t="str">
        <f t="shared" si="47"/>
        <v/>
      </c>
      <c r="AC179" s="56" t="str">
        <f t="shared" si="48"/>
        <v/>
      </c>
      <c r="AD179" s="56" t="str">
        <f t="shared" si="49"/>
        <v/>
      </c>
      <c r="AE179" s="40"/>
      <c r="AF179" s="40"/>
      <c r="AG179" s="40"/>
      <c r="AH179" s="56" t="str">
        <f t="shared" si="50"/>
        <v/>
      </c>
      <c r="AI179" s="54"/>
      <c r="AJ179" s="54"/>
      <c r="AK179" s="54"/>
      <c r="AL179" s="54"/>
      <c r="AM179" s="54"/>
    </row>
    <row r="180" spans="1:39">
      <c r="A180" s="96"/>
      <c r="B180" s="45" t="str" cm="1">
        <f t="array" ref="B180">IF(H180="PROJECT", CHAR(10) &amp; "- " &amp; _xlfn.TEXTJOIN(CHAR(10) &amp; "- ", TRUE, _xlfn._xlws.FILTER($I$9:$I$1000, ($C$9:$C$1000=C180) * ($H$9:$H$1000="Topic"))), "")</f>
        <v/>
      </c>
      <c r="C180" s="45">
        <f t="shared" si="34"/>
        <v>142</v>
      </c>
      <c r="D180" s="57"/>
      <c r="E180" s="58"/>
      <c r="F180" s="54"/>
      <c r="G180" s="52"/>
      <c r="H180" s="52"/>
      <c r="I180" s="61"/>
      <c r="J180" s="62"/>
      <c r="K180" s="103" t="str">
        <f t="shared" si="35"/>
        <v/>
      </c>
      <c r="L180" s="105" t="str">
        <f t="shared" si="36"/>
        <v/>
      </c>
      <c r="M180" s="52">
        <v>0</v>
      </c>
      <c r="N180" s="104" t="str">
        <f t="shared" si="37"/>
        <v/>
      </c>
      <c r="O180" s="105" t="str">
        <f t="shared" si="38"/>
        <v/>
      </c>
      <c r="P180" s="52">
        <v>0</v>
      </c>
      <c r="Q180" s="104" t="str">
        <f t="shared" si="39"/>
        <v/>
      </c>
      <c r="R180" s="105" t="str">
        <f t="shared" si="40"/>
        <v/>
      </c>
      <c r="S180" s="52">
        <v>0</v>
      </c>
      <c r="T180" s="104" t="str">
        <f t="shared" si="41"/>
        <v/>
      </c>
      <c r="U180" s="105" t="str">
        <f t="shared" si="42"/>
        <v/>
      </c>
      <c r="V180" s="52">
        <v>0</v>
      </c>
      <c r="W180" s="88" t="str">
        <f t="shared" si="43"/>
        <v/>
      </c>
      <c r="X180" s="105" t="str">
        <f t="shared" si="44"/>
        <v/>
      </c>
      <c r="Y180" s="52">
        <v>0</v>
      </c>
      <c r="Z180" s="56" t="str">
        <f t="shared" si="45"/>
        <v/>
      </c>
      <c r="AA180" s="56" t="str">
        <f t="shared" si="46"/>
        <v/>
      </c>
      <c r="AB180" s="56" t="str">
        <f t="shared" si="47"/>
        <v/>
      </c>
      <c r="AC180" s="56" t="str">
        <f t="shared" si="48"/>
        <v/>
      </c>
      <c r="AD180" s="56" t="str">
        <f t="shared" si="49"/>
        <v/>
      </c>
      <c r="AE180" s="40"/>
      <c r="AF180" s="40"/>
      <c r="AG180" s="40"/>
      <c r="AH180" s="56" t="str">
        <f t="shared" si="50"/>
        <v/>
      </c>
      <c r="AI180" s="54"/>
      <c r="AJ180" s="54"/>
      <c r="AK180" s="54"/>
      <c r="AL180" s="54"/>
      <c r="AM180" s="54"/>
    </row>
    <row r="181" spans="1:39">
      <c r="A181" s="96"/>
      <c r="B181" s="45" t="str" cm="1">
        <f t="array" ref="B181">IF(H181="PROJECT", CHAR(10) &amp; "- " &amp; _xlfn.TEXTJOIN(CHAR(10) &amp; "- ", TRUE, _xlfn._xlws.FILTER($I$9:$I$1000, ($C$9:$C$1000=C181) * ($H$9:$H$1000="Topic"))), "")</f>
        <v/>
      </c>
      <c r="C181" s="45">
        <f t="shared" si="34"/>
        <v>143</v>
      </c>
      <c r="D181" s="46"/>
      <c r="E181" s="58"/>
      <c r="F181" s="67"/>
      <c r="G181" s="53"/>
      <c r="H181" s="53"/>
      <c r="I181" s="50"/>
      <c r="J181" s="51"/>
      <c r="K181" s="103" t="str">
        <f t="shared" si="35"/>
        <v/>
      </c>
      <c r="L181" s="105" t="str">
        <f t="shared" si="36"/>
        <v/>
      </c>
      <c r="M181" s="53">
        <v>0</v>
      </c>
      <c r="N181" s="104" t="str">
        <f t="shared" si="37"/>
        <v/>
      </c>
      <c r="O181" s="105" t="str">
        <f t="shared" si="38"/>
        <v/>
      </c>
      <c r="P181" s="53">
        <v>0</v>
      </c>
      <c r="Q181" s="104" t="str">
        <f t="shared" si="39"/>
        <v/>
      </c>
      <c r="R181" s="105" t="str">
        <f t="shared" si="40"/>
        <v/>
      </c>
      <c r="S181" s="53">
        <v>0</v>
      </c>
      <c r="T181" s="104" t="str">
        <f t="shared" si="41"/>
        <v/>
      </c>
      <c r="U181" s="105" t="str">
        <f t="shared" si="42"/>
        <v/>
      </c>
      <c r="V181" s="53">
        <v>0</v>
      </c>
      <c r="W181" s="88" t="str">
        <f t="shared" si="43"/>
        <v/>
      </c>
      <c r="X181" s="105" t="str">
        <f t="shared" si="44"/>
        <v/>
      </c>
      <c r="Y181" s="53">
        <v>0</v>
      </c>
      <c r="Z181" s="56" t="str">
        <f t="shared" si="45"/>
        <v/>
      </c>
      <c r="AA181" s="56" t="str">
        <f t="shared" si="46"/>
        <v/>
      </c>
      <c r="AB181" s="56" t="str">
        <f t="shared" si="47"/>
        <v/>
      </c>
      <c r="AC181" s="56" t="str">
        <f t="shared" si="48"/>
        <v/>
      </c>
      <c r="AD181" s="56" t="str">
        <f t="shared" si="49"/>
        <v/>
      </c>
      <c r="AE181" s="40"/>
      <c r="AF181" s="40"/>
      <c r="AG181" s="40"/>
      <c r="AH181" s="56" t="str">
        <f t="shared" si="50"/>
        <v/>
      </c>
      <c r="AI181" s="54"/>
      <c r="AJ181" s="54"/>
      <c r="AK181" s="54"/>
      <c r="AL181" s="54"/>
      <c r="AM181" s="54"/>
    </row>
    <row r="182" spans="1:39">
      <c r="A182" s="96"/>
      <c r="B182" s="45" t="str" cm="1">
        <f t="array" ref="B182">IF(H182="PROJECT", CHAR(10) &amp; "- " &amp; _xlfn.TEXTJOIN(CHAR(10) &amp; "- ", TRUE, _xlfn._xlws.FILTER($I$9:$I$1000, ($C$9:$C$1000=C182) * ($H$9:$H$1000="Topic"))), "")</f>
        <v/>
      </c>
      <c r="C182" s="45">
        <f t="shared" si="34"/>
        <v>144</v>
      </c>
      <c r="D182" s="57"/>
      <c r="E182" s="58"/>
      <c r="F182" s="54"/>
      <c r="G182" s="52"/>
      <c r="H182" s="52"/>
      <c r="I182" s="61"/>
      <c r="J182" s="62"/>
      <c r="K182" s="103" t="str">
        <f t="shared" si="35"/>
        <v/>
      </c>
      <c r="L182" s="105" t="str">
        <f t="shared" si="36"/>
        <v/>
      </c>
      <c r="M182" s="52">
        <v>0</v>
      </c>
      <c r="N182" s="104" t="str">
        <f t="shared" si="37"/>
        <v/>
      </c>
      <c r="O182" s="105" t="str">
        <f t="shared" si="38"/>
        <v/>
      </c>
      <c r="P182" s="52">
        <v>0</v>
      </c>
      <c r="Q182" s="104" t="str">
        <f t="shared" si="39"/>
        <v/>
      </c>
      <c r="R182" s="105" t="str">
        <f t="shared" si="40"/>
        <v/>
      </c>
      <c r="S182" s="52">
        <v>0</v>
      </c>
      <c r="T182" s="104" t="str">
        <f t="shared" si="41"/>
        <v/>
      </c>
      <c r="U182" s="105" t="str">
        <f t="shared" si="42"/>
        <v/>
      </c>
      <c r="V182" s="52">
        <v>0</v>
      </c>
      <c r="W182" s="88" t="str">
        <f t="shared" si="43"/>
        <v/>
      </c>
      <c r="X182" s="105" t="str">
        <f t="shared" si="44"/>
        <v/>
      </c>
      <c r="Y182" s="52">
        <v>0</v>
      </c>
      <c r="Z182" s="56" t="str">
        <f t="shared" si="45"/>
        <v/>
      </c>
      <c r="AA182" s="56" t="str">
        <f t="shared" si="46"/>
        <v/>
      </c>
      <c r="AB182" s="56" t="str">
        <f t="shared" si="47"/>
        <v/>
      </c>
      <c r="AC182" s="56" t="str">
        <f t="shared" si="48"/>
        <v/>
      </c>
      <c r="AD182" s="56" t="str">
        <f t="shared" si="49"/>
        <v/>
      </c>
      <c r="AE182" s="40"/>
      <c r="AF182" s="40"/>
      <c r="AG182" s="40"/>
      <c r="AH182" s="56" t="str">
        <f t="shared" si="50"/>
        <v/>
      </c>
      <c r="AI182" s="54"/>
      <c r="AJ182" s="54"/>
      <c r="AK182" s="54"/>
      <c r="AL182" s="54"/>
      <c r="AM182" s="54"/>
    </row>
    <row r="183" spans="1:39">
      <c r="A183" s="96"/>
      <c r="B183" s="45" t="str" cm="1">
        <f t="array" ref="B183">IF(H183="PROJECT", CHAR(10) &amp; "- " &amp; _xlfn.TEXTJOIN(CHAR(10) &amp; "- ", TRUE, _xlfn._xlws.FILTER($I$9:$I$1000, ($C$9:$C$1000=C183) * ($H$9:$H$1000="Topic"))), "")</f>
        <v/>
      </c>
      <c r="C183" s="45">
        <f t="shared" si="34"/>
        <v>145</v>
      </c>
      <c r="D183" s="46"/>
      <c r="E183" s="58"/>
      <c r="F183" s="67"/>
      <c r="G183" s="53"/>
      <c r="H183" s="53"/>
      <c r="I183" s="50"/>
      <c r="J183" s="51"/>
      <c r="K183" s="103" t="str">
        <f t="shared" si="35"/>
        <v/>
      </c>
      <c r="L183" s="105" t="str">
        <f t="shared" si="36"/>
        <v/>
      </c>
      <c r="M183" s="53">
        <v>0</v>
      </c>
      <c r="N183" s="104" t="str">
        <f t="shared" si="37"/>
        <v/>
      </c>
      <c r="O183" s="105" t="str">
        <f t="shared" si="38"/>
        <v/>
      </c>
      <c r="P183" s="53">
        <v>0</v>
      </c>
      <c r="Q183" s="104" t="str">
        <f t="shared" si="39"/>
        <v/>
      </c>
      <c r="R183" s="105" t="str">
        <f t="shared" si="40"/>
        <v/>
      </c>
      <c r="S183" s="53">
        <v>0</v>
      </c>
      <c r="T183" s="104" t="str">
        <f t="shared" si="41"/>
        <v/>
      </c>
      <c r="U183" s="105" t="str">
        <f t="shared" si="42"/>
        <v/>
      </c>
      <c r="V183" s="53">
        <v>0</v>
      </c>
      <c r="W183" s="88" t="str">
        <f t="shared" si="43"/>
        <v/>
      </c>
      <c r="X183" s="105" t="str">
        <f t="shared" si="44"/>
        <v/>
      </c>
      <c r="Y183" s="53">
        <v>0</v>
      </c>
      <c r="Z183" s="56" t="str">
        <f t="shared" si="45"/>
        <v/>
      </c>
      <c r="AA183" s="56" t="str">
        <f t="shared" si="46"/>
        <v/>
      </c>
      <c r="AB183" s="56" t="str">
        <f t="shared" si="47"/>
        <v/>
      </c>
      <c r="AC183" s="56" t="str">
        <f t="shared" si="48"/>
        <v/>
      </c>
      <c r="AD183" s="56" t="str">
        <f t="shared" si="49"/>
        <v/>
      </c>
      <c r="AE183" s="40"/>
      <c r="AF183" s="40"/>
      <c r="AG183" s="40"/>
      <c r="AH183" s="56" t="str">
        <f t="shared" si="50"/>
        <v/>
      </c>
      <c r="AI183" s="54"/>
      <c r="AJ183" s="54"/>
      <c r="AK183" s="54"/>
      <c r="AL183" s="54"/>
      <c r="AM183" s="54"/>
    </row>
    <row r="184" spans="1:39">
      <c r="A184" s="96"/>
      <c r="B184" s="45" t="str" cm="1">
        <f t="array" ref="B184">IF(H184="PROJECT", CHAR(10) &amp; "- " &amp; _xlfn.TEXTJOIN(CHAR(10) &amp; "- ", TRUE, _xlfn._xlws.FILTER($I$9:$I$1000, ($C$9:$C$1000=C184) * ($H$9:$H$1000="Topic"))), "")</f>
        <v/>
      </c>
      <c r="C184" s="45">
        <f t="shared" si="34"/>
        <v>146</v>
      </c>
      <c r="D184" s="57"/>
      <c r="E184" s="58"/>
      <c r="F184" s="54"/>
      <c r="G184" s="52"/>
      <c r="H184" s="52"/>
      <c r="I184" s="61"/>
      <c r="J184" s="62"/>
      <c r="K184" s="103" t="str">
        <f t="shared" si="35"/>
        <v/>
      </c>
      <c r="L184" s="105" t="str">
        <f t="shared" si="36"/>
        <v/>
      </c>
      <c r="M184" s="52">
        <v>0</v>
      </c>
      <c r="N184" s="104" t="str">
        <f t="shared" si="37"/>
        <v/>
      </c>
      <c r="O184" s="105" t="str">
        <f t="shared" si="38"/>
        <v/>
      </c>
      <c r="P184" s="52">
        <v>0</v>
      </c>
      <c r="Q184" s="104" t="str">
        <f t="shared" si="39"/>
        <v/>
      </c>
      <c r="R184" s="105" t="str">
        <f t="shared" si="40"/>
        <v/>
      </c>
      <c r="S184" s="52">
        <v>0</v>
      </c>
      <c r="T184" s="104" t="str">
        <f t="shared" si="41"/>
        <v/>
      </c>
      <c r="U184" s="105" t="str">
        <f t="shared" si="42"/>
        <v/>
      </c>
      <c r="V184" s="52">
        <v>0</v>
      </c>
      <c r="W184" s="88" t="str">
        <f t="shared" si="43"/>
        <v/>
      </c>
      <c r="X184" s="105" t="str">
        <f t="shared" si="44"/>
        <v/>
      </c>
      <c r="Y184" s="52">
        <v>0</v>
      </c>
      <c r="Z184" s="56" t="str">
        <f t="shared" si="45"/>
        <v/>
      </c>
      <c r="AA184" s="56" t="str">
        <f t="shared" si="46"/>
        <v/>
      </c>
      <c r="AB184" s="56" t="str">
        <f t="shared" si="47"/>
        <v/>
      </c>
      <c r="AC184" s="56" t="str">
        <f t="shared" si="48"/>
        <v/>
      </c>
      <c r="AD184" s="56" t="str">
        <f t="shared" si="49"/>
        <v/>
      </c>
      <c r="AE184" s="40"/>
      <c r="AF184" s="40"/>
      <c r="AG184" s="40"/>
      <c r="AH184" s="56" t="str">
        <f t="shared" si="50"/>
        <v/>
      </c>
      <c r="AI184" s="54"/>
      <c r="AJ184" s="54"/>
      <c r="AK184" s="54"/>
      <c r="AL184" s="54"/>
      <c r="AM184" s="54"/>
    </row>
    <row r="185" spans="1:39">
      <c r="A185" s="96"/>
      <c r="B185" s="45" t="str" cm="1">
        <f t="array" ref="B185">IF(H185="PROJECT", CHAR(10) &amp; "- " &amp; _xlfn.TEXTJOIN(CHAR(10) &amp; "- ", TRUE, _xlfn._xlws.FILTER($I$9:$I$1000, ($C$9:$C$1000=C185) * ($H$9:$H$1000="Topic"))), "")</f>
        <v/>
      </c>
      <c r="C185" s="45">
        <f t="shared" si="34"/>
        <v>147</v>
      </c>
      <c r="D185" s="46"/>
      <c r="E185" s="58"/>
      <c r="F185" s="67"/>
      <c r="G185" s="53"/>
      <c r="H185" s="53"/>
      <c r="I185" s="50"/>
      <c r="J185" s="51"/>
      <c r="K185" s="103" t="str">
        <f t="shared" si="35"/>
        <v/>
      </c>
      <c r="L185" s="105" t="str">
        <f t="shared" si="36"/>
        <v/>
      </c>
      <c r="M185" s="53">
        <v>0</v>
      </c>
      <c r="N185" s="104" t="str">
        <f t="shared" si="37"/>
        <v/>
      </c>
      <c r="O185" s="105" t="str">
        <f t="shared" si="38"/>
        <v/>
      </c>
      <c r="P185" s="53">
        <v>0</v>
      </c>
      <c r="Q185" s="104" t="str">
        <f t="shared" si="39"/>
        <v/>
      </c>
      <c r="R185" s="105" t="str">
        <f t="shared" si="40"/>
        <v/>
      </c>
      <c r="S185" s="53">
        <v>0</v>
      </c>
      <c r="T185" s="104" t="str">
        <f t="shared" si="41"/>
        <v/>
      </c>
      <c r="U185" s="105" t="str">
        <f t="shared" si="42"/>
        <v/>
      </c>
      <c r="V185" s="53">
        <v>0</v>
      </c>
      <c r="W185" s="88" t="str">
        <f t="shared" si="43"/>
        <v/>
      </c>
      <c r="X185" s="105" t="str">
        <f t="shared" si="44"/>
        <v/>
      </c>
      <c r="Y185" s="53">
        <v>0</v>
      </c>
      <c r="Z185" s="56" t="str">
        <f t="shared" si="45"/>
        <v/>
      </c>
      <c r="AA185" s="56" t="str">
        <f t="shared" si="46"/>
        <v/>
      </c>
      <c r="AB185" s="56" t="str">
        <f t="shared" si="47"/>
        <v/>
      </c>
      <c r="AC185" s="56" t="str">
        <f t="shared" si="48"/>
        <v/>
      </c>
      <c r="AD185" s="56" t="str">
        <f t="shared" si="49"/>
        <v/>
      </c>
      <c r="AE185" s="40"/>
      <c r="AF185" s="40"/>
      <c r="AG185" s="40"/>
      <c r="AH185" s="56" t="str">
        <f t="shared" si="50"/>
        <v/>
      </c>
      <c r="AI185" s="54"/>
      <c r="AJ185" s="54"/>
      <c r="AK185" s="54"/>
      <c r="AL185" s="54"/>
      <c r="AM185" s="54"/>
    </row>
    <row r="186" spans="1:39">
      <c r="A186" s="96"/>
      <c r="B186" s="45" t="str" cm="1">
        <f t="array" ref="B186">IF(H186="PROJECT", CHAR(10) &amp; "- " &amp; _xlfn.TEXTJOIN(CHAR(10) &amp; "- ", TRUE, _xlfn._xlws.FILTER($I$9:$I$1000, ($C$9:$C$1000=C186) * ($H$9:$H$1000="Topic"))), "")</f>
        <v/>
      </c>
      <c r="C186" s="45">
        <f t="shared" si="34"/>
        <v>148</v>
      </c>
      <c r="D186" s="57"/>
      <c r="E186" s="58"/>
      <c r="F186" s="54"/>
      <c r="G186" s="52"/>
      <c r="H186" s="52"/>
      <c r="I186" s="61"/>
      <c r="J186" s="62"/>
      <c r="K186" s="103" t="str">
        <f t="shared" si="35"/>
        <v/>
      </c>
      <c r="L186" s="105" t="str">
        <f t="shared" si="36"/>
        <v/>
      </c>
      <c r="M186" s="52">
        <v>0</v>
      </c>
      <c r="N186" s="104" t="str">
        <f t="shared" si="37"/>
        <v/>
      </c>
      <c r="O186" s="105" t="str">
        <f t="shared" si="38"/>
        <v/>
      </c>
      <c r="P186" s="52">
        <v>0</v>
      </c>
      <c r="Q186" s="104" t="str">
        <f t="shared" si="39"/>
        <v/>
      </c>
      <c r="R186" s="105" t="str">
        <f t="shared" si="40"/>
        <v/>
      </c>
      <c r="S186" s="52">
        <v>0</v>
      </c>
      <c r="T186" s="104" t="str">
        <f t="shared" si="41"/>
        <v/>
      </c>
      <c r="U186" s="105" t="str">
        <f t="shared" si="42"/>
        <v/>
      </c>
      <c r="V186" s="52">
        <v>0</v>
      </c>
      <c r="W186" s="88" t="str">
        <f t="shared" si="43"/>
        <v/>
      </c>
      <c r="X186" s="105" t="str">
        <f t="shared" si="44"/>
        <v/>
      </c>
      <c r="Y186" s="52">
        <v>0</v>
      </c>
      <c r="Z186" s="56" t="str">
        <f t="shared" si="45"/>
        <v/>
      </c>
      <c r="AA186" s="56" t="str">
        <f t="shared" si="46"/>
        <v/>
      </c>
      <c r="AB186" s="56" t="str">
        <f t="shared" si="47"/>
        <v/>
      </c>
      <c r="AC186" s="56" t="str">
        <f t="shared" si="48"/>
        <v/>
      </c>
      <c r="AD186" s="56" t="str">
        <f t="shared" si="49"/>
        <v/>
      </c>
      <c r="AE186" s="40"/>
      <c r="AF186" s="40"/>
      <c r="AG186" s="40"/>
      <c r="AH186" s="56" t="str">
        <f t="shared" si="50"/>
        <v/>
      </c>
      <c r="AI186" s="54"/>
      <c r="AJ186" s="54"/>
      <c r="AK186" s="54"/>
      <c r="AL186" s="54"/>
      <c r="AM186" s="54"/>
    </row>
    <row r="187" spans="1:39">
      <c r="A187" s="96"/>
      <c r="B187" s="45" t="str" cm="1">
        <f t="array" ref="B187">IF(H187="PROJECT", CHAR(10) &amp; "- " &amp; _xlfn.TEXTJOIN(CHAR(10) &amp; "- ", TRUE, _xlfn._xlws.FILTER($I$9:$I$1000, ($C$9:$C$1000=C187) * ($H$9:$H$1000="Topic"))), "")</f>
        <v/>
      </c>
      <c r="C187" s="45">
        <f t="shared" si="34"/>
        <v>149</v>
      </c>
      <c r="D187" s="46"/>
      <c r="E187" s="58"/>
      <c r="F187" s="67"/>
      <c r="G187" s="53"/>
      <c r="H187" s="53"/>
      <c r="I187" s="50"/>
      <c r="J187" s="51"/>
      <c r="K187" s="103" t="str">
        <f t="shared" si="35"/>
        <v/>
      </c>
      <c r="L187" s="105" t="str">
        <f t="shared" si="36"/>
        <v/>
      </c>
      <c r="M187" s="53">
        <v>0</v>
      </c>
      <c r="N187" s="104" t="str">
        <f t="shared" si="37"/>
        <v/>
      </c>
      <c r="O187" s="105" t="str">
        <f t="shared" si="38"/>
        <v/>
      </c>
      <c r="P187" s="53">
        <v>0</v>
      </c>
      <c r="Q187" s="104" t="str">
        <f t="shared" si="39"/>
        <v/>
      </c>
      <c r="R187" s="105" t="str">
        <f t="shared" si="40"/>
        <v/>
      </c>
      <c r="S187" s="53">
        <v>0</v>
      </c>
      <c r="T187" s="104" t="str">
        <f t="shared" si="41"/>
        <v/>
      </c>
      <c r="U187" s="105" t="str">
        <f t="shared" si="42"/>
        <v/>
      </c>
      <c r="V187" s="53">
        <v>0</v>
      </c>
      <c r="W187" s="88" t="str">
        <f t="shared" si="43"/>
        <v/>
      </c>
      <c r="X187" s="105" t="str">
        <f t="shared" si="44"/>
        <v/>
      </c>
      <c r="Y187" s="53">
        <v>0</v>
      </c>
      <c r="Z187" s="56" t="str">
        <f t="shared" si="45"/>
        <v/>
      </c>
      <c r="AA187" s="56" t="str">
        <f t="shared" si="46"/>
        <v/>
      </c>
      <c r="AB187" s="56" t="str">
        <f t="shared" si="47"/>
        <v/>
      </c>
      <c r="AC187" s="56" t="str">
        <f t="shared" si="48"/>
        <v/>
      </c>
      <c r="AD187" s="56" t="str">
        <f t="shared" si="49"/>
        <v/>
      </c>
      <c r="AE187" s="40"/>
      <c r="AF187" s="40"/>
      <c r="AG187" s="40"/>
      <c r="AH187" s="56" t="str">
        <f t="shared" si="50"/>
        <v/>
      </c>
      <c r="AI187" s="54"/>
      <c r="AJ187" s="54"/>
      <c r="AK187" s="54"/>
      <c r="AL187" s="54"/>
      <c r="AM187" s="54"/>
    </row>
    <row r="188" spans="1:39">
      <c r="A188" s="96"/>
      <c r="B188" s="45" t="str" cm="1">
        <f t="array" ref="B188">IF(H188="PROJECT", CHAR(10) &amp; "- " &amp; _xlfn.TEXTJOIN(CHAR(10) &amp; "- ", TRUE, _xlfn._xlws.FILTER($I$9:$I$1000, ($C$9:$C$1000=C188) * ($H$9:$H$1000="Topic"))), "")</f>
        <v/>
      </c>
      <c r="C188" s="45">
        <f t="shared" si="34"/>
        <v>150</v>
      </c>
      <c r="D188" s="57"/>
      <c r="E188" s="58"/>
      <c r="F188" s="54"/>
      <c r="G188" s="52"/>
      <c r="H188" s="52"/>
      <c r="I188" s="61"/>
      <c r="J188" s="62"/>
      <c r="K188" s="103" t="str">
        <f t="shared" si="35"/>
        <v/>
      </c>
      <c r="L188" s="105" t="str">
        <f t="shared" si="36"/>
        <v/>
      </c>
      <c r="M188" s="52">
        <v>0</v>
      </c>
      <c r="N188" s="104" t="str">
        <f t="shared" si="37"/>
        <v/>
      </c>
      <c r="O188" s="105" t="str">
        <f t="shared" si="38"/>
        <v/>
      </c>
      <c r="P188" s="52">
        <v>0</v>
      </c>
      <c r="Q188" s="104" t="str">
        <f t="shared" si="39"/>
        <v/>
      </c>
      <c r="R188" s="105" t="str">
        <f t="shared" si="40"/>
        <v/>
      </c>
      <c r="S188" s="52">
        <v>0</v>
      </c>
      <c r="T188" s="104" t="str">
        <f t="shared" si="41"/>
        <v/>
      </c>
      <c r="U188" s="105" t="str">
        <f t="shared" si="42"/>
        <v/>
      </c>
      <c r="V188" s="52">
        <v>0</v>
      </c>
      <c r="W188" s="88" t="str">
        <f t="shared" si="43"/>
        <v/>
      </c>
      <c r="X188" s="105" t="str">
        <f t="shared" si="44"/>
        <v/>
      </c>
      <c r="Y188" s="52">
        <v>0</v>
      </c>
      <c r="Z188" s="56" t="str">
        <f t="shared" si="45"/>
        <v/>
      </c>
      <c r="AA188" s="56" t="str">
        <f t="shared" si="46"/>
        <v/>
      </c>
      <c r="AB188" s="56" t="str">
        <f t="shared" si="47"/>
        <v/>
      </c>
      <c r="AC188" s="56" t="str">
        <f t="shared" si="48"/>
        <v/>
      </c>
      <c r="AD188" s="56" t="str">
        <f t="shared" si="49"/>
        <v/>
      </c>
      <c r="AE188" s="40"/>
      <c r="AF188" s="40"/>
      <c r="AG188" s="40"/>
      <c r="AH188" s="56" t="str">
        <f t="shared" si="50"/>
        <v/>
      </c>
      <c r="AI188" s="54"/>
      <c r="AJ188" s="54"/>
      <c r="AK188" s="54"/>
      <c r="AL188" s="54"/>
      <c r="AM188" s="54"/>
    </row>
    <row r="189" spans="1:39">
      <c r="A189" s="96"/>
      <c r="B189" s="45" t="str" cm="1">
        <f t="array" ref="B189">IF(H189="PROJECT", CHAR(10) &amp; "- " &amp; _xlfn.TEXTJOIN(CHAR(10) &amp; "- ", TRUE, _xlfn._xlws.FILTER($I$9:$I$1000, ($C$9:$C$1000=C189) * ($H$9:$H$1000="Topic"))), "")</f>
        <v/>
      </c>
      <c r="C189" s="45">
        <f t="shared" si="34"/>
        <v>151</v>
      </c>
      <c r="D189" s="46"/>
      <c r="E189" s="58"/>
      <c r="F189" s="67"/>
      <c r="G189" s="53"/>
      <c r="H189" s="53"/>
      <c r="I189" s="50"/>
      <c r="J189" s="51"/>
      <c r="K189" s="103" t="str">
        <f t="shared" si="35"/>
        <v/>
      </c>
      <c r="L189" s="105" t="str">
        <f t="shared" si="36"/>
        <v/>
      </c>
      <c r="M189" s="53">
        <v>0</v>
      </c>
      <c r="N189" s="104" t="str">
        <f t="shared" si="37"/>
        <v/>
      </c>
      <c r="O189" s="105" t="str">
        <f t="shared" si="38"/>
        <v/>
      </c>
      <c r="P189" s="53">
        <v>0</v>
      </c>
      <c r="Q189" s="104" t="str">
        <f t="shared" si="39"/>
        <v/>
      </c>
      <c r="R189" s="105" t="str">
        <f t="shared" si="40"/>
        <v/>
      </c>
      <c r="S189" s="53">
        <v>0</v>
      </c>
      <c r="T189" s="104" t="str">
        <f t="shared" si="41"/>
        <v/>
      </c>
      <c r="U189" s="105" t="str">
        <f t="shared" si="42"/>
        <v/>
      </c>
      <c r="V189" s="53">
        <v>0</v>
      </c>
      <c r="W189" s="88" t="str">
        <f t="shared" si="43"/>
        <v/>
      </c>
      <c r="X189" s="105" t="str">
        <f t="shared" si="44"/>
        <v/>
      </c>
      <c r="Y189" s="53">
        <v>0</v>
      </c>
      <c r="Z189" s="56" t="str">
        <f t="shared" si="45"/>
        <v/>
      </c>
      <c r="AA189" s="56" t="str">
        <f t="shared" si="46"/>
        <v/>
      </c>
      <c r="AB189" s="56" t="str">
        <f t="shared" si="47"/>
        <v/>
      </c>
      <c r="AC189" s="56" t="str">
        <f t="shared" si="48"/>
        <v/>
      </c>
      <c r="AD189" s="56" t="str">
        <f t="shared" si="49"/>
        <v/>
      </c>
      <c r="AE189" s="40"/>
      <c r="AF189" s="40"/>
      <c r="AG189" s="40"/>
      <c r="AH189" s="56" t="str">
        <f t="shared" si="50"/>
        <v/>
      </c>
      <c r="AI189" s="54"/>
      <c r="AJ189" s="54"/>
      <c r="AK189" s="54"/>
      <c r="AL189" s="54"/>
      <c r="AM189" s="54"/>
    </row>
    <row r="190" spans="1:39">
      <c r="A190" s="96"/>
      <c r="B190" s="45" t="str" cm="1">
        <f t="array" ref="B190">IF(H190="PROJECT", CHAR(10) &amp; "- " &amp; _xlfn.TEXTJOIN(CHAR(10) &amp; "- ", TRUE, _xlfn._xlws.FILTER($I$9:$I$1000, ($C$9:$C$1000=C190) * ($H$9:$H$1000="Topic"))), "")</f>
        <v/>
      </c>
      <c r="C190" s="45">
        <f t="shared" si="34"/>
        <v>152</v>
      </c>
      <c r="D190" s="57"/>
      <c r="E190" s="58"/>
      <c r="F190" s="54"/>
      <c r="G190" s="52"/>
      <c r="H190" s="52"/>
      <c r="I190" s="61"/>
      <c r="J190" s="62"/>
      <c r="K190" s="103" t="str">
        <f t="shared" si="35"/>
        <v/>
      </c>
      <c r="L190" s="105" t="str">
        <f t="shared" si="36"/>
        <v/>
      </c>
      <c r="M190" s="52">
        <v>0</v>
      </c>
      <c r="N190" s="104" t="str">
        <f t="shared" si="37"/>
        <v/>
      </c>
      <c r="O190" s="105" t="str">
        <f t="shared" si="38"/>
        <v/>
      </c>
      <c r="P190" s="52">
        <v>0</v>
      </c>
      <c r="Q190" s="104" t="str">
        <f t="shared" si="39"/>
        <v/>
      </c>
      <c r="R190" s="105" t="str">
        <f t="shared" si="40"/>
        <v/>
      </c>
      <c r="S190" s="52">
        <v>0</v>
      </c>
      <c r="T190" s="104" t="str">
        <f t="shared" si="41"/>
        <v/>
      </c>
      <c r="U190" s="105" t="str">
        <f t="shared" si="42"/>
        <v/>
      </c>
      <c r="V190" s="52">
        <v>0</v>
      </c>
      <c r="W190" s="88" t="str">
        <f t="shared" si="43"/>
        <v/>
      </c>
      <c r="X190" s="105" t="str">
        <f t="shared" si="44"/>
        <v/>
      </c>
      <c r="Y190" s="52">
        <v>0</v>
      </c>
      <c r="Z190" s="56" t="str">
        <f t="shared" si="45"/>
        <v/>
      </c>
      <c r="AA190" s="56" t="str">
        <f t="shared" si="46"/>
        <v/>
      </c>
      <c r="AB190" s="56" t="str">
        <f t="shared" si="47"/>
        <v/>
      </c>
      <c r="AC190" s="56" t="str">
        <f t="shared" si="48"/>
        <v/>
      </c>
      <c r="AD190" s="56" t="str">
        <f t="shared" si="49"/>
        <v/>
      </c>
      <c r="AE190" s="40"/>
      <c r="AF190" s="40"/>
      <c r="AG190" s="40"/>
      <c r="AH190" s="56" t="str">
        <f t="shared" si="50"/>
        <v/>
      </c>
      <c r="AI190" s="54"/>
      <c r="AJ190" s="54"/>
      <c r="AK190" s="54"/>
      <c r="AL190" s="54"/>
      <c r="AM190" s="54"/>
    </row>
    <row r="191" spans="1:39">
      <c r="A191" s="96"/>
      <c r="B191" s="45" t="str" cm="1">
        <f t="array" ref="B191">IF(H191="PROJECT", CHAR(10) &amp; "- " &amp; _xlfn.TEXTJOIN(CHAR(10) &amp; "- ", TRUE, _xlfn._xlws.FILTER($I$9:$I$1000, ($C$9:$C$1000=C191) * ($H$9:$H$1000="Topic"))), "")</f>
        <v/>
      </c>
      <c r="C191" s="45">
        <f t="shared" si="34"/>
        <v>153</v>
      </c>
      <c r="D191" s="46"/>
      <c r="E191" s="58"/>
      <c r="F191" s="67"/>
      <c r="G191" s="53"/>
      <c r="H191" s="53"/>
      <c r="I191" s="50"/>
      <c r="J191" s="51"/>
      <c r="K191" s="103" t="str">
        <f t="shared" si="35"/>
        <v/>
      </c>
      <c r="L191" s="105" t="str">
        <f t="shared" si="36"/>
        <v/>
      </c>
      <c r="M191" s="53">
        <v>0</v>
      </c>
      <c r="N191" s="104" t="str">
        <f t="shared" si="37"/>
        <v/>
      </c>
      <c r="O191" s="105" t="str">
        <f t="shared" si="38"/>
        <v/>
      </c>
      <c r="P191" s="53">
        <v>0</v>
      </c>
      <c r="Q191" s="104" t="str">
        <f t="shared" si="39"/>
        <v/>
      </c>
      <c r="R191" s="105" t="str">
        <f t="shared" si="40"/>
        <v/>
      </c>
      <c r="S191" s="53">
        <v>0</v>
      </c>
      <c r="T191" s="104" t="str">
        <f t="shared" si="41"/>
        <v/>
      </c>
      <c r="U191" s="105" t="str">
        <f t="shared" si="42"/>
        <v/>
      </c>
      <c r="V191" s="53">
        <v>0</v>
      </c>
      <c r="W191" s="88" t="str">
        <f t="shared" si="43"/>
        <v/>
      </c>
      <c r="X191" s="105" t="str">
        <f t="shared" si="44"/>
        <v/>
      </c>
      <c r="Y191" s="53">
        <v>0</v>
      </c>
      <c r="Z191" s="56" t="str">
        <f t="shared" si="45"/>
        <v/>
      </c>
      <c r="AA191" s="56" t="str">
        <f t="shared" si="46"/>
        <v/>
      </c>
      <c r="AB191" s="56" t="str">
        <f t="shared" si="47"/>
        <v/>
      </c>
      <c r="AC191" s="56" t="str">
        <f t="shared" si="48"/>
        <v/>
      </c>
      <c r="AD191" s="56" t="str">
        <f t="shared" si="49"/>
        <v/>
      </c>
      <c r="AE191" s="40"/>
      <c r="AF191" s="40"/>
      <c r="AG191" s="40"/>
      <c r="AH191" s="56" t="str">
        <f t="shared" si="50"/>
        <v/>
      </c>
      <c r="AI191" s="54"/>
      <c r="AJ191" s="54"/>
      <c r="AK191" s="54"/>
      <c r="AL191" s="54"/>
      <c r="AM191" s="54"/>
    </row>
    <row r="192" spans="1:39">
      <c r="A192" s="96"/>
      <c r="B192" s="45" t="str" cm="1">
        <f t="array" ref="B192">IF(H192="PROJECT", CHAR(10) &amp; "- " &amp; _xlfn.TEXTJOIN(CHAR(10) &amp; "- ", TRUE, _xlfn._xlws.FILTER($I$9:$I$1000, ($C$9:$C$1000=C192) * ($H$9:$H$1000="Topic"))), "")</f>
        <v/>
      </c>
      <c r="C192" s="45">
        <f t="shared" si="34"/>
        <v>154</v>
      </c>
      <c r="D192" s="57"/>
      <c r="E192" s="58"/>
      <c r="F192" s="54"/>
      <c r="G192" s="52"/>
      <c r="H192" s="52"/>
      <c r="I192" s="61"/>
      <c r="J192" s="62"/>
      <c r="K192" s="103" t="str">
        <f t="shared" si="35"/>
        <v/>
      </c>
      <c r="L192" s="105" t="str">
        <f t="shared" si="36"/>
        <v/>
      </c>
      <c r="M192" s="52">
        <v>0</v>
      </c>
      <c r="N192" s="104" t="str">
        <f t="shared" si="37"/>
        <v/>
      </c>
      <c r="O192" s="105" t="str">
        <f t="shared" si="38"/>
        <v/>
      </c>
      <c r="P192" s="52">
        <v>0</v>
      </c>
      <c r="Q192" s="104" t="str">
        <f t="shared" si="39"/>
        <v/>
      </c>
      <c r="R192" s="105" t="str">
        <f t="shared" si="40"/>
        <v/>
      </c>
      <c r="S192" s="52">
        <v>0</v>
      </c>
      <c r="T192" s="104" t="str">
        <f t="shared" si="41"/>
        <v/>
      </c>
      <c r="U192" s="105" t="str">
        <f t="shared" si="42"/>
        <v/>
      </c>
      <c r="V192" s="52">
        <v>0</v>
      </c>
      <c r="W192" s="88" t="str">
        <f t="shared" si="43"/>
        <v/>
      </c>
      <c r="X192" s="105" t="str">
        <f t="shared" si="44"/>
        <v/>
      </c>
      <c r="Y192" s="52">
        <v>0</v>
      </c>
      <c r="Z192" s="56" t="str">
        <f t="shared" si="45"/>
        <v/>
      </c>
      <c r="AA192" s="56" t="str">
        <f t="shared" si="46"/>
        <v/>
      </c>
      <c r="AB192" s="56" t="str">
        <f t="shared" si="47"/>
        <v/>
      </c>
      <c r="AC192" s="56" t="str">
        <f t="shared" si="48"/>
        <v/>
      </c>
      <c r="AD192" s="56" t="str">
        <f t="shared" si="49"/>
        <v/>
      </c>
      <c r="AE192" s="40"/>
      <c r="AF192" s="40"/>
      <c r="AG192" s="40"/>
      <c r="AH192" s="56" t="str">
        <f t="shared" si="50"/>
        <v/>
      </c>
      <c r="AI192" s="54"/>
      <c r="AJ192" s="54"/>
      <c r="AK192" s="54"/>
      <c r="AL192" s="54"/>
      <c r="AM192" s="54"/>
    </row>
    <row r="193" spans="1:39">
      <c r="A193" s="96"/>
      <c r="B193" s="45" t="str" cm="1">
        <f t="array" ref="B193">IF(H193="PROJECT", CHAR(10) &amp; "- " &amp; _xlfn.TEXTJOIN(CHAR(10) &amp; "- ", TRUE, _xlfn._xlws.FILTER($I$9:$I$1000, ($C$9:$C$1000=C193) * ($H$9:$H$1000="Topic"))), "")</f>
        <v/>
      </c>
      <c r="C193" s="45">
        <f t="shared" si="34"/>
        <v>155</v>
      </c>
      <c r="D193" s="46"/>
      <c r="E193" s="58"/>
      <c r="F193" s="67"/>
      <c r="G193" s="53"/>
      <c r="H193" s="53"/>
      <c r="I193" s="50"/>
      <c r="J193" s="51"/>
      <c r="K193" s="103" t="str">
        <f t="shared" si="35"/>
        <v/>
      </c>
      <c r="L193" s="105" t="str">
        <f t="shared" si="36"/>
        <v/>
      </c>
      <c r="M193" s="53">
        <v>0</v>
      </c>
      <c r="N193" s="104" t="str">
        <f t="shared" si="37"/>
        <v/>
      </c>
      <c r="O193" s="105" t="str">
        <f t="shared" si="38"/>
        <v/>
      </c>
      <c r="P193" s="53">
        <v>0</v>
      </c>
      <c r="Q193" s="104" t="str">
        <f t="shared" si="39"/>
        <v/>
      </c>
      <c r="R193" s="105" t="str">
        <f t="shared" si="40"/>
        <v/>
      </c>
      <c r="S193" s="53">
        <v>0</v>
      </c>
      <c r="T193" s="104" t="str">
        <f t="shared" si="41"/>
        <v/>
      </c>
      <c r="U193" s="105" t="str">
        <f t="shared" si="42"/>
        <v/>
      </c>
      <c r="V193" s="53">
        <v>0</v>
      </c>
      <c r="W193" s="88" t="str">
        <f t="shared" si="43"/>
        <v/>
      </c>
      <c r="X193" s="105" t="str">
        <f t="shared" si="44"/>
        <v/>
      </c>
      <c r="Y193" s="53">
        <v>0</v>
      </c>
      <c r="Z193" s="56" t="str">
        <f t="shared" si="45"/>
        <v/>
      </c>
      <c r="AA193" s="56" t="str">
        <f t="shared" si="46"/>
        <v/>
      </c>
      <c r="AB193" s="56" t="str">
        <f t="shared" si="47"/>
        <v/>
      </c>
      <c r="AC193" s="56" t="str">
        <f t="shared" si="48"/>
        <v/>
      </c>
      <c r="AD193" s="56" t="str">
        <f t="shared" si="49"/>
        <v/>
      </c>
      <c r="AE193" s="40"/>
      <c r="AF193" s="40"/>
      <c r="AG193" s="40"/>
      <c r="AH193" s="56" t="str">
        <f t="shared" si="50"/>
        <v/>
      </c>
      <c r="AI193" s="54"/>
      <c r="AJ193" s="54"/>
      <c r="AK193" s="54"/>
      <c r="AL193" s="54"/>
      <c r="AM193" s="54"/>
    </row>
    <row r="194" spans="1:39">
      <c r="A194" s="96"/>
      <c r="B194" s="45" t="str" cm="1">
        <f t="array" ref="B194">IF(H194="PROJECT", CHAR(10) &amp; "- " &amp; _xlfn.TEXTJOIN(CHAR(10) &amp; "- ", TRUE, _xlfn._xlws.FILTER($I$9:$I$1000, ($C$9:$C$1000=C194) * ($H$9:$H$1000="Topic"))), "")</f>
        <v/>
      </c>
      <c r="C194" s="45">
        <f t="shared" si="34"/>
        <v>156</v>
      </c>
      <c r="D194" s="57"/>
      <c r="E194" s="58"/>
      <c r="F194" s="54"/>
      <c r="G194" s="52"/>
      <c r="H194" s="52"/>
      <c r="I194" s="61"/>
      <c r="J194" s="62"/>
      <c r="K194" s="103" t="str">
        <f t="shared" si="35"/>
        <v/>
      </c>
      <c r="L194" s="105" t="str">
        <f t="shared" si="36"/>
        <v/>
      </c>
      <c r="M194" s="52">
        <v>0</v>
      </c>
      <c r="N194" s="104" t="str">
        <f t="shared" si="37"/>
        <v/>
      </c>
      <c r="O194" s="105" t="str">
        <f t="shared" si="38"/>
        <v/>
      </c>
      <c r="P194" s="52">
        <v>0</v>
      </c>
      <c r="Q194" s="104" t="str">
        <f t="shared" si="39"/>
        <v/>
      </c>
      <c r="R194" s="105" t="str">
        <f t="shared" si="40"/>
        <v/>
      </c>
      <c r="S194" s="52">
        <v>0</v>
      </c>
      <c r="T194" s="104" t="str">
        <f t="shared" si="41"/>
        <v/>
      </c>
      <c r="U194" s="105" t="str">
        <f t="shared" si="42"/>
        <v/>
      </c>
      <c r="V194" s="52">
        <v>0</v>
      </c>
      <c r="W194" s="88" t="str">
        <f t="shared" si="43"/>
        <v/>
      </c>
      <c r="X194" s="105" t="str">
        <f t="shared" si="44"/>
        <v/>
      </c>
      <c r="Y194" s="52">
        <v>0</v>
      </c>
      <c r="Z194" s="56" t="str">
        <f t="shared" si="45"/>
        <v/>
      </c>
      <c r="AA194" s="56" t="str">
        <f t="shared" si="46"/>
        <v/>
      </c>
      <c r="AB194" s="56" t="str">
        <f t="shared" si="47"/>
        <v/>
      </c>
      <c r="AC194" s="56" t="str">
        <f t="shared" si="48"/>
        <v/>
      </c>
      <c r="AD194" s="56" t="str">
        <f t="shared" si="49"/>
        <v/>
      </c>
      <c r="AE194" s="40"/>
      <c r="AF194" s="40"/>
      <c r="AG194" s="40"/>
      <c r="AH194" s="56" t="str">
        <f t="shared" si="50"/>
        <v/>
      </c>
      <c r="AI194" s="54"/>
      <c r="AJ194" s="54"/>
      <c r="AK194" s="54"/>
      <c r="AL194" s="54"/>
      <c r="AM194" s="54"/>
    </row>
    <row r="195" spans="1:39">
      <c r="A195" s="96"/>
      <c r="B195" s="45" t="str" cm="1">
        <f t="array" ref="B195">IF(H195="PROJECT", CHAR(10) &amp; "- " &amp; _xlfn.TEXTJOIN(CHAR(10) &amp; "- ", TRUE, _xlfn._xlws.FILTER($I$9:$I$1000, ($C$9:$C$1000=C195) * ($H$9:$H$1000="Topic"))), "")</f>
        <v/>
      </c>
      <c r="C195" s="45">
        <f t="shared" si="34"/>
        <v>157</v>
      </c>
      <c r="D195" s="46"/>
      <c r="E195" s="58"/>
      <c r="F195" s="67"/>
      <c r="G195" s="53"/>
      <c r="H195" s="53"/>
      <c r="I195" s="50"/>
      <c r="J195" s="51"/>
      <c r="K195" s="103" t="str">
        <f t="shared" si="35"/>
        <v/>
      </c>
      <c r="L195" s="105" t="str">
        <f t="shared" si="36"/>
        <v/>
      </c>
      <c r="M195" s="53">
        <v>0</v>
      </c>
      <c r="N195" s="104" t="str">
        <f t="shared" si="37"/>
        <v/>
      </c>
      <c r="O195" s="105" t="str">
        <f t="shared" si="38"/>
        <v/>
      </c>
      <c r="P195" s="53">
        <v>0</v>
      </c>
      <c r="Q195" s="104" t="str">
        <f t="shared" si="39"/>
        <v/>
      </c>
      <c r="R195" s="105" t="str">
        <f t="shared" si="40"/>
        <v/>
      </c>
      <c r="S195" s="53">
        <v>0</v>
      </c>
      <c r="T195" s="104" t="str">
        <f t="shared" si="41"/>
        <v/>
      </c>
      <c r="U195" s="105" t="str">
        <f t="shared" si="42"/>
        <v/>
      </c>
      <c r="V195" s="53">
        <v>0</v>
      </c>
      <c r="W195" s="88" t="str">
        <f t="shared" si="43"/>
        <v/>
      </c>
      <c r="X195" s="105" t="str">
        <f t="shared" si="44"/>
        <v/>
      </c>
      <c r="Y195" s="53">
        <v>0</v>
      </c>
      <c r="Z195" s="56" t="str">
        <f t="shared" si="45"/>
        <v/>
      </c>
      <c r="AA195" s="56" t="str">
        <f t="shared" si="46"/>
        <v/>
      </c>
      <c r="AB195" s="56" t="str">
        <f t="shared" si="47"/>
        <v/>
      </c>
      <c r="AC195" s="56" t="str">
        <f t="shared" si="48"/>
        <v/>
      </c>
      <c r="AD195" s="56" t="str">
        <f t="shared" si="49"/>
        <v/>
      </c>
      <c r="AE195" s="40"/>
      <c r="AF195" s="40"/>
      <c r="AG195" s="40"/>
      <c r="AH195" s="56" t="str">
        <f t="shared" si="50"/>
        <v/>
      </c>
      <c r="AI195" s="54"/>
      <c r="AJ195" s="54"/>
      <c r="AK195" s="54"/>
      <c r="AL195" s="54"/>
      <c r="AM195" s="54"/>
    </row>
    <row r="196" spans="1:39">
      <c r="A196" s="96"/>
      <c r="B196" s="45" t="str" cm="1">
        <f t="array" ref="B196">IF(H196="PROJECT", CHAR(10) &amp; "- " &amp; _xlfn.TEXTJOIN(CHAR(10) &amp; "- ", TRUE, _xlfn._xlws.FILTER($I$9:$I$1000, ($C$9:$C$1000=C196) * ($H$9:$H$1000="Topic"))), "")</f>
        <v/>
      </c>
      <c r="C196" s="45">
        <f t="shared" si="34"/>
        <v>158</v>
      </c>
      <c r="D196" s="57"/>
      <c r="E196" s="58"/>
      <c r="F196" s="54"/>
      <c r="G196" s="52"/>
      <c r="H196" s="52"/>
      <c r="I196" s="61"/>
      <c r="J196" s="62"/>
      <c r="K196" s="103" t="str">
        <f t="shared" si="35"/>
        <v/>
      </c>
      <c r="L196" s="105" t="str">
        <f t="shared" si="36"/>
        <v/>
      </c>
      <c r="M196" s="52">
        <v>0</v>
      </c>
      <c r="N196" s="104" t="str">
        <f t="shared" si="37"/>
        <v/>
      </c>
      <c r="O196" s="105" t="str">
        <f t="shared" si="38"/>
        <v/>
      </c>
      <c r="P196" s="52">
        <v>0</v>
      </c>
      <c r="Q196" s="104" t="str">
        <f t="shared" si="39"/>
        <v/>
      </c>
      <c r="R196" s="105" t="str">
        <f t="shared" si="40"/>
        <v/>
      </c>
      <c r="S196" s="52">
        <v>0</v>
      </c>
      <c r="T196" s="104" t="str">
        <f t="shared" si="41"/>
        <v/>
      </c>
      <c r="U196" s="105" t="str">
        <f t="shared" si="42"/>
        <v/>
      </c>
      <c r="V196" s="52">
        <v>0</v>
      </c>
      <c r="W196" s="88" t="str">
        <f t="shared" si="43"/>
        <v/>
      </c>
      <c r="X196" s="105" t="str">
        <f t="shared" si="44"/>
        <v/>
      </c>
      <c r="Y196" s="52">
        <v>0</v>
      </c>
      <c r="Z196" s="56" t="str">
        <f t="shared" si="45"/>
        <v/>
      </c>
      <c r="AA196" s="56" t="str">
        <f t="shared" si="46"/>
        <v/>
      </c>
      <c r="AB196" s="56" t="str">
        <f t="shared" si="47"/>
        <v/>
      </c>
      <c r="AC196" s="56" t="str">
        <f t="shared" si="48"/>
        <v/>
      </c>
      <c r="AD196" s="56" t="str">
        <f t="shared" si="49"/>
        <v/>
      </c>
      <c r="AE196" s="40"/>
      <c r="AF196" s="40"/>
      <c r="AG196" s="40"/>
      <c r="AH196" s="56" t="str">
        <f t="shared" si="50"/>
        <v/>
      </c>
      <c r="AI196" s="54"/>
      <c r="AJ196" s="54"/>
      <c r="AK196" s="54"/>
      <c r="AL196" s="54"/>
      <c r="AM196" s="54"/>
    </row>
    <row r="197" spans="1:39">
      <c r="A197" s="96"/>
      <c r="B197" s="45" t="str" cm="1">
        <f t="array" ref="B197">IF(H197="PROJECT", CHAR(10) &amp; "- " &amp; _xlfn.TEXTJOIN(CHAR(10) &amp; "- ", TRUE, _xlfn._xlws.FILTER($I$9:$I$1000, ($C$9:$C$1000=C197) * ($H$9:$H$1000="Topic"))), "")</f>
        <v/>
      </c>
      <c r="C197" s="45">
        <f t="shared" si="34"/>
        <v>159</v>
      </c>
      <c r="D197" s="46"/>
      <c r="E197" s="58"/>
      <c r="F197" s="67"/>
      <c r="G197" s="53"/>
      <c r="H197" s="53"/>
      <c r="I197" s="50"/>
      <c r="J197" s="51"/>
      <c r="K197" s="103" t="str">
        <f t="shared" si="35"/>
        <v/>
      </c>
      <c r="L197" s="105" t="str">
        <f t="shared" si="36"/>
        <v/>
      </c>
      <c r="M197" s="53">
        <v>0</v>
      </c>
      <c r="N197" s="104" t="str">
        <f t="shared" si="37"/>
        <v/>
      </c>
      <c r="O197" s="105" t="str">
        <f t="shared" si="38"/>
        <v/>
      </c>
      <c r="P197" s="53">
        <v>0</v>
      </c>
      <c r="Q197" s="104" t="str">
        <f t="shared" si="39"/>
        <v/>
      </c>
      <c r="R197" s="105" t="str">
        <f t="shared" si="40"/>
        <v/>
      </c>
      <c r="S197" s="53">
        <v>0</v>
      </c>
      <c r="T197" s="104" t="str">
        <f t="shared" si="41"/>
        <v/>
      </c>
      <c r="U197" s="105" t="str">
        <f t="shared" si="42"/>
        <v/>
      </c>
      <c r="V197" s="53">
        <v>0</v>
      </c>
      <c r="W197" s="88" t="str">
        <f t="shared" si="43"/>
        <v/>
      </c>
      <c r="X197" s="105" t="str">
        <f t="shared" si="44"/>
        <v/>
      </c>
      <c r="Y197" s="53">
        <v>0</v>
      </c>
      <c r="Z197" s="56" t="str">
        <f t="shared" si="45"/>
        <v/>
      </c>
      <c r="AA197" s="56" t="str">
        <f t="shared" si="46"/>
        <v/>
      </c>
      <c r="AB197" s="56" t="str">
        <f t="shared" si="47"/>
        <v/>
      </c>
      <c r="AC197" s="56" t="str">
        <f t="shared" si="48"/>
        <v/>
      </c>
      <c r="AD197" s="56" t="str">
        <f t="shared" si="49"/>
        <v/>
      </c>
      <c r="AE197" s="40"/>
      <c r="AF197" s="40"/>
      <c r="AG197" s="40"/>
      <c r="AH197" s="56" t="str">
        <f t="shared" si="50"/>
        <v/>
      </c>
      <c r="AI197" s="54"/>
      <c r="AJ197" s="54"/>
      <c r="AK197" s="54"/>
      <c r="AL197" s="54"/>
      <c r="AM197" s="54"/>
    </row>
    <row r="198" spans="1:39">
      <c r="A198" s="96"/>
      <c r="B198" s="45" t="str" cm="1">
        <f t="array" ref="B198">IF(H198="PROJECT", CHAR(10) &amp; "- " &amp; _xlfn.TEXTJOIN(CHAR(10) &amp; "- ", TRUE, _xlfn._xlws.FILTER($I$9:$I$1000, ($C$9:$C$1000=C198) * ($H$9:$H$1000="Topic"))), "")</f>
        <v/>
      </c>
      <c r="C198" s="45">
        <f t="shared" si="34"/>
        <v>160</v>
      </c>
      <c r="D198" s="57"/>
      <c r="E198" s="58"/>
      <c r="F198" s="54"/>
      <c r="G198" s="52"/>
      <c r="H198" s="52"/>
      <c r="I198" s="61"/>
      <c r="J198" s="62"/>
      <c r="K198" s="103" t="str">
        <f t="shared" si="35"/>
        <v/>
      </c>
      <c r="L198" s="105" t="str">
        <f t="shared" si="36"/>
        <v/>
      </c>
      <c r="M198" s="52">
        <v>0</v>
      </c>
      <c r="N198" s="104" t="str">
        <f t="shared" si="37"/>
        <v/>
      </c>
      <c r="O198" s="105" t="str">
        <f t="shared" si="38"/>
        <v/>
      </c>
      <c r="P198" s="52">
        <v>0</v>
      </c>
      <c r="Q198" s="104" t="str">
        <f t="shared" si="39"/>
        <v/>
      </c>
      <c r="R198" s="105" t="str">
        <f t="shared" si="40"/>
        <v/>
      </c>
      <c r="S198" s="52">
        <v>0</v>
      </c>
      <c r="T198" s="104" t="str">
        <f t="shared" si="41"/>
        <v/>
      </c>
      <c r="U198" s="105" t="str">
        <f t="shared" si="42"/>
        <v/>
      </c>
      <c r="V198" s="52">
        <v>0</v>
      </c>
      <c r="W198" s="88" t="str">
        <f t="shared" si="43"/>
        <v/>
      </c>
      <c r="X198" s="105" t="str">
        <f t="shared" si="44"/>
        <v/>
      </c>
      <c r="Y198" s="52">
        <v>0</v>
      </c>
      <c r="Z198" s="56" t="str">
        <f t="shared" si="45"/>
        <v/>
      </c>
      <c r="AA198" s="56" t="str">
        <f t="shared" si="46"/>
        <v/>
      </c>
      <c r="AB198" s="56" t="str">
        <f t="shared" si="47"/>
        <v/>
      </c>
      <c r="AC198" s="56" t="str">
        <f t="shared" si="48"/>
        <v/>
      </c>
      <c r="AD198" s="56" t="str">
        <f t="shared" si="49"/>
        <v/>
      </c>
      <c r="AE198" s="40"/>
      <c r="AF198" s="40"/>
      <c r="AG198" s="40"/>
      <c r="AH198" s="56" t="str">
        <f t="shared" si="50"/>
        <v/>
      </c>
      <c r="AI198" s="54"/>
      <c r="AJ198" s="54"/>
      <c r="AK198" s="54"/>
      <c r="AL198" s="54"/>
      <c r="AM198" s="54"/>
    </row>
    <row r="199" spans="1:39">
      <c r="A199" s="96"/>
      <c r="B199" s="45" t="str" cm="1">
        <f t="array" ref="B199">IF(H199="PROJECT", CHAR(10) &amp; "- " &amp; _xlfn.TEXTJOIN(CHAR(10) &amp; "- ", TRUE, _xlfn._xlws.FILTER($I$9:$I$1000, ($C$9:$C$1000=C199) * ($H$9:$H$1000="Topic"))), "")</f>
        <v/>
      </c>
      <c r="C199" s="45">
        <f t="shared" si="34"/>
        <v>161</v>
      </c>
      <c r="D199" s="46"/>
      <c r="E199" s="58"/>
      <c r="F199" s="67"/>
      <c r="G199" s="53"/>
      <c r="H199" s="53"/>
      <c r="I199" s="50"/>
      <c r="J199" s="51"/>
      <c r="K199" s="103" t="str">
        <f t="shared" si="35"/>
        <v/>
      </c>
      <c r="L199" s="105" t="str">
        <f t="shared" si="36"/>
        <v/>
      </c>
      <c r="M199" s="53">
        <v>0</v>
      </c>
      <c r="N199" s="104" t="str">
        <f t="shared" si="37"/>
        <v/>
      </c>
      <c r="O199" s="105" t="str">
        <f t="shared" si="38"/>
        <v/>
      </c>
      <c r="P199" s="53">
        <v>0</v>
      </c>
      <c r="Q199" s="104" t="str">
        <f t="shared" si="39"/>
        <v/>
      </c>
      <c r="R199" s="105" t="str">
        <f t="shared" si="40"/>
        <v/>
      </c>
      <c r="S199" s="53">
        <v>0</v>
      </c>
      <c r="T199" s="104" t="str">
        <f t="shared" si="41"/>
        <v/>
      </c>
      <c r="U199" s="105" t="str">
        <f t="shared" si="42"/>
        <v/>
      </c>
      <c r="V199" s="53">
        <v>0</v>
      </c>
      <c r="W199" s="88" t="str">
        <f t="shared" si="43"/>
        <v/>
      </c>
      <c r="X199" s="105" t="str">
        <f t="shared" si="44"/>
        <v/>
      </c>
      <c r="Y199" s="53">
        <v>0</v>
      </c>
      <c r="Z199" s="56" t="str">
        <f t="shared" si="45"/>
        <v/>
      </c>
      <c r="AA199" s="56" t="str">
        <f t="shared" si="46"/>
        <v/>
      </c>
      <c r="AB199" s="56" t="str">
        <f t="shared" si="47"/>
        <v/>
      </c>
      <c r="AC199" s="56" t="str">
        <f t="shared" si="48"/>
        <v/>
      </c>
      <c r="AD199" s="56" t="str">
        <f t="shared" si="49"/>
        <v/>
      </c>
      <c r="AE199" s="40"/>
      <c r="AF199" s="40"/>
      <c r="AG199" s="40"/>
      <c r="AH199" s="56" t="str">
        <f t="shared" si="50"/>
        <v/>
      </c>
      <c r="AI199" s="54"/>
      <c r="AJ199" s="54"/>
      <c r="AK199" s="54"/>
      <c r="AL199" s="54"/>
      <c r="AM199" s="54"/>
    </row>
    <row r="200" spans="1:39">
      <c r="A200" s="96"/>
      <c r="B200" s="45" t="str" cm="1">
        <f t="array" ref="B200">IF(H200="PROJECT", CHAR(10) &amp; "- " &amp; _xlfn.TEXTJOIN(CHAR(10) &amp; "- ", TRUE, _xlfn._xlws.FILTER($I$9:$I$1000, ($C$9:$C$1000=C200) * ($H$9:$H$1000="Topic"))), "")</f>
        <v/>
      </c>
      <c r="C200" s="45">
        <f t="shared" si="34"/>
        <v>162</v>
      </c>
      <c r="D200" s="68"/>
      <c r="E200" s="58"/>
      <c r="F200" s="54"/>
      <c r="G200" s="69"/>
      <c r="H200" s="69"/>
      <c r="I200" s="70"/>
      <c r="J200" s="71"/>
      <c r="K200" s="103" t="str">
        <f t="shared" si="35"/>
        <v/>
      </c>
      <c r="L200" s="105" t="str">
        <f t="shared" si="36"/>
        <v/>
      </c>
      <c r="M200" s="69">
        <v>0</v>
      </c>
      <c r="N200" s="104" t="str">
        <f t="shared" si="37"/>
        <v/>
      </c>
      <c r="O200" s="105" t="str">
        <f t="shared" si="38"/>
        <v/>
      </c>
      <c r="P200" s="69">
        <v>0</v>
      </c>
      <c r="Q200" s="104" t="str">
        <f t="shared" si="39"/>
        <v/>
      </c>
      <c r="R200" s="105" t="str">
        <f t="shared" si="40"/>
        <v/>
      </c>
      <c r="S200" s="69">
        <v>0</v>
      </c>
      <c r="T200" s="104" t="str">
        <f t="shared" si="41"/>
        <v/>
      </c>
      <c r="U200" s="105" t="str">
        <f t="shared" si="42"/>
        <v/>
      </c>
      <c r="V200" s="69">
        <v>0</v>
      </c>
      <c r="W200" s="88" t="str">
        <f t="shared" si="43"/>
        <v/>
      </c>
      <c r="X200" s="105" t="str">
        <f t="shared" si="44"/>
        <v/>
      </c>
      <c r="Y200" s="69">
        <v>0</v>
      </c>
      <c r="Z200" s="56" t="str">
        <f t="shared" si="45"/>
        <v/>
      </c>
      <c r="AA200" s="56" t="str">
        <f t="shared" si="46"/>
        <v/>
      </c>
      <c r="AB200" s="56" t="str">
        <f t="shared" si="47"/>
        <v/>
      </c>
      <c r="AC200" s="56" t="str">
        <f t="shared" si="48"/>
        <v/>
      </c>
      <c r="AD200" s="56" t="str">
        <f t="shared" si="49"/>
        <v/>
      </c>
      <c r="AE200" s="40"/>
      <c r="AF200" s="40"/>
      <c r="AG200" s="40"/>
      <c r="AH200" s="56" t="str">
        <f t="shared" si="50"/>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5" priority="17" operator="equal">
      <formula>"No"</formula>
    </cfRule>
  </conditionalFormatting>
  <conditionalFormatting sqref="D9:D200 I9:L200">
    <cfRule type="expression" dxfId="84" priority="18">
      <formula>$H9="PROJECT"</formula>
    </cfRule>
  </conditionalFormatting>
  <conditionalFormatting sqref="G9:G200">
    <cfRule type="cellIs" dxfId="83" priority="24" operator="equal">
      <formula>"Beginner"</formula>
    </cfRule>
    <cfRule type="cellIs" dxfId="82" priority="25" operator="equal">
      <formula>"Intermediate"</formula>
    </cfRule>
    <cfRule type="cellIs" dxfId="81" priority="26" operator="equal">
      <formula>"Advanced"</formula>
    </cfRule>
  </conditionalFormatting>
  <conditionalFormatting sqref="H9:H200">
    <cfRule type="cellIs" dxfId="80" priority="23" operator="equal">
      <formula>"PROJECT"</formula>
    </cfRule>
  </conditionalFormatting>
  <conditionalFormatting sqref="K9:L200">
    <cfRule type="expression" dxfId="79" priority="27">
      <formula>M9=1</formula>
    </cfRule>
    <cfRule type="expression" dxfId="78" priority="28">
      <formula>M9=-1</formula>
    </cfRule>
  </conditionalFormatting>
  <conditionalFormatting sqref="N9:O200">
    <cfRule type="expression" dxfId="77" priority="14">
      <formula>$H9="PROJECT"</formula>
    </cfRule>
    <cfRule type="expression" dxfId="76" priority="15">
      <formula>P9=1</formula>
    </cfRule>
    <cfRule type="expression" dxfId="75" priority="16">
      <formula>P9=-1</formula>
    </cfRule>
  </conditionalFormatting>
  <conditionalFormatting sqref="O41:O200">
    <cfRule type="expression" dxfId="74" priority="30">
      <formula>Q41=1</formula>
    </cfRule>
    <cfRule type="expression" dxfId="73" priority="31">
      <formula>Q41=-1</formula>
    </cfRule>
  </conditionalFormatting>
  <conditionalFormatting sqref="Q9:R200">
    <cfRule type="expression" dxfId="72" priority="11">
      <formula>$H9="PROJECT"</formula>
    </cfRule>
    <cfRule type="expression" dxfId="71" priority="12">
      <formula>S9=1</formula>
    </cfRule>
    <cfRule type="expression" dxfId="70" priority="13">
      <formula>S9=-1</formula>
    </cfRule>
  </conditionalFormatting>
  <conditionalFormatting sqref="T9:U200">
    <cfRule type="expression" dxfId="69" priority="6">
      <formula>$H9="PROJECT"</formula>
    </cfRule>
    <cfRule type="expression" dxfId="68" priority="7">
      <formula>V9=1</formula>
    </cfRule>
    <cfRule type="expression" dxfId="67" priority="8">
      <formula>V9=-1</formula>
    </cfRule>
  </conditionalFormatting>
  <conditionalFormatting sqref="U10:U200">
    <cfRule type="expression" dxfId="66" priority="9">
      <formula>W10=1</formula>
    </cfRule>
    <cfRule type="expression" dxfId="65" priority="10">
      <formula>W10=-1</formula>
    </cfRule>
  </conditionalFormatting>
  <conditionalFormatting sqref="W9:X200">
    <cfRule type="expression" dxfId="64" priority="1">
      <formula>$H9="PROJECT"</formula>
    </cfRule>
    <cfRule type="expression" dxfId="63" priority="2">
      <formula>Y9=1</formula>
    </cfRule>
    <cfRule type="expression" dxfId="62" priority="3">
      <formula>Y9=-1</formula>
    </cfRule>
  </conditionalFormatting>
  <conditionalFormatting sqref="X10:X200">
    <cfRule type="expression" dxfId="61" priority="4">
      <formula>Z10=1</formula>
    </cfRule>
    <cfRule type="expression" dxfId="60"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B2:AC103"/>
  <sheetViews>
    <sheetView showGridLines="0" zoomScaleNormal="100" workbookViewId="0">
      <selection activeCell="E82" sqref="E82:E103"/>
    </sheetView>
  </sheetViews>
  <sheetFormatPr defaultRowHeight="15"/>
  <cols>
    <col min="1" max="1" width="5.42578125" customWidth="1"/>
    <col min="2" max="2" width="35.85546875" customWidth="1"/>
    <col min="3" max="3" width="33" customWidth="1"/>
    <col min="4" max="4" width="85.28515625" customWidth="1"/>
    <col min="5" max="5" width="39.5703125" style="86" customWidth="1"/>
    <col min="6" max="6" width="4" customWidth="1"/>
  </cols>
  <sheetData>
    <row r="2" spans="2:29" ht="36">
      <c r="B2" s="79" t="s">
        <v>502</v>
      </c>
      <c r="D2" s="82" t="s">
        <v>0</v>
      </c>
      <c r="H2" s="83" t="s">
        <v>297</v>
      </c>
      <c r="T2" s="83" t="s">
        <v>298</v>
      </c>
    </row>
    <row r="3" spans="2:29">
      <c r="B3" s="77" t="s">
        <v>229</v>
      </c>
      <c r="C3" s="77" t="s">
        <v>639</v>
      </c>
      <c r="D3" s="77" t="s">
        <v>640</v>
      </c>
      <c r="E3" s="89" t="s">
        <v>237</v>
      </c>
      <c r="F3" s="4" t="s">
        <v>232</v>
      </c>
      <c r="AC3" t="s">
        <v>232</v>
      </c>
    </row>
    <row r="4" spans="2:29">
      <c r="B4" s="76" t="s">
        <v>230</v>
      </c>
      <c r="C4" s="54" t="s">
        <v>165</v>
      </c>
      <c r="D4" s="95" t="s">
        <v>166</v>
      </c>
      <c r="E4" s="78" t="str">
        <f t="shared" ref="E4:E48" si="0">IF(D4="","",""""&amp;C4&amp;" "&amp;IF(C4="[FOOTER RULE - STRICT]",D4,IF(RIGHT(D4,6)=" | "&amp;CHAR(34)&amp;" &amp;",D4,D4&amp;" | "&amp;CHAR(34)&amp;" &amp;")))</f>
        <v>"[ROLE] Friendly tutor specializing in " &amp; $I$2 &amp; " | " &amp;</v>
      </c>
      <c r="F4" s="54" t="s">
        <v>232</v>
      </c>
    </row>
    <row r="5" spans="2:29">
      <c r="B5" s="76" t="s">
        <v>230</v>
      </c>
      <c r="C5" s="54" t="s">
        <v>169</v>
      </c>
      <c r="D5" s="95" t="s">
        <v>170</v>
      </c>
      <c r="E5" s="78" t="str">
        <f t="shared" si="0"/>
        <v>"[TOPIC] " &amp; I9 &amp; " | " &amp;</v>
      </c>
      <c r="F5" s="54" t="s">
        <v>232</v>
      </c>
    </row>
    <row r="6" spans="2:29">
      <c r="B6" s="76" t="s">
        <v>230</v>
      </c>
      <c r="C6" s="54" t="s">
        <v>171</v>
      </c>
      <c r="D6" s="95" t="s">
        <v>172</v>
      </c>
      <c r="E6" s="78" t="str">
        <f t="shared" si="0"/>
        <v>"[LEVEL] " &amp; G9 &amp; " | " &amp;</v>
      </c>
      <c r="F6" s="54" t="s">
        <v>232</v>
      </c>
    </row>
    <row r="7" spans="2:29">
      <c r="B7" s="76" t="s">
        <v>230</v>
      </c>
      <c r="C7" s="54" t="s">
        <v>173</v>
      </c>
      <c r="D7" s="95" t="s">
        <v>174</v>
      </c>
      <c r="E7" s="78" t="str">
        <f t="shared" si="0"/>
        <v>"[COUNT] " &amp; D9 &amp; " examples | " &amp;</v>
      </c>
      <c r="F7" s="54" t="s">
        <v>232</v>
      </c>
    </row>
    <row r="8" spans="2:29">
      <c r="B8" s="76" t="s">
        <v>230</v>
      </c>
      <c r="C8" s="54" t="s">
        <v>238</v>
      </c>
      <c r="D8" s="95" t="s">
        <v>291</v>
      </c>
      <c r="E8" s="78" t="str">
        <f t="shared" si="0"/>
        <v>"[LIBRARY BEING LEARNED] " &amp; $I$3 &amp; " | " &amp;</v>
      </c>
      <c r="F8" s="54" t="s">
        <v>232</v>
      </c>
    </row>
    <row r="9" spans="2:29">
      <c r="B9" s="76" t="s">
        <v>230</v>
      </c>
      <c r="C9" s="54" t="s">
        <v>233</v>
      </c>
      <c r="D9" s="95" t="s">
        <v>239</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232</v>
      </c>
    </row>
    <row r="10" spans="2:29">
      <c r="B10" s="76" t="s">
        <v>230</v>
      </c>
      <c r="C10" s="54" t="s">
        <v>177</v>
      </c>
      <c r="D10" s="95" t="s">
        <v>178</v>
      </c>
      <c r="E10"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232</v>
      </c>
    </row>
    <row r="11" spans="2:29">
      <c r="B11" s="76" t="s">
        <v>230</v>
      </c>
      <c r="C11" s="54" t="s">
        <v>550</v>
      </c>
      <c r="D11" s="95" t="s">
        <v>542</v>
      </c>
      <c r="E11" s="78" t="str">
        <f t="shared" si="0"/>
        <v>"[LANGUAGE SEED CONTEXT] " &amp; IF($AE$7 = "", "Language Seed Not Necessary", "You MUST strictly follow this seed context to enhance, adapt, and naturalize your tone, vocabulary, and instructional quality in " &amp; $B$6 &amp; ": " &amp; $AE$7) &amp; " | " &amp;</v>
      </c>
      <c r="F11" s="54" t="s">
        <v>232</v>
      </c>
    </row>
    <row r="12" spans="2:29">
      <c r="B12" s="76" t="s">
        <v>230</v>
      </c>
      <c r="C12" s="54" t="s">
        <v>226</v>
      </c>
      <c r="D12" s="95" t="s">
        <v>227</v>
      </c>
      <c r="E12" s="78" t="str">
        <f t="shared" si="0"/>
        <v>"[LANGUAGE] " &amp; $B$6 &amp; " | " &amp;</v>
      </c>
      <c r="F12" s="54" t="s">
        <v>232</v>
      </c>
    </row>
    <row r="13" spans="2:29">
      <c r="B13" s="76" t="s">
        <v>230</v>
      </c>
      <c r="C13" s="54" t="s">
        <v>242</v>
      </c>
      <c r="D13" s="95" t="s">
        <v>243</v>
      </c>
      <c r="E13" s="78"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F13" s="54" t="s">
        <v>232</v>
      </c>
    </row>
    <row r="14" spans="2:29">
      <c r="B14" s="84" t="s">
        <v>231</v>
      </c>
      <c r="C14" s="54" t="s">
        <v>241</v>
      </c>
      <c r="D14" s="95"/>
      <c r="E14" s="78" t="str">
        <f t="shared" si="0"/>
        <v/>
      </c>
      <c r="F14" s="54" t="s">
        <v>232</v>
      </c>
    </row>
    <row r="15" spans="2:29">
      <c r="B15" s="84" t="s">
        <v>231</v>
      </c>
      <c r="C15" s="54" t="s">
        <v>241</v>
      </c>
      <c r="D15" s="95"/>
      <c r="E15" s="78" t="str">
        <f t="shared" si="0"/>
        <v/>
      </c>
      <c r="F15" s="54" t="s">
        <v>232</v>
      </c>
    </row>
    <row r="16" spans="2:29">
      <c r="B16" s="84" t="s">
        <v>231</v>
      </c>
      <c r="C16" s="54" t="s">
        <v>241</v>
      </c>
      <c r="D16" s="95"/>
      <c r="E16" s="78" t="str">
        <f t="shared" si="0"/>
        <v/>
      </c>
      <c r="F16" s="54" t="s">
        <v>232</v>
      </c>
    </row>
    <row r="17" spans="2:6">
      <c r="B17" s="84" t="s">
        <v>231</v>
      </c>
      <c r="C17" s="54" t="s">
        <v>184</v>
      </c>
      <c r="D17" s="95" t="s">
        <v>580</v>
      </c>
      <c r="E17" s="78" t="str">
        <f t="shared" si="0"/>
        <v>"[CODE CONSTRAINTS] Single logical flow (no unnecessary complexity) - CRITICAL PROHIBITION: Do NOT include 'if __name__ == '__main__':' blocks or 'pass' statements. Write scripts as flat, top-level execution flows. | " &amp;</v>
      </c>
      <c r="F17" s="54" t="s">
        <v>232</v>
      </c>
    </row>
    <row r="18" spans="2:6">
      <c r="B18" s="84" t="s">
        <v>231</v>
      </c>
      <c r="C18" s="54" t="s">
        <v>185</v>
      </c>
      <c r="D18" s="95" t="s">
        <v>246</v>
      </c>
      <c r="E18" s="78" t="str">
        <f t="shared" si="0"/>
        <v>"[SYNTAX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v>
      </c>
      <c r="F18" s="54" t="s">
        <v>232</v>
      </c>
    </row>
    <row r="19" spans="2:6">
      <c r="B19" s="84" t="s">
        <v>231</v>
      </c>
      <c r="C19" s="54" t="s">
        <v>186</v>
      </c>
      <c r="D19" s="95" t="s">
        <v>248</v>
      </c>
      <c r="E19" s="78" t="str">
        <f t="shared" si="0"/>
        <v>"[FUNCTION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v>
      </c>
      <c r="F19" s="54" t="s">
        <v>232</v>
      </c>
    </row>
    <row r="20" spans="2:6">
      <c r="B20" s="84" t="s">
        <v>231</v>
      </c>
      <c r="C20" s="54" t="s">
        <v>195</v>
      </c>
      <c r="D20" s="95" t="s">
        <v>306</v>
      </c>
      <c r="E20" s="78" t="str">
        <f t="shared" si="0"/>
        <v>"[FILE HANDLING RULE] Use correct loaders and enforce encoding='utf-8' and newline='' when applicable | " &amp;</v>
      </c>
      <c r="F20" s="54" t="s">
        <v>232</v>
      </c>
    </row>
    <row r="21" spans="2:6">
      <c r="B21" s="84" t="s">
        <v>231</v>
      </c>
      <c r="C21" s="54" t="s">
        <v>202</v>
      </c>
      <c r="D21" s="95" t="s">
        <v>460</v>
      </c>
      <c r="E21" s="78" t="str">
        <f t="shared" si="0"/>
        <v>"[SUPPORT FILES RULE] If env/config is used, include: 1. Instructional sentence 2. File content in markdown code block 3. BEFORE the main code | " &amp;</v>
      </c>
      <c r="F21" s="54" t="s">
        <v>232</v>
      </c>
    </row>
    <row r="22" spans="2:6">
      <c r="B22" s="84" t="s">
        <v>231</v>
      </c>
      <c r="C22" s="54" t="s">
        <v>219</v>
      </c>
      <c r="D22" s="95" t="s">
        <v>244</v>
      </c>
      <c r="E22" s="78" t="str">
        <f t="shared" si="0"/>
        <v>"[OUTPUT FORMAT RULE] This: " &amp; IF(F9&gt;=10, "Monetary values formatted with '$', commas, 2 decimals using f-strings.", "Print raw numeric outputs directly without forcing custom monetary formatting structures yet.")&amp;" | " &amp;</v>
      </c>
      <c r="F22" s="54" t="s">
        <v>232</v>
      </c>
    </row>
    <row r="23" spans="2:6">
      <c r="B23" s="84" t="s">
        <v>231</v>
      </c>
      <c r="C23" s="54" t="s">
        <v>199</v>
      </c>
      <c r="D23" s="95" t="s">
        <v>450</v>
      </c>
      <c r="E23" s="78" t="str">
        <f t="shared" si="0"/>
        <v>"[BOOLEAN HANDLING RULE] Normalize boolean values before comparison | " &amp;</v>
      </c>
      <c r="F23" s="54" t="s">
        <v>232</v>
      </c>
    </row>
    <row r="24" spans="2:6">
      <c r="B24" s="84" t="s">
        <v>231</v>
      </c>
      <c r="C24" s="54" t="s">
        <v>197</v>
      </c>
      <c r="D24" s="95" t="s">
        <v>448</v>
      </c>
      <c r="E24" s="78" t="str">
        <f t="shared" si="0"/>
        <v>"[DATA TYPE RULE] Explicit casting required before calculations | " &amp;</v>
      </c>
      <c r="F24" s="54" t="s">
        <v>232</v>
      </c>
    </row>
    <row r="25" spans="2:6">
      <c r="B25" s="84" t="s">
        <v>231</v>
      </c>
      <c r="C25" s="54" t="s">
        <v>198</v>
      </c>
      <c r="D25" s="95" t="s">
        <v>449</v>
      </c>
      <c r="E25" s="78" t="str">
        <f t="shared" si="0"/>
        <v>"[DATA ROBUSTNESS RULE] Handle missing, malformed, or inconsistent data safely | " &amp;</v>
      </c>
      <c r="F25" s="54" t="s">
        <v>232</v>
      </c>
    </row>
    <row r="26" spans="2:6">
      <c r="B26" s="85" t="s">
        <v>300</v>
      </c>
      <c r="C26" s="54" t="s">
        <v>223</v>
      </c>
      <c r="D26" s="95" t="s">
        <v>641</v>
      </c>
      <c r="E26" s="78"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232</v>
      </c>
    </row>
    <row r="27" spans="2:6">
      <c r="B27" s="85" t="s">
        <v>300</v>
      </c>
      <c r="C27" s="54" t="s">
        <v>194</v>
      </c>
      <c r="D27" s="95" t="s">
        <v>235</v>
      </c>
      <c r="E27" s="78" t="str">
        <f t="shared" si="0"/>
        <v>"[INTRO RULE] 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c r="F27" s="54" t="s">
        <v>232</v>
      </c>
    </row>
    <row r="28" spans="2:6">
      <c r="B28" s="85" t="s">
        <v>300</v>
      </c>
      <c r="C28" s="54" t="s">
        <v>175</v>
      </c>
      <c r="D28" s="95" t="s">
        <v>176</v>
      </c>
      <c r="E28" s="78" t="str">
        <f t="shared" si="0"/>
        <v>"[PERSONA RULE] Act as a friendly, clear tutor | " &amp;</v>
      </c>
      <c r="F28" s="54" t="s">
        <v>232</v>
      </c>
    </row>
    <row r="29" spans="2:6">
      <c r="B29" s="85" t="s">
        <v>300</v>
      </c>
      <c r="C29" s="54" t="s">
        <v>167</v>
      </c>
      <c r="D29" s="95" t="s">
        <v>168</v>
      </c>
      <c r="E29" s="78" t="str">
        <f t="shared" si="0"/>
        <v>"[TASK] Teach and explain concepts clearly with correct code examples | " &amp;</v>
      </c>
      <c r="F29" s="54" t="s">
        <v>232</v>
      </c>
    </row>
    <row r="30" spans="2:6">
      <c r="B30" s="85" t="s">
        <v>300</v>
      </c>
      <c r="C30" s="54" t="s">
        <v>182</v>
      </c>
      <c r="D30" s="95" t="s">
        <v>183</v>
      </c>
      <c r="E30" s="78" t="str">
        <f t="shared" si="0"/>
        <v>"[OUTPUT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c r="F30" s="54" t="s">
        <v>232</v>
      </c>
    </row>
    <row r="31" spans="2:6">
      <c r="B31" s="85" t="s">
        <v>300</v>
      </c>
      <c r="C31" s="54" t="s">
        <v>187</v>
      </c>
      <c r="D31" s="95" t="s">
        <v>236</v>
      </c>
      <c r="E31" s="78" t="str">
        <f t="shared" si="0"/>
        <v>"[CODE QUALITY RULE] Code MUST be clean, readable, educational, executable, and produce correct and accurate results | " &amp;</v>
      </c>
      <c r="F31" s="54" t="s">
        <v>232</v>
      </c>
    </row>
    <row r="32" spans="2:6">
      <c r="B32" s="85" t="s">
        <v>300</v>
      </c>
      <c r="C32" s="54" t="s">
        <v>188</v>
      </c>
      <c r="D32" s="95" t="s">
        <v>189</v>
      </c>
      <c r="E32" s="78" t="str">
        <f t="shared" si="0"/>
        <v>"[COMMENT RULE - STRICT] Code MUST include sufficient inline comments explaining important lines and logical blocks | " &amp;</v>
      </c>
      <c r="F32" s="54" t="s">
        <v>232</v>
      </c>
    </row>
    <row r="33" spans="2:6">
      <c r="B33" s="85" t="s">
        <v>300</v>
      </c>
      <c r="C33" s="54" t="s">
        <v>190</v>
      </c>
      <c r="D33" s="95" t="s">
        <v>191</v>
      </c>
      <c r="E33" s="78" t="str">
        <f t="shared" si="0"/>
        <v>"[COMMENT DEPTH RULE] Comments MUST explain WHAT the code does AND WHY it is written that way | " &amp;</v>
      </c>
      <c r="F33" s="54" t="s">
        <v>232</v>
      </c>
    </row>
    <row r="34" spans="2:6">
      <c r="B34" s="85" t="s">
        <v>300</v>
      </c>
      <c r="C34" s="54" t="s">
        <v>205</v>
      </c>
      <c r="D34" s="95" t="s">
        <v>206</v>
      </c>
      <c r="E34" s="78" t="str">
        <f t="shared" si="0"/>
        <v>"[EXPLANATION RULE] Explanation within 'Mini-Lección' MUST explain WHAT, WHY, HOW, and real-world context concisely | " &amp;</v>
      </c>
      <c r="F34" s="54" t="s">
        <v>232</v>
      </c>
    </row>
    <row r="35" spans="2:6">
      <c r="B35" s="85" t="s">
        <v>300</v>
      </c>
      <c r="C35" s="54" t="s">
        <v>207</v>
      </c>
      <c r="D35" s="95" t="s">
        <v>208</v>
      </c>
      <c r="E35" s="78" t="str">
        <f t="shared" si="0"/>
        <v>"[LEARNING RULE] Each example MUST highlight a key insight | " &amp;</v>
      </c>
      <c r="F35" s="54" t="s">
        <v>232</v>
      </c>
    </row>
    <row r="36" spans="2:6">
      <c r="B36" s="85" t="s">
        <v>300</v>
      </c>
      <c r="C36" s="54" t="s">
        <v>209</v>
      </c>
      <c r="D36" s="95" t="s">
        <v>210</v>
      </c>
      <c r="E36" s="78" t="str">
        <f t="shared" si="0"/>
        <v>"[COMMON MISTAKES RULE] Include a short mistake note after each example | " &amp;</v>
      </c>
      <c r="F36" s="54" t="s">
        <v>232</v>
      </c>
    </row>
    <row r="37" spans="2:6">
      <c r="B37" s="85" t="s">
        <v>300</v>
      </c>
      <c r="C37" s="54" t="s">
        <v>211</v>
      </c>
      <c r="D37" s="95" t="s">
        <v>212</v>
      </c>
      <c r="E37" s="78" t="str">
        <f t="shared" si="0"/>
        <v>"[MINI CHALLENGE RULE] Include a short reinforcement question after each example | " &amp;</v>
      </c>
      <c r="F37" s="54" t="s">
        <v>232</v>
      </c>
    </row>
    <row r="38" spans="2:6">
      <c r="B38" s="85" t="s">
        <v>300</v>
      </c>
      <c r="C38" s="54" t="s">
        <v>213</v>
      </c>
      <c r="D38" s="95" t="s">
        <v>214</v>
      </c>
      <c r="E38" s="78" t="str">
        <f t="shared" si="0"/>
        <v>"[REAL WORLD RULE] Connect each example to a real-world use case | " &amp;</v>
      </c>
      <c r="F38" s="54" t="s">
        <v>232</v>
      </c>
    </row>
    <row r="39" spans="2:6">
      <c r="B39" s="85" t="s">
        <v>300</v>
      </c>
      <c r="C39" s="54" t="s">
        <v>215</v>
      </c>
      <c r="D39" s="95" t="s">
        <v>216</v>
      </c>
      <c r="E39" s="78" t="str">
        <f t="shared" si="0"/>
        <v>"[FORMAT RULE] Only valid markdown code blocks allowed | " &amp;</v>
      </c>
      <c r="F39" s="54" t="s">
        <v>232</v>
      </c>
    </row>
    <row r="40" spans="2:6">
      <c r="B40" s="85" t="s">
        <v>300</v>
      </c>
      <c r="C40" s="54" t="s">
        <v>217</v>
      </c>
      <c r="D40" s="95" t="s">
        <v>218</v>
      </c>
      <c r="E40" s="78" t="str">
        <f t="shared" si="0"/>
        <v>"[LANGUAGE TAG RULE] ALWAYS label markdown code blocks with the correct underlying programming language (e.g., python, javascript, sql) | " &amp;</v>
      </c>
      <c r="F40" s="54" t="s">
        <v>232</v>
      </c>
    </row>
    <row r="41" spans="2:6">
      <c r="B41" s="85" t="s">
        <v>300</v>
      </c>
      <c r="C41" s="54" t="s">
        <v>220</v>
      </c>
      <c r="D41" s="95" t="s">
        <v>221</v>
      </c>
      <c r="E41" s="78" t="str">
        <f t="shared" si="0"/>
        <v>"[CONSISTENCY RULE] All examples MUST have similar complexity and length | " &amp;</v>
      </c>
      <c r="F41" s="54" t="s">
        <v>232</v>
      </c>
    </row>
    <row r="42" spans="2:6">
      <c r="B42" s="85" t="s">
        <v>300</v>
      </c>
      <c r="C42" s="54" t="s">
        <v>222</v>
      </c>
      <c r="D42" s="95" t="s">
        <v>245</v>
      </c>
      <c r="E42" s="78" t="str">
        <f t="shared" si="0"/>
        <v>"[FINAL OUTPUT RULE] Include Key Takeaway section at the end | " &amp; IF(AJ9&lt;&gt;"", AJ9, "") &amp;" | " &amp;</v>
      </c>
      <c r="F42" s="54" t="s">
        <v>232</v>
      </c>
    </row>
    <row r="43" spans="2:6">
      <c r="B43" s="85" t="s">
        <v>300</v>
      </c>
      <c r="C43" s="54" t="s">
        <v>179</v>
      </c>
      <c r="D43" s="95" t="s">
        <v>240</v>
      </c>
      <c r="E43" s="78" t="str">
        <f t="shared" si="0"/>
        <v>"[DATA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v>
      </c>
      <c r="F43" s="54" t="s">
        <v>232</v>
      </c>
    </row>
    <row r="44" spans="2:6">
      <c r="B44" s="85" t="s">
        <v>300</v>
      </c>
      <c r="C44" s="54" t="s">
        <v>180</v>
      </c>
      <c r="D44" s="95" t="s">
        <v>181</v>
      </c>
      <c r="E44" s="78" t="str">
        <f t="shared" si="0"/>
        <v>"[DATA SUMMARY FORMAT RULE] When a dataset is present, you MUST display IMMEDIATELY AFTER THE HEADER: Dataset Summary: - File Type: - Columns / Fields: - Data Types: - Notes: | " &amp;</v>
      </c>
      <c r="F44" s="54" t="s">
        <v>232</v>
      </c>
    </row>
    <row r="45" spans="2:6">
      <c r="B45" s="85" t="s">
        <v>300</v>
      </c>
      <c r="C45" s="54" t="s">
        <v>200</v>
      </c>
      <c r="D45" s="95" t="s">
        <v>201</v>
      </c>
      <c r="E45" s="78" t="str">
        <f t="shared" si="0"/>
        <v>"[DATA CONSISTENCY RULE] Respect dataset schema | " &amp;</v>
      </c>
      <c r="F45" s="54" t="s">
        <v>232</v>
      </c>
    </row>
    <row r="46" spans="2:6">
      <c r="B46" s="85" t="s">
        <v>300</v>
      </c>
      <c r="C46" s="54" t="s">
        <v>192</v>
      </c>
      <c r="D46" s="95" t="s">
        <v>193</v>
      </c>
      <c r="E46" s="78" t="str">
        <f t="shared" si="0"/>
        <v>"[COMMENT DENSITY RULE] Beginner = high, Intermediate = medium, Advanced = lower but present in key logic | " &amp;</v>
      </c>
      <c r="F46" s="54" t="s">
        <v>232</v>
      </c>
    </row>
    <row r="47" spans="2:6">
      <c r="B47" s="85" t="s">
        <v>300</v>
      </c>
      <c r="C47" s="54" t="s">
        <v>203</v>
      </c>
      <c r="D47" s="95" t="s">
        <v>204</v>
      </c>
      <c r="E47" s="78" t="str">
        <f t="shared" si="0"/>
        <v>"[DIFFICULTY RULE] Complexity MUST match level | " &amp;</v>
      </c>
      <c r="F47" s="54" t="s">
        <v>232</v>
      </c>
    </row>
    <row r="48" spans="2:6">
      <c r="B48" s="85" t="s">
        <v>300</v>
      </c>
      <c r="C48" s="54" t="s">
        <v>224</v>
      </c>
      <c r="D48" s="95" t="s">
        <v>225</v>
      </c>
      <c r="E48" s="78" t="str">
        <f t="shared" si="0"/>
        <v>"[OUTPUT] Only header, introduction, examples, outputs, notes, summary, and footer | " &amp;</v>
      </c>
      <c r="F48" s="54" t="s">
        <v>232</v>
      </c>
    </row>
    <row r="49" spans="2:6">
      <c r="B49" s="85" t="s">
        <v>300</v>
      </c>
      <c r="C49" s="54" t="s">
        <v>228</v>
      </c>
      <c r="D49" s="95" t="s">
        <v>247</v>
      </c>
      <c r="E49" s="78"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232</v>
      </c>
    </row>
    <row r="50" spans="2:6">
      <c r="B50" s="85"/>
      <c r="C50" s="54"/>
      <c r="D50" s="95"/>
      <c r="E50" s="89" t="str">
        <f>"IF(H9=""PROJECT"", Z9, """"))"</f>
        <v>IF(H9="PROJECT", Z9, ""))</v>
      </c>
      <c r="F50" s="54"/>
    </row>
    <row r="51" spans="2:6">
      <c r="B51" s="75"/>
      <c r="C51" s="75"/>
      <c r="E51" s="87"/>
    </row>
    <row r="52" spans="2:6">
      <c r="B52" s="75"/>
      <c r="C52" s="75"/>
      <c r="E52" s="87"/>
    </row>
    <row r="53" spans="2:6" ht="36">
      <c r="B53" s="80" t="s">
        <v>501</v>
      </c>
      <c r="C53" s="75"/>
      <c r="E53" s="87"/>
    </row>
    <row r="54" spans="2:6">
      <c r="B54" s="77" t="s">
        <v>286</v>
      </c>
      <c r="C54" s="77" t="s">
        <v>639</v>
      </c>
      <c r="D54" s="77" t="s">
        <v>640</v>
      </c>
      <c r="E54" s="89" t="s">
        <v>287</v>
      </c>
      <c r="F54" s="32" t="s">
        <v>232</v>
      </c>
    </row>
    <row r="55" spans="2:6">
      <c r="B55" s="54" t="s">
        <v>230</v>
      </c>
      <c r="C55" s="54" t="s">
        <v>167</v>
      </c>
      <c r="D55" s="95" t="s">
        <v>292</v>
      </c>
      <c r="E55" s="78"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232</v>
      </c>
    </row>
    <row r="56" spans="2:6">
      <c r="B56" s="54" t="s">
        <v>230</v>
      </c>
      <c r="C56" s="54" t="s">
        <v>272</v>
      </c>
      <c r="D56" s="95" t="s">
        <v>273</v>
      </c>
      <c r="E56" s="78" t="str">
        <f t="shared" ref="E56:E78" si="1">IF(D56="","",""""&amp;C56&amp;" "&amp;IF(C56="[FOOTER RULE - STRICT]",D56,IF(RIGHT(D56,6)=" | "&amp;CHAR(34)&amp;" &amp;",D56,D56&amp;" | "&amp;CHAR(34)&amp;" &amp;")))</f>
        <v>"[TOPICS USED] " &amp; B9 &amp; " | " &amp;</v>
      </c>
      <c r="F56" s="32" t="s">
        <v>232</v>
      </c>
    </row>
    <row r="57" spans="2:6">
      <c r="B57" s="54" t="s">
        <v>230</v>
      </c>
      <c r="C57" s="54" t="s">
        <v>171</v>
      </c>
      <c r="D57" s="95" t="s">
        <v>172</v>
      </c>
      <c r="E57" s="78" t="str">
        <f t="shared" si="1"/>
        <v>"[LEVEL] " &amp; G9 &amp; " | " &amp;</v>
      </c>
      <c r="F57" s="32" t="s">
        <v>232</v>
      </c>
    </row>
    <row r="58" spans="2:6">
      <c r="B58" s="54" t="s">
        <v>230</v>
      </c>
      <c r="C58" s="54" t="s">
        <v>238</v>
      </c>
      <c r="D58" s="95" t="s">
        <v>291</v>
      </c>
      <c r="E58" s="78" t="str">
        <f t="shared" si="1"/>
        <v>"[LIBRARY BEING LEARNED] " &amp; $I$3 &amp; " | " &amp;</v>
      </c>
      <c r="F58" s="32" t="s">
        <v>232</v>
      </c>
    </row>
    <row r="59" spans="2:6">
      <c r="B59" s="54" t="s">
        <v>230</v>
      </c>
      <c r="C59" s="54" t="s">
        <v>177</v>
      </c>
      <c r="D59" s="95" t="s">
        <v>274</v>
      </c>
      <c r="E59"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9" s="32" t="s">
        <v>232</v>
      </c>
    </row>
    <row r="60" spans="2:6">
      <c r="B60" s="54" t="s">
        <v>230</v>
      </c>
      <c r="C60" s="54" t="s">
        <v>550</v>
      </c>
      <c r="D60" s="95" t="s">
        <v>542</v>
      </c>
      <c r="E60" s="78" t="str">
        <f t="shared" si="1"/>
        <v>"[LANGUAGE SEED CONTEXT] " &amp; IF($AE$7 = "", "Language Seed Not Necessary", "You MUST strictly follow this seed context to enhance, adapt, and naturalize your tone, vocabulary, and instructional quality in " &amp; $B$6 &amp; ": " &amp; $AE$7) &amp; " | " &amp;</v>
      </c>
      <c r="F60" s="32" t="s">
        <v>232</v>
      </c>
    </row>
    <row r="61" spans="2:6">
      <c r="B61" s="54" t="s">
        <v>230</v>
      </c>
      <c r="C61" s="54" t="s">
        <v>226</v>
      </c>
      <c r="D61" s="95" t="s">
        <v>227</v>
      </c>
      <c r="E61" s="78" t="str">
        <f t="shared" si="1"/>
        <v>"[LANGUAGE] " &amp; $B$6 &amp; " | " &amp;</v>
      </c>
      <c r="F61" s="32" t="s">
        <v>232</v>
      </c>
    </row>
    <row r="62" spans="2:6">
      <c r="B62" s="54" t="s">
        <v>231</v>
      </c>
      <c r="C62" s="54" t="s">
        <v>241</v>
      </c>
      <c r="D62" s="95"/>
      <c r="E62" s="78" t="str">
        <f t="shared" ref="E62:E63" si="2">IF(D62="","",""""&amp;C62&amp;" "&amp;IF(C62="[FOOTER RULE - STRICT]",D62,IF(RIGHT(D62,6)=" | "&amp;CHAR(34)&amp;" &amp;",D62,D62&amp;" | "&amp;CHAR(34)&amp;" &amp;")))</f>
        <v/>
      </c>
      <c r="F62" s="32" t="s">
        <v>232</v>
      </c>
    </row>
    <row r="63" spans="2:6">
      <c r="B63" s="54" t="s">
        <v>231</v>
      </c>
      <c r="C63" s="54" t="s">
        <v>241</v>
      </c>
      <c r="D63" s="95"/>
      <c r="E63" s="78" t="str">
        <f t="shared" si="2"/>
        <v/>
      </c>
      <c r="F63" s="32" t="s">
        <v>232</v>
      </c>
    </row>
    <row r="64" spans="2:6">
      <c r="B64" s="54" t="s">
        <v>231</v>
      </c>
      <c r="C64" s="54" t="s">
        <v>184</v>
      </c>
      <c r="D64" s="95" t="s">
        <v>288</v>
      </c>
      <c r="E64" s="78" t="str">
        <f t="shared" si="1"/>
        <v>"[CODE CONSTRAINTS] MUST be between " &amp; IF(G9="Beginner", "25–40", IF(G9="Intermediate", "30–60", "40–100")) &amp; " lines (STRICT) - Multi-step flow " &amp; IF(G9&lt;&gt;"Advanced", "- NO classes ", "") &amp; " | " &amp;</v>
      </c>
      <c r="F64" s="32" t="s">
        <v>232</v>
      </c>
    </row>
    <row r="65" spans="2:6">
      <c r="B65" s="54" t="s">
        <v>231</v>
      </c>
      <c r="C65" s="54" t="s">
        <v>186</v>
      </c>
      <c r="D65" s="95" t="s">
        <v>289</v>
      </c>
      <c r="E65" s="78" t="str">
        <f t="shared" si="1"/>
        <v>"[FUNCTION RULE] " &amp; IF(G9="Beginner", "Avoid functions unless required. Use flat, linear scripts. ", IF(G9="Intermediate", "MUST use modular functions with a main() entry point. ", "MUST use well-structured modular functions with a main() entry point. " )) &amp; " | " &amp;</v>
      </c>
      <c r="F65" s="32" t="s">
        <v>232</v>
      </c>
    </row>
    <row r="66" spans="2:6">
      <c r="B66" s="54" t="s">
        <v>231</v>
      </c>
      <c r="C66" s="54" t="s">
        <v>278</v>
      </c>
      <c r="D66" s="95" t="s">
        <v>295</v>
      </c>
      <c r="E66" s="78" t="str">
        <f t="shared" si="1"/>
        <v>"[ARCHITECTURE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v>
      </c>
      <c r="F66" s="32" t="s">
        <v>232</v>
      </c>
    </row>
    <row r="67" spans="2:6">
      <c r="B67" s="54" t="s">
        <v>231</v>
      </c>
      <c r="C67" s="54" t="s">
        <v>198</v>
      </c>
      <c r="D67" s="95" t="s">
        <v>279</v>
      </c>
      <c r="E67" s="78" t="str">
        <f t="shared" si="1"/>
        <v>"[DATA ROBUSTNESS RULE] Handle real-world data safely | " &amp;</v>
      </c>
      <c r="F67" s="32" t="s">
        <v>232</v>
      </c>
    </row>
    <row r="68" spans="2:6">
      <c r="B68" s="54" t="s">
        <v>231</v>
      </c>
      <c r="C68" s="54" t="s">
        <v>195</v>
      </c>
      <c r="D68" s="95" t="s">
        <v>196</v>
      </c>
      <c r="E68" s="78" t="str">
        <f t="shared" si="1"/>
        <v>"[FILE HANDLING RULE] Use correct loaders and enforce encoding='utf-8' and newline='' when applicable | " &amp;</v>
      </c>
      <c r="F68" s="32" t="s">
        <v>232</v>
      </c>
    </row>
    <row r="69" spans="2:6">
      <c r="B69" s="54" t="s">
        <v>231</v>
      </c>
      <c r="C69" s="54" t="s">
        <v>202</v>
      </c>
      <c r="D69" s="95" t="s">
        <v>296</v>
      </c>
      <c r="E69" s="78" t="str">
        <f t="shared" si="1"/>
        <v>"[SUPPORT FILES RULE] IF an external configuration or data file is needed, include: 1. Short instructional sentence 2. File content in markdown code block 3. Place it strictly BEFORE the main code. | " &amp;</v>
      </c>
      <c r="F69" s="32" t="s">
        <v>232</v>
      </c>
    </row>
    <row r="70" spans="2:6">
      <c r="B70" s="85" t="s">
        <v>300</v>
      </c>
      <c r="C70" s="54" t="s">
        <v>179</v>
      </c>
      <c r="D70" s="95" t="s">
        <v>275</v>
      </c>
      <c r="E70"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0" s="32" t="s">
        <v>232</v>
      </c>
    </row>
    <row r="71" spans="2:6">
      <c r="B71" s="85" t="s">
        <v>300</v>
      </c>
      <c r="C71" s="54" t="s">
        <v>182</v>
      </c>
      <c r="D71" s="95" t="s">
        <v>276</v>
      </c>
      <c r="E71" s="78" t="str">
        <f t="shared" si="1"/>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1" s="32" t="s">
        <v>232</v>
      </c>
    </row>
    <row r="72" spans="2:6">
      <c r="B72" s="85" t="s">
        <v>300</v>
      </c>
      <c r="C72" s="54" t="s">
        <v>187</v>
      </c>
      <c r="D72" s="95" t="s">
        <v>277</v>
      </c>
      <c r="E72" s="78" t="str">
        <f t="shared" si="1"/>
        <v>"[CODE QUALITY RULE] Code MUST be clean, readable, correct, and educational | " &amp;</v>
      </c>
      <c r="F72" s="32" t="s">
        <v>232</v>
      </c>
    </row>
    <row r="73" spans="2:6">
      <c r="B73" s="85" t="s">
        <v>300</v>
      </c>
      <c r="C73" s="54" t="s">
        <v>215</v>
      </c>
      <c r="D73" s="95" t="s">
        <v>280</v>
      </c>
      <c r="E73" s="78" t="str">
        <f t="shared" si="1"/>
        <v>"[FORMAT RULE] Only markdown code blocks allowed | " &amp;</v>
      </c>
      <c r="F73" s="32" t="s">
        <v>232</v>
      </c>
    </row>
    <row r="74" spans="2:6">
      <c r="B74" s="85" t="s">
        <v>300</v>
      </c>
      <c r="C74" s="54" t="s">
        <v>281</v>
      </c>
      <c r="D74" s="95" t="s">
        <v>282</v>
      </c>
      <c r="E74" s="78" t="str">
        <f t="shared" si="1"/>
        <v>"[EXECUTION RULE] Code MUST run and produce correct output | " &amp;</v>
      </c>
      <c r="F74" s="32" t="s">
        <v>232</v>
      </c>
    </row>
    <row r="75" spans="2:6">
      <c r="B75" s="85" t="s">
        <v>300</v>
      </c>
      <c r="C75" s="54" t="s">
        <v>220</v>
      </c>
      <c r="D75" s="95" t="s">
        <v>283</v>
      </c>
      <c r="E75" s="78" t="str">
        <f t="shared" si="1"/>
        <v>"[CONSISTENCY RULE] Project must match objective | " &amp;</v>
      </c>
      <c r="F75" s="32" t="s">
        <v>232</v>
      </c>
    </row>
    <row r="76" spans="2:6">
      <c r="B76" s="85" t="s">
        <v>300</v>
      </c>
      <c r="C76" s="54" t="s">
        <v>223</v>
      </c>
      <c r="D76" s="95" t="s">
        <v>642</v>
      </c>
      <c r="E76" s="78" t="str">
        <f t="shared" si="1"/>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6" s="32" t="s">
        <v>232</v>
      </c>
    </row>
    <row r="77" spans="2:6">
      <c r="B77" s="85" t="s">
        <v>300</v>
      </c>
      <c r="C77" s="54" t="s">
        <v>224</v>
      </c>
      <c r="D77" s="95" t="s">
        <v>284</v>
      </c>
      <c r="E77" s="78" t="str">
        <f t="shared" si="1"/>
        <v>"[OUTPUT] Only header, dataset notice, objective, support file, code planning, expected output, code, and footer | " &amp;</v>
      </c>
      <c r="F77" s="32" t="s">
        <v>232</v>
      </c>
    </row>
    <row r="78" spans="2:6">
      <c r="B78" s="85" t="s">
        <v>300</v>
      </c>
      <c r="C78" s="54" t="s">
        <v>228</v>
      </c>
      <c r="D78" s="95" t="s">
        <v>285</v>
      </c>
      <c r="E78" s="78" t="str">
        <f t="shared" si="1"/>
        <v>"[FOOTER RULE - STRICT] End your entire response EXACTLY with this markdown string (ensure all code blocks are closed before it):" &amp; CHAR(10) &amp; "---" &amp; CHAR(10) &amp; "⚡ *Coding5s System — Learn Programming by Writing Code*")</v>
      </c>
      <c r="F78" s="32" t="s">
        <v>232</v>
      </c>
    </row>
    <row r="79" spans="2:6">
      <c r="E79" s="87"/>
      <c r="F79" t="s">
        <v>232</v>
      </c>
    </row>
    <row r="81" spans="2:6" ht="36">
      <c r="B81" s="81" t="s">
        <v>294</v>
      </c>
    </row>
    <row r="82" spans="2:6">
      <c r="B82" s="77" t="s">
        <v>229</v>
      </c>
      <c r="C82" s="77" t="s">
        <v>639</v>
      </c>
      <c r="D82" s="77" t="s">
        <v>640</v>
      </c>
      <c r="E82" s="89" t="s">
        <v>249</v>
      </c>
      <c r="F82" s="54" t="s">
        <v>232</v>
      </c>
    </row>
    <row r="83" spans="2:6">
      <c r="B83" s="54" t="s">
        <v>230</v>
      </c>
      <c r="C83" s="54" t="s">
        <v>250</v>
      </c>
      <c r="D83" s="95" t="s">
        <v>266</v>
      </c>
      <c r="E83" s="78" t="str">
        <f t="shared" ref="E83:E103" si="3">IF(D83="","",""""&amp;C83&amp;" "&amp;IF(C83="[FOOTER RULE - STRICT]",D83,IF(RIGHT(D83,6)=" | "&amp;CHAR(34)&amp;" &amp;",D83,D83&amp;"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3" s="54" t="s">
        <v>232</v>
      </c>
    </row>
    <row r="84" spans="2:6">
      <c r="B84" s="54" t="s">
        <v>230</v>
      </c>
      <c r="C84" s="54" t="s">
        <v>251</v>
      </c>
      <c r="D84" s="95" t="s">
        <v>261</v>
      </c>
      <c r="E84" s="78" t="str">
        <f t="shared" si="3"/>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4" s="54" t="s">
        <v>232</v>
      </c>
    </row>
    <row r="85" spans="2:6">
      <c r="B85" s="54" t="s">
        <v>230</v>
      </c>
      <c r="C85" s="54" t="s">
        <v>252</v>
      </c>
      <c r="D85" s="95" t="s">
        <v>262</v>
      </c>
      <c r="E85" s="78" t="str">
        <f t="shared" si="3"/>
        <v>"[CONTEXT] You are helping a Junior Developer who is " &amp; IF(UPPER(H9)="PROJECT", "building a PROJECT: " &amp; I9 &amp; ". Topics applied in this project: " &amp; B9 &amp; ". Project objective: " &amp; J9, "learning: " &amp; I9 &amp; ". Topic details: " &amp; J9) &amp; " | " &amp;</v>
      </c>
      <c r="F85" s="54" t="s">
        <v>232</v>
      </c>
    </row>
    <row r="86" spans="2:6">
      <c r="B86" s="54" t="s">
        <v>230</v>
      </c>
      <c r="C86" s="54" t="s">
        <v>238</v>
      </c>
      <c r="D86" s="95" t="s">
        <v>291</v>
      </c>
      <c r="E86" s="78"/>
      <c r="F86" s="54"/>
    </row>
    <row r="87" spans="2:6">
      <c r="B87" s="54" t="s">
        <v>230</v>
      </c>
      <c r="C87" s="54" t="s">
        <v>177</v>
      </c>
      <c r="D87" s="95" t="s">
        <v>264</v>
      </c>
      <c r="E87" s="78" t="str">
        <f t="shared" si="3"/>
        <v>"[LANGUAGE CONSISTENCY RULE] ALL output text MUST be written strictly in (" &amp; $B$6 &amp; "). | " &amp;</v>
      </c>
      <c r="F87" s="54" t="s">
        <v>232</v>
      </c>
    </row>
    <row r="88" spans="2:6">
      <c r="B88" s="54" t="s">
        <v>230</v>
      </c>
      <c r="C88" s="54" t="s">
        <v>550</v>
      </c>
      <c r="D88" s="95" t="s">
        <v>542</v>
      </c>
      <c r="E88" s="78" t="str">
        <f t="shared" si="3"/>
        <v>"[LANGUAGE SEED CONTEXT] " &amp; IF($AE$7 = "", "Language Seed Not Necessary", "You MUST strictly follow this seed context to enhance, adapt, and naturalize your tone, vocabulary, and instructional quality in " &amp; $B$6 &amp; ": " &amp; $AE$7) &amp; " | " &amp;</v>
      </c>
      <c r="F88" s="54" t="s">
        <v>232</v>
      </c>
    </row>
    <row r="89" spans="2:6">
      <c r="B89" s="54" t="s">
        <v>230</v>
      </c>
      <c r="C89" s="54" t="s">
        <v>226</v>
      </c>
      <c r="D89" s="95" t="s">
        <v>267</v>
      </c>
      <c r="E89" s="78" t="str">
        <f>IF(D89="","",""""&amp;C89&amp;" "&amp;IF(C89="[FOOTER RULE - STRICT]",D89,IF(RIGHT(D89,6)=" | "&amp;CHAR(34)&amp;" &amp;",D89,D89&amp;" | "&amp;CHAR(34)&amp;" &amp;")))</f>
        <v>"[LANGUAGE] " &amp; $B$6 &amp;" | " &amp;</v>
      </c>
      <c r="F89" s="54" t="s">
        <v>232</v>
      </c>
    </row>
    <row r="90" spans="2:6">
      <c r="B90" s="54" t="s">
        <v>231</v>
      </c>
      <c r="C90" s="54" t="s">
        <v>241</v>
      </c>
      <c r="D90" s="95"/>
      <c r="E90" s="78" t="str">
        <f t="shared" ref="E90:E91" si="4">IF(D90="","",""""&amp;C90&amp;" "&amp;IF(C90="[FOOTER RULE - STRICT]",D90,IF(RIGHT(D90,6)=" | "&amp;CHAR(34)&amp;" &amp;",D90,D90&amp;" | "&amp;CHAR(34)&amp;" &amp;")))</f>
        <v/>
      </c>
      <c r="F90" s="54" t="s">
        <v>232</v>
      </c>
    </row>
    <row r="91" spans="2:6">
      <c r="B91" s="54" t="s">
        <v>231</v>
      </c>
      <c r="C91" s="54" t="s">
        <v>241</v>
      </c>
      <c r="D91" s="95"/>
      <c r="E91" s="78" t="str">
        <f t="shared" si="4"/>
        <v/>
      </c>
      <c r="F91" s="54" t="s">
        <v>232</v>
      </c>
    </row>
    <row r="92" spans="2:6">
      <c r="B92" s="54" t="s">
        <v>231</v>
      </c>
      <c r="C92" s="54" t="s">
        <v>258</v>
      </c>
      <c r="D92" s="95" t="s">
        <v>269</v>
      </c>
      <c r="E92" s="78" t="str">
        <f>IF(D92="","",""""&amp;C92&amp;" "&amp;IF(C92="[FOOTER RULE - STRICT]",D92,IF(RIGHT(D92,6)=" | "&amp;CHAR(34)&amp;" &amp;",D92,D92&amp;" | "&amp;CHAR(34)&amp;" &amp;")))</f>
        <v>"[ARCHITECTURAL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v>
      </c>
      <c r="F92" s="54" t="s">
        <v>232</v>
      </c>
    </row>
    <row r="93" spans="2:6">
      <c r="B93" s="54" t="s">
        <v>231</v>
      </c>
      <c r="C93" s="54" t="s">
        <v>259</v>
      </c>
      <c r="D93" s="95" t="s">
        <v>268</v>
      </c>
      <c r="E93" s="78" t="str">
        <f>IF(D93="","",""""&amp;C93&amp;" "&amp;IF(C93="[FOOTER RULE - STRICT]",D93,IF(RIGHT(D93,6)=" | "&amp;CHAR(34)&amp;" &amp;",D93,D93&amp;" | "&amp;CHAR(34)&amp;" &amp;")))</f>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v>
      </c>
      <c r="F93" s="54" t="s">
        <v>232</v>
      </c>
    </row>
    <row r="94" spans="2:6">
      <c r="B94" s="85" t="s">
        <v>300</v>
      </c>
      <c r="C94" s="54" t="s">
        <v>179</v>
      </c>
      <c r="D94" s="95" t="s">
        <v>265</v>
      </c>
      <c r="E94" s="78" t="str">
        <f t="shared" si="3"/>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4" s="54" t="s">
        <v>232</v>
      </c>
    </row>
    <row r="95" spans="2:6">
      <c r="B95" s="85" t="s">
        <v>300</v>
      </c>
      <c r="C95" s="54" t="s">
        <v>253</v>
      </c>
      <c r="D95" s="95" t="s">
        <v>270</v>
      </c>
      <c r="E95" s="78" t="str">
        <f t="shared" si="3"/>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5" s="54" t="s">
        <v>232</v>
      </c>
    </row>
    <row r="96" spans="2:6">
      <c r="B96" s="85" t="s">
        <v>300</v>
      </c>
      <c r="C96" s="54" t="s">
        <v>167</v>
      </c>
      <c r="D96" s="95" t="s">
        <v>263</v>
      </c>
      <c r="E96" s="78" t="str">
        <f>IF(D96="","",""""&amp;C96&amp;" "&amp;IF(C96="[FOOTER RULE - STRICT]",D96,IF(RIGHT(D96,6)=" | "&amp;CHAR(34)&amp;" &amp;",D96,D96&amp;" | "&amp;CHAR(34)&amp;" &amp;")))</f>
        <v>"[TASK] Analyze the student's code and explanation. If the code is perfect, congratulate them warmly and provide 2 'Bonus Challenges'. Otherwise, follow the 2-PHASE MENTORING PROTOCOL | " &amp;</v>
      </c>
      <c r="F96" s="54" t="s">
        <v>232</v>
      </c>
    </row>
    <row r="97" spans="2:6">
      <c r="B97" s="85" t="s">
        <v>300</v>
      </c>
      <c r="C97" s="54" t="s">
        <v>254</v>
      </c>
      <c r="D97" s="95" t="s">
        <v>347</v>
      </c>
      <c r="E97" s="78" t="str">
        <f t="shared" si="3"/>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7" s="54" t="s">
        <v>232</v>
      </c>
    </row>
    <row r="98" spans="2:6">
      <c r="B98" s="85" t="s">
        <v>300</v>
      </c>
      <c r="C98" s="54" t="s">
        <v>255</v>
      </c>
      <c r="D98" s="95" t="s">
        <v>343</v>
      </c>
      <c r="E98" s="78" t="str">
        <f t="shared" si="3"/>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8" s="54" t="s">
        <v>232</v>
      </c>
    </row>
    <row r="99" spans="2:6">
      <c r="B99" s="85" t="s">
        <v>300</v>
      </c>
      <c r="C99" s="54" t="s">
        <v>256</v>
      </c>
      <c r="D99" s="95" t="s">
        <v>346</v>
      </c>
      <c r="E99" s="78" t="str">
        <f t="shared" si="3"/>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99" s="54" t="s">
        <v>232</v>
      </c>
    </row>
    <row r="100" spans="2:6">
      <c r="B100" s="85" t="s">
        <v>300</v>
      </c>
      <c r="C100" s="54" t="s">
        <v>257</v>
      </c>
      <c r="D100" s="95" t="s">
        <v>271</v>
      </c>
      <c r="E100" s="78" t="str">
        <f t="shared" si="3"/>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0" s="54" t="s">
        <v>232</v>
      </c>
    </row>
    <row r="101" spans="2:6">
      <c r="B101" s="85" t="s">
        <v>300</v>
      </c>
      <c r="C101" s="54" t="s">
        <v>260</v>
      </c>
      <c r="D101" s="95" t="s">
        <v>344</v>
      </c>
      <c r="E101" s="78" t="str">
        <f t="shared" si="3"/>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1" s="54" t="s">
        <v>232</v>
      </c>
    </row>
    <row r="102" spans="2:6">
      <c r="B102" s="85" t="s">
        <v>300</v>
      </c>
      <c r="C102" s="54" t="s">
        <v>223</v>
      </c>
      <c r="D102" s="95" t="s">
        <v>643</v>
      </c>
      <c r="E102" s="78" t="str">
        <f t="shared" si="3"/>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2" s="54" t="s">
        <v>232</v>
      </c>
    </row>
    <row r="103" spans="2:6">
      <c r="B103" s="85" t="s">
        <v>300</v>
      </c>
      <c r="C103" s="54" t="s">
        <v>228</v>
      </c>
      <c r="D103" s="95" t="s">
        <v>345</v>
      </c>
      <c r="E103" s="78" t="str">
        <f t="shared" si="3"/>
        <v>"[FOOTER RULE - STRICT] End your response with: '--- ⚡ *Coding5s Mentor System — Eliminating Epistemic Debt*' | ","")</v>
      </c>
      <c r="F103" s="54" t="s">
        <v>232</v>
      </c>
    </row>
  </sheetData>
  <conditionalFormatting sqref="B1:B1048576">
    <cfRule type="cellIs" dxfId="59" priority="10" operator="equal">
      <formula>"The Immutable ""Kernel"""</formula>
    </cfRule>
    <cfRule type="cellIs" dxfId="58" priority="11" operator="equal">
      <formula>"Paradigm &amp; Ecosystem"</formula>
    </cfRule>
    <cfRule type="cellIs" dxfId="57" priority="12" operator="equal">
      <formula>"Global Variables &amp; Configuration"</formula>
    </cfRule>
  </conditionalFormatting>
  <conditionalFormatting sqref="C4:C50">
    <cfRule type="expression" dxfId="56" priority="7">
      <formula>$B4="The Immutable Kernel"</formula>
    </cfRule>
    <cfRule type="expression" dxfId="55" priority="8">
      <formula>$B4="Paradigm &amp; Ecosystem"</formula>
    </cfRule>
    <cfRule type="expression" dxfId="54" priority="9">
      <formula>$B4="Global Variables &amp; Configuration"</formula>
    </cfRule>
  </conditionalFormatting>
  <conditionalFormatting sqref="C55:C78">
    <cfRule type="expression" dxfId="53" priority="4">
      <formula>$B55="The Immutable Kernel"</formula>
    </cfRule>
    <cfRule type="expression" dxfId="52" priority="5">
      <formula>$B55="Paradigm &amp; Ecosystem"</formula>
    </cfRule>
    <cfRule type="expression" dxfId="51" priority="6">
      <formula>$B55="Global Variables &amp; Configuration"</formula>
    </cfRule>
  </conditionalFormatting>
  <conditionalFormatting sqref="C83:C103">
    <cfRule type="expression" dxfId="50" priority="1">
      <formula>$B83="The Immutable Kernel"</formula>
    </cfRule>
    <cfRule type="expression" dxfId="49" priority="2">
      <formula>$B83="Paradigm &amp; Ecosystem"</formula>
    </cfRule>
    <cfRule type="expression" dxfId="48" priority="3">
      <formula>$B83="Global Variables &amp; Configuration"</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6" customWidth="1"/>
    <col min="6" max="6" width="4" customWidth="1"/>
  </cols>
  <sheetData>
    <row r="2" spans="2:29" ht="36">
      <c r="B2" s="79" t="s">
        <v>500</v>
      </c>
      <c r="D2" s="82" t="s">
        <v>299</v>
      </c>
      <c r="H2" s="83" t="s">
        <v>297</v>
      </c>
      <c r="T2" s="83" t="s">
        <v>298</v>
      </c>
    </row>
    <row r="3" spans="2:29">
      <c r="B3" s="77" t="s">
        <v>229</v>
      </c>
      <c r="C3" s="77" t="s">
        <v>639</v>
      </c>
      <c r="D3" s="77" t="s">
        <v>640</v>
      </c>
      <c r="E3" s="89" t="s">
        <v>237</v>
      </c>
      <c r="F3" s="4" t="s">
        <v>232</v>
      </c>
      <c r="AC3" t="s">
        <v>232</v>
      </c>
    </row>
    <row r="4" spans="2:29">
      <c r="B4" s="76" t="s">
        <v>230</v>
      </c>
      <c r="C4" s="54" t="s">
        <v>165</v>
      </c>
      <c r="D4" s="94" t="s">
        <v>301</v>
      </c>
      <c r="E4" s="78" t="str">
        <f t="shared" ref="E4:E41" si="0">IF(D4="","",""""&amp;C4&amp;" "&amp;IF(C4="[FOOTER RULE - STRICT]",D4,IF(RIGHT(D4,6)=" | "&amp;CHAR(34)&amp;" &amp;",D4,D4&amp;" | "&amp;CHAR(34)&amp;" &amp;")))</f>
        <v>"[ROLE] Careless " &amp; $I$2 &amp; " Developer | " &amp;</v>
      </c>
      <c r="F4" s="54" t="s">
        <v>232</v>
      </c>
    </row>
    <row r="5" spans="2:29">
      <c r="B5" s="76" t="s">
        <v>230</v>
      </c>
      <c r="C5" s="54" t="s">
        <v>167</v>
      </c>
      <c r="D5" s="94" t="s">
        <v>302</v>
      </c>
      <c r="E5" s="78" t="str">
        <f t="shared" si="0"/>
        <v>"[TASK] Generate debugging challenges in " &amp; $I$2 &amp; " | | " &amp;</v>
      </c>
      <c r="F5" s="54" t="s">
        <v>232</v>
      </c>
    </row>
    <row r="6" spans="2:29">
      <c r="B6" s="76" t="s">
        <v>230</v>
      </c>
      <c r="C6" s="54" t="s">
        <v>169</v>
      </c>
      <c r="D6" s="94" t="s">
        <v>303</v>
      </c>
      <c r="E6" s="78" t="str">
        <f t="shared" si="0"/>
        <v>"[TOPIC] " &amp; I9 &amp; " | | " &amp;</v>
      </c>
      <c r="F6" s="54" t="s">
        <v>232</v>
      </c>
    </row>
    <row r="7" spans="2:29">
      <c r="B7" s="76" t="s">
        <v>230</v>
      </c>
      <c r="C7" s="54" t="s">
        <v>171</v>
      </c>
      <c r="D7" s="94" t="s">
        <v>304</v>
      </c>
      <c r="E7" s="78" t="str">
        <f t="shared" si="0"/>
        <v>"[LEVEL] " &amp; G9 &amp; " | | " &amp;</v>
      </c>
      <c r="F7" s="54" t="s">
        <v>232</v>
      </c>
    </row>
    <row r="8" spans="2:29">
      <c r="B8" s="76" t="s">
        <v>230</v>
      </c>
      <c r="C8" s="54" t="s">
        <v>173</v>
      </c>
      <c r="D8" s="94" t="s">
        <v>305</v>
      </c>
      <c r="E8" s="78" t="str">
        <f t="shared" si="0"/>
        <v>"[COUNT] " &amp; D9 &amp; " challenges | " &amp;</v>
      </c>
      <c r="F8" s="54" t="s">
        <v>232</v>
      </c>
    </row>
    <row r="9" spans="2:29">
      <c r="B9" s="76" t="s">
        <v>230</v>
      </c>
      <c r="C9" s="54" t="s">
        <v>238</v>
      </c>
      <c r="D9" s="94" t="s">
        <v>291</v>
      </c>
      <c r="E9" s="78" t="str">
        <f t="shared" si="0"/>
        <v>"[LIBRARY BEING LEARNED] " &amp; $I$3 &amp; " | " &amp;</v>
      </c>
      <c r="F9" s="54" t="s">
        <v>232</v>
      </c>
    </row>
    <row r="10" spans="2:29">
      <c r="B10" s="76" t="s">
        <v>230</v>
      </c>
      <c r="C10" s="54" t="s">
        <v>233</v>
      </c>
      <c r="D10" s="94"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223</v>
      </c>
      <c r="D11" s="94" t="s">
        <v>644</v>
      </c>
      <c r="E11" s="78"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232</v>
      </c>
    </row>
    <row r="12" spans="2:29">
      <c r="B12" s="76" t="s">
        <v>230</v>
      </c>
      <c r="C12" s="54" t="s">
        <v>177</v>
      </c>
      <c r="D12" s="94" t="s">
        <v>178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232</v>
      </c>
    </row>
    <row r="13" spans="2:29">
      <c r="B13" s="76" t="s">
        <v>230</v>
      </c>
      <c r="C13" s="54" t="s">
        <v>550</v>
      </c>
      <c r="D13" s="94" t="s">
        <v>542</v>
      </c>
      <c r="E13" s="78" t="str">
        <f t="shared" si="0"/>
        <v>"[LANGUAGE SEED CONTEXT] " &amp; IF($AE$7 = "", "Language Seed Not Necessary", "You MUST strictly follow this seed context to enhance, adapt, and naturalize your tone, vocabulary, and instructional quality in " &amp; $B$6 &amp; ": " &amp; $AE$7) &amp; " | " &amp;</v>
      </c>
      <c r="F13" s="54" t="s">
        <v>232</v>
      </c>
    </row>
    <row r="14" spans="2:29">
      <c r="B14" s="84" t="s">
        <v>231</v>
      </c>
      <c r="C14" s="54" t="s">
        <v>241</v>
      </c>
      <c r="D14" s="94"/>
      <c r="E14" s="78" t="str">
        <f t="shared" si="0"/>
        <v/>
      </c>
      <c r="F14" s="54" t="s">
        <v>232</v>
      </c>
    </row>
    <row r="15" spans="2:29">
      <c r="B15" s="84" t="s">
        <v>231</v>
      </c>
      <c r="C15" s="54" t="s">
        <v>241</v>
      </c>
      <c r="D15" s="94"/>
      <c r="E15" s="78" t="str">
        <f t="shared" si="0"/>
        <v/>
      </c>
      <c r="F15" s="54" t="s">
        <v>232</v>
      </c>
    </row>
    <row r="16" spans="2:29">
      <c r="B16" s="84" t="s">
        <v>231</v>
      </c>
      <c r="C16" s="54" t="s">
        <v>195</v>
      </c>
      <c r="D16" s="94" t="s">
        <v>306</v>
      </c>
      <c r="E16" s="78" t="str">
        <f t="shared" si="0"/>
        <v>"[FILE HANDLING RULE] Use correct loaders and enforce encoding='utf-8' and newline='' when applicable | " &amp;</v>
      </c>
      <c r="F16" s="54" t="s">
        <v>232</v>
      </c>
    </row>
    <row r="17" spans="2:6">
      <c r="B17" s="84" t="s">
        <v>231</v>
      </c>
      <c r="C17" s="54" t="s">
        <v>197</v>
      </c>
      <c r="D17" s="94" t="s">
        <v>307</v>
      </c>
      <c r="E17" s="78" t="str">
        <f t="shared" si="0"/>
        <v>"[DATA TYPE RULE] Explicit casting required before comparisons or calculations | " &amp;</v>
      </c>
      <c r="F17" s="54" t="s">
        <v>232</v>
      </c>
    </row>
    <row r="18" spans="2:6">
      <c r="B18" s="54" t="s">
        <v>231</v>
      </c>
      <c r="C18" s="54" t="s">
        <v>308</v>
      </c>
      <c r="D18" s="94" t="s">
        <v>309</v>
      </c>
      <c r="E18" s="78" t="str">
        <f t="shared" si="0"/>
        <v>"[ENV USAGE RULE] Environment variables may be used but bugs MUST exist ONLY in code logic, NEVER in config files | " &amp;</v>
      </c>
      <c r="F18" s="54" t="s">
        <v>232</v>
      </c>
    </row>
    <row r="19" spans="2:6">
      <c r="B19" s="54" t="s">
        <v>231</v>
      </c>
      <c r="C19" s="54" t="s">
        <v>184</v>
      </c>
      <c r="D19" s="94" t="s">
        <v>310</v>
      </c>
      <c r="E19" s="78" t="str">
        <f t="shared" si="0"/>
        <v>"[CODE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v>
      </c>
      <c r="F19" s="54" t="s">
        <v>232</v>
      </c>
    </row>
    <row r="20" spans="2:6">
      <c r="B20" s="54" t="s">
        <v>300</v>
      </c>
      <c r="C20" s="54" t="s">
        <v>194</v>
      </c>
      <c r="D20" s="94" t="s">
        <v>311</v>
      </c>
      <c r="E20" s="78" t="str">
        <f t="shared" si="0"/>
        <v>"[INTRO RULE] 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v>
      </c>
      <c r="F20" s="54" t="s">
        <v>232</v>
      </c>
    </row>
    <row r="21" spans="2:6">
      <c r="B21" s="54" t="s">
        <v>300</v>
      </c>
      <c r="C21" s="54" t="s">
        <v>312</v>
      </c>
      <c r="D21" s="94" t="s">
        <v>313</v>
      </c>
      <c r="E21" s="78" t="str">
        <f t="shared" si="0"/>
        <v>"[COMMENT RULE] Do NOT include comments that reveal bugs | " &amp;</v>
      </c>
      <c r="F21" s="54" t="s">
        <v>232</v>
      </c>
    </row>
    <row r="22" spans="2:6">
      <c r="B22" s="54" t="s">
        <v>300</v>
      </c>
      <c r="C22" s="54" t="s">
        <v>215</v>
      </c>
      <c r="D22" s="94" t="s">
        <v>314</v>
      </c>
      <c r="E22" s="78" t="str">
        <f t="shared" si="0"/>
        <v>"[FORMAT RULE] Only valid markdown code blocks allowed | " &amp;</v>
      </c>
      <c r="F22" s="54" t="s">
        <v>232</v>
      </c>
    </row>
    <row r="23" spans="2:6">
      <c r="B23" s="54" t="s">
        <v>300</v>
      </c>
      <c r="C23" s="54" t="s">
        <v>217</v>
      </c>
      <c r="D23" s="94" t="s">
        <v>315</v>
      </c>
      <c r="E23" s="78" t="str">
        <f t="shared" si="0"/>
        <v>"[LANGUAGE TAG RULE] ALWAYS label markdown code blocks with the correct underlying programming language (e.g., python, javascript, sql) | " &amp;</v>
      </c>
      <c r="F23" s="54" t="s">
        <v>232</v>
      </c>
    </row>
    <row r="24" spans="2:6">
      <c r="B24" s="54" t="s">
        <v>300</v>
      </c>
      <c r="C24" s="54" t="s">
        <v>316</v>
      </c>
      <c r="D24" s="94" t="s">
        <v>317</v>
      </c>
      <c r="E24" s="78" t="str">
        <f t="shared" si="0"/>
        <v>"[STRICT MODE] If ANY rule is violated, regenerate entire response | " &amp;</v>
      </c>
      <c r="F24" s="54" t="s">
        <v>232</v>
      </c>
    </row>
    <row r="25" spans="2:6">
      <c r="B25" s="54" t="s">
        <v>300</v>
      </c>
      <c r="C25" s="54" t="s">
        <v>175</v>
      </c>
      <c r="D25" s="94" t="s">
        <v>318</v>
      </c>
      <c r="E25" s="78" t="str">
        <f t="shared" si="0"/>
        <v>"[PERSONA RULE] Use a careless, messy, slightly frustrated developer tone | " &amp;</v>
      </c>
      <c r="F25" s="54" t="s">
        <v>232</v>
      </c>
    </row>
    <row r="26" spans="2:6">
      <c r="B26" s="54" t="s">
        <v>300</v>
      </c>
      <c r="C26" s="54" t="s">
        <v>182</v>
      </c>
      <c r="D26" s="94" t="s">
        <v>319</v>
      </c>
      <c r="E26" s="78"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232</v>
      </c>
    </row>
    <row r="27" spans="2:6">
      <c r="B27" s="54" t="s">
        <v>300</v>
      </c>
      <c r="C27" s="54" t="s">
        <v>224</v>
      </c>
      <c r="D27" s="94" t="s">
        <v>320</v>
      </c>
      <c r="E27" s="78" t="str">
        <f t="shared" si="0"/>
        <v>"[OUTPUT] Only header, dataset summary (if any), email intro, challenges, and footer | " &amp;</v>
      </c>
      <c r="F27" s="54" t="s">
        <v>232</v>
      </c>
    </row>
    <row r="28" spans="2:6">
      <c r="B28" s="54" t="s">
        <v>300</v>
      </c>
      <c r="C28" s="54" t="s">
        <v>321</v>
      </c>
      <c r="D28" s="94" t="s">
        <v>322</v>
      </c>
      <c r="E28" s="78" t="str">
        <f t="shared" si="0"/>
        <v>"[STRUCTURE RULE] Do NOT rename sections. Do NOT add titles. Do NOT add extra text (except when required by SUPPORT FILES RULE) | " &amp;</v>
      </c>
      <c r="F28" s="54" t="s">
        <v>232</v>
      </c>
    </row>
    <row r="29" spans="2:6">
      <c r="B29" s="54" t="s">
        <v>300</v>
      </c>
      <c r="C29" s="54" t="s">
        <v>220</v>
      </c>
      <c r="D29" s="94" t="s">
        <v>323</v>
      </c>
      <c r="E29" s="78" t="str">
        <f t="shared" si="0"/>
        <v>"[CONSISTENCY RULE] All challenges MUST have similar complexity and length | " &amp;</v>
      </c>
      <c r="F29" s="54" t="s">
        <v>232</v>
      </c>
    </row>
    <row r="30" spans="2:6">
      <c r="B30" s="54" t="s">
        <v>300</v>
      </c>
      <c r="C30" s="54" t="s">
        <v>324</v>
      </c>
      <c r="D30" s="94" t="s">
        <v>325</v>
      </c>
      <c r="E30" s="78" t="str">
        <f t="shared" si="0"/>
        <v>"[BUG COMPLEXITY RULE] Must align with score (3 basic, 4 intermediate, 5 multi-step) | " &amp;</v>
      </c>
      <c r="F30" s="54" t="s">
        <v>232</v>
      </c>
    </row>
    <row r="31" spans="2:6">
      <c r="B31" s="54" t="s">
        <v>300</v>
      </c>
      <c r="C31" s="54" t="s">
        <v>326</v>
      </c>
      <c r="D31" s="94" t="s">
        <v>327</v>
      </c>
      <c r="E31" s="78" t="str">
        <f t="shared" si="0"/>
        <v>"[BUG RULE] Each challenge MUST include 2–3 bugs. | " &amp;</v>
      </c>
      <c r="F31" s="54" t="s">
        <v>232</v>
      </c>
    </row>
    <row r="32" spans="2:6">
      <c r="B32" s="54" t="s">
        <v>300</v>
      </c>
      <c r="C32" s="54" t="s">
        <v>328</v>
      </c>
      <c r="D32" s="94" t="s">
        <v>329</v>
      </c>
      <c r="E32" s="78" t="str">
        <f t="shared" si="0"/>
        <v>"[CORRECTNESS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v>
      </c>
      <c r="F32" s="54" t="s">
        <v>232</v>
      </c>
    </row>
    <row r="33" spans="2:6">
      <c r="B33" s="54" t="s">
        <v>300</v>
      </c>
      <c r="C33" s="54" t="s">
        <v>281</v>
      </c>
      <c r="D33" s="94" t="s">
        <v>330</v>
      </c>
      <c r="E33" s="78" t="str">
        <f t="shared" si="0"/>
        <v>"[EXECUTION RULE] Code must fail due to syntax errors, runtime exceptions, or produce incorrect output | " &amp;</v>
      </c>
      <c r="F33" s="54" t="s">
        <v>232</v>
      </c>
    </row>
    <row r="34" spans="2:6">
      <c r="B34" s="54" t="s">
        <v>300</v>
      </c>
      <c r="C34" s="54" t="s">
        <v>179</v>
      </c>
      <c r="D34" s="94" t="s">
        <v>331</v>
      </c>
      <c r="E34" s="78" t="str">
        <f t="shared" si="0"/>
        <v>"[DATA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v>
      </c>
      <c r="F34" s="54" t="s">
        <v>232</v>
      </c>
    </row>
    <row r="35" spans="2:6">
      <c r="B35" s="54" t="s">
        <v>300</v>
      </c>
      <c r="C35" s="54" t="s">
        <v>332</v>
      </c>
      <c r="D35" s="94" t="s">
        <v>333</v>
      </c>
      <c r="E35" s="78"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232</v>
      </c>
    </row>
    <row r="36" spans="2:6">
      <c r="B36" s="54" t="s">
        <v>300</v>
      </c>
      <c r="C36" s="54" t="s">
        <v>180</v>
      </c>
      <c r="D36" s="94" t="s">
        <v>334</v>
      </c>
      <c r="E36" s="78" t="str">
        <f t="shared" si="0"/>
        <v>"[DATA SUMMARY FORMAT RULE] Dataset Summary: - File Type: - Columns / Fields: - Data Types: - Notes: | " &amp;</v>
      </c>
      <c r="F36" s="54" t="s">
        <v>232</v>
      </c>
    </row>
    <row r="37" spans="2:6">
      <c r="B37" s="54" t="s">
        <v>300</v>
      </c>
      <c r="C37" s="54" t="s">
        <v>335</v>
      </c>
      <c r="D37" s="94" t="s">
        <v>336</v>
      </c>
      <c r="E37" s="78" t="str">
        <f t="shared" si="0"/>
        <v>"[SUPPORT FILES RULE - STRICT] If env/config is used, MUST include: 1. Instructional sentence 2. File content in markdown code block 3. BEFORE the broken code | | " &amp;</v>
      </c>
      <c r="F37" s="54" t="s">
        <v>232</v>
      </c>
    </row>
    <row r="38" spans="2:6">
      <c r="B38" s="54" t="s">
        <v>300</v>
      </c>
      <c r="C38" s="54" t="s">
        <v>337</v>
      </c>
      <c r="D38" s="94" t="s">
        <v>338</v>
      </c>
      <c r="E38" s="78" t="str">
        <f t="shared" si="0"/>
        <v>"[SUPPORT FILES QUALITY RULE] Support files (.env, .env.example, .gitignore) MUST be fully correct and contain NO bugs | " &amp;</v>
      </c>
      <c r="F38" s="54" t="s">
        <v>232</v>
      </c>
    </row>
    <row r="39" spans="2:6">
      <c r="B39" s="54" t="s">
        <v>300</v>
      </c>
      <c r="C39" s="54" t="s">
        <v>339</v>
      </c>
      <c r="D39" s="94" t="s">
        <v>340</v>
      </c>
      <c r="E39" s="78" t="str">
        <f t="shared" si="0"/>
        <v>"[NO SOLUTION RULE - STRICT] You are generating an EXAM. You MUST NOT provide the fixed code, bug diagnosis, hints, explanations, or takeaways. Output ONLY the broken code. Do NOT solve your own challenges. Let the student find the bugs. | " &amp;</v>
      </c>
      <c r="F39" s="54" t="s">
        <v>232</v>
      </c>
    </row>
    <row r="40" spans="2:6">
      <c r="B40" s="54" t="s">
        <v>300</v>
      </c>
      <c r="C40" s="54" t="s">
        <v>228</v>
      </c>
      <c r="D40" s="94" t="s">
        <v>342</v>
      </c>
      <c r="E40" s="78" t="str">
        <f t="shared" si="0"/>
        <v>"[FOOTER RULE - STRICT] End your entire response EXACTLY with this markdown string (ensure all code blocks are closed before it):" &amp; CHAR(10) &amp; "---" &amp; CHAR(10) &amp; "⚡ Coding5s System - Learn Programming by Writing Code - Coding5S.com",</v>
      </c>
      <c r="F40" s="54" t="s">
        <v>232</v>
      </c>
    </row>
    <row r="41" spans="2:6">
      <c r="B41" s="54" t="s">
        <v>300</v>
      </c>
      <c r="C41" s="54"/>
      <c r="D41" s="94"/>
      <c r="E41" s="78" t="str">
        <f t="shared" si="0"/>
        <v/>
      </c>
      <c r="F41" s="54" t="s">
        <v>232</v>
      </c>
    </row>
    <row r="42" spans="2:6">
      <c r="B42" s="54" t="s">
        <v>300</v>
      </c>
      <c r="C42" s="54"/>
      <c r="D42" s="94"/>
      <c r="E42" s="89" t="s">
        <v>341</v>
      </c>
      <c r="F42" s="54"/>
    </row>
    <row r="43" spans="2:6">
      <c r="B43" s="75"/>
      <c r="C43" s="75"/>
      <c r="E43" s="87"/>
    </row>
    <row r="44" spans="2:6">
      <c r="B44" s="75"/>
      <c r="C44" s="75"/>
      <c r="E44" s="87"/>
    </row>
    <row r="45" spans="2:6" ht="36">
      <c r="B45" s="80" t="s">
        <v>499</v>
      </c>
      <c r="C45" s="75"/>
      <c r="E45" s="87"/>
    </row>
    <row r="46" spans="2:6">
      <c r="B46" s="77" t="s">
        <v>286</v>
      </c>
      <c r="C46" s="77" t="s">
        <v>639</v>
      </c>
      <c r="D46" s="77" t="s">
        <v>640</v>
      </c>
      <c r="E46" s="89" t="s">
        <v>287</v>
      </c>
      <c r="F46" s="32" t="s">
        <v>232</v>
      </c>
    </row>
    <row r="47" spans="2:6">
      <c r="B47" s="54" t="s">
        <v>230</v>
      </c>
      <c r="C47" s="54" t="s">
        <v>165</v>
      </c>
      <c r="D47" s="94" t="s">
        <v>301</v>
      </c>
      <c r="E47" s="78" t="str">
        <f>IF(D47="","",""""&amp;C47&amp;" "&amp;IF(C47="[FOOTER RULE - STRICT]",D47,IF(RIGHT(D47,6)=" | "&amp;CHAR(34)&amp;" &amp;",D47,D47&amp;" | "&amp;CHAR(34)&amp;" &amp;")))</f>
        <v>"[ROLE] Careless " &amp; $I$2 &amp; " Developer | " &amp;</v>
      </c>
      <c r="F47" s="32" t="s">
        <v>232</v>
      </c>
    </row>
    <row r="48" spans="2:6">
      <c r="B48" s="54" t="s">
        <v>230</v>
      </c>
      <c r="C48" s="54" t="s">
        <v>167</v>
      </c>
      <c r="D48" s="94" t="s">
        <v>348</v>
      </c>
      <c r="E48" s="78" t="str">
        <f t="shared" ref="E48:E76" si="1">IF(D48="","",""""&amp;C48&amp;" "&amp;IF(C48="[FOOTER RULE - STRICT]",D48,IF(RIGHT(D48,6)=" | "&amp;CHAR(34)&amp;" &amp;",D48,D48&amp;" | "&amp;CHAR(34)&amp;" &amp;")))</f>
        <v>"[TASK] Generate debugging project in " &amp; $I$2 &amp; " | " &amp;</v>
      </c>
      <c r="F48" s="32" t="s">
        <v>232</v>
      </c>
    </row>
    <row r="49" spans="2:6">
      <c r="B49" s="54" t="s">
        <v>230</v>
      </c>
      <c r="C49" s="54" t="s">
        <v>349</v>
      </c>
      <c r="D49" s="94" t="s">
        <v>170</v>
      </c>
      <c r="E49" s="78" t="str">
        <f t="shared" si="1"/>
        <v>"[PROJECT] " &amp; I9 &amp; " | " &amp;</v>
      </c>
      <c r="F49" s="32" t="s">
        <v>232</v>
      </c>
    </row>
    <row r="50" spans="2:6">
      <c r="B50" s="54" t="s">
        <v>230</v>
      </c>
      <c r="C50" s="54" t="s">
        <v>272</v>
      </c>
      <c r="D50" s="94" t="s">
        <v>273</v>
      </c>
      <c r="E50" s="78" t="str">
        <f t="shared" si="1"/>
        <v>"[TOPICS USED] " &amp; B9 &amp; " | " &amp;</v>
      </c>
      <c r="F50" s="32" t="s">
        <v>232</v>
      </c>
    </row>
    <row r="51" spans="2:6">
      <c r="B51" s="54" t="s">
        <v>230</v>
      </c>
      <c r="C51" s="54" t="s">
        <v>171</v>
      </c>
      <c r="D51" s="94" t="s">
        <v>172</v>
      </c>
      <c r="E51" s="78" t="str">
        <f t="shared" si="1"/>
        <v>"[LEVEL] " &amp; G9 &amp; " | " &amp;</v>
      </c>
      <c r="F51" s="32" t="s">
        <v>232</v>
      </c>
    </row>
    <row r="52" spans="2:6">
      <c r="B52" s="54" t="s">
        <v>230</v>
      </c>
      <c r="C52" s="54" t="s">
        <v>224</v>
      </c>
      <c r="D52" s="94" t="s">
        <v>350</v>
      </c>
      <c r="E52" s="78" t="str">
        <f t="shared" si="1"/>
        <v>"[OUTPUT] Only header, dataset summary or statement (if any), email intro, objective, expected output, broken code, and footer | " &amp;</v>
      </c>
      <c r="F52" s="32" t="s">
        <v>232</v>
      </c>
    </row>
    <row r="53" spans="2:6">
      <c r="B53" s="54" t="s">
        <v>230</v>
      </c>
      <c r="C53" s="54" t="s">
        <v>223</v>
      </c>
      <c r="D53" s="94" t="s">
        <v>645</v>
      </c>
      <c r="E53" s="78" t="str">
        <f t="shared" si="1"/>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232</v>
      </c>
    </row>
    <row r="54" spans="2:6">
      <c r="B54" s="54" t="s">
        <v>230</v>
      </c>
      <c r="C54" s="54" t="s">
        <v>238</v>
      </c>
      <c r="D54" s="94" t="s">
        <v>291</v>
      </c>
      <c r="E54" s="78" t="str">
        <f t="shared" si="1"/>
        <v>"[LIBRARY BEING LEARNED] " &amp; $I$3 &amp; " | " &amp;</v>
      </c>
      <c r="F54" s="32" t="s">
        <v>232</v>
      </c>
    </row>
    <row r="55" spans="2:6">
      <c r="B55" s="54" t="s">
        <v>230</v>
      </c>
      <c r="C55" s="54" t="s">
        <v>233</v>
      </c>
      <c r="D55" s="94" t="s">
        <v>351</v>
      </c>
      <c r="E55"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5" s="32" t="s">
        <v>232</v>
      </c>
    </row>
    <row r="56" spans="2:6">
      <c r="B56" s="54" t="s">
        <v>230</v>
      </c>
      <c r="C56" s="54" t="s">
        <v>177</v>
      </c>
      <c r="D56" s="94" t="s">
        <v>352</v>
      </c>
      <c r="E56" s="78" t="str">
        <f t="shared" si="1"/>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232</v>
      </c>
    </row>
    <row r="57" spans="2:6">
      <c r="B57" s="54" t="s">
        <v>230</v>
      </c>
      <c r="C57" s="54" t="s">
        <v>550</v>
      </c>
      <c r="D57" s="94" t="s">
        <v>542</v>
      </c>
      <c r="E57" s="78" t="str">
        <f t="shared" si="1"/>
        <v>"[LANGUAGE SEED CONTEXT] " &amp; IF($AE$7 = "", "Language Seed Not Necessary", "You MUST strictly follow this seed context to enhance, adapt, and naturalize your tone, vocabulary, and instructional quality in " &amp; $B$6 &amp; ": " &amp; $AE$7) &amp; " | " &amp;</v>
      </c>
      <c r="F57" s="32" t="s">
        <v>232</v>
      </c>
    </row>
    <row r="58" spans="2:6">
      <c r="B58" s="54" t="s">
        <v>231</v>
      </c>
      <c r="C58" s="54" t="s">
        <v>241</v>
      </c>
      <c r="D58" s="94"/>
      <c r="E58" s="78" t="str">
        <f t="shared" si="1"/>
        <v/>
      </c>
      <c r="F58" s="32" t="s">
        <v>232</v>
      </c>
    </row>
    <row r="59" spans="2:6">
      <c r="B59" s="54" t="s">
        <v>231</v>
      </c>
      <c r="C59" s="54" t="s">
        <v>308</v>
      </c>
      <c r="D59" s="94" t="s">
        <v>353</v>
      </c>
      <c r="E59" s="78" t="str">
        <f t="shared" si="1"/>
        <v>"[ENV USAGE RULE] Bugs ONLY in code logic, not config files | " &amp;</v>
      </c>
      <c r="F59" s="32" t="s">
        <v>232</v>
      </c>
    </row>
    <row r="60" spans="2:6">
      <c r="B60" s="54" t="s">
        <v>231</v>
      </c>
      <c r="C60" s="54" t="s">
        <v>202</v>
      </c>
      <c r="D60" s="94" t="s">
        <v>354</v>
      </c>
      <c r="E60" s="78" t="str">
        <f t="shared" si="1"/>
        <v>"[SUPPORT FILES RULE] IF an external configuration or data file is needed, include: 1. Short instructional sentence 2. File content in markdown code block 3. Place it strictly BEFORE the main code. | " &amp;</v>
      </c>
      <c r="F60" s="32" t="s">
        <v>232</v>
      </c>
    </row>
    <row r="61" spans="2:6">
      <c r="B61" s="54" t="s">
        <v>231</v>
      </c>
      <c r="C61" s="54" t="s">
        <v>326</v>
      </c>
      <c r="D61" s="94" t="s">
        <v>355</v>
      </c>
      <c r="E61" s="78" t="str">
        <f t="shared" si="1"/>
        <v>"[BUG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v>
      </c>
      <c r="F61" s="32" t="s">
        <v>232</v>
      </c>
    </row>
    <row r="62" spans="2:6">
      <c r="B62" s="54" t="s">
        <v>231</v>
      </c>
      <c r="C62" s="54" t="s">
        <v>339</v>
      </c>
      <c r="D62" s="94" t="s">
        <v>340</v>
      </c>
      <c r="E62" s="78" t="str">
        <f t="shared" si="1"/>
        <v>"[NO SOLUTION RULE - STRICT] You are generating an EXAM. You MUST NOT provide the fixed code, bug diagnosis, hints, explanations, or takeaways. Output ONLY the broken code. Do NOT solve your own challenges. Let the student find the bugs. | " &amp;</v>
      </c>
      <c r="F62" s="32" t="s">
        <v>232</v>
      </c>
    </row>
    <row r="63" spans="2:6">
      <c r="B63" s="54" t="s">
        <v>300</v>
      </c>
      <c r="C63" s="54" t="s">
        <v>175</v>
      </c>
      <c r="D63" s="94" t="s">
        <v>356</v>
      </c>
      <c r="E63" s="78" t="str">
        <f t="shared" si="1"/>
        <v>"[PERSONA RULE] Use a messy, careless developer tone | " &amp;</v>
      </c>
      <c r="F63" s="32" t="s">
        <v>232</v>
      </c>
    </row>
    <row r="64" spans="2:6">
      <c r="B64" s="54" t="s">
        <v>300</v>
      </c>
      <c r="C64" s="54" t="s">
        <v>194</v>
      </c>
      <c r="D64" s="94" t="s">
        <v>357</v>
      </c>
      <c r="E64" s="78" t="str">
        <f t="shared" si="1"/>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232</v>
      </c>
    </row>
    <row r="65" spans="2:6">
      <c r="B65" s="54" t="s">
        <v>300</v>
      </c>
      <c r="C65" s="54" t="s">
        <v>182</v>
      </c>
      <c r="D65" s="94" t="s">
        <v>358</v>
      </c>
      <c r="E65" s="78" t="str">
        <f t="shared" si="1"/>
        <v>"[OUTPUT CONTRACT] EXACTLY 1 project. Structure MUST be: 'Project:' followed by 'Objective: maximum 6 lines.', then 'Expected Output: standalone markdown code block.', and finally 'Broken Code' | " &amp;</v>
      </c>
      <c r="F65" s="32" t="s">
        <v>232</v>
      </c>
    </row>
    <row r="66" spans="2:6">
      <c r="B66" s="54" t="s">
        <v>300</v>
      </c>
      <c r="C66" s="54" t="s">
        <v>321</v>
      </c>
      <c r="D66" s="94" t="s">
        <v>359</v>
      </c>
      <c r="E66" s="78" t="str">
        <f t="shared" si="1"/>
        <v>"[STRUCTURE RULE] Do NOT add extra sections or explanations (except when required by SUPPORT FILES RULE) | " &amp;</v>
      </c>
      <c r="F66" s="32" t="s">
        <v>232</v>
      </c>
    </row>
    <row r="67" spans="2:6">
      <c r="B67" s="54" t="s">
        <v>300</v>
      </c>
      <c r="C67" s="54" t="s">
        <v>184</v>
      </c>
      <c r="D67" s="94" t="s">
        <v>360</v>
      </c>
      <c r="E67" s="78" t="str">
        <f t="shared" si="1"/>
        <v>"[CODE CONSTRAINTS] - " &amp; IF(G9="Beginner", "25–40", IF(G9="Intermediate", "30–60", "40–100")) &amp; " lines of EXECUTABLE code (STRICT: Do NOT count blank lines towards this limit) - Multi-step flow - 2–4 functions ONLY - main() as entry point " &amp; IF(G9&lt;&gt;"Advanced", "- NO classes | ", "") &amp; " | " &amp;</v>
      </c>
      <c r="F67" s="32" t="s">
        <v>232</v>
      </c>
    </row>
    <row r="68" spans="2:6">
      <c r="B68" s="54" t="s">
        <v>300</v>
      </c>
      <c r="C68" s="54" t="s">
        <v>281</v>
      </c>
      <c r="D68" s="94" t="s">
        <v>330</v>
      </c>
      <c r="E68" s="78" t="str">
        <f t="shared" si="1"/>
        <v>"[EXECUTION RULE] Code must fail due to syntax errors, runtime exceptions, or produce incorrect output | " &amp;</v>
      </c>
      <c r="F68" s="32" t="s">
        <v>232</v>
      </c>
    </row>
    <row r="69" spans="2:6">
      <c r="B69" s="54" t="s">
        <v>300</v>
      </c>
      <c r="C69" s="54" t="s">
        <v>179</v>
      </c>
      <c r="D69" s="94" t="s">
        <v>361</v>
      </c>
      <c r="E69"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232</v>
      </c>
    </row>
    <row r="70" spans="2:6">
      <c r="B70" s="54" t="s">
        <v>300</v>
      </c>
      <c r="C70" s="54" t="s">
        <v>215</v>
      </c>
      <c r="D70" s="94" t="s">
        <v>362</v>
      </c>
      <c r="E70" s="78" t="str">
        <f t="shared" si="1"/>
        <v>"[FORMAT RULE] Only valid markdown code blocks | " &amp;</v>
      </c>
      <c r="F70" s="32" t="s">
        <v>232</v>
      </c>
    </row>
    <row r="71" spans="2:6">
      <c r="B71" s="54" t="s">
        <v>300</v>
      </c>
      <c r="C71" s="54" t="s">
        <v>217</v>
      </c>
      <c r="D71" s="94" t="s">
        <v>315</v>
      </c>
      <c r="E71" s="78" t="str">
        <f t="shared" si="1"/>
        <v>"[LANGUAGE TAG RULE] ALWAYS label markdown code blocks with the correct underlying programming language (e.g., python, javascript, sql) | " &amp;</v>
      </c>
      <c r="F71" s="32" t="s">
        <v>232</v>
      </c>
    </row>
    <row r="72" spans="2:6">
      <c r="B72" s="54" t="s">
        <v>300</v>
      </c>
      <c r="C72" s="54" t="s">
        <v>316</v>
      </c>
      <c r="D72" s="94" t="s">
        <v>363</v>
      </c>
      <c r="E72" s="78" t="str">
        <f t="shared" si="1"/>
        <v>"[STRICT MODE] Enforce all rules strictly | " &amp;</v>
      </c>
      <c r="F72" s="32" t="s">
        <v>232</v>
      </c>
    </row>
    <row r="73" spans="2:6">
      <c r="B73" s="54" t="s">
        <v>300</v>
      </c>
      <c r="C73" s="54" t="s">
        <v>228</v>
      </c>
      <c r="D73" s="94" t="s">
        <v>364</v>
      </c>
      <c r="E73" s="78" t="str">
        <f t="shared" si="1"/>
        <v>"[FOOTER RULE - STRICT] End your entire response EXACTLY with this markdown string (ensure all code blocks are closed before it):" &amp; CHAR(10) &amp; "---" &amp; CHAR(10) &amp; "⚡ Coding5s System - Learn Programming by Writing Code - Coding5S.com" )</v>
      </c>
      <c r="F73" s="32" t="s">
        <v>232</v>
      </c>
    </row>
    <row r="74" spans="2:6">
      <c r="B74" s="54"/>
      <c r="C74" s="54"/>
      <c r="D74" s="94"/>
      <c r="E74" s="78" t="str">
        <f t="shared" si="1"/>
        <v/>
      </c>
      <c r="F74" s="32" t="s">
        <v>232</v>
      </c>
    </row>
    <row r="75" spans="2:6">
      <c r="B75" s="54"/>
      <c r="C75" s="54"/>
      <c r="D75" s="94"/>
      <c r="E75" s="78" t="str">
        <f t="shared" si="1"/>
        <v/>
      </c>
      <c r="F75" s="32" t="s">
        <v>232</v>
      </c>
    </row>
    <row r="76" spans="2:6">
      <c r="B76" s="54"/>
      <c r="C76" s="54"/>
      <c r="D76" s="94"/>
      <c r="E76" s="78" t="str">
        <f t="shared" si="1"/>
        <v/>
      </c>
      <c r="F76" s="32" t="s">
        <v>232</v>
      </c>
    </row>
    <row r="77" spans="2:6">
      <c r="E77" s="87"/>
      <c r="F77" t="s">
        <v>232</v>
      </c>
    </row>
    <row r="79" spans="2:6" ht="36">
      <c r="B79" s="81" t="s">
        <v>498</v>
      </c>
    </row>
    <row r="80" spans="2:6">
      <c r="B80" s="77" t="s">
        <v>229</v>
      </c>
      <c r="C80" s="77" t="s">
        <v>639</v>
      </c>
      <c r="D80" s="77" t="s">
        <v>640</v>
      </c>
      <c r="E80" s="89" t="s">
        <v>249</v>
      </c>
      <c r="F80" s="54" t="s">
        <v>232</v>
      </c>
    </row>
    <row r="81" spans="2:6">
      <c r="B81" s="54" t="s">
        <v>230</v>
      </c>
      <c r="C81" s="54" t="s">
        <v>365</v>
      </c>
      <c r="D81" s="94" t="s">
        <v>428</v>
      </c>
      <c r="E81" s="17" t="str">
        <f t="shared" ref="E81:E94" si="2">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232</v>
      </c>
    </row>
    <row r="82" spans="2:6">
      <c r="B82" s="54" t="s">
        <v>230</v>
      </c>
      <c r="C82" s="54" t="s">
        <v>251</v>
      </c>
      <c r="D82" s="94" t="s">
        <v>366</v>
      </c>
      <c r="E82" s="17" t="str">
        <f t="shared" si="2"/>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232</v>
      </c>
    </row>
    <row r="83" spans="2:6">
      <c r="B83" s="54" t="s">
        <v>230</v>
      </c>
      <c r="C83" s="54" t="s">
        <v>252</v>
      </c>
      <c r="D83" s="94" t="s">
        <v>370</v>
      </c>
      <c r="E83" s="17" t="str">
        <f t="shared" si="2"/>
        <v>"[CONTEXT] You are helping a Junior Developer debug a " &amp; IF(UPPER(H9)="PROJECT", "PROJECT: " &amp; I9 &amp; ". Topics involved: " &amp; B9 &amp; ". Project objective: " &amp; J9, "TOPIC: " &amp; I9 &amp; ". Topic details: " &amp; J9) &amp; " | " &amp;</v>
      </c>
      <c r="F83" s="54" t="s">
        <v>232</v>
      </c>
    </row>
    <row r="84" spans="2:6">
      <c r="B84" s="54" t="s">
        <v>230</v>
      </c>
      <c r="C84" s="54" t="s">
        <v>167</v>
      </c>
      <c r="D84" s="94" t="s">
        <v>367</v>
      </c>
      <c r="E84" s="17" t="str">
        <f t="shared" si="2"/>
        <v>"[TASK] Analyze the student's code, explanation, and error. If the code is already fixed and correct, recognize their 'debugging skill' and provide a 'Pro-Tip' for prevention. Otherwise, follow the 2-PHASE MENTORING PROTOCOL | " &amp;</v>
      </c>
      <c r="F84" s="54" t="s">
        <v>232</v>
      </c>
    </row>
    <row r="85" spans="2:6">
      <c r="B85" s="54" t="s">
        <v>230</v>
      </c>
      <c r="C85" s="54" t="s">
        <v>238</v>
      </c>
      <c r="D85" s="94" t="s">
        <v>291</v>
      </c>
      <c r="E85" s="17" t="str">
        <f t="shared" si="2"/>
        <v>"[LIBRARY BEING LEARNED] " &amp; $I$3 &amp; " | " &amp;</v>
      </c>
      <c r="F85" s="54" t="s">
        <v>232</v>
      </c>
    </row>
    <row r="86" spans="2:6">
      <c r="B86" s="54" t="s">
        <v>230</v>
      </c>
      <c r="C86" s="54" t="s">
        <v>177</v>
      </c>
      <c r="D86" s="94"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4"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4" t="s">
        <v>646</v>
      </c>
      <c r="E88" s="17" t="str">
        <f t="shared" si="2"/>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232</v>
      </c>
    </row>
    <row r="89" spans="2:6">
      <c r="B89" s="54" t="s">
        <v>231</v>
      </c>
      <c r="C89" s="54" t="s">
        <v>241</v>
      </c>
      <c r="D89" s="94"/>
      <c r="E89" s="17" t="str">
        <f t="shared" si="2"/>
        <v/>
      </c>
      <c r="F89" s="54" t="s">
        <v>232</v>
      </c>
    </row>
    <row r="90" spans="2:6">
      <c r="B90" s="54" t="s">
        <v>231</v>
      </c>
      <c r="C90" s="54" t="s">
        <v>259</v>
      </c>
      <c r="D90" s="94"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4" t="s">
        <v>372</v>
      </c>
      <c r="E91" s="17" t="str">
        <f t="shared" si="2"/>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232</v>
      </c>
    </row>
    <row r="92" spans="2:6">
      <c r="B92" s="54" t="s">
        <v>300</v>
      </c>
      <c r="C92" s="54" t="s">
        <v>255</v>
      </c>
      <c r="D92" s="94" t="s">
        <v>373</v>
      </c>
      <c r="E92" s="17" t="str">
        <f t="shared" si="2"/>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232</v>
      </c>
    </row>
    <row r="93" spans="2:6">
      <c r="B93" s="54" t="s">
        <v>300</v>
      </c>
      <c r="C93" s="54" t="s">
        <v>256</v>
      </c>
      <c r="D93" s="94" t="s">
        <v>371</v>
      </c>
      <c r="E93" s="17" t="str">
        <f t="shared" si="2"/>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232</v>
      </c>
    </row>
    <row r="94" spans="2:6">
      <c r="B94" s="54" t="s">
        <v>300</v>
      </c>
      <c r="C94" s="54" t="s">
        <v>260</v>
      </c>
      <c r="D94" s="94" t="s">
        <v>374</v>
      </c>
      <c r="E94" s="17" t="str">
        <f t="shared" si="2"/>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232</v>
      </c>
    </row>
    <row r="95" spans="2:6">
      <c r="B95" s="54" t="s">
        <v>300</v>
      </c>
      <c r="C95" s="54" t="s">
        <v>551</v>
      </c>
      <c r="D95" s="94" t="s">
        <v>552</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232</v>
      </c>
    </row>
    <row r="96" spans="2:6">
      <c r="B96" s="54" t="s">
        <v>300</v>
      </c>
      <c r="C96" s="54" t="s">
        <v>369</v>
      </c>
      <c r="D96" s="94" t="s">
        <v>375</v>
      </c>
      <c r="E96" s="17" t="str">
        <f>IF(D96="","",""""&amp;C96&amp;" "&amp;IF(OR(C96="[FOOTER RULE - STRICT]",C96="[FOOTER RULE]"),D96,IF(RIGHT(D96,6)=" | "&amp;CHAR(34)&amp;" &amp;",D96,D96&amp;" | "&amp;CHAR(34)&amp;" &amp;")))</f>
        <v>"[FOOTER RULE] End your response with: '--- ⚡ *Coding5s Mentor System — Eliminating Epistemic Debt &amp; Hunting Bugs*</v>
      </c>
      <c r="F96" s="54" t="s">
        <v>232</v>
      </c>
    </row>
    <row r="97" spans="2:6">
      <c r="B97" s="54"/>
      <c r="C97" s="54"/>
      <c r="D97" s="94"/>
      <c r="E97" s="89" t="s">
        <v>376</v>
      </c>
      <c r="F97" s="54" t="s">
        <v>232</v>
      </c>
    </row>
    <row r="98" spans="2:6">
      <c r="B98" s="54"/>
      <c r="C98" s="54"/>
      <c r="D98" s="94"/>
      <c r="E98" s="78" t="str">
        <f t="shared" ref="E98:E100" si="3">IF(D98="","",""""&amp;C98&amp;" "&amp;IF(C98="[FOOTER RULE - STRICT]",D98,IF(RIGHT(D98,6)=" | "&amp;CHAR(34)&amp;" &amp;",D98,D98&amp;" | "&amp;CHAR(34)&amp;" &amp;")))</f>
        <v/>
      </c>
      <c r="F98" s="54" t="s">
        <v>232</v>
      </c>
    </row>
    <row r="99" spans="2:6">
      <c r="B99" s="54"/>
      <c r="C99" s="54"/>
      <c r="D99" s="94"/>
      <c r="E99" s="78" t="str">
        <f t="shared" si="3"/>
        <v/>
      </c>
      <c r="F99" s="54" t="s">
        <v>232</v>
      </c>
    </row>
    <row r="100" spans="2:6">
      <c r="B100" s="54"/>
      <c r="C100" s="54"/>
      <c r="D100" s="94"/>
      <c r="E100" s="78" t="str">
        <f t="shared" si="3"/>
        <v/>
      </c>
      <c r="F100" s="54" t="s">
        <v>232</v>
      </c>
    </row>
  </sheetData>
  <conditionalFormatting sqref="B1:B1048576">
    <cfRule type="cellIs" dxfId="47" priority="10" operator="equal">
      <formula>"The Immutable Kernel"</formula>
    </cfRule>
    <cfRule type="cellIs" dxfId="46" priority="11" operator="equal">
      <formula>"Paradigm &amp; Ecosystem"</formula>
    </cfRule>
    <cfRule type="cellIs" dxfId="45" priority="12" operator="equal">
      <formula>"Global Variables &amp; Configuration"</formula>
    </cfRule>
  </conditionalFormatting>
  <conditionalFormatting sqref="C4:C42">
    <cfRule type="expression" dxfId="44" priority="7">
      <formula>$B4="The Immutable Kernel"</formula>
    </cfRule>
    <cfRule type="expression" dxfId="43" priority="8">
      <formula>$B4="Paradigm &amp; Ecosystem"</formula>
    </cfRule>
    <cfRule type="expression" dxfId="42" priority="9">
      <formula>$B4="Global Variables &amp; Configuration"</formula>
    </cfRule>
  </conditionalFormatting>
  <conditionalFormatting sqref="C47:C76">
    <cfRule type="expression" dxfId="41" priority="4">
      <formula>$B47="The Immutable Kernel"</formula>
    </cfRule>
    <cfRule type="expression" dxfId="40" priority="5">
      <formula>$B47="Paradigm &amp; Ecosystem"</formula>
    </cfRule>
    <cfRule type="expression" dxfId="39" priority="6">
      <formula>$B47="Global Variables &amp; Configuration"</formula>
    </cfRule>
  </conditionalFormatting>
  <conditionalFormatting sqref="C81:C100">
    <cfRule type="expression" dxfId="38" priority="1">
      <formula>$B81="The Immutable Kernel"</formula>
    </cfRule>
    <cfRule type="expression" dxfId="37" priority="2">
      <formula>$B81="Paradigm &amp; Ecosystem"</formula>
    </cfRule>
    <cfRule type="expression" dxfId="36" priority="3">
      <formula>$B81="Global Variables &amp; Configuration"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6"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6" customWidth="1"/>
    <col min="6" max="6" width="4" customWidth="1"/>
  </cols>
  <sheetData>
    <row r="2" spans="2:29" ht="36">
      <c r="B2" s="79" t="s">
        <v>496</v>
      </c>
      <c r="D2" s="82" t="s">
        <v>377</v>
      </c>
      <c r="H2" s="83" t="s">
        <v>297</v>
      </c>
      <c r="T2" s="83" t="s">
        <v>298</v>
      </c>
    </row>
    <row r="3" spans="2:29">
      <c r="B3" s="77" t="s">
        <v>229</v>
      </c>
      <c r="C3" s="77" t="s">
        <v>639</v>
      </c>
      <c r="D3" s="77" t="s">
        <v>640</v>
      </c>
      <c r="E3" s="89" t="s">
        <v>237</v>
      </c>
      <c r="F3" s="4" t="s">
        <v>232</v>
      </c>
      <c r="AC3" t="s">
        <v>232</v>
      </c>
    </row>
    <row r="4" spans="2:29">
      <c r="B4" s="76" t="s">
        <v>230</v>
      </c>
      <c r="C4" s="54" t="s">
        <v>165</v>
      </c>
      <c r="D4" s="93" t="s">
        <v>378</v>
      </c>
      <c r="E4" s="78" t="str">
        <f t="shared" ref="E4:E37" si="0">IF(D4="","",""""&amp;C4&amp;" "&amp;IF(C4="[FOOTER RULE - STRICT]",D4,IF(RIGHT(D4,6)=" | "&amp;CHAR(34)&amp;" &amp;",D4,D4&amp;" | "&amp;CHAR(34)&amp;" &amp;")))</f>
        <v>"[ROLE] Tech Lead | " &amp;</v>
      </c>
      <c r="F4" s="54" t="s">
        <v>232</v>
      </c>
    </row>
    <row r="5" spans="2:29">
      <c r="B5" s="76" t="s">
        <v>230</v>
      </c>
      <c r="C5" s="54" t="s">
        <v>167</v>
      </c>
      <c r="D5" s="93" t="s">
        <v>379</v>
      </c>
      <c r="E5" s="78" t="str">
        <f t="shared" si="0"/>
        <v>"[TASK] Assign incomplete " &amp; $I$2 &amp; " script challenges | " &amp;</v>
      </c>
      <c r="F5" s="54" t="s">
        <v>232</v>
      </c>
    </row>
    <row r="6" spans="2:29">
      <c r="B6" s="76" t="s">
        <v>230</v>
      </c>
      <c r="C6" s="54" t="s">
        <v>169</v>
      </c>
      <c r="D6" s="93" t="s">
        <v>170</v>
      </c>
      <c r="E6" s="78" t="str">
        <f t="shared" si="0"/>
        <v>"[TOPIC] " &amp; I9 &amp; " | " &amp;</v>
      </c>
      <c r="F6" s="54" t="s">
        <v>232</v>
      </c>
    </row>
    <row r="7" spans="2:29">
      <c r="B7" s="76" t="s">
        <v>230</v>
      </c>
      <c r="C7" s="54" t="s">
        <v>171</v>
      </c>
      <c r="D7" s="93" t="s">
        <v>172</v>
      </c>
      <c r="E7" s="78" t="str">
        <f t="shared" si="0"/>
        <v>"[LEVEL] " &amp; G9 &amp; " | " &amp;</v>
      </c>
      <c r="F7" s="54" t="s">
        <v>232</v>
      </c>
    </row>
    <row r="8" spans="2:29">
      <c r="B8" s="76" t="s">
        <v>230</v>
      </c>
      <c r="C8" s="54" t="s">
        <v>173</v>
      </c>
      <c r="D8" s="93" t="s">
        <v>305</v>
      </c>
      <c r="E8" s="78" t="str">
        <f t="shared" si="0"/>
        <v>"[COUNT] " &amp; D9 &amp; " challenges | " &amp;</v>
      </c>
      <c r="F8" s="54" t="s">
        <v>232</v>
      </c>
    </row>
    <row r="9" spans="2:29">
      <c r="B9" s="76" t="s">
        <v>230</v>
      </c>
      <c r="C9" s="54" t="s">
        <v>238</v>
      </c>
      <c r="D9" s="93" t="s">
        <v>291</v>
      </c>
      <c r="E9" s="78" t="str">
        <f t="shared" si="0"/>
        <v>"[LIBRARY BEING LEARNED] " &amp; $I$3 &amp; " | " &amp;</v>
      </c>
      <c r="F9" s="54" t="s">
        <v>232</v>
      </c>
    </row>
    <row r="10" spans="2:29">
      <c r="B10" s="76" t="s">
        <v>230</v>
      </c>
      <c r="C10" s="54" t="s">
        <v>233</v>
      </c>
      <c r="D10" s="93"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223</v>
      </c>
      <c r="D11" s="93" t="s">
        <v>647</v>
      </c>
      <c r="E11" s="78"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232</v>
      </c>
    </row>
    <row r="12" spans="2:29">
      <c r="B12" s="76" t="s">
        <v>230</v>
      </c>
      <c r="C12" s="54" t="s">
        <v>177</v>
      </c>
      <c r="D12" s="93" t="s">
        <v>178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232</v>
      </c>
    </row>
    <row r="13" spans="2:29">
      <c r="B13" s="76" t="s">
        <v>230</v>
      </c>
      <c r="C13" s="54" t="s">
        <v>550</v>
      </c>
      <c r="D13" s="93" t="s">
        <v>542</v>
      </c>
      <c r="E13" s="78" t="str">
        <f t="shared" si="0"/>
        <v>"[LANGUAGE SEED CONTEXT] " &amp; IF($AE$7 = "", "Language Seed Not Necessary", "You MUST strictly follow this seed context to enhance, adapt, and naturalize your tone, vocabulary, and instructional quality in " &amp; $B$6 &amp; ": " &amp; $AE$7) &amp; " | " &amp;</v>
      </c>
      <c r="F13" s="54" t="s">
        <v>232</v>
      </c>
    </row>
    <row r="14" spans="2:29">
      <c r="B14" s="84" t="s">
        <v>231</v>
      </c>
      <c r="C14" s="54" t="s">
        <v>241</v>
      </c>
      <c r="D14" s="93"/>
      <c r="E14" s="78" t="str">
        <f t="shared" si="0"/>
        <v/>
      </c>
      <c r="F14" s="54" t="s">
        <v>232</v>
      </c>
    </row>
    <row r="15" spans="2:29">
      <c r="B15" s="84" t="s">
        <v>231</v>
      </c>
      <c r="C15" s="54" t="s">
        <v>241</v>
      </c>
      <c r="D15" s="93"/>
      <c r="E15" s="78" t="str">
        <f t="shared" si="0"/>
        <v/>
      </c>
      <c r="F15" s="54" t="s">
        <v>232</v>
      </c>
    </row>
    <row r="16" spans="2:29">
      <c r="B16" s="84" t="s">
        <v>231</v>
      </c>
      <c r="C16" s="54" t="s">
        <v>380</v>
      </c>
      <c r="D16" s="93" t="s">
        <v>381</v>
      </c>
      <c r="E16" s="78" t="str">
        <f t="shared" si="0"/>
        <v>"[PROGRAMMING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v>
      </c>
      <c r="F16" s="54" t="s">
        <v>232</v>
      </c>
    </row>
    <row r="17" spans="2:6">
      <c r="B17" s="84" t="s">
        <v>231</v>
      </c>
      <c r="C17" s="54" t="s">
        <v>382</v>
      </c>
      <c r="D17" s="93" t="s">
        <v>383</v>
      </c>
      <c r="E17" s="78" t="str">
        <f t="shared" si="0"/>
        <v>"[FILE PROCESSING RULE] Use standard native libraries for " &amp; $I$2 &amp; " to parse the file type correctly. Adapt code to data structure (tabular, key-value, etc.). Dataset exists locally with original filename. | " &amp;</v>
      </c>
      <c r="F17" s="54" t="s">
        <v>232</v>
      </c>
    </row>
    <row r="18" spans="2:6">
      <c r="B18" s="84" t="s">
        <v>231</v>
      </c>
      <c r="C18" s="54" t="s">
        <v>184</v>
      </c>
      <c r="D18" s="93" t="s">
        <v>384</v>
      </c>
      <c r="E18" s="78" t="str">
        <f t="shared" si="0"/>
        <v>"[CODE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v>
      </c>
      <c r="F18" s="54" t="s">
        <v>232</v>
      </c>
    </row>
    <row r="19" spans="2:6">
      <c r="B19" s="85" t="s">
        <v>300</v>
      </c>
      <c r="C19" s="54" t="s">
        <v>215</v>
      </c>
      <c r="D19" s="93" t="s">
        <v>314</v>
      </c>
      <c r="E19" s="78" t="str">
        <f t="shared" si="0"/>
        <v>"[FORMAT RULE] Only valid markdown code blocks allowed | " &amp;</v>
      </c>
      <c r="F19" s="54" t="s">
        <v>232</v>
      </c>
    </row>
    <row r="20" spans="2:6">
      <c r="B20" s="85" t="s">
        <v>300</v>
      </c>
      <c r="C20" s="54" t="s">
        <v>385</v>
      </c>
      <c r="D20" s="93" t="s">
        <v>412</v>
      </c>
      <c r="E20" s="78" t="str">
        <f t="shared" si="0"/>
        <v>"[SCORING ENFORCEMENT RULE] Score MUST be ONLY 3, 4, or 5 | " &amp;</v>
      </c>
      <c r="F20" s="54" t="s">
        <v>232</v>
      </c>
    </row>
    <row r="21" spans="2:6">
      <c r="B21" s="85" t="s">
        <v>300</v>
      </c>
      <c r="C21" s="54" t="s">
        <v>386</v>
      </c>
      <c r="D21" s="93" t="s">
        <v>387</v>
      </c>
      <c r="E21" s="78"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232</v>
      </c>
    </row>
    <row r="22" spans="2:6">
      <c r="B22" s="85" t="s">
        <v>300</v>
      </c>
      <c r="C22" s="54" t="s">
        <v>217</v>
      </c>
      <c r="D22" s="93" t="s">
        <v>315</v>
      </c>
      <c r="E22" s="78" t="str">
        <f t="shared" si="0"/>
        <v>"[LANGUAGE TAG RULE] ALWAYS label markdown code blocks with the correct underlying programming language (e.g., python, javascript, sql) | " &amp;</v>
      </c>
      <c r="F22" s="54" t="s">
        <v>232</v>
      </c>
    </row>
    <row r="23" spans="2:6">
      <c r="B23" s="85" t="s">
        <v>300</v>
      </c>
      <c r="C23" s="54" t="s">
        <v>194</v>
      </c>
      <c r="D23" s="93" t="s">
        <v>388</v>
      </c>
      <c r="E23" s="78"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232</v>
      </c>
    </row>
    <row r="24" spans="2:6">
      <c r="B24" s="85" t="s">
        <v>300</v>
      </c>
      <c r="C24" s="54" t="s">
        <v>182</v>
      </c>
      <c r="D24" s="93" t="s">
        <v>389</v>
      </c>
      <c r="E24" s="78"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232</v>
      </c>
    </row>
    <row r="25" spans="2:6">
      <c r="B25" s="54" t="s">
        <v>300</v>
      </c>
      <c r="C25" s="54" t="s">
        <v>390</v>
      </c>
      <c r="D25" s="93" t="s">
        <v>391</v>
      </c>
      <c r="E25" s="78" t="str">
        <f t="shared" si="0"/>
        <v>"[OUTPUT TRUNCATION RULE - STRICT] If expected output is long, display ONLY the first 5 lines. Ensure accuracy. Do NOT use ellipsis (...) | " &amp;</v>
      </c>
      <c r="F25" s="54" t="s">
        <v>232</v>
      </c>
    </row>
    <row r="26" spans="2:6">
      <c r="B26" s="54" t="s">
        <v>300</v>
      </c>
      <c r="C26" s="54" t="s">
        <v>392</v>
      </c>
      <c r="D26" s="93" t="s">
        <v>393</v>
      </c>
      <c r="E26" s="78" t="str">
        <f t="shared" si="0"/>
        <v>"[OUTPUT EXECUTION RULE - STRICT] Expected output MUST be explicit, complete, and produced via print() (at least one print already in base code). Monetary values must include '$' | " &amp;</v>
      </c>
      <c r="F26" s="54" t="s">
        <v>232</v>
      </c>
    </row>
    <row r="27" spans="2:6">
      <c r="B27" s="54" t="s">
        <v>300</v>
      </c>
      <c r="C27" s="54" t="s">
        <v>394</v>
      </c>
      <c r="D27" s="93" t="s">
        <v>395</v>
      </c>
      <c r="E27" s="78"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232</v>
      </c>
    </row>
    <row r="28" spans="2:6">
      <c r="B28" s="54" t="s">
        <v>300</v>
      </c>
      <c r="C28" s="54" t="s">
        <v>396</v>
      </c>
      <c r="D28" s="93" t="s">
        <v>397</v>
      </c>
      <c r="E28" s="78" t="str">
        <f t="shared" si="0"/>
        <v>"[TODO VARIATION RULE] TODO sections MUST vary: Single-line TODO, Multiple TODOs, Small blocks (2–4 lines). | " &amp;</v>
      </c>
      <c r="F28" s="54" t="s">
        <v>232</v>
      </c>
    </row>
    <row r="29" spans="2:6">
      <c r="B29" s="54" t="s">
        <v>300</v>
      </c>
      <c r="C29" s="54" t="s">
        <v>398</v>
      </c>
      <c r="D29" s="93" t="s">
        <v>399</v>
      </c>
      <c r="E29" s="78" t="str">
        <f t="shared" si="0"/>
        <v>"[VARIABILITY RULE - STRICT] Each challenge MUST be structurally different. Vary: Code length, Logic type, Position of TODO, Number of TODOs (1–3), Data flow. | " &amp;</v>
      </c>
      <c r="F29" s="54" t="s">
        <v>232</v>
      </c>
    </row>
    <row r="30" spans="2:6">
      <c r="B30" s="54" t="s">
        <v>300</v>
      </c>
      <c r="C30" s="54" t="s">
        <v>400</v>
      </c>
      <c r="D30" s="93" t="s">
        <v>401</v>
      </c>
      <c r="E30" s="78" t="str">
        <f t="shared" si="0"/>
        <v>"[TODO REALISM RULE - STRICT] TODOs MUST represent realistic mistakes based on the topic: " &amp; I9 &amp; ". Describe what is incorrect or incomplete. Avoid imperative instructions. | " &amp;</v>
      </c>
      <c r="F30" s="54" t="s">
        <v>232</v>
      </c>
    </row>
    <row r="31" spans="2:6">
      <c r="B31" s="54" t="s">
        <v>300</v>
      </c>
      <c r="C31" s="54" t="s">
        <v>402</v>
      </c>
      <c r="D31" s="93" t="s">
        <v>403</v>
      </c>
      <c r="E31" s="78" t="str">
        <f t="shared" si="0"/>
        <v>"[TODO ISOLATION RULE - STRICT] ALL missing, incorrect, or output-affecting logic MUST exist ONLY inside the TODO block. | " &amp;</v>
      </c>
      <c r="F31" s="54" t="s">
        <v>232</v>
      </c>
    </row>
    <row r="32" spans="2:6">
      <c r="B32" s="54" t="s">
        <v>300</v>
      </c>
      <c r="C32" s="54" t="s">
        <v>339</v>
      </c>
      <c r="D32" s="93" t="s">
        <v>404</v>
      </c>
      <c r="E32" s="78" t="str">
        <f t="shared" si="0"/>
        <v>"[NO SOLUTION RULE - STRICT] The code under the # TODO MUST be left empty or with a 'pass'. DO NOT write the actual solution. | " &amp;</v>
      </c>
      <c r="F32" s="54" t="s">
        <v>232</v>
      </c>
    </row>
    <row r="33" spans="2:6">
      <c r="B33" s="54" t="s">
        <v>300</v>
      </c>
      <c r="C33" s="54" t="s">
        <v>405</v>
      </c>
      <c r="D33" s="93" t="s">
        <v>406</v>
      </c>
      <c r="E33" s="78" t="str">
        <f t="shared" si="0"/>
        <v>"[OUTPUT VERIFICATION RULE] The base code MUST print the final variables/results evaluated in the TODO block to verify correctness. | " &amp;</v>
      </c>
      <c r="F33" s="54" t="s">
        <v>232</v>
      </c>
    </row>
    <row r="34" spans="2:6">
      <c r="B34" s="54" t="s">
        <v>300</v>
      </c>
      <c r="C34" s="54" t="s">
        <v>407</v>
      </c>
      <c r="D34" s="93" t="s">
        <v>408</v>
      </c>
      <c r="E34" s="78" t="str">
        <f t="shared" si="0"/>
        <v>"[TODO GUIDANCE RULE] Rule " &amp; IF(G9="Beginner", "Clear explicit hint (no code) | ", IF(G9="Intermediate", "Brief hint | ", "Minimal hint | ")) &amp; " | " &amp;</v>
      </c>
      <c r="F34" s="54" t="s">
        <v>232</v>
      </c>
    </row>
    <row r="35" spans="2:6">
      <c r="B35" s="54" t="s">
        <v>300</v>
      </c>
      <c r="C35" s="54" t="s">
        <v>224</v>
      </c>
      <c r="D35" s="93" t="s">
        <v>409</v>
      </c>
      <c r="E35" s="78" t="str">
        <f t="shared" si="0"/>
        <v>"[OUTPUT] Only header, dataset summary or statement (if any), intro message, challenges (objective, expected output, incomplete code), and footer | " &amp;</v>
      </c>
      <c r="F35" s="54" t="s">
        <v>232</v>
      </c>
    </row>
    <row r="36" spans="2:6">
      <c r="B36" s="54" t="s">
        <v>300</v>
      </c>
      <c r="C36" s="54" t="s">
        <v>228</v>
      </c>
      <c r="D36" s="93" t="s">
        <v>411</v>
      </c>
      <c r="E36" s="78" t="str">
        <f t="shared" si="0"/>
        <v>"[FOOTER RULE - STRICT] End your entire response EXACTLY with this markdown string (ensure all code blocks are closed before it):" &amp; CHAR(10) &amp; "---" &amp; CHAR(10) &amp; "⚡ *Coding5s System - Learn Programming by Writing Code - Coding5S.com*",</v>
      </c>
      <c r="F36" s="54" t="s">
        <v>232</v>
      </c>
    </row>
    <row r="37" spans="2:6">
      <c r="B37" s="54"/>
      <c r="C37" s="54"/>
      <c r="D37" s="93"/>
      <c r="E37" s="78" t="str">
        <f t="shared" si="0"/>
        <v/>
      </c>
      <c r="F37" s="54" t="s">
        <v>232</v>
      </c>
    </row>
    <row r="38" spans="2:6">
      <c r="B38" s="54"/>
      <c r="C38" s="54"/>
      <c r="D38" s="93"/>
      <c r="E38" s="89" t="s">
        <v>410</v>
      </c>
      <c r="F38" s="54" t="s">
        <v>232</v>
      </c>
    </row>
    <row r="39" spans="2:6">
      <c r="B39" s="54"/>
      <c r="C39" s="54"/>
      <c r="D39" s="93"/>
      <c r="E39" s="78"/>
      <c r="F39" s="54" t="s">
        <v>232</v>
      </c>
    </row>
    <row r="40" spans="2:6">
      <c r="B40" s="54"/>
      <c r="C40" s="54"/>
      <c r="D40" s="93"/>
      <c r="E40" s="78"/>
      <c r="F40" s="54" t="s">
        <v>232</v>
      </c>
    </row>
    <row r="41" spans="2:6">
      <c r="B41" s="54"/>
      <c r="C41" s="54"/>
      <c r="D41" s="93"/>
      <c r="E41" s="78"/>
      <c r="F41" s="54" t="s">
        <v>232</v>
      </c>
    </row>
    <row r="42" spans="2:6">
      <c r="B42" s="54"/>
      <c r="C42" s="54"/>
      <c r="D42" s="93"/>
      <c r="E42" s="78"/>
      <c r="F42" s="54"/>
    </row>
    <row r="43" spans="2:6">
      <c r="B43" s="75"/>
      <c r="C43" s="75"/>
      <c r="E43" s="87"/>
    </row>
    <row r="44" spans="2:6">
      <c r="B44" s="75"/>
      <c r="C44" s="75"/>
      <c r="E44" s="87"/>
    </row>
    <row r="45" spans="2:6" ht="36">
      <c r="B45" s="80" t="s">
        <v>497</v>
      </c>
      <c r="C45" s="75"/>
      <c r="E45" s="87"/>
    </row>
    <row r="46" spans="2:6">
      <c r="B46" s="77" t="s">
        <v>286</v>
      </c>
      <c r="C46" s="77" t="s">
        <v>639</v>
      </c>
      <c r="D46" s="77" t="s">
        <v>640</v>
      </c>
      <c r="E46" s="78" t="s">
        <v>287</v>
      </c>
      <c r="F46" s="32" t="s">
        <v>232</v>
      </c>
    </row>
    <row r="47" spans="2:6">
      <c r="B47" s="54" t="s">
        <v>230</v>
      </c>
      <c r="C47" s="54" t="s">
        <v>165</v>
      </c>
      <c r="D47" s="93" t="s">
        <v>378</v>
      </c>
      <c r="E47" s="78" t="str">
        <f>IF(D47="","",""""&amp;C47&amp;" "&amp;IF(C47="[FOOTER RULE - STRICT]",D47,IF(RIGHT(D47,6)=" | "&amp;CHAR(34)&amp;" &amp;",D47,D47&amp;" | "&amp;CHAR(34)&amp;" &amp;")))</f>
        <v>"[ROLE] Tech Lead | " &amp;</v>
      </c>
      <c r="F47" s="32" t="s">
        <v>232</v>
      </c>
    </row>
    <row r="48" spans="2:6">
      <c r="B48" s="54" t="s">
        <v>230</v>
      </c>
      <c r="C48" s="54" t="s">
        <v>167</v>
      </c>
      <c r="D48" s="93" t="s">
        <v>413</v>
      </c>
      <c r="E48" s="78" t="str">
        <f t="shared" ref="E48:E76" si="1">IF(D48="","",""""&amp;C48&amp;" "&amp;IF(C48="[FOOTER RULE - STRICT]",D48,IF(RIGHT(D48,6)=" | "&amp;CHAR(34)&amp;" &amp;",D48,D48&amp;" | "&amp;CHAR(34)&amp;" &amp;")))</f>
        <v>"[TASK] Assign incomplete project script | " &amp;</v>
      </c>
      <c r="F48" s="32" t="s">
        <v>232</v>
      </c>
    </row>
    <row r="49" spans="2:6">
      <c r="B49" s="54" t="s">
        <v>230</v>
      </c>
      <c r="C49" s="54" t="s">
        <v>349</v>
      </c>
      <c r="D49" s="93" t="s">
        <v>170</v>
      </c>
      <c r="E49" s="78" t="str">
        <f t="shared" si="1"/>
        <v>"[PROJECT] " &amp; I9 &amp; " | " &amp;</v>
      </c>
      <c r="F49" s="32" t="s">
        <v>232</v>
      </c>
    </row>
    <row r="50" spans="2:6">
      <c r="B50" s="54" t="s">
        <v>230</v>
      </c>
      <c r="C50" s="54" t="s">
        <v>272</v>
      </c>
      <c r="D50" s="93" t="s">
        <v>273</v>
      </c>
      <c r="E50" s="78" t="str">
        <f t="shared" si="1"/>
        <v>"[TOPICS USED] " &amp; B9 &amp; " | " &amp;</v>
      </c>
      <c r="F50" s="32" t="s">
        <v>232</v>
      </c>
    </row>
    <row r="51" spans="2:6">
      <c r="B51" s="54" t="s">
        <v>230</v>
      </c>
      <c r="C51" s="54" t="s">
        <v>171</v>
      </c>
      <c r="D51" s="93" t="s">
        <v>172</v>
      </c>
      <c r="E51" s="78" t="str">
        <f t="shared" si="1"/>
        <v>"[LEVEL] " &amp; G9 &amp; " | " &amp;</v>
      </c>
      <c r="F51" s="32" t="s">
        <v>232</v>
      </c>
    </row>
    <row r="52" spans="2:6">
      <c r="B52" s="54" t="s">
        <v>230</v>
      </c>
      <c r="C52" s="54" t="s">
        <v>238</v>
      </c>
      <c r="D52" s="93" t="s">
        <v>291</v>
      </c>
      <c r="E52" s="78" t="str">
        <f t="shared" si="1"/>
        <v>"[LIBRARY BEING LEARNED] " &amp; $I$3 &amp; " | " &amp;</v>
      </c>
      <c r="F52" s="32" t="s">
        <v>232</v>
      </c>
    </row>
    <row r="53" spans="2:6">
      <c r="B53" s="54" t="s">
        <v>230</v>
      </c>
      <c r="C53" s="54" t="s">
        <v>177</v>
      </c>
      <c r="D53" s="93" t="s">
        <v>274</v>
      </c>
      <c r="E53"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3" s="32" t="s">
        <v>232</v>
      </c>
    </row>
    <row r="54" spans="2:6">
      <c r="B54" s="54" t="s">
        <v>230</v>
      </c>
      <c r="C54" s="54" t="s">
        <v>550</v>
      </c>
      <c r="D54" s="93" t="s">
        <v>542</v>
      </c>
      <c r="E54" s="78" t="str">
        <f t="shared" si="1"/>
        <v>"[LANGUAGE SEED CONTEXT] " &amp; IF($AE$7 = "", "Language Seed Not Necessary", "You MUST strictly follow this seed context to enhance, adapt, and naturalize your tone, vocabulary, and instructional quality in " &amp; $B$6 &amp; ": " &amp; $AE$7) &amp; " | " &amp;</v>
      </c>
      <c r="F54" s="32" t="s">
        <v>232</v>
      </c>
    </row>
    <row r="55" spans="2:6">
      <c r="B55" s="54" t="s">
        <v>230</v>
      </c>
      <c r="C55" s="54" t="s">
        <v>223</v>
      </c>
      <c r="D55" s="93" t="s">
        <v>648</v>
      </c>
      <c r="E55" s="78"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5" s="32" t="s">
        <v>232</v>
      </c>
    </row>
    <row r="56" spans="2:6">
      <c r="B56" s="54" t="s">
        <v>231</v>
      </c>
      <c r="C56" s="54" t="s">
        <v>241</v>
      </c>
      <c r="D56" s="93"/>
      <c r="E56" s="78" t="str">
        <f t="shared" si="1"/>
        <v/>
      </c>
      <c r="F56" s="32" t="s">
        <v>232</v>
      </c>
    </row>
    <row r="57" spans="2:6">
      <c r="B57" s="54" t="s">
        <v>231</v>
      </c>
      <c r="C57" s="54" t="s">
        <v>184</v>
      </c>
      <c r="D57" s="93" t="s">
        <v>414</v>
      </c>
      <c r="E57" s="78" t="str">
        <f t="shared" si="1"/>
        <v>"[CODE CONSTRAINTS] MUST be between " &amp; IF(G9="Beginner", "25–40", IF(G9="Intermediate", "30–60", "40–100")) &amp; " lines of EXECUTABLE code (STRICT: Do NOT count comments or TODOs) - Multi-step flow - Max 2 functions - NO OOP / classes | " &amp;</v>
      </c>
      <c r="F57" s="32" t="s">
        <v>232</v>
      </c>
    </row>
    <row r="58" spans="2:6">
      <c r="B58" s="54" t="s">
        <v>231</v>
      </c>
      <c r="C58" s="54" t="s">
        <v>382</v>
      </c>
      <c r="D58" s="93" t="s">
        <v>415</v>
      </c>
      <c r="E58" s="78" t="str">
        <f t="shared" si="1"/>
        <v>"[FILE PROCESSING RULE] Use standard native libraries for " &amp; $I$2 &amp; " to parse the file type correctly. Adapt code to data structure. Dataset exists locally with original filename. | " &amp;</v>
      </c>
      <c r="F58" s="32" t="s">
        <v>232</v>
      </c>
    </row>
    <row r="59" spans="2:6">
      <c r="B59" s="54" t="s">
        <v>300</v>
      </c>
      <c r="C59" s="54" t="s">
        <v>215</v>
      </c>
      <c r="D59" s="93" t="s">
        <v>314</v>
      </c>
      <c r="E59" s="78" t="str">
        <f t="shared" si="1"/>
        <v>"[FORMAT RULE] Only valid markdown code blocks allowed | " &amp;</v>
      </c>
      <c r="F59" s="32" t="s">
        <v>232</v>
      </c>
    </row>
    <row r="60" spans="2:6">
      <c r="B60" s="54" t="s">
        <v>300</v>
      </c>
      <c r="C60" s="54" t="s">
        <v>217</v>
      </c>
      <c r="D60" s="93" t="s">
        <v>315</v>
      </c>
      <c r="E60" s="78" t="str">
        <f t="shared" si="1"/>
        <v>"[LANGUAGE TAG RULE] ALWAYS label markdown code blocks with the correct underlying programming language (e.g., python, javascript, sql) | " &amp;</v>
      </c>
      <c r="F60" s="32" t="s">
        <v>232</v>
      </c>
    </row>
    <row r="61" spans="2:6">
      <c r="B61" s="54" t="s">
        <v>300</v>
      </c>
      <c r="C61" s="54" t="s">
        <v>386</v>
      </c>
      <c r="D61" s="93" t="s">
        <v>416</v>
      </c>
      <c r="E61" s="78"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232</v>
      </c>
    </row>
    <row r="62" spans="2:6">
      <c r="B62" s="54" t="s">
        <v>300</v>
      </c>
      <c r="C62" s="54" t="s">
        <v>194</v>
      </c>
      <c r="D62" s="93" t="s">
        <v>417</v>
      </c>
      <c r="E62" s="78"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232</v>
      </c>
    </row>
    <row r="63" spans="2:6">
      <c r="B63" s="54" t="s">
        <v>300</v>
      </c>
      <c r="C63" s="54" t="s">
        <v>182</v>
      </c>
      <c r="D63" s="93" t="s">
        <v>418</v>
      </c>
      <c r="E63" s="78" t="str">
        <f t="shared" si="1"/>
        <v>"[OUTPUT CONTRACT] EXACTLY 1 project. Structure MUST be: Tech Lead Intro Message, Project: Objective (max 6 lines), Expected Output (code block), Incomplete Code | " &amp;</v>
      </c>
      <c r="F63" s="32" t="s">
        <v>232</v>
      </c>
    </row>
    <row r="64" spans="2:6">
      <c r="B64" s="54" t="s">
        <v>300</v>
      </c>
      <c r="C64" s="54" t="s">
        <v>419</v>
      </c>
      <c r="D64" s="93" t="s">
        <v>420</v>
      </c>
      <c r="E64" s="78" t="str">
        <f t="shared" si="1"/>
        <v>"[OUTPUT TRUNCATION RULE] If output is large, show only first 5 lines. Do NOT use ellipsis (...) | " &amp;</v>
      </c>
      <c r="F64" s="32" t="s">
        <v>232</v>
      </c>
    </row>
    <row r="65" spans="2:6">
      <c r="B65" s="54" t="s">
        <v>300</v>
      </c>
      <c r="C65" s="54" t="s">
        <v>392</v>
      </c>
      <c r="D65" s="93" t="s">
        <v>421</v>
      </c>
      <c r="E65" s="78" t="str">
        <f t="shared" si="1"/>
        <v>"[OUTPUT EXECUTION RULE - STRICT] Expected output MUST be explicit, complete, and produced via final print(). | " &amp;</v>
      </c>
      <c r="F65" s="32" t="s">
        <v>232</v>
      </c>
    </row>
    <row r="66" spans="2:6">
      <c r="B66" s="54" t="s">
        <v>300</v>
      </c>
      <c r="C66" s="54" t="s">
        <v>394</v>
      </c>
      <c r="D66" s="93" t="s">
        <v>422</v>
      </c>
      <c r="E66" s="78" t="str">
        <f t="shared" si="1"/>
        <v>"[BASE CODE INTEGRITY RULE - STRICT] Code outside the TODO block MUST be 100% valid, logically correct, and run without errors. Do NOT use 'pass', '...', or empty placeholders outside the TODO. | " &amp;</v>
      </c>
      <c r="F66" s="32" t="s">
        <v>232</v>
      </c>
    </row>
    <row r="67" spans="2:6">
      <c r="B67" s="54" t="s">
        <v>300</v>
      </c>
      <c r="C67" s="54" t="s">
        <v>423</v>
      </c>
      <c r="D67" s="93" t="s">
        <v>424</v>
      </c>
      <c r="E67" s="78" t="str">
        <f t="shared" si="1"/>
        <v>"[TODO REALISM RULE] TODO must represent realistic integration bugs. Describe what is incorrect/incomplete. | " &amp;</v>
      </c>
      <c r="F67" s="32" t="s">
        <v>232</v>
      </c>
    </row>
    <row r="68" spans="2:6">
      <c r="B68" s="54" t="s">
        <v>300</v>
      </c>
      <c r="C68" s="54" t="s">
        <v>402</v>
      </c>
      <c r="D68" s="93" t="s">
        <v>425</v>
      </c>
      <c r="E68" s="78" t="str">
        <f t="shared" si="1"/>
        <v>"[TODO ISOLATION RULE - STRICT] ALL missing, incorrect, or output-affecting logic MUST exist ONLY inside the TODO block. Replace ONLY integration logic. | " &amp;</v>
      </c>
      <c r="F68" s="32" t="s">
        <v>232</v>
      </c>
    </row>
    <row r="69" spans="2:6">
      <c r="B69" s="54" t="s">
        <v>300</v>
      </c>
      <c r="C69" s="54" t="s">
        <v>339</v>
      </c>
      <c r="D69" s="93" t="s">
        <v>404</v>
      </c>
      <c r="E69" s="78" t="str">
        <f t="shared" si="1"/>
        <v>"[NO SOLUTION RULE - STRICT] The code under the # TODO MUST be left empty or with a 'pass'. DO NOT write the actual solution. | " &amp;</v>
      </c>
      <c r="F69" s="32" t="s">
        <v>232</v>
      </c>
    </row>
    <row r="70" spans="2:6">
      <c r="B70" s="54" t="s">
        <v>300</v>
      </c>
      <c r="C70" s="54" t="s">
        <v>224</v>
      </c>
      <c r="D70" s="93" t="s">
        <v>426</v>
      </c>
      <c r="E70" s="78" t="str">
        <f t="shared" si="1"/>
        <v>"[OUTPUT] Only header, dataset summary or statement (if any), intro message, objective, expected output, incomplete code, and footer | " &amp;</v>
      </c>
      <c r="F70" s="32" t="s">
        <v>232</v>
      </c>
    </row>
    <row r="71" spans="2:6">
      <c r="B71" s="54" t="s">
        <v>300</v>
      </c>
      <c r="C71" s="54" t="s">
        <v>228</v>
      </c>
      <c r="D71" s="93" t="s">
        <v>427</v>
      </c>
      <c r="E71" s="78" t="str">
        <f t="shared" si="1"/>
        <v>"[FOOTER RULE - STRICT] End your entire response EXACTLY with this markdown string (ensure all code blocks are closed before it):" &amp; CHAR(10) &amp; "---" &amp; CHAR(10) &amp; "⚡ *Coding5s System - Learn Programming by Writing Code - Coding5S.com*")</v>
      </c>
      <c r="F71" s="32" t="s">
        <v>232</v>
      </c>
    </row>
    <row r="72" spans="2:6">
      <c r="B72" s="54"/>
      <c r="C72" s="54"/>
      <c r="D72" s="93"/>
      <c r="E72" s="78" t="str">
        <f t="shared" si="1"/>
        <v/>
      </c>
      <c r="F72" s="32" t="s">
        <v>232</v>
      </c>
    </row>
    <row r="73" spans="2:6">
      <c r="B73" s="54"/>
      <c r="C73" s="54"/>
      <c r="D73" s="93"/>
      <c r="E73" s="78" t="str">
        <f t="shared" si="1"/>
        <v/>
      </c>
      <c r="F73" s="32" t="s">
        <v>232</v>
      </c>
    </row>
    <row r="74" spans="2:6">
      <c r="B74" s="54"/>
      <c r="C74" s="54"/>
      <c r="D74" s="93"/>
      <c r="E74" s="78" t="str">
        <f t="shared" si="1"/>
        <v/>
      </c>
      <c r="F74" s="32" t="s">
        <v>232</v>
      </c>
    </row>
    <row r="75" spans="2:6">
      <c r="B75" s="54"/>
      <c r="C75" s="54"/>
      <c r="D75" s="93"/>
      <c r="E75" s="78" t="str">
        <f t="shared" si="1"/>
        <v/>
      </c>
      <c r="F75" s="32" t="s">
        <v>232</v>
      </c>
    </row>
    <row r="76" spans="2:6">
      <c r="B76" s="54"/>
      <c r="C76" s="54"/>
      <c r="D76" s="93"/>
      <c r="E76" s="78" t="str">
        <f t="shared" si="1"/>
        <v/>
      </c>
      <c r="F76" s="32" t="s">
        <v>232</v>
      </c>
    </row>
    <row r="77" spans="2:6">
      <c r="E77" s="87"/>
      <c r="F77" t="s">
        <v>232</v>
      </c>
    </row>
    <row r="79" spans="2:6" ht="36">
      <c r="B79" s="81" t="s">
        <v>495</v>
      </c>
    </row>
    <row r="80" spans="2:6">
      <c r="B80" s="77" t="s">
        <v>229</v>
      </c>
      <c r="C80" s="77" t="s">
        <v>639</v>
      </c>
      <c r="D80" s="77" t="s">
        <v>640</v>
      </c>
      <c r="E80" s="90" t="s">
        <v>249</v>
      </c>
      <c r="F80" s="54" t="s">
        <v>232</v>
      </c>
    </row>
    <row r="81" spans="2:6">
      <c r="B81" s="54" t="s">
        <v>230</v>
      </c>
      <c r="C81" s="54" t="s">
        <v>429</v>
      </c>
      <c r="D81" s="93" t="s">
        <v>430</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232</v>
      </c>
    </row>
    <row r="82" spans="2:6">
      <c r="B82" s="54" t="s">
        <v>230</v>
      </c>
      <c r="C82" s="54" t="s">
        <v>251</v>
      </c>
      <c r="D82" s="93" t="s">
        <v>431</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232</v>
      </c>
    </row>
    <row r="83" spans="2:6">
      <c r="B83" s="54" t="s">
        <v>230</v>
      </c>
      <c r="C83" s="54" t="s">
        <v>252</v>
      </c>
      <c r="D83" s="93" t="s">
        <v>432</v>
      </c>
      <c r="E83" s="17" t="str">
        <f t="shared" si="2"/>
        <v>"[CONTEXT] You are helping a Junior Developer complete a " &amp; IF(UPPER(H9)="PROJECT", "PROJECT: " &amp; I9 &amp; ". Topics involved: " &amp; B9 &amp; ". Project objective: " &amp; J9, "TOPIC: " &amp; I9 &amp; ". Topic details: " &amp; J9) &amp; " | " &amp;</v>
      </c>
      <c r="F83" s="54" t="s">
        <v>232</v>
      </c>
    </row>
    <row r="84" spans="2:6">
      <c r="B84" s="54" t="s">
        <v>230</v>
      </c>
      <c r="C84" s="54" t="s">
        <v>167</v>
      </c>
      <c r="D84" s="93" t="s">
        <v>433</v>
      </c>
      <c r="E84" s="17" t="str">
        <f t="shared" si="2"/>
        <v>"[TASK] Analyze the student's code and explanation. If they completed the data flow perfectly, celebrate the 'solid foundation' and offer a 'System Extension' challenge. Otherwise, follow the 2-PHASE MENTORING PROTOCOL | " &amp;</v>
      </c>
      <c r="F84" s="54" t="s">
        <v>232</v>
      </c>
    </row>
    <row r="85" spans="2:6">
      <c r="B85" s="54" t="s">
        <v>230</v>
      </c>
      <c r="C85" s="54" t="s">
        <v>238</v>
      </c>
      <c r="D85" s="93" t="s">
        <v>291</v>
      </c>
      <c r="E85" s="17" t="str">
        <f t="shared" si="2"/>
        <v>"[LIBRARY BEING LEARNED] " &amp; $I$3 &amp; " | " &amp;</v>
      </c>
      <c r="F85" s="54" t="s">
        <v>232</v>
      </c>
    </row>
    <row r="86" spans="2:6">
      <c r="B86" s="54" t="s">
        <v>230</v>
      </c>
      <c r="C86" s="54" t="s">
        <v>177</v>
      </c>
      <c r="D86" s="93"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3"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3" t="s">
        <v>649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232</v>
      </c>
    </row>
    <row r="89" spans="2:6">
      <c r="B89" s="54" t="s">
        <v>231</v>
      </c>
      <c r="C89" s="54" t="s">
        <v>241</v>
      </c>
      <c r="D89" s="93"/>
      <c r="E89" s="17" t="str">
        <f t="shared" si="2"/>
        <v/>
      </c>
      <c r="F89" s="54" t="s">
        <v>232</v>
      </c>
    </row>
    <row r="90" spans="2:6">
      <c r="B90" s="54" t="s">
        <v>231</v>
      </c>
      <c r="C90" s="54" t="s">
        <v>259</v>
      </c>
      <c r="D90" s="93"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3" t="s">
        <v>434</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232</v>
      </c>
    </row>
    <row r="92" spans="2:6">
      <c r="B92" s="54" t="s">
        <v>300</v>
      </c>
      <c r="C92" s="54" t="s">
        <v>255</v>
      </c>
      <c r="D92" s="93" t="s">
        <v>435</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232</v>
      </c>
    </row>
    <row r="93" spans="2:6">
      <c r="B93" s="54" t="s">
        <v>300</v>
      </c>
      <c r="C93" s="54" t="s">
        <v>256</v>
      </c>
      <c r="D93" s="93" t="s">
        <v>436</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232</v>
      </c>
    </row>
    <row r="94" spans="2:6">
      <c r="B94" s="54" t="s">
        <v>300</v>
      </c>
      <c r="C94" s="54" t="s">
        <v>260</v>
      </c>
      <c r="D94" s="93" t="s">
        <v>437</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232</v>
      </c>
    </row>
    <row r="95" spans="2:6">
      <c r="B95" s="54" t="s">
        <v>300</v>
      </c>
      <c r="C95" s="54" t="s">
        <v>369</v>
      </c>
      <c r="D95" s="93" t="s">
        <v>438</v>
      </c>
      <c r="E95" s="17" t="str">
        <f t="shared" si="2"/>
        <v>"[FOOTER RULE] End your response with: '--- ⚡ *Coding5s Mentor System — Eliminating Epistemic Debt &amp; Connecting the Flow*',</v>
      </c>
      <c r="F95" s="54" t="s">
        <v>232</v>
      </c>
    </row>
    <row r="96" spans="2:6">
      <c r="B96" s="54"/>
      <c r="C96" s="54"/>
      <c r="D96" s="54" t="s">
        <v>439</v>
      </c>
      <c r="E96" s="90" t="s">
        <v>376</v>
      </c>
      <c r="F96" s="54" t="s">
        <v>232</v>
      </c>
    </row>
    <row r="97" spans="2:6">
      <c r="B97" s="54"/>
      <c r="C97" s="54"/>
      <c r="D97" s="54"/>
      <c r="E97" s="78" t="str">
        <f t="shared" ref="E97:E100" si="3">IF(D97="","",""""&amp;C97&amp;" "&amp;IF(C97="[FOOTER RULE - STRICT]",D97,IF(RIGHT(D97,6)=" | "&amp;CHAR(34)&amp;" &amp;",D97,D97&amp;" | "&amp;CHAR(34)&amp;" &amp;")))</f>
        <v/>
      </c>
      <c r="F97" s="54" t="s">
        <v>232</v>
      </c>
    </row>
    <row r="98" spans="2:6">
      <c r="B98" s="54"/>
      <c r="C98" s="54"/>
      <c r="D98" s="54"/>
      <c r="E98" s="78" t="str">
        <f t="shared" si="3"/>
        <v/>
      </c>
      <c r="F98" s="54" t="s">
        <v>232</v>
      </c>
    </row>
    <row r="99" spans="2:6">
      <c r="B99" s="54"/>
      <c r="C99" s="54"/>
      <c r="D99" s="54"/>
      <c r="E99" s="78" t="str">
        <f t="shared" si="3"/>
        <v/>
      </c>
      <c r="F99" s="54" t="s">
        <v>232</v>
      </c>
    </row>
    <row r="100" spans="2:6">
      <c r="B100" s="54"/>
      <c r="C100" s="54"/>
      <c r="D100" s="54"/>
      <c r="E100" s="78" t="str">
        <f t="shared" si="3"/>
        <v/>
      </c>
      <c r="F100" s="54" t="s">
        <v>232</v>
      </c>
    </row>
  </sheetData>
  <conditionalFormatting sqref="B1:B1048576">
    <cfRule type="cellIs" dxfId="35" priority="10" operator="equal">
      <formula>"The Immutable Kernel"</formula>
    </cfRule>
    <cfRule type="cellIs" dxfId="34" priority="11" operator="equal">
      <formula>"Paradigm &amp; Ecosystem"</formula>
    </cfRule>
    <cfRule type="cellIs" dxfId="33" priority="12" operator="equal">
      <formula>"Global Variables &amp; Configuration"</formula>
    </cfRule>
  </conditionalFormatting>
  <conditionalFormatting sqref="C4:C42">
    <cfRule type="expression" dxfId="32" priority="7">
      <formula>$B4="The Immutable Kernel"</formula>
    </cfRule>
    <cfRule type="expression" dxfId="31" priority="8">
      <formula>$B4="Paradigm &amp; Ecosystem"</formula>
    </cfRule>
    <cfRule type="expression" dxfId="30" priority="9">
      <formula>$B4="Global Variables &amp; Configuration"</formula>
    </cfRule>
  </conditionalFormatting>
  <conditionalFormatting sqref="C47:C76">
    <cfRule type="expression" dxfId="29" priority="4">
      <formula>$B47="The Immutable Kernel"</formula>
    </cfRule>
    <cfRule type="expression" dxfId="28" priority="5">
      <formula>$B47="Paradigm &amp; Ecosystem"</formula>
    </cfRule>
    <cfRule type="expression" dxfId="27" priority="6">
      <formula>$B47="Global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99"/>
  <sheetViews>
    <sheetView showGridLines="0" topLeftCell="A83" zoomScaleNormal="100" workbookViewId="0">
      <selection activeCell="E79" sqref="E79:E96"/>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494</v>
      </c>
      <c r="D2" s="82" t="s">
        <v>464</v>
      </c>
      <c r="H2" s="83" t="s">
        <v>297</v>
      </c>
      <c r="T2" s="83" t="s">
        <v>298</v>
      </c>
    </row>
    <row r="3" spans="2:29">
      <c r="B3" s="77" t="s">
        <v>229</v>
      </c>
      <c r="C3" s="77" t="s">
        <v>639</v>
      </c>
      <c r="D3" s="77" t="s">
        <v>640</v>
      </c>
      <c r="E3" s="89" t="s">
        <v>237</v>
      </c>
      <c r="F3" s="4" t="s">
        <v>232</v>
      </c>
      <c r="AC3" t="s">
        <v>232</v>
      </c>
    </row>
    <row r="4" spans="2:29">
      <c r="B4" s="76" t="s">
        <v>230</v>
      </c>
      <c r="C4" s="54" t="s">
        <v>165</v>
      </c>
      <c r="D4" s="91" t="s">
        <v>378</v>
      </c>
      <c r="E4" s="78" t="str">
        <f t="shared" ref="E4:E39" si="0">IF(D4="","",""""&amp;C4&amp;" "&amp;IF(C4="[FOOTER RULE - STRICT]",D4,IF(RIGHT(D4,6)=" | "&amp;CHAR(34)&amp;" &amp;",D4,D4&amp;" | "&amp;CHAR(34)&amp;" &amp;")))</f>
        <v>"[ROLE] Tech Lead | " &amp;</v>
      </c>
      <c r="F4" s="54" t="s">
        <v>232</v>
      </c>
    </row>
    <row r="5" spans="2:29">
      <c r="B5" s="76" t="s">
        <v>230</v>
      </c>
      <c r="C5" s="54" t="s">
        <v>167</v>
      </c>
      <c r="D5" s="91" t="s">
        <v>440</v>
      </c>
      <c r="E5" s="78" t="str">
        <f t="shared" si="0"/>
        <v>"[TASK] Provide intentionally messy but functional code for learning debugging and improvement | " &amp;</v>
      </c>
      <c r="F5" s="54" t="s">
        <v>232</v>
      </c>
    </row>
    <row r="6" spans="2:29">
      <c r="B6" s="76" t="s">
        <v>230</v>
      </c>
      <c r="C6" s="54" t="s">
        <v>169</v>
      </c>
      <c r="D6" s="91" t="s">
        <v>170</v>
      </c>
      <c r="E6" s="78" t="str">
        <f t="shared" si="0"/>
        <v>"[TOPIC] " &amp; I9 &amp; " | " &amp;</v>
      </c>
      <c r="F6" s="54" t="s">
        <v>232</v>
      </c>
    </row>
    <row r="7" spans="2:29">
      <c r="B7" s="76" t="s">
        <v>230</v>
      </c>
      <c r="C7" s="54" t="s">
        <v>171</v>
      </c>
      <c r="D7" s="91" t="s">
        <v>172</v>
      </c>
      <c r="E7" s="78" t="str">
        <f t="shared" si="0"/>
        <v>"[LEVEL] " &amp; G9 &amp; " | " &amp;</v>
      </c>
      <c r="F7" s="54" t="s">
        <v>232</v>
      </c>
    </row>
    <row r="8" spans="2:29">
      <c r="B8" s="76" t="s">
        <v>230</v>
      </c>
      <c r="C8" s="54" t="s">
        <v>173</v>
      </c>
      <c r="D8" s="91" t="s">
        <v>305</v>
      </c>
      <c r="E8" s="78" t="str">
        <f t="shared" si="0"/>
        <v>"[COUNT] " &amp; D9 &amp; " challenges | " &amp;</v>
      </c>
      <c r="F8" s="54" t="s">
        <v>232</v>
      </c>
    </row>
    <row r="9" spans="2:29">
      <c r="B9" s="76" t="s">
        <v>230</v>
      </c>
      <c r="C9" s="54" t="s">
        <v>238</v>
      </c>
      <c r="D9" s="91" t="s">
        <v>291</v>
      </c>
      <c r="E9" s="78" t="str">
        <f t="shared" si="0"/>
        <v>"[LIBRARY BEING LEARNED] " &amp; $I$3 &amp; " | " &amp;</v>
      </c>
      <c r="F9" s="54" t="s">
        <v>232</v>
      </c>
    </row>
    <row r="10" spans="2:29">
      <c r="B10" s="76" t="s">
        <v>230</v>
      </c>
      <c r="C10" s="54" t="s">
        <v>233</v>
      </c>
      <c r="D10" s="91"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175</v>
      </c>
      <c r="D11" s="91" t="s">
        <v>441</v>
      </c>
      <c r="E11" s="78" t="str">
        <f t="shared" si="0"/>
        <v>"[PERSONA RULE] Act as a Tech Lead. A junior wrote this working but messy code. Tone: professional but exhausted by the code quality | " &amp;</v>
      </c>
      <c r="F11" s="54" t="s">
        <v>232</v>
      </c>
    </row>
    <row r="12" spans="2:29">
      <c r="B12" s="76" t="s">
        <v>230</v>
      </c>
      <c r="C12" s="54" t="s">
        <v>177</v>
      </c>
      <c r="D12" s="91" t="s">
        <v>442</v>
      </c>
      <c r="E12"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232</v>
      </c>
    </row>
    <row r="13" spans="2:29">
      <c r="B13" s="76" t="s">
        <v>230</v>
      </c>
      <c r="C13" s="54" t="s">
        <v>223</v>
      </c>
      <c r="D13" s="91" t="s">
        <v>650</v>
      </c>
      <c r="E13" s="78"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232</v>
      </c>
    </row>
    <row r="14" spans="2:29">
      <c r="B14" s="84" t="s">
        <v>230</v>
      </c>
      <c r="C14" s="54" t="s">
        <v>550</v>
      </c>
      <c r="D14" s="91" t="s">
        <v>542</v>
      </c>
      <c r="E14" s="78" t="str">
        <f t="shared" si="0"/>
        <v>"[LANGUAGE SEED CONTEXT] " &amp; IF($AE$7 = "", "Language Seed Not Necessary", "You MUST strictly follow this seed context to enhance, adapt, and naturalize your tone, vocabulary, and instructional quality in " &amp; $B$6 &amp; ": " &amp; $AE$7) &amp; " | " &amp;</v>
      </c>
      <c r="F14" s="54" t="s">
        <v>232</v>
      </c>
    </row>
    <row r="15" spans="2:29">
      <c r="B15" s="84" t="s">
        <v>231</v>
      </c>
      <c r="C15" s="54" t="s">
        <v>241</v>
      </c>
      <c r="D15" s="91"/>
      <c r="E15" s="78" t="str">
        <f t="shared" si="0"/>
        <v/>
      </c>
      <c r="F15" s="54" t="s">
        <v>232</v>
      </c>
    </row>
    <row r="16" spans="2:29">
      <c r="B16" s="84" t="s">
        <v>231</v>
      </c>
      <c r="C16" s="54" t="s">
        <v>241</v>
      </c>
      <c r="D16" s="91"/>
      <c r="E16" s="78" t="str">
        <f t="shared" si="0"/>
        <v/>
      </c>
      <c r="F16" s="54" t="s">
        <v>232</v>
      </c>
    </row>
    <row r="17" spans="2:6">
      <c r="B17" s="84" t="s">
        <v>231</v>
      </c>
      <c r="C17" s="54" t="s">
        <v>186</v>
      </c>
      <c r="D17" s="91" t="s">
        <v>466</v>
      </c>
      <c r="E17" s="78" t="str">
        <f t="shared" si="0"/>
        <v>"[FUNCTION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v>
      </c>
      <c r="F17" s="54" t="s">
        <v>232</v>
      </c>
    </row>
    <row r="18" spans="2:6">
      <c r="B18" s="85" t="s">
        <v>231</v>
      </c>
      <c r="C18" s="54" t="s">
        <v>187</v>
      </c>
      <c r="D18" s="91" t="s">
        <v>443</v>
      </c>
      <c r="E18" s="78" t="str">
        <f t="shared" si="0"/>
        <v>"[CODE QUALITY RULE] Code MUST be executable and correct BUT intentionally messy, inconsistent, or suboptimal | " &amp;</v>
      </c>
      <c r="F18" s="54" t="s">
        <v>232</v>
      </c>
    </row>
    <row r="19" spans="2:6">
      <c r="B19" s="85" t="s">
        <v>231</v>
      </c>
      <c r="C19" s="54" t="s">
        <v>444</v>
      </c>
      <c r="D19" s="91" t="s">
        <v>445</v>
      </c>
      <c r="E19" s="78"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232</v>
      </c>
    </row>
    <row r="20" spans="2:6">
      <c r="B20" s="85" t="s">
        <v>231</v>
      </c>
      <c r="C20" s="54" t="s">
        <v>446</v>
      </c>
      <c r="D20" s="91" t="s">
        <v>447</v>
      </c>
      <c r="E20" s="78" t="str">
        <f t="shared" si="0"/>
        <v>"[STYLE INCONSISTENCY RULE] Each challenge should feel like it was written at a different time with different formatting styles | " &amp;</v>
      </c>
      <c r="F20" s="54" t="s">
        <v>232</v>
      </c>
    </row>
    <row r="21" spans="2:6">
      <c r="B21" s="85" t="s">
        <v>231</v>
      </c>
      <c r="C21" s="54" t="s">
        <v>195</v>
      </c>
      <c r="D21" s="91" t="s">
        <v>306</v>
      </c>
      <c r="E21" s="78" t="str">
        <f t="shared" si="0"/>
        <v>"[FILE HANDLING RULE] Use correct loaders and enforce encoding='utf-8' and newline='' when applicable | " &amp;</v>
      </c>
      <c r="F21" s="54" t="s">
        <v>232</v>
      </c>
    </row>
    <row r="22" spans="2:6">
      <c r="B22" s="85" t="s">
        <v>231</v>
      </c>
      <c r="C22" s="54" t="s">
        <v>197</v>
      </c>
      <c r="D22" s="91" t="s">
        <v>448</v>
      </c>
      <c r="E22" s="78" t="str">
        <f t="shared" si="0"/>
        <v>"[DATA TYPE RULE] Explicit casting required before calculations | " &amp;</v>
      </c>
      <c r="F22" s="54" t="s">
        <v>232</v>
      </c>
    </row>
    <row r="23" spans="2:6">
      <c r="B23" s="85" t="s">
        <v>231</v>
      </c>
      <c r="C23" s="54" t="s">
        <v>198</v>
      </c>
      <c r="D23" s="91" t="s">
        <v>449</v>
      </c>
      <c r="E23" s="78" t="str">
        <f t="shared" si="0"/>
        <v>"[DATA ROBUSTNESS RULE] Handle missing, malformed, or inconsistent data safely | " &amp;</v>
      </c>
      <c r="F23" s="54" t="s">
        <v>232</v>
      </c>
    </row>
    <row r="24" spans="2:6">
      <c r="B24" s="85" t="s">
        <v>231</v>
      </c>
      <c r="C24" s="54" t="s">
        <v>199</v>
      </c>
      <c r="D24" s="91" t="s">
        <v>450</v>
      </c>
      <c r="E24" s="78" t="str">
        <f t="shared" si="0"/>
        <v>"[BOOLEAN HANDLING RULE] Normalize boolean values before comparison | " &amp;</v>
      </c>
      <c r="F24" s="54" t="s">
        <v>232</v>
      </c>
    </row>
    <row r="25" spans="2:6">
      <c r="B25" s="85" t="s">
        <v>231</v>
      </c>
      <c r="C25" s="54" t="s">
        <v>200</v>
      </c>
      <c r="D25" s="91" t="s">
        <v>451</v>
      </c>
      <c r="E25" s="78" t="str">
        <f t="shared" si="0"/>
        <v>"[DATA CONSISTENCY RULE] Respect dataset schema | " &amp;</v>
      </c>
      <c r="F25" s="54" t="s">
        <v>232</v>
      </c>
    </row>
    <row r="26" spans="2:6">
      <c r="B26" s="54" t="s">
        <v>231</v>
      </c>
      <c r="C26" s="54" t="s">
        <v>215</v>
      </c>
      <c r="D26" s="91" t="s">
        <v>314</v>
      </c>
      <c r="E26" s="78" t="str">
        <f t="shared" si="0"/>
        <v>"[FORMAT RULE] Only valid markdown code blocks allowed | " &amp;</v>
      </c>
      <c r="F26" s="54" t="s">
        <v>232</v>
      </c>
    </row>
    <row r="27" spans="2:6">
      <c r="B27" s="54" t="s">
        <v>231</v>
      </c>
      <c r="C27" s="54" t="s">
        <v>217</v>
      </c>
      <c r="D27" s="91" t="s">
        <v>315</v>
      </c>
      <c r="E27" s="78" t="str">
        <f t="shared" si="0"/>
        <v>"[LANGUAGE TAG RULE] ALWAYS label markdown code blocks with the correct underlying programming language (e.g., python, javascript, sql) | " &amp;</v>
      </c>
      <c r="F27" s="54" t="s">
        <v>232</v>
      </c>
    </row>
    <row r="28" spans="2:6">
      <c r="B28" s="54" t="s">
        <v>231</v>
      </c>
      <c r="C28" s="54" t="s">
        <v>219</v>
      </c>
      <c r="D28" s="91" t="s">
        <v>452</v>
      </c>
      <c r="E28" s="78" t="str">
        <f t="shared" si="0"/>
        <v>"[OUTPUT FORMAT RULE] Monetary values formatted with '$', commas, 2 decimals | " &amp;</v>
      </c>
      <c r="F28" s="54" t="s">
        <v>232</v>
      </c>
    </row>
    <row r="29" spans="2:6">
      <c r="B29" s="54" t="s">
        <v>231</v>
      </c>
      <c r="C29" s="54" t="s">
        <v>224</v>
      </c>
      <c r="D29" s="91" t="s">
        <v>453</v>
      </c>
      <c r="E29" s="78" t="str">
        <f t="shared" si="0"/>
        <v>"[OUTPUT] Only header, dataset summary or statement (if any), intro, challenges, code, outputs, and footer | " &amp;</v>
      </c>
      <c r="F29" s="54" t="s">
        <v>232</v>
      </c>
    </row>
    <row r="30" spans="2:6">
      <c r="B30" s="54" t="s">
        <v>300</v>
      </c>
      <c r="C30" s="54" t="s">
        <v>179</v>
      </c>
      <c r="D30" s="91" t="s">
        <v>387</v>
      </c>
      <c r="E30"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232</v>
      </c>
    </row>
    <row r="31" spans="2:6">
      <c r="B31" s="54" t="s">
        <v>300</v>
      </c>
      <c r="C31" s="54" t="s">
        <v>180</v>
      </c>
      <c r="D31" s="91" t="s">
        <v>454</v>
      </c>
      <c r="E31" s="78" t="str">
        <f t="shared" si="0"/>
        <v>"[DATA SUMMARY FORMAT RULE] When a dataset is present, you MUST display IMMEDIATELY AFTER THE HEADER: Dataset Summary: - File Type: - Columns / Fields: - Data Types: - Notes: | " &amp;</v>
      </c>
      <c r="F31" s="54" t="s">
        <v>232</v>
      </c>
    </row>
    <row r="32" spans="2:6">
      <c r="B32" s="54" t="s">
        <v>300</v>
      </c>
      <c r="C32" s="54" t="s">
        <v>194</v>
      </c>
      <c r="D32" s="91" t="s">
        <v>455</v>
      </c>
      <c r="E32" s="78"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232</v>
      </c>
    </row>
    <row r="33" spans="2:6">
      <c r="B33" s="54" t="s">
        <v>300</v>
      </c>
      <c r="C33" s="54" t="s">
        <v>182</v>
      </c>
      <c r="D33" s="91" t="s">
        <v>456</v>
      </c>
      <c r="E33" s="78"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232</v>
      </c>
    </row>
    <row r="34" spans="2:6">
      <c r="B34" s="54" t="s">
        <v>300</v>
      </c>
      <c r="C34" s="54" t="s">
        <v>457</v>
      </c>
      <c r="D34" s="91" t="s">
        <v>458</v>
      </c>
      <c r="E34" s="78" t="str">
        <f t="shared" si="0"/>
        <v>"[REVIEW INTENT RULE] The user is expected to review, identify issues, and refactor the code to production-level quality | " &amp;</v>
      </c>
      <c r="F34" s="54" t="s">
        <v>232</v>
      </c>
    </row>
    <row r="35" spans="2:6">
      <c r="B35" s="54" t="s">
        <v>300</v>
      </c>
      <c r="C35" s="54" t="s">
        <v>184</v>
      </c>
      <c r="D35" s="91" t="s">
        <v>459</v>
      </c>
      <c r="E35" s="78"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232</v>
      </c>
    </row>
    <row r="36" spans="2:6">
      <c r="B36" s="54" t="s">
        <v>300</v>
      </c>
      <c r="C36" s="54" t="s">
        <v>202</v>
      </c>
      <c r="D36" s="91" t="s">
        <v>460</v>
      </c>
      <c r="E36" s="78" t="str">
        <f t="shared" si="0"/>
        <v>"[SUPPORT FILES RULE] If env/config is used, include: 1. Instructional sentence 2. File content in markdown code block 3. BEFORE the main code | " &amp;</v>
      </c>
      <c r="F36" s="54" t="s">
        <v>232</v>
      </c>
    </row>
    <row r="37" spans="2:6">
      <c r="B37" s="54" t="s">
        <v>300</v>
      </c>
      <c r="C37" s="54" t="s">
        <v>203</v>
      </c>
      <c r="D37" s="91" t="s">
        <v>461</v>
      </c>
      <c r="E37" s="78" t="str">
        <f t="shared" si="0"/>
        <v>"[DIFFICULTY RULE] Complexity MUST match level | " &amp;</v>
      </c>
      <c r="F37" s="54" t="s">
        <v>232</v>
      </c>
    </row>
    <row r="38" spans="2:6">
      <c r="B38" s="54" t="s">
        <v>300</v>
      </c>
      <c r="C38" s="54" t="s">
        <v>462</v>
      </c>
      <c r="D38" s="91" t="s">
        <v>463</v>
      </c>
      <c r="E38" s="78" t="str">
        <f t="shared" si="0"/>
        <v>"[DIFFICULTY CONSISTENCY RULE] All challenges MUST have similar complexity and length, even if coding styles differ | " &amp;</v>
      </c>
      <c r="F38" s="54" t="s">
        <v>232</v>
      </c>
    </row>
    <row r="39" spans="2:6">
      <c r="B39" s="54" t="s">
        <v>300</v>
      </c>
      <c r="C39" s="54" t="s">
        <v>228</v>
      </c>
      <c r="D39" s="91" t="s">
        <v>411</v>
      </c>
      <c r="E39" s="78" t="str">
        <f t="shared" si="0"/>
        <v>"[FOOTER RULE - STRICT] End your entire response EXACTLY with this markdown string (ensure all code blocks are closed before it):" &amp; CHAR(10) &amp; "---" &amp; CHAR(10) &amp; "⚡ *Coding5s System - Learn Programming by Writing Code - Coding5S.com*",</v>
      </c>
      <c r="F39" s="54" t="s">
        <v>232</v>
      </c>
    </row>
    <row r="40" spans="2:6">
      <c r="B40" s="54"/>
      <c r="C40" s="54"/>
      <c r="D40" s="91"/>
      <c r="E40" s="89" t="s">
        <v>465</v>
      </c>
      <c r="F40" s="54" t="s">
        <v>232</v>
      </c>
    </row>
    <row r="41" spans="2:6">
      <c r="B41" s="54"/>
      <c r="C41" s="54"/>
      <c r="D41" s="91"/>
      <c r="E41" s="78"/>
      <c r="F41" s="54"/>
    </row>
    <row r="42" spans="2:6">
      <c r="B42" s="75"/>
      <c r="C42" s="75"/>
      <c r="E42" s="87"/>
    </row>
    <row r="43" spans="2:6">
      <c r="B43" s="75"/>
      <c r="C43" s="75"/>
      <c r="E43" s="87"/>
    </row>
    <row r="44" spans="2:6" ht="36">
      <c r="B44" s="80" t="s">
        <v>493</v>
      </c>
      <c r="C44" s="75"/>
      <c r="E44" s="87"/>
    </row>
    <row r="45" spans="2:6">
      <c r="B45" s="77" t="s">
        <v>286</v>
      </c>
      <c r="C45" s="77" t="s">
        <v>639</v>
      </c>
      <c r="D45" s="77" t="s">
        <v>640</v>
      </c>
      <c r="E45" s="89" t="s">
        <v>287</v>
      </c>
      <c r="F45" s="32" t="s">
        <v>232</v>
      </c>
    </row>
    <row r="46" spans="2:6">
      <c r="B46" s="54" t="s">
        <v>230</v>
      </c>
      <c r="C46" s="54" t="s">
        <v>165</v>
      </c>
      <c r="D46" s="91" t="s">
        <v>378</v>
      </c>
      <c r="E46" s="78" t="str">
        <f>IF(D46="","",""""&amp;C46&amp;" "&amp;IF(C46="[FOOTER RULE - STRICT]",D46,IF(RIGHT(D46,6)=" | "&amp;CHAR(34)&amp;" &amp;",D46,D46&amp;" | "&amp;CHAR(34)&amp;" &amp;")))</f>
        <v>"[ROLE] Tech Lead | " &amp;</v>
      </c>
      <c r="F46" s="32" t="s">
        <v>232</v>
      </c>
    </row>
    <row r="47" spans="2:6">
      <c r="B47" s="54" t="s">
        <v>230</v>
      </c>
      <c r="C47" s="54" t="s">
        <v>167</v>
      </c>
      <c r="D47" s="91" t="s">
        <v>467</v>
      </c>
      <c r="E47" s="78" t="str">
        <f t="shared" ref="E47:E75" si="1">IF(D47="","",""""&amp;C47&amp;" "&amp;IF(C47="[FOOTER RULE - STRICT]",D47,IF(RIGHT(D47,6)=" | "&amp;CHAR(34)&amp;" &amp;",D47,D47&amp;" | "&amp;CHAR(34)&amp;" &amp;")))</f>
        <v>"[TASK] Provide a messy but functional project for refactoring | " &amp;</v>
      </c>
      <c r="F47" s="32" t="s">
        <v>232</v>
      </c>
    </row>
    <row r="48" spans="2:6">
      <c r="B48" s="54" t="s">
        <v>230</v>
      </c>
      <c r="C48" s="54" t="s">
        <v>349</v>
      </c>
      <c r="D48" s="91" t="s">
        <v>170</v>
      </c>
      <c r="E48" s="78" t="str">
        <f t="shared" si="1"/>
        <v>"[PROJECT] " &amp; I9 &amp; " | " &amp;</v>
      </c>
      <c r="F48" s="32" t="s">
        <v>232</v>
      </c>
    </row>
    <row r="49" spans="2:6">
      <c r="B49" s="54" t="s">
        <v>230</v>
      </c>
      <c r="C49" s="54" t="s">
        <v>272</v>
      </c>
      <c r="D49" s="91" t="s">
        <v>273</v>
      </c>
      <c r="E49" s="78" t="str">
        <f t="shared" si="1"/>
        <v>"[TOPICS USED] " &amp; B9 &amp; " | " &amp;</v>
      </c>
      <c r="F49" s="32" t="s">
        <v>232</v>
      </c>
    </row>
    <row r="50" spans="2:6">
      <c r="B50" s="54" t="s">
        <v>230</v>
      </c>
      <c r="C50" s="54" t="s">
        <v>171</v>
      </c>
      <c r="D50" s="91" t="s">
        <v>172</v>
      </c>
      <c r="E50" s="78" t="str">
        <f t="shared" si="1"/>
        <v>"[LEVEL] " &amp; G9 &amp; " | " &amp;</v>
      </c>
      <c r="F50" s="32" t="s">
        <v>232</v>
      </c>
    </row>
    <row r="51" spans="2:6">
      <c r="B51" s="54" t="s">
        <v>230</v>
      </c>
      <c r="C51" s="54" t="s">
        <v>175</v>
      </c>
      <c r="D51" s="91" t="s">
        <v>468</v>
      </c>
      <c r="E51" s="78" t="str">
        <f t="shared" si="1"/>
        <v>"[PERSONA RULE] Act as a Tech Lead. A junior wrote this working but messy code. Tone: professional but exhausted | " &amp;</v>
      </c>
      <c r="F51" s="32" t="s">
        <v>232</v>
      </c>
    </row>
    <row r="52" spans="2:6">
      <c r="B52" s="54" t="s">
        <v>230</v>
      </c>
      <c r="C52" s="54" t="s">
        <v>223</v>
      </c>
      <c r="D52" s="91" t="s">
        <v>651</v>
      </c>
      <c r="E52" s="78"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232</v>
      </c>
    </row>
    <row r="53" spans="2:6">
      <c r="B53" s="54" t="s">
        <v>230</v>
      </c>
      <c r="C53" s="54" t="s">
        <v>238</v>
      </c>
      <c r="D53" s="91" t="s">
        <v>291</v>
      </c>
      <c r="E53" s="78" t="str">
        <f t="shared" si="1"/>
        <v>"[LIBRARY BEING LEARNED] " &amp; $I$3 &amp; " | " &amp;</v>
      </c>
      <c r="F53" s="32" t="s">
        <v>232</v>
      </c>
    </row>
    <row r="54" spans="2:6">
      <c r="B54" s="54" t="s">
        <v>230</v>
      </c>
      <c r="C54" s="54" t="s">
        <v>177</v>
      </c>
      <c r="D54" s="91" t="s">
        <v>274</v>
      </c>
      <c r="E54"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232</v>
      </c>
    </row>
    <row r="55" spans="2:6">
      <c r="B55" s="54" t="s">
        <v>230</v>
      </c>
      <c r="C55" s="54" t="s">
        <v>550</v>
      </c>
      <c r="D55" s="91" t="s">
        <v>542</v>
      </c>
      <c r="E55" s="78" t="str">
        <f t="shared" si="1"/>
        <v>"[LANGUAGE SEED CONTEXT] " &amp; IF($AE$7 = "", "Language Seed Not Necessary", "You MUST strictly follow this seed context to enhance, adapt, and naturalize your tone, vocabulary, and instructional quality in " &amp; $B$6 &amp; ": " &amp; $AE$7) &amp; " | " &amp;</v>
      </c>
      <c r="F55" s="32" t="s">
        <v>232</v>
      </c>
    </row>
    <row r="56" spans="2:6">
      <c r="B56" s="54" t="s">
        <v>231</v>
      </c>
      <c r="C56" s="54" t="s">
        <v>241</v>
      </c>
      <c r="D56" s="91"/>
      <c r="E56" s="78" t="str">
        <f t="shared" si="1"/>
        <v/>
      </c>
      <c r="F56" s="32" t="s">
        <v>232</v>
      </c>
    </row>
    <row r="57" spans="2:6">
      <c r="B57" s="54" t="s">
        <v>231</v>
      </c>
      <c r="C57" s="54" t="s">
        <v>241</v>
      </c>
      <c r="D57" s="91"/>
      <c r="E57" s="78" t="str">
        <f t="shared" si="1"/>
        <v/>
      </c>
      <c r="F57" s="32" t="s">
        <v>232</v>
      </c>
    </row>
    <row r="58" spans="2:6">
      <c r="B58" s="85" t="s">
        <v>231</v>
      </c>
      <c r="C58" s="54" t="s">
        <v>186</v>
      </c>
      <c r="D58" s="91" t="s">
        <v>481</v>
      </c>
      <c r="E58" s="78" t="str">
        <f t="shared" si="1"/>
        <v>"[FUNCTION RULE] Rule: " &amp; IF(G9="Beginner", "Avoid functions unless required. ", IF(G9="Intermediate", "Functions optional. ", "Use 2–4 functions but code can still be messy. " )) &amp; " | " &amp;</v>
      </c>
      <c r="F58" s="32" t="s">
        <v>232</v>
      </c>
    </row>
    <row r="59" spans="2:6">
      <c r="B59" s="85" t="s">
        <v>231</v>
      </c>
      <c r="C59" s="54" t="s">
        <v>187</v>
      </c>
      <c r="D59" s="91" t="s">
        <v>469</v>
      </c>
      <c r="E59" s="78" t="str">
        <f t="shared" si="1"/>
        <v>"[CODE QUALITY RULE] Code MUST be correct and executable but not perfectly clean | " &amp;</v>
      </c>
      <c r="F59" s="32" t="s">
        <v>232</v>
      </c>
    </row>
    <row r="60" spans="2:6">
      <c r="B60" s="85" t="s">
        <v>231</v>
      </c>
      <c r="C60" s="54" t="s">
        <v>444</v>
      </c>
      <c r="D60" s="91" t="s">
        <v>470</v>
      </c>
      <c r="E60" s="78" t="str">
        <f t="shared" si="1"/>
        <v>"[DIRTY CODE RULE] Code MUST NOT include ANY comments and should include inconsistent naming, redundant logic, minor structural issues, and slightly messy organization while still remaining understandable as a complete working program | " &amp;</v>
      </c>
      <c r="F60" s="32" t="s">
        <v>232</v>
      </c>
    </row>
    <row r="61" spans="2:6">
      <c r="B61" s="54" t="s">
        <v>231</v>
      </c>
      <c r="C61" s="54" t="s">
        <v>198</v>
      </c>
      <c r="D61" s="91" t="s">
        <v>471</v>
      </c>
      <c r="E61" s="78" t="str">
        <f t="shared" si="1"/>
        <v>"[DATA ROBUSTNESS RULE] Handle real-world data safely | " &amp;</v>
      </c>
      <c r="F61" s="32" t="s">
        <v>232</v>
      </c>
    </row>
    <row r="62" spans="2:6">
      <c r="B62" s="54" t="s">
        <v>231</v>
      </c>
      <c r="C62" s="54" t="s">
        <v>215</v>
      </c>
      <c r="D62" s="91" t="s">
        <v>314</v>
      </c>
      <c r="E62" s="78" t="str">
        <f t="shared" si="1"/>
        <v>"[FORMAT RULE] Only valid markdown code blocks allowed | " &amp;</v>
      </c>
      <c r="F62" s="32" t="s">
        <v>232</v>
      </c>
    </row>
    <row r="63" spans="2:6">
      <c r="B63" s="54" t="s">
        <v>231</v>
      </c>
      <c r="C63" s="54" t="s">
        <v>217</v>
      </c>
      <c r="D63" s="91" t="s">
        <v>315</v>
      </c>
      <c r="E63" s="78" t="str">
        <f t="shared" si="1"/>
        <v>"[LANGUAGE TAG RULE] ALWAYS label markdown code blocks with the correct underlying programming language (e.g., python, javascript, sql) | " &amp;</v>
      </c>
      <c r="F63" s="32" t="s">
        <v>232</v>
      </c>
    </row>
    <row r="64" spans="2:6">
      <c r="B64" s="54" t="s">
        <v>300</v>
      </c>
      <c r="C64" s="54" t="s">
        <v>179</v>
      </c>
      <c r="D64" s="91" t="s">
        <v>472</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4" s="32" t="s">
        <v>232</v>
      </c>
    </row>
    <row r="65" spans="2:6">
      <c r="B65" s="54" t="s">
        <v>300</v>
      </c>
      <c r="C65" s="54" t="s">
        <v>194</v>
      </c>
      <c r="D65" s="91" t="s">
        <v>473</v>
      </c>
      <c r="E65" s="78"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5" s="32" t="s">
        <v>232</v>
      </c>
    </row>
    <row r="66" spans="2:6">
      <c r="B66" s="54" t="s">
        <v>300</v>
      </c>
      <c r="C66" s="54" t="s">
        <v>182</v>
      </c>
      <c r="D66" s="91" t="s">
        <v>474</v>
      </c>
      <c r="E66" s="78" t="str">
        <f t="shared" si="1"/>
        <v>"[OUTPUT CONTRACT] EXACTLY 1 project. Structure MUST be: 1. Tech Lead Intro Email 2. Project: Objective (max 6 lines), Expected Output (code block), Dirty Code | " &amp;</v>
      </c>
      <c r="F66" s="32" t="s">
        <v>232</v>
      </c>
    </row>
    <row r="67" spans="2:6">
      <c r="B67" s="54" t="s">
        <v>300</v>
      </c>
      <c r="C67" s="54" t="s">
        <v>457</v>
      </c>
      <c r="D67" s="91" t="s">
        <v>475</v>
      </c>
      <c r="E67" s="78" t="str">
        <f t="shared" si="1"/>
        <v>"[REVIEW INTENT RULE] The user is expected to review and refactor the project to improve structure, readability, and maintainability | " &amp;</v>
      </c>
      <c r="F67" s="32" t="s">
        <v>232</v>
      </c>
    </row>
    <row r="68" spans="2:6">
      <c r="B68" s="54" t="s">
        <v>300</v>
      </c>
      <c r="C68" s="54" t="s">
        <v>184</v>
      </c>
      <c r="D68" s="91" t="s">
        <v>476</v>
      </c>
      <c r="E68" s="78"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8" s="32" t="s">
        <v>232</v>
      </c>
    </row>
    <row r="69" spans="2:6">
      <c r="B69" s="54" t="s">
        <v>300</v>
      </c>
      <c r="C69" s="54" t="s">
        <v>202</v>
      </c>
      <c r="D69" s="91" t="s">
        <v>477</v>
      </c>
      <c r="E69" s="78" t="str">
        <f t="shared" si="1"/>
        <v>"[SUPPORT FILES RULE] Include config files before code if needed | " &amp;</v>
      </c>
      <c r="F69" s="32" t="s">
        <v>232</v>
      </c>
    </row>
    <row r="70" spans="2:6">
      <c r="B70" s="54" t="s">
        <v>300</v>
      </c>
      <c r="C70" s="54" t="s">
        <v>281</v>
      </c>
      <c r="D70" s="91" t="s">
        <v>478</v>
      </c>
      <c r="E70" s="78" t="str">
        <f t="shared" si="1"/>
        <v>"[EXECUTION RULE] Code MUST run and produce correct output | " &amp;</v>
      </c>
      <c r="F70" s="32" t="s">
        <v>232</v>
      </c>
    </row>
    <row r="71" spans="2:6">
      <c r="B71" s="54" t="s">
        <v>300</v>
      </c>
      <c r="C71" s="54" t="s">
        <v>220</v>
      </c>
      <c r="D71" s="91" t="s">
        <v>479</v>
      </c>
      <c r="E71" s="78" t="str">
        <f t="shared" si="1"/>
        <v>"[CONSISTENCY RULE] Project must match objective | " &amp;</v>
      </c>
      <c r="F71" s="32" t="s">
        <v>232</v>
      </c>
    </row>
    <row r="72" spans="2:6">
      <c r="B72" s="54" t="s">
        <v>300</v>
      </c>
      <c r="C72" s="54" t="s">
        <v>224</v>
      </c>
      <c r="D72" s="91" t="s">
        <v>480</v>
      </c>
      <c r="E72" s="78" t="str">
        <f t="shared" si="1"/>
        <v>"[OUTPUT] Only header, dataset summary or statement (if any), intro email, objective, expected output, code, and footer | " &amp;</v>
      </c>
      <c r="F72" s="32" t="s">
        <v>232</v>
      </c>
    </row>
    <row r="73" spans="2:6">
      <c r="B73" s="54" t="s">
        <v>300</v>
      </c>
      <c r="C73" s="54" t="s">
        <v>228</v>
      </c>
      <c r="D73" s="91" t="s">
        <v>427</v>
      </c>
      <c r="E73" s="78" t="str">
        <f t="shared" si="1"/>
        <v>"[FOOTER RULE - STRICT] End your entire response EXACTLY with this markdown string (ensure all code blocks are closed before it):" &amp; CHAR(10) &amp; "---" &amp; CHAR(10) &amp; "⚡ *Coding5s System - Learn Programming by Writing Code - Coding5S.com*")</v>
      </c>
      <c r="F73" s="32" t="s">
        <v>232</v>
      </c>
    </row>
    <row r="74" spans="2:6">
      <c r="B74" s="54"/>
      <c r="C74" s="54"/>
      <c r="D74" s="91"/>
      <c r="E74" s="78" t="str">
        <f t="shared" si="1"/>
        <v/>
      </c>
      <c r="F74" s="32" t="s">
        <v>232</v>
      </c>
    </row>
    <row r="75" spans="2:6">
      <c r="B75" s="54"/>
      <c r="C75" s="54"/>
      <c r="D75" s="91"/>
      <c r="E75" s="78" t="str">
        <f t="shared" si="1"/>
        <v/>
      </c>
      <c r="F75" s="32" t="s">
        <v>232</v>
      </c>
    </row>
    <row r="76" spans="2:6">
      <c r="E76" s="87"/>
      <c r="F76" t="s">
        <v>232</v>
      </c>
    </row>
    <row r="78" spans="2:6" ht="36">
      <c r="B78" s="81" t="s">
        <v>492</v>
      </c>
    </row>
    <row r="79" spans="2:6">
      <c r="B79" s="77" t="s">
        <v>229</v>
      </c>
      <c r="C79" s="77" t="s">
        <v>639</v>
      </c>
      <c r="D79" s="77" t="s">
        <v>640</v>
      </c>
      <c r="E79" s="90" t="s">
        <v>249</v>
      </c>
      <c r="F79" s="54" t="s">
        <v>232</v>
      </c>
    </row>
    <row r="80" spans="2:6">
      <c r="B80" s="54" t="s">
        <v>230</v>
      </c>
      <c r="C80" s="54" t="s">
        <v>482</v>
      </c>
      <c r="D80" s="91" t="s">
        <v>483</v>
      </c>
      <c r="E80" s="17" t="str">
        <f t="shared" ref="E80:E95" si="2">IF(D80="","",""""&amp;C80&amp;" "&amp;IF(OR(C80="[FOOTER RULE - STRICT]",C80="[FOOTER RULE]"),D80,IF(RIGHT(D80,6)=" | "&amp;CHAR(34)&amp;" &amp;",D80,D80&amp;"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0" s="54" t="s">
        <v>232</v>
      </c>
    </row>
    <row r="81" spans="2:6">
      <c r="B81" s="54" t="s">
        <v>230</v>
      </c>
      <c r="C81" s="54" t="s">
        <v>251</v>
      </c>
      <c r="D81" s="91" t="s">
        <v>484</v>
      </c>
      <c r="E81"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1" s="54" t="s">
        <v>232</v>
      </c>
    </row>
    <row r="82" spans="2:6">
      <c r="B82" s="54" t="s">
        <v>230</v>
      </c>
      <c r="C82" s="54" t="s">
        <v>252</v>
      </c>
      <c r="D82" s="91" t="s">
        <v>485</v>
      </c>
      <c r="E82" s="17" t="str">
        <f t="shared" si="2"/>
        <v>"[CONTEXT] You are performing a Code Review for a " &amp; IF(UPPER(H9)="PROJECT", "PROJECT: " &amp; I9 &amp; ". Topics involved: " &amp; B9 &amp; ". Project objective: " &amp; J9, "TOPIC: " &amp; I9 &amp; ". Topic details: " &amp; J9) &amp; " | " &amp;</v>
      </c>
      <c r="F82" s="54" t="s">
        <v>232</v>
      </c>
    </row>
    <row r="83" spans="2:6">
      <c r="B83" s="54" t="s">
        <v>230</v>
      </c>
      <c r="C83" s="54" t="s">
        <v>167</v>
      </c>
      <c r="D83" s="91" t="s">
        <v>486</v>
      </c>
      <c r="E83"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3" s="54" t="s">
        <v>232</v>
      </c>
    </row>
    <row r="84" spans="2:6">
      <c r="B84" s="54" t="s">
        <v>230</v>
      </c>
      <c r="C84" s="54" t="s">
        <v>238</v>
      </c>
      <c r="D84" s="91" t="s">
        <v>291</v>
      </c>
      <c r="E84" s="17" t="str">
        <f t="shared" si="2"/>
        <v>"[LIBRARY BEING LEARNED] " &amp; $I$3 &amp; " | " &amp;</v>
      </c>
      <c r="F84" s="54" t="s">
        <v>232</v>
      </c>
    </row>
    <row r="85" spans="2:6">
      <c r="B85" s="54" t="s">
        <v>230</v>
      </c>
      <c r="C85" s="54" t="s">
        <v>177</v>
      </c>
      <c r="D85" s="91" t="s">
        <v>274</v>
      </c>
      <c r="E85"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5" s="54" t="s">
        <v>232</v>
      </c>
    </row>
    <row r="86" spans="2:6">
      <c r="B86" s="54" t="s">
        <v>230</v>
      </c>
      <c r="C86" s="54" t="s">
        <v>550</v>
      </c>
      <c r="D86" s="91" t="s">
        <v>542</v>
      </c>
      <c r="E86" s="17" t="str">
        <f t="shared" si="2"/>
        <v>"[LANGUAGE SEED CONTEXT] " &amp; IF($AE$7 = "", "Language Seed Not Necessary", "You MUST strictly follow this seed context to enhance, adapt, and naturalize your tone, vocabulary, and instructional quality in " &amp; $B$6 &amp; ": " &amp; $AE$7) &amp; " | " &amp;</v>
      </c>
      <c r="F86" s="54" t="s">
        <v>232</v>
      </c>
    </row>
    <row r="87" spans="2:6">
      <c r="B87" s="54" t="s">
        <v>230</v>
      </c>
      <c r="C87" s="54" t="s">
        <v>223</v>
      </c>
      <c r="D87" s="91" t="s">
        <v>652</v>
      </c>
      <c r="E87"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7" s="54" t="s">
        <v>232</v>
      </c>
    </row>
    <row r="88" spans="2:6">
      <c r="B88" s="54" t="s">
        <v>231</v>
      </c>
      <c r="C88" s="54" t="s">
        <v>241</v>
      </c>
      <c r="D88" s="91"/>
      <c r="E88" s="17" t="str">
        <f t="shared" si="2"/>
        <v/>
      </c>
      <c r="F88" s="54" t="s">
        <v>232</v>
      </c>
    </row>
    <row r="89" spans="2:6">
      <c r="B89" s="54" t="s">
        <v>231</v>
      </c>
      <c r="C89" s="54" t="s">
        <v>241</v>
      </c>
      <c r="D89" s="91"/>
      <c r="E89" s="17" t="str">
        <f t="shared" si="2"/>
        <v/>
      </c>
      <c r="F89" s="54" t="s">
        <v>232</v>
      </c>
    </row>
    <row r="90" spans="2:6">
      <c r="B90" s="54" t="s">
        <v>231</v>
      </c>
      <c r="C90" s="54" t="s">
        <v>259</v>
      </c>
      <c r="D90" s="91"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231</v>
      </c>
      <c r="C91" s="54" t="s">
        <v>253</v>
      </c>
      <c r="D91" s="91" t="s">
        <v>487</v>
      </c>
      <c r="E91"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1" s="54" t="s">
        <v>232</v>
      </c>
    </row>
    <row r="92" spans="2:6">
      <c r="B92" s="54" t="s">
        <v>300</v>
      </c>
      <c r="C92" s="54" t="s">
        <v>255</v>
      </c>
      <c r="D92" s="91" t="s">
        <v>488</v>
      </c>
      <c r="E92"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2" s="54" t="s">
        <v>232</v>
      </c>
    </row>
    <row r="93" spans="2:6">
      <c r="B93" s="54" t="s">
        <v>300</v>
      </c>
      <c r="C93" s="54" t="s">
        <v>256</v>
      </c>
      <c r="D93" s="91" t="s">
        <v>489</v>
      </c>
      <c r="E93"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3" s="54" t="s">
        <v>232</v>
      </c>
    </row>
    <row r="94" spans="2:6">
      <c r="B94" s="54" t="s">
        <v>300</v>
      </c>
      <c r="C94" s="54" t="s">
        <v>260</v>
      </c>
      <c r="D94" s="91" t="s">
        <v>490</v>
      </c>
      <c r="E94"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4" s="54" t="s">
        <v>232</v>
      </c>
    </row>
    <row r="95" spans="2:6">
      <c r="B95" s="54" t="s">
        <v>300</v>
      </c>
      <c r="C95" s="54" t="s">
        <v>369</v>
      </c>
      <c r="D95" s="91" t="s">
        <v>559</v>
      </c>
      <c r="E95" s="17" t="str">
        <f t="shared" si="2"/>
        <v>"[FOOTER RULE] End your response with: '--- ⚡ *Coding5s Mentor System — Eliminating Technical Debt with Elegance*'",</v>
      </c>
      <c r="F95" s="54" t="s">
        <v>232</v>
      </c>
    </row>
    <row r="96" spans="2:6">
      <c r="B96" s="54"/>
      <c r="C96" s="54"/>
      <c r="D96" s="91"/>
      <c r="E96" s="89" t="s">
        <v>491</v>
      </c>
      <c r="F96" s="54" t="s">
        <v>232</v>
      </c>
    </row>
    <row r="97" spans="2:6">
      <c r="B97" s="54"/>
      <c r="C97" s="54"/>
      <c r="D97" s="91"/>
      <c r="E97" s="78" t="str">
        <f t="shared" ref="E97:E99" si="3">IF(D97="","",""""&amp;C97&amp;" "&amp;IF(C97="[FOOTER RULE - STRICT]",D97,IF(RIGHT(D97,6)=" | "&amp;CHAR(34)&amp;" &amp;",D97,D97&amp;" | "&amp;CHAR(34)&amp;" &amp;")))</f>
        <v/>
      </c>
      <c r="F97" s="54" t="s">
        <v>232</v>
      </c>
    </row>
    <row r="98" spans="2:6">
      <c r="B98" s="54"/>
      <c r="C98" s="54"/>
      <c r="D98" s="91"/>
      <c r="E98" s="78" t="str">
        <f t="shared" si="3"/>
        <v/>
      </c>
      <c r="F98" s="54" t="s">
        <v>232</v>
      </c>
    </row>
    <row r="99" spans="2:6">
      <c r="B99" s="54"/>
      <c r="C99" s="54"/>
      <c r="D99" s="91"/>
      <c r="E99" s="78" t="str">
        <f t="shared" si="3"/>
        <v/>
      </c>
      <c r="F99" s="54" t="s">
        <v>232</v>
      </c>
    </row>
  </sheetData>
  <conditionalFormatting sqref="B1:B1048576">
    <cfRule type="cellIs" dxfId="23" priority="10" operator="equal">
      <formula>"The Immutable Kernel"</formula>
    </cfRule>
    <cfRule type="cellIs" dxfId="22" priority="11" operator="equal">
      <formula>"Paradigm &amp; Ecosystem"</formula>
    </cfRule>
    <cfRule type="cellIs" dxfId="21" priority="12" operator="equal">
      <formula>"Global Variables &amp; Configuration"</formula>
    </cfRule>
  </conditionalFormatting>
  <conditionalFormatting sqref="C4:C41">
    <cfRule type="expression" dxfId="20" priority="7">
      <formula>$B4="The Immutable Kernel"</formula>
    </cfRule>
    <cfRule type="expression" dxfId="19" priority="8">
      <formula>$B4="Paradigm &amp; Ecosystem"</formula>
    </cfRule>
    <cfRule type="expression" dxfId="18" priority="9">
      <formula>$B4="Global Variables &amp; Configuration"</formula>
    </cfRule>
  </conditionalFormatting>
  <conditionalFormatting sqref="C46:C75">
    <cfRule type="expression" dxfId="17" priority="4">
      <formula>$B46="The Immutable Kernel"</formula>
    </cfRule>
    <cfRule type="expression" dxfId="16" priority="5">
      <formula>$B46="Paradigm &amp; Ecosystem"</formula>
    </cfRule>
    <cfRule type="expression" dxfId="15" priority="6">
      <formula>$B46="Global Variables &amp; Configuration"</formula>
    </cfRule>
  </conditionalFormatting>
  <conditionalFormatting sqref="C80:C99">
    <cfRule type="expression" dxfId="14" priority="1">
      <formula>$B80="The Immutable Kernel"</formula>
    </cfRule>
    <cfRule type="expression" dxfId="13" priority="2">
      <formula>$B80="Paradigm &amp; Ecosystem"</formula>
    </cfRule>
    <cfRule type="expression" dxfId="12" priority="3">
      <formula>$B80="Global Variables &amp; Configuration"</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503</v>
      </c>
      <c r="D2" s="82" t="s">
        <v>504</v>
      </c>
      <c r="H2" s="83" t="s">
        <v>297</v>
      </c>
      <c r="T2" s="83" t="s">
        <v>298</v>
      </c>
    </row>
    <row r="3" spans="2:29">
      <c r="B3" s="77" t="s">
        <v>229</v>
      </c>
      <c r="C3" s="77" t="s">
        <v>639</v>
      </c>
      <c r="D3" s="77" t="s">
        <v>640</v>
      </c>
      <c r="E3" s="89" t="s">
        <v>237</v>
      </c>
      <c r="F3" s="4" t="s">
        <v>232</v>
      </c>
      <c r="AC3" t="s">
        <v>232</v>
      </c>
    </row>
    <row r="4" spans="2:29">
      <c r="B4" s="76" t="s">
        <v>230</v>
      </c>
      <c r="C4" s="54" t="s">
        <v>165</v>
      </c>
      <c r="D4" s="92" t="s">
        <v>507</v>
      </c>
      <c r="E4" s="78" t="str">
        <f t="shared" ref="E4:E41" si="0">IF(D4="","",""""&amp;C4&amp;" "&amp;IF(C4="[FOOTER RULE - STRICT]",D4,IF(RIGHT(D4,6)=" | "&amp;CHAR(34)&amp;" &amp;",D4,D4&amp;" | "&amp;CHAR(34)&amp;" &amp;")))</f>
        <v>"[ROLE] Tech Product Manager assigning a " &amp; $I$2 &amp; " Jira Ticket | " &amp;</v>
      </c>
      <c r="F4" s="54" t="s">
        <v>232</v>
      </c>
    </row>
    <row r="5" spans="2:29">
      <c r="B5" s="76" t="s">
        <v>230</v>
      </c>
      <c r="C5" s="54" t="s">
        <v>167</v>
      </c>
      <c r="D5" s="92" t="s">
        <v>508</v>
      </c>
      <c r="E5" s="78" t="str">
        <f t="shared" si="0"/>
        <v>"[TASK] Provide a guided implementation exercise with full solution for learning purposes | " &amp;</v>
      </c>
      <c r="F5" s="54" t="s">
        <v>232</v>
      </c>
    </row>
    <row r="6" spans="2:29">
      <c r="B6" s="76" t="s">
        <v>230</v>
      </c>
      <c r="C6" s="54" t="s">
        <v>169</v>
      </c>
      <c r="D6" s="92" t="s">
        <v>170</v>
      </c>
      <c r="E6" s="78" t="str">
        <f t="shared" si="0"/>
        <v>"[TOPIC] " &amp; I9 &amp; " | " &amp;</v>
      </c>
      <c r="F6" s="54" t="s">
        <v>232</v>
      </c>
    </row>
    <row r="7" spans="2:29">
      <c r="B7" s="76" t="s">
        <v>230</v>
      </c>
      <c r="C7" s="54" t="s">
        <v>171</v>
      </c>
      <c r="D7" s="92" t="s">
        <v>172</v>
      </c>
      <c r="E7" s="78" t="str">
        <f t="shared" si="0"/>
        <v>"[LEVEL] " &amp; G9 &amp; " | " &amp;</v>
      </c>
      <c r="F7" s="54" t="s">
        <v>232</v>
      </c>
    </row>
    <row r="8" spans="2:29">
      <c r="B8" s="76" t="s">
        <v>230</v>
      </c>
      <c r="C8" s="54" t="s">
        <v>238</v>
      </c>
      <c r="D8" s="92" t="s">
        <v>291</v>
      </c>
      <c r="E8" s="78" t="str">
        <f t="shared" si="0"/>
        <v>"[LIBRARY BEING LEARNED] " &amp; $I$3 &amp; " | " &amp;</v>
      </c>
      <c r="F8" s="54" t="s">
        <v>232</v>
      </c>
    </row>
    <row r="9" spans="2:29">
      <c r="B9" s="76" t="s">
        <v>230</v>
      </c>
      <c r="C9" s="54" t="s">
        <v>233</v>
      </c>
      <c r="D9" s="92" t="s">
        <v>351</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232</v>
      </c>
    </row>
    <row r="10" spans="2:29">
      <c r="B10" s="76" t="s">
        <v>230</v>
      </c>
      <c r="C10" s="54" t="s">
        <v>175</v>
      </c>
      <c r="D10" s="92" t="s">
        <v>509</v>
      </c>
      <c r="E10" s="78" t="str">
        <f t="shared" si="0"/>
        <v>"[PERSONA RULE] Act as a professional Tech Product Manager writing clear Jira tickets | " &amp;</v>
      </c>
      <c r="F10" s="54" t="s">
        <v>232</v>
      </c>
    </row>
    <row r="11" spans="2:29">
      <c r="B11" s="76" t="s">
        <v>230</v>
      </c>
      <c r="C11" s="54" t="s">
        <v>177</v>
      </c>
      <c r="D11" s="92" t="s">
        <v>442</v>
      </c>
      <c r="E11"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232</v>
      </c>
    </row>
    <row r="12" spans="2:29">
      <c r="B12" s="76" t="s">
        <v>230</v>
      </c>
      <c r="C12" s="54" t="s">
        <v>550</v>
      </c>
      <c r="D12" s="92" t="s">
        <v>542</v>
      </c>
      <c r="E12" s="78" t="str">
        <f t="shared" si="0"/>
        <v>"[LANGUAGE SEED CONTEXT] " &amp; IF($AE$7 = "", "Language Seed Not Necessary", "You MUST strictly follow this seed context to enhance, adapt, and naturalize your tone, vocabulary, and instructional quality in " &amp; $B$6 &amp; ": " &amp; $AE$7) &amp; " | " &amp;</v>
      </c>
      <c r="F12" s="54" t="s">
        <v>232</v>
      </c>
    </row>
    <row r="13" spans="2:29">
      <c r="B13" s="76" t="s">
        <v>230</v>
      </c>
      <c r="C13" s="54" t="s">
        <v>223</v>
      </c>
      <c r="D13" s="92" t="s">
        <v>653</v>
      </c>
      <c r="E13" s="78"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232</v>
      </c>
    </row>
    <row r="14" spans="2:29">
      <c r="B14" s="84" t="s">
        <v>231</v>
      </c>
      <c r="C14" s="54" t="s">
        <v>241</v>
      </c>
      <c r="D14" s="92"/>
      <c r="E14" s="78" t="str">
        <f t="shared" si="0"/>
        <v/>
      </c>
      <c r="F14" s="54" t="s">
        <v>232</v>
      </c>
    </row>
    <row r="15" spans="2:29">
      <c r="B15" s="84" t="s">
        <v>231</v>
      </c>
      <c r="C15" s="54" t="s">
        <v>241</v>
      </c>
      <c r="D15" s="92"/>
      <c r="E15" s="78" t="str">
        <f t="shared" si="0"/>
        <v/>
      </c>
      <c r="F15" s="54" t="s">
        <v>232</v>
      </c>
    </row>
    <row r="16" spans="2:29">
      <c r="B16" s="84" t="s">
        <v>231</v>
      </c>
      <c r="C16" s="54" t="s">
        <v>514</v>
      </c>
      <c r="D16" s="92" t="s">
        <v>515</v>
      </c>
      <c r="E16" s="78" t="str">
        <f t="shared" si="0"/>
        <v>"[CRITICAL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v>
      </c>
      <c r="F16" s="54" t="s">
        <v>232</v>
      </c>
    </row>
    <row r="17" spans="2:6">
      <c r="B17" s="84" t="s">
        <v>231</v>
      </c>
      <c r="C17" s="54" t="s">
        <v>186</v>
      </c>
      <c r="D17" s="92" t="s">
        <v>516</v>
      </c>
      <c r="E17" s="78" t="str">
        <f t="shared" si="0"/>
        <v>"[FUNCTION RULE] Rule: " &amp; IF(G9="Beginner", "Use simple scripts or minimal functions. ", IF(G9="Intermediate", "Use functions where appropriate. ", "Use modular functions with clear structure. ")) &amp; " | " &amp;</v>
      </c>
      <c r="F17" s="54" t="s">
        <v>232</v>
      </c>
    </row>
    <row r="18" spans="2:6">
      <c r="B18" s="84" t="s">
        <v>231</v>
      </c>
      <c r="C18" s="54" t="s">
        <v>187</v>
      </c>
      <c r="D18" s="92" t="s">
        <v>517</v>
      </c>
      <c r="E18" s="78" t="str">
        <f t="shared" si="0"/>
        <v>"[CODE QUALITY RULE] Code MUST be clean, readable, and production-like | " &amp;</v>
      </c>
      <c r="F18" s="54" t="s">
        <v>232</v>
      </c>
    </row>
    <row r="19" spans="2:6">
      <c r="B19" s="85" t="s">
        <v>231</v>
      </c>
      <c r="C19" s="54" t="s">
        <v>195</v>
      </c>
      <c r="D19" s="92" t="s">
        <v>522</v>
      </c>
      <c r="E19" s="78" t="str">
        <f t="shared" si="0"/>
        <v>"[FILE HANDLING RULE] Use correct loaders and enforce encoding='utf-8' and newline=' when applicable | " &amp;</v>
      </c>
      <c r="F19" s="54" t="s">
        <v>232</v>
      </c>
    </row>
    <row r="20" spans="2:6">
      <c r="B20" s="85" t="s">
        <v>231</v>
      </c>
      <c r="C20" s="54" t="s">
        <v>197</v>
      </c>
      <c r="D20" s="92" t="s">
        <v>448</v>
      </c>
      <c r="E20" s="78" t="str">
        <f t="shared" si="0"/>
        <v>"[DATA TYPE RULE] Explicit casting required before calculations | " &amp;</v>
      </c>
      <c r="F20" s="54" t="s">
        <v>232</v>
      </c>
    </row>
    <row r="21" spans="2:6">
      <c r="B21" s="54" t="s">
        <v>231</v>
      </c>
      <c r="C21" s="54" t="s">
        <v>198</v>
      </c>
      <c r="D21" s="92" t="s">
        <v>518</v>
      </c>
      <c r="E21" s="78" t="str">
        <f t="shared" si="0"/>
        <v>"[DATA ROBUSTNESS RULE] Handle missing or malformed data safely | " &amp;</v>
      </c>
      <c r="F21" s="54" t="s">
        <v>232</v>
      </c>
    </row>
    <row r="22" spans="2:6">
      <c r="B22" s="54" t="s">
        <v>231</v>
      </c>
      <c r="C22" s="54" t="s">
        <v>199</v>
      </c>
      <c r="D22" s="92" t="s">
        <v>450</v>
      </c>
      <c r="E22" s="78" t="str">
        <f t="shared" si="0"/>
        <v>"[BOOLEAN HANDLING RULE] Normalize boolean values before comparison | " &amp;</v>
      </c>
      <c r="F22" s="54" t="s">
        <v>232</v>
      </c>
    </row>
    <row r="23" spans="2:6">
      <c r="B23" s="54" t="s">
        <v>231</v>
      </c>
      <c r="C23" s="54" t="s">
        <v>200</v>
      </c>
      <c r="D23" s="92" t="s">
        <v>451</v>
      </c>
      <c r="E23" s="78" t="str">
        <f t="shared" si="0"/>
        <v>"[DATA CONSISTENCY RULE] Respect dataset schema | " &amp;</v>
      </c>
      <c r="F23" s="54" t="s">
        <v>232</v>
      </c>
    </row>
    <row r="24" spans="2:6">
      <c r="B24" s="54" t="s">
        <v>231</v>
      </c>
      <c r="C24" s="54" t="s">
        <v>510</v>
      </c>
      <c r="D24" s="92" t="s">
        <v>511</v>
      </c>
      <c r="E24" s="78"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232</v>
      </c>
    </row>
    <row r="25" spans="2:6">
      <c r="B25" s="54" t="s">
        <v>300</v>
      </c>
      <c r="C25" s="54" t="s">
        <v>179</v>
      </c>
      <c r="D25" s="92" t="s">
        <v>512</v>
      </c>
      <c r="E25"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v>
      </c>
      <c r="F25" s="54" t="s">
        <v>232</v>
      </c>
    </row>
    <row r="26" spans="2:6">
      <c r="B26" s="54" t="s">
        <v>300</v>
      </c>
      <c r="C26" s="54" t="s">
        <v>180</v>
      </c>
      <c r="D26" s="92" t="s">
        <v>454</v>
      </c>
      <c r="E26" s="78" t="str">
        <f t="shared" si="0"/>
        <v>"[DATA SUMMARY FORMAT RULE] When a dataset is present, you MUST display IMMEDIATELY AFTER THE HEADER: Dataset Summary: - File Type: - Columns / Fields: - Data Types: - Notes: | " &amp;</v>
      </c>
      <c r="F26" s="54" t="s">
        <v>232</v>
      </c>
    </row>
    <row r="27" spans="2:6">
      <c r="B27" s="54" t="s">
        <v>300</v>
      </c>
      <c r="C27" s="54" t="s">
        <v>182</v>
      </c>
      <c r="D27" s="92" t="s">
        <v>549</v>
      </c>
      <c r="E27" s="78"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232</v>
      </c>
    </row>
    <row r="28" spans="2:6">
      <c r="B28" s="54" t="s">
        <v>300</v>
      </c>
      <c r="C28" s="54" t="s">
        <v>184</v>
      </c>
      <c r="D28" s="92" t="s">
        <v>513</v>
      </c>
      <c r="E28" s="78"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232</v>
      </c>
    </row>
    <row r="29" spans="2:6">
      <c r="B29" s="54" t="s">
        <v>300</v>
      </c>
      <c r="C29" s="54" t="s">
        <v>335</v>
      </c>
      <c r="D29" s="92" t="s">
        <v>519</v>
      </c>
      <c r="E29" s="78"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232</v>
      </c>
    </row>
    <row r="30" spans="2:6">
      <c r="B30" s="54" t="s">
        <v>300</v>
      </c>
      <c r="C30" s="54" t="s">
        <v>203</v>
      </c>
      <c r="D30" s="92" t="s">
        <v>461</v>
      </c>
      <c r="E30" s="78" t="str">
        <f t="shared" si="0"/>
        <v>"[DIFFICULTY RULE] Complexity MUST match level | " &amp;</v>
      </c>
      <c r="F30" s="54" t="s">
        <v>232</v>
      </c>
    </row>
    <row r="31" spans="2:6">
      <c r="B31" s="54" t="s">
        <v>300</v>
      </c>
      <c r="C31" s="54" t="s">
        <v>215</v>
      </c>
      <c r="D31" s="92" t="s">
        <v>314</v>
      </c>
      <c r="E31" s="78" t="str">
        <f t="shared" si="0"/>
        <v>"[FORMAT RULE] Only valid markdown code blocks allowed | " &amp;</v>
      </c>
      <c r="F31" s="54" t="s">
        <v>232</v>
      </c>
    </row>
    <row r="32" spans="2:6">
      <c r="B32" s="54" t="s">
        <v>300</v>
      </c>
      <c r="C32" s="54" t="s">
        <v>217</v>
      </c>
      <c r="D32" s="92" t="s">
        <v>315</v>
      </c>
      <c r="E32" s="78" t="str">
        <f t="shared" si="0"/>
        <v>"[LANGUAGE TAG RULE] ALWAYS label markdown code blocks with the correct underlying programming language (e.g., python, javascript, sql) | " &amp;</v>
      </c>
      <c r="F32" s="54" t="s">
        <v>232</v>
      </c>
    </row>
    <row r="33" spans="2:6">
      <c r="B33" s="54" t="s">
        <v>300</v>
      </c>
      <c r="C33" s="54" t="s">
        <v>224</v>
      </c>
      <c r="D33" s="92" t="s">
        <v>520</v>
      </c>
      <c r="E33" s="78" t="str">
        <f t="shared" si="0"/>
        <v>"[OUTPUT] Only header, dataset summary or statement (if any), the defined sections, and footer | " &amp;</v>
      </c>
      <c r="F33" s="54" t="s">
        <v>232</v>
      </c>
    </row>
    <row r="34" spans="2:6">
      <c r="B34" s="54" t="s">
        <v>300</v>
      </c>
      <c r="C34" s="54" t="s">
        <v>228</v>
      </c>
      <c r="D34" s="92" t="s">
        <v>521</v>
      </c>
      <c r="E34" s="78" t="str">
        <f t="shared" si="0"/>
        <v>"[FOOTER RULE - STRICT] End your entire response EXACTLY with this markdown string (ensure all code blocks are closed before it):" &amp; CHAR(10) &amp; "---" &amp; CHAR(10) &amp; "⚡ *Coding5s System — Learn Programming by Writing Code*",</v>
      </c>
      <c r="F34" s="54" t="s">
        <v>232</v>
      </c>
    </row>
    <row r="35" spans="2:6">
      <c r="B35" s="54"/>
      <c r="C35" s="54"/>
      <c r="D35" s="92"/>
      <c r="E35" s="89" t="s">
        <v>523</v>
      </c>
      <c r="F35" s="54" t="s">
        <v>232</v>
      </c>
    </row>
    <row r="36" spans="2:6">
      <c r="B36" s="54"/>
      <c r="C36" s="54"/>
      <c r="D36" s="92"/>
      <c r="E36" s="78" t="str">
        <f t="shared" si="0"/>
        <v/>
      </c>
      <c r="F36" s="54" t="s">
        <v>232</v>
      </c>
    </row>
    <row r="37" spans="2:6">
      <c r="B37" s="54"/>
      <c r="C37" s="54"/>
      <c r="D37" s="92"/>
      <c r="E37" s="78" t="str">
        <f t="shared" si="0"/>
        <v/>
      </c>
      <c r="F37" s="54" t="s">
        <v>232</v>
      </c>
    </row>
    <row r="38" spans="2:6">
      <c r="B38" s="54"/>
      <c r="C38" s="54"/>
      <c r="D38" s="92"/>
      <c r="E38" s="78" t="str">
        <f t="shared" si="0"/>
        <v/>
      </c>
      <c r="F38" s="54" t="s">
        <v>232</v>
      </c>
    </row>
    <row r="39" spans="2:6">
      <c r="B39" s="54"/>
      <c r="C39" s="54"/>
      <c r="D39" s="92"/>
      <c r="E39" s="78" t="str">
        <f t="shared" si="0"/>
        <v/>
      </c>
      <c r="F39" s="54" t="s">
        <v>232</v>
      </c>
    </row>
    <row r="40" spans="2:6">
      <c r="B40" s="54"/>
      <c r="C40" s="54"/>
      <c r="D40" s="92"/>
      <c r="E40" s="78" t="str">
        <f t="shared" si="0"/>
        <v/>
      </c>
      <c r="F40" s="54" t="s">
        <v>232</v>
      </c>
    </row>
    <row r="41" spans="2:6">
      <c r="B41" s="54"/>
      <c r="C41" s="54"/>
      <c r="D41" s="92"/>
      <c r="E41" s="78" t="str">
        <f t="shared" si="0"/>
        <v/>
      </c>
      <c r="F41" s="54" t="s">
        <v>232</v>
      </c>
    </row>
    <row r="42" spans="2:6">
      <c r="B42" s="54"/>
      <c r="C42" s="54"/>
      <c r="D42" s="92"/>
      <c r="E42" s="78"/>
      <c r="F42" s="54"/>
    </row>
    <row r="43" spans="2:6">
      <c r="B43" s="75"/>
      <c r="C43" s="75"/>
      <c r="E43" s="87"/>
    </row>
    <row r="44" spans="2:6">
      <c r="B44" s="75"/>
      <c r="C44" s="75"/>
      <c r="E44" s="87"/>
    </row>
    <row r="45" spans="2:6" ht="36">
      <c r="B45" s="80" t="s">
        <v>505</v>
      </c>
      <c r="C45" s="75"/>
      <c r="E45" s="87"/>
    </row>
    <row r="46" spans="2:6">
      <c r="B46" s="77" t="s">
        <v>286</v>
      </c>
      <c r="C46" s="77" t="s">
        <v>639</v>
      </c>
      <c r="D46" s="77" t="s">
        <v>640</v>
      </c>
      <c r="E46" s="89" t="s">
        <v>287</v>
      </c>
      <c r="F46" s="32" t="s">
        <v>232</v>
      </c>
    </row>
    <row r="47" spans="2:6">
      <c r="B47" s="54" t="s">
        <v>230</v>
      </c>
      <c r="C47" s="54" t="s">
        <v>165</v>
      </c>
      <c r="D47" s="92" t="s">
        <v>507</v>
      </c>
      <c r="E47" s="78" t="str">
        <f>IF(D47="","",""""&amp;C47&amp;" "&amp;IF(C47="[FOOTER RULE - STRICT]",D47,IF(RIGHT(D47,6)=" | "&amp;CHAR(34)&amp;" &amp;",D47,D47&amp;" | "&amp;CHAR(34)&amp;" &amp;")))</f>
        <v>"[ROLE] Tech Product Manager assigning a " &amp; $I$2 &amp; " Jira Ticket | " &amp;</v>
      </c>
      <c r="F47" s="32" t="s">
        <v>232</v>
      </c>
    </row>
    <row r="48" spans="2:6">
      <c r="B48" s="54" t="s">
        <v>230</v>
      </c>
      <c r="C48" s="54" t="s">
        <v>167</v>
      </c>
      <c r="D48" s="92" t="s">
        <v>524</v>
      </c>
      <c r="E48" s="78" t="str">
        <f t="shared" ref="E48:E76" si="1">IF(D48="","",""""&amp;C48&amp;" "&amp;IF(C48="[FOOTER RULE - STRICT]",D48,IF(RIGHT(D48,6)=" | "&amp;CHAR(34)&amp;" &amp;",D48,D48&amp;" | "&amp;CHAR(34)&amp;" &amp;")))</f>
        <v>"[TASK] Provide a guided project implementation with full solution | " &amp;</v>
      </c>
      <c r="F48" s="32" t="s">
        <v>232</v>
      </c>
    </row>
    <row r="49" spans="2:6">
      <c r="B49" s="54" t="s">
        <v>230</v>
      </c>
      <c r="C49" s="54" t="s">
        <v>349</v>
      </c>
      <c r="D49" s="92" t="s">
        <v>170</v>
      </c>
      <c r="E49" s="78" t="str">
        <f t="shared" si="1"/>
        <v>"[PROJECT] " &amp; I9 &amp; " | " &amp;</v>
      </c>
      <c r="F49" s="32" t="s">
        <v>232</v>
      </c>
    </row>
    <row r="50" spans="2:6">
      <c r="B50" s="54" t="s">
        <v>230</v>
      </c>
      <c r="C50" s="54" t="s">
        <v>272</v>
      </c>
      <c r="D50" s="92" t="s">
        <v>273</v>
      </c>
      <c r="E50" s="78" t="str">
        <f t="shared" si="1"/>
        <v>"[TOPICS USED] " &amp; B9 &amp; " | " &amp;</v>
      </c>
      <c r="F50" s="32" t="s">
        <v>232</v>
      </c>
    </row>
    <row r="51" spans="2:6">
      <c r="B51" s="54" t="s">
        <v>230</v>
      </c>
      <c r="C51" s="54" t="s">
        <v>171</v>
      </c>
      <c r="D51" s="92" t="s">
        <v>172</v>
      </c>
      <c r="E51" s="78" t="str">
        <f t="shared" si="1"/>
        <v>"[LEVEL] " &amp; G9 &amp; " | " &amp;</v>
      </c>
      <c r="F51" s="32" t="s">
        <v>232</v>
      </c>
    </row>
    <row r="52" spans="2:6">
      <c r="B52" s="54" t="s">
        <v>230</v>
      </c>
      <c r="C52" s="54" t="s">
        <v>175</v>
      </c>
      <c r="D52" s="92" t="s">
        <v>525</v>
      </c>
      <c r="E52" s="78" t="str">
        <f t="shared" si="1"/>
        <v>"[PERSONA RULE] Act as a professional Tech Product Manager defining a project ticket | " &amp;</v>
      </c>
      <c r="F52" s="32" t="s">
        <v>232</v>
      </c>
    </row>
    <row r="53" spans="2:6">
      <c r="B53" s="54" t="s">
        <v>230</v>
      </c>
      <c r="C53" s="54" t="s">
        <v>238</v>
      </c>
      <c r="D53" s="92" t="s">
        <v>291</v>
      </c>
      <c r="E53" s="78" t="str">
        <f t="shared" si="1"/>
        <v>"[LIBRARY BEING LEARNED] " &amp; $I$3 &amp; " | " &amp;</v>
      </c>
      <c r="F53" s="32" t="s">
        <v>232</v>
      </c>
    </row>
    <row r="54" spans="2:6">
      <c r="B54" s="54" t="s">
        <v>230</v>
      </c>
      <c r="C54" s="54" t="s">
        <v>233</v>
      </c>
      <c r="D54" s="92" t="s">
        <v>239</v>
      </c>
      <c r="E54"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4" s="32" t="s">
        <v>232</v>
      </c>
    </row>
    <row r="55" spans="2:6">
      <c r="B55" s="54" t="s">
        <v>230</v>
      </c>
      <c r="C55" s="54" t="s">
        <v>223</v>
      </c>
      <c r="D55" s="92" t="s">
        <v>654</v>
      </c>
      <c r="E55" s="78"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232</v>
      </c>
    </row>
    <row r="56" spans="2:6">
      <c r="B56" s="54" t="s">
        <v>230</v>
      </c>
      <c r="C56" s="54" t="s">
        <v>177</v>
      </c>
      <c r="D56" s="92" t="s">
        <v>526</v>
      </c>
      <c r="E56" s="78"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232</v>
      </c>
    </row>
    <row r="57" spans="2:6">
      <c r="B57" s="54" t="s">
        <v>230</v>
      </c>
      <c r="C57" s="54" t="s">
        <v>550</v>
      </c>
      <c r="D57" s="92" t="s">
        <v>542</v>
      </c>
      <c r="E57" s="78" t="str">
        <f t="shared" si="1"/>
        <v>"[LANGUAGE SEED CONTEXT] " &amp; IF($AE$7 = "", "Language Seed Not Necessary", "You MUST strictly follow this seed context to enhance, adapt, and naturalize your tone, vocabulary, and instructional quality in " &amp; $B$6 &amp; ": " &amp; $AE$7) &amp; " | " &amp;</v>
      </c>
      <c r="F57" s="32" t="s">
        <v>232</v>
      </c>
    </row>
    <row r="58" spans="2:6">
      <c r="B58" s="54" t="s">
        <v>231</v>
      </c>
      <c r="C58" s="54" t="s">
        <v>241</v>
      </c>
      <c r="D58" s="92"/>
      <c r="E58" s="78" t="str">
        <f t="shared" si="1"/>
        <v/>
      </c>
      <c r="F58" s="32" t="s">
        <v>232</v>
      </c>
    </row>
    <row r="59" spans="2:6">
      <c r="B59" s="54" t="s">
        <v>231</v>
      </c>
      <c r="C59" s="54" t="s">
        <v>241</v>
      </c>
      <c r="D59" s="92"/>
      <c r="E59" s="78" t="str">
        <f t="shared" si="1"/>
        <v/>
      </c>
      <c r="F59" s="32" t="s">
        <v>232</v>
      </c>
    </row>
    <row r="60" spans="2:6">
      <c r="B60" s="54" t="s">
        <v>231</v>
      </c>
      <c r="C60" s="54" t="s">
        <v>184</v>
      </c>
      <c r="D60" s="92" t="s">
        <v>527</v>
      </c>
      <c r="E60" s="78"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v>
      </c>
      <c r="F60" s="32" t="s">
        <v>232</v>
      </c>
    </row>
    <row r="61" spans="2:6">
      <c r="B61" s="54" t="s">
        <v>231</v>
      </c>
      <c r="C61" s="54" t="s">
        <v>514</v>
      </c>
      <c r="D61" s="92" t="s">
        <v>528</v>
      </c>
      <c r="E61" s="78" t="str">
        <f t="shared" si="1"/>
        <v>"[CRITICAL OUTPUT RULE] Output MUST match real execution - Convert sets to sorted lists before printing | " &amp;</v>
      </c>
      <c r="F61" s="32" t="s">
        <v>232</v>
      </c>
    </row>
    <row r="62" spans="2:6">
      <c r="B62" s="54" t="s">
        <v>231</v>
      </c>
      <c r="C62" s="54" t="s">
        <v>186</v>
      </c>
      <c r="D62" s="92" t="s">
        <v>529</v>
      </c>
      <c r="E62" s="78" t="str">
        <f t="shared" si="1"/>
        <v>"[FUNCTION RULE] " &amp; IF(G9="Beginner", "Avoid complex structure. ", IF(G9="Intermediate", "Functions optional. ", "Use structured modular functions. ")) &amp; " | " &amp;</v>
      </c>
      <c r="F62" s="32" t="s">
        <v>232</v>
      </c>
    </row>
    <row r="63" spans="2:6">
      <c r="B63" s="54" t="s">
        <v>300</v>
      </c>
      <c r="C63" s="54" t="s">
        <v>510</v>
      </c>
      <c r="D63" s="92" t="s">
        <v>530</v>
      </c>
      <c r="E63" s="78"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232</v>
      </c>
    </row>
    <row r="64" spans="2:6">
      <c r="B64" s="54" t="s">
        <v>300</v>
      </c>
      <c r="C64" s="54" t="s">
        <v>179</v>
      </c>
      <c r="D64" s="92" t="s">
        <v>531</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232</v>
      </c>
    </row>
    <row r="65" spans="2:6">
      <c r="B65" s="54" t="s">
        <v>300</v>
      </c>
      <c r="C65" s="54" t="s">
        <v>182</v>
      </c>
      <c r="D65" s="92" t="s">
        <v>532</v>
      </c>
      <c r="E65" s="78"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232</v>
      </c>
    </row>
    <row r="66" spans="2:6">
      <c r="B66" s="54" t="s">
        <v>300</v>
      </c>
      <c r="C66" s="54" t="s">
        <v>187</v>
      </c>
      <c r="D66" s="92" t="s">
        <v>533</v>
      </c>
      <c r="E66" s="78" t="str">
        <f t="shared" si="1"/>
        <v>"[CODE QUALITY RULE] Code MUST be clean and realistic | " &amp;</v>
      </c>
      <c r="F66" s="32" t="s">
        <v>232</v>
      </c>
    </row>
    <row r="67" spans="2:6">
      <c r="B67" s="54" t="s">
        <v>300</v>
      </c>
      <c r="C67" s="54" t="s">
        <v>198</v>
      </c>
      <c r="D67" s="92" t="s">
        <v>471</v>
      </c>
      <c r="E67" s="78" t="str">
        <f t="shared" si="1"/>
        <v>"[DATA ROBUSTNESS RULE] Handle real-world data safely | " &amp;</v>
      </c>
      <c r="F67" s="32" t="s">
        <v>232</v>
      </c>
    </row>
    <row r="68" spans="2:6">
      <c r="B68" s="54" t="s">
        <v>300</v>
      </c>
      <c r="C68" s="54" t="s">
        <v>215</v>
      </c>
      <c r="D68" s="92" t="s">
        <v>534</v>
      </c>
      <c r="E68" s="78" t="str">
        <f t="shared" si="1"/>
        <v>"[FORMAT RULE] Only markdown code blocks allowed | " &amp;</v>
      </c>
      <c r="F68" s="32" t="s">
        <v>232</v>
      </c>
    </row>
    <row r="69" spans="2:6">
      <c r="B69" s="54" t="s">
        <v>300</v>
      </c>
      <c r="C69" s="54" t="s">
        <v>217</v>
      </c>
      <c r="D69" s="92" t="s">
        <v>315</v>
      </c>
      <c r="E69" s="78" t="str">
        <f t="shared" si="1"/>
        <v>"[LANGUAGE TAG RULE] ALWAYS label markdown code blocks with the correct underlying programming language (e.g., python, javascript, sql) | " &amp;</v>
      </c>
      <c r="F69" s="32" t="s">
        <v>232</v>
      </c>
    </row>
    <row r="70" spans="2:6">
      <c r="B70" s="54" t="s">
        <v>300</v>
      </c>
      <c r="C70" s="54" t="s">
        <v>281</v>
      </c>
      <c r="D70" s="92" t="s">
        <v>535</v>
      </c>
      <c r="E70" s="78" t="str">
        <f t="shared" si="1"/>
        <v>"[EXECUTION RULE] Code MUST run correctly | " &amp;</v>
      </c>
      <c r="F70" s="32" t="s">
        <v>232</v>
      </c>
    </row>
    <row r="71" spans="2:6">
      <c r="B71" s="54" t="s">
        <v>300</v>
      </c>
      <c r="C71" s="54" t="s">
        <v>224</v>
      </c>
      <c r="D71" s="92" t="s">
        <v>536</v>
      </c>
      <c r="E71" s="78" t="str">
        <f t="shared" si="1"/>
        <v>"[OUTPUT] Only header, dataset summary or statement (if any), defined sections, and footer, | " &amp;</v>
      </c>
      <c r="F71" s="32" t="s">
        <v>232</v>
      </c>
    </row>
    <row r="72" spans="2:6">
      <c r="B72" s="54" t="s">
        <v>300</v>
      </c>
      <c r="C72" s="54" t="s">
        <v>228</v>
      </c>
      <c r="D72" s="92" t="s">
        <v>285</v>
      </c>
      <c r="E72" s="78" t="str">
        <f t="shared" si="1"/>
        <v>"[FOOTER RULE - STRICT] End your entire response EXACTLY with this markdown string (ensure all code blocks are closed before it):" &amp; CHAR(10) &amp; "---" &amp; CHAR(10) &amp; "⚡ *Coding5s System — Learn Programming by Writing Code*")</v>
      </c>
      <c r="F72" s="32" t="s">
        <v>232</v>
      </c>
    </row>
    <row r="73" spans="2:6">
      <c r="B73" s="54"/>
      <c r="C73" s="54"/>
      <c r="D73" s="92"/>
      <c r="E73" s="78" t="str">
        <f t="shared" si="1"/>
        <v/>
      </c>
      <c r="F73" s="32" t="s">
        <v>232</v>
      </c>
    </row>
    <row r="74" spans="2:6">
      <c r="B74" s="54"/>
      <c r="C74" s="54"/>
      <c r="D74" s="92"/>
      <c r="E74" s="78" t="str">
        <f t="shared" si="1"/>
        <v/>
      </c>
      <c r="F74" s="32" t="s">
        <v>232</v>
      </c>
    </row>
    <row r="75" spans="2:6">
      <c r="B75" s="54"/>
      <c r="C75" s="54"/>
      <c r="D75" s="92"/>
      <c r="E75" s="78" t="str">
        <f t="shared" si="1"/>
        <v/>
      </c>
      <c r="F75" s="32" t="s">
        <v>232</v>
      </c>
    </row>
    <row r="76" spans="2:6">
      <c r="B76" s="54"/>
      <c r="C76" s="54"/>
      <c r="D76" s="92"/>
      <c r="E76" s="78" t="str">
        <f t="shared" si="1"/>
        <v/>
      </c>
      <c r="F76" s="32" t="s">
        <v>232</v>
      </c>
    </row>
    <row r="77" spans="2:6">
      <c r="E77" s="87"/>
      <c r="F77" t="s">
        <v>232</v>
      </c>
    </row>
    <row r="79" spans="2:6" ht="36">
      <c r="B79" s="81" t="s">
        <v>506</v>
      </c>
    </row>
    <row r="80" spans="2:6">
      <c r="B80" s="77" t="s">
        <v>229</v>
      </c>
      <c r="C80" s="77" t="s">
        <v>639</v>
      </c>
      <c r="D80" s="77" t="s">
        <v>640</v>
      </c>
      <c r="E80" s="90" t="s">
        <v>249</v>
      </c>
      <c r="F80" s="54" t="s">
        <v>232</v>
      </c>
    </row>
    <row r="81" spans="2:6">
      <c r="B81" s="54" t="s">
        <v>230</v>
      </c>
      <c r="C81" s="54" t="s">
        <v>537</v>
      </c>
      <c r="D81" s="92" t="s">
        <v>538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232</v>
      </c>
    </row>
    <row r="82" spans="2:6">
      <c r="B82" s="54" t="s">
        <v>230</v>
      </c>
      <c r="C82" s="54" t="s">
        <v>251</v>
      </c>
      <c r="D82" s="92" t="s">
        <v>539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232</v>
      </c>
    </row>
    <row r="83" spans="2:6">
      <c r="B83" s="54" t="s">
        <v>230</v>
      </c>
      <c r="C83" s="54" t="s">
        <v>252</v>
      </c>
      <c r="D83" s="92" t="s">
        <v>540</v>
      </c>
      <c r="E83" s="17" t="str">
        <f t="shared" si="2"/>
        <v>"[CONTEXT] You are reviewing the final implementation of a new feature for a " &amp; IF(UPPER(H9)="PROJECT", "PROJECT: " &amp; I9 &amp; ". Topics integrated: " &amp; B9 &amp; ". Business Goal: " &amp; J9, "TOPIC: " &amp; I9 &amp; ". Goal: " &amp; J9) &amp; " | " &amp;</v>
      </c>
      <c r="F83" s="54" t="s">
        <v>232</v>
      </c>
    </row>
    <row r="84" spans="2:6">
      <c r="B84" s="54" t="s">
        <v>230</v>
      </c>
      <c r="C84" s="54" t="s">
        <v>167</v>
      </c>
      <c r="D84" s="92" t="s">
        <v>541</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232</v>
      </c>
    </row>
    <row r="85" spans="2:6">
      <c r="B85" s="54" t="s">
        <v>230</v>
      </c>
      <c r="C85" s="54" t="s">
        <v>238</v>
      </c>
      <c r="D85" s="92" t="s">
        <v>291</v>
      </c>
      <c r="E85" s="17" t="str">
        <f t="shared" si="2"/>
        <v>"[LIBRARY BEING LEARNED] " &amp; $I$3 &amp; " | " &amp;</v>
      </c>
      <c r="F85" s="54" t="s">
        <v>232</v>
      </c>
    </row>
    <row r="86" spans="2:6">
      <c r="B86" s="54" t="s">
        <v>230</v>
      </c>
      <c r="C86" s="54" t="s">
        <v>177</v>
      </c>
      <c r="D86" s="92"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2"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2" t="s">
        <v>655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232</v>
      </c>
    </row>
    <row r="89" spans="2:6">
      <c r="B89" s="54" t="s">
        <v>231</v>
      </c>
      <c r="C89" s="54" t="s">
        <v>241</v>
      </c>
      <c r="D89" s="92"/>
      <c r="E89" s="17" t="str">
        <f t="shared" si="2"/>
        <v/>
      </c>
      <c r="F89" s="54" t="s">
        <v>232</v>
      </c>
    </row>
    <row r="90" spans="2:6">
      <c r="B90" s="54" t="s">
        <v>231</v>
      </c>
      <c r="C90" s="54" t="s">
        <v>259</v>
      </c>
      <c r="D90" s="92"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2" t="s">
        <v>543</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232</v>
      </c>
    </row>
    <row r="92" spans="2:6">
      <c r="B92" s="54" t="s">
        <v>300</v>
      </c>
      <c r="C92" s="54" t="s">
        <v>255</v>
      </c>
      <c r="D92" s="92" t="s">
        <v>544</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232</v>
      </c>
    </row>
    <row r="93" spans="2:6">
      <c r="B93" s="54" t="s">
        <v>300</v>
      </c>
      <c r="C93" s="54" t="s">
        <v>256</v>
      </c>
      <c r="D93" s="92" t="s">
        <v>545</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232</v>
      </c>
    </row>
    <row r="94" spans="2:6">
      <c r="B94" s="54" t="s">
        <v>300</v>
      </c>
      <c r="C94" s="54" t="s">
        <v>546</v>
      </c>
      <c r="D94" s="92" t="s">
        <v>547</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232</v>
      </c>
    </row>
    <row r="95" spans="2:6">
      <c r="B95" s="54" t="s">
        <v>300</v>
      </c>
      <c r="C95" s="54" t="s">
        <v>369</v>
      </c>
      <c r="D95" s="92" t="s">
        <v>548</v>
      </c>
      <c r="E95" s="17" t="str">
        <f t="shared" si="2"/>
        <v>"[FOOTER RULE] End your response with: '--- ⚡ *Coding5s Mentor System — Eliminating Epistemic Debt &amp; Shipping to Production*'",</v>
      </c>
      <c r="F95" s="54" t="s">
        <v>232</v>
      </c>
    </row>
    <row r="96" spans="2:6">
      <c r="B96" s="54"/>
      <c r="C96" s="54"/>
      <c r="D96" s="92"/>
      <c r="E96" s="90" t="s">
        <v>491</v>
      </c>
      <c r="F96" s="54" t="s">
        <v>232</v>
      </c>
    </row>
    <row r="97" spans="2:6">
      <c r="B97" s="54"/>
      <c r="C97" s="54"/>
      <c r="D97" s="92"/>
      <c r="E97" s="78" t="str">
        <f t="shared" ref="E97:E100" si="3">IF(D97="","",""""&amp;C97&amp;" "&amp;IF(C97="[FOOTER RULE - STRICT]",D97,IF(RIGHT(D97,6)=" | "&amp;CHAR(34)&amp;" &amp;",D97,D97&amp;" | "&amp;CHAR(34)&amp;" &amp;")))</f>
        <v/>
      </c>
      <c r="F97" s="54" t="s">
        <v>232</v>
      </c>
    </row>
    <row r="98" spans="2:6">
      <c r="B98" s="54"/>
      <c r="C98" s="54"/>
      <c r="D98" s="92"/>
      <c r="E98" s="78" t="str">
        <f t="shared" si="3"/>
        <v/>
      </c>
      <c r="F98" s="54" t="s">
        <v>232</v>
      </c>
    </row>
    <row r="99" spans="2:6">
      <c r="B99" s="54"/>
      <c r="C99" s="54"/>
      <c r="D99" s="92"/>
      <c r="E99" s="78" t="str">
        <f t="shared" si="3"/>
        <v/>
      </c>
      <c r="F99" s="54" t="s">
        <v>232</v>
      </c>
    </row>
    <row r="100" spans="2:6">
      <c r="B100" s="54"/>
      <c r="C100" s="54"/>
      <c r="D100" s="92"/>
      <c r="E100" s="78" t="str">
        <f t="shared" si="3"/>
        <v/>
      </c>
      <c r="F100" s="54" t="s">
        <v>232</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610</v>
      </c>
      <c r="C2" t="s">
        <v>581</v>
      </c>
      <c r="D2" t="s">
        <v>26</v>
      </c>
      <c r="E2" t="s">
        <v>611</v>
      </c>
    </row>
    <row r="3" spans="2:5">
      <c r="B3" t="s">
        <v>582</v>
      </c>
      <c r="C3" t="s">
        <v>21</v>
      </c>
      <c r="D3" t="s">
        <v>583</v>
      </c>
      <c r="E3" t="s">
        <v>612</v>
      </c>
    </row>
    <row r="4" spans="2:5">
      <c r="B4" t="s">
        <v>584</v>
      </c>
      <c r="C4" t="s">
        <v>602</v>
      </c>
      <c r="D4" t="s">
        <v>583</v>
      </c>
      <c r="E4" t="s">
        <v>613</v>
      </c>
    </row>
    <row r="5" spans="2:5">
      <c r="B5" t="s">
        <v>585</v>
      </c>
      <c r="C5" t="s">
        <v>24</v>
      </c>
      <c r="D5" t="s">
        <v>583</v>
      </c>
      <c r="E5" t="s">
        <v>614</v>
      </c>
    </row>
    <row r="6" spans="2:5">
      <c r="B6" t="s">
        <v>586</v>
      </c>
      <c r="C6" t="s">
        <v>25</v>
      </c>
      <c r="D6" t="s">
        <v>583</v>
      </c>
      <c r="E6" t="s">
        <v>615</v>
      </c>
    </row>
    <row r="7" spans="2:5">
      <c r="B7" t="s">
        <v>587</v>
      </c>
      <c r="C7" t="s">
        <v>26</v>
      </c>
      <c r="D7" t="s">
        <v>583</v>
      </c>
      <c r="E7" t="s">
        <v>616</v>
      </c>
    </row>
    <row r="8" spans="2:5">
      <c r="B8" t="s">
        <v>588</v>
      </c>
      <c r="C8" t="s">
        <v>27</v>
      </c>
      <c r="D8" t="s">
        <v>583</v>
      </c>
      <c r="E8" t="s">
        <v>617</v>
      </c>
    </row>
    <row r="9" spans="2:5">
      <c r="B9" t="s">
        <v>589</v>
      </c>
      <c r="C9" t="s">
        <v>28</v>
      </c>
      <c r="D9" t="s">
        <v>583</v>
      </c>
      <c r="E9" t="s">
        <v>618</v>
      </c>
    </row>
    <row r="10" spans="2:5">
      <c r="B10" t="s">
        <v>590</v>
      </c>
      <c r="C10" t="s">
        <v>48</v>
      </c>
      <c r="D10" t="s">
        <v>591</v>
      </c>
      <c r="E10" t="s">
        <v>619</v>
      </c>
    </row>
    <row r="11" spans="2:5">
      <c r="B11" t="s">
        <v>592</v>
      </c>
      <c r="C11" t="s">
        <v>593</v>
      </c>
      <c r="D11" t="s">
        <v>591</v>
      </c>
      <c r="E11" t="s">
        <v>620</v>
      </c>
    </row>
    <row r="12" spans="2:5">
      <c r="B12" t="s">
        <v>594</v>
      </c>
      <c r="C12" t="s">
        <v>603</v>
      </c>
      <c r="D12" t="s">
        <v>591</v>
      </c>
      <c r="E12" t="s">
        <v>621</v>
      </c>
    </row>
    <row r="13" spans="2:5">
      <c r="B13" t="s">
        <v>595</v>
      </c>
      <c r="C13" t="s">
        <v>557</v>
      </c>
      <c r="D13" t="s">
        <v>591</v>
      </c>
      <c r="E13" t="s">
        <v>622</v>
      </c>
    </row>
    <row r="14" spans="2:5">
      <c r="B14" t="s">
        <v>596</v>
      </c>
      <c r="C14" t="s">
        <v>604</v>
      </c>
      <c r="D14" t="s">
        <v>583</v>
      </c>
      <c r="E14" t="s">
        <v>623</v>
      </c>
    </row>
    <row r="15" spans="2:5">
      <c r="B15" t="s">
        <v>597</v>
      </c>
      <c r="C15" t="s">
        <v>605</v>
      </c>
      <c r="D15" t="s">
        <v>583</v>
      </c>
      <c r="E15" t="s">
        <v>624</v>
      </c>
    </row>
    <row r="16" spans="2:5">
      <c r="B16" t="s">
        <v>598</v>
      </c>
      <c r="C16" t="s">
        <v>606</v>
      </c>
      <c r="D16" t="s">
        <v>583</v>
      </c>
      <c r="E16" t="s">
        <v>625</v>
      </c>
    </row>
    <row r="17" spans="2:5">
      <c r="B17" t="s">
        <v>599</v>
      </c>
      <c r="C17" t="s">
        <v>607</v>
      </c>
      <c r="D17" t="s">
        <v>583</v>
      </c>
      <c r="E17" t="s">
        <v>626</v>
      </c>
    </row>
    <row r="18" spans="2:5">
      <c r="B18" t="s">
        <v>600</v>
      </c>
      <c r="C18" t="s">
        <v>608</v>
      </c>
      <c r="D18" t="s">
        <v>583</v>
      </c>
      <c r="E18" t="s">
        <v>627</v>
      </c>
    </row>
    <row r="19" spans="2:5">
      <c r="B19" t="s">
        <v>601</v>
      </c>
      <c r="C19" t="s">
        <v>609</v>
      </c>
      <c r="D19" t="s">
        <v>583</v>
      </c>
      <c r="E19" t="s">
        <v>628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heetViews>
  <sheetFormatPr defaultRowHeight="15"/>
  <cols>
    <col min="1" max="1" width="3.140625" customWidth="1"/>
  </cols>
  <sheetData>
    <row r="2" spans="2:11">
      <c r="B2" s="107" t="s">
        <v>561</v>
      </c>
      <c r="C2" s="108"/>
      <c r="D2" s="108"/>
      <c r="E2" s="108"/>
      <c r="F2" s="108"/>
      <c r="G2" s="108"/>
      <c r="H2" s="108"/>
      <c r="I2" s="108"/>
      <c r="J2" s="108"/>
      <c r="K2" s="109"/>
    </row>
    <row r="3" spans="2:11">
      <c r="B3" s="110"/>
      <c r="K3" s="111"/>
    </row>
    <row r="4" spans="2:11">
      <c r="B4" s="110" t="s">
        <v>562</v>
      </c>
      <c r="K4" s="111"/>
    </row>
    <row r="5" spans="2:11">
      <c r="B5" s="110"/>
      <c r="K5" s="111"/>
    </row>
    <row r="6" spans="2:11">
      <c r="B6" s="112" t="s">
        <v>563</v>
      </c>
      <c r="K6" s="111"/>
    </row>
    <row r="7" spans="2:11">
      <c r="B7" s="112" t="s">
        <v>564</v>
      </c>
      <c r="K7" s="111"/>
    </row>
    <row r="8" spans="2:11">
      <c r="B8" s="112" t="s">
        <v>565</v>
      </c>
      <c r="K8" s="111"/>
    </row>
    <row r="9" spans="2:11">
      <c r="B9" s="112" t="s">
        <v>566</v>
      </c>
      <c r="K9" s="111"/>
    </row>
    <row r="10" spans="2:11">
      <c r="B10" s="112" t="s">
        <v>567</v>
      </c>
      <c r="K10" s="111"/>
    </row>
    <row r="11" spans="2:11">
      <c r="B11" s="112" t="s">
        <v>568</v>
      </c>
      <c r="K11" s="111"/>
    </row>
    <row r="12" spans="2:11">
      <c r="B12" s="112"/>
      <c r="K12" s="111"/>
    </row>
    <row r="13" spans="2:11">
      <c r="B13" s="112" t="s">
        <v>569</v>
      </c>
      <c r="K13" s="111"/>
    </row>
    <row r="14" spans="2:11">
      <c r="B14" s="112" t="s">
        <v>570</v>
      </c>
      <c r="K14" s="111"/>
    </row>
    <row r="15" spans="2:11">
      <c r="B15" s="112"/>
      <c r="K15" s="111"/>
    </row>
    <row r="16" spans="2:11">
      <c r="B16" s="112" t="s">
        <v>571</v>
      </c>
      <c r="K16" s="111"/>
    </row>
    <row r="17" spans="2:11">
      <c r="B17" s="112" t="s">
        <v>572</v>
      </c>
      <c r="K17" s="111"/>
    </row>
    <row r="18" spans="2:11">
      <c r="B18" s="112" t="s">
        <v>573</v>
      </c>
      <c r="K18" s="111"/>
    </row>
    <row r="19" spans="2:11">
      <c r="B19" s="112" t="s">
        <v>574</v>
      </c>
      <c r="K19" s="111"/>
    </row>
    <row r="20" spans="2:11">
      <c r="B20" s="112" t="s">
        <v>575</v>
      </c>
      <c r="K20" s="111"/>
    </row>
    <row r="21" spans="2:11">
      <c r="B21" s="112" t="s">
        <v>576</v>
      </c>
      <c r="K21" s="111"/>
    </row>
    <row r="22" spans="2:11">
      <c r="B22" s="112" t="s">
        <v>577</v>
      </c>
      <c r="K22" s="111"/>
    </row>
    <row r="23" spans="2:11">
      <c r="B23" s="112"/>
      <c r="K23" s="111"/>
    </row>
    <row r="24" spans="2:11">
      <c r="B24" s="112" t="s">
        <v>578</v>
      </c>
      <c r="D24" s="116" t="s">
        <v>579</v>
      </c>
      <c r="K24" s="111"/>
    </row>
    <row r="25" spans="2:11">
      <c r="B25" s="113"/>
      <c r="C25" s="114"/>
      <c r="D25" s="114"/>
      <c r="E25" s="114"/>
      <c r="F25" s="114"/>
      <c r="G25" s="114"/>
      <c r="H25" s="114"/>
      <c r="I25" s="114"/>
      <c r="J25" s="114"/>
      <c r="K25" s="115"/>
    </row>
  </sheetData>
  <hyperlinks>
    <hyperlink ref="D24" r:id="rId1" xr:uid="{C1585F6D-E84E-4BDD-BFC6-8C9DE04D69F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23"/>
  <sheetViews>
    <sheetView showGridLines="0" workbookViewId="0"/>
  </sheetViews>
  <sheetFormatPr defaultRowHeight="15"/>
  <sheetData>
    <row r="1" spans="1:1" ht="18">
      <c r="A1" s="117" t="s">
        <v>629</v>
      </c>
    </row>
    <row r="3" spans="1:1">
      <c r="A3" t="s">
        <v>630</v>
      </c>
    </row>
    <row r="4" spans="1:1">
      <c r="A4" s="118"/>
    </row>
    <row r="5" spans="1:1">
      <c r="A5" s="119" t="s">
        <v>631</v>
      </c>
    </row>
    <row r="6" spans="1:1">
      <c r="A6" s="118"/>
    </row>
    <row r="7" spans="1:1">
      <c r="A7" s="118"/>
    </row>
    <row r="8" spans="1:1">
      <c r="A8" s="120"/>
    </row>
    <row r="9" spans="1:1">
      <c r="A9" s="121" t="s">
        <v>632</v>
      </c>
    </row>
    <row r="10" spans="1:1">
      <c r="A10" s="120"/>
    </row>
    <row r="11" spans="1:1">
      <c r="A11" s="121" t="s">
        <v>633</v>
      </c>
    </row>
    <row r="12" spans="1:1">
      <c r="A12" s="118"/>
    </row>
    <row r="13" spans="1:1">
      <c r="A13" s="119" t="s">
        <v>634</v>
      </c>
    </row>
    <row r="14" spans="1:1">
      <c r="A14" s="118"/>
    </row>
    <row r="15" spans="1:1">
      <c r="A15" s="118"/>
    </row>
    <row r="16" spans="1:1">
      <c r="A16" s="120"/>
    </row>
    <row r="17" spans="1:1">
      <c r="A17" s="120" t="s">
        <v>635</v>
      </c>
    </row>
    <row r="18" spans="1:1">
      <c r="A18" s="120"/>
    </row>
    <row r="19" spans="1:1">
      <c r="A19" s="120" t="s">
        <v>636</v>
      </c>
    </row>
    <row r="20" spans="1:1">
      <c r="A20" s="120"/>
    </row>
    <row r="21" spans="1:1">
      <c r="A21" s="120" t="s">
        <v>637</v>
      </c>
    </row>
    <row r="22" spans="1:1">
      <c r="A22" s="118"/>
    </row>
    <row r="23" spans="1:1">
      <c r="A23" s="119" t="s">
        <v>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PromptGenerator</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2026-07-15T05:40:43Z</dcterms:modified>
</cp:coreProperties>
</file>