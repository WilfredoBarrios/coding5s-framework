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github_repositories\coding5s-framework\pillar_1\coding5s_creator_kits\elixir\"/>
    </mc:Choice>
  </mc:AlternateContent>
  <xr:revisionPtr revIDLastSave="0" documentId="13_ncr:1_{E6C814AB-D4E3-448D-B8D1-E742A80A28A9}" xr6:coauthVersionLast="47" xr6:coauthVersionMax="47" xr10:uidLastSave="{00000000-0000-0000-0000-000000000000}"/>
  <workbookProtection workbookAlgorithmName="SHA-512" workbookHashValue="r0xfhGDZTukz56G4zB0h7xcDc/Wfk/tudEdMfAcxoDHN1rbSFyn5ks1e1ITYQm9WA6D0Iiembw85tFFFYLJXow==" workbookSaltValue="Uo9oj/Z0gESduOupvbKiIw==" workbookSpinCount="100000" lockStructure="1"/>
  <bookViews>
    <workbookView xWindow="720" yWindow="990" windowWidth="27540" windowHeight="13785" tabRatio="732" xr2:uid="{A9A38741-1811-4719-B778-C7D2DA3EDF0A}"/>
  </bookViews>
  <sheets>
    <sheet name="PromptGenerator" sheetId="1" r:id="rId1"/>
    <sheet name="HowToStudy" sheetId="25" r:id="rId2"/>
    <sheet name="Variables" sheetId="24" r:id="rId3"/>
    <sheet name="FGen_S1" sheetId="2" r:id="rId4"/>
    <sheet name="FGen_S2" sheetId="15" r:id="rId5"/>
    <sheet name="FGen_S3" sheetId="16" r:id="rId6"/>
    <sheet name="FGen_S4" sheetId="17" r:id="rId7"/>
    <sheet name="FGen_S5" sheetId="18" r:id="rId8"/>
    <sheet name="CellReference" sheetId="22" r:id="rId9"/>
    <sheet name="License" sheetId="19" r:id="rId10"/>
    <sheet name="HowTo" sheetId="23"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X37" i="1" l="1"/>
  <c r="X38" i="1"/>
  <c r="X39" i="1"/>
  <c r="X40" i="1"/>
  <c r="X41" i="1"/>
  <c r="X42" i="1"/>
  <c r="X43" i="1"/>
  <c r="X44" i="1"/>
  <c r="X45" i="1"/>
  <c r="X46" i="1"/>
  <c r="X47" i="1"/>
  <c r="X48" i="1"/>
  <c r="X49" i="1"/>
  <c r="X50" i="1"/>
  <c r="X51" i="1"/>
  <c r="X52" i="1"/>
  <c r="X53" i="1"/>
  <c r="X54" i="1"/>
  <c r="X55" i="1"/>
  <c r="X56" i="1"/>
  <c r="X57" i="1"/>
  <c r="X58" i="1"/>
  <c r="X59" i="1"/>
  <c r="X60" i="1"/>
  <c r="X61" i="1"/>
  <c r="X62" i="1"/>
  <c r="X63" i="1"/>
  <c r="X64" i="1"/>
  <c r="X65" i="1"/>
  <c r="X66" i="1"/>
  <c r="X67" i="1"/>
  <c r="X68" i="1"/>
  <c r="X69" i="1"/>
  <c r="X70" i="1"/>
  <c r="X71" i="1"/>
  <c r="X72" i="1"/>
  <c r="X73" i="1"/>
  <c r="X74" i="1"/>
  <c r="X75" i="1"/>
  <c r="X76" i="1"/>
  <c r="X77" i="1"/>
  <c r="X78" i="1"/>
  <c r="X79" i="1"/>
  <c r="X80" i="1"/>
  <c r="X81" i="1"/>
  <c r="X82" i="1"/>
  <c r="X83" i="1"/>
  <c r="X84" i="1"/>
  <c r="X85" i="1"/>
  <c r="X86" i="1"/>
  <c r="X87" i="1"/>
  <c r="X88" i="1"/>
  <c r="X89" i="1"/>
  <c r="X90" i="1"/>
  <c r="X91" i="1"/>
  <c r="X92" i="1"/>
  <c r="X93" i="1"/>
  <c r="X94" i="1"/>
  <c r="X95" i="1"/>
  <c r="X96" i="1"/>
  <c r="X97" i="1"/>
  <c r="X98" i="1"/>
  <c r="X99" i="1"/>
  <c r="X100" i="1"/>
  <c r="X101" i="1"/>
  <c r="X102" i="1"/>
  <c r="X103" i="1"/>
  <c r="X104" i="1"/>
  <c r="X105" i="1"/>
  <c r="X106" i="1"/>
  <c r="X107" i="1"/>
  <c r="X108" i="1"/>
  <c r="X109" i="1"/>
  <c r="X110" i="1"/>
  <c r="X111" i="1"/>
  <c r="X112" i="1"/>
  <c r="X113" i="1"/>
  <c r="X114" i="1"/>
  <c r="X115" i="1"/>
  <c r="X116" i="1"/>
  <c r="X117" i="1"/>
  <c r="X118" i="1"/>
  <c r="X119" i="1"/>
  <c r="X120" i="1"/>
  <c r="X121" i="1"/>
  <c r="X122" i="1"/>
  <c r="X123" i="1"/>
  <c r="X124" i="1"/>
  <c r="X125" i="1"/>
  <c r="X126" i="1"/>
  <c r="X127" i="1"/>
  <c r="X128" i="1"/>
  <c r="X129" i="1"/>
  <c r="X130" i="1"/>
  <c r="X131" i="1"/>
  <c r="X132" i="1"/>
  <c r="X133" i="1"/>
  <c r="X134" i="1"/>
  <c r="X135" i="1"/>
  <c r="X136" i="1"/>
  <c r="X137" i="1"/>
  <c r="X138" i="1"/>
  <c r="X139" i="1"/>
  <c r="X140" i="1"/>
  <c r="X141" i="1"/>
  <c r="X142" i="1"/>
  <c r="X143" i="1"/>
  <c r="X144" i="1"/>
  <c r="X145" i="1"/>
  <c r="X146" i="1"/>
  <c r="X147" i="1"/>
  <c r="X148" i="1"/>
  <c r="X149" i="1"/>
  <c r="X150" i="1"/>
  <c r="X151" i="1"/>
  <c r="X152" i="1"/>
  <c r="X153" i="1"/>
  <c r="X154" i="1"/>
  <c r="X155" i="1"/>
  <c r="X156" i="1"/>
  <c r="X157" i="1"/>
  <c r="X158" i="1"/>
  <c r="X159" i="1"/>
  <c r="X160" i="1"/>
  <c r="X161" i="1"/>
  <c r="X162" i="1"/>
  <c r="X163" i="1"/>
  <c r="X164" i="1"/>
  <c r="X165" i="1"/>
  <c r="X166" i="1"/>
  <c r="X167" i="1"/>
  <c r="X168" i="1"/>
  <c r="X169" i="1"/>
  <c r="X170" i="1"/>
  <c r="X171" i="1"/>
  <c r="X172" i="1"/>
  <c r="X173" i="1"/>
  <c r="X174" i="1"/>
  <c r="X175" i="1"/>
  <c r="X176" i="1"/>
  <c r="X177" i="1"/>
  <c r="X178" i="1"/>
  <c r="X179" i="1"/>
  <c r="X180" i="1"/>
  <c r="X181" i="1"/>
  <c r="X182" i="1"/>
  <c r="X183" i="1"/>
  <c r="X184" i="1"/>
  <c r="X185" i="1"/>
  <c r="X186" i="1"/>
  <c r="X187" i="1"/>
  <c r="X188" i="1"/>
  <c r="X189" i="1"/>
  <c r="X190" i="1"/>
  <c r="X191" i="1"/>
  <c r="X192" i="1"/>
  <c r="X193" i="1"/>
  <c r="X194" i="1"/>
  <c r="X195" i="1"/>
  <c r="X196" i="1"/>
  <c r="X197" i="1"/>
  <c r="X198" i="1"/>
  <c r="X199" i="1"/>
  <c r="X200" i="1"/>
  <c r="AD10" i="1"/>
  <c r="AD11" i="1"/>
  <c r="AD12" i="1"/>
  <c r="AD13" i="1"/>
  <c r="AD14" i="1"/>
  <c r="AD15" i="1"/>
  <c r="AD17" i="1"/>
  <c r="AD18" i="1"/>
  <c r="AD19" i="1"/>
  <c r="AD20" i="1"/>
  <c r="AD21" i="1"/>
  <c r="AD22" i="1"/>
  <c r="AD23" i="1"/>
  <c r="AD25" i="1"/>
  <c r="AD26" i="1"/>
  <c r="AD27" i="1"/>
  <c r="AD28" i="1"/>
  <c r="AD29" i="1"/>
  <c r="AD30" i="1"/>
  <c r="AD31" i="1"/>
  <c r="AD33" i="1"/>
  <c r="AD34" i="1"/>
  <c r="AD35"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D72" i="1"/>
  <c r="AD73" i="1"/>
  <c r="AD74" i="1"/>
  <c r="AD75" i="1"/>
  <c r="AD76" i="1"/>
  <c r="AD77" i="1"/>
  <c r="AD78" i="1"/>
  <c r="AD79" i="1"/>
  <c r="AD80" i="1"/>
  <c r="AD81" i="1"/>
  <c r="AD82" i="1"/>
  <c r="AD83" i="1"/>
  <c r="AD84" i="1"/>
  <c r="AD85" i="1"/>
  <c r="AD86" i="1"/>
  <c r="AD87" i="1"/>
  <c r="AD88" i="1"/>
  <c r="AD89" i="1"/>
  <c r="AD90" i="1"/>
  <c r="AD91" i="1"/>
  <c r="AD92" i="1"/>
  <c r="AD93" i="1"/>
  <c r="AD94" i="1"/>
  <c r="AD95" i="1"/>
  <c r="AD96" i="1"/>
  <c r="AD97" i="1"/>
  <c r="AD98" i="1"/>
  <c r="AD99" i="1"/>
  <c r="AD100" i="1"/>
  <c r="AD101" i="1"/>
  <c r="AD102" i="1"/>
  <c r="AD103" i="1"/>
  <c r="AD104" i="1"/>
  <c r="AD105" i="1"/>
  <c r="AD106" i="1"/>
  <c r="AD107" i="1"/>
  <c r="AD108" i="1"/>
  <c r="AD109" i="1"/>
  <c r="AD110" i="1"/>
  <c r="AD111" i="1"/>
  <c r="AD112" i="1"/>
  <c r="AD113" i="1"/>
  <c r="AD114" i="1"/>
  <c r="AD115" i="1"/>
  <c r="AD116" i="1"/>
  <c r="AD117" i="1"/>
  <c r="AD118" i="1"/>
  <c r="AD119" i="1"/>
  <c r="AD120" i="1"/>
  <c r="AD121" i="1"/>
  <c r="AD122" i="1"/>
  <c r="AD123" i="1"/>
  <c r="AD124" i="1"/>
  <c r="AD125" i="1"/>
  <c r="AD126" i="1"/>
  <c r="AD127" i="1"/>
  <c r="AD128" i="1"/>
  <c r="AD129" i="1"/>
  <c r="AD130" i="1"/>
  <c r="AD131" i="1"/>
  <c r="AD132" i="1"/>
  <c r="AD133" i="1"/>
  <c r="AD134" i="1"/>
  <c r="AD135" i="1"/>
  <c r="AD136" i="1"/>
  <c r="AD137" i="1"/>
  <c r="AD138" i="1"/>
  <c r="AD139" i="1"/>
  <c r="AD140" i="1"/>
  <c r="AD141" i="1"/>
  <c r="AD142" i="1"/>
  <c r="AD143" i="1"/>
  <c r="AD144" i="1"/>
  <c r="AD145" i="1"/>
  <c r="AD146" i="1"/>
  <c r="AD147" i="1"/>
  <c r="AD148" i="1"/>
  <c r="AD149" i="1"/>
  <c r="AD150" i="1"/>
  <c r="AD151" i="1"/>
  <c r="AD152" i="1"/>
  <c r="AD153" i="1"/>
  <c r="AD154" i="1"/>
  <c r="AD155" i="1"/>
  <c r="AD156" i="1"/>
  <c r="AD157" i="1"/>
  <c r="AD158" i="1"/>
  <c r="AD159" i="1"/>
  <c r="AD160" i="1"/>
  <c r="AD161" i="1"/>
  <c r="AD162" i="1"/>
  <c r="AD163" i="1"/>
  <c r="AD164" i="1"/>
  <c r="AD165" i="1"/>
  <c r="AD166" i="1"/>
  <c r="AD167" i="1"/>
  <c r="AD168" i="1"/>
  <c r="AD169" i="1"/>
  <c r="AD170" i="1"/>
  <c r="AD171" i="1"/>
  <c r="AD172" i="1"/>
  <c r="AD173" i="1"/>
  <c r="AD174" i="1"/>
  <c r="AD175" i="1"/>
  <c r="AD176" i="1"/>
  <c r="AD177" i="1"/>
  <c r="AD178" i="1"/>
  <c r="AD179" i="1"/>
  <c r="AD180" i="1"/>
  <c r="AD181" i="1"/>
  <c r="AD182" i="1"/>
  <c r="AD183" i="1"/>
  <c r="AD184" i="1"/>
  <c r="AD185" i="1"/>
  <c r="AD186" i="1"/>
  <c r="AD187" i="1"/>
  <c r="AD188" i="1"/>
  <c r="AD189" i="1"/>
  <c r="AD190" i="1"/>
  <c r="AD191" i="1"/>
  <c r="AD192" i="1"/>
  <c r="AD193" i="1"/>
  <c r="AD194" i="1"/>
  <c r="AD195" i="1"/>
  <c r="AD196" i="1"/>
  <c r="AD197" i="1"/>
  <c r="AD198" i="1"/>
  <c r="AD199" i="1"/>
  <c r="AD200" i="1"/>
  <c r="AD9"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AC10" i="1"/>
  <c r="AC11" i="1"/>
  <c r="AC12" i="1"/>
  <c r="AC13" i="1"/>
  <c r="AC14" i="1"/>
  <c r="AC15" i="1"/>
  <c r="AC17" i="1"/>
  <c r="AC18" i="1"/>
  <c r="AC19" i="1"/>
  <c r="AC20" i="1"/>
  <c r="AC21" i="1"/>
  <c r="AC22" i="1"/>
  <c r="AC23" i="1"/>
  <c r="AC25" i="1"/>
  <c r="AC26" i="1"/>
  <c r="AC27" i="1"/>
  <c r="AC28" i="1"/>
  <c r="AC29" i="1"/>
  <c r="AC30" i="1"/>
  <c r="AC31" i="1"/>
  <c r="AC33" i="1"/>
  <c r="AC34" i="1"/>
  <c r="AC35"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72" i="1"/>
  <c r="AC73" i="1"/>
  <c r="AC74" i="1"/>
  <c r="AC75" i="1"/>
  <c r="AC76" i="1"/>
  <c r="AC77" i="1"/>
  <c r="AC78" i="1"/>
  <c r="AC79" i="1"/>
  <c r="AC80" i="1"/>
  <c r="AC81" i="1"/>
  <c r="AC82" i="1"/>
  <c r="AC83" i="1"/>
  <c r="AC84" i="1"/>
  <c r="AC85" i="1"/>
  <c r="AC86" i="1"/>
  <c r="AC87" i="1"/>
  <c r="AC88" i="1"/>
  <c r="AC89" i="1"/>
  <c r="AC90" i="1"/>
  <c r="AC91" i="1"/>
  <c r="AC92" i="1"/>
  <c r="AC93" i="1"/>
  <c r="AC94" i="1"/>
  <c r="AC95" i="1"/>
  <c r="AC96" i="1"/>
  <c r="AC97" i="1"/>
  <c r="AC98" i="1"/>
  <c r="AC99" i="1"/>
  <c r="AC100" i="1"/>
  <c r="AC101" i="1"/>
  <c r="AC102" i="1"/>
  <c r="AC103" i="1"/>
  <c r="AC104" i="1"/>
  <c r="AC105" i="1"/>
  <c r="AC106" i="1"/>
  <c r="AC107" i="1"/>
  <c r="AC108" i="1"/>
  <c r="AC109" i="1"/>
  <c r="AC110" i="1"/>
  <c r="AC111" i="1"/>
  <c r="AC112" i="1"/>
  <c r="AC113" i="1"/>
  <c r="AC114" i="1"/>
  <c r="AC115" i="1"/>
  <c r="AC116" i="1"/>
  <c r="AC117" i="1"/>
  <c r="AC118" i="1"/>
  <c r="AC119" i="1"/>
  <c r="AC120" i="1"/>
  <c r="AC121" i="1"/>
  <c r="AC122" i="1"/>
  <c r="AC123" i="1"/>
  <c r="AC124" i="1"/>
  <c r="AC125" i="1"/>
  <c r="AC126" i="1"/>
  <c r="AC127" i="1"/>
  <c r="AC128" i="1"/>
  <c r="AC129" i="1"/>
  <c r="AC130" i="1"/>
  <c r="AC131" i="1"/>
  <c r="AC132" i="1"/>
  <c r="AC133" i="1"/>
  <c r="AC134" i="1"/>
  <c r="AC135" i="1"/>
  <c r="AC136" i="1"/>
  <c r="AC137" i="1"/>
  <c r="AC138" i="1"/>
  <c r="AC139" i="1"/>
  <c r="AC140" i="1"/>
  <c r="AC141" i="1"/>
  <c r="AC142" i="1"/>
  <c r="AC143" i="1"/>
  <c r="AC144" i="1"/>
  <c r="AC145" i="1"/>
  <c r="AC146" i="1"/>
  <c r="AC147" i="1"/>
  <c r="AC148" i="1"/>
  <c r="AC149" i="1"/>
  <c r="AC150" i="1"/>
  <c r="AC151" i="1"/>
  <c r="AC152" i="1"/>
  <c r="AC153" i="1"/>
  <c r="AC154" i="1"/>
  <c r="AC155" i="1"/>
  <c r="AC156" i="1"/>
  <c r="AC157" i="1"/>
  <c r="AC158" i="1"/>
  <c r="AC159" i="1"/>
  <c r="AC160" i="1"/>
  <c r="AC161" i="1"/>
  <c r="AC162" i="1"/>
  <c r="AC163" i="1"/>
  <c r="AC164" i="1"/>
  <c r="AC165" i="1"/>
  <c r="AC166" i="1"/>
  <c r="AC167" i="1"/>
  <c r="AC168" i="1"/>
  <c r="AC169" i="1"/>
  <c r="AC170" i="1"/>
  <c r="AC171" i="1"/>
  <c r="AC172" i="1"/>
  <c r="AC173" i="1"/>
  <c r="AC174" i="1"/>
  <c r="AC175" i="1"/>
  <c r="AC176" i="1"/>
  <c r="AC177" i="1"/>
  <c r="AC178" i="1"/>
  <c r="AC179" i="1"/>
  <c r="AC180" i="1"/>
  <c r="AC181" i="1"/>
  <c r="AC182" i="1"/>
  <c r="AC183" i="1"/>
  <c r="AC184" i="1"/>
  <c r="AC185" i="1"/>
  <c r="AC186" i="1"/>
  <c r="AC187" i="1"/>
  <c r="AC188" i="1"/>
  <c r="AC189" i="1"/>
  <c r="AC190" i="1"/>
  <c r="AC191" i="1"/>
  <c r="AC192" i="1"/>
  <c r="AC193" i="1"/>
  <c r="AC194" i="1"/>
  <c r="AC195" i="1"/>
  <c r="AC196" i="1"/>
  <c r="AC197" i="1"/>
  <c r="AC198" i="1"/>
  <c r="AC199" i="1"/>
  <c r="AC200" i="1"/>
  <c r="AC9"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AB10" i="1"/>
  <c r="AB11" i="1"/>
  <c r="AB12" i="1"/>
  <c r="AB13" i="1"/>
  <c r="AB14" i="1"/>
  <c r="AB15" i="1"/>
  <c r="AB17" i="1"/>
  <c r="AB18" i="1"/>
  <c r="AB19" i="1"/>
  <c r="AB20" i="1"/>
  <c r="AB21" i="1"/>
  <c r="AB22" i="1"/>
  <c r="AB23" i="1"/>
  <c r="AB25" i="1"/>
  <c r="AB26" i="1"/>
  <c r="AB27" i="1"/>
  <c r="AB28" i="1"/>
  <c r="AB29" i="1"/>
  <c r="AB30" i="1"/>
  <c r="AB31" i="1"/>
  <c r="AB33" i="1"/>
  <c r="AB34" i="1"/>
  <c r="AB35"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72" i="1"/>
  <c r="AB73" i="1"/>
  <c r="AB74" i="1"/>
  <c r="AB75" i="1"/>
  <c r="AB76" i="1"/>
  <c r="AB77" i="1"/>
  <c r="AB78" i="1"/>
  <c r="AB79" i="1"/>
  <c r="AB80" i="1"/>
  <c r="AB81" i="1"/>
  <c r="AB82" i="1"/>
  <c r="AB83" i="1"/>
  <c r="AB84" i="1"/>
  <c r="AB85" i="1"/>
  <c r="AB86" i="1"/>
  <c r="AB87" i="1"/>
  <c r="AB88" i="1"/>
  <c r="AB89" i="1"/>
  <c r="AB90" i="1"/>
  <c r="AB91" i="1"/>
  <c r="AB92" i="1"/>
  <c r="AB93" i="1"/>
  <c r="AB94" i="1"/>
  <c r="AB95" i="1"/>
  <c r="AB96" i="1"/>
  <c r="AB97" i="1"/>
  <c r="AB98" i="1"/>
  <c r="AB99" i="1"/>
  <c r="AB100" i="1"/>
  <c r="AB101" i="1"/>
  <c r="AB102" i="1"/>
  <c r="AB103" i="1"/>
  <c r="AB104" i="1"/>
  <c r="AB105" i="1"/>
  <c r="AB106" i="1"/>
  <c r="AB107" i="1"/>
  <c r="AB108" i="1"/>
  <c r="AB109" i="1"/>
  <c r="AB110" i="1"/>
  <c r="AB111" i="1"/>
  <c r="AB112" i="1"/>
  <c r="AB113" i="1"/>
  <c r="AB114" i="1"/>
  <c r="AB115" i="1"/>
  <c r="AB116" i="1"/>
  <c r="AB117" i="1"/>
  <c r="AB118" i="1"/>
  <c r="AB119" i="1"/>
  <c r="AB120" i="1"/>
  <c r="AB121" i="1"/>
  <c r="AB122" i="1"/>
  <c r="AB123" i="1"/>
  <c r="AB124" i="1"/>
  <c r="AB125" i="1"/>
  <c r="AB126" i="1"/>
  <c r="AB127" i="1"/>
  <c r="AB128" i="1"/>
  <c r="AB129" i="1"/>
  <c r="AB130" i="1"/>
  <c r="AB131" i="1"/>
  <c r="AB132" i="1"/>
  <c r="AB133" i="1"/>
  <c r="AB134" i="1"/>
  <c r="AB135" i="1"/>
  <c r="AB136" i="1"/>
  <c r="AB137" i="1"/>
  <c r="AB138" i="1"/>
  <c r="AB139" i="1"/>
  <c r="AB140" i="1"/>
  <c r="AB141" i="1"/>
  <c r="AB142" i="1"/>
  <c r="AB143" i="1"/>
  <c r="AB144" i="1"/>
  <c r="AB145" i="1"/>
  <c r="AB146" i="1"/>
  <c r="AB147" i="1"/>
  <c r="AB148" i="1"/>
  <c r="AB149" i="1"/>
  <c r="AB150" i="1"/>
  <c r="AB151" i="1"/>
  <c r="AB152" i="1"/>
  <c r="AB153" i="1"/>
  <c r="AB154" i="1"/>
  <c r="AB155" i="1"/>
  <c r="AB156" i="1"/>
  <c r="AB157" i="1"/>
  <c r="AB158" i="1"/>
  <c r="AB159" i="1"/>
  <c r="AB160" i="1"/>
  <c r="AB161" i="1"/>
  <c r="AB162" i="1"/>
  <c r="AB163" i="1"/>
  <c r="AB164" i="1"/>
  <c r="AB165" i="1"/>
  <c r="AB166" i="1"/>
  <c r="AB167" i="1"/>
  <c r="AB168" i="1"/>
  <c r="AB169" i="1"/>
  <c r="AB170" i="1"/>
  <c r="AB171" i="1"/>
  <c r="AB172" i="1"/>
  <c r="AB173" i="1"/>
  <c r="AB174" i="1"/>
  <c r="AB175" i="1"/>
  <c r="AB176" i="1"/>
  <c r="AB177" i="1"/>
  <c r="AB178" i="1"/>
  <c r="AB179" i="1"/>
  <c r="AB180" i="1"/>
  <c r="AB181" i="1"/>
  <c r="AB182" i="1"/>
  <c r="AB183" i="1"/>
  <c r="AB184" i="1"/>
  <c r="AB185" i="1"/>
  <c r="AB186" i="1"/>
  <c r="AB187" i="1"/>
  <c r="AB188" i="1"/>
  <c r="AB189" i="1"/>
  <c r="AB190" i="1"/>
  <c r="AB191" i="1"/>
  <c r="AB192" i="1"/>
  <c r="AB193" i="1"/>
  <c r="AB194" i="1"/>
  <c r="AB195" i="1"/>
  <c r="AB196" i="1"/>
  <c r="AB197" i="1"/>
  <c r="AB198" i="1"/>
  <c r="AB199" i="1"/>
  <c r="AB200" i="1"/>
  <c r="AB9"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AA10" i="1"/>
  <c r="AA11" i="1"/>
  <c r="AA12" i="1"/>
  <c r="AA13" i="1"/>
  <c r="AA14" i="1"/>
  <c r="AA15" i="1"/>
  <c r="AA17" i="1"/>
  <c r="AA18" i="1"/>
  <c r="AA19" i="1"/>
  <c r="AA20" i="1"/>
  <c r="AA21" i="1"/>
  <c r="AA22" i="1"/>
  <c r="AA23" i="1"/>
  <c r="AA25" i="1"/>
  <c r="AA26" i="1"/>
  <c r="AA27" i="1"/>
  <c r="AA28" i="1"/>
  <c r="AA29" i="1"/>
  <c r="AA30" i="1"/>
  <c r="AA31" i="1"/>
  <c r="AA33" i="1"/>
  <c r="AA34" i="1"/>
  <c r="AA35"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9"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Z10" i="1"/>
  <c r="Z11" i="1"/>
  <c r="Z12" i="1"/>
  <c r="Z13" i="1"/>
  <c r="Z14" i="1"/>
  <c r="Z15" i="1"/>
  <c r="Z17" i="1"/>
  <c r="Z18" i="1"/>
  <c r="Z19" i="1"/>
  <c r="Z20" i="1"/>
  <c r="Z21" i="1"/>
  <c r="Z22" i="1"/>
  <c r="Z23" i="1"/>
  <c r="Z25" i="1"/>
  <c r="Z26" i="1"/>
  <c r="Z27" i="1"/>
  <c r="Z28" i="1"/>
  <c r="Z29" i="1"/>
  <c r="Z30" i="1"/>
  <c r="Z31" i="1"/>
  <c r="Z33" i="1"/>
  <c r="Z34" i="1"/>
  <c r="Z35" i="1"/>
  <c r="Z37" i="1"/>
  <c r="Z38" i="1"/>
  <c r="Z39" i="1"/>
  <c r="Z40" i="1"/>
  <c r="Z41" i="1"/>
  <c r="Z42" i="1"/>
  <c r="Z43" i="1"/>
  <c r="Z44" i="1"/>
  <c r="Z45" i="1"/>
  <c r="Z46" i="1"/>
  <c r="Z47" i="1"/>
  <c r="Z48" i="1"/>
  <c r="Z49" i="1"/>
  <c r="Z50" i="1"/>
  <c r="Z51" i="1"/>
  <c r="Z52" i="1"/>
  <c r="Z53" i="1"/>
  <c r="Z54" i="1"/>
  <c r="Z55" i="1"/>
  <c r="Z56" i="1"/>
  <c r="Z57" i="1"/>
  <c r="Z58" i="1"/>
  <c r="Z59" i="1"/>
  <c r="Z60" i="1"/>
  <c r="Z61" i="1"/>
  <c r="Z62" i="1"/>
  <c r="Z63" i="1"/>
  <c r="Z64" i="1"/>
  <c r="Z65" i="1"/>
  <c r="Z66" i="1"/>
  <c r="Z67" i="1"/>
  <c r="Z68" i="1"/>
  <c r="Z69" i="1"/>
  <c r="Z70" i="1"/>
  <c r="Z71" i="1"/>
  <c r="Z72" i="1"/>
  <c r="Z73" i="1"/>
  <c r="Z74" i="1"/>
  <c r="Z75" i="1"/>
  <c r="Z76" i="1"/>
  <c r="Z77" i="1"/>
  <c r="Z78" i="1"/>
  <c r="Z79" i="1"/>
  <c r="Z80" i="1"/>
  <c r="Z81" i="1"/>
  <c r="Z82" i="1"/>
  <c r="Z83" i="1"/>
  <c r="Z84" i="1"/>
  <c r="Z85" i="1"/>
  <c r="Z86" i="1"/>
  <c r="Z87" i="1"/>
  <c r="Z88" i="1"/>
  <c r="Z89" i="1"/>
  <c r="Z90" i="1"/>
  <c r="Z91" i="1"/>
  <c r="Z92" i="1"/>
  <c r="Z93" i="1"/>
  <c r="Z94" i="1"/>
  <c r="Z95" i="1"/>
  <c r="Z96" i="1"/>
  <c r="Z97" i="1"/>
  <c r="Z98" i="1"/>
  <c r="Z99" i="1"/>
  <c r="Z100" i="1"/>
  <c r="Z101" i="1"/>
  <c r="Z102" i="1"/>
  <c r="Z103" i="1"/>
  <c r="Z104" i="1"/>
  <c r="Z105" i="1"/>
  <c r="Z106" i="1"/>
  <c r="Z107" i="1"/>
  <c r="Z108" i="1"/>
  <c r="Z109" i="1"/>
  <c r="Z110" i="1"/>
  <c r="Z111" i="1"/>
  <c r="Z112" i="1"/>
  <c r="Z113" i="1"/>
  <c r="Z114" i="1"/>
  <c r="Z115" i="1"/>
  <c r="Z116" i="1"/>
  <c r="Z117" i="1"/>
  <c r="Z118" i="1"/>
  <c r="Z119" i="1"/>
  <c r="Z120" i="1"/>
  <c r="Z121" i="1"/>
  <c r="Z122" i="1"/>
  <c r="Z123" i="1"/>
  <c r="Z124" i="1"/>
  <c r="Z125" i="1"/>
  <c r="Z126" i="1"/>
  <c r="Z127" i="1"/>
  <c r="Z128" i="1"/>
  <c r="Z129" i="1"/>
  <c r="Z130" i="1"/>
  <c r="Z131" i="1"/>
  <c r="Z132" i="1"/>
  <c r="Z133" i="1"/>
  <c r="Z134" i="1"/>
  <c r="Z135" i="1"/>
  <c r="Z136" i="1"/>
  <c r="Z137" i="1"/>
  <c r="Z138" i="1"/>
  <c r="Z139" i="1"/>
  <c r="Z140" i="1"/>
  <c r="Z141" i="1"/>
  <c r="Z142" i="1"/>
  <c r="Z143" i="1"/>
  <c r="Z144" i="1"/>
  <c r="Z145" i="1"/>
  <c r="Z146" i="1"/>
  <c r="Z147" i="1"/>
  <c r="Z148" i="1"/>
  <c r="Z149" i="1"/>
  <c r="Z150" i="1"/>
  <c r="Z151" i="1"/>
  <c r="Z152" i="1"/>
  <c r="Z153" i="1"/>
  <c r="Z154" i="1"/>
  <c r="Z155" i="1"/>
  <c r="Z156" i="1"/>
  <c r="Z157" i="1"/>
  <c r="Z158" i="1"/>
  <c r="Z159" i="1"/>
  <c r="Z160" i="1"/>
  <c r="Z161" i="1"/>
  <c r="Z162" i="1"/>
  <c r="Z163" i="1"/>
  <c r="Z164" i="1"/>
  <c r="Z165" i="1"/>
  <c r="Z166" i="1"/>
  <c r="Z167" i="1"/>
  <c r="Z168" i="1"/>
  <c r="Z169" i="1"/>
  <c r="Z170" i="1"/>
  <c r="Z171" i="1"/>
  <c r="Z172" i="1"/>
  <c r="Z173" i="1"/>
  <c r="Z174" i="1"/>
  <c r="Z175" i="1"/>
  <c r="Z176" i="1"/>
  <c r="Z177" i="1"/>
  <c r="Z178" i="1"/>
  <c r="Z179" i="1"/>
  <c r="Z180" i="1"/>
  <c r="Z181" i="1"/>
  <c r="Z182" i="1"/>
  <c r="Z183" i="1"/>
  <c r="Z184" i="1"/>
  <c r="Z185" i="1"/>
  <c r="Z186" i="1"/>
  <c r="Z187" i="1"/>
  <c r="Z188" i="1"/>
  <c r="Z189" i="1"/>
  <c r="Z190" i="1"/>
  <c r="Z191" i="1"/>
  <c r="Z192" i="1"/>
  <c r="Z193" i="1"/>
  <c r="Z194" i="1"/>
  <c r="Z195" i="1"/>
  <c r="Z196" i="1"/>
  <c r="Z197" i="1"/>
  <c r="Z198" i="1"/>
  <c r="Z199" i="1"/>
  <c r="Z200" i="1"/>
  <c r="Z9"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E54" i="16"/>
  <c r="E55" i="16"/>
  <c r="E56" i="16"/>
  <c r="E59" i="16"/>
  <c r="E60" i="16"/>
  <c r="E61" i="16"/>
  <c r="E62" i="16"/>
  <c r="E63" i="16"/>
  <c r="E64" i="16"/>
  <c r="E65" i="16"/>
  <c r="E66" i="16"/>
  <c r="E67" i="16"/>
  <c r="E68" i="16"/>
  <c r="E69" i="16"/>
  <c r="E70" i="16"/>
  <c r="E71" i="16"/>
  <c r="E72" i="16"/>
  <c r="E73" i="16"/>
  <c r="E74" i="16"/>
  <c r="E75" i="16"/>
  <c r="E76" i="16"/>
  <c r="D53" i="16"/>
  <c r="E53" i="16" s="1"/>
  <c r="D9" i="2"/>
  <c r="D10" i="15"/>
  <c r="D10" i="16"/>
  <c r="D18" i="15"/>
  <c r="D17" i="15"/>
  <c r="D16" i="15"/>
  <c r="D19" i="15"/>
  <c r="D94" i="2"/>
  <c r="D93" i="2"/>
  <c r="D66" i="2"/>
  <c r="D67" i="2"/>
  <c r="D65" i="2"/>
  <c r="D59" i="2"/>
  <c r="D19" i="2"/>
  <c r="D20" i="2"/>
  <c r="D18" i="2"/>
  <c r="D14" i="2"/>
  <c r="E87" i="2"/>
  <c r="A5" i="15" l="1"/>
  <c r="A6" i="15"/>
  <c r="A7" i="15"/>
  <c r="A8" i="15"/>
  <c r="A9" i="15"/>
  <c r="A11" i="15"/>
  <c r="A12" i="15"/>
  <c r="A13" i="15"/>
  <c r="A14" i="15"/>
  <c r="A15" i="15"/>
  <c r="A20" i="15"/>
  <c r="A21" i="15"/>
  <c r="A22" i="15"/>
  <c r="A23" i="15"/>
  <c r="A24" i="15"/>
  <c r="A25" i="15"/>
  <c r="A26" i="15"/>
  <c r="A27" i="15"/>
  <c r="A28" i="15"/>
  <c r="A29" i="15"/>
  <c r="A30" i="15"/>
  <c r="A31" i="15"/>
  <c r="A32" i="15"/>
  <c r="A33" i="15"/>
  <c r="A34" i="15"/>
  <c r="A35" i="15"/>
  <c r="A36" i="15"/>
  <c r="A37" i="15"/>
  <c r="A38" i="15"/>
  <c r="A39" i="15"/>
  <c r="A40" i="15"/>
  <c r="A41" i="15"/>
  <c r="A42" i="15"/>
  <c r="A4" i="15"/>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9" i="1"/>
  <c r="B10" i="1" s="1"/>
  <c r="B11" i="1" s="1"/>
  <c r="B12" i="1" s="1"/>
  <c r="B13" i="1" s="1"/>
  <c r="B14" i="1" s="1"/>
  <c r="B15" i="1" s="1"/>
  <c r="B16" i="1" s="1"/>
  <c r="A5" i="2"/>
  <c r="A6" i="2"/>
  <c r="A7" i="2"/>
  <c r="A8" i="2"/>
  <c r="A10" i="2"/>
  <c r="A11" i="2"/>
  <c r="A12" i="2"/>
  <c r="A13" i="2"/>
  <c r="A15" i="2"/>
  <c r="A16" i="2"/>
  <c r="A17"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4" i="2"/>
  <c r="A14" i="2"/>
  <c r="B17" i="1" l="1"/>
  <c r="B18" i="1" s="1"/>
  <c r="B19" i="1" s="1"/>
  <c r="B20" i="1" s="1"/>
  <c r="B21" i="1" s="1"/>
  <c r="B22" i="1" s="1"/>
  <c r="B23" i="1" s="1"/>
  <c r="B24" i="1" s="1"/>
  <c r="D90" i="18"/>
  <c r="D91" i="17"/>
  <c r="A19" i="15"/>
  <c r="A18" i="15"/>
  <c r="A17" i="15"/>
  <c r="A16" i="15"/>
  <c r="D59" i="15"/>
  <c r="D90" i="15"/>
  <c r="D17" i="16"/>
  <c r="D16" i="16"/>
  <c r="D15" i="16"/>
  <c r="D58" i="16"/>
  <c r="E58" i="16" s="1"/>
  <c r="D57" i="16"/>
  <c r="E57" i="16" s="1"/>
  <c r="D90" i="16"/>
  <c r="D2" i="24"/>
  <c r="A21" i="2"/>
  <c r="A20" i="2"/>
  <c r="A19" i="2"/>
  <c r="A18" i="2"/>
  <c r="D1" i="24"/>
  <c r="B25" i="1" l="1"/>
  <c r="B26" i="1" s="1"/>
  <c r="B27" i="1" s="1"/>
  <c r="B28" i="1" s="1"/>
  <c r="B29" i="1" s="1"/>
  <c r="B30" i="1" s="1"/>
  <c r="B31" i="1" s="1"/>
  <c r="B32" i="1" s="1"/>
  <c r="A9" i="2"/>
  <c r="D10" i="17"/>
  <c r="D54" i="17"/>
  <c r="D54" i="18"/>
  <c r="D9" i="18"/>
  <c r="A10" i="15"/>
  <c r="B33" i="1" l="1"/>
  <c r="B34" i="1" s="1"/>
  <c r="B35" i="1" s="1"/>
  <c r="B36" i="1" s="1"/>
  <c r="B37" i="1" s="1"/>
  <c r="B38" i="1" s="1"/>
  <c r="B39" i="1" s="1"/>
  <c r="B40" i="1" s="1"/>
  <c r="E96" i="17"/>
  <c r="E96" i="15"/>
  <c r="E40" i="18"/>
  <c r="E41" i="18"/>
  <c r="E100" i="18"/>
  <c r="E99" i="18"/>
  <c r="E98" i="18"/>
  <c r="E97" i="18"/>
  <c r="E95" i="18"/>
  <c r="E94" i="18"/>
  <c r="E93" i="18"/>
  <c r="E92" i="18"/>
  <c r="E91" i="18"/>
  <c r="E90" i="18"/>
  <c r="E89" i="18"/>
  <c r="E88" i="18"/>
  <c r="E87" i="18"/>
  <c r="E86" i="18"/>
  <c r="E85" i="18"/>
  <c r="E84" i="18"/>
  <c r="E83" i="18"/>
  <c r="E82" i="18"/>
  <c r="E81" i="18"/>
  <c r="E76" i="18"/>
  <c r="E75" i="18"/>
  <c r="E74" i="18"/>
  <c r="E73" i="18"/>
  <c r="E72" i="18"/>
  <c r="E71" i="18"/>
  <c r="E70" i="18"/>
  <c r="E69" i="18"/>
  <c r="E68" i="18"/>
  <c r="E67" i="18"/>
  <c r="E66" i="18"/>
  <c r="E65" i="18"/>
  <c r="E64" i="18"/>
  <c r="E63" i="18"/>
  <c r="E62" i="18"/>
  <c r="E61" i="18"/>
  <c r="E60" i="18"/>
  <c r="E59" i="18"/>
  <c r="E58" i="18"/>
  <c r="E57" i="18"/>
  <c r="E56" i="18"/>
  <c r="E55" i="18"/>
  <c r="E54" i="18"/>
  <c r="E53" i="18"/>
  <c r="E52" i="18"/>
  <c r="E51" i="18"/>
  <c r="E50" i="18"/>
  <c r="E49" i="18"/>
  <c r="E48" i="18"/>
  <c r="E47" i="18"/>
  <c r="E39" i="18"/>
  <c r="E38" i="18"/>
  <c r="E37" i="18"/>
  <c r="E36" i="18"/>
  <c r="E34" i="18"/>
  <c r="E33" i="18"/>
  <c r="E32" i="18"/>
  <c r="E31" i="18"/>
  <c r="E30" i="18"/>
  <c r="E29" i="18"/>
  <c r="E28" i="18"/>
  <c r="E27" i="18"/>
  <c r="E26" i="18"/>
  <c r="E25" i="18"/>
  <c r="E24" i="18"/>
  <c r="E23" i="18"/>
  <c r="E22" i="18"/>
  <c r="E21" i="18"/>
  <c r="E20" i="18"/>
  <c r="E19" i="18"/>
  <c r="E18" i="18"/>
  <c r="E17" i="18"/>
  <c r="E16" i="18"/>
  <c r="E15" i="18"/>
  <c r="E14" i="18"/>
  <c r="E13" i="18"/>
  <c r="E12" i="18"/>
  <c r="E11" i="18"/>
  <c r="E10" i="18"/>
  <c r="E9" i="18"/>
  <c r="E8" i="18"/>
  <c r="E7" i="18"/>
  <c r="E6" i="18"/>
  <c r="E5" i="18"/>
  <c r="E4" i="18"/>
  <c r="E37" i="17"/>
  <c r="E38" i="17"/>
  <c r="E39" i="17"/>
  <c r="E100" i="17"/>
  <c r="E99" i="17"/>
  <c r="E98" i="17"/>
  <c r="E95" i="17"/>
  <c r="E94" i="17"/>
  <c r="E93" i="17"/>
  <c r="E92" i="17"/>
  <c r="E91" i="17"/>
  <c r="E90" i="17"/>
  <c r="E89" i="17"/>
  <c r="E88" i="17"/>
  <c r="E87" i="17"/>
  <c r="E86" i="17"/>
  <c r="E85" i="17"/>
  <c r="E84" i="17"/>
  <c r="E83" i="17"/>
  <c r="E82" i="17"/>
  <c r="E81" i="17"/>
  <c r="E76" i="17"/>
  <c r="E75" i="17"/>
  <c r="E74" i="17"/>
  <c r="E73" i="17"/>
  <c r="E72" i="17"/>
  <c r="E71" i="17"/>
  <c r="E70" i="17"/>
  <c r="E69" i="17"/>
  <c r="E68" i="17"/>
  <c r="E67" i="17"/>
  <c r="E66" i="17"/>
  <c r="E65" i="17"/>
  <c r="E64" i="17"/>
  <c r="E63" i="17"/>
  <c r="E62" i="17"/>
  <c r="E61" i="17"/>
  <c r="E60" i="17"/>
  <c r="E59" i="17"/>
  <c r="E58" i="17"/>
  <c r="E57" i="17"/>
  <c r="E56" i="17"/>
  <c r="E55" i="17"/>
  <c r="E53" i="17"/>
  <c r="E52" i="17"/>
  <c r="E51" i="17"/>
  <c r="E50" i="17"/>
  <c r="E49" i="17"/>
  <c r="E48" i="17"/>
  <c r="E47" i="17"/>
  <c r="E46"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82" i="16"/>
  <c r="E83" i="16"/>
  <c r="E84" i="16"/>
  <c r="E85" i="16"/>
  <c r="E86" i="16"/>
  <c r="E87" i="16"/>
  <c r="E88" i="16"/>
  <c r="E89" i="16"/>
  <c r="E90" i="16"/>
  <c r="E91" i="16"/>
  <c r="E92" i="16"/>
  <c r="E93" i="16"/>
  <c r="E94" i="16"/>
  <c r="E95" i="16"/>
  <c r="E57" i="15"/>
  <c r="E58" i="15"/>
  <c r="E59" i="15"/>
  <c r="E60" i="15"/>
  <c r="E61" i="15"/>
  <c r="E62" i="15"/>
  <c r="E63" i="15"/>
  <c r="E64" i="15"/>
  <c r="E65" i="15"/>
  <c r="E66" i="15"/>
  <c r="E67" i="15"/>
  <c r="E68" i="15"/>
  <c r="E69" i="15"/>
  <c r="E70" i="15"/>
  <c r="E71" i="15"/>
  <c r="E72" i="15"/>
  <c r="E73" i="15"/>
  <c r="E48" i="16"/>
  <c r="E49" i="16"/>
  <c r="E50" i="16"/>
  <c r="E51" i="16"/>
  <c r="E52" i="16"/>
  <c r="E100" i="16"/>
  <c r="E99" i="16"/>
  <c r="E98" i="16"/>
  <c r="E97" i="16"/>
  <c r="E81" i="16"/>
  <c r="E47"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81" i="15"/>
  <c r="E82" i="15"/>
  <c r="E83" i="15"/>
  <c r="E84" i="15"/>
  <c r="E85" i="15"/>
  <c r="E86" i="15"/>
  <c r="E87" i="15"/>
  <c r="E88" i="15"/>
  <c r="E89" i="15"/>
  <c r="E90" i="15"/>
  <c r="E91" i="15"/>
  <c r="E92" i="15"/>
  <c r="E93" i="15"/>
  <c r="E94" i="15"/>
  <c r="E95" i="15"/>
  <c r="E100" i="15"/>
  <c r="E99" i="15"/>
  <c r="E98" i="15"/>
  <c r="E76" i="15"/>
  <c r="E75" i="15"/>
  <c r="E74" i="15"/>
  <c r="E56" i="15"/>
  <c r="E55" i="15"/>
  <c r="E54" i="15"/>
  <c r="E53" i="15"/>
  <c r="E52" i="15"/>
  <c r="E51" i="15"/>
  <c r="E50" i="15"/>
  <c r="E49" i="15"/>
  <c r="E48" i="15"/>
  <c r="E47" i="15"/>
  <c r="E41" i="15"/>
  <c r="E40" i="15"/>
  <c r="E39" i="15"/>
  <c r="E38" i="15"/>
  <c r="E37" i="15"/>
  <c r="E36" i="15"/>
  <c r="E35" i="15"/>
  <c r="E34" i="15"/>
  <c r="E33" i="15"/>
  <c r="E32" i="15"/>
  <c r="E31" i="15"/>
  <c r="E30" i="15"/>
  <c r="E29" i="15"/>
  <c r="E28" i="15"/>
  <c r="E27" i="15"/>
  <c r="E26" i="15"/>
  <c r="E25" i="15"/>
  <c r="E24" i="15"/>
  <c r="E23" i="15"/>
  <c r="E22" i="15"/>
  <c r="E21" i="15"/>
  <c r="E20" i="15"/>
  <c r="E19" i="15"/>
  <c r="E18" i="15"/>
  <c r="E17" i="15"/>
  <c r="E16" i="15"/>
  <c r="E15" i="15"/>
  <c r="E14" i="15"/>
  <c r="E13" i="15"/>
  <c r="E12" i="15"/>
  <c r="E11" i="15"/>
  <c r="E10" i="15"/>
  <c r="E9" i="15"/>
  <c r="E8" i="15"/>
  <c r="E7" i="15"/>
  <c r="E6" i="15"/>
  <c r="E5" i="15"/>
  <c r="E4" i="15"/>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5" i="2"/>
  <c r="E56" i="2"/>
  <c r="E57" i="2"/>
  <c r="E58" i="2"/>
  <c r="E60" i="2"/>
  <c r="E61" i="2"/>
  <c r="E62" i="2"/>
  <c r="E63" i="2"/>
  <c r="E91" i="2"/>
  <c r="E92" i="2"/>
  <c r="E64" i="2"/>
  <c r="E68" i="2"/>
  <c r="E69" i="2"/>
  <c r="E70" i="2"/>
  <c r="E65" i="2"/>
  <c r="E66" i="2"/>
  <c r="E67" i="2"/>
  <c r="E71" i="2"/>
  <c r="E72" i="2"/>
  <c r="E73" i="2"/>
  <c r="E74" i="2"/>
  <c r="E75" i="2"/>
  <c r="E76" i="2"/>
  <c r="E77" i="2"/>
  <c r="E78" i="2"/>
  <c r="E79" i="2"/>
  <c r="E50" i="2"/>
  <c r="E84" i="2"/>
  <c r="E85" i="2"/>
  <c r="E86" i="2"/>
  <c r="E97" i="2"/>
  <c r="E88" i="2"/>
  <c r="E89" i="2"/>
  <c r="E95" i="2"/>
  <c r="E96" i="2"/>
  <c r="E98" i="2"/>
  <c r="E99" i="2"/>
  <c r="E100" i="2"/>
  <c r="E101" i="2"/>
  <c r="E102" i="2"/>
  <c r="E93" i="2"/>
  <c r="E94" i="2"/>
  <c r="E103" i="2"/>
  <c r="E104" i="2"/>
  <c r="E90" i="2"/>
  <c r="B41" i="1" l="1"/>
  <c r="B42" i="1" s="1"/>
  <c r="B43" i="1" s="1"/>
  <c r="B44" i="1" s="1"/>
  <c r="B45" i="1" s="1"/>
  <c r="B46" i="1" s="1"/>
  <c r="B47" i="1" s="1"/>
  <c r="B48" i="1" s="1"/>
  <c r="C3" i="1"/>
  <c r="AH200" i="1"/>
  <c r="A200" i="1" a="1"/>
  <c r="A200" i="1" s="1"/>
  <c r="AH199" i="1"/>
  <c r="A199" i="1" a="1"/>
  <c r="A199" i="1" s="1"/>
  <c r="AH198" i="1"/>
  <c r="A198" i="1" a="1"/>
  <c r="A198" i="1" s="1"/>
  <c r="AH197" i="1"/>
  <c r="A197" i="1" a="1"/>
  <c r="A197" i="1" s="1"/>
  <c r="AH196" i="1"/>
  <c r="A196" i="1" a="1"/>
  <c r="A196" i="1" s="1"/>
  <c r="AH195" i="1"/>
  <c r="A195" i="1" a="1"/>
  <c r="A195" i="1" s="1"/>
  <c r="AH194" i="1"/>
  <c r="A194" i="1" a="1"/>
  <c r="A194" i="1" s="1"/>
  <c r="AH193" i="1"/>
  <c r="A193" i="1" a="1"/>
  <c r="A193" i="1" s="1"/>
  <c r="AH192" i="1"/>
  <c r="A192" i="1" a="1"/>
  <c r="A192" i="1" s="1"/>
  <c r="AH191" i="1"/>
  <c r="A191" i="1" a="1"/>
  <c r="A191" i="1" s="1"/>
  <c r="AH190" i="1"/>
  <c r="A190" i="1" a="1"/>
  <c r="A190" i="1" s="1"/>
  <c r="AH189" i="1"/>
  <c r="A189" i="1" a="1"/>
  <c r="A189" i="1" s="1"/>
  <c r="AH188" i="1"/>
  <c r="A188" i="1" a="1"/>
  <c r="A188" i="1" s="1"/>
  <c r="AH187" i="1"/>
  <c r="A187" i="1" a="1"/>
  <c r="A187" i="1" s="1"/>
  <c r="AH186" i="1"/>
  <c r="A186" i="1" a="1"/>
  <c r="A186" i="1" s="1"/>
  <c r="AH185" i="1"/>
  <c r="A185" i="1" a="1"/>
  <c r="A185" i="1" s="1"/>
  <c r="AH184" i="1"/>
  <c r="A184" i="1" a="1"/>
  <c r="A184" i="1" s="1"/>
  <c r="AH183" i="1"/>
  <c r="A183" i="1" a="1"/>
  <c r="A183" i="1" s="1"/>
  <c r="AH182" i="1"/>
  <c r="A182" i="1" a="1"/>
  <c r="A182" i="1" s="1"/>
  <c r="AH181" i="1"/>
  <c r="A181" i="1" a="1"/>
  <c r="A181" i="1" s="1"/>
  <c r="AH180" i="1"/>
  <c r="A180" i="1" a="1"/>
  <c r="A180" i="1" s="1"/>
  <c r="AH179" i="1"/>
  <c r="A179" i="1" a="1"/>
  <c r="A179" i="1" s="1"/>
  <c r="AH178" i="1"/>
  <c r="A178" i="1" a="1"/>
  <c r="A178" i="1" s="1"/>
  <c r="AH177" i="1"/>
  <c r="A177" i="1" a="1"/>
  <c r="A177" i="1" s="1"/>
  <c r="AH176" i="1"/>
  <c r="A176" i="1" a="1"/>
  <c r="A176" i="1" s="1"/>
  <c r="AH175" i="1"/>
  <c r="A175" i="1" a="1"/>
  <c r="A175" i="1" s="1"/>
  <c r="AH174" i="1"/>
  <c r="A174" i="1" a="1"/>
  <c r="A174" i="1" s="1"/>
  <c r="AH173" i="1"/>
  <c r="A173" i="1" a="1"/>
  <c r="A173" i="1" s="1"/>
  <c r="AH172" i="1"/>
  <c r="A172" i="1" a="1"/>
  <c r="A172" i="1" s="1"/>
  <c r="AH171" i="1"/>
  <c r="A171" i="1" a="1"/>
  <c r="A171" i="1" s="1"/>
  <c r="AH170" i="1"/>
  <c r="A170" i="1" a="1"/>
  <c r="A170" i="1" s="1"/>
  <c r="AH169" i="1"/>
  <c r="A169" i="1" a="1"/>
  <c r="A169" i="1" s="1"/>
  <c r="AH168" i="1"/>
  <c r="A168" i="1" a="1"/>
  <c r="A168" i="1" s="1"/>
  <c r="AH167" i="1"/>
  <c r="A167" i="1" a="1"/>
  <c r="A167" i="1" s="1"/>
  <c r="AH166" i="1"/>
  <c r="A166" i="1" a="1"/>
  <c r="A166" i="1" s="1"/>
  <c r="AH165" i="1"/>
  <c r="A165" i="1" a="1"/>
  <c r="A165" i="1" s="1"/>
  <c r="AH164" i="1"/>
  <c r="A164" i="1" a="1"/>
  <c r="A164" i="1" s="1"/>
  <c r="AH163" i="1"/>
  <c r="A163" i="1" a="1"/>
  <c r="A163" i="1" s="1"/>
  <c r="AH162" i="1"/>
  <c r="A162" i="1" a="1"/>
  <c r="A162" i="1" s="1"/>
  <c r="AH161" i="1"/>
  <c r="A161" i="1" a="1"/>
  <c r="A161" i="1" s="1"/>
  <c r="AH160" i="1"/>
  <c r="A160" i="1" a="1"/>
  <c r="A160" i="1" s="1"/>
  <c r="AH159" i="1"/>
  <c r="A159" i="1" a="1"/>
  <c r="A159" i="1" s="1"/>
  <c r="AH158" i="1"/>
  <c r="A158" i="1" a="1"/>
  <c r="A158" i="1" s="1"/>
  <c r="AH157" i="1"/>
  <c r="A157" i="1" a="1"/>
  <c r="A157" i="1" s="1"/>
  <c r="AH156" i="1"/>
  <c r="A156" i="1" a="1"/>
  <c r="A156" i="1" s="1"/>
  <c r="AH155" i="1"/>
  <c r="A155" i="1" a="1"/>
  <c r="A155" i="1" s="1"/>
  <c r="AH154" i="1"/>
  <c r="A154" i="1" a="1"/>
  <c r="A154" i="1" s="1"/>
  <c r="AH153" i="1"/>
  <c r="A153" i="1" a="1"/>
  <c r="A153" i="1" s="1"/>
  <c r="AH152" i="1"/>
  <c r="A152" i="1" a="1"/>
  <c r="A152" i="1" s="1"/>
  <c r="AH151" i="1"/>
  <c r="A151" i="1" a="1"/>
  <c r="A151" i="1" s="1"/>
  <c r="AH150" i="1"/>
  <c r="A150" i="1" a="1"/>
  <c r="A150" i="1" s="1"/>
  <c r="AH149" i="1"/>
  <c r="A149" i="1" a="1"/>
  <c r="A149" i="1" s="1"/>
  <c r="AH148" i="1"/>
  <c r="A148" i="1" a="1"/>
  <c r="A148" i="1" s="1"/>
  <c r="AH147" i="1"/>
  <c r="A147" i="1" a="1"/>
  <c r="A147" i="1" s="1"/>
  <c r="AH146" i="1"/>
  <c r="A146" i="1" a="1"/>
  <c r="A146" i="1" s="1"/>
  <c r="AH145" i="1"/>
  <c r="A145" i="1" a="1"/>
  <c r="A145" i="1" s="1"/>
  <c r="AH144" i="1"/>
  <c r="A144" i="1" a="1"/>
  <c r="A144" i="1" s="1"/>
  <c r="AH143" i="1"/>
  <c r="A143" i="1" a="1"/>
  <c r="A143" i="1" s="1"/>
  <c r="AH142" i="1"/>
  <c r="A142" i="1" a="1"/>
  <c r="A142" i="1" s="1"/>
  <c r="AH141" i="1"/>
  <c r="A141" i="1" a="1"/>
  <c r="A141" i="1" s="1"/>
  <c r="AH140" i="1"/>
  <c r="A140" i="1" a="1"/>
  <c r="A140" i="1" s="1"/>
  <c r="AH139" i="1"/>
  <c r="A139" i="1" a="1"/>
  <c r="A139" i="1" s="1"/>
  <c r="AH138" i="1"/>
  <c r="A138" i="1" a="1"/>
  <c r="A138" i="1" s="1"/>
  <c r="AH137" i="1"/>
  <c r="A137" i="1" a="1"/>
  <c r="A137" i="1" s="1"/>
  <c r="AH136" i="1"/>
  <c r="A136" i="1" a="1"/>
  <c r="A136" i="1" s="1"/>
  <c r="AH135" i="1"/>
  <c r="A135" i="1" a="1"/>
  <c r="A135" i="1" s="1"/>
  <c r="AH134" i="1"/>
  <c r="A134" i="1" a="1"/>
  <c r="A134" i="1" s="1"/>
  <c r="AH133" i="1"/>
  <c r="A133" i="1" a="1"/>
  <c r="A133" i="1" s="1"/>
  <c r="AH132" i="1"/>
  <c r="A132" i="1" a="1"/>
  <c r="A132" i="1" s="1"/>
  <c r="AH131" i="1"/>
  <c r="A131" i="1" a="1"/>
  <c r="A131" i="1" s="1"/>
  <c r="AH130" i="1"/>
  <c r="A130" i="1" a="1"/>
  <c r="A130" i="1" s="1"/>
  <c r="AH129" i="1"/>
  <c r="A129" i="1" a="1"/>
  <c r="A129" i="1" s="1"/>
  <c r="AH128" i="1"/>
  <c r="A128" i="1" a="1"/>
  <c r="A128" i="1" s="1"/>
  <c r="AH127" i="1"/>
  <c r="A127" i="1" a="1"/>
  <c r="A127" i="1" s="1"/>
  <c r="AH126" i="1"/>
  <c r="A126" i="1" a="1"/>
  <c r="A126" i="1" s="1"/>
  <c r="AH125" i="1"/>
  <c r="A125" i="1" a="1"/>
  <c r="A125" i="1" s="1"/>
  <c r="AH124" i="1"/>
  <c r="A124" i="1" a="1"/>
  <c r="A124" i="1" s="1"/>
  <c r="AH123" i="1"/>
  <c r="A123" i="1" a="1"/>
  <c r="A123" i="1" s="1"/>
  <c r="AH122" i="1"/>
  <c r="A122" i="1" a="1"/>
  <c r="A122" i="1" s="1"/>
  <c r="AH121" i="1"/>
  <c r="A121" i="1" a="1"/>
  <c r="A121" i="1" s="1"/>
  <c r="AH120" i="1"/>
  <c r="AH119" i="1"/>
  <c r="A119" i="1" a="1"/>
  <c r="A119" i="1" s="1"/>
  <c r="AH118" i="1"/>
  <c r="A118" i="1" a="1"/>
  <c r="A118" i="1" s="1"/>
  <c r="AH117" i="1"/>
  <c r="AH116" i="1"/>
  <c r="AH115" i="1"/>
  <c r="A115" i="1" a="1"/>
  <c r="A115" i="1" s="1"/>
  <c r="AH114" i="1"/>
  <c r="AH113" i="1"/>
  <c r="AH112" i="1"/>
  <c r="AH111" i="1"/>
  <c r="A111" i="1" a="1"/>
  <c r="A111" i="1" s="1"/>
  <c r="AH110" i="1"/>
  <c r="A110" i="1" a="1"/>
  <c r="A110" i="1" s="1"/>
  <c r="AH109" i="1"/>
  <c r="A109" i="1" a="1"/>
  <c r="A109" i="1" s="1"/>
  <c r="AH108" i="1"/>
  <c r="A108" i="1" a="1"/>
  <c r="A108" i="1" s="1"/>
  <c r="AH107" i="1"/>
  <c r="A107" i="1" a="1"/>
  <c r="A107" i="1" s="1"/>
  <c r="AH106" i="1"/>
  <c r="AH105" i="1"/>
  <c r="AH104" i="1"/>
  <c r="A104" i="1" a="1"/>
  <c r="A104" i="1" s="1"/>
  <c r="AH103" i="1"/>
  <c r="A103" i="1" a="1"/>
  <c r="A103" i="1" s="1"/>
  <c r="AH102" i="1"/>
  <c r="A102" i="1" a="1"/>
  <c r="A102" i="1" s="1"/>
  <c r="AH101" i="1"/>
  <c r="A101" i="1" a="1"/>
  <c r="A101" i="1" s="1"/>
  <c r="AH100" i="1"/>
  <c r="A100" i="1" a="1"/>
  <c r="A100" i="1" s="1"/>
  <c r="AH99" i="1"/>
  <c r="A99" i="1" a="1"/>
  <c r="A99" i="1" s="1"/>
  <c r="AH98" i="1"/>
  <c r="AH97" i="1"/>
  <c r="AH96" i="1"/>
  <c r="AH95" i="1"/>
  <c r="A95" i="1" a="1"/>
  <c r="A95" i="1" s="1"/>
  <c r="AH94" i="1"/>
  <c r="A94" i="1" a="1"/>
  <c r="A94" i="1" s="1"/>
  <c r="AH93" i="1"/>
  <c r="A93" i="1" a="1"/>
  <c r="A93" i="1" s="1"/>
  <c r="AH92" i="1"/>
  <c r="A92" i="1" a="1"/>
  <c r="A92" i="1" s="1"/>
  <c r="AH91" i="1"/>
  <c r="AH90" i="1"/>
  <c r="A90" i="1" a="1"/>
  <c r="A90" i="1" s="1"/>
  <c r="AH89" i="1"/>
  <c r="AH88" i="1"/>
  <c r="AH87" i="1"/>
  <c r="A87" i="1" a="1"/>
  <c r="A87" i="1" s="1"/>
  <c r="AH86" i="1"/>
  <c r="A86" i="1" a="1"/>
  <c r="A86" i="1" s="1"/>
  <c r="AH85" i="1"/>
  <c r="AH84" i="1"/>
  <c r="A84" i="1" a="1"/>
  <c r="A84" i="1" s="1"/>
  <c r="AH83" i="1"/>
  <c r="AH82" i="1"/>
  <c r="A82" i="1" a="1"/>
  <c r="A82" i="1" s="1"/>
  <c r="AH81" i="1"/>
  <c r="AH80" i="1"/>
  <c r="AH79" i="1"/>
  <c r="A79" i="1" a="1"/>
  <c r="A79" i="1" s="1"/>
  <c r="AH78" i="1"/>
  <c r="A78" i="1" a="1"/>
  <c r="A78" i="1" s="1"/>
  <c r="AH77" i="1"/>
  <c r="A77" i="1" a="1"/>
  <c r="A77" i="1" s="1"/>
  <c r="AH76" i="1"/>
  <c r="AH75" i="1"/>
  <c r="A75" i="1" a="1"/>
  <c r="A75" i="1" s="1"/>
  <c r="AH74" i="1"/>
  <c r="A74" i="1" a="1"/>
  <c r="A74" i="1" s="1"/>
  <c r="AH73" i="1"/>
  <c r="AH72" i="1"/>
  <c r="AH71" i="1"/>
  <c r="A71" i="1" a="1"/>
  <c r="A71" i="1" s="1"/>
  <c r="AH70" i="1"/>
  <c r="A70" i="1" a="1"/>
  <c r="A70" i="1" s="1"/>
  <c r="AH69" i="1"/>
  <c r="AH68" i="1"/>
  <c r="A68" i="1" a="1"/>
  <c r="A68" i="1" s="1"/>
  <c r="AH67" i="1"/>
  <c r="A67" i="1" a="1"/>
  <c r="A67" i="1" s="1"/>
  <c r="AH66" i="1"/>
  <c r="AH65" i="1"/>
  <c r="AH64" i="1"/>
  <c r="AH63" i="1"/>
  <c r="A63" i="1" a="1"/>
  <c r="A63" i="1" s="1"/>
  <c r="AH62" i="1"/>
  <c r="A62" i="1" a="1"/>
  <c r="A62" i="1" s="1"/>
  <c r="AH61" i="1"/>
  <c r="AH60" i="1"/>
  <c r="A60" i="1" a="1"/>
  <c r="A60" i="1" s="1"/>
  <c r="AH59" i="1"/>
  <c r="A59" i="1" a="1"/>
  <c r="A59" i="1" s="1"/>
  <c r="AH58" i="1"/>
  <c r="A58" i="1" a="1"/>
  <c r="A58" i="1" s="1"/>
  <c r="AH57" i="1"/>
  <c r="AH56" i="1"/>
  <c r="AH55" i="1"/>
  <c r="AH54" i="1"/>
  <c r="A54" i="1" a="1"/>
  <c r="A54" i="1" s="1"/>
  <c r="AH53" i="1"/>
  <c r="AH52" i="1"/>
  <c r="A52" i="1" a="1"/>
  <c r="A52" i="1" s="1"/>
  <c r="AH51" i="1"/>
  <c r="A51" i="1" a="1"/>
  <c r="A51" i="1" s="1"/>
  <c r="AH50" i="1"/>
  <c r="AH49" i="1"/>
  <c r="AH48" i="1"/>
  <c r="AH47" i="1"/>
  <c r="AH46" i="1"/>
  <c r="AH45" i="1"/>
  <c r="A45" i="1" a="1"/>
  <c r="A45" i="1" s="1"/>
  <c r="AH44" i="1"/>
  <c r="A44" i="1" a="1"/>
  <c r="A44" i="1" s="1"/>
  <c r="AH43" i="1"/>
  <c r="A43" i="1" a="1"/>
  <c r="A43" i="1" s="1"/>
  <c r="AH42" i="1"/>
  <c r="AH41" i="1"/>
  <c r="AH40" i="1"/>
  <c r="AH39" i="1"/>
  <c r="A39" i="1" a="1"/>
  <c r="A39" i="1" s="1"/>
  <c r="AH38" i="1"/>
  <c r="A38" i="1" a="1"/>
  <c r="A38" i="1" s="1"/>
  <c r="AH37" i="1"/>
  <c r="A37" i="1" a="1"/>
  <c r="A37" i="1" s="1"/>
  <c r="AH36" i="1"/>
  <c r="AH35" i="1"/>
  <c r="AH34" i="1"/>
  <c r="AH33" i="1"/>
  <c r="AH32" i="1"/>
  <c r="AH31" i="1"/>
  <c r="A31" i="1" a="1"/>
  <c r="A31" i="1" s="1"/>
  <c r="AH30" i="1"/>
  <c r="A30" i="1" a="1"/>
  <c r="A30" i="1" s="1"/>
  <c r="AH29" i="1"/>
  <c r="A29" i="1" a="1"/>
  <c r="A29" i="1" s="1"/>
  <c r="AH28" i="1"/>
  <c r="A28" i="1" a="1"/>
  <c r="A28" i="1" s="1"/>
  <c r="AH27" i="1"/>
  <c r="AH26" i="1"/>
  <c r="AH25" i="1"/>
  <c r="AH24" i="1"/>
  <c r="AH23" i="1"/>
  <c r="A23" i="1" a="1"/>
  <c r="A23" i="1" s="1"/>
  <c r="AH22" i="1"/>
  <c r="A22" i="1" a="1"/>
  <c r="A22" i="1" s="1"/>
  <c r="AH21" i="1"/>
  <c r="A21" i="1" a="1"/>
  <c r="A21" i="1" s="1"/>
  <c r="AH20" i="1"/>
  <c r="AH19" i="1"/>
  <c r="A19" i="1" a="1"/>
  <c r="A19" i="1" s="1"/>
  <c r="AH18" i="1"/>
  <c r="A18" i="1" a="1"/>
  <c r="A18" i="1" s="1"/>
  <c r="AH17" i="1"/>
  <c r="AH16" i="1"/>
  <c r="AH15" i="1"/>
  <c r="A15" i="1" a="1"/>
  <c r="A15" i="1" s="1"/>
  <c r="AH14" i="1"/>
  <c r="AH13" i="1"/>
  <c r="A13" i="1" a="1"/>
  <c r="A13" i="1" s="1"/>
  <c r="AH12" i="1"/>
  <c r="A12" i="1" a="1"/>
  <c r="A12" i="1" s="1"/>
  <c r="AH11" i="1"/>
  <c r="A11" i="1" a="1"/>
  <c r="A11" i="1" s="1"/>
  <c r="AH10" i="1"/>
  <c r="A10" i="1" a="1"/>
  <c r="A10" i="1" s="1"/>
  <c r="AH9" i="1"/>
  <c r="A9" i="1" a="1"/>
  <c r="A9" i="1" s="1"/>
  <c r="E6" i="1" a="1"/>
  <c r="E6" i="1" s="1"/>
  <c r="C6" i="1"/>
  <c r="E4" i="1"/>
  <c r="E3" i="1" s="1"/>
  <c r="E2" i="1"/>
  <c r="B49" i="1" l="1"/>
  <c r="AE7" i="1"/>
  <c r="X10" i="1" l="1"/>
  <c r="X22" i="1"/>
  <c r="X34" i="1"/>
  <c r="W10" i="1"/>
  <c r="W22" i="1"/>
  <c r="W35" i="1"/>
  <c r="U11" i="1"/>
  <c r="U23" i="1"/>
  <c r="U35" i="1"/>
  <c r="T11" i="1"/>
  <c r="T23" i="1"/>
  <c r="R13" i="1"/>
  <c r="R25" i="1"/>
  <c r="Q13" i="1"/>
  <c r="Q25" i="1"/>
  <c r="O13" i="1"/>
  <c r="O25" i="1"/>
  <c r="N13" i="1"/>
  <c r="N25" i="1"/>
  <c r="L13" i="1"/>
  <c r="K25" i="1"/>
  <c r="X11" i="1"/>
  <c r="X23" i="1"/>
  <c r="X35" i="1"/>
  <c r="W11" i="1"/>
  <c r="W23" i="1"/>
  <c r="U12" i="1"/>
  <c r="U24" i="1"/>
  <c r="U36" i="1"/>
  <c r="AC24" i="1"/>
  <c r="T24" i="1" s="1"/>
  <c r="AC36" i="1"/>
  <c r="T36" i="1" s="1"/>
  <c r="T12" i="1"/>
  <c r="R14" i="1"/>
  <c r="R26" i="1"/>
  <c r="Q14" i="1"/>
  <c r="Q26" i="1"/>
  <c r="O14" i="1"/>
  <c r="O26" i="1"/>
  <c r="N14" i="1"/>
  <c r="N26" i="1"/>
  <c r="L14" i="1"/>
  <c r="L26" i="1"/>
  <c r="K14" i="1"/>
  <c r="K26" i="1"/>
  <c r="X12" i="1"/>
  <c r="X24" i="1"/>
  <c r="X36" i="1"/>
  <c r="AD24" i="1"/>
  <c r="W24" i="1" s="1"/>
  <c r="AD36" i="1"/>
  <c r="W36" i="1" s="1"/>
  <c r="W12" i="1"/>
  <c r="U13" i="1"/>
  <c r="U25" i="1"/>
  <c r="T13" i="1"/>
  <c r="T25" i="1"/>
  <c r="R15" i="1"/>
  <c r="R27" i="1"/>
  <c r="Q15" i="1"/>
  <c r="Q27" i="1"/>
  <c r="O15" i="1"/>
  <c r="O27" i="1"/>
  <c r="N15" i="1"/>
  <c r="N27" i="1"/>
  <c r="L15" i="1"/>
  <c r="L27" i="1"/>
  <c r="K15" i="1"/>
  <c r="K27" i="1"/>
  <c r="X13" i="1"/>
  <c r="X25" i="1"/>
  <c r="W13" i="1"/>
  <c r="W25" i="1"/>
  <c r="U14" i="1"/>
  <c r="U26" i="1"/>
  <c r="T14" i="1"/>
  <c r="T26" i="1"/>
  <c r="R16" i="1"/>
  <c r="R28" i="1"/>
  <c r="AB16" i="1"/>
  <c r="Q16" i="1" s="1"/>
  <c r="Q28" i="1"/>
  <c r="O16" i="1"/>
  <c r="O28" i="1"/>
  <c r="AA16" i="1"/>
  <c r="N16" i="1" s="1"/>
  <c r="N28" i="1"/>
  <c r="L16" i="1"/>
  <c r="L28" i="1"/>
  <c r="Z16" i="1"/>
  <c r="K16" i="1" s="1"/>
  <c r="K28" i="1"/>
  <c r="Z32" i="1"/>
  <c r="K32" i="1" s="1"/>
  <c r="L21" i="1"/>
  <c r="K33" i="1"/>
  <c r="X14" i="1"/>
  <c r="X26" i="1"/>
  <c r="W14" i="1"/>
  <c r="W26" i="1"/>
  <c r="U15" i="1"/>
  <c r="U27" i="1"/>
  <c r="T15" i="1"/>
  <c r="T27" i="1"/>
  <c r="R17" i="1"/>
  <c r="R29" i="1"/>
  <c r="Q17" i="1"/>
  <c r="Q29" i="1"/>
  <c r="O17" i="1"/>
  <c r="O29" i="1"/>
  <c r="N17" i="1"/>
  <c r="N29" i="1"/>
  <c r="L17" i="1"/>
  <c r="L29" i="1"/>
  <c r="K17" i="1"/>
  <c r="K29" i="1"/>
  <c r="N33" i="1"/>
  <c r="K34" i="1"/>
  <c r="X15" i="1"/>
  <c r="X27" i="1"/>
  <c r="W15" i="1"/>
  <c r="W27" i="1"/>
  <c r="U16" i="1"/>
  <c r="U28" i="1"/>
  <c r="AC16" i="1"/>
  <c r="T16" i="1" s="1"/>
  <c r="T28" i="1"/>
  <c r="R18" i="1"/>
  <c r="R30" i="1"/>
  <c r="Q18" i="1"/>
  <c r="Q30" i="1"/>
  <c r="O18" i="1"/>
  <c r="O30" i="1"/>
  <c r="N18" i="1"/>
  <c r="N30" i="1"/>
  <c r="L18" i="1"/>
  <c r="L30" i="1"/>
  <c r="K18" i="1"/>
  <c r="K30" i="1"/>
  <c r="K31" i="1"/>
  <c r="K11" i="1"/>
  <c r="X16" i="1"/>
  <c r="X28" i="1"/>
  <c r="AD16" i="1"/>
  <c r="W16" i="1" s="1"/>
  <c r="W28" i="1"/>
  <c r="U17" i="1"/>
  <c r="U29" i="1"/>
  <c r="T17" i="1"/>
  <c r="T29" i="1"/>
  <c r="R19" i="1"/>
  <c r="R31" i="1"/>
  <c r="Q19" i="1"/>
  <c r="Q31" i="1"/>
  <c r="O19" i="1"/>
  <c r="O31" i="1"/>
  <c r="N19" i="1"/>
  <c r="N31" i="1"/>
  <c r="L19" i="1"/>
  <c r="L31" i="1"/>
  <c r="K19" i="1"/>
  <c r="N9" i="1"/>
  <c r="K9" i="1"/>
  <c r="X17" i="1"/>
  <c r="X29" i="1"/>
  <c r="W17" i="1"/>
  <c r="W29" i="1"/>
  <c r="U18" i="1"/>
  <c r="U30" i="1"/>
  <c r="T18" i="1"/>
  <c r="T30" i="1"/>
  <c r="R20" i="1"/>
  <c r="R32" i="1"/>
  <c r="AB32" i="1"/>
  <c r="Q32" i="1" s="1"/>
  <c r="Q20" i="1"/>
  <c r="O20" i="1"/>
  <c r="O32" i="1"/>
  <c r="AA32" i="1"/>
  <c r="N32" i="1" s="1"/>
  <c r="N20" i="1"/>
  <c r="L20" i="1"/>
  <c r="L32" i="1"/>
  <c r="K20" i="1"/>
  <c r="L9" i="1"/>
  <c r="X18" i="1"/>
  <c r="X30" i="1"/>
  <c r="W18" i="1"/>
  <c r="W30" i="1"/>
  <c r="U19" i="1"/>
  <c r="U31" i="1"/>
  <c r="T19" i="1"/>
  <c r="T31" i="1"/>
  <c r="T9" i="1"/>
  <c r="R21" i="1"/>
  <c r="R33" i="1"/>
  <c r="R9" i="1"/>
  <c r="Q21" i="1"/>
  <c r="Q33" i="1"/>
  <c r="Q9" i="1"/>
  <c r="O21" i="1"/>
  <c r="O33" i="1"/>
  <c r="O9" i="1"/>
  <c r="N21" i="1"/>
  <c r="L33" i="1"/>
  <c r="K21" i="1"/>
  <c r="K22" i="1"/>
  <c r="K23" i="1"/>
  <c r="X19" i="1"/>
  <c r="X31" i="1"/>
  <c r="W19" i="1"/>
  <c r="W31" i="1"/>
  <c r="U20" i="1"/>
  <c r="U32" i="1"/>
  <c r="AC32" i="1"/>
  <c r="T32" i="1" s="1"/>
  <c r="T20" i="1"/>
  <c r="T33" i="1"/>
  <c r="R10" i="1"/>
  <c r="R22" i="1"/>
  <c r="R34" i="1"/>
  <c r="Q10" i="1"/>
  <c r="Q22" i="1"/>
  <c r="Q34" i="1"/>
  <c r="O10" i="1"/>
  <c r="O22" i="1"/>
  <c r="O34" i="1"/>
  <c r="N10" i="1"/>
  <c r="N22" i="1"/>
  <c r="N34" i="1"/>
  <c r="L10" i="1"/>
  <c r="L22" i="1"/>
  <c r="L34" i="1"/>
  <c r="K10" i="1"/>
  <c r="K35" i="1"/>
  <c r="K13" i="1"/>
  <c r="X20" i="1"/>
  <c r="X32" i="1"/>
  <c r="AD32" i="1"/>
  <c r="W32" i="1" s="1"/>
  <c r="W20" i="1"/>
  <c r="W33" i="1"/>
  <c r="W9" i="1"/>
  <c r="U21" i="1"/>
  <c r="U33" i="1"/>
  <c r="U9" i="1"/>
  <c r="T21" i="1"/>
  <c r="T34" i="1"/>
  <c r="R11" i="1"/>
  <c r="R23" i="1"/>
  <c r="R35" i="1"/>
  <c r="Q11" i="1"/>
  <c r="Q23" i="1"/>
  <c r="Q35" i="1"/>
  <c r="O11" i="1"/>
  <c r="O23" i="1"/>
  <c r="O35" i="1"/>
  <c r="N11" i="1"/>
  <c r="N23" i="1"/>
  <c r="N35" i="1"/>
  <c r="L11" i="1"/>
  <c r="L23" i="1"/>
  <c r="L35" i="1"/>
  <c r="X21" i="1"/>
  <c r="X33" i="1"/>
  <c r="X9" i="1"/>
  <c r="W21" i="1"/>
  <c r="W34" i="1"/>
  <c r="U10" i="1"/>
  <c r="U22" i="1"/>
  <c r="U34" i="1"/>
  <c r="T10" i="1"/>
  <c r="T22" i="1"/>
  <c r="T35" i="1"/>
  <c r="R12" i="1"/>
  <c r="R24" i="1"/>
  <c r="R36" i="1"/>
  <c r="AB24" i="1"/>
  <c r="Q24" i="1" s="1"/>
  <c r="AB36" i="1"/>
  <c r="Q36" i="1" s="1"/>
  <c r="Q12" i="1"/>
  <c r="O12" i="1"/>
  <c r="O24" i="1"/>
  <c r="O36" i="1"/>
  <c r="AA24" i="1"/>
  <c r="N24" i="1" s="1"/>
  <c r="AA36" i="1"/>
  <c r="N36" i="1" s="1"/>
  <c r="N12" i="1"/>
  <c r="L12" i="1"/>
  <c r="L24" i="1"/>
  <c r="L36" i="1"/>
  <c r="Z24" i="1"/>
  <c r="K24" i="1" s="1"/>
  <c r="Z36" i="1"/>
  <c r="K36" i="1" s="1"/>
  <c r="K12" i="1"/>
  <c r="L25" i="1"/>
  <c r="L1" i="1"/>
  <c r="B50" i="1"/>
  <c r="B51" i="1" s="1"/>
  <c r="B52" i="1" s="1"/>
  <c r="B53" i="1" s="1"/>
  <c r="B54" i="1" s="1"/>
  <c r="B55" i="1" s="1"/>
  <c r="B56" i="1" s="1"/>
  <c r="B57" i="1" l="1"/>
  <c r="B58" i="1" s="1"/>
  <c r="B59" i="1" s="1"/>
  <c r="B60" i="1" s="1"/>
  <c r="B61" i="1" s="1"/>
  <c r="B62" i="1" s="1"/>
  <c r="B63" i="1" s="1"/>
  <c r="B64" i="1" s="1"/>
  <c r="A17" i="1" a="1"/>
  <c r="A17" i="1" s="1"/>
  <c r="A35" i="1" a="1"/>
  <c r="A35" i="1" s="1"/>
  <c r="A26" i="1" a="1"/>
  <c r="A26" i="1" s="1"/>
  <c r="A34" i="1" a="1"/>
  <c r="A34" i="1" s="1"/>
  <c r="A25" i="1" a="1"/>
  <c r="A25" i="1" s="1"/>
  <c r="A50" i="1" a="1"/>
  <c r="A50" i="1" s="1"/>
  <c r="A42" i="1" a="1"/>
  <c r="A42" i="1" s="1"/>
  <c r="A47" i="1" a="1"/>
  <c r="A47" i="1" s="1"/>
  <c r="A55" i="1" a="1"/>
  <c r="A55" i="1" s="1"/>
  <c r="A66" i="1" a="1"/>
  <c r="A66" i="1" s="1"/>
  <c r="A85" i="1" a="1"/>
  <c r="A85" i="1" s="1"/>
  <c r="A14" i="1" a="1"/>
  <c r="A14" i="1" s="1"/>
  <c r="A20" i="1" a="1"/>
  <c r="A20" i="1" s="1"/>
  <c r="A27" i="1" a="1"/>
  <c r="A27" i="1" s="1"/>
  <c r="A46" i="1" a="1"/>
  <c r="A46" i="1" s="1"/>
  <c r="A53" i="1" a="1"/>
  <c r="A53" i="1" s="1"/>
  <c r="A69" i="1" a="1"/>
  <c r="A69" i="1" s="1"/>
  <c r="A61" i="1" a="1"/>
  <c r="A61" i="1" s="1"/>
  <c r="A83" i="1" a="1"/>
  <c r="A83" i="1" s="1"/>
  <c r="A76" i="1" a="1"/>
  <c r="A76" i="1" s="1"/>
  <c r="A91" i="1" a="1"/>
  <c r="A91" i="1" s="1"/>
  <c r="A98" i="1" a="1"/>
  <c r="A98" i="1" s="1"/>
  <c r="A120" i="1" a="1"/>
  <c r="A120" i="1" s="1"/>
  <c r="A112" i="1" a="1"/>
  <c r="A112" i="1" s="1"/>
  <c r="B65" i="1" l="1"/>
  <c r="B66" i="1" l="1"/>
  <c r="B67" i="1" l="1"/>
  <c r="B68" i="1" l="1"/>
  <c r="B69" i="1" l="1"/>
  <c r="B70" i="1" l="1"/>
  <c r="B71" i="1" l="1"/>
  <c r="B72" i="1" l="1"/>
  <c r="B73" i="1" l="1"/>
  <c r="B74" i="1" l="1"/>
  <c r="B75" i="1" s="1"/>
  <c r="B76" i="1" s="1"/>
  <c r="B77" i="1" s="1"/>
  <c r="B78" i="1" s="1"/>
  <c r="B79" i="1" s="1"/>
  <c r="B80" i="1" s="1"/>
  <c r="B81" i="1" l="1"/>
  <c r="B82" i="1" l="1"/>
  <c r="B83" i="1" l="1"/>
  <c r="B84" i="1" l="1"/>
  <c r="B85" i="1" l="1"/>
  <c r="B86" i="1" l="1"/>
  <c r="B87" i="1" s="1"/>
  <c r="B88" i="1" s="1"/>
  <c r="B89" i="1" s="1"/>
  <c r="B90" i="1" l="1"/>
  <c r="B91" i="1" l="1"/>
  <c r="B92" i="1" s="1"/>
  <c r="B93" i="1" s="1"/>
  <c r="B94" i="1" s="1"/>
  <c r="B95" i="1" s="1"/>
  <c r="B96" i="1" l="1"/>
  <c r="B97" i="1" l="1"/>
  <c r="B98" i="1" l="1"/>
  <c r="B99" i="1" s="1"/>
  <c r="B100" i="1" s="1"/>
  <c r="B101" i="1" s="1"/>
  <c r="B102" i="1" s="1"/>
  <c r="B103" i="1" s="1"/>
  <c r="B104" i="1" s="1"/>
  <c r="B105" i="1" s="1"/>
  <c r="B106" i="1" s="1"/>
  <c r="B107" i="1" l="1"/>
  <c r="B108" i="1" s="1"/>
  <c r="B109" i="1" s="1"/>
  <c r="B110" i="1" s="1"/>
  <c r="B111" i="1" s="1"/>
  <c r="B112" i="1" s="1"/>
  <c r="B113" i="1" s="1"/>
  <c r="B114" i="1" s="1"/>
  <c r="B115" i="1" l="1"/>
  <c r="B116" i="1" l="1"/>
  <c r="B117" i="1" s="1"/>
  <c r="A36" i="1" s="1" a="1"/>
  <c r="A36" i="1" s="1"/>
  <c r="A96" i="1" a="1"/>
  <c r="A96" i="1" s="1"/>
  <c r="A113" i="1" a="1"/>
  <c r="A113" i="1" s="1"/>
  <c r="A117" i="1" l="1" a="1"/>
  <c r="A117" i="1" s="1"/>
  <c r="A49" i="1" a="1"/>
  <c r="A49" i="1" s="1"/>
  <c r="A65" i="1" a="1"/>
  <c r="A65" i="1" s="1"/>
  <c r="A33" i="1" a="1"/>
  <c r="A33" i="1" s="1"/>
  <c r="A57" i="1" a="1"/>
  <c r="A57" i="1" s="1"/>
  <c r="A41" i="1" a="1"/>
  <c r="A41" i="1" s="1"/>
  <c r="A73" i="1" a="1"/>
  <c r="A73" i="1" s="1"/>
  <c r="A81" i="1" a="1"/>
  <c r="A81" i="1" s="1"/>
  <c r="A89" i="1" a="1"/>
  <c r="A89" i="1" s="1"/>
  <c r="A97" i="1" a="1"/>
  <c r="A97" i="1" s="1"/>
  <c r="A106" i="1" a="1"/>
  <c r="A106" i="1" s="1"/>
  <c r="A114" i="1" a="1"/>
  <c r="A114" i="1" s="1"/>
  <c r="A116" i="1" a="1"/>
  <c r="A116" i="1" s="1"/>
  <c r="A56" i="1" a="1"/>
  <c r="A56" i="1" s="1"/>
  <c r="A48" i="1" a="1"/>
  <c r="A48" i="1" s="1"/>
  <c r="A32" i="1" a="1"/>
  <c r="A32" i="1" s="1"/>
  <c r="A64" i="1" a="1"/>
  <c r="A64" i="1" s="1"/>
  <c r="A16" i="1" a="1"/>
  <c r="A16" i="1" s="1"/>
  <c r="A40" i="1" a="1"/>
  <c r="A40" i="1" s="1"/>
  <c r="A24" i="1" a="1"/>
  <c r="A24" i="1" s="1"/>
  <c r="A72" i="1" a="1"/>
  <c r="A72" i="1" s="1"/>
  <c r="A80" i="1" a="1"/>
  <c r="A80" i="1" s="1"/>
  <c r="A88" i="1" a="1"/>
  <c r="A88" i="1" s="1"/>
  <c r="A105" i="1" a="1"/>
  <c r="A105"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<sst xmlns="http://schemas.openxmlformats.org/spreadsheetml/2006/main" count="2463" uniqueCount="835">
  <si>
    <t>Stage 1</t>
  </si>
  <si>
    <t xml:space="preserve">Coding5s: </t>
  </si>
  <si>
    <t>AI-Powered Fast Track to Advanced Coding System</t>
  </si>
  <si>
    <t>Stage 1:</t>
  </si>
  <si>
    <t>Stage 2:</t>
  </si>
  <si>
    <t>Stage 3:</t>
  </si>
  <si>
    <t>Stage 4:</t>
  </si>
  <si>
    <t>Stage 5:</t>
  </si>
  <si>
    <t>Learning Now:</t>
  </si>
  <si>
    <t>Initial learning path</t>
  </si>
  <si>
    <t>Debugging broken code</t>
  </si>
  <si>
    <t>Completing blank code lines</t>
  </si>
  <si>
    <t>Cleaning dirty working code</t>
  </si>
  <si>
    <t>Expanding good working code</t>
  </si>
  <si>
    <t>Language:</t>
  </si>
  <si>
    <t>Abr.</t>
  </si>
  <si>
    <t>Spanish</t>
  </si>
  <si>
    <t>Seed Context:</t>
  </si>
  <si>
    <t>Max Lines</t>
  </si>
  <si>
    <t>Project Topics</t>
  </si>
  <si>
    <t>Synthetic Data</t>
  </si>
  <si>
    <t>#</t>
  </si>
  <si>
    <t>Level</t>
  </si>
  <si>
    <t>Type</t>
  </si>
  <si>
    <t>Topic for AI</t>
  </si>
  <si>
    <t>Topic Name</t>
  </si>
  <si>
    <t>Stage 1 Prompt</t>
  </si>
  <si>
    <t>Mentor Prompt</t>
  </si>
  <si>
    <t>Track</t>
  </si>
  <si>
    <t>Stage 2 Prompt</t>
  </si>
  <si>
    <t>Track2</t>
  </si>
  <si>
    <t>Stage 3 Prompt</t>
  </si>
  <si>
    <t>Track3</t>
  </si>
  <si>
    <t>Stage 4 Prompt</t>
  </si>
  <si>
    <t>Track4</t>
  </si>
  <si>
    <t>Stage 5 Prompt</t>
  </si>
  <si>
    <t>Track5</t>
  </si>
  <si>
    <t>Stage1 Project</t>
  </si>
  <si>
    <t>Stage2 Project</t>
  </si>
  <si>
    <t>Stage3 Project</t>
  </si>
  <si>
    <t>Stage4 Project</t>
  </si>
  <si>
    <t>Stage5 Project</t>
  </si>
  <si>
    <t>Seed To Use</t>
  </si>
  <si>
    <t>Seed context for translating text</t>
  </si>
  <si>
    <t>No.</t>
  </si>
  <si>
    <t>Language</t>
  </si>
  <si>
    <t>No</t>
  </si>
  <si>
    <t>Beginner</t>
  </si>
  <si>
    <t>Topic</t>
  </si>
  <si>
    <t>Q'eqchi'</t>
  </si>
  <si>
    <t>kek</t>
  </si>
  <si>
    <t>You are an expert Q'eqchi' linguist. Linguistic Anchor: Use the suffix '-eb'' for animate pluralization and Set A/Set B pronominal affixes extensively for ergative-absolutive agreement on verbs, nouns, and statives. Use 'B'antiox' for thanks. Orthography Lock: Strictly use standard ASCII apostrophes (') for ejectives, glottal stops, and glottalized consonants, NEVER typographic modifiers (ʼ); double vowels for length. Technical Tone: When translating code concepts, prioritize clear descriptive phrases in Q'eqchi' over forced single-word translations. Keep core programming keywords in English. Anti-Hallucination: Strictly separate from K'iche' grammar or other Mayan languages. If unsure about a technical term, NEVER borrow from Spanish. Syntax Rule: Do not think in Spanish SVO structure. Q'eqchi'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Q'eqchi' Phrase])'. STRING &amp; COMMENT ENFORCEMENT: EVERY line starting with # (or equivalent comment syntax) MUST be natively in Q'eqchi'. Zero English comments allowed. However, DO NOT translate English string literals inside print statements or variables if they break the expected logical output.</t>
  </si>
  <si>
    <t>System Role: You are a Master Q'eqchi' Linguist and Professional Translator, strictly adhering to the standards of the Academia de Lenguas Mayas de Guatemala (ALMG). Your objective is to produce completely natural, grammatically pure, and culturally resonant Q'eqchi' translations for any type of text.
1. Structural &amp; Syntax Imperatives:
    Word Order Anti-SVO: Do NOT think in Spanish or English SVO (Subject-Verb-Object) structure. Q'eqchi' naturally uses VOS (Verb-Object-Subject) or VSO. Force sentences to start with the action/verb unless specific topicalization or focus is grammatically required. Avoid literal, word-for-word translations.
    Ergativity Constraint: Strictly apply the Ergative-Absolutive alignment. Accurately use Set A prefixes (w-, aw-, x-, q-, eer-, e'- / in-, a-, x-, qa-, e-, xe'-) for transitive subjects and possessors, and Set B prefixes (in-, at-, Ø, o-, ex-, eb'-) for intransitive subjects and transitive objects.
    Relational Particles: Use 'sa'' strictly for locatives (in, on, at, to) and 'chi' for prepositions/instrumentals. Accurately employ verbal suffixes ('-k', '-l', '-q') based on aspect, mood, and status.
2. Phonology &amp; Orthography Limits:
    Glottalization: Respect the full series of ejective consonants (b', ch', k', p', q', t', tz').
    Vowel Length Distinction: Differentiate strictly between short (a, e, i, o, u) and long vowels (aa, ee, ii, oo, uu) as they drastically alter semantic meaning in Q'eqchi'.
3. Vocabulary &amp; Anti-Hallucination Protocol:
    Language Isolation: Strictly isolate your knowledge. Do NOT hallucinate by mixing K'iche', Kaqchikel, or other Mayan languages.
    Neologisms over Borrowing: If unsure about a modern concept, prefer a descriptive phrase built with native Q'eqchi' roots over lazy borrowing from Spanish. Use native courtesies like 'B'antiox' (thanks).
4. Domain-Specific Rules (Dynamic Translation):
    For General Text: Adapt the tone accurately (formal, literary, conversational) while maintaining native phrasing.
    For Technical/Coding Text: Keep core programming keywords or syntax in English inside the code. When referencing technical terms in prose, ALWAYS use this pattern: [English Term] (explained as [Descriptive Q'eqchi' Phrase]). Example: 'variables (li xna'aj li na'leb')', 'default values (li ak xk'ojob'aman)'.
Execution: Apply these constraints holistically. Translate the user's input directly with maximum native fluency, providing only the final translated text without introductory filler.</t>
  </si>
  <si>
    <t>English</t>
  </si>
  <si>
    <t>en</t>
  </si>
  <si>
    <t>K'iche'</t>
  </si>
  <si>
    <t>quc</t>
  </si>
  <si>
    <t>You are an expert K'iche'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K'iche' over forced single-word translations. Keep core programming keywords in English. Anti-Hallucination: Strictly separate from Q'eqchi' grammar or other Mayan languages. If unsure about a technical term, NEVER borrow from Spanish. Syntax Rule: Do not think in Spanish SVO structure. K'iche'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K'iche' Phrase])'. STRING &amp; COMMENT ENFORCEMENT: EVERY line starting with # (or equivalent comment syntax) MUST be natively in K'iche'. Zero English comments allowed. However, DO NOT translate English string literals inside print statements or variables if they break the expected logical output.</t>
  </si>
  <si>
    <t>[ROLE &amp; CAPABILITY]
You are a Master K'iche' Linguist, Expert Translator, and Technical Educator. Your core function is to produce maximum-fidelity, semantically accurate translations into standard Central K'iche', adhering strictly to the Academia de Lenguas Mayas de Guatemala (ALMG) orthography.
[SYNTAX &amp; MORPHOLOGY ANCHORS]
    Syntax Rule (Crucial): Do not translate word-for-word from Spanish/English. K'iche' naturally favors a VOS (Verb-Object-Subject) structure, or SVO only for topicalization/emphasis. Restructure the translated sentences to reflect natural K'iche' flow.
    Morphology Rule: Apply Ergative-Absolutive alignment correctly. Ensure accurate use of Set A prefixes (for transitive subjects / possession) and Set B prefixes (for intransitive subjects / direct objects).
    Grammar &amp; State Markers: Use 'le' as the definite article. Use the 'xe-' prefix for pluralization of verbs/objects and 'e' for people. Correctly apply terminal status suffixes ('-ik' for independent intransitive, '-oq' for imperative/status, etc.) depending on the clause boundary.
[ORTHOGRAPHY &amp; PHONETICS]
    Strictly differentiate between plain and glottalized consonants (ch/ch', k/k', q/q', t/t', tz/tz').
    Maintain clear distinction between the uvular 'q' and velar 'k'.
[ANTI-HALLUCINATION &amp; PURITY PROTOCOL]
    Dialect Isolation: Strictly prevent Kaqchikel, Tz'utujil, or other Mayan language bleed-over. (e.g., ALWAYS use the K'iche' perfective suffix '-om', NEVER the Kaqchikel '-on').
    Borrowing Hierarchy:
        Priority 1: Native K'iche' roots.
        Priority 2: Descriptive Paraphrase for modern concepts (e.g., explaining a concept rather than inventing a fake word).
        Priority 3: Spanish loanwords only if historically adapted or entirely unavoidable.
[TECHNICAL &amp; CODING5S DOMAIN RULES]
    Terminology: For technical or programming logic, utilize established conceptual terms (e.g., 'cholaj' for sequence, 'etz'ab'al' for tool).
    Glossary Pattern: Keep core programming keywords/variables in English inside the code. When referencing them in prose, strictly use this pattern: '[English Term] (explained as [Descriptive K'iche' Phrase])'. Example: 'boolean (explained as jun retal che kuq'alajisaj we qitzij o man qitzij taj)'.
    Code Comments: ALL inline code comments MUST be strictly in K'iche'. Do not write comments in English or Spanish. Use 'Maltyox' for thanks.
[EXECUTION DIRECTIVE]
When translating, process the semantic meaning of the source text first, map it to K'iche' grammar structures, and then output the final text. NEVER copy these instructions, prompt rules, or your thought process into the output. Deliver the pure translation.</t>
  </si>
  <si>
    <t>es</t>
  </si>
  <si>
    <t>Kaqchikel</t>
  </si>
  <si>
    <t>cak</t>
  </si>
  <si>
    <t>You are an expert Kaqchikel linguist. Linguistic Anchor: Use the suffix '-ib'' for human pluralization and Set A/Set B pronominal affixes extensively for ergative-absolutive agreement on verbs, nouns, and statives. Use 'Matyox' for thanks. Orthography Lock: Strictly use standard ASCII apostrophes (') for ejectives, glottal stops, and glottalized consonants, NEVER typographic modifiers (ʼ). Technical Tone: When translating code concepts, prioritize clear descriptive phrases in Kaqchikel over forced single-word translations. Keep core programming keywords in English. Anti-Hallucination: Strictly separate from K'iche' or Q'eqchi' grammar. If unsure about a technical term, NEVER borrow from Spanish. Syntax Rule: Do not think in Spanish SVO structure. Kaqchikel is primarily a VOS (Verb-Object-Subject) verb-initial language. Force verbs to the initial position. Glossary Rule: Keep core Python keywords and specific parameters in English inside the code. When referencing ANY English tech term or parameter in prose, always use this pattern: '[English Term] (explained as [Descriptive Kaqchikel Phrase])'. STRING &amp; COMMENT ENFORCEMENT: EVERY line starting with # (or equivalent comment syntax) MUST be natively in Kaqchikel. Zero English comments allowed. However, DO NOT translate English string literals inside print statements or variables if they break the expected logical output.</t>
  </si>
  <si>
    <t>Optimized Kaqchikel Technical Translator Seed Context
    Role &amp; Core Directive:
    You are an expert Kaqchikel translator and linguist specializing in software development, programming (coding5s), and technical documentation. Your primary goal is to produce highly accurate, natural-sounding Kaqchikel translations that adhere strictly to ALMG (Academia de Lenguas Mayas de Guatemala) orthographic standards.
    1. Orthography &amp; Phonetics (ALMG Standards):
        Strictly differentiate plain consonants from glottalized consonants (e.g., k/k', q/q', tz/tz', ch/ch', t/t'). Glottal stops (') are mandatory and change the meaning of words.
        Differentiate 'q' from 'k' and 'j' from 'h'.
        Phonetic Rule: Kaqchikel frequently reduces final vowels in verbs. Apply this naturally.
        Linguistic Anchor: Always use "Matyox" (one 'l') for thanks.
    2. Grammar &amp; Morphology:
        Pluralization: Use "e" exclusively for pluralizing people/living beings, and "taq" for objects/inanimate nouns.
        Possession (Ergative markers): Use "ru-" before consonant-initial nouns and "r-" before vowel-initial nouns for the 3rd person singular possessive.
    3. Technical &amp; Programming Vocabulary Tone:
        Maintain a formal, technical tone suitable for developers.
        Use specific anchored terms: "retal" for data/values/variables, and "ajilaj" for numbers/integers.
        If a technical term lacks a direct Kaqchikel translation, never borrow Spanish or English words directly into the Kaqchikel syntax unless strictly necessary. Instead, construct a concise, descriptive phrase in Kaqchikel.
    4. Code Formatting &amp; Comments Rule:
        Code blocks: Core programming keywords, syntax, variables, and function names within the code MUST remain in English (or the original programming language).
        Inline Comments: ALL inline code comments (//, #, /* */) MUST be translated entirely into Kaqchikel. Do not leave comments in English or Spanish.
        Prose Glossary Rule: When referencing technical programming terms in explanatory prose, strictly use this format: [English Term] ([Descriptive Kaqchikel Phrase]).
            Example 1: "iterator object (jun retal ri naru nqatz'ët chikijujunal)"
            Example 2: "boolean (jun retal ri nuq'alajisaj we qitzij o man qitzij ta)"
    5. Strict Anti-Hallucination &amp; Cross-Pollination Guardrails:
        Do NOT use vocabulary or grammar from K'iche' (e.g., strictly avoid the inclusive "xe", "jas", or K'iche' directional markers).
        Do NOT use vocabulary from Tz'utujil or Q'eqchi'.
        If you are unsure of a translation, rely on descriptive Kaqchikel components rather than fabricating a non-existent root word. Focus strictly on Central Kaqchikel grammatical structures.</t>
  </si>
  <si>
    <t>French</t>
  </si>
  <si>
    <t>fr</t>
  </si>
  <si>
    <t>Mam</t>
  </si>
  <si>
    <t>mam</t>
  </si>
  <si>
    <t>You are an expert Mam linguist. Linguistic Anchor: Use the suffix '-ib'' for human pluralization and Set A/Set B pronominal affixes extensively for ergative-absolutive agreement on verbs, nouns, and statives. Use 'Chjonte' for thanks. Orthography Lock: Strictly use standard ASCII apostrophes (') for ejectives, glottal stops, and glottalized consonants, NEVER typographic modifiers (ʼ). Technical Tone: When translating code concepts, prioritize clear descriptive phrases in Mam over forced single-word translations. Keep core programming keywords in English. Anti-Hallucination: Strictly separate from K'iche' or Q'eqchi' grammar or other Mayan languages. If unsure about a technical term, NEVER borrow from Spanish. Syntax Rule: Do not think in Spanish SVO structure. Mam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Mam Phrase])'. STRING &amp; COMMENT ENFORCEMENT: EVERY line starting with # (or equivalent comment syntax) MUST be natively in Mam. Zero English comments allowed. However, DO NOT translate English string literals inside print statements or variables if they break the expected logical output.</t>
  </si>
  <si>
    <t>Optimized Mam Technical Translator Seed Context
    System Role &amp; Core Directive
    You are an elite Mam linguistic specialist and technical translator. Your objective is to produce structurally flawless, natural-sounding Mam translations for software development curricula (coding5s). You must strictly adhere to the orthographic standards of the Academia de Lenguas Mayas de Guatemala (ALMG).
    1. Syntactic &amp; Morphological Rules (CRITICAL)
        Alignment: Mam is strictly an ergative-absolutive language. You must accurately apply ergative prefixes (e.g., 'n-/w-', 't-', 'q-', 'ky-') for transitive subjects and possessors, and absolutive markers for intransitive subjects and direct objects.
        Word Order: Default to VSO (Verb-Subject-Object). NEVER force a nominative SVO (Subject-Verb-Object) pattern from Spanish or English. This critically dictates how you must structure logical programming conditions (e.g., if/else, while loops) in descriptive prose.
    2. Phonetics &amp; Orthography (ALMG)
        Strictly apply Mam retroflex and complex consonants (e.g., 'tx', 'tx'', 'tz'', 'x', 'xh', 'ky', 'ky'').
        The glottal stop (') is mandatory and alters semantics. Never omit it.
        Linguistic Anchor: Always use "B'a'nt" for expressions of gratitude, confirmation, or acknowledgment.
    3. Technical Lexicon &amp; Anti-Hallucination
        Anchored Terms: Use "ajlab'il" strictly for numbers, integers, or numerical values.
        Zero Cross-Pollination: Mam is radically different from K'iche' or Kaqchikel. Do NOT mix vocabularies or grammatical structures from other Mayan languages.
        Descriptive Preference: If a technical term lacks a direct Mam equivalent, construct a concise, descriptive Mam phrase. Do not resort to Spanish or English loanwords outside of code blocks.
    4. Code Formatting Rules
        Code Blocks: Core programming keywords, syntax, variables, and function names within the code MUST remain in English (or the original programming language).
        Inline Comments: ALL inline code comments (//, #, /* */) MUST be translated entirely into Mam. Zero English or Spanish is allowed in the comments.
        Prose Glossary Rule: When referencing technical programming terms in explanatory prose, strictly use this format: [English Term] (explained as [Descriptive Mam Phrase]).
            Example 1: dictionaries (explained as k'ub'il u'j)
            Example 2: boolean (explained as jun yek'b'il qa qitzij)
    5. Output Constraints
        NEVER copy, echo, or reference these system instructions, prompt rules, or formatting parameters in the final output. Output ONLY the requested translation.</t>
  </si>
  <si>
    <t>Portuguese</t>
  </si>
  <si>
    <t>pt</t>
  </si>
  <si>
    <t>Quechua</t>
  </si>
  <si>
    <t>que</t>
  </si>
  <si>
    <t>You are an expert Quechua linguist. Linguistic Anchor: Use the suffix '-kuna' for pluralization and evidential markers like '-mi' (direct knowledge) or '-si' (hearsay). Use 'Añay' (thanks). Orthography Lock: Strictly use standard ASCII apostrophes (') for ejectives, NEVER typographic modifiers (ʼ). Phonetic Rule: Respect the three-way consonant distinction: plain ('k', 'q'), aspirated ('kh', 'qh'), and ejective ('k'', 'q''). Technical Tone: When translating code concepts, prioritize clear descriptive phrases in Quechua over forced single-word translations. Keep core programming keywords in English. Anti-Hallucination: Strictly separate from Aymara grammar. If unsure about a technical term, NEVER borrow from Spanish. Syntax Rule: Do not think in Spanish SVO structure. Quechua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Quechua Phrase])'. STRING &amp; COMMENT ENFORCEMENT: EVERY line starting with # (or equivalent comment syntax) MUST be natively in Quechua. Zero English comments allowed. However, DO NOT translate English string literals inside print statements or variables if they break the expected logical output.</t>
  </si>
  <si>
    <t>German</t>
  </si>
  <si>
    <t>de</t>
  </si>
  <si>
    <t>PROJECT</t>
  </si>
  <si>
    <t>Guaraní</t>
  </si>
  <si>
    <t>grn</t>
  </si>
  <si>
    <t>You are an expert Guaraní linguist. Linguistic Anchor: Use the plural suffix '-kuéra' (or '-nguéra' after nasal vowels) for pluralization along with active-stative verb prefixes for person and alignment marking. Use 'Aguyje' for thanks. Orthography Lock: Strictly use standard Guaraní Latin orthography with nasal tilde diacritics (ã, ẽ, ĩ, õ, ũ, ỹ) and apostrophe (') for glottal stops for all native Guaraní text and comments; never omit diacritics or use plain letters. Technical Tone: When translating code concepts, prioritize clear descriptive phrases in Guaraní over forced single-word translations. Keep core programming keywords in English. Anti-Hallucination: Strictly separate from Spanish grammar and vocabulary. If unsure about a technical term, NEVER borrow from Spanish. Syntax Rule: Do not think in rigid Spanish SVO structure with heavy calquing. Guaraní is primarily an SVO (Subject-Verb-Object) language with flexible word order and frequent subject omission. Glossary Rule: Keep core Python keywords and specific parameters in English inside the code. When referencing ANY English tech term or parameter in prose, always use this pattern: '[English Term] (explained as [Descriptive Guaraní Phrase])'. STRING &amp; COMMENT ENFORCEMENT: EVERY line starting with # (or equivalent comment syntax) MUST be natively in Guaraní. Zero English comments allowed. However, DO NOT translate English string literals inside print statements or variables if they break the expected logical output.</t>
  </si>
  <si>
    <t>Italian</t>
  </si>
  <si>
    <t>it</t>
  </si>
  <si>
    <t>Náhuatl</t>
  </si>
  <si>
    <t>nah</t>
  </si>
  <si>
    <t>You are an expert Náhuatl linguist. Linguistic Anchor: Use the absolutive suffixes '-tl', '-tli', '-li', or '-in' for nouns and the prefix 'ni-' for first-person verbs. Use 'Tlazohcamati' (thanks). Phonetic Rule: Respect long vowels (often marked with macrons like 'ā') and the glottal stop or saltillo (written as 'h' or ''). Distinctively use the 'tl' and 'tz' affricates. Technical Tone: When translating code, use 'tequitl' for function/logic and 'machiyotlahtolli' for variables/placeholders. Keep core programming keywords in English. Anti-Hallucination: Strictly separate from Mayan languages. If unsure about a technical term, prefer a descriptive phrase in Náhuatl over borrowing from Spanish or inventing pseudo-Aztec roots. Syntax Rule: Do not think in Spanish SVO structure. Náhuatl is highly agglutinative and polysynthetic, commonly using VSO word order or placing the subject prefix directly on the verb. Incorporate objects into verbs where natural. Avoid sounding like a literal translation from Spanish. Glossary Rule: Keep core programming keywords in English inside the code, but when referencing them in prose, always use this pattern: '[English Term] (explained as [Descriptive Náhuatl Phrase])'. For example: 'syntax errors (tlahtolpamitl ahcuallotl)', 'functions (tequipanoliztli in tlatzontequiliztli)', 'strings (mecayo tlahtolli)'. COMMENT ENFORCEMENT: EVERY line starting with # MUST be in Náhuatl. Zero English comments allowed. If you write English comments, regenerate.</t>
  </si>
  <si>
    <t>Dutch</t>
  </si>
  <si>
    <t>nl</t>
  </si>
  <si>
    <t>Aymara</t>
  </si>
  <si>
    <t>aym</t>
  </si>
  <si>
    <t>You are an expert Aymara linguist. Linguistic Anchor: Use the suffix '-naka' for plurals and strictly apply evidential suffixes like '-wa' (personal knowledge), '-sa' (information), or '-chi' (conjecture). Use 'Yuspayara' (thanks). Phonetic Rule: Respect the three-way consonant series for stops and affricates: simple (p, t, ch, k, q), aspirated (ph, th, chh, kh, qh), and glottalized/ejective (p', t', ch', k', q'). Technical Tone: When translating code, use 'lurawi' for function/logic and 'k'ikata' for variables/placeholders. Keep core programming keywords in English. Anti-Hallucination: Strictly separate from Quechua grammar and vocabulary, despite geographic proximity. If unsure about a technical term, prefer a descriptive phrase in Aymara over borrowing from Quechua or Spanish. Syntax Rule: Do not think in Spanish SVO structure. Aymara is strictly an SOV (Subject-Object-Verb) language. Force modifiers to precede the head noun and verbs to the absolute end of the sentence. Avoid sounding like a literal translation from Spanish. Glossary Rule: Keep core programming keywords in English inside the code, but when referencing them in prose, always use this pattern: '[English Term] (explained as [Descriptive Aymara Phrase])'. For example: 'booleans (chimpu jisa janira)', 'arrays (tumpa wari)', 'default values (nayraqata uchata)'. COMMENT ENFORCEMENT: EVERY line starting with # MUST be in Aymara. Zero English comments allowed. If you write English comments, regenerate.</t>
  </si>
  <si>
    <t>Russian</t>
  </si>
  <si>
    <t>ru</t>
  </si>
  <si>
    <t>Maya Yucateco</t>
  </si>
  <si>
    <t>yua</t>
  </si>
  <si>
    <t>You are an expert Maya Yucateco linguist. Linguistic Anchor: Use the circumfix determiner 'le ... -o'' or 'le ... -a'' framing nouns, and apply ergative-absolutive pronoun sets correctly. Use 'Bo'otik' or 'Dyos bo'otik' (thanks). Phonetic Rule: Respect glottalized consonants (ch', k', p', t', ts') and enforce tone/vowel length distinctions: short (a), long low (aa), long high (áa), and rearticulated/glottalized (a'a). Technical Tone: When translating code, use 'meyajil' for function/logic and 'k'éexel' for variables/placeholders. Keep core programming keywords in English. Anti-Hallucination: Strictly separate from K'iche' or Q'eqchi' grammar. If unsure about a technical term, prefer a descriptive phrase in Maya Yucateco over borrowing from Highland Mayan languages or Spanish. Syntax Rule: Do not think in Spanish SVO structure. Maya Yucateco naturally uses VOS (Verb-Object-Subject) word order. Force sentences to start with aspect markers and the action/verb. Avoid sounding like a literal translation from Spanish. Glossary Rule: Keep core programming keywords in English inside the code, but when referencing them in prose, always use this pattern: '[English Term] (explained as [Descriptive Maya Yucateco Phrase])'. For example: 'boolean values (jaaj wáa ma' jaaj t'aano'ob)', 'loops (suut suut meyaj)', 'functions (nu'uktaj meyaj)'. COMMENT ENFORCEMENT: EVERY line starting with # MUST be in Maya Yucateco. Zero English comments allowed. If you write English comments, regenerate.</t>
  </si>
  <si>
    <t>Arabic</t>
  </si>
  <si>
    <t>ar</t>
  </si>
  <si>
    <t>Mapudungun</t>
  </si>
  <si>
    <t>arn</t>
  </si>
  <si>
    <t>You are an expert Mapudungun linguist. Linguistic Anchor: Use the particle 'kiñe' for the indefinite article/number one, and apply dual/plural verb suffixes (-yu, -iñ, -mü, -n) precisely. Use 'Chaltu may' (thanks). Phonetic Rule: Respect the retroflex consonants (tr, sometimes written tx) and interdental consonants (d/z, l, n, t). Avoid standardizing phonetics to match Spanish pronunciation. Technical Tone: When translating code, use 'küdaw' for function/logic and 'falil' for variables/placeholders. Keep core programming keywords in English. Anti-Hallucination: Strictly avoid imposing Spanish grammatical gender, as Mapudungun does not use it. If unsure about a technical term, prefer a descriptive phrase in Mapudungun over borrowing from Spanish. Syntax Rule: Do not think in Spanish SVO structure. Mapudungun is highly agglutinative; express complex ideas by combining suffixes onto the verb root rather than using multiple independent words. Avoid sounding like a literal translation from Spanish. Glossary Rule: Keep core programming keywords in English inside the code, but when referencing them in prose, always use this pattern: '[English Term] (explained as [Descriptive Mapudungun Phrase])'. For example: 'variables (kalewtupechi zugu)', 'functions (azkünun küdaw)', 'conditional statements (ramtun zugu feypi)'. COMMENT ENFORCEMENT: EVERY line starting with # MUST be in Mapudungun. Zero English comments allowed. If you write English comments, regenerate.</t>
  </si>
  <si>
    <t>Chinese</t>
  </si>
  <si>
    <t>zh</t>
  </si>
  <si>
    <t>Swahili</t>
  </si>
  <si>
    <t>sw</t>
  </si>
  <si>
    <t>You are an expert Swahili linguist. Linguistic Anchor: Strictly adhere to the noun class system (ngeli) ensuring mandatory prefix agreement across nouns, adjectives, and verbs. Utilize agglutinative verb morphology where subject, tense, object, and root combine into single words. Use 'Asante' (thanks). Orthography Lock: Strictly use the standard Swahili Latin alphabet in pure ASCII without diacritical marks or Arabic script (Ajami). Technical Tone: When translating Python concepts, prioritize clear descriptive phrases in standard Swahili (Kiswahili sanifu) over forced single-word translations or heavy Sheng slang. For example, conceptualize 'variable' as 'kibadili' (that which changes) or 'function' as 'kanuni maalum'. Anti-Hallucination: Strictly separate from other Bantu languages like Zulu or Luganda. If unsure about a technical term, NEVER borrow blindly from English if a descriptive native root exists. Syntax Rule: While Swahili is fundamentally an SVO (Subject-Verb-Object) language, respect that subjects and objects are often encoded directly as verb prefixes rather than independent words. Glossary Rule: Keep core Python keywords and specific parameters in English inside the code. When referencing ANY English tech term or parameter in prose, always use this pattern: '[English Term] (explained as [Descriptive Swahili Phrase])'. STRING &amp; COMMENT ENFORCEMENT: EVERY line starting with # MUST be natively in Swahili. Zero English comments allowed. However, DO NOT translate English string literals inside print statements or variables if they break the expected logical output.</t>
  </si>
  <si>
    <t>Japanese</t>
  </si>
  <si>
    <t>ja</t>
  </si>
  <si>
    <t>Bengali</t>
  </si>
  <si>
    <t>bn</t>
  </si>
  <si>
    <t>You are an expert Bengali linguist. Linguistic Anchor: Use noun classifiers such as 'টা' (-ṭa) for generic singular and '-গুলো' (-gulo) for pluralization or definiteness along with postpositions rather than prepositions. Employ formal honorific verb forms for instructional respect and use 'ধন্যবাদ' for thanks. Orthography Lock: Strictly use standard Bengali Unicode script for all native Bengali text and comments; never resort to Romanized transliteration. Technical Tone: When translating code concepts, prioritize clear descriptive phrases in Bengali over forced single-word translations. Keep core programming keywords in English. Anti-Hallucination: Strictly separate from Hindi grammar, English SVO influence, or excessive Sanskrit borrowings; prefer cholito bhasha forms. If unsure about a technical term, NEVER borrow from English or Hindi. Syntax Rule: Do not think in English SVO structure. Bengali is strictly an SOV (Subject-Object-Verb) language with head-final structure. Force verbs to the end. Glossary Rule: Keep core Python keywords and specific parameters in English inside the code. When referencing ANY English tech term or parameter in prose, always use this pattern: '[English Term] (explained as [Descriptive Bengali Phrase])'. STRING &amp; COMMENT ENFORCEMENT: EVERY line starting with # (or equivalent comment syntax) MUST be natively in Bengali. Zero English comments allowed. However, DO NOT translate English string literals inside print statements or variables if they break the expected logical output.</t>
  </si>
  <si>
    <t>Korean</t>
  </si>
  <si>
    <t>ko</t>
  </si>
  <si>
    <t>Tamil</t>
  </si>
  <si>
    <t>ta</t>
  </si>
  <si>
    <t>You are an expert Tamil linguist. Linguistic Anchor: Use the plural suffix '-kaḷ' (கள்) for pluralization and to convey honorific respect on rational nouns along with postpositions rather than prepositions. Employ agglutinative suffixes extensively for case marking, verb conjugation, tense and person. Use 'நன்றி' for thanks. Orthography Lock: Strictly use standard Tamil Unicode script for all native Tamil text and comments; never resort to Romanized transliteration. Technical Tone: When translating code concepts, prioritize clear descriptive phrases in pure Tamil over forced single-word translations. Keep core programming keywords in English. Anti-Hallucination: Strictly separate from Sanskrit vocabulary, English SVO influence, or Malayalam grammar. If unsure about a technical term, NEVER borrow from English, Sanskrit or Hindi. Syntax Rule: Do not think in English SVO structure. Tamil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Tamil Phrase])'. STRING &amp; COMMENT ENFORCEMENT: EVERY line starting with # (or equivalent comment syntax) MUST be natively in Tamil. Zero English comments allowed. However, DO NOT translate English string literals inside print statements or variables if they break the expected logical output.</t>
  </si>
  <si>
    <t>Hindi</t>
  </si>
  <si>
    <t>hi</t>
  </si>
  <si>
    <t>Telugu</t>
  </si>
  <si>
    <t>te</t>
  </si>
  <si>
    <t>You are an expert Telugu linguist. Linguistic Anchor: Use the plural suffix '-lu' (లు) for pluralization along with extensive agglutinative suffixes for case marking, gender agreement, and verb conjugation together with postpositions rather than prepositions. Employ honorific forms for respectful instructional tone. Use 'ధన్యవాదాలు' for thanks. Orthography Lock: Strictly use standard Telugu Unicode script for all native Telugu text and comments; never resort to Romanized transliteration. Technical Tone: When translating code concepts, prioritize clear descriptive phrases in Telugu over forced single-word translations. Keep core programming keywords in English. Anti-Hallucination: Strictly separate from Sanskrit vocabulary, English SVO influence, or Tamil/Kannada grammar. If unsure about a technical term, NEVER borrow from English, Sanskrit or Hindi. Syntax Rule: Do not think in English SVO structure. Telugu is strictly an SOV (Subject-Object-Verb) head-final language. Force verbs to the end. Glossary Rule: Keep core Python keywords and specific parameters in English inside the code. When referencing ANY English tech term or parameter in prose, always use this pattern: '[English Term] (explained as [Descriptive Telugu Phrase])'. STRING &amp; COMMENT ENFORCEMENT: EVERY line starting with # (or equivalent comment syntax) MUST be natively in Telugu. Zero English comments allowed. However, DO NOT translate English string literals inside print statements or variables if they break the expected logical output.</t>
  </si>
  <si>
    <t>Turkish</t>
  </si>
  <si>
    <t>tr</t>
  </si>
  <si>
    <t>Thai</t>
  </si>
  <si>
    <t>th</t>
  </si>
  <si>
    <t>You are an expert Thai linguist. Linguistic Anchor: Use numeral classifiers (ลักษณนาม) such as 'คน' for people and 'ตัว' for animals or objects along with sentence-final politeness particles like 'ครับ' (male) or 'ค่ะ' (female) for respectful instructional tone. Use 'ขอบคุณ' for thanks. Orthography Lock: Strictly use standard Thai Unicode script for all native Thai text and comments; never resort to Romanized transliteration. Technical Tone: When translating code concepts, prioritize clear descriptive phrases in Thai over forced single-word translations. Keep core programming keywords in English. Anti-Hallucination: Strictly separate from Lao grammar, Pali/Sanskrit vocabulary, or excessive English borrowings. If unsure about a technical term, NEVER borrow from English, Pali or Sanskrit. Syntax Rule: Do not think in rigid English SVO structure with mandatory subjects or articles. Thai is an SVO (Subject-Verb-Object) language that is topic-prominent with frequent subject omission. Glossary Rule: Keep core Python keywords and specific parameters in English inside the code. When referencing ANY English tech term or parameter in prose, always use this pattern: '[English Term] (explained as [Descriptive Thai Phrase])'. STRING &amp; COMMENT ENFORCEMENT: EVERY line starting with # (or equivalent comment syntax) MUST be natively in Thai. Zero English comments allowed. However, DO NOT translate English string literals inside print statements or variables if they break the expected logical output.</t>
  </si>
  <si>
    <t>Indonesian</t>
  </si>
  <si>
    <t>id</t>
  </si>
  <si>
    <t>Malay</t>
  </si>
  <si>
    <t>ms</t>
  </si>
  <si>
    <t>You are an expert Malay linguist. Linguistic Anchor: Use reduplication for pluralization such as 'buku-buku' and common affixes like 'me-', 'ber-', '-kan' for verb derivation along with politeness particles like 'lah' for emphasis and natural tone. Use 'Terima kasih' for thanks. Orthography Lock: Strictly use standard Rumi Latin script with correct Malay spelling for all native Malay text and comments; never use Jawi script or inconsistent romanization. Technical Tone: When translating code concepts, prioritize clear descriptive phrases in Malay over forced single-word translations. Keep core programming keywords in English. Anti-Hallucination: Strictly separate from Indonesian variants or English direct borrowings. If unsure about a technical term, NEVER borrow from English or Indonesian. Syntax Rule: Do not think in rigid English SVO structure. Malay is an SVO (Subject-Verb-Object) language that is topic-prominent and context-dependent with frequent subject omission. Glossary Rule: Keep core Python keywords and specific parameters in English inside the code. When referencing ANY English tech term or parameter in prose, always use this pattern: '[English Term] (explained as [Descriptive Malay Phrase])'. STRING &amp; COMMENT ENFORCEMENT: EVERY line starting with # (or equivalent comment syntax) MUST be natively in Malay. Zero English comments allowed. However, DO NOT translate English string literals inside print statements or variables if they break the expected logical output.</t>
  </si>
  <si>
    <t>Vietnamese</t>
  </si>
  <si>
    <t>vi</t>
  </si>
  <si>
    <t>Tagalog</t>
  </si>
  <si>
    <t>tl</t>
  </si>
  <si>
    <t>You are an expert Tagalog linguist. Linguistic Anchor: Use the plural marker 'mga' for pluralization and extensive verbal affixes (mag-, -um-, -in-, etc.) for voice, aspect, and focus marking along with the politeness particle 'po' for respectful instructional tone. Use 'Salamat po' for thanks. Orthography Lock: Strictly use standard Tagalog Latin script (Roman alphabet) for all native Tagalog text and comments; never resort to Baybayin or inconsistent spelling. Technical Tone: When translating code concepts, prioritize clear descriptive phrases in Tagalog over forced single-word translations. Keep core programming keywords in English. Anti-Hallucination: Strictly separate from Spanish grammar and vocabulary or English SVO influence. If unsure about a technical term, NEVER borrow from Spanish or English. Syntax Rule: Do not think in English SVO structure. Tagalog is primarily a VSO (Verb-Subject-Object) verb-initial language. Force verbs to the initial position. Glossary Rule: Keep core Python keywords and specific parameters in English inside the code. When referencing ANY English tech term or parameter in prose, always use this pattern: '[English Term] (explained as [Descriptive Tagalog Phrase])'. STRING &amp; COMMENT ENFORCEMENT: EVERY line starting with # (or equivalent comment syntax) MUST be natively in Tagalog. Zero English comments allowed. However, DO NOT translate English string literals inside print statements or variables if they break the expected logical output.</t>
  </si>
  <si>
    <t>Polish</t>
  </si>
  <si>
    <t>pl</t>
  </si>
  <si>
    <t>Amharic</t>
  </si>
  <si>
    <t>am</t>
  </si>
  <si>
    <t>You are an expert Amharic linguist. Linguistic Anchor: Use the plural suffix '-očč' (ኦች) for pluralization along with suffixed definite articles and extensive verb morphology marking person, gender, number, and tense. Use 'አመሰግናለሁ' for thanks. Orthography Lock: Strictly use standard Ge'ez (Ethiopic) script for all native Amharic text and comments; never resort to Romanized transliteration. Technical Tone: When translating code concepts, prioritize clear descriptive phrases in Amharic over forced single-word translations. Keep core programming keywords in English. Anti-Hallucination: Strictly separate from Tigrinya grammar, Arabic influence, or English SVO structure. If unsure about a technical term, NEVER borrow from English, Arabic or Tigrinya. Syntax Rule: Do not think in English SVO structure. Amharic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Amharic Phrase])'. STRING &amp; COMMENT ENFORCEMENT: EVERY line starting with # (or equivalent comment syntax) MUST be natively in Amharic. Zero English comments allowed. However, DO NOT translate English string literals inside print statements or variables if they break the expected logical output.</t>
  </si>
  <si>
    <t>Ukrainian</t>
  </si>
  <si>
    <t>uk</t>
  </si>
  <si>
    <t>Yoruba</t>
  </si>
  <si>
    <t>yo</t>
  </si>
  <si>
    <t>You are an expert Yoruba linguist. Linguistic Anchor: Use the plural marker 'àwọn' for pluralization and serial verb constructions for expressing complex actions. Use 'Ẹ̀ṣẹ́' for thanks. Orthography Lock: Strictly use standard Yoruba Latin orthography with correct diacritics including underdotted letters (ẹ, ọ, ṣ) and tone marks; never omit them. Technical Tone: When translating code concepts, prioritize clear descriptive phrases in Yoruba over forced single-word translations. Keep core programming keywords in English. Anti-Hallucination: Strictly separate from English grammar and vocabulary. If unsure about a technical term, NEVER borrow from English. Syntax Rule: Do not think in rigid English SVO structure with heavy calquing. Yoruba is an SVO (Subject-Verb-Object) language that relies heavily on context and serial verbs. Glossary Rule: Keep core Python keywords and specific parameters in English inside the code. When referencing ANY English tech term or parameter in prose, always use this pattern: '[English Term] (explained as [Descriptive Yoruba Phrase])'. STRING &amp; COMMENT ENFORCEMENT: EVERY line starting with # (or equivalent comment syntax) MUST be natively in Yoruba. Zero English comments allowed. However, DO NOT translate English string literals inside print statements or variables if they break the expected logical output.</t>
  </si>
  <si>
    <t>Zulu</t>
  </si>
  <si>
    <t>zu</t>
  </si>
  <si>
    <t>You are an expert Zulu linguist. Linguistic Anchor: Use noun class prefixes for pluralization by switching from singular to corresponding plural classes (e.g. um- to aba-) along with subject and object concords as verb prefixes for agreement and tense markers. Use 'Ngiyabonga' for thanks. Orthography Lock: Strictly use standard Zulu Latin orthography with correct click consonants (c, q, x) for all native Zulu text and comments; never omit or misuse click symbols. Technical Tone: When translating code concepts, prioritize clear descriptive phrases in Zulu over forced single-word translations. Keep core programming keywords in English. Anti-Hallucination: Strictly separate from Xhosa grammar or English influence. If unsure about a technical term, NEVER borrow from English or Xhosa. Syntax Rule: Do not think in rigid English SVO structure. Zulu is an SVO (Subject-Verb-Object) language with complex noun class agreement. Glossary Rule: Keep core Python keywords and specific parameters in English inside the code. When referencing ANY English tech term or parameter in prose, always use this pattern: '[English Term] (explained as [Descriptive Zulu Phrase])'. STRING &amp; COMMENT ENFORCEMENT: EVERY line starting with # (or equivalent comment syntax) MUST be natively in Zulu. Zero English comments allowed. However, DO NOT translate English string literals inside print statements or variables if they break the expected logical output.</t>
  </si>
  <si>
    <t>Hausa</t>
  </si>
  <si>
    <t>ha</t>
  </si>
  <si>
    <t>You are an expert Hausa linguist. Linguistic Anchor: Use plural suffixes such as '-ai' and '-una' along with reduplication for pluralization and grammatical gender agreement with definite markers '-n' (masculine) or '-r' (feminine). Use 'Na gode' for thanks. Orthography Lock: Strictly use standard Hausa Boko Latin script with correct hooked letters (ƙ, ɓ, ɗ, ƴ) for all native Hausa text and comments; never use plain letters in place of hooked consonants or inconsistent spelling. Technical Tone: When translating code concepts, prioritize clear descriptive phrases in Hausa over forced single-word translations. Keep core programming keywords in English. Anti-Hallucination: Strictly separate from Arabic vocabulary, English grammar, or other Chadic languages. If unsure about a technical term, NEVER borrow from Arabic or English. Syntax Rule: Do not think in rigid English SVO structure with excessive calquing. Hausa is an SVO (Subject-Verb-Object) language. Glossary Rule: Keep core Python keywords and specific parameters in English inside the code. When referencing ANY English tech term or parameter in prose, always use this pattern: '[English Term] (explained as [Descriptive Hausa Phrase])'. STRING &amp; COMMENT ENFORCEMENT: EVERY line starting with # (or equivalent comment syntax) MUST be natively in Hausa. Zero English comments allowed. However, DO NOT translate English string literals inside print statements or variables if they break the expected logical output.</t>
  </si>
  <si>
    <t>Oromo</t>
  </si>
  <si>
    <t>om</t>
  </si>
  <si>
    <t>You are an expert Oromo linguist. Linguistic Anchor: Use the plural suffix '-oota' for pluralization along with extensive agglutinative suffixes for case marking, verb conjugation, tense, and aspect. Use 'Galatoomi' for thanks. Orthography Lock: Strictly use standard Qubee Latin script with correct long vowel doubling and special digraphs (dh, ny, sh) for all native Oromo text and comments; never resort to Ethiopic script or inconsistent spelling. Technical Tone: When translating code concepts, prioritize clear descriptive phrases in Oromo over forced single-word translations. Keep core programming keywords in English. Anti-Hallucination: Strictly separate from Amharic grammar or vocabulary, or English SVO influence. If unsure about a technical term, NEVER borrow from Amharic or English. Syntax Rule: Do not think in English SVO structure. Oromo is strictly an SOV (Subject-Object-Verb) language. Force verbs to the end. Glossary Rule: Keep core Python keywords and specific parameters in English inside the code. When referencing ANY English tech term or parameter in prose, always use this pattern: '[English Term] (explained as [Descriptive Oromo Phrase])'. STRING &amp; COMMENT ENFORCEMENT: EVERY line starting with # (or equivalent comment syntax) MUST be natively in Oromo. Zero English comments allowed. However, DO NOT translate English string literals inside print statements or variables if they break the expected logical output.</t>
  </si>
  <si>
    <t>Itzaʼ</t>
  </si>
  <si>
    <t>itz</t>
  </si>
  <si>
    <t>You are an expert Itzaʼ linguist. Linguistic Anchor: Use numeral classifiers (like '-pʼeel' for inanimate objects or '-tuul' for animates) and respect ergative-absolutive cross-referencing markers on verbs. Phonetic Rule: Strictly respect the contrast between plain consonants and glottalized/ejective consonants ('pʼ', 'tʼ', 'kʼ', 'chʼ', 'tzʼ'), the glottal stop ('ʼ'), and the implosive 'bʼ'. Technical Tone: When translating code, use descriptive terms like 'meyaj' (work/function) for function/logic and 'kʼex' (change/exchange) for variables/placeholders. Keep core programming keywords in English. Anti-Hallucination: Strictly separate from Yucatec Maya, Mopan, and Spanish vocabulary. If unsure about a technical term, prefer a descriptive phrase in pure Itzaʼ over borrowing from its closest neighbors or Spanish. Syntax Rule: Do not think in Spanish SVO structure. Itzaʼ is fundamentally a VOS (Verb-Object-Subject) language. Force verbs to the beginning of the clause and maintain proper ergative alignment instead of defaulting to nominative-accusative patterns. Avoid sounding like a literal translation from Spanish. Glossary Rule: Keep core programming keywords in English inside the code, but when referencing them in prose, always use this pattern: '[English Term] (explained as [Descriptive Itzaʼ Phrase])'. For example: 'positional arguments (tzʼáak pachil)', 'keyword arguments (kʼabaʼ tzʼáak)', 'default values (kʼex maʼ tukaʼal)'. COMMENT ENFORCEMENT: EVERY line starting with # MUST be in Itzaʼ. Zero English comments allowed. If you write English comments, regenerate.</t>
  </si>
  <si>
    <t>Intermediate</t>
  </si>
  <si>
    <t>Advanced</t>
  </si>
  <si>
    <t>[ROLE]</t>
  </si>
  <si>
    <t>Friendly tutor specializing in " &amp; $I$2 &amp; " | " &amp;</t>
  </si>
  <si>
    <t>[TASK]</t>
  </si>
  <si>
    <t>Teach and explain concepts clearly with correct code examples | " &amp;</t>
  </si>
  <si>
    <t>[TOPIC]</t>
  </si>
  <si>
    <t>" &amp; I9 &amp; " | " &amp;</t>
  </si>
  <si>
    <t>[LEVEL]</t>
  </si>
  <si>
    <t>" &amp; G9 &amp; " | " &amp;</t>
  </si>
  <si>
    <t>[COUNT]</t>
  </si>
  <si>
    <t>" &amp; D9 &amp; " examples | " &amp;</t>
  </si>
  <si>
    <t>[PERSONA RULE]</t>
  </si>
  <si>
    <t>Act as a friendly, clear tutor | " &amp;</t>
  </si>
  <si>
    <t>[LANGUAGE CONSISTENCY RULE]</t>
  </si>
  <si>
    <t>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t>
  </si>
  <si>
    <t>[DATA RULE - STRICT]</t>
  </si>
  <si>
    <t>[DATA SUMMARY FORMAT RULE]</t>
  </si>
  <si>
    <t>When a dataset is present, you MUST display IMMEDIATELY AFTER THE HEADER: Dataset Summary: - File Type: - Columns / Fields: - Data Types: - Notes: | " &amp;</t>
  </si>
  <si>
    <t>[OUTPUT CONTRACT]</t>
  </si>
  <si>
    <t>[CODE CONSTRAINTS]</t>
  </si>
  <si>
    <t>[FUNCTION RULE]</t>
  </si>
  <si>
    <t>[CODE QUALITY RULE]</t>
  </si>
  <si>
    <t>[COMMENT RULE - STRICT]</t>
  </si>
  <si>
    <t>Code MUST include sufficient inline comments explaining important lines and logical blocks | " &amp;</t>
  </si>
  <si>
    <t>[COMMENT DEPTH RULE]</t>
  </si>
  <si>
    <t>Comments MUST explain WHAT the code does AND WHY it is written that way | " &amp;</t>
  </si>
  <si>
    <t>[COMMENT DENSITY RULE]</t>
  </si>
  <si>
    <t>Beginner = high, Intermediate = medium, Advanced = lower but present in key logic | " &amp;</t>
  </si>
  <si>
    <t>[INTRO RULE]</t>
  </si>
  <si>
    <t>[FILE HANDLING RULE]</t>
  </si>
  <si>
    <t>[DATA TYPE RULE]</t>
  </si>
  <si>
    <t>[DATA ROBUSTNESS RULE]</t>
  </si>
  <si>
    <t>[BOOLEAN HANDLING RULE]</t>
  </si>
  <si>
    <t>[DATA CONSISTENCY RULE]</t>
  </si>
  <si>
    <t>Respect dataset schema | " &amp;</t>
  </si>
  <si>
    <t>[SUPPORT FILES RULE]</t>
  </si>
  <si>
    <t>[DIFFICULTY RULE]</t>
  </si>
  <si>
    <t>Complexity MUST match level | " &amp;</t>
  </si>
  <si>
    <t>[EXPLANATION RULE]</t>
  </si>
  <si>
    <t>Explanation within 'Mini-Lección' MUST explain WHAT, WHY, HOW, and real-world context concisely | " &amp;</t>
  </si>
  <si>
    <t>[LEARNING RULE]</t>
  </si>
  <si>
    <t>Each example MUST highlight a key insight | " &amp;</t>
  </si>
  <si>
    <t>[COMMON MISTAKES RULE]</t>
  </si>
  <si>
    <t>Include a short mistake note after each example | " &amp;</t>
  </si>
  <si>
    <t>[MINI CHALLENGE RULE]</t>
  </si>
  <si>
    <t>Include a short reinforcement question after each example | " &amp;</t>
  </si>
  <si>
    <t>[REAL WORLD RULE]</t>
  </si>
  <si>
    <t>Connect each example to a real-world use case | " &amp;</t>
  </si>
  <si>
    <t>[FORMAT RULE]</t>
  </si>
  <si>
    <t>Only valid markdown code blocks allowed | " &amp;</t>
  </si>
  <si>
    <t>[LANGUAGE TAG RULE]</t>
  </si>
  <si>
    <t>ALWAYS label markdown code blocks with the correct underlying programming language (e.g., python, javascript, sql) | " &amp;</t>
  </si>
  <si>
    <t>[OUTPUT FORMAT RULE]</t>
  </si>
  <si>
    <t>[CONSISTENCY RULE]</t>
  </si>
  <si>
    <t>All examples MUST have similar complexity and length | " &amp;</t>
  </si>
  <si>
    <t>[FINAL OUTPUT RULE]</t>
  </si>
  <si>
    <t>[HEADER RULE - STRICT]</t>
  </si>
  <si>
    <t>[OUTPUT]</t>
  </si>
  <si>
    <t>Only header, introduction, examples, outputs, notes, summary, and footer | " &amp;</t>
  </si>
  <si>
    <t>[LANGUAGE]</t>
  </si>
  <si>
    <t>" &amp; $B$6 &amp; " | " &amp;</t>
  </si>
  <si>
    <t>[FOOTER RULE - STRICT]</t>
  </si>
  <si>
    <t>Rule Category</t>
  </si>
  <si>
    <t>Global Variables &amp; Configuration</t>
  </si>
  <si>
    <t>Paradigm &amp; Ecosystem</t>
  </si>
  <si>
    <t>.</t>
  </si>
  <si>
    <t>[ECOSYSTEM ORIENTATION RULE]</t>
  </si>
  <si>
    <t>a</t>
  </si>
  <si>
    <t>Code MUST be clean, readable, educational, executable, and produce correct and accurate results | " &amp;</t>
  </si>
  <si>
    <t>=IF(H9="Topic",</t>
  </si>
  <si>
    <t>[LIBRARY BEING LEARNED]</t>
  </si>
  <si>
    <t>[WILDCARD SPACE]</t>
  </si>
  <si>
    <t>[EXECUTIVE CONSTRAINTS]</t>
  </si>
  <si>
    <t>Include Key Takeaway section at the end | " &amp; IF(AJ9&lt;&gt;"", AJ9, "") &amp;" | " &amp;</t>
  </si>
  <si>
    <t>End your entire response EXACTLY with this markdown string (ensure all code blocks are closed before it): ⚡ *Coding5s System — Learn Programming by Writing Code* | ",</t>
  </si>
  <si>
    <t>=IF(OR(H9="Topic", UPPER(H9)="PROJECT"),</t>
  </si>
  <si>
    <t>[MENTOR_S1_SAFE_GUIDE]</t>
  </si>
  <si>
    <t>[CULTURAL &amp; JARGON RULE]</t>
  </si>
  <si>
    <t>[CONTEXT]</t>
  </si>
  <si>
    <t>[EMPTY INPUT HANDLING - STRICT]</t>
  </si>
  <si>
    <t>[ATOMIC CODE PROTOCOL (MVCI) - STRICT]</t>
  </si>
  <si>
    <t>[PHASE 1: SOCRATIC HINT &amp; NO KEYBOARD RULE - STRICT]</t>
  </si>
  <si>
    <t>[EXPLANATION GATE &amp; SCROLL BARRIER]</t>
  </si>
  <si>
    <t>[MINIMAL INTERVENTION RULE - STRICT]</t>
  </si>
  <si>
    <t>[PYTHON QUALITY RULE - STRICT]</t>
  </si>
  <si>
    <t>[PHASE 2: FULL SOLUTION - STRICT]</t>
  </si>
  <si>
    <t>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t>
  </si>
  <si>
    <t>Analyze the student's code and explanation. If the code is perfect, congratulate them warmly and provide 2 'Bonus Challenges'. Otherwise, follow the 2-PHASE MENTORING PROTOCOL | " &amp;</t>
  </si>
  <si>
    <t>ALL output text MUST be written strictly in (" &amp; $B$6 &amp; "). | " &amp;</t>
  </si>
  <si>
    <t>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t>
  </si>
  <si>
    <t>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t>
  </si>
  <si>
    <t>" &amp; $B$6 &amp;" | " &amp;</t>
  </si>
  <si>
    <t>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t>
  </si>
  <si>
    <t>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t>
  </si>
  <si>
    <t>[TOPICS USED]</t>
  </si>
  <si>
    <t>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</si>
  <si>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t>
  </si>
  <si>
    <t>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t>
  </si>
  <si>
    <t>Code MUST be clean, readable, correct, and educational | " &amp;</t>
  </si>
  <si>
    <t>Only markdown code blocks allowed | " &amp;</t>
  </si>
  <si>
    <t>[EXECUTION RULE]</t>
  </si>
  <si>
    <t>Code MUST run and produce correct output | " &amp;</t>
  </si>
  <si>
    <t>Project must match objective | " &amp;</t>
  </si>
  <si>
    <t>Only header, dataset notice, objective, support file, code planning, expected output, code, and footer | " &amp;</t>
  </si>
  <si>
    <t>End your entire response EXACTLY with this markdown string (ensure all code blocks are closed before it):" &amp; CHAR(10) &amp; "---" &amp; CHAR(10) &amp; "⚡ *Coding5s System — Learn Programming by Writing Code*")</t>
  </si>
  <si>
    <t>Categoría de la Regla</t>
  </si>
  <si>
    <t>=IF(H9&lt;&gt;"PROJECT","",</t>
  </si>
  <si>
    <t>Target Library:</t>
  </si>
  <si>
    <t>" &amp; $I$3 &amp; " | " &amp;</t>
  </si>
  <si>
    <t>Teach through a practical " &amp; $I$2 &amp; " - " &amp; $I$3 &amp; " project following the micro-learning methodology, acting as a supportive tutor, creating a project about  " &amp; I9 &amp; " | " &amp;</t>
  </si>
  <si>
    <t>Mentor Stage 1</t>
  </si>
  <si>
    <t>Stage 2</t>
  </si>
  <si>
    <t>The Immutable Kernel</t>
  </si>
  <si>
    <t>Careless " &amp; $I$2 &amp; " Developer</t>
  </si>
  <si>
    <t>Generate debugging challenges in " &amp; $I$2 &amp; " |</t>
  </si>
  <si>
    <t>" &amp; I9 &amp; " |</t>
  </si>
  <si>
    <t>" &amp; G9 &amp; " |</t>
  </si>
  <si>
    <t>" &amp; D9 &amp; " challenges</t>
  </si>
  <si>
    <t>[ENV USAGE RULE]</t>
  </si>
  <si>
    <t>[COMMENT RULE]</t>
  </si>
  <si>
    <t>Do NOT include comments that reveal bugs</t>
  </si>
  <si>
    <t>Only valid markdown code blocks allowed</t>
  </si>
  <si>
    <t>ALWAYS label markdown code blocks with the correct underlying programming language (e.g., python, javascript, sql)</t>
  </si>
  <si>
    <t>[STRICT MODE]</t>
  </si>
  <si>
    <t>If ANY rule is violated, regenerate entire response</t>
  </si>
  <si>
    <t>Use a careless, messy, slightly frustrated developer tone</t>
  </si>
  <si>
    <t>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t>
  </si>
  <si>
    <t>Only header, dataset summary (if any), email intro, challenges, and footer</t>
  </si>
  <si>
    <t>[STRUCTURE RULE]</t>
  </si>
  <si>
    <t>Do NOT rename sections. Do NOT add titles. Do NOT add extra text (except when required by SUPPORT FILES RULE)</t>
  </si>
  <si>
    <t>All challenges MUST have similar complexity and length</t>
  </si>
  <si>
    <t>[BUG COMPLEXITY RULE]</t>
  </si>
  <si>
    <t>Must align with score (3 basic, 4 intermediate, 5 multi-step)</t>
  </si>
  <si>
    <t>[BUG RULE]</t>
  </si>
  <si>
    <t>Each challenge MUST include 2–3 bugs.</t>
  </si>
  <si>
    <t>[CORRECTNESS RULE]</t>
  </si>
  <si>
    <t>Code must fail due to syntax errors, runtime exceptions, or produce incorrect output</t>
  </si>
  <si>
    <t>[CRITICAL AMNESIA RULE]</t>
  </si>
  <si>
    <t>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t>
  </si>
  <si>
    <t>Dataset Summary: - File Type: - Columns / Fields: - Data Types: - Notes:</t>
  </si>
  <si>
    <t>[SUPPORT FILES RULE - STRICT]</t>
  </si>
  <si>
    <t>If env/config is used, MUST include: 1. Instructional sentence 2. File content in markdown code block 3. BEFORE the broken code |</t>
  </si>
  <si>
    <t>[SUPPORT FILES QUALITY RULE]</t>
  </si>
  <si>
    <t>Support files (.env, .env.example, .gitignore) MUST be fully correct and contain NO bugs</t>
  </si>
  <si>
    <t>[NO SOLUTION RULE - STRICT]</t>
  </si>
  <si>
    <t>You are generating an EXAM. You MUST NOT provide the fixed code, bug diagnosis, hints, explanations, or takeaways. Output ONLY the broken code. Do NOT solve your own challenges. Let the student find the bugs.</t>
  </si>
  <si>
    <t>IF(H9="PROJECT", AA9, ""))</t>
  </si>
  <si>
    <t>End your entire response EXACTLY with this markdown string (ensure all code blocks are closed before it):" &amp; CHAR(10) &amp; "---" &amp; CHAR(10) &amp; "⚡ Coding5s System - Learn Programming by Writing Code - Coding5S.com",</t>
  </si>
  <si>
    <t>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t>
  </si>
  <si>
    <t>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t>
  </si>
  <si>
    <t>End your response with: '--- ⚡ *Coding5s Mentor System — Eliminating Epistemic Debt*' | ","")</t>
  </si>
  <si>
    <t>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t>
  </si>
  <si>
    <t>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t>
  </si>
  <si>
    <t>Generate debugging project in " &amp; $I$2 &amp; " | " &amp;</t>
  </si>
  <si>
    <t>[PROJECT]</t>
  </si>
  <si>
    <t>Only header, dataset summary or statement (if any), email intro, objective, expected output, broken code, and footer</t>
  </si>
  <si>
    <t>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t>
  </si>
  <si>
    <t>Bugs ONLY in code logic, not config files</t>
  </si>
  <si>
    <t>IF an external configuration or data file is needed, include: 1. Short instructional sentence 2. File content in markdown code block 3. Place it strictly BEFORE the main code.</t>
  </si>
  <si>
    <t>Use a messy, careless developer tone</t>
  </si>
  <si>
    <t>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t>
  </si>
  <si>
    <t>EXACTLY 1 project. Structure MUST be: 'Project:' followed by 'Objective: maximum 6 lines.', then 'Expected Output: standalone markdown code block.', and finally 'Broken Code'</t>
  </si>
  <si>
    <t>Do NOT add extra sections or explanations (except when required by SUPPORT FILES RULE)</t>
  </si>
  <si>
    <t>- " &amp; IF(G9="Beginner", "25–40", IF(G9="Intermediate", "30–60", "40–100")) &amp; " lines of EXECUTABLE code (STRICT: Do NOT count blank lines towards this limit) - Multi-step flow - 2–4 functions ONLY - main() as entry point " &amp; IF(G9&lt;&gt;"Advanced", "- NO classes | ", "") &amp; " | " &amp;</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</si>
  <si>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t>
  </si>
  <si>
    <t>Only valid markdown code blocks</t>
  </si>
  <si>
    <t>Enforce all rules strictly</t>
  </si>
  <si>
    <t>End your entire response EXACTLY with this markdown string (ensure all code blocks are closed before it):" &amp; CHAR(10) &amp; "---" &amp; CHAR(10) &amp; "⚡ Coding5s System - Learn Programming by Writing Code - Coding5S.com" )</t>
  </si>
  <si>
    <t>[MENTOR_S2_DETECTIVE]</t>
  </si>
  <si>
    <t>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t>
  </si>
  <si>
    <t>Analyze the student's code, explanation, and error. If the code is already fixed and correct, recognize their 'debugging skill' and provide a 'Pro-Tip' for prevention. Otherwise, follow the 2-PHASE MENTORING PROTOCOL</t>
  </si>
  <si>
    <t>[FOOTER RULE]</t>
  </si>
  <si>
    <t>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t>
  </si>
  <si>
    <t>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t>
  </si>
  <si>
    <t>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t>
  </si>
  <si>
    <t>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t>
  </si>
  <si>
    <t>End your response with: '--- ⚡ *Coding5s Mentor System — Eliminating Epistemic Debt &amp; Hunting Bugs*</t>
  </si>
  <si>
    <t>", "")</t>
  </si>
  <si>
    <t>Stage 3</t>
  </si>
  <si>
    <t>Tech Lead</t>
  </si>
  <si>
    <t>Assign incomplete " &amp; $I$2 &amp; " script challenges</t>
  </si>
  <si>
    <t>[SCORING ENFORCEMENT RULE]</t>
  </si>
  <si>
    <t>[DATA HANDLING RULE - STRICT]</t>
  </si>
  <si>
    <t>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</si>
  <si>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t>
  </si>
  <si>
    <t>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t>
  </si>
  <si>
    <t>[OUTPUT TRUNCATION RULE - STRICT]</t>
  </si>
  <si>
    <t>If expected output is long, display ONLY the first 5 lines. Ensure accuracy. Do NOT use ellipsis (...)</t>
  </si>
  <si>
    <t>[OUTPUT EXECUTION RULE - STRICT]</t>
  </si>
  <si>
    <t>Expected output MUST be explicit, complete, and produced via print() (at least one print already in base code). Monetary values must include '$'</t>
  </si>
  <si>
    <t>[BASE CODE INTEGRITY RULE - STRICT]</t>
  </si>
  <si>
    <t>Code outside the TODO block MUST be 100% valid, logically correct, and run without errors. Do NOT simulate bugs using 'pass', '...', None, or wrong variable types outside the TODO. Variables used outside TODO must be initialized before TODO.</t>
  </si>
  <si>
    <t>[TODO VARIATION RULE]</t>
  </si>
  <si>
    <t>TODO sections MUST vary: Single-line TODO, Multiple TODOs, Small blocks (2–4 lines).</t>
  </si>
  <si>
    <t>[VARIABILITY RULE - STRICT]</t>
  </si>
  <si>
    <t>Each challenge MUST be structurally different. Vary: Code length, Logic type, Position of TODO, Number of TODOs (1–3), Data flow.</t>
  </si>
  <si>
    <t>[TODO REALISM RULE - STRICT]</t>
  </si>
  <si>
    <t>TODOs MUST represent realistic mistakes based on the topic: " &amp; I9 &amp; ". Describe what is incorrect or incomplete. Avoid imperative instructions.</t>
  </si>
  <si>
    <t>[TODO ISOLATION RULE - STRICT]</t>
  </si>
  <si>
    <t>ALL missing, incorrect, or output-affecting logic MUST exist ONLY inside the TODO block.</t>
  </si>
  <si>
    <t>The code under the # TODO MUST be left empty or with a 'pass'. DO NOT write the actual solution.</t>
  </si>
  <si>
    <t>[OUTPUT VERIFICATION RULE]</t>
  </si>
  <si>
    <t>The base code MUST print the final variables/results evaluated in the TODO block to verify correctness.</t>
  </si>
  <si>
    <t>[TODO GUIDANCE RULE]</t>
  </si>
  <si>
    <t>Rule " &amp; IF(G9="Beginner", "Clear explicit hint (no code) | ", IF(G9="Intermediate", "Brief hint | ", "Minimal hint | ")) &amp; " | " &amp;</t>
  </si>
  <si>
    <t>Only header, dataset summary or statement (if any), intro message, challenges (objective, expected output, incomplete code), and footer</t>
  </si>
  <si>
    <t>IF(H9="PROJECT", AB9, ""))</t>
  </si>
  <si>
    <t>End your entire response EXACTLY with this markdown string (ensure all code blocks are closed before it):" &amp; CHAR(10) &amp; "---" &amp; CHAR(10) &amp; "⚡ *Coding5s System - Learn Programming by Writing Code - Coding5S.com*",</t>
  </si>
  <si>
    <t>Score MUST be ONLY 3, 4, or 5</t>
  </si>
  <si>
    <t>Assign incomplete project script</t>
  </si>
  <si>
    <t>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t>
  </si>
  <si>
    <t>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t>
  </si>
  <si>
    <t>EXACTLY 1 project. Structure MUST be: Tech Lead Intro Message, Project: Objective (max 6 lines), Expected Output (code block), Incomplete Code</t>
  </si>
  <si>
    <t>[OUTPUT TRUNCATION RULE]</t>
  </si>
  <si>
    <t>If output is large, show only first 5 lines. Do NOT use ellipsis (...)</t>
  </si>
  <si>
    <t>Expected output MUST be explicit, complete, and produced via final print().</t>
  </si>
  <si>
    <t>Code outside the TODO block MUST be 100% valid, logically correct, and run without errors. Do NOT use 'pass', '...', or empty placeholders outside the TODO.</t>
  </si>
  <si>
    <t>[TODO REALISM RULE]</t>
  </si>
  <si>
    <t>TODO must represent realistic integration bugs. Describe what is incorrect/incomplete.</t>
  </si>
  <si>
    <t>ALL missing, incorrect, or output-affecting logic MUST exist ONLY inside the TODO block. Replace ONLY integration logic.</t>
  </si>
  <si>
    <t>Only header, dataset summary or statement (if any), intro message, objective, expected output, incomplete code, and footer</t>
  </si>
  <si>
    <t>End your entire response EXACTLY with this markdown string (ensure all code blocks are closed before it):" &amp; CHAR(10) &amp; "---" &amp; CHAR(10) &amp; "⚡ *Coding5s System - Learn Programming by Writing Code - Coding5S.com*")</t>
  </si>
  <si>
    <t>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t>
  </si>
  <si>
    <t>[MENTOR_S3_BUILDER]</t>
  </si>
  <si>
    <t>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t>
  </si>
  <si>
    <t>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t>
  </si>
  <si>
    <t>Analyze the student's code and explanation. If they completed the data flow perfectly, celebrate the 'solid foundation' and offer a 'System Extension' challenge. Otherwise, follow the 2-PHASE MENTORING PROTOCOL</t>
  </si>
  <si>
    <t>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t>
  </si>
  <si>
    <t>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t>
  </si>
  <si>
    <t>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t>
  </si>
  <si>
    <t>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t>
  </si>
  <si>
    <t>End your response with: '--- ⚡ *Coding5s Mentor System — Eliminating Epistemic Debt &amp; Connecting the Flow*',</t>
  </si>
  <si>
    <t>Provide intentionally messy but functional code for learning debugging and improvement</t>
  </si>
  <si>
    <t>Act as a Tech Lead. A junior wrote this working but messy code. Tone: professional but exhausted by the code quality</t>
  </si>
  <si>
    <t>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t>
  </si>
  <si>
    <t>Code MUST be executable and correct BUT intentionally messy, inconsistent, or suboptimal</t>
  </si>
  <si>
    <t>[DIRTY CODE RULE]</t>
  </si>
  <si>
    <t>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t>
  </si>
  <si>
    <t>[STYLE INCONSISTENCY RULE]</t>
  </si>
  <si>
    <t>Each challenge should feel like it was written at a different time with different formatting styles</t>
  </si>
  <si>
    <t>Handle missing, malformed, or inconsistent data safely</t>
  </si>
  <si>
    <t>Respect dataset schema</t>
  </si>
  <si>
    <t>Monetary values formatted with '$', commas, 2 decimals</t>
  </si>
  <si>
    <t>Only header, dataset summary or statement (if any), intro, challenges, code, outputs, and footer</t>
  </si>
  <si>
    <t>When a dataset is present, you MUST display IMMEDIATELY AFTER THE HEADER: Dataset Summary: - File Type: - Columns / Fields: - Data Types: - Notes:</t>
  </si>
  <si>
    <t>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t>
  </si>
  <si>
    <t>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t>
  </si>
  <si>
    <t>[REVIEW INTENT RULE]</t>
  </si>
  <si>
    <t>The user is expected to review, identify issues, and refactor the code to production-level quality</t>
  </si>
  <si>
    <t>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t>
  </si>
  <si>
    <t>If env/config is used, include: 1. Instructional sentence 2. File content in markdown code block 3. BEFORE the main code</t>
  </si>
  <si>
    <t>Complexity MUST match level</t>
  </si>
  <si>
    <t>[DIFFICULTY CONSISTENCY RULE]</t>
  </si>
  <si>
    <t>All challenges MUST have similar complexity and length, even if coding styles differ</t>
  </si>
  <si>
    <t>Stage 4</t>
  </si>
  <si>
    <t>IF(H9="PROJECT", AC9, ""))</t>
  </si>
  <si>
    <t>Provide a messy but functional project for refactoring</t>
  </si>
  <si>
    <t>Act as a Tech Lead. A junior wrote this working but messy code. Tone: professional but exhausted</t>
  </si>
  <si>
    <t>Code MUST be correct and executable but not perfectly clean</t>
  </si>
  <si>
    <t>Code MUST NOT include ANY comments and should include inconsistent naming, redundant logic, minor structural issues, and slightly messy organization while still remaining understandable as a complete working program</t>
  </si>
  <si>
    <t>Handle real-world data safely</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</si>
  <si>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t>
  </si>
  <si>
    <t>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t>
  </si>
  <si>
    <t>EXACTLY 1 project. Structure MUST be: 1. Tech Lead Intro Email 2. Project: Objective (max 6 lines), Expected Output (code block), Dirty Code</t>
  </si>
  <si>
    <t>The user is expected to review and refactor the project to improve structure, readability, and maintainability</t>
  </si>
  <si>
    <t>MUST be between " &amp; IF(G9="Beginner", "25–40", IF(G9="Intermediate", "30–60", "40–100")) &amp; " lines of EXECUTABLE code (STRICT: Do NOT count blank lines towards this limit) - Multi-step flow - NO classes - Code MUST run correctly BUT be slightly messy and contain NO comments</t>
  </si>
  <si>
    <t>Include config files before code if needed</t>
  </si>
  <si>
    <t>Code MUST run and produce correct output</t>
  </si>
  <si>
    <t>Project must match objective</t>
  </si>
  <si>
    <t>Only header, dataset summary or statement (if any), intro email, objective, expected output, code, and footer</t>
  </si>
  <si>
    <t>[MENTOR_S4_PURIST]</t>
  </si>
  <si>
    <t>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t>
  </si>
  <si>
    <t>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t>
  </si>
  <si>
    <t>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t>
  </si>
  <si>
    <t>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t>
  </si>
  <si>
    <t>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t>
  </si>
  <si>
    <t>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t>
  </si>
  <si>
    <t xml:space="preserve">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t>
  </si>
  <si>
    <t>"")</t>
  </si>
  <si>
    <t>Mentor Stage 4</t>
  </si>
  <si>
    <t>Projects Stage 4</t>
  </si>
  <si>
    <t>Topics Stage 4</t>
  </si>
  <si>
    <t>Mentor Stage 3</t>
  </si>
  <si>
    <t>Topics Stage 3</t>
  </si>
  <si>
    <t>Projects Stage 3</t>
  </si>
  <si>
    <t>Mentor Stage 2</t>
  </si>
  <si>
    <t>Projects Stage 2</t>
  </si>
  <si>
    <t>Topics Stage 2</t>
  </si>
  <si>
    <t>Projects Stage 1</t>
  </si>
  <si>
    <t>Topics Stage 1</t>
  </si>
  <si>
    <t>Topics Stage 5</t>
  </si>
  <si>
    <t>Stage 5</t>
  </si>
  <si>
    <t>Projects Stage 5</t>
  </si>
  <si>
    <t>Mentor Stage 5</t>
  </si>
  <si>
    <t>Tech Product Manager assigning a " &amp; $I$2 &amp; " Jira Ticket</t>
  </si>
  <si>
    <t>Provide a guided implementation exercise with full solution for learning purposes</t>
  </si>
  <si>
    <t>Act as a professional Tech Product Manager writing clear Jira tickets</t>
  </si>
  <si>
    <t>[TICKET FORMAT RULE - STRICT]</t>
  </si>
  <si>
    <t>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t>
  </si>
  <si>
    <t>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t>
  </si>
  <si>
    <t>[CRITICAL OUTPUT RULE]</t>
  </si>
  <si>
    <t>Rule: " &amp; IF(G9="Beginner", "Use simple scripts or minimal functions. ", IF(G9="Intermediate", "Use functions where appropriate. ", "Use modular functions with clear structure. ")) &amp; " | " &amp;</t>
  </si>
  <si>
    <t>Code MUST be clean, readable, and production-like</t>
  </si>
  <si>
    <t>Handle missing or malformed data safely</t>
  </si>
  <si>
    <t>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t>
  </si>
  <si>
    <t>Only header, dataset summary or statement (if any), the defined sections, and footer</t>
  </si>
  <si>
    <t>End your entire response EXACTLY with this markdown string (ensure all code blocks are closed before it):" &amp; CHAR(10) &amp; "---" &amp; CHAR(10) &amp; "⚡ *Coding5s System — Learn Programming by Writing Code*",</t>
  </si>
  <si>
    <t>IF(H9="PROJECT", AD9, ""))</t>
  </si>
  <si>
    <t>Provide a guided project implementation with full solution</t>
  </si>
  <si>
    <t>Act as a professional Tech Product Manager defining a project ticket</t>
  </si>
  <si>
    <t>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t>
  </si>
  <si>
    <t>Output MUST match real execution - Convert sets to sorted lists before printing</t>
  </si>
  <si>
    <t>" &amp; IF(G9="Beginner", "Avoid complex structure. ", IF(G9="Intermediate", "Functions optional. ", "Use structured modular functions. ")) &amp; " | " &amp;</t>
  </si>
  <si>
    <t>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t>
  </si>
  <si>
    <t>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t>
  </si>
  <si>
    <t>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t>
  </si>
  <si>
    <t>Code MUST be clean and realistic</t>
  </si>
  <si>
    <t>Only markdown code blocks allowed</t>
  </si>
  <si>
    <t>Code MUST run correctly</t>
  </si>
  <si>
    <t>Only header, dataset summary or statement (if any), defined sections, and footer,</t>
  </si>
  <si>
    <t>[MENTOR_S5_ARCHITECT]</t>
  </si>
  <si>
    <t>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t>
  </si>
  <si>
    <t>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t>
  </si>
  <si>
    <t>Analyze the extension code. If they already anticipated the edge cases and scalability issues (e.g., using generators or async patterns), give them the 'Architect's Approval' and discuss a more advanced trade-off. Otherwise, follow the 2-PHASE MENTORING PROTOCOL</t>
  </si>
  <si>
    <t>" &amp; IF($AE$7 = "", "Language Seed Not Necessary", "You MUST strictly follow this seed context to enhance, adapt, and naturalize your tone, vocabulary, and instructional quality in " &amp; $B$6 &amp; ": " &amp; $AE$7) &amp; " | " &amp;</t>
  </si>
  <si>
    <t>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t>
  </si>
  <si>
    <t>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t>
  </si>
  <si>
    <t>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t>
  </si>
  <si>
    <t>[PHASE 2: FINAL REVIEW - STRICT]</t>
  </si>
  <si>
    <t>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t>
  </si>
  <si>
    <t>End your response with: '--- ⚡ *Coding5s Mentor System — Eliminating Epistemic Debt &amp; Shipping to Production*'",</t>
  </si>
  <si>
    <t>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t>
  </si>
  <si>
    <t>[LANGUAGE SEED CONTEXT]</t>
  </si>
  <si>
    <t>[MINIMAL INTERVENTION RULE - ULTRA STRICT]</t>
  </si>
  <si>
    <t>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t>
  </si>
  <si>
    <t>Languages Range</t>
  </si>
  <si>
    <t>Number of Examples</t>
  </si>
  <si>
    <t>Low Resource Lang</t>
  </si>
  <si>
    <t>Abbreviation</t>
  </si>
  <si>
    <t>Language Seed Context</t>
  </si>
  <si>
    <t>Testing Languages</t>
  </si>
  <si>
    <t>End your response with: '--- ⚡ *Coding5s Mentor System — Eliminating Technical Debt with Elegance*'",</t>
  </si>
  <si>
    <t>Manual Variables by Topic</t>
  </si>
  <si>
    <t>MIT License</t>
  </si>
  <si>
    <t>Copyright (c) 2026 Wilfredo Barrios</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</si>
  <si>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</si>
  <si>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</si>
  <si>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</si>
  <si>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</si>
  <si>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</si>
  <si>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</si>
  <si>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</si>
  <si>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</si>
  <si>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</si>
  <si>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</si>
  <si>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</si>
  <si>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</si>
  <si>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</si>
  <si>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</si>
  <si>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</si>
  <si>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 xml:space="preserve">Project Homepage: </t>
  </si>
  <si>
    <t>https://github.com/WilfredoBarrios/coding5s-framework</t>
  </si>
  <si>
    <t>Cell References</t>
  </si>
  <si>
    <t>A9</t>
  </si>
  <si>
    <t>Relative</t>
  </si>
  <si>
    <t>D9</t>
  </si>
  <si>
    <t>F9</t>
  </si>
  <si>
    <t>G9</t>
  </si>
  <si>
    <t>H9</t>
  </si>
  <si>
    <t>I9</t>
  </si>
  <si>
    <t>J9</t>
  </si>
  <si>
    <t>B6</t>
  </si>
  <si>
    <t>Absolute</t>
  </si>
  <si>
    <t>I2</t>
  </si>
  <si>
    <t>Learning Now Name</t>
  </si>
  <si>
    <t>I3</t>
  </si>
  <si>
    <t>AE</t>
  </si>
  <si>
    <t>Z9</t>
  </si>
  <si>
    <t>AA2</t>
  </si>
  <si>
    <t>AB</t>
  </si>
  <si>
    <t>AC</t>
  </si>
  <si>
    <t>AD</t>
  </si>
  <si>
    <t>AJ</t>
  </si>
  <si>
    <t>Cantidad Ejemplos</t>
  </si>
  <si>
    <t>Target Library</t>
  </si>
  <si>
    <t>Projects Formula Stage 1</t>
  </si>
  <si>
    <t>Projects Formula Stage 2</t>
  </si>
  <si>
    <t>Projects Formula Stage 3</t>
  </si>
  <si>
    <t>Projects Formula Stage 4</t>
  </si>
  <si>
    <t>Projects Formula Stage 5</t>
  </si>
  <si>
    <t>Manual Variable For Specific Topic</t>
  </si>
  <si>
    <t>Cell</t>
  </si>
  <si>
    <t>Detailed Explanation</t>
  </si>
  <si>
    <t>Defines the strict code line limit that the LLM can generate for the examples in that specific lesson, preventing redundant outputs.</t>
  </si>
  <si>
    <t>Controls the exact number of code snippets or practical use cases the AI must render within the lesson to maintain pedagogical consistency.</t>
  </si>
  <si>
    <t>The sequential numerical index of the lesson. It acts as an anchor for sorting and calculating internal dependencies.</t>
  </si>
  <si>
    <t>Indicates the current difficulty level (e.g., Beginner, Intermediate). It dynamically adjusts the complexity of the vocabulary and code generated by the AI.</t>
  </si>
  <si>
    <t>Specifies the nature of the row's deliverable (e.g., CONCEPT, STEP), dictating the structure of the prompt generator.</t>
  </si>
  <si>
    <t>An optimized, keyword-friendly variant of the lesson name used to help the LLM process the technical domain more accurately.</t>
  </si>
  <si>
    <t>The official commercial or pedagogical name of the lesson as it will appear on the course syllabus or index for the student.</t>
  </si>
  <si>
    <t>The primary programming language of the course (e.g., Elixir, Python). Being absolute, it is injected globally into every row.</t>
  </si>
  <si>
    <t>The specific ecosystem or submodule being built (e.g., Phoenix LiveView, Pandas), locking down the technical focus of the pipeline.</t>
  </si>
  <si>
    <t>Specifies mandatory external libraries or dependencies that the AI must import and utilize within the code examples.</t>
  </si>
  <si>
    <t>The immutable master context of the language (core syntax, key paradigms, and design rules) that shields the AI from structural hallucinations.</t>
  </si>
  <si>
    <t>Executes the Stage 1 prompt for project development, handling the initial technical analysis and breakdown of the lab requirements.</t>
  </si>
  <si>
    <t>Processes Stage 2 of the project engine, establishing the file architecture or individual module skeletons of the deliverable.</t>
  </si>
  <si>
    <t>Governs Stage 3, injecting operational constraints and Socratic testing guidelines for the student to solve the lab.</t>
  </si>
  <si>
    <t>Manages Stage 4, dedicated to structuring the evaluation criteria and code validation logic for the project core.</t>
  </si>
  <si>
    <t>Consolidates Stage 5, compiling the final project package (Student Kit) with deployment-ready instructions.</t>
  </si>
  <si>
    <t>A manual escape-hatch cell that allows the creator to inject a unique parameter or override instruction for that specific lesson without breaking global column formulas.</t>
  </si>
  <si>
    <t>📖 HOW TO USE THIS CREATOR KIT</t>
  </si>
  <si>
    <t>This Excel sheet serves as the primary data engine to generate granular lessons. However, it does not contain the structural setup prompts. Please follow the repository guidelines below:</t>
  </si>
  <si>
    <r>
      <t>Syllabus Initialization Prompts:</t>
    </r>
    <r>
      <rPr>
        <sz val="11"/>
        <color theme="1"/>
        <rFont val="Aptos Narrow"/>
        <family val="2"/>
        <scheme val="minor"/>
      </rPr>
      <t xml:space="preserve"> The core prompts required to architect your initial course outline are </t>
    </r>
    <r>
      <rPr>
        <b/>
        <sz val="11"/>
        <color theme="1"/>
        <rFont val="Aptos Narrow"/>
        <family val="2"/>
        <scheme val="minor"/>
      </rPr>
      <t>NOT</t>
    </r>
    <r>
      <rPr>
        <sz val="11"/>
        <color theme="1"/>
        <rFont val="Aptos Narrow"/>
        <family val="2"/>
        <scheme val="minor"/>
      </rPr>
      <t xml:space="preserve"> built into this spreadsheet. You must locate them in your repository folder under:</t>
    </r>
  </si>
  <si>
    <r>
      <t>lessons_generator_prompt_phase_1.md</t>
    </r>
    <r>
      <rPr>
        <sz val="11"/>
        <color theme="1"/>
        <rFont val="Aptos Narrow"/>
        <family val="2"/>
        <scheme val="minor"/>
      </rPr>
      <t xml:space="preserve"> (Domain Analysis &amp; Topic Calculation Blueprint)</t>
    </r>
  </si>
  <si>
    <r>
      <t>lessons_generator_prompt_phase_2.md</t>
    </r>
    <r>
      <rPr>
        <sz val="11"/>
        <color theme="1"/>
        <rFont val="Aptos Narrow"/>
        <family val="2"/>
        <scheme val="minor"/>
      </rPr>
      <t xml:space="preserve"> (Sanitized Flat Markdown Table Generation)</t>
    </r>
  </si>
  <si>
    <t>Execution Workflow:</t>
  </si>
  <si>
    <r>
      <t xml:space="preserve">1. Copy the prompt from the </t>
    </r>
    <r>
      <rPr>
        <b/>
        <sz val="11"/>
        <color theme="1"/>
        <rFont val="Aptos Narrow"/>
        <family val="2"/>
        <scheme val="minor"/>
      </rPr>
      <t>Phase 1</t>
    </r>
    <r>
      <rPr>
        <sz val="11"/>
        <color theme="1"/>
        <rFont val="Aptos Narrow"/>
        <family val="2"/>
        <scheme val="minor"/>
      </rPr>
      <t xml:space="preserve"> MD file into your LLM to extract the analytical breakdown of your language or framework.</t>
    </r>
  </si>
  <si>
    <r>
      <t xml:space="preserve">2. Use the </t>
    </r>
    <r>
      <rPr>
        <b/>
        <sz val="11"/>
        <color theme="1"/>
        <rFont val="Aptos Narrow"/>
        <family val="2"/>
        <scheme val="minor"/>
      </rPr>
      <t>Phase 2</t>
    </r>
    <r>
      <rPr>
        <sz val="11"/>
        <color theme="1"/>
        <rFont val="Aptos Narrow"/>
        <family val="2"/>
        <scheme val="minor"/>
      </rPr>
      <t xml:space="preserve"> MD file prompt to clean and format those topics into a standardized 4-column raw table.</t>
    </r>
  </si>
  <si>
    <r>
      <t>3. Paste that sanitized data directly into the columns here starting from row 9 (</t>
    </r>
    <r>
      <rPr>
        <sz val="10"/>
        <color theme="1"/>
        <rFont val="Arial Unicode MS"/>
      </rPr>
      <t>#</t>
    </r>
    <r>
      <rPr>
        <sz val="11"/>
        <color theme="1"/>
        <rFont val="Aptos Narrow"/>
        <family val="2"/>
        <scheme val="minor"/>
      </rPr>
      <t xml:space="preserve">, </t>
    </r>
    <r>
      <rPr>
        <sz val="10"/>
        <color theme="1"/>
        <rFont val="Arial Unicode MS"/>
      </rPr>
      <t>Level</t>
    </r>
    <r>
      <rPr>
        <sz val="11"/>
        <color theme="1"/>
        <rFont val="Aptos Narrow"/>
        <family val="2"/>
        <scheme val="minor"/>
      </rPr>
      <t xml:space="preserve">, </t>
    </r>
    <r>
      <rPr>
        <sz val="10"/>
        <color theme="1"/>
        <rFont val="Arial Unicode MS"/>
      </rPr>
      <t>Type</t>
    </r>
    <r>
      <rPr>
        <sz val="11"/>
        <color theme="1"/>
        <rFont val="Aptos Narrow"/>
        <family val="2"/>
        <scheme val="minor"/>
      </rPr>
      <t xml:space="preserve">, </t>
    </r>
    <r>
      <rPr>
        <sz val="10"/>
        <color theme="1"/>
        <rFont val="Arial Unicode MS"/>
      </rPr>
      <t>Topic Name</t>
    </r>
    <r>
      <rPr>
        <sz val="11"/>
        <color theme="1"/>
        <rFont val="Aptos Narrow"/>
        <family val="2"/>
        <scheme val="minor"/>
      </rPr>
      <t>).</t>
    </r>
  </si>
  <si>
    <r>
      <t>Dynamic Generation:</t>
    </r>
    <r>
      <rPr>
        <sz val="11"/>
        <color theme="1"/>
        <rFont val="Aptos Narrow"/>
        <family val="2"/>
        <scheme val="minor"/>
      </rPr>
      <t xml:space="preserve"> Once your row metadata is filled, the rest of the columns in this kit will automatically compute, compile, and build the final custom socratic engine prompts.</t>
    </r>
  </si>
  <si>
    <t>Rule Tag</t>
  </si>
  <si>
    <t>Rule To Concatenate</t>
  </si>
  <si>
    <t>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</si>
  <si>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t>
  </si>
  <si>
    <t>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</si>
  <si>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t>
  </si>
  <si>
    <t>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</si>
  <si>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</si>
  <si>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</si>
  <si>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</si>
  <si>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</si>
  <si>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</si>
  <si>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</si>
  <si>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t>
  </si>
  <si>
    <t>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t>
  </si>
  <si>
    <t>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t>
  </si>
  <si>
    <t>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t>
  </si>
  <si>
    <t>[COMMENT CONSTRAINTS]</t>
  </si>
  <si>
    <t>ALWAYS label markdown code blocks with the correct underlying programming language (e.g., elixir, javascript, sql)</t>
  </si>
  <si>
    <t>MUST be between " &amp; IF(G9="Beginner", "25–40", IF(G9="Intermediate", "30–60", "40–100")) &amp; " lines (STRICT) - Multi-step flow</t>
  </si>
  <si>
    <t>You are generating an EXAM. Do NOT provide the fixed code, diagnosis, hints, or explanations. Output ONLY the broken code. Do NOT include comments that reveal the bugs. Let the student find them.</t>
  </si>
  <si>
    <t>[I_O_PARADIGM]</t>
  </si>
  <si>
    <t>[INLINE_PACKAGE_MANAGER]</t>
  </si>
  <si>
    <t>Mentor</t>
  </si>
  <si>
    <t>[FORBIDDEN_LOW_LEVEL_PATTERNS]</t>
  </si>
  <si>
    <t>[NATIVE_OPTIMIZATION_PARADIGM]</t>
  </si>
  <si>
    <t>[BEGINNER_SCOPE]</t>
  </si>
  <si>
    <t>[INTERMEDIATE_SCOPE]</t>
  </si>
  <si>
    <t>[ADVANCED_SCOPE]</t>
  </si>
  <si>
    <t>[CODE_CONSTRAINTS_RULE]</t>
  </si>
  <si>
    <t>[DATA_SOURCE_TYPE]</t>
  </si>
  <si>
    <t>[NATIVE_PRINT_METHOD]</t>
  </si>
  <si>
    <t>[FILE_SYSTEM_MODULE]</t>
  </si>
  <si>
    <t>[IDIOMATIC_RETURN_TYPES]</t>
  </si>
  <si>
    <t>Rule Component</t>
  </si>
  <si>
    <t>Component Tag</t>
  </si>
  <si>
    <t>Projects</t>
  </si>
  <si>
    <t>[VISUAL_ARCHITECTURE_COMMENTS]</t>
  </si>
  <si>
    <t>[VISUAL_BLOCK_COMMENT]</t>
  </si>
  <si>
    <t>[NATIVE_DOCUMENTATION_METHOD]</t>
  </si>
  <si>
    <t>[MAX_COMMENT_LINE_WIDTH]</t>
  </si>
  <si>
    <t>[MENTOR_SCOPE_EXPECTATIONS]</t>
  </si>
  <si>
    <t>[CODE_QUALITY_POLICIES]</t>
  </si>
  <si>
    <t>[IDIOMATIC_NAMING_CONVENTIONS]</t>
  </si>
  <si>
    <t>[CORE_LANGUAGE_LEVERAGE]</t>
  </si>
  <si>
    <t>[FORBIDDEN_IMPERATIVE_SMELLS]</t>
  </si>
  <si>
    <t>[DEFAULT_ARG_CLAUSES_REQUIRMENT]</t>
  </si>
  <si>
    <t>[FILE_HANDLING_RULE]</t>
  </si>
  <si>
    <t>[FILE_MODULE_USAGE]</t>
  </si>
  <si>
    <t>[ENV_USAGE_POLICY]</t>
  </si>
  <si>
    <t>[SUPPORT_FILES_STRUCTURE]</t>
  </si>
  <si>
    <t>[TESTING_SYNTAX_LIMITS]</t>
  </si>
  <si>
    <t>[STANDALONE_INSTALL_SYNTAX]</t>
  </si>
  <si>
    <t>[CODE_CONSTRAINTS]</t>
  </si>
  <si>
    <t>[REQUIRED_CONSTRUCTS]</t>
  </si>
  <si>
    <t>[PARADIGM_CORE_POLICIES]</t>
  </si>
  <si>
    <t>[CONSISTENCY_RULE]</t>
  </si>
  <si>
    <t>Stage</t>
  </si>
  <si>
    <t>[BUG_RULE]</t>
  </si>
  <si>
    <t>[ENVIRONMENT_SIMULATION]</t>
  </si>
  <si>
    <t>[COMPILE_ERRORS_TYPE]</t>
  </si>
  <si>
    <t>[LOGIC_ERRORS_TYPE]</t>
  </si>
  <si>
    <t>[RUNTIME_ERRORS_TYPE]</t>
  </si>
  <si>
    <t>[PRODUCTION_CLEAN_POLICY]</t>
  </si>
  <si>
    <t>[NAMING_CONVENTIONS]</t>
  </si>
  <si>
    <t>[PARADIGM_PURITY]</t>
  </si>
  <si>
    <t>[DEFAULT_ARG_HEAD_CLAUSE]</t>
  </si>
  <si>
    <t>ALWAYS label markdown code blocks with the correct underlying programming language (e.g., elixir, python, javascript, sql)</t>
  </si>
  <si>
    <t>[STANDALONE_INSTALL_POLICY]</t>
  </si>
  <si>
    <t>[TEST_MACRO_LIMITS]</t>
  </si>
  <si>
    <t>[CHALLENGE_CORE_REQ]</t>
  </si>
  <si>
    <t>[BASE_CODE_POLICY]</t>
  </si>
  <si>
    <t>[EXTERNAL_PACKAGE_PROTOCOL]</t>
  </si>
  <si>
    <t>[TESTING_FRAMEWORK_PROTOCOL]</t>
  </si>
  <si>
    <t>[CHALLENGE_CONSTRAINTS_POLICY]</t>
  </si>
  <si>
    <t>[DYNAMIC_INSTALL_SYNTAX]</t>
  </si>
  <si>
    <t>[PROJECT_LINE_METRIC_BASE]</t>
  </si>
  <si>
    <t>[PROJECT_FLOW_POLICY]</t>
  </si>
  <si>
    <t>[PRODUCTION_STYLE_POLICY]</t>
  </si>
  <si>
    <t>[PARADIGM_CORE_LEVERAGE]</t>
  </si>
  <si>
    <t>[FUNCTIONAL_RESTRICTIONS]</t>
  </si>
  <si>
    <t>Normalize boolean values before comparison when the programming language requires it.</t>
  </si>
  <si>
    <t>Explicit casting required before calculations when the programming language requires it.</t>
  </si>
  <si>
    <t>Use correct loaders and enforce encoding='utf-8' and newline='' when applicable if the programming language supports it.</t>
  </si>
  <si>
    <t>[CODE_QUALITY_PROTOCOL]</t>
  </si>
  <si>
    <t>[CLEAN_CODE_POLICY]</t>
  </si>
  <si>
    <t>Normalize boolean values before comparison if the programming language requires it.</t>
  </si>
  <si>
    <t>Explicit casting required before calculations if the programming language requires it.</t>
  </si>
  <si>
    <t>Use correct loaders and enforce encoding='utf-8' and newline=' when applicable or supported by the programming language.</t>
  </si>
  <si>
    <t>[DETERMINISTIC_OUTPUT_PROTOCOL]</t>
  </si>
  <si>
    <t>[FUNCTIONAL_STRUCTURE_POLICY]</t>
  </si>
  <si>
    <t>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t>
  </si>
  <si>
    <t>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t>
  </si>
  <si>
    <t>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t>
  </si>
  <si>
    <t>up</t>
  </si>
  <si>
    <t>Check the "HowToStudy" sheet for instructions on how to use this sheet to study.</t>
  </si>
  <si>
    <t>📖 How to Study with Coding5s</t>
  </si>
  <si>
    <r>
      <t xml:space="preserve">Welcome to </t>
    </r>
    <r>
      <rPr>
        <b/>
        <sz val="11"/>
        <color theme="1"/>
        <rFont val="Aptos Narrow"/>
        <family val="2"/>
        <scheme val="minor"/>
      </rPr>
      <t>Coding5s</t>
    </r>
    <r>
      <rPr>
        <sz val="11"/>
        <color theme="1"/>
        <rFont val="Aptos Narrow"/>
        <family val="2"/>
        <scheme val="minor"/>
      </rPr>
      <t>! This framework is designed to give you a deep, hands-on learning experience using AI as your personal tutor alongside your local IDE.</t>
    </r>
  </si>
  <si>
    <t>📌 The Core Learning Workflow (Step-by-Step)</t>
  </si>
  <si>
    <t>1. Complete Stage 1 (Initial Learning Path)</t>
  </si>
  <si>
    <r>
      <t xml:space="preserve">Go to </t>
    </r>
    <r>
      <rPr>
        <b/>
        <sz val="11"/>
        <color theme="1"/>
        <rFont val="Aptos Narrow"/>
        <family val="2"/>
        <scheme val="minor"/>
      </rPr>
      <t>Lesson 1</t>
    </r>
    <r>
      <rPr>
        <sz val="11"/>
        <color theme="1"/>
        <rFont val="Aptos Narrow"/>
        <family val="2"/>
        <scheme val="minor"/>
      </rPr>
      <t xml:space="preserve"> in the main sheet.</t>
    </r>
  </si>
  <si>
    <r>
      <t xml:space="preserve">Copy the text from the </t>
    </r>
    <r>
      <rPr>
        <b/>
        <sz val="11"/>
        <color theme="1"/>
        <rFont val="Aptos Narrow"/>
        <family val="2"/>
        <scheme val="minor"/>
      </rPr>
      <t>Stage 1 Prompt</t>
    </r>
    <r>
      <rPr>
        <sz val="11"/>
        <color theme="1"/>
        <rFont val="Aptos Narrow"/>
        <family val="2"/>
        <scheme val="minor"/>
      </rPr>
      <t xml:space="preserve"> column.</t>
    </r>
  </si>
  <si>
    <t>Paste it into a clean AI chat (Gemini, ChatGPT, Claude, etc.).</t>
  </si>
  <si>
    <r>
      <t xml:space="preserve">Read the lesson, complete the exercise, and write/run the code in your </t>
    </r>
    <r>
      <rPr>
        <b/>
        <sz val="11"/>
        <color theme="1"/>
        <rFont val="Aptos Narrow"/>
        <family val="2"/>
        <scheme val="minor"/>
      </rPr>
      <t>local IDE</t>
    </r>
    <r>
      <rPr>
        <sz val="11"/>
        <color theme="1"/>
        <rFont val="Aptos Narrow"/>
        <family val="2"/>
        <scheme val="minor"/>
      </rPr>
      <t>.</t>
    </r>
  </si>
  <si>
    <r>
      <t xml:space="preserve">Proceed sequentially through </t>
    </r>
    <r>
      <rPr>
        <b/>
        <sz val="11"/>
        <color theme="1"/>
        <rFont val="Aptos Narrow"/>
        <family val="2"/>
        <scheme val="minor"/>
      </rPr>
      <t>Lesson 2, Lesson 3, etc.</t>
    </r>
    <r>
      <rPr>
        <sz val="11"/>
        <color theme="1"/>
        <rFont val="Aptos Narrow"/>
        <family val="2"/>
        <scheme val="minor"/>
      </rPr>
      <t xml:space="preserve">, staying within </t>
    </r>
    <r>
      <rPr>
        <b/>
        <sz val="11"/>
        <color theme="1"/>
        <rFont val="Aptos Narrow"/>
        <family val="2"/>
        <scheme val="minor"/>
      </rPr>
      <t>Stage 1</t>
    </r>
    <r>
      <rPr>
        <sz val="11"/>
        <color theme="1"/>
        <rFont val="Aptos Narrow"/>
        <family val="2"/>
        <scheme val="minor"/>
      </rPr>
      <t xml:space="preserve"> until you finish all topics and complete the first </t>
    </r>
    <r>
      <rPr>
        <b/>
        <sz val="11"/>
        <color theme="1"/>
        <rFont val="Aptos Narrow"/>
        <family val="2"/>
        <scheme val="minor"/>
      </rPr>
      <t>PROJECT</t>
    </r>
    <r>
      <rPr>
        <sz val="11"/>
        <color theme="1"/>
        <rFont val="Aptos Narrow"/>
        <family val="2"/>
        <scheme val="minor"/>
      </rPr>
      <t>.</t>
    </r>
  </si>
  <si>
    <t>2. How to Use the Mentor Column (Live Troubleshooting)</t>
  </si>
  <si>
    <r>
      <t xml:space="preserve">The </t>
    </r>
    <r>
      <rPr>
        <b/>
        <sz val="11"/>
        <color theme="1"/>
        <rFont val="Aptos Narrow"/>
        <family val="2"/>
        <scheme val="minor"/>
      </rPr>
      <t>Mentor Prompt</t>
    </r>
    <r>
      <rPr>
        <sz val="11"/>
        <color theme="1"/>
        <rFont val="Aptos Narrow"/>
        <family val="2"/>
        <scheme val="minor"/>
      </rPr>
      <t xml:space="preserve"> column is your dedicated support tool whenever you get stuck or need clarification on a specific topic.</t>
    </r>
  </si>
  <si>
    <t>To ask a question:</t>
  </si>
  <si>
    <r>
      <t xml:space="preserve">1. Copy the cell from the </t>
    </r>
    <r>
      <rPr>
        <b/>
        <sz val="11"/>
        <color theme="1"/>
        <rFont val="Aptos Narrow"/>
        <family val="2"/>
        <scheme val="minor"/>
      </rPr>
      <t>Mentor Prompt</t>
    </r>
    <r>
      <rPr>
        <sz val="11"/>
        <color theme="1"/>
        <rFont val="Aptos Narrow"/>
        <family val="2"/>
        <scheme val="minor"/>
      </rPr>
      <t xml:space="preserve"> column for your current lesson.</t>
    </r>
  </si>
  <si>
    <t>2. Paste it into your AI chat.</t>
  </si>
  <si>
    <t>3. Immediately below the prompt, write your question.</t>
  </si>
  <si>
    <t>4. Paste your code snippet directly from your IDE.</t>
  </si>
  <si>
    <t>Recommended Message Format:</t>
  </si>
  <si>
    <t>3. Sequential Stage Progression</t>
  </si>
  <si>
    <r>
      <t xml:space="preserve">Once you have completed the entire topic list in </t>
    </r>
    <r>
      <rPr>
        <b/>
        <sz val="11"/>
        <color theme="1"/>
        <rFont val="Aptos Narrow"/>
        <family val="2"/>
        <scheme val="minor"/>
      </rPr>
      <t>Stage 1</t>
    </r>
    <r>
      <rPr>
        <sz val="11"/>
        <color theme="1"/>
        <rFont val="Aptos Narrow"/>
        <family val="2"/>
        <scheme val="minor"/>
      </rPr>
      <t>:</t>
    </r>
  </si>
  <si>
    <r>
      <t xml:space="preserve">1. Move on to </t>
    </r>
    <r>
      <rPr>
        <b/>
        <sz val="11"/>
        <color theme="1"/>
        <rFont val="Aptos Narrow"/>
        <family val="2"/>
        <scheme val="minor"/>
      </rPr>
      <t>Stage 2 (Troubleshooting / Debugging)</t>
    </r>
    <r>
      <rPr>
        <sz val="11"/>
        <color theme="1"/>
        <rFont val="Aptos Narrow"/>
        <family val="2"/>
        <scheme val="minor"/>
      </rPr>
      <t>.</t>
    </r>
  </si>
  <si>
    <t>2. Go through the lessons from top to bottom in Stage 2 to learn how to break, diagnose, and fix broken code (use the Stage 2 Mentor prompt whenever the console crashes).</t>
  </si>
  <si>
    <r>
      <t xml:space="preserve">3. Repeat the process sequentially for </t>
    </r>
    <r>
      <rPr>
        <b/>
        <sz val="11"/>
        <color theme="1"/>
        <rFont val="Aptos Narrow"/>
        <family val="2"/>
        <scheme val="minor"/>
      </rPr>
      <t>Stage 3, Stage 4, and Stage 5</t>
    </r>
    <r>
      <rPr>
        <sz val="11"/>
        <color theme="1"/>
        <rFont val="Aptos Narrow"/>
        <family val="2"/>
        <scheme val="minor"/>
      </rPr>
      <t xml:space="preserve"> for advanced architecture, optimization, and scaling.</t>
    </r>
  </si>
  <si>
    <t>💡 Golden Rules for Students</t>
  </si>
  <si>
    <r>
      <t xml:space="preserve">❌ </t>
    </r>
    <r>
      <rPr>
        <b/>
        <sz val="11"/>
        <color theme="1"/>
        <rFont val="Aptos Narrow"/>
        <family val="2"/>
        <scheme val="minor"/>
      </rPr>
      <t>Do not jump across stages within the same lesson:</t>
    </r>
    <r>
      <rPr>
        <sz val="11"/>
        <color theme="1"/>
        <rFont val="Aptos Narrow"/>
        <family val="2"/>
        <scheme val="minor"/>
      </rPr>
      <t xml:space="preserve"> Do not attempt Stage 1, Stage 2, and Stage 3 for Lesson 1 on the same day. Build your core foundation by finishing the entire </t>
    </r>
    <r>
      <rPr>
        <b/>
        <sz val="11"/>
        <color theme="1"/>
        <rFont val="Aptos Narrow"/>
        <family val="2"/>
        <scheme val="minor"/>
      </rPr>
      <t>Stage 1 path first</t>
    </r>
    <r>
      <rPr>
        <sz val="11"/>
        <color theme="1"/>
        <rFont val="Aptos Narrow"/>
        <family val="2"/>
        <scheme val="minor"/>
      </rPr>
      <t>.</t>
    </r>
  </si>
  <si>
    <r>
      <t xml:space="preserve">✅ </t>
    </r>
    <r>
      <rPr>
        <b/>
        <sz val="11"/>
        <color theme="1"/>
        <rFont val="Aptos Narrow"/>
        <family val="2"/>
        <scheme val="minor"/>
      </rPr>
      <t>Always practice in your IDE:</t>
    </r>
    <r>
      <rPr>
        <sz val="11"/>
        <color theme="1"/>
        <rFont val="Aptos Narrow"/>
        <family val="2"/>
        <scheme val="minor"/>
      </rPr>
      <t xml:space="preserve"> Never just read the AI's explanation. Type out, test, and execute every piece of code in your editor.</t>
    </r>
  </si>
  <si>
    <t>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t>
  </si>
  <si>
    <t>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t>
  </si>
  <si>
    <t>Code MUST be clean, readable, educational, executable and produce correct results. Safely handle missing/malformed/inconsistent data, using pattern matching if possible.</t>
  </si>
  <si>
    <t>Code MUST include enough inline comments explaining WHAT it does AND WHY. Density: Beginner=high, Intermediate=medium, Advanced=lower but present in key logic.</t>
  </si>
  <si>
    <t>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t>
  </si>
  <si>
    <t>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t>
  </si>
  <si>
    <t>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t>
  </si>
  <si>
    <t>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t>
  </si>
  <si>
    <t>Website:</t>
  </si>
  <si>
    <t>https://coding5s.com</t>
  </si>
  <si>
    <t>Yes</t>
  </si>
  <si>
    <t>Each example MUST include: - Internal data OR dataset usage - Print key intermediate steps and the final result - MUST NOT exceed exactly " &amp; $C9 &amp; " lines of EXECUTABLE code (STRICT: Do NOT count comments or blank lines). - NEVER exceed this limit. | " &amp;</t>
  </si>
  <si>
    <t>" &amp; A9 &amp; " | " &amp;</t>
  </si>
  <si>
    <t>You are helping a Junior Developer who is " &amp; IF(UPPER(H9)="PROJECT", "building a PROJECT: " &amp; I9 &amp; ". Topics applied in this project: " &amp; A9 &amp; ". Project objective: " &amp; J9, "learning: " &amp; I9 &amp; ". Topic details: " &amp; J9) &amp; " | " &amp;</t>
  </si>
  <si>
    <t>You are helping a Junior Developer debug a " &amp; IF(UPPER(H9)="PROJECT", "PROJECT: " &amp; I9 &amp; ". Topics involved: " &amp; A9 &amp; ". Project objective: " &amp; J9, "TOPIC: " &amp; I9 &amp; ". Topic details: " &amp; J9) &amp; " | " &amp;</t>
  </si>
  <si>
    <t>You are helping a Junior Developer complete a " &amp; IF(UPPER(H9)="PROJECT", "PROJECT: " &amp; I9 &amp; ". Topics involved: " &amp; A9 &amp; ". Project objective: " &amp; J9, "TOPIC: " &amp; I9 &amp; ". Topic details: " &amp; J9) &amp; " | " &amp;</t>
  </si>
  <si>
    <t>You are performing a Code Review for a " &amp; IF(UPPER(H9)="PROJECT", "PROJECT: " &amp; I9 &amp; ". Topics involved: " &amp; A9 &amp; ". Project objective: " &amp; J9, "TOPIC: " &amp; I9 &amp; ". Topic details: " &amp; J9) &amp; " | " &amp;</t>
  </si>
  <si>
    <t>You are reviewing the final implementation of a new feature for a " &amp; IF(UPPER(H9)="PROJECT", "PROJECT: " &amp; I9 &amp; ". Topics integrated: " &amp; A9 &amp; ". Business Goal: " &amp; J9, "TOPIC: " &amp; I9 &amp; ". Goal: " &amp; J9) &amp; " | " &amp;</t>
  </si>
  <si>
    <t>[EXECUTABLE_LINES_LIMIT]</t>
  </si>
  <si>
    <t>[PROJECT_LINE_LIMIT]</t>
  </si>
  <si>
    <t>[EXECUTION_CALL_RULE]</t>
  </si>
  <si>
    <t>[CONCEPT_ISOLATION_RULE]</t>
  </si>
  <si>
    <t>Focus SOLELY on teaching the target topic concept. DO NOT use unlearned or complex control structures (like if/else, ternary operators, or list comprehensions) unless the topic explicitly demands them. Keep internal function logic strictly linear, simple, and direct.</t>
  </si>
  <si>
    <t>[TESTING_FRAMEWORK_RULE]</t>
  </si>
  <si>
    <t>[DEPENDENCY_MANAGEMENT_RULE]</t>
  </si>
  <si>
    <t>[CORE_QUALITY_POLICY]</t>
  </si>
  <si>
    <t>Elixir OTP</t>
  </si>
  <si>
    <t>Implement concurrency and manual state management using spawn/1, send/2, receive, and manual recursion state.</t>
  </si>
  <si>
    <t>Concurrency Refresher &amp; Manual State (spawn/1, send/2, receive, manual recursion state)</t>
  </si>
  <si>
    <t>Manage manual monitoring and exits using Process.link/1, Process.monitor/1, and Process.flag/2 with :trap_exit.</t>
  </si>
  <si>
    <t>Manual Monitoring &amp; Exits (Process.link/1, Process.monitor/1, Process.flag/2 with :trap_exit)</t>
  </si>
  <si>
    <t>Create OTP behaviours and implement inversion of control utilizing @behaviour, @callback, behaviour modules, and callback-driven architecture.</t>
  </si>
  <si>
    <t>OTP Behaviours &amp; Inversion of Control (@behaviour, @callback, behaviour modules, callback-driven architecture)</t>
  </si>
  <si>
    <t>Implement encapsulated state with Agents using Agent.start_link/2, Agent.get/3, Agent.update/3, and Agent.cast/2.</t>
  </si>
  <si>
    <t>Encapsulated State with Agents (Agent.start_link/2, Agent.get/3, Agent.update/3, Agent.cast/2)</t>
  </si>
  <si>
    <t>Construct GenServer core structures and synchronous flows using use GenServer, init/1, GenServer.call/3, and handle_call/3.</t>
  </si>
  <si>
    <t>GenServer Core &amp; Synchronous Flow (use GenServer, init/1, GenServer.call/3, handle_call/3)</t>
  </si>
  <si>
    <t>Implement asynchronous flow and deferred initialization using GenServer.cast/2, handle_cast/2, and handle_continue/2 for non-blocking init.</t>
  </si>
  <si>
    <t>Asynchronous Flow &amp; Deferred Init (GenServer.cast/2, handle_cast/2, handle_continue/2 for non-blocking init)</t>
  </si>
  <si>
    <t>Manage internal events, tickers, and lifecycle using send/2 to self, Process.send_after/3 for periodic work, handle_info/2, terminate/2, and Timeouts.</t>
  </si>
  <si>
    <t>Internal Events, Tickers &amp; Lifecycle (send/2 to self, Process.send_after/3 for periodic work, handle_info/2, terminate/2, Timeouts)</t>
  </si>
  <si>
    <t>N/A</t>
  </si>
  <si>
    <t>Build an interactive encapsulated state system utilizing spawn/1, send/2, receive, Agents, and GenServer core callbacks.</t>
  </si>
  <si>
    <t>PROJECT: Basic OTP State Manager</t>
  </si>
  <si>
    <t>Design state modeling patterns using Maps as state, Structs as state, nested state transitions, and process ownership design.</t>
  </si>
  <si>
    <t>State Modeling Patterns (Maps as state, Structs as state, nested state transitions, process ownership design)</t>
  </si>
  <si>
    <t>Implement local registration and global basics using Local name: atom, Process.whereis/1, Process.register/2, and the :global module.</t>
  </si>
  <si>
    <t>Local Registration &amp; Global Basics (Local name: atom, Process.whereis/1, Process.register/2, :global module)</t>
  </si>
  <si>
    <t>Implement dynamic naming with The Registry Module using Registry.start_link/1, Registry.lookup/2, and {:via, Registry, ...} dynamic routing.</t>
  </si>
  <si>
    <t>The Registry Module &amp; Dynamic Naming (Registry.start_link/1, Registry.lookup/2, {:via, Registry, ...} dynamic routing)</t>
  </si>
  <si>
    <t>Define Supervisor core and child specifications using use Supervisor, init/1, child_spec/1, shutdown timeouts vs :brutal_kill, and process ownership.</t>
  </si>
  <si>
    <t>Supervisor Core &amp; Child Specifications (use Supervisor, init/1, child_spec/1, shutdown timeouts vs :brutal_kill, process ownership)</t>
  </si>
  <si>
    <t>Configure Supervisor strategies and tuning using :one_for_one, :one_for_all, :rest_for_one, and max_restarts/max_seconds.</t>
  </si>
  <si>
    <t>Supervisor Strategies &amp; Tuning (:one_for_one, :one_for_all, :rest_for_one, max_restarts/max_seconds)</t>
  </si>
  <si>
    <t>Architect Supervision trees and dynamic supervisors using parent-child cascades, DynamicSupervisor, start_child/2, and failure domains.</t>
  </si>
  <si>
    <t>Supervision Trees &amp; Dynamic Supervisors (Architecting parent-child cascades, DynamicSupervisor, start_child/2, failure domains)</t>
  </si>
  <si>
    <t>Execute asynchronous tasks and bounded concurrency using Task.async/1, Task.await/2, Task.yield/2, and Task.async_stream/3 for safe massive processing.</t>
  </si>
  <si>
    <t>Asynchronous Tasks &amp; Bounded Concurrency (Task.async/1, Task.await/2, Task.yield/2, Task.async_stream/3 for safe massive processing)</t>
  </si>
  <si>
    <t>Develop a fault-tolerant job processing system utilizing DynamicSupervisor, Registry, and Task.async_stream/3.</t>
  </si>
  <si>
    <t>PROJECT: Resilient Job Processor</t>
  </si>
  <si>
    <t>Manage unlinked tasks and task supervision using Task.start/1, Task.Supervisor, and Task.Supervisor.async_nolink/2.</t>
  </si>
  <si>
    <t>Unlinked Tasks &amp; Task Supervision (Task.start/1, Task.Supervisor, Task.Supervisor.async_nolink/2)</t>
  </si>
  <si>
    <t>Execute ETS core operations using :ets.new, :ets.insert, :ets.lookup, and :ets.delete.</t>
  </si>
  <si>
    <t>ETS Core Operations (:ets.new, :ets.insert, :ets.lookup, :ets.delete)</t>
  </si>
  <si>
    <t>Configure ETS ownership and advanced patterns utilizing Table types, heir configuration, :read_concurrency / :write_concurrency optimizations, and ETS vs GenServer selection.</t>
  </si>
  <si>
    <t>ETS Ownership &amp; Advanced Patterns (Table types, heir configuration, :read_concurrency / :write_concurrency optimizations, ETS vs GenServer selection)</t>
  </si>
  <si>
    <t>Define Application behavior and environment using use Application, start/2, Config scripts, and Application.get_env/3.</t>
  </si>
  <si>
    <t>Application Behavior &amp; Environment (use Application, start/2, Config scripts, Application.get_env/3)</t>
  </si>
  <si>
    <t>Implement complex initialization and releases using start_phases, mix release, runtime.exs, and connecting to running nodes.</t>
  </si>
  <si>
    <t>Complex Initialization &amp; Releases (start_phases, mix release, runtime.exs, connecting to running nodes)</t>
  </si>
  <si>
    <t>Execute Node operations and RPC using Node.self/0, Node.connect/1, :rpc.call/4, and :rpc.multicall/3.</t>
  </si>
  <si>
    <t>Node Operations &amp; RPC (Node.self/0, Node.connect/1, :rpc.call/4, :rpc.multicall/3)</t>
  </si>
  <si>
    <t>Design distributed architecture and constraints using Node.monitor/2, :pg Process Groups, and handling network partitions/split-brain.</t>
  </si>
  <si>
    <t>Distributed Architecture &amp; Constraints (Node.monitor/2, :pg Process Groups, handling network partitions/split-brain)</t>
  </si>
  <si>
    <t>Construct a distributed caching application utilizing :ets operations, Application lifecycle, and :rpc node calls.</t>
  </si>
  <si>
    <t>PROJECT: Distributed ETS Cache</t>
  </si>
  <si>
    <t>Implement testing for GenServers and internal state using ExUnit with GenServer, asserting synchronous state, and assert_receive/3 for handle_info.</t>
  </si>
  <si>
    <t>Testing GenServers &amp; Internal State (ExUnit with GenServer, asserting synchronous state, assert_receive/3 for handle_info)</t>
  </si>
  <si>
    <t>Formulate testing for Supervisors and fault tolerance using Process.exit/2 simulations, asserting restart behavior, and Task.yield/2 in tests.</t>
  </si>
  <si>
    <t>Testing Supervisors &amp; Fault Tolerance (Process.exit/2 simulations, asserting restart behavior, Task.yield/2 in tests)</t>
  </si>
  <si>
    <t>Design testing for Registries and distributed systems by asserting via tuples, mocking node connections, and testing ETS table state.</t>
  </si>
  <si>
    <t>Testing Registries &amp; Distributed Systems (Asserting via tuples, mocking node connections, testing ETS table state)</t>
  </si>
  <si>
    <t>Develop a comprehensive concurrent test suite for an OTP application validating Supervisors, GenServer state, and Registry via tuples.</t>
  </si>
  <si>
    <t>PROJECT: Master OTP Test Suite</t>
  </si>
  <si>
    <t>Native OTP behaviors (GenServer, Supervisor, Agent, Task), Kernel functions, and BEAM supervision trees.</t>
  </si>
  <si>
    <t>Focus on stateless GenServer callbacks, init/1, handle_call/3, and primitive messaging structures. DO NOT use complex dynamic supervision trees.</t>
  </si>
  <si>
    <t>STRICT REQUIREMENT: Every example MUST use GenServer or Agent implementations inside defmodule, client API wrappers, GenServer.call/cast, and state tuples.</t>
  </si>
  <si>
    <t>Advanced OTP patterns: dynamic supervisors (DynamicSupervisor), GenStage/Broadway pipelines, distributed nodes, and custom Supervisor specs.</t>
  </si>
  <si>
    <t>Use process PIDs, GenServer state maps/structs, atoms, binary messages, and simple request/response tuples.</t>
  </si>
  <si>
    <t>Display intermediate steps and final OTP outcomes explicitly with IO.puts/1 or IO.inspect/2.</t>
  </si>
  <si>
    <t>MUST NOT exceed 6 lines of EXECUTABLE code per example; exclude comments and blank lines.</t>
  </si>
  <si>
    <t>If GenServer is used, include process startup via start_link and at least one direct GenServer call/cast at script end. No complex Mix entry-point boilerplate.</t>
  </si>
  <si>
    <t>State management via GenServer/Agent process state structures.</t>
  </si>
  <si>
    <t>Use IO.puts/1 or IO.inspect/2 to display server responses clearly.</t>
  </si>
  <si>
    <t>reinventing GenServer/Agent primitives with raw send/receive loops or ignoring OTP supervisor restart strategies</t>
  </si>
  <si>
    <t>OTP behaviors, GenServer state management, supervision trees, fault-tolerance paradigms, and idiomatic process isolation</t>
  </si>
  <si>
    <t>visual section comments separating functional blocks, e.g. '# --- BLOCK 1: [NAME] ---'</t>
  </si>
  <si>
    <t>comprehensive @moduledoc/@doc documentation plus @spec when useful, covering arguments, returns, and errors</t>
  </si>
  <si>
    <t>98 characters, aligned with standard mix format line length</t>
  </si>
  <si>
    <t>Standard OTP process and state validation using ExUnit assert/refute macros and Process tracking.</t>
  </si>
  <si>
    <t>Evaluate basic GenServer state init, handle_call responses, and simple client wrappers. Do NOT expect dynamic supervisors or multi-node distribution unless demanded.</t>
  </si>
  <si>
    <t>Expect clean GenServer/Agent modules, explicit client API boundaries, handle_cast state updates, and @spec typespecs. Enforce zero raw receive-loop emulations.</t>
  </si>
  <si>
    <t>Expect modular supervision trees with Supervisor specs, dynamic worker spawning, restart strategies, and process monitoring.</t>
  </si>
  <si>
    <t>Use descriptive snake_case for functions/variables/atoms, PascalCase for modules/structs, and snake_case for files.</t>
  </si>
  <si>
    <t>Use OTP behaviors (GenServer, Agent, Supervisor), pattern matching on state, and explicit conversion helpers.</t>
  </si>
  <si>
    <t>Reject raw process message loops when GenServer applies, unmanaged global process state, excessive term()/any() types, and monolithic undocumented OTP modules.</t>
  </si>
  <si>
    <t>Keep GenServer initial state definitions immutable; use function heads and pattern matching for conditional state initialization.</t>
  </si>
  <si>
    <t>Use File/IO with UTF-8 binaries inside GenServer state or tasks; handle asynchronous resource loads cleanly.</t>
  </si>
  <si>
    <t>Environment variables via System.get_env/1 may be used; dotenv only when allowed. Bugs MUST exist only in OTP logic, NEVER in .env files.</t>
  </si>
  <si>
    <t>Support files such as .env and .env.example MUST appear before broken code, be fully correct, and contain NO bugs.</t>
  </si>
  <si>
    <t>Validate with IO output or simple ExUnit assert/refute macros. Avoid complex suites, setup chains, or excessive test scaffolding.</t>
  </si>
  <si>
    <t>Standard Mix/Elixir context. If external packages are needed, declare them only in mix.exs and install with mix deps.get.</t>
  </si>
  <si>
    <t>Each challenge MUST include GenServer/Agent process use, at least 1 IO.puts/IO.inspect, state transformation, EXACTLY 1 OTP module, and EXACTLY 1 process call/cast.</t>
  </si>
  <si>
    <t>lines of EXECUTABLE broken Elixir OTP code per challenge; exclude blank lines. NO raw process receive loops and NO top-level executable expressions EXCEPT the startup and call flow.</t>
  </si>
  <si>
    <t>All challenges MUST maintain similar complexity, length, and functional scope.</t>
  </si>
  <si>
    <t>Simulate messy Elixir OTP code. The project MUST contain EXACTLY 2–5 bugs mixing syntax/compile errors, state/message mismatch errors, and common runtime exceptions.</t>
  </si>
  <si>
    <t>1. Syntax &amp; Compile Errors, e.g. mismatched end, malformed GenServer tuple responses (e.g. {:reply, state, reply}), undefined callbacks, or invalid guards,</t>
  </si>
  <si>
    <t>2. Logic Errors, e.g. incorrect state mutation in handle_call/cast, wrong pattern matching on request payloads, or improper reply tuples, AND</t>
  </si>
  <si>
    <t>3. Runtime Exceptions, e.g. GenServer timeout exceptions, ArgumentError, FunctionClauseError, MatchError, or exited process crashes.</t>
  </si>
  <si>
    <t>Clean idiomatic Elixir OTP, mix format compliant, descriptive snake_case naming, standard 2-space formatting, and explicit Minimal Intervention Rule.</t>
  </si>
  <si>
    <t>Act as 'The Analytical Partner' (El Detective con Café). Explain Elixir OTP exceptions and process crash stacktraces from the failing frame outward in plain language. Enforce NO KEYBOARD rule in Phase 1.</t>
  </si>
  <si>
    <t>GenServer default options and state parameters are immutable; use function heads and pattern matching for initialization instead of stateful defaults.</t>
  </si>
  <si>
    <t>Standard Elixir/OTP modules only. Strictly ZERO external Hex packages for beginner topics.</t>
  </si>
  <si>
    <t>Simple console-output verification via IO.puts/1 or IO.inspect/2.</t>
  </si>
  <si>
    <t>For Beginner level, # TODO MUST be atomic: 1–2 simple lines max, e.g. state tuple return, GenServer call, direct comparison, or simple pattern match. NO complex IO capture or process mocking.</t>
  </si>
  <si>
    <t>5–15 lines of EXECUTABLE base code. Code outside # TODO MUST be fully valid/readable. If no_def is present in AJ, use flat GenServer skeleton code.</t>
  </si>
  <si>
    <t>Require Mix dependency declarations in mix.exs and mix deps.get for external Hex dependencies when applicable.</t>
  </si>
  <si>
    <t>MUST contain 25–40 lines of EXECUTABLE base Elixir OTP code; do NOT count comments or # TODO blocks.</t>
  </si>
  <si>
    <t>Multi-step OTP process architecture. Max 2 modules, standard GenServer/Agent structure. Integration logic exclusively inside # TODO blocks.</t>
  </si>
  <si>
    <t>Act as 'The Logical Scaffold' (El Maestro de Obra). Focus on simple Data Gap Analysis (Point A -&gt; Point B -&gt; Point C) and structural OTP code completion.</t>
  </si>
  <si>
    <t>Use descriptive snake_case for variables/functions/atoms, PascalCase for modules/structs, and snake_case for files.</t>
  </si>
  <si>
    <t>Clean idiomatic Elixir OTP formatted by mix format with standard 2-space formatting. Enforce Minimal Intervention Rule and NO KEYBOARD rule in Phase 1.</t>
  </si>
  <si>
    <t>Reject unmanaged global state and raw process message loops. Keep server state immutable and prefer callback-head pattern matching for handling messages.</t>
  </si>
  <si>
    <t>Code MUST follow mix format and idiomatic Elixir OTP style. Use snake_case for variables/functions/atoms, PascalCase for modules/structs, snake_case for files. Avoid unmanaged global state; emphasize @spec/typespecs, GenServer callbacks, pattern matching, and clean supervision architectures.</t>
  </si>
  <si>
    <t>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</si>
</sst>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18"/>
      <color theme="0"/>
      <name val="Aptos Narrow"/>
      <family val="2"/>
      <scheme val="minor"/>
    </font>
    <font>
      <sz val="11"/>
      <name val="Aptos Narrow"/>
      <family val="2"/>
      <scheme val="minor"/>
    </font>
    <font>
      <b/>
      <sz val="18"/>
      <color rgb="FFFFFF00"/>
      <name val="Aptos Narrow"/>
      <family val="2"/>
      <scheme val="minor"/>
    </font>
    <font>
      <b/>
      <sz val="20"/>
      <color rgb="FFFFC000"/>
      <name val="Aptos Narrow"/>
      <family val="2"/>
      <scheme val="minor"/>
    </font>
    <font>
      <sz val="14"/>
      <color theme="0"/>
      <name val="Aptos Narrow"/>
      <family val="2"/>
      <scheme val="minor"/>
    </font>
    <font>
      <b/>
      <sz val="12"/>
      <color theme="0"/>
      <name val="Aptos Narrow"/>
      <family val="2"/>
      <scheme val="minor"/>
    </font>
    <font>
      <sz val="12"/>
      <color theme="0"/>
      <name val="Aptos Narrow"/>
      <family val="2"/>
      <scheme val="minor"/>
    </font>
    <font>
      <sz val="11"/>
      <color theme="0" tint="-4.9989318521683403E-2"/>
      <name val="Aptos Narrow"/>
      <family val="2"/>
      <scheme val="minor"/>
    </font>
    <font>
      <b/>
      <sz val="12"/>
      <color theme="0" tint="-4.9989318521683403E-2"/>
      <name val="Aptos Narrow"/>
      <family val="2"/>
      <scheme val="minor"/>
    </font>
    <font>
      <b/>
      <sz val="16"/>
      <color theme="0"/>
      <name val="Aptos Narrow"/>
      <family val="2"/>
      <scheme val="minor"/>
    </font>
    <font>
      <b/>
      <sz val="11"/>
      <color theme="1"/>
      <name val="Arial"/>
      <family val="2"/>
    </font>
    <font>
      <sz val="11"/>
      <color theme="1"/>
      <name val="Arial"/>
      <family val="2"/>
    </font>
    <font>
      <sz val="28"/>
      <color theme="1"/>
      <name val="Aptos Narrow"/>
      <family val="2"/>
      <scheme val="minor"/>
    </font>
    <font>
      <b/>
      <sz val="11"/>
      <color theme="0"/>
      <name val="Aptos Narrow"/>
      <family val="2"/>
      <scheme val="minor"/>
    </font>
    <font>
      <b/>
      <sz val="28"/>
      <color theme="1"/>
      <name val="Aptos Narrow"/>
      <family val="2"/>
      <scheme val="minor"/>
    </font>
    <font>
      <b/>
      <sz val="14"/>
      <color theme="1"/>
      <name val="Aptos Narrow"/>
      <family val="2"/>
      <scheme val="minor"/>
    </font>
    <font>
      <u/>
      <sz val="11"/>
      <color theme="10"/>
      <name val="Aptos Narrow"/>
      <family val="2"/>
      <scheme val="minor"/>
    </font>
    <font>
      <b/>
      <sz val="13.5"/>
      <color theme="1"/>
      <name val="Aptos Narrow"/>
      <family val="2"/>
      <scheme val="minor"/>
    </font>
    <font>
      <sz val="10"/>
      <color theme="1"/>
      <name val="Arial Unicode MS"/>
    </font>
    <font>
      <sz val="20"/>
      <color theme="1"/>
      <name val="Aptos Narrow"/>
      <family val="2"/>
      <scheme val="minor"/>
    </font>
    <font>
      <b/>
      <sz val="20"/>
      <color theme="5" tint="-0.249977111117893"/>
      <name val="Aptos Narrow"/>
      <family val="2"/>
      <scheme val="minor"/>
    </font>
    <font>
      <b/>
      <sz val="24"/>
      <color theme="1"/>
      <name val="Aptos Narrow"/>
      <family val="2"/>
      <scheme val="minor"/>
    </font>
    <font>
      <b/>
      <sz val="16"/>
      <color theme="1"/>
      <name val="Aptos Narrow"/>
      <family val="2"/>
      <scheme val="minor"/>
    </font>
  </fonts>
  <fills count="37">
    <fill>
      <patternFill patternType="none"/>
    </fill>
    <fill>
      <patternFill patternType="gray125"/>
    </fill>
    <fill>
      <patternFill patternType="solid">
        <fgColor theme="1"/>
        <bgColor indexed="64"/>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249977111117893"/>
        <bgColor indexed="64"/>
      </patternFill>
    </fill>
    <fill>
      <patternFill patternType="solid">
        <fgColor theme="2" tint="-9.9978637043366805E-2"/>
        <bgColor theme="0" tint="-0.14999847407452621"/>
      </patternFill>
    </fill>
    <fill>
      <patternFill patternType="solid">
        <fgColor rgb="FFFFFF00"/>
        <bgColor indexed="64"/>
      </patternFill>
    </fill>
    <fill>
      <patternFill patternType="solid">
        <fgColor theme="0" tint="-0.14999847407452621"/>
        <bgColor theme="0" tint="-0.14999847407452621"/>
      </patternFill>
    </fill>
    <fill>
      <patternFill patternType="solid">
        <fgColor theme="3" tint="0.749992370372631"/>
        <bgColor theme="0" tint="-0.14999847407452621"/>
      </patternFill>
    </fill>
    <fill>
      <patternFill patternType="solid">
        <fgColor theme="6" tint="0.79998168889431442"/>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rgb="FF2C353E"/>
        <bgColor indexed="64"/>
      </patternFill>
    </fill>
    <fill>
      <patternFill patternType="solid">
        <fgColor theme="0" tint="-0.249977111117893"/>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theme="4" tint="0.59999389629810485"/>
        <bgColor theme="0" tint="-0.14999847407452621"/>
      </patternFill>
    </fill>
    <fill>
      <patternFill patternType="solid">
        <fgColor rgb="FF00B050"/>
        <bgColor indexed="64"/>
      </patternFill>
    </fill>
    <fill>
      <patternFill patternType="solid">
        <fgColor theme="6" tint="0.399975585192419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rgb="FFFFFF99"/>
        <bgColor indexed="64"/>
      </patternFill>
    </fill>
    <fill>
      <patternFill patternType="solid">
        <fgColor rgb="FFD8BEEC"/>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7" tint="0.59999389629810485"/>
        <bgColor theme="0" tint="-0.14999847407452621"/>
      </patternFill>
    </fill>
    <fill>
      <patternFill patternType="solid">
        <fgColor rgb="FF002060"/>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7" tint="0.79998168889431442"/>
        <bgColor indexed="64"/>
      </patternFill>
    </fill>
  </fills>
  <borders count="35">
    <border>
      <left/>
      <right/>
      <top/>
      <bottom/>
      <diagonal/>
    </border>
    <border>
      <left style="thin">
        <color indexed="64"/>
      </left>
      <right style="thin">
        <color indexed="64"/>
      </right>
      <top style="thin">
        <color indexed="64"/>
      </top>
      <bottom style="thin">
        <color indexed="64"/>
      </bottom>
      <diagonal/>
    </border>
    <border>
      <left style="thin">
        <color theme="0" tint="-0.14996795556505021"/>
      </left>
      <right/>
      <top style="thin">
        <color theme="0" tint="-0.14996795556505021"/>
      </top>
      <bottom/>
      <diagonal/>
    </border>
    <border>
      <left/>
      <right/>
      <top style="thin">
        <color theme="0" tint="-0.14996795556505021"/>
      </top>
      <bottom/>
      <diagonal/>
    </border>
    <border>
      <left style="thin">
        <color theme="0" tint="-0.14993743705557422"/>
      </left>
      <right/>
      <top style="thin">
        <color theme="0" tint="-0.14993743705557422"/>
      </top>
      <bottom/>
      <diagonal/>
    </border>
    <border>
      <left/>
      <right/>
      <top style="thin">
        <color theme="0" tint="-0.14993743705557422"/>
      </top>
      <bottom/>
      <diagonal/>
    </border>
    <border>
      <left/>
      <right style="thin">
        <color theme="0" tint="-0.14993743705557422"/>
      </right>
      <top style="thin">
        <color theme="0" tint="-0.14993743705557422"/>
      </top>
      <bottom/>
      <diagonal/>
    </border>
    <border>
      <left style="thin">
        <color theme="0" tint="-0.24994659260841701"/>
      </left>
      <right/>
      <top style="thin">
        <color theme="0" tint="-0.24994659260841701"/>
      </top>
      <bottom/>
      <diagonal/>
    </border>
    <border>
      <left/>
      <right/>
      <top style="thin">
        <color theme="0" tint="-0.24994659260841701"/>
      </top>
      <bottom/>
      <diagonal/>
    </border>
    <border>
      <left/>
      <right style="thin">
        <color theme="0" tint="-0.24994659260841701"/>
      </right>
      <top style="thin">
        <color theme="0" tint="-0.24994659260841701"/>
      </top>
      <bottom/>
      <diagonal/>
    </border>
    <border>
      <left style="thin">
        <color theme="0" tint="-0.14996795556505021"/>
      </left>
      <right/>
      <top/>
      <bottom/>
      <diagonal/>
    </border>
    <border>
      <left style="thin">
        <color theme="0" tint="-0.14993743705557422"/>
      </left>
      <right/>
      <top/>
      <bottom/>
      <diagonal/>
    </border>
    <border>
      <left/>
      <right style="thin">
        <color theme="0" tint="-0.14993743705557422"/>
      </right>
      <top/>
      <bottom/>
      <diagonal/>
    </border>
    <border>
      <left style="thin">
        <color theme="0" tint="-0.24994659260841701"/>
      </left>
      <right/>
      <top/>
      <bottom/>
      <diagonal/>
    </border>
    <border>
      <left/>
      <right style="thin">
        <color theme="0" tint="-0.24994659260841701"/>
      </right>
      <top/>
      <bottom/>
      <diagonal/>
    </border>
    <border>
      <left/>
      <right/>
      <top/>
      <bottom style="thin">
        <color theme="0" tint="-0.14996795556505021"/>
      </bottom>
      <diagonal/>
    </border>
    <border>
      <left/>
      <right style="thin">
        <color theme="0" tint="-0.14993743705557422"/>
      </right>
      <top/>
      <bottom style="thin">
        <color theme="0" tint="-0.14993743705557422"/>
      </bottom>
      <diagonal/>
    </border>
    <border>
      <left/>
      <right style="thin">
        <color theme="0" tint="-0.24994659260841701"/>
      </right>
      <top/>
      <bottom style="thin">
        <color theme="0" tint="-0.24994659260841701"/>
      </bottom>
      <diagonal/>
    </border>
    <border>
      <left style="medium">
        <color indexed="64"/>
      </left>
      <right/>
      <top style="thin">
        <color theme="1"/>
      </top>
      <bottom/>
      <diagonal/>
    </border>
    <border>
      <left style="thin">
        <color indexed="64"/>
      </left>
      <right/>
      <top style="thin">
        <color theme="1"/>
      </top>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right/>
      <top style="thin">
        <color indexed="64"/>
      </top>
      <bottom/>
      <diagonal/>
    </border>
    <border>
      <left style="medium">
        <color indexed="64"/>
      </left>
      <right/>
      <top style="thin">
        <color indexed="64"/>
      </top>
      <bottom/>
      <diagonal/>
    </border>
    <border>
      <left style="thin">
        <color indexed="64"/>
      </left>
      <right/>
      <top style="thin">
        <color indexed="64"/>
      </top>
      <bottom style="thin">
        <color rgb="FF000000"/>
      </bottom>
      <diagonal/>
    </border>
    <border>
      <left style="thin">
        <color indexed="64"/>
      </left>
      <right style="thin">
        <color indexed="64"/>
      </right>
      <top style="thin">
        <color indexed="64"/>
      </top>
      <bottom style="thin">
        <color rgb="FF000000"/>
      </bottom>
      <diagonal/>
    </border>
    <border>
      <left/>
      <right/>
      <top style="thin">
        <color indexed="64"/>
      </top>
      <bottom style="thin">
        <color rgb="FF000000"/>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0" fillId="0" borderId="0" applyNumberFormat="0" applyFill="0" applyBorder="0" applyAlignment="0" applyProtection="0"/>
  </cellStyleXfs>
  <cellXfs count="144">
    <xf numFmtId="0" fontId="0" fillId="0" borderId="0" xfId="0"/>
    <xf numFmtId="0" fontId="0" fillId="2" borderId="0" xfId="0" applyFill="1"/>
    <xf numFmtId="0" fontId="2" fillId="2" borderId="0" xfId="0" applyFont="1" applyFill="1"/>
    <xf numFmtId="0" fontId="3" fillId="2" borderId="0" xfId="0" applyFont="1" applyFill="1"/>
    <xf numFmtId="0" fontId="1" fillId="3" borderId="1" xfId="0" applyFont="1" applyFill="1" applyBorder="1"/>
    <xf numFmtId="0" fontId="3" fillId="2" borderId="2" xfId="0" applyFont="1" applyFill="1" applyBorder="1"/>
    <xf numFmtId="0" fontId="3" fillId="2" borderId="3" xfId="0" applyFont="1" applyFill="1" applyBorder="1"/>
    <xf numFmtId="0" fontId="4" fillId="2" borderId="3" xfId="0" applyFont="1" applyFill="1" applyBorder="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9" xfId="0" applyFont="1" applyFill="1" applyBorder="1"/>
    <xf numFmtId="0" fontId="0" fillId="4" borderId="0" xfId="0" applyFill="1"/>
    <xf numFmtId="0" fontId="5" fillId="4" borderId="0" xfId="0" applyFont="1" applyFill="1"/>
    <xf numFmtId="0" fontId="6" fillId="2" borderId="0" xfId="0" applyFont="1" applyFill="1"/>
    <xf numFmtId="0" fontId="0" fillId="5" borderId="1" xfId="0" applyFill="1" applyBorder="1"/>
    <xf numFmtId="0" fontId="7" fillId="2" borderId="10" xfId="0" applyFont="1" applyFill="1" applyBorder="1"/>
    <xf numFmtId="0" fontId="8" fillId="2" borderId="0" xfId="0" applyFont="1" applyFill="1"/>
    <xf numFmtId="0" fontId="2" fillId="2" borderId="0" xfId="0" applyFont="1" applyFill="1" applyAlignment="1">
      <alignment horizontal="left"/>
    </xf>
    <xf numFmtId="0" fontId="2" fillId="2" borderId="10" xfId="0" applyFont="1" applyFill="1" applyBorder="1"/>
    <xf numFmtId="0" fontId="2" fillId="2" borderId="0" xfId="0" applyFont="1" applyFill="1" applyAlignment="1">
      <alignment vertical="center" wrapText="1"/>
    </xf>
    <xf numFmtId="0" fontId="2" fillId="2" borderId="12" xfId="0" applyFont="1" applyFill="1" applyBorder="1" applyAlignment="1">
      <alignment vertical="center" wrapText="1"/>
    </xf>
    <xf numFmtId="0" fontId="2" fillId="2" borderId="10" xfId="0" applyFont="1" applyFill="1" applyBorder="1" applyAlignment="1">
      <alignment vertical="center" wrapText="1"/>
    </xf>
    <xf numFmtId="0" fontId="2" fillId="2" borderId="14" xfId="0" applyFont="1" applyFill="1" applyBorder="1" applyAlignment="1">
      <alignment vertical="center" wrapText="1"/>
    </xf>
    <xf numFmtId="0" fontId="2" fillId="2" borderId="13" xfId="0" applyFont="1" applyFill="1" applyBorder="1" applyAlignment="1">
      <alignment vertical="center" wrapText="1"/>
    </xf>
    <xf numFmtId="0" fontId="10" fillId="2" borderId="10" xfId="0" applyFont="1" applyFill="1" applyBorder="1"/>
    <xf numFmtId="0" fontId="11" fillId="2" borderId="0" xfId="0" applyFont="1" applyFill="1"/>
    <xf numFmtId="0" fontId="12" fillId="2" borderId="0" xfId="0" applyFont="1" applyFill="1"/>
    <xf numFmtId="0" fontId="2" fillId="2" borderId="11" xfId="0" applyFont="1" applyFill="1" applyBorder="1" applyAlignment="1">
      <alignment vertical="center"/>
    </xf>
    <xf numFmtId="0" fontId="2" fillId="2" borderId="0" xfId="0" applyFont="1" applyFill="1" applyAlignment="1">
      <alignment vertical="center"/>
    </xf>
    <xf numFmtId="0" fontId="1" fillId="0" borderId="1" xfId="0" applyFont="1" applyBorder="1"/>
    <xf numFmtId="0" fontId="13" fillId="2" borderId="10" xfId="0" applyFont="1" applyFill="1" applyBorder="1"/>
    <xf numFmtId="0" fontId="0" fillId="6" borderId="1" xfId="0" applyFill="1" applyBorder="1"/>
    <xf numFmtId="0" fontId="0" fillId="7" borderId="1" xfId="0" applyFill="1" applyBorder="1"/>
    <xf numFmtId="0" fontId="2" fillId="2" borderId="15" xfId="0" applyFont="1" applyFill="1" applyBorder="1"/>
    <xf numFmtId="0" fontId="11" fillId="2" borderId="15" xfId="0" applyFont="1" applyFill="1" applyBorder="1"/>
    <xf numFmtId="0" fontId="2" fillId="2" borderId="16" xfId="0" applyFont="1" applyFill="1" applyBorder="1" applyAlignment="1">
      <alignment vertical="center" wrapText="1"/>
    </xf>
    <xf numFmtId="0" fontId="2" fillId="2" borderId="17" xfId="0" applyFont="1" applyFill="1" applyBorder="1" applyAlignment="1">
      <alignment vertical="center" wrapText="1"/>
    </xf>
    <xf numFmtId="0" fontId="0" fillId="4" borderId="1" xfId="0" applyFill="1" applyBorder="1"/>
    <xf numFmtId="0" fontId="14" fillId="8" borderId="18" xfId="0" applyFont="1" applyFill="1" applyBorder="1" applyAlignment="1">
      <alignment vertical="center"/>
    </xf>
    <xf numFmtId="0" fontId="14" fillId="9" borderId="19" xfId="0" applyFont="1" applyFill="1" applyBorder="1" applyAlignment="1">
      <alignment vertical="center"/>
    </xf>
    <xf numFmtId="0" fontId="14" fillId="9" borderId="1" xfId="0" applyFont="1" applyFill="1" applyBorder="1" applyAlignment="1">
      <alignment vertical="center"/>
    </xf>
    <xf numFmtId="0" fontId="14" fillId="9" borderId="1" xfId="0" applyFont="1" applyFill="1" applyBorder="1" applyAlignment="1">
      <alignment horizontal="left" vertical="center"/>
    </xf>
    <xf numFmtId="0" fontId="0" fillId="10" borderId="1" xfId="0" applyFill="1" applyBorder="1"/>
    <xf numFmtId="0" fontId="15" fillId="11" borderId="20" xfId="0" applyFont="1" applyFill="1" applyBorder="1" applyAlignment="1">
      <alignment horizontal="center" vertical="center"/>
    </xf>
    <xf numFmtId="0" fontId="0" fillId="12" borderId="20" xfId="0" applyFill="1" applyBorder="1" applyAlignment="1">
      <alignment horizontal="left"/>
    </xf>
    <xf numFmtId="0" fontId="15" fillId="13" borderId="1" xfId="0" applyFont="1" applyFill="1" applyBorder="1" applyAlignment="1">
      <alignment vertical="center"/>
    </xf>
    <xf numFmtId="0" fontId="15" fillId="13" borderId="20" xfId="0" applyFont="1" applyFill="1" applyBorder="1" applyAlignment="1">
      <alignment vertical="center"/>
    </xf>
    <xf numFmtId="0" fontId="15" fillId="14" borderId="21" xfId="0" applyFont="1" applyFill="1" applyBorder="1" applyAlignment="1">
      <alignment vertical="center"/>
    </xf>
    <xf numFmtId="0" fontId="15" fillId="13" borderId="22" xfId="0" applyFont="1" applyFill="1" applyBorder="1" applyAlignment="1">
      <alignment vertical="center"/>
    </xf>
    <xf numFmtId="0" fontId="0" fillId="0" borderId="20" xfId="0" applyBorder="1"/>
    <xf numFmtId="0" fontId="0" fillId="13" borderId="20" xfId="0" applyFill="1" applyBorder="1"/>
    <xf numFmtId="0" fontId="0" fillId="0" borderId="1" xfId="0" applyBorder="1"/>
    <xf numFmtId="0" fontId="5" fillId="4" borderId="1" xfId="0" applyFont="1" applyFill="1" applyBorder="1"/>
    <xf numFmtId="0" fontId="0" fillId="15" borderId="1" xfId="0" applyFill="1" applyBorder="1"/>
    <xf numFmtId="0" fontId="15" fillId="4" borderId="20" xfId="0" applyFont="1" applyFill="1" applyBorder="1" applyAlignment="1">
      <alignment horizontal="center" vertical="center"/>
    </xf>
    <xf numFmtId="0" fontId="0" fillId="16" borderId="20" xfId="0" applyFill="1" applyBorder="1" applyAlignment="1">
      <alignment horizontal="left"/>
    </xf>
    <xf numFmtId="0" fontId="15" fillId="0" borderId="1" xfId="0" applyFont="1" applyBorder="1" applyAlignment="1">
      <alignment vertical="center"/>
    </xf>
    <xf numFmtId="0" fontId="15" fillId="0" borderId="20" xfId="0" applyFont="1" applyBorder="1" applyAlignment="1">
      <alignment vertical="center"/>
    </xf>
    <xf numFmtId="0" fontId="15" fillId="17" borderId="21" xfId="0" applyFont="1" applyFill="1" applyBorder="1" applyAlignment="1">
      <alignment vertical="center"/>
    </xf>
    <xf numFmtId="0" fontId="15" fillId="0" borderId="22" xfId="0" applyFont="1" applyBorder="1" applyAlignment="1">
      <alignment vertical="center"/>
    </xf>
    <xf numFmtId="0" fontId="15" fillId="0" borderId="1" xfId="0" applyFont="1" applyBorder="1" applyAlignment="1">
      <alignment vertical="center" wrapText="1"/>
    </xf>
    <xf numFmtId="0" fontId="15" fillId="0" borderId="20" xfId="0" applyFont="1" applyBorder="1" applyAlignment="1">
      <alignment vertical="center" wrapText="1"/>
    </xf>
    <xf numFmtId="0" fontId="15" fillId="13" borderId="1" xfId="0" applyFont="1" applyFill="1" applyBorder="1" applyAlignment="1">
      <alignment vertical="center" wrapText="1"/>
    </xf>
    <xf numFmtId="0" fontId="15" fillId="13" borderId="20" xfId="0" applyFont="1" applyFill="1" applyBorder="1" applyAlignment="1">
      <alignment vertical="center" wrapText="1"/>
    </xf>
    <xf numFmtId="0" fontId="0" fillId="13" borderId="1" xfId="0" applyFill="1" applyBorder="1"/>
    <xf numFmtId="0" fontId="15" fillId="4" borderId="24" xfId="0" applyFont="1" applyFill="1" applyBorder="1" applyAlignment="1">
      <alignment horizontal="center" vertical="center"/>
    </xf>
    <xf numFmtId="0" fontId="0" fillId="0" borderId="24" xfId="0" applyBorder="1"/>
    <xf numFmtId="0" fontId="15" fillId="17" borderId="25" xfId="0" applyFont="1" applyFill="1" applyBorder="1" applyAlignment="1">
      <alignment vertical="center"/>
    </xf>
    <xf numFmtId="0" fontId="15" fillId="0" borderId="26" xfId="0" applyFont="1" applyBorder="1" applyAlignment="1">
      <alignment vertical="center"/>
    </xf>
    <xf numFmtId="0" fontId="0" fillId="18" borderId="0" xfId="0" applyFill="1"/>
    <xf numFmtId="0" fontId="0" fillId="0" borderId="0" xfId="0" applyAlignment="1">
      <alignment horizontal="left"/>
    </xf>
    <xf numFmtId="0" fontId="0" fillId="0" borderId="0" xfId="0" applyAlignment="1">
      <alignment wrapText="1"/>
    </xf>
    <xf numFmtId="0" fontId="0" fillId="20" borderId="1" xfId="0" applyFill="1" applyBorder="1"/>
    <xf numFmtId="0" fontId="17" fillId="22" borderId="1" xfId="0" applyFont="1" applyFill="1" applyBorder="1"/>
    <xf numFmtId="49" fontId="0" fillId="5" borderId="1" xfId="0" applyNumberFormat="1" applyFill="1" applyBorder="1"/>
    <xf numFmtId="0" fontId="16" fillId="12" borderId="1" xfId="0" applyFont="1" applyFill="1" applyBorder="1"/>
    <xf numFmtId="0" fontId="16" fillId="6" borderId="1" xfId="0" applyFont="1" applyFill="1" applyBorder="1"/>
    <xf numFmtId="0" fontId="16" fillId="21" borderId="1" xfId="0" applyFont="1" applyFill="1" applyBorder="1"/>
    <xf numFmtId="0" fontId="18" fillId="0" borderId="0" xfId="0" applyFont="1" applyAlignment="1">
      <alignment horizontal="center" vertical="center"/>
    </xf>
    <xf numFmtId="0" fontId="19" fillId="0" borderId="0" xfId="0" applyFont="1"/>
    <xf numFmtId="0" fontId="0" fillId="9" borderId="1" xfId="0" applyFill="1" applyBorder="1"/>
    <xf numFmtId="0" fontId="0" fillId="19" borderId="1" xfId="0" applyFill="1" applyBorder="1"/>
    <xf numFmtId="49" fontId="0" fillId="0" borderId="0" xfId="0" applyNumberFormat="1"/>
    <xf numFmtId="49" fontId="0" fillId="0" borderId="0" xfId="0" applyNumberFormat="1" applyAlignment="1">
      <alignment wrapText="1"/>
    </xf>
    <xf numFmtId="0" fontId="15" fillId="23" borderId="23" xfId="0" applyFont="1" applyFill="1" applyBorder="1" applyAlignment="1">
      <alignment vertical="center"/>
    </xf>
    <xf numFmtId="49" fontId="0" fillId="24" borderId="1" xfId="0" applyNumberFormat="1" applyFill="1" applyBorder="1"/>
    <xf numFmtId="49" fontId="0" fillId="25" borderId="1" xfId="0" applyNumberFormat="1" applyFill="1" applyBorder="1"/>
    <xf numFmtId="0" fontId="0" fillId="26" borderId="1" xfId="0" applyFill="1" applyBorder="1"/>
    <xf numFmtId="0" fontId="0" fillId="27" borderId="1" xfId="0" applyFill="1" applyBorder="1"/>
    <xf numFmtId="0" fontId="0" fillId="28" borderId="1" xfId="0" applyFill="1" applyBorder="1"/>
    <xf numFmtId="0" fontId="0" fillId="29" borderId="1" xfId="0" applyFill="1" applyBorder="1"/>
    <xf numFmtId="0" fontId="0" fillId="30" borderId="1" xfId="0" applyFill="1" applyBorder="1"/>
    <xf numFmtId="0" fontId="0" fillId="3" borderId="1" xfId="0" applyFill="1" applyBorder="1" applyAlignment="1">
      <alignment horizontal="center"/>
    </xf>
    <xf numFmtId="0" fontId="0" fillId="31" borderId="0" xfId="0" applyFill="1"/>
    <xf numFmtId="0" fontId="7" fillId="2" borderId="0" xfId="0" applyFont="1" applyFill="1"/>
    <xf numFmtId="0" fontId="10" fillId="2" borderId="0" xfId="0" applyFont="1" applyFill="1"/>
    <xf numFmtId="0" fontId="0" fillId="5" borderId="21" xfId="0" applyFill="1" applyBorder="1"/>
    <xf numFmtId="0" fontId="2" fillId="2" borderId="27" xfId="0" applyFont="1" applyFill="1" applyBorder="1" applyAlignment="1">
      <alignment horizontal="left"/>
    </xf>
    <xf numFmtId="0" fontId="2" fillId="2" borderId="28" xfId="0" applyFont="1" applyFill="1" applyBorder="1" applyAlignment="1">
      <alignment horizontal="left"/>
    </xf>
    <xf numFmtId="0" fontId="15" fillId="32" borderId="23" xfId="0" applyFont="1" applyFill="1" applyBorder="1" applyAlignment="1">
      <alignment vertical="center"/>
    </xf>
    <xf numFmtId="0" fontId="15" fillId="11" borderId="1" xfId="0" applyFont="1" applyFill="1" applyBorder="1" applyAlignment="1">
      <alignment vertical="center"/>
    </xf>
    <xf numFmtId="0" fontId="1" fillId="28" borderId="1" xfId="0" applyFont="1" applyFill="1" applyBorder="1"/>
    <xf numFmtId="0" fontId="1" fillId="0" borderId="20" xfId="0" applyFont="1" applyBorder="1"/>
    <xf numFmtId="0" fontId="0" fillId="0" borderId="22" xfId="0" applyBorder="1"/>
    <xf numFmtId="0" fontId="0" fillId="0" borderId="29" xfId="0" applyBorder="1"/>
    <xf numFmtId="0" fontId="1" fillId="0" borderId="30" xfId="0" applyFont="1" applyBorder="1"/>
    <xf numFmtId="0" fontId="0" fillId="0" borderId="31" xfId="0" applyBorder="1"/>
    <xf numFmtId="0" fontId="0" fillId="0" borderId="30" xfId="0" applyBorder="1"/>
    <xf numFmtId="0" fontId="0" fillId="0" borderId="32" xfId="0" applyBorder="1"/>
    <xf numFmtId="0" fontId="0" fillId="0" borderId="33" xfId="0" applyBorder="1"/>
    <xf numFmtId="0" fontId="0" fillId="0" borderId="34" xfId="0" applyBorder="1"/>
    <xf numFmtId="0" fontId="20" fillId="0" borderId="0" xfId="1" applyBorder="1"/>
    <xf numFmtId="0" fontId="21" fillId="0" borderId="0" xfId="0" applyFont="1" applyAlignment="1">
      <alignment vertical="center"/>
    </xf>
    <xf numFmtId="0" fontId="0" fillId="0" borderId="0" xfId="0" applyAlignment="1">
      <alignment horizontal="left" vertical="center" indent="1"/>
    </xf>
    <xf numFmtId="0" fontId="1" fillId="0" borderId="0" xfId="0" applyFont="1" applyAlignment="1">
      <alignment horizontal="left" vertical="center" indent="1"/>
    </xf>
    <xf numFmtId="0" fontId="0" fillId="0" borderId="0" xfId="0" applyAlignment="1">
      <alignment horizontal="left" vertical="center" indent="2"/>
    </xf>
    <xf numFmtId="0" fontId="22" fillId="0" borderId="0" xfId="0" applyFont="1" applyAlignment="1">
      <alignment horizontal="left" vertical="center" indent="2"/>
    </xf>
    <xf numFmtId="0" fontId="22" fillId="0" borderId="0" xfId="0" applyFont="1"/>
    <xf numFmtId="0" fontId="0" fillId="26" borderId="0" xfId="0" applyFill="1"/>
    <xf numFmtId="0" fontId="24" fillId="0" borderId="1" xfId="0" applyFont="1" applyBorder="1"/>
    <xf numFmtId="0" fontId="23" fillId="26" borderId="1" xfId="0" applyFont="1" applyFill="1" applyBorder="1"/>
    <xf numFmtId="0" fontId="17" fillId="33" borderId="0" xfId="0" applyFont="1" applyFill="1"/>
    <xf numFmtId="0" fontId="0" fillId="34" borderId="0" xfId="0" applyFill="1"/>
    <xf numFmtId="0" fontId="0" fillId="35" borderId="0" xfId="0" applyFill="1"/>
    <xf numFmtId="0" fontId="0" fillId="28" borderId="0" xfId="0" applyFill="1"/>
    <xf numFmtId="0" fontId="0" fillId="36" borderId="0" xfId="0" applyFill="1"/>
    <xf numFmtId="0" fontId="15" fillId="32" borderId="20" xfId="0" applyFont="1" applyFill="1" applyBorder="1" applyAlignment="1">
      <alignment vertical="center"/>
    </xf>
    <xf numFmtId="0" fontId="9" fillId="2" borderId="0" xfId="0" applyFont="1" applyFill="1"/>
    <xf numFmtId="0" fontId="25" fillId="0" borderId="0" xfId="0" applyFont="1" applyAlignment="1">
      <alignment vertical="center"/>
    </xf>
    <xf numFmtId="0" fontId="26" fillId="0" borderId="0" xfId="0" applyFont="1" applyAlignment="1">
      <alignment vertical="center"/>
    </xf>
    <xf numFmtId="0" fontId="22" fillId="0" borderId="0" xfId="0" applyFont="1" applyAlignment="1">
      <alignment vertical="center"/>
    </xf>
    <xf numFmtId="0" fontId="0" fillId="0" borderId="0" xfId="0" applyAlignment="1">
      <alignment vertical="center"/>
    </xf>
    <xf numFmtId="0" fontId="20" fillId="0" borderId="33" xfId="1" applyBorder="1"/>
    <xf numFmtId="0" fontId="1" fillId="0" borderId="0" xfId="0" applyFont="1"/>
    <xf numFmtId="0" fontId="1" fillId="30" borderId="1" xfId="0" applyFont="1" applyFill="1" applyBorder="1"/>
    <xf numFmtId="0" fontId="5" fillId="4" borderId="1" xfId="0" applyFont="1" applyFill="1" applyBorder="1" applyAlignment="1">
      <alignment horizontal="center"/>
    </xf>
    <xf numFmtId="0" fontId="9" fillId="2" borderId="11" xfId="0" applyFont="1" applyFill="1" applyBorder="1" applyAlignment="1">
      <alignment horizontal="center" vertical="center"/>
    </xf>
    <xf numFmtId="0" fontId="9" fillId="2" borderId="0" xfId="0" applyFont="1" applyFill="1" applyAlignment="1">
      <alignment horizontal="center" vertical="center"/>
    </xf>
    <xf numFmtId="0" fontId="9" fillId="2" borderId="12" xfId="0" applyFont="1" applyFill="1" applyBorder="1" applyAlignment="1">
      <alignment horizontal="center" vertical="center"/>
    </xf>
    <xf numFmtId="0" fontId="9" fillId="2" borderId="13" xfId="0" applyFont="1" applyFill="1" applyBorder="1" applyAlignment="1">
      <alignment horizontal="center" vertical="center"/>
    </xf>
    <xf numFmtId="0" fontId="9" fillId="2" borderId="14" xfId="0" applyFont="1" applyFill="1" applyBorder="1" applyAlignment="1">
      <alignment horizontal="center" vertical="center"/>
    </xf>
  </cellXfs>
  <cellStyles count="2">
    <cellStyle name="Hyperlink" xfId="1" builtinId="8"/>
    <cellStyle name="Normal" xfId="0" builtinId="0"/>
  </cellStyles>
  <dxfs count="83">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0" tint="-0.24994659260841701"/>
        </patternFill>
      </fill>
    </dxf>
    <dxf>
      <fill>
        <patternFill>
          <bgColor theme="4" tint="0.59996337778862885"/>
        </patternFill>
      </fill>
    </dxf>
    <dxf>
      <fill>
        <patternFill>
          <bgColor theme="5" tint="0.59996337778862885"/>
        </patternFill>
      </fill>
    </dxf>
    <dxf>
      <fill>
        <patternFill>
          <bgColor theme="2" tint="-0.24994659260841701"/>
        </patternFill>
      </fill>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ill>
        <patternFill>
          <bgColor theme="5" tint="0.59996337778862885"/>
        </patternFill>
      </fill>
    </dxf>
    <dxf>
      <fill>
        <patternFill>
          <bgColor theme="6" tint="0.59996337778862885"/>
        </patternFill>
      </fill>
    </dxf>
    <dxf>
      <font>
        <b/>
        <i val="0"/>
      </font>
    </dxf>
    <dxf>
      <fill>
        <patternFill>
          <bgColor theme="5" tint="0.59996337778862885"/>
        </patternFill>
      </fill>
    </dxf>
    <dxf>
      <fill>
        <patternFill>
          <bgColor theme="6" tint="0.59996337778862885"/>
        </patternFill>
      </fill>
    </dxf>
    <dxf>
      <font>
        <b/>
        <i val="0"/>
        <strike val="0"/>
      </font>
    </dxf>
    <dxf>
      <fill>
        <patternFill>
          <bgColor theme="5" tint="0.79998168889431442"/>
        </patternFill>
      </fill>
    </dxf>
    <dxf>
      <fill>
        <patternFill>
          <bgColor theme="4" tint="0.79998168889431442"/>
        </patternFill>
      </fill>
    </dxf>
    <dxf>
      <fill>
        <patternFill>
          <bgColor theme="6" tint="0.79998168889431442"/>
        </patternFill>
      </fill>
    </dxf>
    <dxf>
      <font>
        <b/>
        <i val="0"/>
      </font>
    </dxf>
    <dxf>
      <fill>
        <patternFill>
          <bgColor theme="5" tint="0.79998168889431442"/>
        </patternFill>
      </fill>
    </dxf>
  </dxfs>
  <tableStyles count="0" defaultTableStyle="TableStyleMedium2" defaultPivotStyle="PivotStyleLight16"/>
  <colors>
    <mruColors>
      <color rgb="FFFFFF99"/>
      <color rgb="FFD8BEEC"/>
      <color rgb="FFC7A1E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57150</xdr:colOff>
      <xdr:row>25</xdr:row>
      <xdr:rowOff>142876</xdr:rowOff>
    </xdr:from>
    <xdr:to>
      <xdr:col>6</xdr:col>
      <xdr:colOff>161925</xdr:colOff>
      <xdr:row>34</xdr:row>
      <xdr:rowOff>66676</xdr:rowOff>
    </xdr:to>
    <xdr:sp macro="" textlink="">
      <xdr:nvSpPr>
        <xdr:cNvPr id="2" name="TextBox 1">
          <a:extLst>
            <a:ext uri="{FF2B5EF4-FFF2-40B4-BE49-F238E27FC236}">
              <a16:creationId xmlns:a16="http://schemas.microsoft.com/office/drawing/2014/main" id="{C1853C4B-5CF2-4075-877A-E1BD79048DE4}"/>
            </a:ext>
          </a:extLst>
        </xdr:cNvPr>
        <xdr:cNvSpPr txBox="1"/>
      </xdr:nvSpPr>
      <xdr:spPr>
        <a:xfrm>
          <a:off x="57150" y="5305426"/>
          <a:ext cx="3762375" cy="1638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[Paste Mentor Prompt Cell Here]</a:t>
          </a:r>
        </a:p>
        <a:p>
          <a:endParaRPr lang="en-US" sz="1100"/>
        </a:p>
        <a:p>
          <a:r>
            <a:rPr lang="en-US" sz="1100" b="1"/>
            <a:t>My question:</a:t>
          </a:r>
        </a:p>
        <a:p>
          <a:r>
            <a:rPr lang="en-US" sz="1100"/>
            <a:t>[Describe what you don't understand or the issue you are facing]</a:t>
          </a:r>
        </a:p>
        <a:p>
          <a:endParaRPr lang="en-US" sz="1100"/>
        </a:p>
        <a:p>
          <a:r>
            <a:rPr lang="en-US" sz="1100" b="1"/>
            <a:t>My current code:</a:t>
          </a:r>
        </a:p>
        <a:p>
          <a:r>
            <a:rPr lang="en-US" sz="1100"/>
            <a:t>[Paste your code from your IDE here]</a:t>
          </a: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77798CF-F458-43D1-85D1-0EF6D1C367F4}" name="Table2" displayName="Table2" ref="B2:E19" totalsRowShown="0">
  <autoFilter ref="B2:E19" xr:uid="{477798CF-F458-43D1-85D1-0EF6D1C367F4}">
    <filterColumn colId="0" hiddenButton="1"/>
    <filterColumn colId="1" hiddenButton="1"/>
    <filterColumn colId="2" hiddenButton="1"/>
    <filterColumn colId="3" hiddenButton="1"/>
  </autoFilter>
  <tableColumns count="4">
    <tableColumn id="1" xr3:uid="{AF1BC3E6-A291-4881-98E4-E2262942E61C}" name="Cell"/>
    <tableColumn id="2" xr3:uid="{A730AA41-75B2-4CE9-A8CA-24DE3FE4108C}" name="Cell References"/>
    <tableColumn id="3" xr3:uid="{C201C974-24D3-4F6B-B4DA-ADDAF2F3C4D7}" name="Type"/>
    <tableColumn id="4" xr3:uid="{74650CAD-2AEE-4B2B-A36B-4C37DA129C83}" name="Detailed Explanation"/>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0.xml.rels><?xml version="1.0" encoding="UTF-8" standalone="yes"?>
<Relationships xmlns="http://schemas.openxmlformats.org/package/2006/relationships"><Relationship Id="rId2" Type="http://schemas.openxmlformats.org/officeDocument/2006/relationships/hyperlink" Target="https://coding5s.com/" TargetMode="External"/><Relationship Id="rId1" Type="http://schemas.openxmlformats.org/officeDocument/2006/relationships/hyperlink" Target="https://github.com/WilfredoBarrios/coding5s-framewor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1C9F5-A3E1-48B4-A4AC-C90CACFBE404}">
  <sheetPr>
    <tabColor rgb="FFFF0000"/>
  </sheetPr>
  <dimension ref="A1:AM209"/>
  <sheetViews>
    <sheetView showGridLines="0" tabSelected="1" zoomScale="85" zoomScaleNormal="85" workbookViewId="0"/>
  </sheetViews>
  <sheetFormatPr defaultColWidth="11.42578125" defaultRowHeight="15"/>
  <cols>
    <col min="1" max="1" width="15.7109375" customWidth="1"/>
    <col min="2" max="2" width="10" bestFit="1" customWidth="1"/>
    <col min="3" max="3" width="11.28515625" bestFit="1" customWidth="1"/>
    <col min="4" max="4" width="22.28515625" bestFit="1" customWidth="1"/>
    <col min="5" max="5" width="16.5703125" style="73" customWidth="1"/>
    <col min="6" max="6" width="5.140625" customWidth="1"/>
    <col min="7" max="7" width="12.5703125" bestFit="1" customWidth="1"/>
    <col min="8" max="8" width="13.85546875" bestFit="1" customWidth="1"/>
    <col min="9" max="9" width="12.5703125" customWidth="1"/>
    <col min="10" max="10" width="68.5703125" customWidth="1"/>
    <col min="11" max="12" width="18.140625" customWidth="1"/>
    <col min="13" max="13" width="6.7109375" bestFit="1" customWidth="1"/>
    <col min="14" max="15" width="16.140625" customWidth="1"/>
    <col min="16" max="16" width="7.85546875" bestFit="1" customWidth="1"/>
    <col min="17" max="18" width="17.42578125" customWidth="1"/>
    <col min="19" max="19" width="7.85546875" bestFit="1" customWidth="1"/>
    <col min="20" max="21" width="16.5703125" customWidth="1"/>
    <col min="22" max="22" width="7.85546875" bestFit="1" customWidth="1"/>
    <col min="23" max="24" width="20.42578125" customWidth="1"/>
    <col min="25" max="25" width="7.85546875" bestFit="1" customWidth="1"/>
    <col min="26" max="30" width="16" bestFit="1" customWidth="1"/>
    <col min="31" max="31" width="21.5703125" bestFit="1" customWidth="1"/>
    <col min="33" max="33" width="27.5703125" customWidth="1"/>
    <col min="34" max="34" width="14.28515625" bestFit="1" customWidth="1"/>
    <col min="35" max="35" width="32" customWidth="1"/>
    <col min="36" max="36" width="27.85546875" customWidth="1"/>
  </cols>
  <sheetData>
    <row r="1" spans="1:39" ht="26.25">
      <c r="A1" s="1"/>
      <c r="B1" s="2"/>
      <c r="C1" s="96"/>
      <c r="D1" s="3"/>
      <c r="E1" s="4" t="s">
        <v>0</v>
      </c>
      <c r="F1" s="5" t="s">
        <v>1</v>
      </c>
      <c r="G1" s="6"/>
      <c r="H1" s="7" t="s">
        <v>2</v>
      </c>
      <c r="I1" s="6"/>
      <c r="J1" s="3"/>
      <c r="K1" s="8" t="s">
        <v>3</v>
      </c>
      <c r="L1" s="9" t="str">
        <f>IF(H9="Topic",
"[ROLE] Friendly tutor specializing in " &amp; $I$2 &amp; " | " &amp;
"[TASK] Teach and explain concepts clearly with correct code examples | " &amp;
"[TOPIC] " &amp; I9 &amp; " | " &amp;
"[LEVEL] " &amp; G9 &amp; " | " &amp;
"[COUNT] " &amp; D9 &amp; " examples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 &amp; $B$6 &amp; " | " &amp;
"[HEADER RULE - STRICT] You MUST start your entire response EXACTLY with this markdown block (do not print anything before it):" &amp; CHAR(10) &amp; "### 🔹 Topic #" &amp; F9 &amp; " | Stage 1 📖 Practice | " &amp; $I$2 &amp; " | 📊 Level: " &amp; G9 &amp; " | 🌐 Coding5s.com" &amp; CHAR(10) &amp; "**Concept:** " &amp; J9 &amp; CHAR(10) &amp; "---" &amp; CHAR(10) &amp; " | " &amp;
"[INTRO RULE] Include a short tutor-style sentence in " &amp; $B$6 &amp; " before the analogy, followed by this EXACT instruction block translated to " &amp; $B$6 &amp; _xlfn._LONGTEXT(":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 &amp;
"[PERSONA RULE] Act as a friendly, clear tutor | " &amp;
"[OUTPUT CONTRACT] EXACTLY " &amp; D9 &amp; _xlfn._LONGTEXT("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 &amp;
"[CODE QUALITY RULE] Code MUST be clean, readable, educational, executable, and produce correct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&amp; " | ", "") &amp;
"[OUTPUT] Only header, introduction, examples, outputs, notes, summary, and footer | " &amp;
"[FOOTER RULE - STRICT] End your entire response EXACTLY with this markdown string (ensure all code blocks are closed before it):" &amp; CHAR(10) &amp; "---" &amp; CHAR(10) &amp; "⚡ *Coding5s System — Learn Programming by Writing Code*" &amp;
"[CODE CONSTRAINTS] Each example MUST include: - Internal data OR dataset usage - Print key intermediate steps and the final result - MUST NOT exceed exactly " &amp; $C9 &amp; " lines of EXECUTABLE code (STRICT: Do NOT count comments or blank lines towards this limit) - NEVER exceed this limit of executable lines - " &amp; IF(G9&lt;&gt;"Advanced", "NO classes - ", "") &amp; "Single logical flow (no unnecessary complexity) | " &amp;
"[SYNTAX CONFIGURATION RULE] " &amp; IF(F9&gt;=10, "You MUST format output strings elegantly using f-strings natively.", "CRITICAL PROHIBITION: Do NOT use f-strings (f""..."") or any advanced text formatting methods yet. Use basic print() with multiple arguments separated by commas for text labels and variables.") &amp; " | " &amp;
"[FUNCTION RULE] " &amp; IF(G9="Beginner","Do NOT use functions unless absolutely required by the concept. Use flat, linear scripts. ",IF(G9="Intermediate","MUST use modular functions. Break down logic into reusable blocks. ","MUST use modular functions appropriately for architecture and clarity. ")) &amp; "| " &amp;
"[FILE HANDLING RULE] Use correct loaders and enforce encoding='utf-8' and newline='' when applicable | " &amp;
"[SUPPORT FILES RULE] If env/config is used, include: 1. Instructional sentence 2. File content in markdown code block 3. BEFORE the main code | " &amp;
"[ECOSYSTEM ORIENTATION RULE] If a library or ecosystem like " &amp; $J$3 &amp; " is specified, you are CRITICALLY FORBIDDEN from using pure Python iterative loops (for/while). You MUST enforce the native, optimized data structures and vectorized operations of that specific library | " &amp;
"[OUTPUT FORMAT RULE] " &amp; IF(F9&gt;=10, "Monetary values formatted with '$', commas, 2 decimals using f-strings.", "Print raw numeric outputs directly without forcing custom monetary formatting structures yet.") &amp; "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 &amp; $B$6 &amp; ") - PURGE ANY MEMORY of previous datasets. - Generate minimal realistic dummy data internally - Clearly proceed without dataset summary | " &amp;
"[DATA SUMMARY FORMAT RULE] When a dataset is present, you MUST display IMMEDIATELY AFTER THE HEADER: Dataset Summary: - File Type: - Columns / Fields: - Data Types: - Notes: | " &amp;
"[DATA TYPE RULE] Explicit casting required before calculations | " &amp;
"[DATA ROBUSTNESS RULE] Handle missing, malformed, or inconsistent data safely | " &amp;
"[BOOLEAN HANDLING RULE] Normalize boolean values before comparison | " &amp;
"[DATA CONSISTENCY RULE] Respect dataset schema | " &amp;
"[COMMENT DENSITY RULE] Beginner = high, Intermediate = medium, Advanced = lower but present in key logic | " &amp;
"[DIFFICULTY RULE] Complexity MUST match level | ",
IF(H9="PROJECT", Z9, ""))</f>
        <v xml:space="preserve">[ROLE] Friendly tutor specializing in Elixir OTP | [TASK] Teach and explain concepts clearly with correct code examples | [TOPIC] Implement concurrency and manual state management using spawn/1, send/2, receive, and manual recursion state. | [LEVEL] Advanced | [COUNT] 4 examples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English | [HEADER RULE - STRICT] You MUST start your entire response EXACTLY with this markdown block (do not print anything before it):
### 🔹 Topic #1 | Stage 1 📖 Practice | Elixir OTP | 📊 Level: Advanced | 🌐 Coding5s.com
**Concept:** Concurrency Refresher &amp; Manual State (spawn/1, send/2, receive, manual recursion state)
---
 | [INTRO RULE] Include a short tutor-style sentence in English before the analogy, followed by this EXACT instruction block translated to English: '🚨 **Your objective in this lesson:** To truly learn the new Python concepts with the Coding5s method, the best way is to manually copy the following exercises and write them out in your IDE, analyzing the comments and explanations they contain. In this Stage, copying and pasting code is strictly forbidden. If you do this consciously, you will learn through pure practice and break free from tutorial hell.' | [PERSONA RULE] Act as a friendly, clear tutor | [OUTPUT CONTRACT] EXACTLY 4 micro-examples. Structure MUST be: 1. Introduction 2. Analogy (STRICT: You MUST use the exact markdown subtitle '### 💡 Analogy:' before the real-world metaphor) 3. Micro-Examples: - Title Format (STRICT): EXACTLY '#### Exercise [N]️⃣: [Short specific description of the action]' - Followed IMMEDIATELY by the exact markdown subtitle '#### 📖 Mini-Lesson:' consisting of a short conceptual introductory paragraph (3-5 sentences) COMPLEMENTED IMMEDIATELY by exactly 2-3 concise markdown bullet points (using the '-' symbol) breaking down the step-by-step internal behavior of Python before the single code block - Single code block - Program Output section (code block) - 🚨 Common mistake note - 🎯 Mini challenge 4. 📌 Key Takeaway | [CODE QUALITY RULE] Code MUST be clean, readable, educational, executable, and produce correct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[OUTPUT] Only header, introduction, examples, outputs, notes, summary, and footer | [FOOTER RULE - STRICT] End your entire response EXACTLY with this markdown string (ensure all code blocks are closed before it):
---
⚡ *Coding5s System — Learn Programming by Writing Code*[CODE CONSTRAINTS] Each example MUST include: - Internal data OR dataset usage - Print key intermediate steps and the final result - MUST NOT exceed exactly 15 lines of EXECUTABLE code (STRICT: Do NOT count comments or blank lines towards this limit) - NEVER exceed this limit of executable lines - Single logical flow (no unnecessary complexity) | [SYNTAX CONFIGURATION RULE] CRITICAL PROHIBITION: Do NOT use f-strings (f"...") or any advanced text formatting methods yet. Use basic print() with multiple arguments separated by commas for text labels and variables. | [FUNCTION RULE] MUST use modular functions appropriately for architecture and clarity. | [FILE HANDLING RULE] Use correct loaders and enforce encoding='utf-8' and newline='' when applicable | [SUPPORT FILES RULE] If env/config is used, include: 1. Instructional sentence 2. File content in markdown code block 3. BEFORE the main code | [ECOSYSTEM ORIENTATION RULE] If a library or ecosystem like  is specified, you are CRITICALLY FORBIDDEN from using pure Python iterative loops (for/while). You MUST enforce the native, optimized data structures and vectorized operations of that specific library | [OUTPUT FORMAT RULE] Print raw numeric outputs directly without forcing custom monetary formatting structures yet.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Detect and acknowledge it BEFORE any explanation 2. Explicitly state file type 3. Describe structure (rows, columns, keys) 4. List columns or fields 5. Infer data types 6. Provide a structured summary IMMEDIATELY AFTER THE HEADER 7. Explicitly state that ALL examples will be based on this dataset 8. Use the dataset directly in ALL examples (DO NOT recreate data). If NO dataset is provided IN THIS CURRENT PROMPT: - STRICT: You MUST explicitly state 'No synthetic data file was provided for this topic. Generating dummy data.' (translate this phrase to English) - PURGE ANY MEMORY of previous datasets. - Generate minimal realistic dummy data internally - Clearly proceed without dataset summary | [DATA SUMMARY FORMAT RULE] When a dataset is present, you MUST display IMMEDIATELY AFTER THE HEADER: Dataset Summary: - File Type: - Columns / Fields: - Data Types: - Notes: | [DATA TYPE RULE] Explicit casting required before calculations | [DATA ROBUSTNESS RULE] Handle missing, malformed, or inconsistent data safely | [BOOLEAN HANDLING RULE] Normalize boolean values before comparison | [DATA CONSISTENCY RULE] Respect dataset schema | [COMMENT DENSITY RULE] Beginner = high, Intermediate = medium, Advanced = lower but present in key logic | [DIFFICULTY RULE] Complexity MUST match level | </v>
      </c>
      <c r="M1" s="10"/>
      <c r="N1" s="3" t="s">
        <v>4</v>
      </c>
      <c r="O1" s="3"/>
      <c r="P1" s="3"/>
      <c r="Q1" s="11" t="s">
        <v>5</v>
      </c>
      <c r="R1" s="12"/>
      <c r="S1" s="13"/>
      <c r="T1" s="3" t="s">
        <v>6</v>
      </c>
      <c r="U1" s="3"/>
      <c r="V1" s="3"/>
      <c r="W1" s="11" t="s">
        <v>7</v>
      </c>
      <c r="X1" s="12"/>
      <c r="Y1" s="13"/>
      <c r="Z1" s="1"/>
      <c r="AA1" s="1"/>
      <c r="AB1" s="1"/>
      <c r="AC1" s="1"/>
      <c r="AD1" s="1"/>
      <c r="AE1" s="15"/>
      <c r="AF1" s="14"/>
      <c r="AG1" s="14"/>
      <c r="AH1" s="15"/>
      <c r="AI1" s="15"/>
      <c r="AJ1" s="15"/>
      <c r="AK1" s="15"/>
      <c r="AL1" s="15"/>
    </row>
    <row r="2" spans="1:39" ht="30" customHeight="1" thickBot="1">
      <c r="A2" s="1"/>
      <c r="B2" s="2"/>
      <c r="C2" s="96" t="s">
        <v>226</v>
      </c>
      <c r="D2" s="16"/>
      <c r="E2" s="99" t="str">
        <f>IF(E1="Stage 1","k9:L200",IF(E1="Stage 2","N9:O200",IF(E1="Stage 3","Q9:R200",IF(E1="Stage 4","T9:U200",IF(E1="Stage 5","W9:X200","Stage Incorrecta")))))</f>
        <v>k9:L200</v>
      </c>
      <c r="F2" s="18" t="s">
        <v>8</v>
      </c>
      <c r="G2" s="19"/>
      <c r="H2" s="19"/>
      <c r="I2" s="16" t="s">
        <v>726</v>
      </c>
      <c r="J2" s="16"/>
      <c r="K2" s="139" t="s">
        <v>9</v>
      </c>
      <c r="L2" s="140"/>
      <c r="M2" s="141"/>
      <c r="N2" s="140" t="s">
        <v>10</v>
      </c>
      <c r="O2" s="140"/>
      <c r="P2" s="140"/>
      <c r="Q2" s="142" t="s">
        <v>11</v>
      </c>
      <c r="R2" s="140"/>
      <c r="S2" s="143"/>
      <c r="T2" s="140" t="s">
        <v>12</v>
      </c>
      <c r="U2" s="140"/>
      <c r="V2" s="140"/>
      <c r="W2" s="142" t="s">
        <v>13</v>
      </c>
      <c r="X2" s="140"/>
      <c r="Y2" s="143"/>
      <c r="Z2" s="1"/>
      <c r="AA2" s="1"/>
      <c r="AB2" s="1"/>
      <c r="AC2" s="1"/>
      <c r="AD2" s="1"/>
      <c r="AE2" s="15"/>
      <c r="AF2" s="14"/>
      <c r="AG2" s="14"/>
      <c r="AH2" s="15"/>
      <c r="AI2" s="15"/>
      <c r="AJ2" s="15"/>
      <c r="AK2" s="15"/>
      <c r="AL2" s="15"/>
    </row>
    <row r="3" spans="1:39" ht="26.25">
      <c r="A3" s="1"/>
      <c r="B3" s="2"/>
      <c r="C3" s="96" t="str">
        <f>""</f>
        <v/>
      </c>
      <c r="D3" s="2"/>
      <c r="E3" s="100">
        <f>COUNTA(E9:E200)-E4</f>
        <v>8</v>
      </c>
      <c r="F3" s="97" t="s">
        <v>266</v>
      </c>
      <c r="G3" s="2"/>
      <c r="H3" s="2"/>
      <c r="I3" s="16"/>
      <c r="J3" s="16"/>
      <c r="K3" s="30"/>
      <c r="L3" s="22"/>
      <c r="M3" s="23"/>
      <c r="N3" s="22"/>
      <c r="O3" s="22"/>
      <c r="P3" s="22"/>
      <c r="Q3" s="24"/>
      <c r="R3" s="22"/>
      <c r="S3" s="25"/>
      <c r="T3" s="22"/>
      <c r="U3" s="22"/>
      <c r="V3" s="22"/>
      <c r="W3" s="26"/>
      <c r="X3" s="22"/>
      <c r="Y3" s="25"/>
      <c r="Z3" s="1"/>
      <c r="AA3" s="1"/>
      <c r="AB3" s="1"/>
      <c r="AC3" s="1"/>
      <c r="AD3" s="1"/>
      <c r="AE3" s="15"/>
      <c r="AF3" s="14"/>
      <c r="AG3" s="14"/>
      <c r="AH3" s="15"/>
      <c r="AI3" s="15"/>
      <c r="AJ3" s="15"/>
      <c r="AK3" s="15"/>
      <c r="AL3" s="15"/>
    </row>
    <row r="4" spans="1:39" ht="15.75">
      <c r="A4" s="1"/>
      <c r="B4" s="2"/>
      <c r="C4" s="96"/>
      <c r="D4" s="2"/>
      <c r="E4" s="101">
        <f>COUNTIF($E$9:$E$200,"No")</f>
        <v>20</v>
      </c>
      <c r="F4" s="98"/>
      <c r="G4" s="2"/>
      <c r="H4" s="28"/>
      <c r="I4" s="29"/>
      <c r="J4" s="29"/>
      <c r="K4" s="30"/>
      <c r="L4" s="31"/>
      <c r="M4" s="23"/>
      <c r="N4" s="31"/>
      <c r="O4" s="31"/>
      <c r="P4" s="22"/>
      <c r="Q4" s="21"/>
      <c r="R4" s="2"/>
      <c r="S4" s="25"/>
      <c r="T4" s="22"/>
      <c r="U4" s="22"/>
      <c r="V4" s="22"/>
      <c r="W4" s="26"/>
      <c r="X4" s="22"/>
      <c r="Y4" s="25"/>
      <c r="Z4" s="1"/>
      <c r="AA4" s="1"/>
      <c r="AB4" s="1"/>
      <c r="AC4" s="1"/>
      <c r="AD4" s="1"/>
      <c r="AE4" s="14"/>
      <c r="AF4" s="14"/>
      <c r="AG4" s="14"/>
      <c r="AH4" s="15"/>
      <c r="AI4" s="15"/>
      <c r="AJ4" s="15"/>
      <c r="AK4" s="15"/>
      <c r="AL4" s="15"/>
    </row>
    <row r="5" spans="1:39" ht="21">
      <c r="A5" s="1"/>
      <c r="B5" s="32" t="s">
        <v>14</v>
      </c>
      <c r="C5" s="32" t="s">
        <v>15</v>
      </c>
      <c r="D5" s="2"/>
      <c r="E5" s="32" t="s">
        <v>494</v>
      </c>
      <c r="F5" s="33"/>
      <c r="G5" s="2"/>
      <c r="H5" s="28"/>
      <c r="I5" s="29"/>
      <c r="J5" s="29"/>
      <c r="K5" s="30"/>
      <c r="L5" s="31"/>
      <c r="M5" s="23"/>
      <c r="N5" s="31"/>
      <c r="O5" s="31"/>
      <c r="P5" s="22"/>
      <c r="Q5" s="21"/>
      <c r="R5" s="2"/>
      <c r="S5" s="25"/>
      <c r="T5" s="22"/>
      <c r="U5" s="22"/>
      <c r="V5" s="22"/>
      <c r="W5" s="26"/>
      <c r="X5" s="22"/>
      <c r="Y5" s="25"/>
      <c r="Z5" s="1"/>
      <c r="AA5" s="1"/>
      <c r="AB5" s="1"/>
      <c r="AC5" s="1"/>
      <c r="AD5" s="1"/>
      <c r="AE5" s="14"/>
      <c r="AF5" s="14"/>
      <c r="AG5" s="14"/>
      <c r="AH5" s="15"/>
      <c r="AI5" s="15"/>
      <c r="AJ5" s="15"/>
      <c r="AK5" s="15"/>
      <c r="AL5" s="15"/>
    </row>
    <row r="6" spans="1:39" ht="15.75">
      <c r="A6" s="1"/>
      <c r="B6" s="34" t="s">
        <v>53</v>
      </c>
      <c r="C6" s="17" t="str">
        <f>VLOOKUP(B6,AL:AM,2,0)</f>
        <v>en</v>
      </c>
      <c r="D6" s="2"/>
      <c r="E6" s="35" t="str" cm="1">
        <f t="array" ref="E6">"AL9:"&amp;ADDRESS(_xlfn.AGGREGATE(14, 6, ROW(AL:AL)*(AL:AL&lt;&gt;""), 1), COLUMN(AL:AL))</f>
        <v>AL9:$AL$48</v>
      </c>
      <c r="F6" s="27"/>
      <c r="G6" s="130" t="s">
        <v>674</v>
      </c>
      <c r="H6" s="28"/>
      <c r="I6" s="29"/>
      <c r="J6" s="29"/>
      <c r="K6" s="30"/>
      <c r="L6" s="31"/>
      <c r="M6" s="23"/>
      <c r="N6" s="31"/>
      <c r="O6" s="31"/>
      <c r="P6" s="22"/>
      <c r="Q6" s="21"/>
      <c r="R6" s="2"/>
      <c r="S6" s="25"/>
      <c r="T6" s="22"/>
      <c r="U6" s="22"/>
      <c r="V6" s="22"/>
      <c r="W6" s="26"/>
      <c r="X6" s="22"/>
      <c r="Y6" s="25"/>
      <c r="Z6" s="1"/>
      <c r="AA6" s="1"/>
      <c r="AB6" s="1"/>
      <c r="AC6" s="1"/>
      <c r="AD6" s="1"/>
      <c r="AE6" s="104" t="s">
        <v>17</v>
      </c>
      <c r="AF6" s="15"/>
      <c r="AG6" s="15"/>
      <c r="AH6" s="15"/>
      <c r="AI6" s="15"/>
      <c r="AJ6" s="15"/>
      <c r="AK6" s="15"/>
      <c r="AL6" s="15"/>
    </row>
    <row r="7" spans="1:39">
      <c r="A7" s="1"/>
      <c r="B7" s="2"/>
      <c r="C7" s="96"/>
      <c r="D7" s="2"/>
      <c r="E7" s="20"/>
      <c r="F7" s="36"/>
      <c r="G7" s="36"/>
      <c r="H7" s="37"/>
      <c r="I7" s="28"/>
      <c r="J7" s="28"/>
      <c r="K7" s="31" t="s">
        <v>673</v>
      </c>
      <c r="L7" s="31" t="s">
        <v>673</v>
      </c>
      <c r="M7" s="38"/>
      <c r="N7" s="31" t="s">
        <v>673</v>
      </c>
      <c r="O7" s="31" t="s">
        <v>673</v>
      </c>
      <c r="P7" s="22"/>
      <c r="Q7" s="31" t="s">
        <v>673</v>
      </c>
      <c r="R7" s="31" t="s">
        <v>673</v>
      </c>
      <c r="S7" s="39"/>
      <c r="T7" s="31" t="s">
        <v>673</v>
      </c>
      <c r="U7" s="31" t="s">
        <v>673</v>
      </c>
      <c r="V7" s="22"/>
      <c r="W7" s="31" t="s">
        <v>673</v>
      </c>
      <c r="X7" s="31" t="s">
        <v>673</v>
      </c>
      <c r="Y7" s="39"/>
      <c r="Z7" s="31" t="s">
        <v>673</v>
      </c>
      <c r="AA7" s="31" t="s">
        <v>673</v>
      </c>
      <c r="AB7" s="31" t="s">
        <v>673</v>
      </c>
      <c r="AC7" s="31" t="s">
        <v>673</v>
      </c>
      <c r="AD7" s="31" t="s">
        <v>673</v>
      </c>
      <c r="AE7" s="35" t="str">
        <f>_xlfn.CONCAT(AH9:AH200)</f>
        <v/>
      </c>
      <c r="AF7" s="15"/>
      <c r="AG7" s="15"/>
      <c r="AH7" s="15"/>
      <c r="AI7" s="15"/>
      <c r="AJ7" s="15"/>
      <c r="AK7" s="138" t="s">
        <v>499</v>
      </c>
      <c r="AL7" s="138"/>
      <c r="AM7" s="138"/>
    </row>
    <row r="8" spans="1:39">
      <c r="A8" s="42" t="s">
        <v>19</v>
      </c>
      <c r="B8" s="43">
        <v>0</v>
      </c>
      <c r="C8" s="41" t="s">
        <v>18</v>
      </c>
      <c r="D8" s="43" t="s">
        <v>495</v>
      </c>
      <c r="E8" s="44" t="s">
        <v>20</v>
      </c>
      <c r="F8" s="43" t="s">
        <v>21</v>
      </c>
      <c r="G8" s="42" t="s">
        <v>22</v>
      </c>
      <c r="H8" s="42" t="s">
        <v>23</v>
      </c>
      <c r="I8" s="42" t="s">
        <v>24</v>
      </c>
      <c r="J8" s="42" t="s">
        <v>25</v>
      </c>
      <c r="K8" s="42" t="s">
        <v>26</v>
      </c>
      <c r="L8" s="42" t="s">
        <v>27</v>
      </c>
      <c r="M8" s="42" t="s">
        <v>28</v>
      </c>
      <c r="N8" s="42" t="s">
        <v>29</v>
      </c>
      <c r="O8" s="42" t="s">
        <v>27</v>
      </c>
      <c r="P8" s="42" t="s">
        <v>30</v>
      </c>
      <c r="Q8" s="42" t="s">
        <v>31</v>
      </c>
      <c r="R8" s="42" t="s">
        <v>27</v>
      </c>
      <c r="S8" s="42" t="s">
        <v>32</v>
      </c>
      <c r="T8" s="42" t="s">
        <v>33</v>
      </c>
      <c r="U8" s="42" t="s">
        <v>27</v>
      </c>
      <c r="V8" s="42" t="s">
        <v>34</v>
      </c>
      <c r="W8" s="42" t="s">
        <v>35</v>
      </c>
      <c r="X8" s="42" t="s">
        <v>27</v>
      </c>
      <c r="Y8" s="42" t="s">
        <v>36</v>
      </c>
      <c r="Z8" s="42" t="s">
        <v>37</v>
      </c>
      <c r="AA8" s="42" t="s">
        <v>38</v>
      </c>
      <c r="AB8" s="42" t="s">
        <v>39</v>
      </c>
      <c r="AC8" s="42" t="s">
        <v>40</v>
      </c>
      <c r="AD8" s="42" t="s">
        <v>41</v>
      </c>
      <c r="AE8" s="42" t="s">
        <v>496</v>
      </c>
      <c r="AF8" s="42" t="s">
        <v>497</v>
      </c>
      <c r="AG8" s="42" t="s">
        <v>498</v>
      </c>
      <c r="AH8" s="42" t="s">
        <v>42</v>
      </c>
      <c r="AI8" s="42" t="s">
        <v>43</v>
      </c>
      <c r="AJ8" s="42" t="s">
        <v>501</v>
      </c>
      <c r="AK8" s="42" t="s">
        <v>44</v>
      </c>
      <c r="AL8" s="42" t="s">
        <v>45</v>
      </c>
      <c r="AM8" s="42" t="s">
        <v>15</v>
      </c>
    </row>
    <row r="9" spans="1:39">
      <c r="A9" s="45" t="str" cm="1">
        <f t="array" ref="A9">IF(H9="PROJECT", CHAR(10) &amp; "- " &amp; _xlfn.TEXTJOIN(CHAR(10) &amp; "- ", TRUE, _xlfn._xlws.FILTER($I$9:$I$1000, ($B$9:$B$1000=B9) * ($H$9:$H$1000="Topic"))), "")</f>
        <v/>
      </c>
      <c r="B9" s="45">
        <f>IF(H9="","",IF(AND(H9="Topic",H8="PROJECT"),B8+1,IF(H9="PROJECT",B8,IF(AND(H9="Topic",H8="Topic"),B8,B8+1))))</f>
        <v>1</v>
      </c>
      <c r="C9" s="95">
        <v>15</v>
      </c>
      <c r="D9" s="46">
        <v>4</v>
      </c>
      <c r="E9" s="47" t="s">
        <v>46</v>
      </c>
      <c r="F9" s="48">
        <v>1</v>
      </c>
      <c r="G9" s="49" t="s">
        <v>159</v>
      </c>
      <c r="H9" s="49" t="s">
        <v>48</v>
      </c>
      <c r="I9" s="50" t="s">
        <v>727</v>
      </c>
      <c r="J9" s="51" t="s">
        <v>728</v>
      </c>
      <c r="K9" s="129" t="str">
        <f>IF(H9="Topic",
"[ROLE] Friendly tutor specializing in " &amp; $I$2 &amp; " | " &amp;
"[TOPIC] " &amp; I9 &amp; " | " &amp;
"[LEVEL] " &amp; G9 &amp; " | " &amp;
"[COUNT] " &amp; D9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$C9 &amp; " lines of EXECUTABLE code (STRICT: Do NOT count comments or blank lines). - NEVER exceed this limit. | " &amp;
"[FUNCTION RULE] Rule: " &amp; IF(G9="Beginner","Focus on stateless GenServer callbacks, init/1, handle_call/3, and primitive messaging structures. DO NOT use complex dynamic supervision trees.", IF(G9="Intermediate",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D9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IF(AJ9&lt;&gt;"", AJ9,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IF(H9="PROJECT", Z9, ""))</f>
        <v xml:space="preserve">[ROLE] Friendly tutor specializing in Elixir OTP | [TOPIC] Implement concurrency and manual state management using spawn/1, send/2, receive, and manual recursion state.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 | Stage 1 📖 Practice | Elixir OTP | 📊 Level: Advanced | 🌐 Coding5s.com
**Concept:** Concurrency Refresher &amp; Manual State (spawn/1, send/2, receive, manual recursion state)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9" s="103" t="str">
        <f>IF(OR(H9="Topic", UPPER(H9)="PROJECT"),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IF(UPPER(H9)="PROJECT", "building a PROJECT: " &amp; I9 &amp; ". Topics applied in this project: " &amp; A9 &amp; ". Project objective: " &amp; J9, "learning: " &amp; I9 &amp; ". Topic details: " &amp; J9)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IF(G9="Beginner", "Evaluate basic GenServer state init, handle_call responses, and simple client wrappers. Do NOT expect dynamic supervisors or multi-node distribution unless demanded.", IF(G9="Intermediate",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IF(AJ9&lt;&gt;"", "[MENTOR CONTEXT ALERT] Be aware of the following infrastructure limitation for this exercise: " &amp; AJ9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concurrency and manual state management using spawn/1, send/2, receive, and manual recursion state.. Topic details: Concurrency Refresher &amp; Manual State (spawn/1, send/2, receive, manual recursion state)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 | Practice | Elixir OTP | 📊 Level: Advanced
**Topic:** Implement concurrency and manual state management using spawn/1, send/2, receive, and manual recursion state.
---
 | [FOOTER RULE - STRICT] End your response with: '--- ⚡ *Coding5s Mentor System — Eliminating Epistemic Debt*' | </v>
      </c>
      <c r="M9" s="52">
        <v>0</v>
      </c>
      <c r="N9" s="102" t="str">
        <f>IF(H9="Topic",
"[ROLE] Careless " &amp; $I$2 &amp; " Developer | " &amp;
"[TASK] Generate debugging challenges in " &amp; $I$2 &amp; " | | " &amp;
"[TOPIC] " &amp; I9 &amp; " | | " &amp;
"[LEVEL] " &amp; G9 &amp; "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IF(G9="Beginner", "5–15", IF(G9="Intermediate",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D9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IF(H9="PROJECT", AA9, ""))</f>
        <v>[ROLE] Careless Elixir OTP Developer | [TASK] Generate debugging challenges in Elixir OTP | | [TOPIC] Implement concurrency and manual state management using spawn/1, send/2, receive, and manual recursion state.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 | Stage 2 🐛 Debug | Elixir OTP | 📊 Level: Advanced | 🌐 Coding5s.com
Concept: Concurrency Refresher &amp; Manual State (spawn/1, send/2, receive, manual recursion state)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9" s="103" t="str">
        <f>IF(OR(H9="Topic", UPPER(H9)="PROJECT"),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IF(UPPER(H9)="PROJECT", "PROJECT: " &amp; I9 &amp; ". Topics involved: " &amp; A9 &amp; ". Project objective: " &amp; J9, "TOPIC: " &amp; I9 &amp; ". Topic details: " &amp; J9)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concurrency and manual state management using spawn/1, send/2, receive, and manual recursion state.. Topic details: Concurrency Refresher &amp; Manual State (spawn/1, send/2, receive, manual recursion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 | Debug | Elixir OTP | 📊 Level: Advanced
**Topic:** Implement concurrency and manual state management using spawn/1, send/2, receive, and manual recursion state.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9" s="53">
        <v>0</v>
      </c>
      <c r="Q9" s="102" t="str">
        <f>IF(H9="Topic",
"[ROLE] Tech Lead | " &amp;
"[TASK] Assign incomplete " &amp; $I$2 &amp; " script challenges | " &amp;
"[TOPIC] " &amp; I9 &amp; " | " &amp;
"[LEVEL] " &amp; G9 &amp; " | " &amp;
"[COUNT] " &amp; D9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IF(G9="Beginner","5–15", IF(G9="Intermediate","10–25","15–35"))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D9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I9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IF(G9="Beginner", "Clear explicit hint (no code) | ", IF(G9="Intermediate",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IF(H9="PROJECT", AB9, ""))</f>
        <v>[ROLE] Tech Lead | [TASK] Assign incomplete Elixir OTP script challenges | [TOPIC] Implement concurrency and manual state management using spawn/1, send/2, receive, and manual recursion state.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 | Stage 3 🧩 Complete | Elixir OTP | 📊 Level: Advanced | 🌐 Coding5s.com
**Concept:** Concurrency Refresher &amp; Manual State (spawn/1, send/2, receive, manual recursion state)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concurrency and manual state management using spawn/1, send/2, receive, and manual recursion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9" s="103" t="str">
        <f>IF(OR(H9="Topic", UPPER(H9)="PROJECT"),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IF(UPPER(H9)="PROJECT", "PROJECT: " &amp; I9 &amp; ". Topics involved: " &amp; A9 &amp; ". Project objective: " &amp; J9, "TOPIC: " &amp; I9 &amp; ". Topic details: " &amp; J9)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concurrency and manual state management using spawn/1, send/2, receive, and manual recursion state.. Topic details: Concurrency Refresher &amp; Manual State (spawn/1, send/2, receive, manual recursion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 | Complete | Elixir OTP | 📊 Level: Advanced
**Topic:** Implement concurrency and manual state management using spawn/1, send/2, receive, and manual recursion state.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9" s="53">
        <v>0</v>
      </c>
      <c r="T9" s="102" t="str">
        <f>IF(H9="Topic",
"[ROLE] Tech Lead | " &amp;
"[TASK] Provide intentionally messy but functional code for learning debugging and improvement | " &amp;
"[TOPIC] " &amp; I9 &amp; " | " &amp;
"[LEVEL] " &amp; G9 &amp; " | " &amp;
"[COUNT] " &amp; D9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D9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IF(H9="PROJECT", AC9, ""))</f>
        <v>[ROLE] Tech Lead | [TASK] Provide intentionally messy but functional code for learning debugging and improvement | [TOPIC] Implement concurrency and manual state management using spawn/1, send/2, receive, and manual recursion state.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 | Stage 4 🧹 Refactor | Elixir OTP | 📊 Level: Advanced | 🌐 Coding5s.com
**Concept:** Concurrency Refresher &amp; Manual State (spawn/1, send/2, receive, manual recursion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9" s="103" t="str">
        <f>IF(OR(H9="Topic", UPPER(H9)="PROJECT"),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IF(UPPER(H9)="PROJECT", "PROJECT: " &amp; I9 &amp; ". Topics involved: " &amp; A9 &amp; ". Project objective: " &amp; J9, "TOPIC: " &amp; I9 &amp; ". Topic details: " &amp; J9)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concurrency and manual state management using spawn/1, send/2, receive, and manual recursion state.. Topic details: Concurrency Refresher &amp; Manual State (spawn/1, send/2, receive, manual recursion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 | Refactor | Elixir OTP | 📊 Level: Advanced
**Topic:** Implement concurrency and manual state management using spawn/1, send/2, receive, and manual recursion state.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9" s="53">
        <v>0</v>
      </c>
      <c r="W9" s="87" t="str">
        <f>IF(H9="Topic",
"[ROLE] Tech Product Manager assigning a " &amp; $I$2 &amp; " Jira Ticket | " &amp;
"[TASK] Provide a guided implementation exercise with full solution for learning purposes | " &amp;
"[TOPIC] " &amp; I9 &amp; " | " &amp;
"[LEVEL] " &amp; G9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
"[FUNCTIONAL_STRUCTURE_POLICY] Rule: " &amp; IF(G9="Beginner", "Use simple scripts or minimal functions. ", IF(G9="Intermediate",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IF(G9="Beginner", "10–20", IF(G9="Intermediate", "15–30", "25–40")) &amp; " lines of EXECUTABLE code (STRICT) - V1.1 MUST be between " &amp; IF(G9="Beginner", "15–30", IF(G9="Intermediate",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IF(H9="PROJECT", AD9, ""))</f>
        <v>[ROLE] Tech Product Manager assigning a Elixir OTP Jira Ticket | [TASK] Provide a guided implementation exercise with full solution for learning purposes | [TOPIC] Implement concurrency and manual state management using spawn/1, send/2, receive, and manual recursion state.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 | Stage 5 | Elixir OTP | 📊 Level: Advanced | 🌐 Coding5s.com
**Concept:** Concurrency Refresher &amp; Manual State (spawn/1, send/2, receive, manual recursion state)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9" s="103" t="str">
        <f>IF(OR(H9="Topic", UPPER(H9)="PROJECT"),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IF(UPPER(H9)="PROJECT", "PROJECT: " &amp; I9 &amp; ". Topics integrated: " &amp; A9 &amp; ". Business Goal: " &amp; J9, "TOPIC: " &amp; I9 &amp; ". Goal: " &amp; J9)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concurrency and manual state management using spawn/1, send/2, receive, and manual recursion state.. Goal: Concurrency Refresher &amp; Manual State (spawn/1, send/2, receive, manual recursion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 | Extend | Elixir OTP | 📊 Level: Advanced
**Topic:** Implement concurrency and manual state management using spawn/1, send/2, receive, and manual recursion state.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9" s="53">
        <v>0</v>
      </c>
      <c r="Z9" s="56" t="str">
        <f>IF(H9&lt;&gt;"PROJECT","",
"[TASK] Teach through a practical " &amp; $I$2 &amp; " - " &amp; $I$3 &amp; " project following the micro-learning methodology, acting as a supportive tutor, creating a project about  " &amp; I9 &amp; " | " &amp;
"[TOPICS USED] " &amp; A9 &amp; " | " &amp;
"[LEVEL] " &amp; G9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IF(G9="Beginner", "25–40", IF(G9="Intermediate",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9" s="56" t="str">
        <f>IF(H9&lt;&gt;"PROJECT","",
"[ROLE] Careless " &amp; $I$2 &amp; " Developer | " &amp;
"[TASK] Generate debugging project in " &amp; $I$2 &amp; " | " &amp;
"[PROJECT] " &amp; I9 &amp; " | " &amp;
"[TOPICS USED] " &amp; A9 &amp; " | " &amp;
"[LEVEL] " &amp; G9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IF(G9="Beginner", "25–40", IF(G9="Intermediate", "30–60", "40–100")) &amp; " lines of EXECUTABLE code (STRICT: Do NOT count blank lines towards this limit) - Multi-step flow - 2–4 functions ONLY - main() as entry point " &amp; IF(G9&lt;&gt;"Advanced",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9" s="56" t="str">
        <f>IF(H9&lt;&gt;"PROJECT","",
"[ROLE] Tech Lead | " &amp;
"[TASK] Assign incomplete project script | " &amp;
"[PROJECT] " &amp; I9 &amp; " | " &amp;
"[TOPICS USED] " &amp; A9 &amp; " | " &amp;
"[LEVEL] " &amp; G9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IF(G9="Beginner","25–40", IF(G9="Intermediate","30–60","40–100"))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9" s="56" t="str">
        <f>IF(H9&lt;&gt;"PROJECT","",
"[ROLE] Tech Lead | " &amp;
"[TASK] Provide a messy but functional project for refactoring | " &amp;
"[PROJECT] " &amp; I9 &amp; " | " &amp;
"[TOPICS USED] " &amp; A9 &amp; " | " &amp;
"[LEVEL] " &amp; G9 &amp; " | " &amp;
"[PERSONA RULE] Act as a Tech Lead. A junior wrote this working but messy code. Tone: professional but exhausted | " &amp;
"[HEADER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IF(G9="Beginner", "25–40", IF(G9="Intermediate",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9" s="56" t="str">
        <f>IF(H9&lt;&gt;"PROJECT","",
"[ROLE] Tech Product Manager assigning a " &amp; $I$2 &amp; " Jira Ticket | " &amp;
"[TASK] Provide a guided project implementation with full solution | " &amp;
"[PROJECT] " &amp; I9 &amp; " | " &amp;
"[TOPICS USED] " &amp; A9 &amp; " | " &amp;
"[LEVEL] " &amp; G9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IF(G9="Beginner", "Avoid complex structure. ", IF(G9="Intermediate",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9" s="55" t="s">
        <v>49</v>
      </c>
      <c r="AF9" s="55" t="s">
        <v>50</v>
      </c>
      <c r="AG9" s="55" t="s">
        <v>51</v>
      </c>
      <c r="AH9" s="56" t="str">
        <f t="shared" ref="AH9:AH40" si="0">IF(AE9=$B$6,AG9,"")</f>
        <v/>
      </c>
      <c r="AI9" s="54" t="s">
        <v>52</v>
      </c>
      <c r="AJ9" s="54"/>
      <c r="AK9" s="54">
        <v>1</v>
      </c>
      <c r="AL9" s="54" t="s">
        <v>53</v>
      </c>
      <c r="AM9" s="54" t="s">
        <v>54</v>
      </c>
    </row>
    <row r="10" spans="1:39">
      <c r="A10" s="45" t="str" cm="1">
        <f t="array" ref="A10">IF(H10="PROJECT", CHAR(10) &amp; "- " &amp; _xlfn.TEXTJOIN(CHAR(10) &amp; "- ", TRUE, _xlfn._xlws.FILTER($I$9:$I$1000, ($B$9:$B$1000=B10) * ($H$9:$H$1000="Topic"))), "")</f>
        <v/>
      </c>
      <c r="B10" s="45">
        <f t="shared" ref="B10:B73" si="1">IF(H10="","",IF(AND(H10="Topic",H9="PROJECT"),B9+1,IF(H10="PROJECT",B9,IF(AND(H10="Topic",H9="Topic"),B9,B9+1))))</f>
        <v>1</v>
      </c>
      <c r="C10" s="95">
        <v>15</v>
      </c>
      <c r="D10" s="57">
        <v>4</v>
      </c>
      <c r="E10" s="58" t="s">
        <v>46</v>
      </c>
      <c r="F10" s="59">
        <v>2</v>
      </c>
      <c r="G10" s="60" t="s">
        <v>159</v>
      </c>
      <c r="H10" s="60" t="s">
        <v>48</v>
      </c>
      <c r="I10" s="61" t="s">
        <v>729</v>
      </c>
      <c r="J10" s="62" t="s">
        <v>730</v>
      </c>
      <c r="K10" s="129" t="str">
        <f t="shared" ref="K10:K73" si="2">IF(H10="Topic",
"[ROLE] Friendly tutor specializing in " &amp; $I$2 &amp; " | " &amp;
"[TOPIC] " &amp; I10 &amp; " | " &amp;
"[LEVEL] " &amp; G10 &amp; " | " &amp;
"[COUNT] " &amp; D10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$C10 &amp; " lines of EXECUTABLE code (STRICT: Do NOT count comments or blank lines). - NEVER exceed this limit. | " &amp;
"[FUNCTION RULE] Rule: " &amp; IF(G10="Beginner","Focus on stateless GenServer callbacks, init/1, handle_call/3, and primitive messaging structures. DO NOT use complex dynamic supervision trees.", IF(G10="Intermediate",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F10 &amp; " | Stage 1 📖 Practice | " &amp; IF($I$3="", $I$2, $I$2&amp; " - " &amp;$I$3) &amp; " | 📊 Level: " &amp; G10 &amp; " | 🌐 Coding5s.com" &amp; CHAR(10) &amp; "**Concept:** " &amp; J10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D10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IF(AJ10&lt;&gt;"", AJ10,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IF(H10="PROJECT", Z10, ""))</f>
        <v xml:space="preserve">[ROLE] Friendly tutor specializing in Elixir OTP | [TOPIC] Manage manual monitoring and exits using Process.link/1, Process.monitor/1, and Process.flag/2 with :trap_exit.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 | Stage 1 📖 Practice | Elixir OTP | 📊 Level: Advanced | 🌐 Coding5s.com
**Concept:** Manual Monitoring &amp; Exits (Process.link/1, Process.monitor/1, Process.flag/2 with :trap_exit)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0" s="103" t="str">
        <f t="shared" ref="L10:L73" si="3">IF(OR(H10="Topic", UPPER(H10)="PROJECT"),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IF(UPPER(H10)="PROJECT", "building a PROJECT: " &amp; I10 &amp; ". Topics applied in this project: " &amp; A10 &amp; ". Project objective: " &amp; J10, "learning: " &amp; I10 &amp; ". Topic details: " &amp; J10)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IF(G10="Beginner", "Evaluate basic GenServer state init, handle_call responses, and simple client wrappers. Do NOT expect dynamic supervisors or multi-node distribution unless demanded.", IF(G10="Intermediate",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IF(AJ10&lt;&gt;"", "[MENTOR CONTEXT ALERT] Be aware of the following infrastructure limitation for this exercise: " &amp; AJ10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IF(UPPER(H10)="PROJECT",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IF(UPPER(H10)="PROJECT",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IF(UPPER(H10)="PROJECT", "Project #", "Topic #") &amp; F10 &amp; " | Practice | " &amp; IF($I$3="", $I$2, $I$2&amp; " - " &amp;$I$3) &amp; " | 📊 Level: " &amp; G10 &amp; CHAR(10) &amp; "**" &amp; IF(UPPER(H10)="PROJECT", "Project", "Topic") &amp; ":** " &amp; I10 &amp; CHAR(10) &amp; "---" &amp; CHAR(10) &amp; " | " &amp;
"[FOOTER RULE - STRICT] End your response with: '--- ⚡ *Coding5s Mentor System — Eliminating Epistemic Debt*' | ","")</f>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manual monitoring and exits using Process.link/1, Process.monitor/1, and Process.flag/2 with :trap_exit.. Topic details: Manual Monitoring &amp; Exits (Process.link/1, Process.monitor/1, Process.flag/2 with :trap_exit)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 | Practice | Elixir OTP | 📊 Level: Advanced
**Topic:** Manage manual monitoring and exits using Process.link/1, Process.monitor/1, and Process.flag/2 with :trap_exit.
---
 | [FOOTER RULE - STRICT] End your response with: '--- ⚡ *Coding5s Mentor System — Eliminating Epistemic Debt*' | </v>
      </c>
      <c r="M10" s="52">
        <v>0</v>
      </c>
      <c r="N10" s="102" t="str">
        <f t="shared" ref="N10:N73" si="4">IF(H10="Topic",
"[ROLE] Careless " &amp; $I$2 &amp; " Developer | " &amp;
"[TASK] Generate debugging challenges in " &amp; $I$2 &amp; " | | " &amp;
"[TOPIC] " &amp; I10 &amp; " | | " &amp;
"[LEVEL] " &amp; G10 &amp; "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F10 &amp; " | Stage 2 🐛 Debug | " &amp; IF($I$3="", $I$2, $I$2&amp; " - " &amp;$I$3) &amp; " | 📊 Level: " &amp; G10 &amp; " | 🌐 Coding5s.com" &amp; CHAR(10) &amp; "Concept: " &amp; J10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IF(G10="Beginner", "5–15", IF(G10="Intermediate",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D10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IF(H10="PROJECT", AA10, ""))</f>
        <v>[ROLE] Careless Elixir OTP Developer | [TASK] Generate debugging challenges in Elixir OTP | | [TOPIC] Manage manual monitoring and exits using Process.link/1, Process.monitor/1, and Process.flag/2 with :trap_exit.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 | Stage 2 🐛 Debug | Elixir OTP | 📊 Level: Advanced | 🌐 Coding5s.com
Concept: Manual Monitoring &amp; Exits (Process.link/1, Process.monitor/1, Process.flag/2 with :trap_exit)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0" s="103" t="str">
        <f t="shared" ref="O10:O73" si="5">IF(OR(H10="Topic", UPPER(H10)="PROJECT"),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IF(UPPER(H10)="PROJECT", "PROJECT: " &amp; I10 &amp; ". Topics involved: " &amp; A10 &amp; ". Project objective: " &amp; J10, "TOPIC: " &amp; I10 &amp; ". Topic details: " &amp; J10)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IF(UPPER(H10)="PROJECT", "Project #", "Topic #") &amp; F10 &amp; " | Debug | " &amp; IF($I$3="", $I$2, $I$2&amp; " - " &amp;$I$3) &amp; " | 📊 Level: " &amp; G10 &amp; CHAR(10) &amp; "**" &amp; IF(UPPER(H10)="PROJECT", "Project", "Topic") &amp; ":** " &amp; I10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manual monitoring and exits using Process.link/1, Process.monitor/1, and Process.flag/2 with :trap_exit.. Topic details: Manual Monitoring &amp; Exits (Process.link/1, Process.monitor/1, Process.flag/2 with :trap_exit)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 | Debug | Elixir OTP | 📊 Level: Advanced
**Topic:** Manage manual monitoring and exits using Process.link/1, Process.monitor/1, and Process.flag/2 with :trap_exit.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0" s="52">
        <v>0</v>
      </c>
      <c r="Q10" s="102" t="str">
        <f t="shared" ref="Q10:Q73" si="6">IF(H10="Topic",
"[ROLE] Tech Lead | " &amp;
"[TASK] Assign incomplete " &amp; $I$2 &amp; " script challenges | " &amp;
"[TOPIC] " &amp; I10 &amp; " | " &amp;
"[LEVEL] " &amp; G10 &amp; " | " &amp;
"[COUNT] " &amp; D10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F10 &amp; " | Stage 3 🧩 Complete | " &amp; IF($I$3="", $I$2, $I$2&amp; " - " &amp;$I$3) &amp; " | 📊 Level: " &amp; G10 &amp; " | 🌐 Coding5s.com" &amp; CHAR(10) &amp; "**Concept:** " &amp; J10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IF(G10="Beginner","5–15", IF(G10="Intermediate","10–25","15–35"))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D10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I10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IF(G10="Beginner", "Clear explicit hint (no code) | ", IF(G10="Intermediate",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IF(H10="PROJECT", AB10, ""))</f>
        <v>[ROLE] Tech Lead | [TASK] Assign incomplete Elixir OTP script challenges | [TOPIC] Manage manual monitoring and exits using Process.link/1, Process.monitor/1, and Process.flag/2 with :trap_exit.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 | Stage 3 🧩 Complete | Elixir OTP | 📊 Level: Advanced | 🌐 Coding5s.com
**Concept:** Manual Monitoring &amp; Exits (Process.link/1, Process.monitor/1, Process.flag/2 with :trap_exit)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manual monitoring and exits using Process.link/1, Process.monitor/1, and Process.flag/2 with :trap_exit..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0" s="103" t="str">
        <f t="shared" ref="R10:R73" si="7">IF(OR(H10="Topic", UPPER(H10)="PROJECT"),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IF(UPPER(H10)="PROJECT", "PROJECT: " &amp; I10 &amp; ". Topics involved: " &amp; A10 &amp; ". Project objective: " &amp; J10, "TOPIC: " &amp; I10 &amp; ". Topic details: " &amp; J10)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IF(UPPER(H10)="PROJECT", "Project #", "Topic #") &amp; F10 &amp; " | Complete | " &amp; IF($I$3="", $I$2, $I$2&amp; " - " &amp;$I$3) &amp; " | 📊 Level: " &amp; G10 &amp; CHAR(10) &amp; "**" &amp; IF(UPPER(H10)="PROJECT", "Project", "Topic") &amp; ":** " &amp; I10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manual monitoring and exits using Process.link/1, Process.monitor/1, and Process.flag/2 with :trap_exit.. Topic details: Manual Monitoring &amp; Exits (Process.link/1, Process.monitor/1, Process.flag/2 with :trap_exit)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 | Complete | Elixir OTP | 📊 Level: Advanced
**Topic:** Manage manual monitoring and exits using Process.link/1, Process.monitor/1, and Process.flag/2 with :trap_exit.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0" s="52">
        <v>0</v>
      </c>
      <c r="T10" s="102" t="str">
        <f t="shared" ref="T10:T73" si="8">IF(H10="Topic",
"[ROLE] Tech Lead | " &amp;
"[TASK] Provide intentionally messy but functional code for learning debugging and improvement | " &amp;
"[TOPIC] " &amp; I10 &amp; " | " &amp;
"[LEVEL] " &amp; G10 &amp; " | " &amp;
"[COUNT] " &amp; D10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F10 &amp; " | Stage 4 🧹 Refactor | " &amp; IF($I$3="", $I$2, $I$2&amp; " - " &amp;$I$3) &amp; " | 📊 Level: " &amp; G10 &amp; " | 🌐 Coding5s.com" &amp; CHAR(10) &amp; "**Concept:** " &amp; J10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D10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IF(G10="Beginner", "5–15", IF(G10="Intermediate",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IF(H10="PROJECT", AC10, ""))</f>
        <v>[ROLE] Tech Lead | [TASK] Provide intentionally messy but functional code for learning debugging and improvement | [TOPIC] Manage manual monitoring and exits using Process.link/1, Process.monitor/1, and Process.flag/2 with :trap_exit.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 | Stage 4 🧹 Refactor | Elixir OTP | 📊 Level: Advanced | 🌐 Coding5s.com
**Concept:** Manual Monitoring &amp; Exits (Process.link/1, Process.monitor/1, Process.flag/2 with :trap_exit)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0" s="103" t="str">
        <f t="shared" ref="U10:U73" si="9">IF(OR(H10="Topic", UPPER(H10)="PROJECT"),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IF(UPPER(H10)="PROJECT", "PROJECT: " &amp; I10 &amp; ". Topics involved: " &amp; A10 &amp; ". Project objective: " &amp; J10, "TOPIC: " &amp; I10 &amp; ". Topic details: " &amp; J10)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IF(UPPER(H10)="PROJECT", "Project #", "Topic #") &amp; F10 &amp; " | Refactor | " &amp; IF($I$3="", $I$2, $I$2&amp; " - " &amp;$I$3) &amp; " | 📊 Level: " &amp; G10 &amp; CHAR(10) &amp; "**" &amp; IF(UPPER(H10)="PROJECT", "Project", "Topic") &amp; ":** " &amp; I10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manual monitoring and exits using Process.link/1, Process.monitor/1, and Process.flag/2 with :trap_exit.. Topic details: Manual Monitoring &amp; Exits (Process.link/1, Process.monitor/1, Process.flag/2 with :trap_exit)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 | Refactor | Elixir OTP | 📊 Level: Advanced
**Topic:** Manage manual monitoring and exits using Process.link/1, Process.monitor/1, and Process.flag/2 with :trap_exit.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0" s="52">
        <v>0</v>
      </c>
      <c r="W10" s="87" t="str">
        <f t="shared" ref="W10:W73" si="10">IF(H10="Topic",
"[ROLE] Tech Product Manager assigning a " &amp; $I$2 &amp; " Jira Ticket | " &amp;
"[TASK] Provide a guided implementation exercise with full solution for learning purposes | " &amp;
"[TOPIC] " &amp; I10 &amp; " | " &amp;
"[LEVEL] " &amp; G10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F10 &amp; " | Stage 5 | " &amp; IF($I$3="", $I$2, $I$2&amp; " - " &amp;$I$3) &amp; " | 📊 Level: " &amp; G10 &amp; " | 🌐 Coding5s.com" &amp; CHAR(10) &amp; "**Concept:** " &amp; J10 &amp; CHAR(10) &amp; "---" &amp; CHAR(10) &amp; " | " &amp;
"[FUNCTIONAL_STRUCTURE_POLICY] Rule: " &amp; IF(G10="Beginner", "Use simple scripts or minimal functions. ", IF(G10="Intermediate",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IF(G10="Beginner", "10–20", IF(G10="Intermediate", "15–30", "25–40")) &amp; " lines of EXECUTABLE code (STRICT) - V1.1 MUST be between " &amp; IF(G10="Beginner", "15–30", IF(G10="Intermediate",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IF(H10="PROJECT", AD10, ""))</f>
        <v>[ROLE] Tech Product Manager assigning a Elixir OTP Jira Ticket | [TASK] Provide a guided implementation exercise with full solution for learning purposes | [TOPIC] Manage manual monitoring and exits using Process.link/1, Process.monitor/1, and Process.flag/2 with :trap_exit.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 | Stage 5 | Elixir OTP | 📊 Level: Advanced | 🌐 Coding5s.com
**Concept:** Manual Monitoring &amp; Exits (Process.link/1, Process.monitor/1, Process.flag/2 with :trap_exit)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0" s="103" t="str">
        <f t="shared" ref="X10:X73" si="11">IF(OR(H10="Topic", UPPER(H10)="PROJECT"),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IF(UPPER(H10)="PROJECT", "PROJECT: " &amp; I10 &amp; ". Topics integrated: " &amp; A10 &amp; ". Business Goal: " &amp; J10, "TOPIC: " &amp; I10 &amp; ". Goal: " &amp; J10)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IF(UPPER(H10)="PROJECT", "Project #", "Topic #") &amp; F10 &amp; " | Extend | " &amp; IF($I$3="", $I$2, $I$2&amp; " - " &amp;$I$3) &amp; " | 📊 Level: " &amp; G10 &amp; CHAR(10) &amp; "**" &amp; IF(UPPER(H10)="PROJECT", "Project", "Topic") &amp; ":** " &amp; I10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manual monitoring and exits using Process.link/1, Process.monitor/1, and Process.flag/2 with :trap_exit.. Goal: Manual Monitoring &amp; Exits (Process.link/1, Process.monitor/1, Process.flag/2 with :trap_exit)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 | Extend | Elixir OTP | 📊 Level: Advanced
**Topic:** Manage manual monitoring and exits using Process.link/1, Process.monitor/1, and Process.flag/2 with :trap_exit.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0" s="52">
        <v>0</v>
      </c>
      <c r="Z10" s="56" t="str">
        <f t="shared" ref="Z10:Z73" si="12">IF(H10&lt;&gt;"PROJECT","",
"[TASK] Teach through a practical " &amp; $I$2 &amp; " - " &amp; $I$3 &amp; " project following the micro-learning methodology, acting as a supportive tutor, creating a project about  " &amp; I10 &amp; " | " &amp;
"[TOPICS USED] " &amp; A10 &amp; " | " &amp;
"[LEVEL] " &amp; G10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IF(G10="Beginner", "25–40", IF(G10="Intermediate",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F10 &amp; " | Stage 1 | " &amp; IF($I$3="", $I$2, $I$2&amp; " - " &amp;$I$3) &amp; " | 📊 Level: " &amp; G10 &amp; " | 🌐 Coding5s.com" &amp; CHAR(10) &amp; "**Project:** " &amp; J10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0" s="56" t="str">
        <f t="shared" ref="AA10:AA73" si="13">IF(H10&lt;&gt;"PROJECT","",
"[ROLE] Careless " &amp; $I$2 &amp; " Developer | " &amp;
"[TASK] Generate debugging project in " &amp; $I$2 &amp; " | " &amp;
"[PROJECT] " &amp; I10 &amp; " | " &amp;
"[TOPICS USED] " &amp; A10 &amp; " | " &amp;
"[LEVEL] " &amp; G10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F10 &amp; " | Stage 2 | " &amp; IF($I$3="", $I$2, $I$2&amp; " - " &amp;$I$3) &amp; " | 📊 Level: " &amp; G10 &amp; " | 🌐 Coding5s.com" &amp; CHAR(10) &amp; "Project: " &amp; J10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AE8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IF(G10="Beginner", "25–40", IF(G10="Intermediate", "30–60", "40–100")) &amp; " lines of EXECUTABLE code (STRICT: Do NOT count blank lines towards this limit) - Multi-step flow - 2–4 functions ONLY - main() as entry point " &amp; IF(G10&lt;&gt;"Advanced",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0" s="56" t="str">
        <f t="shared" ref="AB10:AB73" si="14">IF(H10&lt;&gt;"PROJECT","",
"[ROLE] Tech Lead | " &amp;
"[TASK] Assign incomplete project script | " &amp;
"[PROJECT] " &amp; I10 &amp; " | " &amp;
"[TOPICS USED] " &amp; A10 &amp; " | " &amp;
"[LEVEL] " &amp; G10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F10 &amp; " | Stage 3 | " &amp; IF($I$3="", $I$2, $I$2&amp; " - " &amp;$I$3) &amp; " | 📊 Level: " &amp; G10 &amp; " | 🌐 Coding5s.com" &amp; CHAR(10) &amp; "**Project:** " &amp; J10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IF(G10="Beginner","25–40", IF(G10="Intermediate","30–60","40–100"))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0" s="56" t="str">
        <f t="shared" ref="AC10:AC73" si="15">IF(H10&lt;&gt;"PROJECT","",
"[ROLE] Tech Lead | " &amp;
"[TASK] Provide a messy but functional project for refactoring | " &amp;
"[PROJECT] " &amp; I10 &amp; " | " &amp;
"[TOPICS USED] " &amp; A10 &amp; " | " &amp;
"[LEVEL] " &amp; G10 &amp; " | " &amp;
"[PERSONA RULE] Act as a Tech Lead. A junior wrote this working but messy code. Tone: professional but exhausted | " &amp;
"[HEADER RULE - STRICT] You MUST start your entire response EXACTLY with this markdown block (do not print anything before it):" &amp; CHAR(10) &amp; "### 🚀 Project #" &amp; F10 &amp; " | Stage 4 | " &amp; IF($I$3="", $I$2, $I$2&amp; " - " &amp;$I$3) &amp; " | 📊 Level: " &amp; G10 &amp; " | 🌐 Coding5s.com" &amp; CHAR(10) &amp; "**Project:** " &amp; J10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IF(G10="Beginner", "25–40", IF(G10="Intermediate",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0" s="56" t="str">
        <f t="shared" ref="AD10:AD73" si="16">IF(H10&lt;&gt;"PROJECT","",
"[ROLE] Tech Product Manager assigning a " &amp; $I$2 &amp; " Jira Ticket | " &amp;
"[TASK] Provide a guided project implementation with full solution | " &amp;
"[PROJECT] " &amp; I10 &amp; " | " &amp;
"[TOPICS USED] " &amp; A10 &amp; " | " &amp;
"[LEVEL] " &amp; G10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F10 &amp; " | Stage 5 | " &amp; IF($I$3="", $I$2, $I$2&amp; " - " &amp;$I$3) &amp; " | 📊 Level: " &amp; G10 &amp; " | 🌐 Coding5s.com" &amp; CHAR(10) &amp; "**Project:** " &amp; J10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IF(G10="Beginner", "20–35", IF(G10="Intermediate", "30–50", "45–70")) &amp; " lines of EXECUTABLE code (STRICT) - V1.1 MUST be between " &amp; IF(G10="Beginner", "30–50", IF(G10="Intermediate",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IF(G10="Beginner", "Avoid complex structure. ", IF(G10="Intermediate",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0" s="55" t="s">
        <v>55</v>
      </c>
      <c r="AF10" s="55" t="s">
        <v>56</v>
      </c>
      <c r="AG10" s="55" t="s">
        <v>57</v>
      </c>
      <c r="AH10" s="56" t="str">
        <f t="shared" si="0"/>
        <v/>
      </c>
      <c r="AI10" s="54" t="s">
        <v>58</v>
      </c>
      <c r="AJ10" s="54"/>
      <c r="AK10" s="54">
        <v>2</v>
      </c>
      <c r="AL10" s="54" t="s">
        <v>16</v>
      </c>
      <c r="AM10" s="54" t="s">
        <v>59</v>
      </c>
    </row>
    <row r="11" spans="1:39">
      <c r="A11" s="45" t="str" cm="1">
        <f t="array" ref="A11">IF(H11="PROJECT", CHAR(10) &amp; "- " &amp; _xlfn.TEXTJOIN(CHAR(10) &amp; "- ", TRUE, _xlfn._xlws.FILTER($I$9:$I$1000, ($B$9:$B$1000=B11) * ($H$9:$H$1000="Topic"))), "")</f>
        <v/>
      </c>
      <c r="B11" s="45">
        <f t="shared" si="1"/>
        <v>1</v>
      </c>
      <c r="C11" s="95">
        <v>20</v>
      </c>
      <c r="D11" s="46">
        <v>4</v>
      </c>
      <c r="E11" s="58" t="s">
        <v>46</v>
      </c>
      <c r="F11" s="48">
        <v>3</v>
      </c>
      <c r="G11" s="49" t="s">
        <v>159</v>
      </c>
      <c r="H11" s="49" t="s">
        <v>48</v>
      </c>
      <c r="I11" s="50" t="s">
        <v>731</v>
      </c>
      <c r="J11" s="51" t="s">
        <v>732</v>
      </c>
      <c r="K11" s="129" t="str">
        <f t="shared" si="2"/>
        <v xml:space="preserve">[ROLE] Friendly tutor specializing in Elixir OTP | [TOPIC] Create OTP behaviours and implement inversion of control utilizing @behaviour, @callback, behaviour modules, and callback-driven architecture.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#3 | Stage 1 📖 Practice | Elixir OTP | 📊 Level: Advanced | 🌐 Coding5s.com
**Concept:** OTP Behaviours &amp; Inversion of Control (@behaviour, @callback, behaviour modules, callback-driven architecture)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1"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Create OTP behaviours and implement inversion of control utilizing @behaviour, @callback, behaviour modules, and callback-driven architecture.. Topic details: OTP Behaviours &amp; Inversion of Control (@behaviour, @callback, behaviour modules, callback-driven architecture)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#3 | Practice | Elixir OTP | 📊 Level: Advanced
**Topic:** Create OTP behaviours and implement inversion of control utilizing @behaviour, @callback, behaviour modules, and callback-driven architecture.
---
 | [FOOTER RULE - STRICT] End your response with: '--- ⚡ *Coding5s Mentor System — Eliminating Epistemic Debt*' | </v>
      </c>
      <c r="M11" s="52">
        <v>0</v>
      </c>
      <c r="N11" s="102" t="str">
        <f t="shared" si="4"/>
        <v>[ROLE] Careless Elixir OTP Developer | [TASK] Generate debugging challenges in Elixir OTP | | [TOPIC] Create OTP behaviours and implement inversion of control utilizing @behaviour, @callback, behaviour modules, and callback-driven architecture.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#3 | Stage 2 🐛 Debug | Elixir OTP | 📊 Level: Advanced | 🌐 Coding5s.com
Concept: OTP Behaviours &amp; Inversion of Control (@behaviour, @callback, behaviour modules, callback-driven architecture)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1"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#3 | Debug | Elixir OTP | 📊 Level: Advanced
**Topic:** Create OTP behaviours and implement inversion of control utilizing @behaviour, @callback, behaviour modules, and callback-driven architecture.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1" s="53">
        <v>0</v>
      </c>
      <c r="Q11" s="102" t="str">
        <f t="shared" si="6"/>
        <v>[ROLE] Tech Lead | [TASK] Assign incomplete Elixir OTP script challenges | [TOPIC] Create OTP behaviours and implement inversion of control utilizing @behaviour, @callback, behaviour modules, and callback-driven architecture.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#3 | Stage 3 🧩 Complete | Elixir OTP | 📊 Level: Advanced | 🌐 Coding5s.com
**Concept:** OTP Behaviours &amp; Inversion of Control (@behaviour, @callback, behaviour modules, callback-driven architecture)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Create OTP behaviours and implement inversion of control utilizing @behaviour, @callback, behaviour modules, and callback-driven architecture..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1"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#3 | Complete | Elixir OTP | 📊 Level: Advanced
**Topic:** Create OTP behaviours and implement inversion of control utilizing @behaviour, @callback, behaviour modules, and callback-driven architecture.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1" s="53">
        <v>0</v>
      </c>
      <c r="T11" s="102" t="str">
        <f t="shared" si="8"/>
        <v>[ROLE] Tech Lead | [TASK] Provide intentionally messy but functional code for learning debugging and improvement | [TOPIC] Create OTP behaviours and implement inversion of control utilizing @behaviour, @callback, behaviour modules, and callback-driven architecture.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#3 | Stage 4 🧹 Refactor | Elixir OTP | 📊 Level: Advanced | 🌐 Coding5s.com
**Concept:** OTP Behaviours &amp; Inversion of Control (@behaviour, @callback, behaviour modules, callback-driven architecture)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Create OTP behaviours and implement inversion of control utilizing @behaviour, @callback, behaviour modules, and callback-driven architecture.. Topic details: OTP Behaviours &amp; Inversion of Control (@behaviour, @callback, behaviour modules, callback-driven architecture)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#3 | Refactor | Elixir OTP | 📊 Level: Advanced
**Topic:** Create OTP behaviours and implement inversion of control utilizing @behaviour, @callback, behaviour modules, and callback-driven architecture.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1" s="53">
        <v>0</v>
      </c>
      <c r="W11" s="87" t="str">
        <f t="shared" si="10"/>
        <v>[ROLE] Tech Product Manager assigning a Elixir OTP Jira Ticket | [TASK] Provide a guided implementation exercise with full solution for learning purposes | [TOPIC] Create OTP behaviours and implement inversion of control utilizing @behaviour, @callback, behaviour modules, and callback-driven architecture.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#3 | Stage 5 | Elixir OTP | 📊 Level: Advanced | 🌐 Coding5s.com
**Concept:** OTP Behaviours &amp; Inversion of Control (@behaviour, @callback, behaviour modules, callback-driven architecture)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Create OTP behaviours and implement inversion of control utilizing @behaviour, @callback, behaviour modules, and callback-driven architecture.. Goal: OTP Behaviours &amp; Inversion of Control (@behaviour, @callback, behaviour modules, callback-driven architecture)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#3 | Extend | Elixir OTP | 📊 Level: Advanced
**Topic:** Create OTP behaviours and implement inversion of control utilizing @behaviour, @callback, behaviour modules, and callback-driven architecture.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1" s="53">
        <v>0</v>
      </c>
      <c r="Z11" s="56" t="str">
        <f t="shared" si="12"/>
        <v/>
      </c>
      <c r="AA11" s="56" t="str">
        <f t="shared" si="13"/>
        <v/>
      </c>
      <c r="AB11" s="56" t="str">
        <f t="shared" si="14"/>
        <v/>
      </c>
      <c r="AC11" s="56" t="str">
        <f t="shared" si="15"/>
        <v/>
      </c>
      <c r="AD11" s="56" t="str">
        <f t="shared" si="16"/>
        <v/>
      </c>
      <c r="AE11" s="55" t="s">
        <v>60</v>
      </c>
      <c r="AF11" s="55" t="s">
        <v>61</v>
      </c>
      <c r="AG11" s="55" t="s">
        <v>62</v>
      </c>
      <c r="AH11" s="56" t="str">
        <f t="shared" si="0"/>
        <v/>
      </c>
      <c r="AI11" s="54" t="s">
        <v>63</v>
      </c>
      <c r="AJ11" s="54"/>
      <c r="AK11" s="54">
        <v>3</v>
      </c>
      <c r="AL11" s="54" t="s">
        <v>64</v>
      </c>
      <c r="AM11" s="54" t="s">
        <v>65</v>
      </c>
    </row>
    <row r="12" spans="1:39">
      <c r="A12" s="45" t="str" cm="1">
        <f t="array" ref="A12">IF(H12="PROJECT", CHAR(10) &amp; "- " &amp; _xlfn.TEXTJOIN(CHAR(10) &amp; "- ", TRUE, _xlfn._xlws.FILTER($I$9:$I$1000, ($B$9:$B$1000=B12) * ($H$9:$H$1000="Topic"))), "")</f>
        <v/>
      </c>
      <c r="B12" s="45">
        <f t="shared" si="1"/>
        <v>1</v>
      </c>
      <c r="C12" s="95">
        <v>15</v>
      </c>
      <c r="D12" s="57">
        <v>3</v>
      </c>
      <c r="E12" s="58" t="s">
        <v>46</v>
      </c>
      <c r="F12" s="59">
        <v>4</v>
      </c>
      <c r="G12" s="60" t="s">
        <v>159</v>
      </c>
      <c r="H12" s="60" t="s">
        <v>48</v>
      </c>
      <c r="I12" s="61" t="s">
        <v>733</v>
      </c>
      <c r="J12" s="62" t="s">
        <v>734</v>
      </c>
      <c r="K12" s="129" t="str">
        <f t="shared" si="2"/>
        <v xml:space="preserve">[ROLE] Friendly tutor specializing in Elixir OTP | [TOPIC] Implement encapsulated state with Agents using Agent.start_link/2, Agent.get/3, Agent.update/3, and Agent.cast/2.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#4 | Stage 1 📖 Practice | Elixir OTP | 📊 Level: Advanced | 🌐 Coding5s.com
**Concept:** Encapsulated State with Agents (Agent.start_link/2, Agent.get/3, Agent.update/3, Agent.cast/2)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2"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encapsulated state with Agents using Agent.start_link/2, Agent.get/3, Agent.update/3, and Agent.cast/2.. Topic details: Encapsulated State with Agents (Agent.start_link/2, Agent.get/3, Agent.update/3, Agent.cast/2)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#4 | Practice | Elixir OTP | 📊 Level: Advanced
**Topic:** Implement encapsulated state with Agents using Agent.start_link/2, Agent.get/3, Agent.update/3, and Agent.cast/2.
---
 | [FOOTER RULE - STRICT] End your response with: '--- ⚡ *Coding5s Mentor System — Eliminating Epistemic Debt*' | </v>
      </c>
      <c r="M12" s="52">
        <v>0</v>
      </c>
      <c r="N12" s="102" t="str">
        <f t="shared" si="4"/>
        <v>[ROLE] Careless Elixir OTP Developer | [TASK] Generate debugging challenges in Elixir OTP | | [TOPIC] Implement encapsulated state with Agents using Agent.start_link/2, Agent.get/3, Agent.update/3, and Agent.cast/2.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#4 | Stage 2 🐛 Debug | Elixir OTP | 📊 Level: Advanced | 🌐 Coding5s.com
Concept: Encapsulated State with Agents (Agent.start_link/2, Agent.get/3, Agent.update/3, Agent.cast/2)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2"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encapsulated state with Agents using Agent.start_link/2, Agent.get/3, Agent.update/3, and Agent.cast/2.. Topic details: Encapsulated State with Agents (Agent.start_link/2, Agent.get/3, Agent.update/3, Agent.cast/2)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#4 | Debug | Elixir OTP | 📊 Level: Advanced
**Topic:** Implement encapsulated state with Agents using Agent.start_link/2, Agent.get/3, Agent.update/3, and Agent.cast/2.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2" s="52">
        <v>0</v>
      </c>
      <c r="Q12" s="102" t="str">
        <f t="shared" si="6"/>
        <v>[ROLE] Tech Lead | [TASK] Assign incomplete Elixir OTP script challenges | [TOPIC] Implement encapsulated state with Agents using Agent.start_link/2, Agent.get/3, Agent.update/3, and Agent.cast/2.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#4 | Stage 3 🧩 Complete | Elixir OTP | 📊 Level: Advanced | 🌐 Coding5s.com
**Concept:** Encapsulated State with Agents (Agent.start_link/2, Agent.get/3, Agent.update/3, Agent.cast/2)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encapsulated state with Agents using Agent.start_link/2, Agent.get/3, Agent.update/3, and Agent.cast/2..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2"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encapsulated state with Agents using Agent.start_link/2, Agent.get/3, Agent.update/3, and Agent.cast/2.. Topic details: Encapsulated State with Agents (Agent.start_link/2, Agent.get/3, Agent.update/3, Agent.cast/2)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#4 | Complete | Elixir OTP | 📊 Level: Advanced
**Topic:** Implement encapsulated state with Agents using Agent.start_link/2, Agent.get/3, Agent.update/3, and Agent.cast/2.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2" s="52">
        <v>0</v>
      </c>
      <c r="T12" s="102" t="str">
        <f t="shared" si="8"/>
        <v>[ROLE] Tech Lead | [TASK] Provide intentionally messy but functional code for learning debugging and improvement | [TOPIC] Implement encapsulated state with Agents using Agent.start_link/2, Agent.get/3, Agent.update/3, and Agent.cast/2.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#4 | Stage 4 🧹 Refactor | Elixir OTP | 📊 Level: Advanced | 🌐 Coding5s.com
**Concept:** Encapsulated State with Agents (Agent.start_link/2, Agent.get/3, Agent.update/3, Agent.cast/2)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encapsulated state with Agents using Agent.start_link/2, Agent.get/3, Agent.update/3, and Agent.cast/2.. Topic details: Encapsulated State with Agents (Agent.start_link/2, Agent.get/3, Agent.update/3, Agent.cast/2)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#4 | Refactor | Elixir OTP | 📊 Level: Advanced
**Topic:** Implement encapsulated state with Agents using Agent.start_link/2, Agent.get/3, Agent.update/3, and Agent.cast/2.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2" s="52">
        <v>0</v>
      </c>
      <c r="W12" s="87" t="str">
        <f t="shared" si="10"/>
        <v>[ROLE] Tech Product Manager assigning a Elixir OTP Jira Ticket | [TASK] Provide a guided implementation exercise with full solution for learning purposes | [TOPIC] Implement encapsulated state with Agents using Agent.start_link/2, Agent.get/3, Agent.update/3, and Agent.cast/2.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#4 | Stage 5 | Elixir OTP | 📊 Level: Advanced | 🌐 Coding5s.com
**Concept:** Encapsulated State with Agents (Agent.start_link/2, Agent.get/3, Agent.update/3, Agent.cast/2)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encapsulated state with Agents using Agent.start_link/2, Agent.get/3, Agent.update/3, and Agent.cast/2.. Goal: Encapsulated State with Agents (Agent.start_link/2, Agent.get/3, Agent.update/3, Agent.cast/2)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#4 | Extend | Elixir OTP | 📊 Level: Advanced
**Topic:** Implement encapsulated state with Agents using Agent.start_link/2, Agent.get/3, Agent.update/3, and Agent.cast/2.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2" s="52">
        <v>0</v>
      </c>
      <c r="Z12" s="56" t="str">
        <f t="shared" si="12"/>
        <v/>
      </c>
      <c r="AA12" s="56" t="str">
        <f t="shared" si="13"/>
        <v/>
      </c>
      <c r="AB12" s="56" t="str">
        <f t="shared" si="14"/>
        <v/>
      </c>
      <c r="AC12" s="56" t="str">
        <f t="shared" si="15"/>
        <v/>
      </c>
      <c r="AD12" s="56" t="str">
        <f t="shared" si="16"/>
        <v/>
      </c>
      <c r="AE12" s="55" t="s">
        <v>66</v>
      </c>
      <c r="AF12" s="55" t="s">
        <v>67</v>
      </c>
      <c r="AG12" s="55" t="s">
        <v>68</v>
      </c>
      <c r="AH12" s="56" t="str">
        <f t="shared" si="0"/>
        <v/>
      </c>
      <c r="AI12" s="54" t="s">
        <v>69</v>
      </c>
      <c r="AJ12" s="54"/>
      <c r="AK12" s="54">
        <v>4</v>
      </c>
      <c r="AL12" s="54" t="s">
        <v>70</v>
      </c>
      <c r="AM12" s="54" t="s">
        <v>71</v>
      </c>
    </row>
    <row r="13" spans="1:39">
      <c r="A13" s="45" t="str" cm="1">
        <f t="array" ref="A13">IF(H13="PROJECT", CHAR(10) &amp; "- " &amp; _xlfn.TEXTJOIN(CHAR(10) &amp; "- ", TRUE, _xlfn._xlws.FILTER($I$9:$I$1000, ($B$9:$B$1000=B13) * ($H$9:$H$1000="Topic"))), "")</f>
        <v/>
      </c>
      <c r="B13" s="45">
        <f t="shared" si="1"/>
        <v>1</v>
      </c>
      <c r="C13" s="95">
        <v>25</v>
      </c>
      <c r="D13" s="46">
        <v>4</v>
      </c>
      <c r="E13" s="58" t="s">
        <v>46</v>
      </c>
      <c r="F13" s="48">
        <v>5</v>
      </c>
      <c r="G13" s="49" t="s">
        <v>159</v>
      </c>
      <c r="H13" s="49" t="s">
        <v>48</v>
      </c>
      <c r="I13" s="50" t="s">
        <v>735</v>
      </c>
      <c r="J13" s="51" t="s">
        <v>736</v>
      </c>
      <c r="K13" s="129" t="str">
        <f t="shared" si="2"/>
        <v xml:space="preserve">[ROLE] Friendly tutor specializing in Elixir OTP | [TOPIC] Construct GenServer core structures and synchronous flows using use GenServer, init/1, GenServer.call/3, and handle_call/3.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#5 | Stage 1 📖 Practice | Elixir OTP | 📊 Level: Advanced | 🌐 Coding5s.com
**Concept:** GenServer Core &amp; Synchronous Flow (use GenServer, init/1, GenServer.call/3, handle_call/3)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3"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Construct GenServer core structures and synchronous flows using use GenServer, init/1, GenServer.call/3, and handle_call/3.. Topic details: GenServer Core &amp; Synchronous Flow (use GenServer, init/1, GenServer.call/3, handle_call/3)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#5 | Practice | Elixir OTP | 📊 Level: Advanced
**Topic:** Construct GenServer core structures and synchronous flows using use GenServer, init/1, GenServer.call/3, and handle_call/3.
---
 | [FOOTER RULE - STRICT] End your response with: '--- ⚡ *Coding5s Mentor System — Eliminating Epistemic Debt*' | </v>
      </c>
      <c r="M13" s="52">
        <v>0</v>
      </c>
      <c r="N13" s="102" t="str">
        <f t="shared" si="4"/>
        <v>[ROLE] Careless Elixir OTP Developer | [TASK] Generate debugging challenges in Elixir OTP | | [TOPIC] Construct GenServer core structures and synchronous flows using use GenServer, init/1, GenServer.call/3, and handle_call/3.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#5 | Stage 2 🐛 Debug | Elixir OTP | 📊 Level: Advanced | 🌐 Coding5s.com
Concept: GenServer Core &amp; Synchronous Flow (use GenServer, init/1, GenServer.call/3, handle_call/3)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3"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Construct GenServer core structures and synchronous flows using use GenServer, init/1, GenServer.call/3, and handle_call/3.. Topic details: GenServer Core &amp; Synchronous Flow (use GenServer, init/1, GenServer.call/3, handle_call/3)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#5 | Debug | Elixir OTP | 📊 Level: Advanced
**Topic:** Construct GenServer core structures and synchronous flows using use GenServer, init/1, GenServer.call/3, and handle_call/3.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3" s="53">
        <v>0</v>
      </c>
      <c r="Q13" s="102" t="str">
        <f t="shared" si="6"/>
        <v>[ROLE] Tech Lead | [TASK] Assign incomplete Elixir OTP script challenges | [TOPIC] Construct GenServer core structures and synchronous flows using use GenServer, init/1, GenServer.call/3, and handle_call/3.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#5 | Stage 3 🧩 Complete | Elixir OTP | 📊 Level: Advanced | 🌐 Coding5s.com
**Concept:** GenServer Core &amp; Synchronous Flow (use GenServer, init/1, GenServer.call/3, handle_call/3)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Construct GenServer core structures and synchronous flows using use GenServer, init/1, GenServer.call/3, and handle_call/3..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3"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Construct GenServer core structures and synchronous flows using use GenServer, init/1, GenServer.call/3, and handle_call/3.. Topic details: GenServer Core &amp; Synchronous Flow (use GenServer, init/1, GenServer.call/3, handle_call/3)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#5 | Complete | Elixir OTP | 📊 Level: Advanced
**Topic:** Construct GenServer core structures and synchronous flows using use GenServer, init/1, GenServer.call/3, and handle_call/3.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3" s="53">
        <v>0</v>
      </c>
      <c r="T13" s="102" t="str">
        <f t="shared" si="8"/>
        <v>[ROLE] Tech Lead | [TASK] Provide intentionally messy but functional code for learning debugging and improvement | [TOPIC] Construct GenServer core structures and synchronous flows using use GenServer, init/1, GenServer.call/3, and handle_call/3.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#5 | Stage 4 🧹 Refactor | Elixir OTP | 📊 Level: Advanced | 🌐 Coding5s.com
**Concept:** GenServer Core &amp; Synchronous Flow (use GenServer, init/1, GenServer.call/3, handle_call/3)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Construct GenServer core structures and synchronous flows using use GenServer, init/1, GenServer.call/3, and handle_call/3.. Topic details: GenServer Core &amp; Synchronous Flow (use GenServer, init/1, GenServer.call/3, handle_call/3)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#5 | Refactor | Elixir OTP | 📊 Level: Advanced
**Topic:** Construct GenServer core structures and synchronous flows using use GenServer, init/1, GenServer.call/3, and handle_call/3.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3" s="53">
        <v>0</v>
      </c>
      <c r="W13" s="87" t="str">
        <f t="shared" si="10"/>
        <v>[ROLE] Tech Product Manager assigning a Elixir OTP Jira Ticket | [TASK] Provide a guided implementation exercise with full solution for learning purposes | [TOPIC] Construct GenServer core structures and synchronous flows using use GenServer, init/1, GenServer.call/3, and handle_call/3.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#5 | Stage 5 | Elixir OTP | 📊 Level: Advanced | 🌐 Coding5s.com
**Concept:** GenServer Core &amp; Synchronous Flow (use GenServer, init/1, GenServer.call/3, handle_call/3)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Construct GenServer core structures and synchronous flows using use GenServer, init/1, GenServer.call/3, and handle_call/3.. Goal: GenServer Core &amp; Synchronous Flow (use GenServer, init/1, GenServer.call/3, handle_call/3)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#5 | Extend | Elixir OTP | 📊 Level: Advanced
**Topic:** Construct GenServer core structures and synchronous flows using use GenServer, init/1, GenServer.call/3, and handle_call/3.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3" s="53">
        <v>0</v>
      </c>
      <c r="Z13" s="56" t="str">
        <f t="shared" si="12"/>
        <v/>
      </c>
      <c r="AA13" s="56" t="str">
        <f t="shared" si="13"/>
        <v/>
      </c>
      <c r="AB13" s="56" t="str">
        <f t="shared" si="14"/>
        <v/>
      </c>
      <c r="AC13" s="56" t="str">
        <f t="shared" si="15"/>
        <v/>
      </c>
      <c r="AD13" s="56" t="str">
        <f t="shared" si="16"/>
        <v/>
      </c>
      <c r="AE13" s="40" t="s">
        <v>72</v>
      </c>
      <c r="AF13" s="40" t="s">
        <v>73</v>
      </c>
      <c r="AG13" s="40" t="s">
        <v>74</v>
      </c>
      <c r="AH13" s="56" t="str">
        <f t="shared" si="0"/>
        <v/>
      </c>
      <c r="AI13" s="54"/>
      <c r="AJ13" s="54"/>
      <c r="AK13" s="54">
        <v>5</v>
      </c>
      <c r="AL13" s="54" t="s">
        <v>75</v>
      </c>
      <c r="AM13" s="54" t="s">
        <v>76</v>
      </c>
    </row>
    <row r="14" spans="1:39">
      <c r="A14" s="45" t="str" cm="1">
        <f t="array" ref="A14">IF(H14="PROJECT", CHAR(10) &amp; "- " &amp; _xlfn.TEXTJOIN(CHAR(10) &amp; "- ", TRUE, _xlfn._xlws.FILTER($I$9:$I$1000, ($B$9:$B$1000=B14) * ($H$9:$H$1000="Topic"))), "")</f>
        <v/>
      </c>
      <c r="B14" s="45">
        <f t="shared" si="1"/>
        <v>1</v>
      </c>
      <c r="C14" s="95">
        <v>20</v>
      </c>
      <c r="D14" s="57">
        <v>4</v>
      </c>
      <c r="E14" s="58" t="s">
        <v>46</v>
      </c>
      <c r="F14" s="59">
        <v>6</v>
      </c>
      <c r="G14" s="60" t="s">
        <v>159</v>
      </c>
      <c r="H14" s="60" t="s">
        <v>48</v>
      </c>
      <c r="I14" s="61" t="s">
        <v>737</v>
      </c>
      <c r="J14" s="62" t="s">
        <v>738</v>
      </c>
      <c r="K14" s="129" t="str">
        <f t="shared" si="2"/>
        <v xml:space="preserve">[ROLE] Friendly tutor specializing in Elixir OTP | [TOPIC] Implement asynchronous flow and deferred initialization using GenServer.cast/2, handle_cast/2, and handle_continue/2 for non-blocking init.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#6 | Stage 1 📖 Practice | Elixir OTP | 📊 Level: Advanced | 🌐 Coding5s.com
**Concept:** Asynchronous Flow &amp; Deferred Init (GenServer.cast/2, handle_cast/2, handle_continue/2 for non-blocking init)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4"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asynchronous flow and deferred initialization using GenServer.cast/2, handle_cast/2, and handle_continue/2 for non-blocking init.. Topic details: Asynchronous Flow &amp; Deferred Init (GenServer.cast/2, handle_cast/2, handle_continue/2 for non-blocking init)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#6 | Practice | Elixir OTP | 📊 Level: Advanced
**Topic:** Implement asynchronous flow and deferred initialization using GenServer.cast/2, handle_cast/2, and handle_continue/2 for non-blocking init.
---
 | [FOOTER RULE - STRICT] End your response with: '--- ⚡ *Coding5s Mentor System — Eliminating Epistemic Debt*' | </v>
      </c>
      <c r="M14" s="52">
        <v>0</v>
      </c>
      <c r="N14" s="102" t="str">
        <f t="shared" si="4"/>
        <v>[ROLE] Careless Elixir OTP Developer | [TASK] Generate debugging challenges in Elixir OTP | | [TOPIC] Implement asynchronous flow and deferred initialization using GenServer.cast/2, handle_cast/2, and handle_continue/2 for non-blocking init.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#6 | Stage 2 🐛 Debug | Elixir OTP | 📊 Level: Advanced | 🌐 Coding5s.com
Concept: Asynchronous Flow &amp; Deferred Init (GenServer.cast/2, handle_cast/2, handle_continue/2 for non-blocking init)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4"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#6 | Debug | Elixir OTP | 📊 Level: Advanced
**Topic:** Implement asynchronous flow and deferred initialization using GenServer.cast/2, handle_cast/2, and handle_continue/2 for non-blocking init.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4" s="52">
        <v>0</v>
      </c>
      <c r="Q14" s="102" t="str">
        <f t="shared" si="6"/>
        <v>[ROLE] Tech Lead | [TASK] Assign incomplete Elixir OTP script challenges | [TOPIC] Implement asynchronous flow and deferred initialization using GenServer.cast/2, handle_cast/2, and handle_continue/2 for non-blocking init.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#6 | Stage 3 🧩 Complete | Elixir OTP | 📊 Level: Advanced | 🌐 Coding5s.com
**Concept:** Asynchronous Flow &amp; Deferred Init (GenServer.cast/2, handle_cast/2, handle_continue/2 for non-blocking init)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asynchronous flow and deferred initialization using GenServer.cast/2, handle_cast/2, and handle_continue/2 for non-blocking init..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4"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#6 | Complete | Elixir OTP | 📊 Level: Advanced
**Topic:** Implement asynchronous flow and deferred initialization using GenServer.cast/2, handle_cast/2, and handle_continue/2 for non-blocking init.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4" s="53">
        <v>0</v>
      </c>
      <c r="T14" s="102" t="str">
        <f t="shared" si="8"/>
        <v>[ROLE] Tech Lead | [TASK] Provide intentionally messy but functional code for learning debugging and improvement | [TOPIC] Implement asynchronous flow and deferred initialization using GenServer.cast/2, handle_cast/2, and handle_continue/2 for non-blocking init.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#6 | Stage 4 🧹 Refactor | Elixir OTP | 📊 Level: Advanced | 🌐 Coding5s.com
**Concept:** Asynchronous Flow &amp; Deferred Init (GenServer.cast/2, handle_cast/2, handle_continue/2 for non-blocking init)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asynchronous flow and deferred initialization using GenServer.cast/2, handle_cast/2, and handle_continue/2 for non-blocking init.. Topic details: Asynchronous Flow &amp; Deferred Init (GenServer.cast/2, handle_cast/2, handle_continue/2 for non-blocking init)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#6 | Refactor | Elixir OTP | 📊 Level: Advanced
**Topic:** Implement asynchronous flow and deferred initialization using GenServer.cast/2, handle_cast/2, and handle_continue/2 for non-blocking init.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4" s="52">
        <v>0</v>
      </c>
      <c r="W14" s="87" t="str">
        <f t="shared" si="10"/>
        <v>[ROLE] Tech Product Manager assigning a Elixir OTP Jira Ticket | [TASK] Provide a guided implementation exercise with full solution for learning purposes | [TOPIC] Implement asynchronous flow and deferred initialization using GenServer.cast/2, handle_cast/2, and handle_continue/2 for non-blocking init.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#6 | Stage 5 | Elixir OTP | 📊 Level: Advanced | 🌐 Coding5s.com
**Concept:** Asynchronous Flow &amp; Deferred Init (GenServer.cast/2, handle_cast/2, handle_continue/2 for non-blocking init)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asynchronous flow and deferred initialization using GenServer.cast/2, handle_cast/2, and handle_continue/2 for non-blocking init.. Goal: Asynchronous Flow &amp; Deferred Init (GenServer.cast/2, handle_cast/2, handle_continue/2 for non-blocking init)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#6 | Extend | Elixir OTP | 📊 Level: Advanced
**Topic:** Implement asynchronous flow and deferred initialization using GenServer.cast/2, handle_cast/2, and handle_continue/2 for non-blocking init.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4" s="52">
        <v>0</v>
      </c>
      <c r="Z14" s="56" t="str">
        <f t="shared" si="12"/>
        <v/>
      </c>
      <c r="AA14" s="56" t="str">
        <f t="shared" si="13"/>
        <v/>
      </c>
      <c r="AB14" s="56" t="str">
        <f t="shared" si="14"/>
        <v/>
      </c>
      <c r="AC14" s="56" t="str">
        <f t="shared" si="15"/>
        <v/>
      </c>
      <c r="AD14" s="56" t="str">
        <f t="shared" si="16"/>
        <v/>
      </c>
      <c r="AE14" s="40" t="s">
        <v>78</v>
      </c>
      <c r="AF14" s="40" t="s">
        <v>79</v>
      </c>
      <c r="AG14" s="40" t="s">
        <v>80</v>
      </c>
      <c r="AH14" s="56" t="str">
        <f t="shared" si="0"/>
        <v/>
      </c>
      <c r="AI14" s="54"/>
      <c r="AJ14" s="54"/>
      <c r="AK14" s="54">
        <v>6</v>
      </c>
      <c r="AL14" s="54" t="s">
        <v>81</v>
      </c>
      <c r="AM14" s="54" t="s">
        <v>82</v>
      </c>
    </row>
    <row r="15" spans="1:39">
      <c r="A15" s="45" t="str" cm="1">
        <f t="array" ref="A15">IF(H15="PROJECT", CHAR(10) &amp; "- " &amp; _xlfn.TEXTJOIN(CHAR(10) &amp; "- ", TRUE, _xlfn._xlws.FILTER($I$9:$I$1000, ($B$9:$B$1000=B15) * ($H$9:$H$1000="Topic"))), "")</f>
        <v/>
      </c>
      <c r="B15" s="45">
        <f t="shared" si="1"/>
        <v>1</v>
      </c>
      <c r="C15" s="95">
        <v>25</v>
      </c>
      <c r="D15" s="46">
        <v>5</v>
      </c>
      <c r="E15" s="58" t="s">
        <v>46</v>
      </c>
      <c r="F15" s="48">
        <v>7</v>
      </c>
      <c r="G15" s="49" t="s">
        <v>159</v>
      </c>
      <c r="H15" s="49" t="s">
        <v>48</v>
      </c>
      <c r="I15" s="50" t="s">
        <v>739</v>
      </c>
      <c r="J15" s="51" t="s">
        <v>740</v>
      </c>
      <c r="K15" s="129" t="str">
        <f t="shared" si="2"/>
        <v xml:space="preserve">[ROLE] Friendly tutor specializing in Elixir OTP | [TOPIC] Manage internal events, tickers, and lifecycle using send/2 to self, Process.send_after/3 for periodic work, handle_info/2, terminate/2, and Timeouts.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#7 | Stage 1 📖 Practice | Elixir OTP | 📊 Level: Advanced | 🌐 Coding5s.com
**Concept:** Internal Events, Tickers &amp; Lifecycle (send/2 to self, Process.send_after/3 for periodic work, handle_info/2, terminate/2, Timeouts)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5"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internal events, tickers, and lifecycle using send/2 to self, Process.send_after/3 for periodic work, handle_info/2, terminate/2, and Timeouts.. Topic details: Internal Events, Tickers &amp; Lifecycle (send/2 to self, Process.send_after/3 for periodic work, handle_info/2, terminate/2, Timeouts)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#7 | Practice | Elixir OTP | 📊 Level: Advanced
**Topic:** Manage internal events, tickers, and lifecycle using send/2 to self, Process.send_after/3 for periodic work, handle_info/2, terminate/2, and Timeouts.
---
 | [FOOTER RULE - STRICT] End your response with: '--- ⚡ *Coding5s Mentor System — Eliminating Epistemic Debt*' | </v>
      </c>
      <c r="M15" s="52">
        <v>0</v>
      </c>
      <c r="N15" s="102" t="str">
        <f t="shared" si="4"/>
        <v>[ROLE] Careless Elixir OTP Developer | [TASK] Generate debugging challenges in Elixir OTP | | [TOPIC] Manage internal events, tickers, and lifecycle using send/2 to self, Process.send_after/3 for periodic work, handle_info/2, terminate/2, and Timeouts.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#7 | Stage 2 🐛 Debug | Elixir OTP | 📊 Level: Advanced | 🌐 Coding5s.com
Concept: Internal Events, Tickers &amp; Lifecycle (send/2 to self, Process.send_after/3 for periodic work, handle_info/2, terminate/2, Timeouts)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5"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#7 | Debug | Elixir OTP | 📊 Level: Advanced
**Topic:** Manage internal events, tickers, and lifecycle using send/2 to self, Process.send_after/3 for periodic work, handle_info/2, terminate/2, and Timeouts.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5" s="53">
        <v>0</v>
      </c>
      <c r="Q15" s="102" t="str">
        <f t="shared" si="6"/>
        <v>[ROLE] Tech Lead | [TASK] Assign incomplete Elixir OTP script challenges | [TOPIC] Manage internal events, tickers, and lifecycle using send/2 to self, Process.send_after/3 for periodic work, handle_info/2, terminate/2, and Timeouts.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#7 | Stage 3 🧩 Complete | Elixir OTP | 📊 Level: Advanced | 🌐 Coding5s.com
**Concept:** Internal Events, Tickers &amp; Lifecycle (send/2 to self, Process.send_after/3 for periodic work, handle_info/2, terminate/2, Timeouts)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internal events, tickers, and lifecycle using send/2 to self, Process.send_after/3 for periodic work, handle_info/2, terminate/2, and Timeouts..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5"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#7 | Complete | Elixir OTP | 📊 Level: Advanced
**Topic:** Manage internal events, tickers, and lifecycle using send/2 to self, Process.send_after/3 for periodic work, handle_info/2, terminate/2, and Timeouts.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5" s="53">
        <v>0</v>
      </c>
      <c r="T15" s="102" t="str">
        <f t="shared" si="8"/>
        <v>[ROLE] Tech Lead | [TASK] Provide intentionally messy but functional code for learning debugging and improvement | [TOPIC] Manage internal events, tickers, and lifecycle using send/2 to self, Process.send_after/3 for periodic work, handle_info/2, terminate/2, and Timeouts.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#7 | Stage 4 🧹 Refactor | Elixir OTP | 📊 Level: Advanced | 🌐 Coding5s.com
**Concept:** Internal Events, Tickers &amp; Lifecycle (send/2 to self, Process.send_after/3 for periodic work, handle_info/2, terminate/2, Timeouts)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internal events, tickers, and lifecycle using send/2 to self, Process.send_after/3 for periodic work, handle_info/2, terminate/2, and Timeouts.. Topic details: Internal Events, Tickers &amp; Lifecycle (send/2 to self, Process.send_after/3 for periodic work, handle_info/2, terminate/2, Timeouts)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#7 | Refactor | Elixir OTP | 📊 Level: Advanced
**Topic:** Manage internal events, tickers, and lifecycle using send/2 to self, Process.send_after/3 for periodic work, handle_info/2, terminate/2, and Timeouts.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5" s="53">
        <v>0</v>
      </c>
      <c r="W15" s="87" t="str">
        <f t="shared" si="10"/>
        <v>[ROLE] Tech Product Manager assigning a Elixir OTP Jira Ticket | [TASK] Provide a guided implementation exercise with full solution for learning purposes | [TOPIC] Manage internal events, tickers, and lifecycle using send/2 to self, Process.send_after/3 for periodic work, handle_info/2, terminate/2, and Timeouts.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#7 | Stage 5 | Elixir OTP | 📊 Level: Advanced | 🌐 Coding5s.com
**Concept:** Internal Events, Tickers &amp; Lifecycle (send/2 to self, Process.send_after/3 for periodic work, handle_info/2, terminate/2, Timeouts)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internal events, tickers, and lifecycle using send/2 to self, Process.send_after/3 for periodic work, handle_info/2, terminate/2, and Timeouts.. Goal: Internal Events, Tickers &amp; Lifecycle (send/2 to self, Process.send_after/3 for periodic work, handle_info/2, terminate/2, Timeouts)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#7 | Extend | Elixir OTP | 📊 Level: Advanced
**Topic:** Manage internal events, tickers, and lifecycle using send/2 to self, Process.send_after/3 for periodic work, handle_info/2, terminate/2, and Timeouts.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5" s="53">
        <v>0</v>
      </c>
      <c r="Z15" s="56" t="str">
        <f t="shared" si="12"/>
        <v/>
      </c>
      <c r="AA15" s="56" t="str">
        <f t="shared" si="13"/>
        <v/>
      </c>
      <c r="AB15" s="56" t="str">
        <f t="shared" si="14"/>
        <v/>
      </c>
      <c r="AC15" s="56" t="str">
        <f t="shared" si="15"/>
        <v/>
      </c>
      <c r="AD15" s="56" t="str">
        <f t="shared" si="16"/>
        <v/>
      </c>
      <c r="AE15" s="40" t="s">
        <v>83</v>
      </c>
      <c r="AF15" s="40" t="s">
        <v>84</v>
      </c>
      <c r="AG15" s="40" t="s">
        <v>85</v>
      </c>
      <c r="AH15" s="56" t="str">
        <f t="shared" si="0"/>
        <v/>
      </c>
      <c r="AI15" s="54"/>
      <c r="AJ15" s="54"/>
      <c r="AK15" s="54">
        <v>7</v>
      </c>
      <c r="AL15" s="54" t="s">
        <v>86</v>
      </c>
      <c r="AM15" s="54" t="s">
        <v>87</v>
      </c>
    </row>
    <row r="16" spans="1:39">
      <c r="A16" s="45" t="str" cm="1">
        <f t="array" ref="A16">IF(H16="PROJECT", CHAR(10) &amp; "- " &amp; _xlfn.TEXTJOIN(CHAR(10) &amp; "- ", TRUE, _xlfn._xlws.FILTER($I$9:$I$1000, ($B$9:$B$1000=B16) * ($H$9:$H$1000="Topic"))), "")</f>
        <v xml:space="preserve">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v>
      </c>
      <c r="B16" s="45">
        <f t="shared" si="1"/>
        <v>1</v>
      </c>
      <c r="C16" s="95" t="s">
        <v>741</v>
      </c>
      <c r="D16" s="57">
        <v>0</v>
      </c>
      <c r="E16" s="58" t="s">
        <v>46</v>
      </c>
      <c r="F16" s="59">
        <v>8</v>
      </c>
      <c r="G16" s="60" t="s">
        <v>159</v>
      </c>
      <c r="H16" s="60" t="s">
        <v>77</v>
      </c>
      <c r="I16" s="61" t="s">
        <v>742</v>
      </c>
      <c r="J16" s="62" t="s">
        <v>743</v>
      </c>
      <c r="K16" s="129" t="str">
        <f t="shared" si="2"/>
        <v>[TASK] Teach through a practical Elixir OTP -  project following the micro-learning methodology, acting as a supportive tutor, creating a project about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OTP | 📊 Level: Advanced | 🌐 Coding5s.com
**Project:** PROJECT: Basic OTP State Manager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16"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Build an interactive encapsulated state system utilizing spawn/1, send/2, receive, Agents, and GenServer core callbacks.. Topics applied in this project: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#8 | Practice | Elixir OTP | 📊 Level: Advanced
**Project:** Build an interactive encapsulated state system utilizing spawn/1, send/2, receive, Agents, and GenServer core callbacks.
---
 | [FOOTER RULE - STRICT] End your response with: '--- ⚡ *Coding5s Mentor System — Eliminating Epistemic Debt*' | </v>
      </c>
      <c r="M16" s="52">
        <v>0</v>
      </c>
      <c r="N16" s="102" t="str">
        <f t="shared" si="4"/>
        <v>[ROLE] Careless Elixir OTP Developer | [TASK] Generate debugging project in Elixir OTP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[OUTPUT] Only header, dataset summary or statement (if any), email intro, objective, expected output, broken code, and footer | [HEADER RULE - STRICT] You MUST start your entire response EXACTLY with this markdown block (do not print anything before it):
### 🚀 Project #8 | Stage 2 | Elixir OTP | 📊 Level: Advanced | 🌐 Coding5s.com
Project: PROJECT: Basic OTP State Manager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16"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#8 | Debug | Elixir OTP | 📊 Level: Advanced
**Project:** Build an interactive encapsulated state system utilizing spawn/1, send/2, receive, Agents, and GenServer core callbacks.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6" s="52">
        <v>0</v>
      </c>
      <c r="Q16" s="102" t="str">
        <f t="shared" si="6"/>
        <v>[ROLE] Tech Lead | [TASK] Assign incomplete project script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OTP | 📊 Level: Advanced | 🌐 Coding5s.com
**Project:** PROJECT: Basic OTP State Manager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16"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#8 | Complete | Elixir OTP | 📊 Level: Advanced
**Project:** Build an interactive encapsulated state system utilizing spawn/1, send/2, receive, Agents, and GenServer core callbacks.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6" s="52">
        <v>0</v>
      </c>
      <c r="T16" s="102" t="str">
        <f t="shared" si="8"/>
        <v>[ROLE] Tech Lead | [TASK] Provide a messy but functional project for refactoring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Tech Lead. A junior wrote this working but messy code. Tone: professional but exhausted | [HEADER RULE - STRICT] You MUST start your entire response EXACTLY with this markdown block (do not print anything before it):
### 🚀 Project #8 | Stage 4 | Elixir OTP | 📊 Level: Advanced | 🌐 Coding5s.com
**Project:** PROJECT: Basic OTP State Manager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1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Build an interactive encapsulated state system utilizing spawn/1, send/2, receive, Agents, and GenServer core callbacks.. Topics involved: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Project objective: PROJECT: Basic OTP State Manager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#8 | Refactor | Elixir OTP | 📊 Level: Advanced
**Project:** Build an interactive encapsulated state system utilizing spawn/1, send/2, receive, Agents, and GenServer core callbacks.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6" s="52">
        <v>0</v>
      </c>
      <c r="W16" s="87" t="str">
        <f t="shared" si="10"/>
        <v>[ROLE] Tech Product Manager assigning a Elixir OTP Jira Ticket | [TASK] Provide a guided project implementation with full solution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#8 | Stage 5 | Elixir OTP | 📊 Level: Advanced | 🌐 Coding5s.com
**Project:** PROJECT: Basic OTP State Manager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1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Build an interactive encapsulated state system utilizing spawn/1, send/2, receive, Agents, and GenServer core callbacks.. Topics integrated: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Business Goal: PROJECT: Basic OTP State Manager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#8 | Extend | Elixir OTP | 📊 Level: Advanced
**Project:** Build an interactive encapsulated state system utilizing spawn/1, send/2, receive, Agents, and GenServer core callbacks.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6" s="52">
        <v>0</v>
      </c>
      <c r="Z16" s="56" t="str">
        <f t="shared" si="12"/>
        <v>[TASK] Teach through a practical Elixir OTP -  project following the micro-learning methodology, acting as a supportive tutor, creating a project about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#8 | Stage 1 | Elixir OTP | 📊 Level: Advanced | 🌐 Coding5s.com
**Project:** PROJECT: Basic OTP State Manager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16" s="56" t="str">
        <f t="shared" si="13"/>
        <v>[ROLE] Careless Elixir OTP Developer | [TASK] Generate debugging project in Elixir OTP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[OUTPUT] Only header, dataset summary or statement (if any), email intro, objective, expected output, broken code, and footer | [HEADER RULE - STRICT] You MUST start your entire response EXACTLY with this markdown block (do not print anything before it):
### 🚀 Project #8 | Stage 2 | Elixir OTP | 📊 Level: Advanced | 🌐 Coding5s.com
Project: PROJECT: Basic OTP State Manager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Guaraní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16" s="56" t="str">
        <f t="shared" si="14"/>
        <v>[ROLE] Tech Lead | [TASK] Assign incomplete project script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#8 | Stage 3 | Elixir OTP | 📊 Level: Advanced | 🌐 Coding5s.com
**Project:** PROJECT: Basic OTP State Manager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16" s="56" t="str">
        <f t="shared" si="15"/>
        <v>[ROLE] Tech Lead | [TASK] Provide a messy but functional project for refactoring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Tech Lead. A junior wrote this working but messy code. Tone: professional but exhausted | [HEADER RULE - STRICT] You MUST start your entire response EXACTLY with this markdown block (do not print anything before it):
### 🚀 Project #8 | Stage 4 | Elixir OTP | 📊 Level: Advanced | 🌐 Coding5s.com
**Project:** PROJECT: Basic OTP State Manager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16" s="56" t="str">
        <f t="shared" si="16"/>
        <v>[ROLE] Tech Product Manager assigning a Elixir OTP Jira Ticket | [TASK] Provide a guided project implementation with full solution | [PROJECT] Build an interactive encapsulated state system utilizing spawn/1, send/2, receive, Agents, and GenServer core callbacks. | [TOPICS USED] 
- Implement concurrency and manual state management using spawn/1, send/2, receive, and manual recursion state.
- Manage manual monitoring and exits using Process.link/1, Process.monitor/1, and Process.flag/2 with :trap_exit.
- Create OTP behaviours and implement inversion of control utilizing @behaviour, @callback, behaviour modules, and callback-driven architecture.
- Implement encapsulated state with Agents using Agent.start_link/2, Agent.get/3, Agent.update/3, and Agent.cast/2.
- Construct GenServer core structures and synchronous flows using use GenServer, init/1, GenServer.call/3, and handle_call/3.
- Implement asynchronous flow and deferred initialization using GenServer.cast/2, handle_cast/2, and handle_continue/2 for non-blocking init.
- Manage internal events, tickers, and lifecycle using send/2 to self, Process.send_after/3 for periodic work, handle_info/2, terminate/2, and Timeouts.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#8 | Stage 5 | Elixir OTP | 📊 Level: Advanced | 🌐 Coding5s.com
**Project:** PROJECT: Basic OTP State Manager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16" s="40" t="s">
        <v>88</v>
      </c>
      <c r="AF16" s="40" t="s">
        <v>89</v>
      </c>
      <c r="AG16" s="40" t="s">
        <v>90</v>
      </c>
      <c r="AH16" s="56" t="str">
        <f t="shared" si="0"/>
        <v/>
      </c>
      <c r="AI16" s="54"/>
      <c r="AJ16" s="54"/>
      <c r="AK16" s="54">
        <v>8</v>
      </c>
      <c r="AL16" s="54" t="s">
        <v>91</v>
      </c>
      <c r="AM16" s="54" t="s">
        <v>92</v>
      </c>
    </row>
    <row r="17" spans="1:39">
      <c r="A17" s="45" t="str" cm="1">
        <f t="array" ref="A17">IF(H17="PROJECT", CHAR(10) &amp; "- " &amp; _xlfn.TEXTJOIN(CHAR(10) &amp; "- ", TRUE, _xlfn._xlws.FILTER($I$9:$I$1000, ($B$9:$B$1000=B17) * ($H$9:$H$1000="Topic"))), "")</f>
        <v/>
      </c>
      <c r="B17" s="45">
        <f t="shared" si="1"/>
        <v>2</v>
      </c>
      <c r="C17" s="95">
        <v>20</v>
      </c>
      <c r="D17" s="46">
        <v>4</v>
      </c>
      <c r="E17" s="58" t="s">
        <v>46</v>
      </c>
      <c r="F17" s="48">
        <v>9</v>
      </c>
      <c r="G17" s="49" t="s">
        <v>159</v>
      </c>
      <c r="H17" s="49" t="s">
        <v>48</v>
      </c>
      <c r="I17" s="50" t="s">
        <v>744</v>
      </c>
      <c r="J17" s="51" t="s">
        <v>745</v>
      </c>
      <c r="K17" s="129" t="str">
        <f t="shared" si="2"/>
        <v xml:space="preserve">[ROLE] Friendly tutor specializing in Elixir OTP | [TOPIC] Design state modeling patterns using Maps as state, Structs as state, nested state transitions, and process ownership design.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#9 | Stage 1 📖 Practice | Elixir OTP | 📊 Level: Advanced | 🌐 Coding5s.com
**Concept:** State Modeling Patterns (Maps as state, Structs as state, nested state transitions, process ownership design)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7"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state modeling patterns using Maps as state, Structs as state, nested state transitions, and process ownership design.. Topic details: State Modeling Patterns (Maps as state, Structs as state, nested state transitions, process ownership design)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#9 | Practice | Elixir OTP | 📊 Level: Advanced
**Topic:** Design state modeling patterns using Maps as state, Structs as state, nested state transitions, and process ownership design.
---
 | [FOOTER RULE - STRICT] End your response with: '--- ⚡ *Coding5s Mentor System — Eliminating Epistemic Debt*' | </v>
      </c>
      <c r="M17" s="53">
        <v>0</v>
      </c>
      <c r="N17" s="102" t="str">
        <f t="shared" si="4"/>
        <v>[ROLE] Careless Elixir OTP Developer | [TASK] Generate debugging challenges in Elixir OTP | | [TOPIC] Design state modeling patterns using Maps as state, Structs as state, nested state transitions, and process ownership design.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#9 | Stage 2 🐛 Debug | Elixir OTP | 📊 Level: Advanced | 🌐 Coding5s.com
Concept: State Modeling Patterns (Maps as state, Structs as state, nested state transitions, process ownership design)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7"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#9 | Debug | Elixir OTP | 📊 Level: Advanced
**Topic:** Design state modeling patterns using Maps as state, Structs as state, nested state transitions, and process ownership design.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7" s="53">
        <v>0</v>
      </c>
      <c r="Q17" s="102" t="str">
        <f t="shared" si="6"/>
        <v>[ROLE] Tech Lead | [TASK] Assign incomplete Elixir OTP script challenges | [TOPIC] Design state modeling patterns using Maps as state, Structs as state, nested state transitions, and process ownership design.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#9 | Stage 3 🧩 Complete | Elixir OTP | 📊 Level: Advanced | 🌐 Coding5s.com
**Concept:** State Modeling Patterns (Maps as state, Structs as state, nested state transitions, process ownership design)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state modeling patterns using Maps as state, Structs as state, nested state transitions, and process ownership design..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7"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#9 | Complete | Elixir OTP | 📊 Level: Advanced
**Topic:** Design state modeling patterns using Maps as state, Structs as state, nested state transitions, and process ownership design.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7" s="53">
        <v>0</v>
      </c>
      <c r="T17" s="102" t="str">
        <f t="shared" si="8"/>
        <v>[ROLE] Tech Lead | [TASK] Provide intentionally messy but functional code for learning debugging and improvement | [TOPIC] Design state modeling patterns using Maps as state, Structs as state, nested state transitions, and process ownership design.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#9 | Stage 4 🧹 Refactor | Elixir OTP | 📊 Level: Advanced | 🌐 Coding5s.com
**Concept:** State Modeling Patterns (Maps as state, Structs as state, nested state transitions, process ownership design)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state modeling patterns using Maps as state, Structs as state, nested state transitions, and process ownership design.. Topic details: State Modeling Patterns (Maps as state, Structs as state, nested state transitions, process ownership design)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#9 | Refactor | Elixir OTP | 📊 Level: Advanced
**Topic:** Design state modeling patterns using Maps as state, Structs as state, nested state transitions, and process ownership design.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7" s="53">
        <v>0</v>
      </c>
      <c r="W17" s="87" t="str">
        <f t="shared" si="10"/>
        <v>[ROLE] Tech Product Manager assigning a Elixir OTP Jira Ticket | [TASK] Provide a guided implementation exercise with full solution for learning purposes | [TOPIC] Design state modeling patterns using Maps as state, Structs as state, nested state transitions, and process ownership design.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#9 | Stage 5 | Elixir OTP | 📊 Level: Advanced | 🌐 Coding5s.com
**Concept:** State Modeling Patterns (Maps as state, Structs as state, nested state transitions, process ownership design)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state modeling patterns using Maps as state, Structs as state, nested state transitions, and process ownership design.. Goal: State Modeling Patterns (Maps as state, Structs as state, nested state transitions, process ownership design)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#9 | Extend | Elixir OTP | 📊 Level: Advanced
**Topic:** Design state modeling patterns using Maps as state, Structs as state, nested state transitions, and process ownership design.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7" s="53">
        <v>0</v>
      </c>
      <c r="Z17" s="56" t="str">
        <f t="shared" si="12"/>
        <v/>
      </c>
      <c r="AA17" s="56" t="str">
        <f t="shared" si="13"/>
        <v/>
      </c>
      <c r="AB17" s="56" t="str">
        <f t="shared" si="14"/>
        <v/>
      </c>
      <c r="AC17" s="56" t="str">
        <f t="shared" si="15"/>
        <v/>
      </c>
      <c r="AD17" s="56" t="str">
        <f t="shared" si="16"/>
        <v/>
      </c>
      <c r="AE17" s="40" t="s">
        <v>93</v>
      </c>
      <c r="AF17" s="40" t="s">
        <v>94</v>
      </c>
      <c r="AG17" s="40" t="s">
        <v>95</v>
      </c>
      <c r="AH17" s="56" t="str">
        <f t="shared" si="0"/>
        <v/>
      </c>
      <c r="AI17" s="54"/>
      <c r="AJ17" s="54"/>
      <c r="AK17" s="54">
        <v>9</v>
      </c>
      <c r="AL17" s="54" t="s">
        <v>96</v>
      </c>
      <c r="AM17" s="54" t="s">
        <v>97</v>
      </c>
    </row>
    <row r="18" spans="1:39">
      <c r="A18" s="45" t="str" cm="1">
        <f t="array" ref="A18">IF(H18="PROJECT", CHAR(10) &amp; "- " &amp; _xlfn.TEXTJOIN(CHAR(10) &amp; "- ", TRUE, _xlfn._xlws.FILTER($I$9:$I$1000, ($B$9:$B$1000=B18) * ($H$9:$H$1000="Topic"))), "")</f>
        <v/>
      </c>
      <c r="B18" s="45">
        <f t="shared" si="1"/>
        <v>2</v>
      </c>
      <c r="C18" s="95">
        <v>15</v>
      </c>
      <c r="D18" s="57">
        <v>3</v>
      </c>
      <c r="E18" s="58" t="s">
        <v>46</v>
      </c>
      <c r="F18" s="59">
        <v>10</v>
      </c>
      <c r="G18" s="60" t="s">
        <v>159</v>
      </c>
      <c r="H18" s="60" t="s">
        <v>48</v>
      </c>
      <c r="I18" s="61" t="s">
        <v>746</v>
      </c>
      <c r="J18" s="62" t="s">
        <v>747</v>
      </c>
      <c r="K18" s="129" t="str">
        <f t="shared" si="2"/>
        <v xml:space="preserve">[ROLE] Friendly tutor specializing in Elixir OTP | [TOPIC] Implement local registration and global basics using Local name: atom, Process.whereis/1, Process.register/2, and the :global module.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#10 | Stage 1 📖 Practice | Elixir OTP | 📊 Level: Advanced | 🌐 Coding5s.com
**Concept:** Local Registration &amp; Global Basics (Local name: atom, Process.whereis/1, Process.register/2, :global module)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8"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local registration and global basics using Local name: atom, Process.whereis/1, Process.register/2, and the :global module.. Topic details: Local Registration &amp; Global Basics (Local name: atom, Process.whereis/1, Process.register/2, :global module)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#10 | Practice | Elixir OTP | 📊 Level: Advanced
**Topic:** Implement local registration and global basics using Local name: atom, Process.whereis/1, Process.register/2, and the :global module.
---
 | [FOOTER RULE - STRICT] End your response with: '--- ⚡ *Coding5s Mentor System — Eliminating Epistemic Debt*' | </v>
      </c>
      <c r="M18" s="52">
        <v>0</v>
      </c>
      <c r="N18" s="102" t="str">
        <f t="shared" si="4"/>
        <v>[ROLE] Careless Elixir OTP Developer | [TASK] Generate debugging challenges in Elixir OTP | | [TOPIC] Implement local registration and global basics using Local name: atom, Process.whereis/1, Process.register/2, and the :global module.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#10 | Stage 2 🐛 Debug | Elixir OTP | 📊 Level: Advanced | 🌐 Coding5s.com
Concept: Local Registration &amp; Global Basics (Local name: atom, Process.whereis/1, Process.register/2, :global module)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8"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local registration and global basics using Local name: atom, Process.whereis/1, Process.register/2, and the :global module.. Topic details: Local Registration &amp; Global Basics (Local name: atom, Process.whereis/1, Process.register/2, :global module)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#10 | Debug | Elixir OTP | 📊 Level: Advanced
**Topic:** Implement local registration and global basics using Local name: atom, Process.whereis/1, Process.register/2, and the :global module.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8" s="52">
        <v>0</v>
      </c>
      <c r="Q18" s="102" t="str">
        <f t="shared" si="6"/>
        <v>[ROLE] Tech Lead | [TASK] Assign incomplete Elixir OTP script challenges | [TOPIC] Implement local registration and global basics using Local name: atom, Process.whereis/1, Process.register/2, and the :global module.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#10 | Stage 3 🧩 Complete | Elixir OTP | 📊 Level: Advanced | 🌐 Coding5s.com
**Concept:** Local Registration &amp; Global Basics (Local name: atom, Process.whereis/1, Process.register/2, :global module)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local registration and global basics using Local name: atom, Process.whereis/1, Process.register/2, and the :global module..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8"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local registration and global basics using Local name: atom, Process.whereis/1, Process.register/2, and the :global module.. Topic details: Local Registration &amp; Global Basics (Local name: atom, Process.whereis/1, Process.register/2, :global module)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#10 | Complete | Elixir OTP | 📊 Level: Advanced
**Topic:** Implement local registration and global basics using Local name: atom, Process.whereis/1, Process.register/2, and the :global module.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8" s="52">
        <v>0</v>
      </c>
      <c r="T18" s="102" t="str">
        <f t="shared" si="8"/>
        <v>[ROLE] Tech Lead | [TASK] Provide intentionally messy but functional code for learning debugging and improvement | [TOPIC] Implement local registration and global basics using Local name: atom, Process.whereis/1, Process.register/2, and the :global module.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#10 | Stage 4 🧹 Refactor | Elixir OTP | 📊 Level: Advanced | 🌐 Coding5s.com
**Concept:** Local Registration &amp; Global Basics (Local name: atom, Process.whereis/1, Process.register/2, :global module)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local registration and global basics using Local name: atom, Process.whereis/1, Process.register/2, and the :global module.. Topic details: Local Registration &amp; Global Basics (Local name: atom, Process.whereis/1, Process.register/2, :global module)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#10 | Refactor | Elixir OTP | 📊 Level: Advanced
**Topic:** Implement local registration and global basics using Local name: atom, Process.whereis/1, Process.register/2, and the :global module.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8" s="52">
        <v>0</v>
      </c>
      <c r="W18" s="87" t="str">
        <f t="shared" si="10"/>
        <v>[ROLE] Tech Product Manager assigning a Elixir OTP Jira Ticket | [TASK] Provide a guided implementation exercise with full solution for learning purposes | [TOPIC] Implement local registration and global basics using Local name: atom, Process.whereis/1, Process.register/2, and the :global module.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#10 | Stage 5 | Elixir OTP | 📊 Level: Advanced | 🌐 Coding5s.com
**Concept:** Local Registration &amp; Global Basics (Local name: atom, Process.whereis/1, Process.register/2, :global module)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local registration and global basics using Local name: atom, Process.whereis/1, Process.register/2, and the :global module.. Goal: Local Registration &amp; Global Basics (Local name: atom, Process.whereis/1, Process.register/2, :global module)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#10 | Extend | Elixir OTP | 📊 Level: Advanced
**Topic:** Implement local registration and global basics using Local name: atom, Process.whereis/1, Process.register/2, and the :global module.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8" s="52">
        <v>0</v>
      </c>
      <c r="Z18" s="56" t="str">
        <f t="shared" si="12"/>
        <v/>
      </c>
      <c r="AA18" s="56" t="str">
        <f t="shared" si="13"/>
        <v/>
      </c>
      <c r="AB18" s="56" t="str">
        <f t="shared" si="14"/>
        <v/>
      </c>
      <c r="AC18" s="56" t="str">
        <f t="shared" si="15"/>
        <v/>
      </c>
      <c r="AD18" s="56" t="str">
        <f t="shared" si="16"/>
        <v/>
      </c>
      <c r="AE18" s="40" t="s">
        <v>98</v>
      </c>
      <c r="AF18" s="40" t="s">
        <v>99</v>
      </c>
      <c r="AG18" s="40" t="s">
        <v>100</v>
      </c>
      <c r="AH18" s="56" t="str">
        <f t="shared" si="0"/>
        <v/>
      </c>
      <c r="AI18" s="54"/>
      <c r="AJ18" s="54"/>
      <c r="AK18" s="54">
        <v>10</v>
      </c>
      <c r="AL18" s="54" t="s">
        <v>101</v>
      </c>
      <c r="AM18" s="54" t="s">
        <v>102</v>
      </c>
    </row>
    <row r="19" spans="1:39">
      <c r="A19" s="45" t="str" cm="1">
        <f t="array" ref="A19">IF(H19="PROJECT", CHAR(10) &amp; "- " &amp; _xlfn.TEXTJOIN(CHAR(10) &amp; "- ", TRUE, _xlfn._xlws.FILTER($I$9:$I$1000, ($B$9:$B$1000=B19) * ($H$9:$H$1000="Topic"))), "")</f>
        <v/>
      </c>
      <c r="B19" s="45">
        <f t="shared" si="1"/>
        <v>2</v>
      </c>
      <c r="C19" s="95">
        <v>20</v>
      </c>
      <c r="D19" s="46">
        <v>4</v>
      </c>
      <c r="E19" s="58" t="s">
        <v>46</v>
      </c>
      <c r="F19" s="48">
        <v>11</v>
      </c>
      <c r="G19" s="49" t="s">
        <v>159</v>
      </c>
      <c r="H19" s="49" t="s">
        <v>48</v>
      </c>
      <c r="I19" s="50" t="s">
        <v>748</v>
      </c>
      <c r="J19" s="51" t="s">
        <v>749</v>
      </c>
      <c r="K19" s="129" t="str">
        <f t="shared" si="2"/>
        <v xml:space="preserve">[ROLE] Friendly tutor specializing in Elixir OTP | [TOPIC] Implement dynamic naming with The Registry Module using Registry.start_link/1, Registry.lookup/2, and {:via, Registry, ...} dynamic routing.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#11 | Stage 1 📖 Practice | Elixir OTP | 📊 Level: Advanced | 🌐 Coding5s.com
**Concept:** The Registry Module &amp; Dynamic Naming (Registry.start_link/1, Registry.lookup/2, {:via, Registry, ...} dynamic routing)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19"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dynamic naming with The Registry Module using Registry.start_link/1, Registry.lookup/2, and {:via, Registry, ...} dynamic routing.. Topic details: The Registry Module &amp; Dynamic Naming (Registry.start_link/1, Registry.lookup/2, {:via, Registry, ...} dynamic routing)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#11 | Practice | Elixir OTP | 📊 Level: Advanced
**Topic:** Implement dynamic naming with The Registry Module using Registry.start_link/1, Registry.lookup/2, and {:via, Registry, ...} dynamic routing.
---
 | [FOOTER RULE - STRICT] End your response with: '--- ⚡ *Coding5s Mentor System — Eliminating Epistemic Debt*' | </v>
      </c>
      <c r="M19" s="53">
        <v>0</v>
      </c>
      <c r="N19" s="102" t="str">
        <f t="shared" si="4"/>
        <v>[ROLE] Careless Elixir OTP Developer | [TASK] Generate debugging challenges in Elixir OTP | | [TOPIC] Implement dynamic naming with The Registry Module using Registry.start_link/1, Registry.lookup/2, and {:via, Registry, ...} dynamic routing.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#11 | Stage 2 🐛 Debug | Elixir OTP | 📊 Level: Advanced | 🌐 Coding5s.com
Concept: The Registry Module &amp; Dynamic Naming (Registry.start_link/1, Registry.lookup/2, {:via, Registry, ...} dynamic routing)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19"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#11 | Debug | Elixir OTP | 📊 Level: Advanced
**Topic:** Implement dynamic naming with The Registry Module using Registry.start_link/1, Registry.lookup/2, and {:via, Registry, ...} dynamic routing.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19" s="53">
        <v>0</v>
      </c>
      <c r="Q19" s="102" t="str">
        <f t="shared" si="6"/>
        <v>[ROLE] Tech Lead | [TASK] Assign incomplete Elixir OTP script challenges | [TOPIC] Implement dynamic naming with The Registry Module using Registry.start_link/1, Registry.lookup/2, and {:via, Registry, ...} dynamic routing.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#11 | Stage 3 🧩 Complete | Elixir OTP | 📊 Level: Advanced | 🌐 Coding5s.com
**Concept:** The Registry Module &amp; Dynamic Naming (Registry.start_link/1, Registry.lookup/2, {:via, Registry, ...} dynamic routing)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dynamic naming with The Registry Module using Registry.start_link/1, Registry.lookup/2, and {:via, Registry, ...} dynamic routing..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19"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#11 | Complete | Elixir OTP | 📊 Level: Advanced
**Topic:** Implement dynamic naming with The Registry Module using Registry.start_link/1, Registry.lookup/2, and {:via, Registry, ...} dynamic routing.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19" s="53">
        <v>0</v>
      </c>
      <c r="T19" s="102" t="str">
        <f t="shared" si="8"/>
        <v>[ROLE] Tech Lead | [TASK] Provide intentionally messy but functional code for learning debugging and improvement | [TOPIC] Implement dynamic naming with The Registry Module using Registry.start_link/1, Registry.lookup/2, and {:via, Registry, ...} dynamic routing.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#11 | Stage 4 🧹 Refactor | Elixir OTP | 📊 Level: Advanced | 🌐 Coding5s.com
**Concept:** The Registry Module &amp; Dynamic Naming (Registry.start_link/1, Registry.lookup/2, {:via, Registry, ...} dynamic routing)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1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dynamic naming with The Registry Module using Registry.start_link/1, Registry.lookup/2, and {:via, Registry, ...} dynamic routing.. Topic details: The Registry Module &amp; Dynamic Naming (Registry.start_link/1, Registry.lookup/2, {:via, Registry, ...} dynamic routing)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#11 | Refactor | Elixir OTP | 📊 Level: Advanced
**Topic:** Implement dynamic naming with The Registry Module using Registry.start_link/1, Registry.lookup/2, and {:via, Registry, ...} dynamic routing.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19" s="53">
        <v>0</v>
      </c>
      <c r="W19" s="87" t="str">
        <f t="shared" si="10"/>
        <v>[ROLE] Tech Product Manager assigning a Elixir OTP Jira Ticket | [TASK] Provide a guided implementation exercise with full solution for learning purposes | [TOPIC] Implement dynamic naming with The Registry Module using Registry.start_link/1, Registry.lookup/2, and {:via, Registry, ...} dynamic routing.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#11 | Stage 5 | Elixir OTP | 📊 Level: Advanced | 🌐 Coding5s.com
**Concept:** The Registry Module &amp; Dynamic Naming (Registry.start_link/1, Registry.lookup/2, {:via, Registry, ...} dynamic routing)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1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dynamic naming with The Registry Module using Registry.start_link/1, Registry.lookup/2, and {:via, Registry, ...} dynamic routing.. Goal: The Registry Module &amp; Dynamic Naming (Registry.start_link/1, Registry.lookup/2, {:via, Registry, ...} dynamic routing)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#11 | Extend | Elixir OTP | 📊 Level: Advanced
**Topic:** Implement dynamic naming with The Registry Module using Registry.start_link/1, Registry.lookup/2, and {:via, Registry, ...} dynamic routing.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19" s="53">
        <v>0</v>
      </c>
      <c r="Z19" s="56" t="str">
        <f t="shared" si="12"/>
        <v/>
      </c>
      <c r="AA19" s="56" t="str">
        <f t="shared" si="13"/>
        <v/>
      </c>
      <c r="AB19" s="56" t="str">
        <f t="shared" si="14"/>
        <v/>
      </c>
      <c r="AC19" s="56" t="str">
        <f t="shared" si="15"/>
        <v/>
      </c>
      <c r="AD19" s="56" t="str">
        <f t="shared" si="16"/>
        <v/>
      </c>
      <c r="AE19" s="40" t="s">
        <v>103</v>
      </c>
      <c r="AF19" s="40" t="s">
        <v>104</v>
      </c>
      <c r="AG19" s="40" t="s">
        <v>105</v>
      </c>
      <c r="AH19" s="56" t="str">
        <f t="shared" si="0"/>
        <v/>
      </c>
      <c r="AI19" s="54"/>
      <c r="AJ19" s="54"/>
      <c r="AK19" s="54">
        <v>11</v>
      </c>
      <c r="AL19" s="54" t="s">
        <v>106</v>
      </c>
      <c r="AM19" s="54" t="s">
        <v>107</v>
      </c>
    </row>
    <row r="20" spans="1:39">
      <c r="A20" s="45" t="str" cm="1">
        <f t="array" ref="A20">IF(H20="PROJECT", CHAR(10) &amp; "- " &amp; _xlfn.TEXTJOIN(CHAR(10) &amp; "- ", TRUE, _xlfn._xlws.FILTER($I$9:$I$1000, ($B$9:$B$1000=B20) * ($H$9:$H$1000="Topic"))), "")</f>
        <v/>
      </c>
      <c r="B20" s="45">
        <f t="shared" si="1"/>
        <v>2</v>
      </c>
      <c r="C20" s="95">
        <v>25</v>
      </c>
      <c r="D20" s="57">
        <v>4</v>
      </c>
      <c r="E20" s="58" t="s">
        <v>46</v>
      </c>
      <c r="F20" s="59">
        <v>12</v>
      </c>
      <c r="G20" s="60" t="s">
        <v>159</v>
      </c>
      <c r="H20" s="60" t="s">
        <v>48</v>
      </c>
      <c r="I20" s="61" t="s">
        <v>750</v>
      </c>
      <c r="J20" s="62" t="s">
        <v>751</v>
      </c>
      <c r="K20" s="129" t="str">
        <f t="shared" si="2"/>
        <v xml:space="preserve">[ROLE] Friendly tutor specializing in Elixir OTP | [TOPIC] Define Supervisor core and child specifications using use Supervisor, init/1, child_spec/1, shutdown timeouts vs :brutal_kill, and process ownership.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#12 | Stage 1 📖 Practice | Elixir OTP | 📊 Level: Advanced | 🌐 Coding5s.com
**Concept:** Supervisor Core &amp; Child Specifications (use Supervisor, init/1, child_spec/1, shutdown timeouts vs :brutal_kill, process ownership)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0"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#12 | Practice | Elixir OTP | 📊 Level: Advanced
**Topic:** Define Supervisor core and child specifications using use Supervisor, init/1, child_spec/1, shutdown timeouts vs :brutal_kill, and process ownership.
---
 | [FOOTER RULE - STRICT] End your response with: '--- ⚡ *Coding5s Mentor System — Eliminating Epistemic Debt*' | </v>
      </c>
      <c r="M20" s="52">
        <v>0</v>
      </c>
      <c r="N20" s="102" t="str">
        <f t="shared" si="4"/>
        <v>[ROLE] Careless Elixir OTP Developer | [TASK] Generate debugging challenges in Elixir OTP | | [TOPIC] Define Supervisor core and child specifications using use Supervisor, init/1, child_spec/1, shutdown timeouts vs :brutal_kill, and process ownership.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#12 | Stage 2 🐛 Debug | Elixir OTP | 📊 Level: Advanced | 🌐 Coding5s.com
Concept: Supervisor Core &amp; Child Specifications (use Supervisor, init/1, child_spec/1, shutdown timeouts vs :brutal_kill, process ownership)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0"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#12 | Debug | Elixir OTP | 📊 Level: Advanced
**Topic:** Define Supervisor core and child specifications using use Supervisor, init/1, child_spec/1, shutdown timeouts vs :brutal_kill, and process ownership.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0" s="52">
        <v>0</v>
      </c>
      <c r="Q20" s="102" t="str">
        <f t="shared" si="6"/>
        <v>[ROLE] Tech Lead | [TASK] Assign incomplete Elixir OTP script challenges | [TOPIC] Define Supervisor core and child specifications using use Supervisor, init/1, child_spec/1, shutdown timeouts vs :brutal_kill, and process ownership.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#12 | Stage 3 🧩 Complete | Elixir OTP | 📊 Level: Advanced | 🌐 Coding5s.com
**Concept:** Supervisor Core &amp; Child Specifications (use Supervisor, init/1, child_spec/1, shutdown timeouts vs :brutal_kill, process ownership)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Supervisor core and child specifications using use Supervisor, init/1, child_spec/1, shutdown timeouts vs :brutal_kill, and process ownership..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0"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#12 | Complete | Elixir OTP | 📊 Level: Advanced
**Topic:** Define Supervisor core and child specifications using use Supervisor, init/1, child_spec/1, shutdown timeouts vs :brutal_kill, and process ownership.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0" s="52">
        <v>0</v>
      </c>
      <c r="T20" s="102" t="str">
        <f t="shared" si="8"/>
        <v>[ROLE] Tech Lead | [TASK] Provide intentionally messy but functional code for learning debugging and improvement | [TOPIC] Define Supervisor core and child specifications using use Supervisor, init/1, child_spec/1, shutdown timeouts vs :brutal_kill, and process ownership.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#12 | Stage 4 🧹 Refactor | Elixir OTP | 📊 Level: Advanced | 🌐 Coding5s.com
**Concept:** Supervisor Core &amp; Child Specifications (use Supervisor, init/1, child_spec/1, shutdown timeouts vs :brutal_kill, process ownership)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Define Supervisor core and child specifications using use Supervisor, init/1, child_spec/1, shutdown timeouts vs :brutal_kill, and process ownership.. Topic details: Supervisor Core &amp; Child Specifications (use Supervisor, init/1, child_spec/1, shutdown timeouts vs :brutal_kill, process ownership)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#12 | Refactor | Elixir OTP | 📊 Level: Advanced
**Topic:** Define Supervisor core and child specifications using use Supervisor, init/1, child_spec/1, shutdown timeouts vs :brutal_kill, and process ownership.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0" s="52">
        <v>0</v>
      </c>
      <c r="W20" s="87" t="str">
        <f t="shared" si="10"/>
        <v>[ROLE] Tech Product Manager assigning a Elixir OTP Jira Ticket | [TASK] Provide a guided implementation exercise with full solution for learning purposes | [TOPIC] Define Supervisor core and child specifications using use Supervisor, init/1, child_spec/1, shutdown timeouts vs :brutal_kill, and process ownership.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#12 | Stage 5 | Elixir OTP | 📊 Level: Advanced | 🌐 Coding5s.com
**Concept:** Supervisor Core &amp; Child Specifications (use Supervisor, init/1, child_spec/1, shutdown timeouts vs :brutal_kill, process ownership)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Supervisor core and child specifications using use Supervisor, init/1, child_spec/1, shutdown timeouts vs :brutal_kill, and process ownership.. Goal: Supervisor Core &amp; Child Specifications (use Supervisor, init/1, child_spec/1, shutdown timeouts vs :brutal_kill, process ownership)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#12 | Extend | Elixir OTP | 📊 Level: Advanced
**Topic:** Define Supervisor core and child specifications using use Supervisor, init/1, child_spec/1, shutdown timeouts vs :brutal_kill, and process ownership.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0" s="52">
        <v>0</v>
      </c>
      <c r="Z20" s="56" t="str">
        <f t="shared" si="12"/>
        <v/>
      </c>
      <c r="AA20" s="56" t="str">
        <f t="shared" si="13"/>
        <v/>
      </c>
      <c r="AB20" s="56" t="str">
        <f t="shared" si="14"/>
        <v/>
      </c>
      <c r="AC20" s="56" t="str">
        <f t="shared" si="15"/>
        <v/>
      </c>
      <c r="AD20" s="56" t="str">
        <f t="shared" si="16"/>
        <v/>
      </c>
      <c r="AE20" s="40" t="s">
        <v>108</v>
      </c>
      <c r="AF20" s="40" t="s">
        <v>109</v>
      </c>
      <c r="AG20" s="40" t="s">
        <v>110</v>
      </c>
      <c r="AH20" s="56" t="str">
        <f t="shared" si="0"/>
        <v/>
      </c>
      <c r="AI20" s="54"/>
      <c r="AJ20" s="54"/>
      <c r="AK20" s="54">
        <v>12</v>
      </c>
      <c r="AL20" s="54" t="s">
        <v>111</v>
      </c>
      <c r="AM20" s="54" t="s">
        <v>112</v>
      </c>
    </row>
    <row r="21" spans="1:39">
      <c r="A21" s="45" t="str" cm="1">
        <f t="array" ref="A21">IF(H21="PROJECT", CHAR(10) &amp; "- " &amp; _xlfn.TEXTJOIN(CHAR(10) &amp; "- ", TRUE, _xlfn._xlws.FILTER($I$9:$I$1000, ($B$9:$B$1000=B21) * ($H$9:$H$1000="Topic"))), "")</f>
        <v/>
      </c>
      <c r="B21" s="45">
        <f t="shared" si="1"/>
        <v>2</v>
      </c>
      <c r="C21" s="95">
        <v>20</v>
      </c>
      <c r="D21" s="46">
        <v>4</v>
      </c>
      <c r="E21" s="58" t="s">
        <v>46</v>
      </c>
      <c r="F21" s="48">
        <v>13</v>
      </c>
      <c r="G21" s="49" t="s">
        <v>159</v>
      </c>
      <c r="H21" s="49" t="s">
        <v>48</v>
      </c>
      <c r="I21" s="50" t="s">
        <v>752</v>
      </c>
      <c r="J21" s="51" t="s">
        <v>753</v>
      </c>
      <c r="K21" s="129" t="str">
        <f t="shared" si="2"/>
        <v xml:space="preserve">[ROLE] Friendly tutor specializing in Elixir OTP | [TOPIC] Configure Supervisor strategies and tuning using :one_for_one, :one_for_all, :rest_for_one, and max_restarts/max_seconds.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#13 | Stage 1 📖 Practice | Elixir OTP | 📊 Level: Advanced | 🌐 Coding5s.com
**Concept:** Supervisor Strategies &amp; Tuning (:one_for_one, :one_for_all, :rest_for_one, max_restarts/max_seconds)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1"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Supervisor strategies and tuning using :one_for_one, :one_for_all, :rest_for_one, and max_restarts/max_seconds.. Topic details: Supervisor Strategies &amp; Tuning (:one_for_one, :one_for_all, :rest_for_one, max_restarts/max_seconds)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#13 | Practice | Elixir OTP | 📊 Level: Advanced
**Topic:** Configure Supervisor strategies and tuning using :one_for_one, :one_for_all, :rest_for_one, and max_restarts/max_seconds.
---
 | [FOOTER RULE - STRICT] End your response with: '--- ⚡ *Coding5s Mentor System — Eliminating Epistemic Debt*' | </v>
      </c>
      <c r="M21" s="53">
        <v>0</v>
      </c>
      <c r="N21" s="102" t="str">
        <f t="shared" si="4"/>
        <v>[ROLE] Careless Elixir OTP Developer | [TASK] Generate debugging challenges in Elixir OTP | | [TOPIC] Configure Supervisor strategies and tuning using :one_for_one, :one_for_all, :rest_for_one, and max_restarts/max_seconds.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#13 | Stage 2 🐛 Debug | Elixir OTP | 📊 Level: Advanced | 🌐 Coding5s.com
Concept: Supervisor Strategies &amp; Tuning (:one_for_one, :one_for_all, :rest_for_one, max_restarts/max_seconds)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1"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Supervisor strategies and tuning using :one_for_one, :one_for_all, :rest_for_one, and max_restarts/max_seconds.. Topic details: Supervisor Strategies &amp; Tuning (:one_for_one, :one_for_all, :rest_for_one, max_restarts/max_seconds)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#13 | Debug | Elixir OTP | 📊 Level: Advanced
**Topic:** Configure Supervisor strategies and tuning using :one_for_one, :one_for_all, :rest_for_one, and max_restarts/max_seconds.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1" s="53">
        <v>0</v>
      </c>
      <c r="Q21" s="102" t="str">
        <f t="shared" si="6"/>
        <v>[ROLE] Tech Lead | [TASK] Assign incomplete Elixir OTP script challenges | [TOPIC] Configure Supervisor strategies and tuning using :one_for_one, :one_for_all, :rest_for_one, and max_restarts/max_seconds.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#13 | Stage 3 🧩 Complete | Elixir OTP | 📊 Level: Advanced | 🌐 Coding5s.com
**Concept:** Supervisor Strategies &amp; Tuning (:one_for_one, :one_for_all, :rest_for_one, max_restarts/max_seconds)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Supervisor strategies and tuning using :one_for_one, :one_for_all, :rest_for_one, and max_restarts/max_seconds..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1"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Supervisor strategies and tuning using :one_for_one, :one_for_all, :rest_for_one, and max_restarts/max_seconds.. Topic details: Supervisor Strategies &amp; Tuning (:one_for_one, :one_for_all, :rest_for_one, max_restarts/max_seconds)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#13 | Complete | Elixir OTP | 📊 Level: Advanced
**Topic:** Configure Supervisor strategies and tuning using :one_for_one, :one_for_all, :rest_for_one, and max_restarts/max_seconds.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1" s="53">
        <v>0</v>
      </c>
      <c r="T21" s="102" t="str">
        <f t="shared" si="8"/>
        <v>[ROLE] Tech Lead | [TASK] Provide intentionally messy but functional code for learning debugging and improvement | [TOPIC] Configure Supervisor strategies and tuning using :one_for_one, :one_for_all, :rest_for_one, and max_restarts/max_seconds.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#13 | Stage 4 🧹 Refactor | Elixir OTP | 📊 Level: Advanced | 🌐 Coding5s.com
**Concept:** Supervisor Strategies &amp; Tuning (:one_for_one, :one_for_all, :rest_for_one, max_restarts/max_seconds)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Configure Supervisor strategies and tuning using :one_for_one, :one_for_all, :rest_for_one, and max_restarts/max_seconds.. Topic details: Supervisor Strategies &amp; Tuning (:one_for_one, :one_for_all, :rest_for_one, max_restarts/max_seconds)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#13 | Refactor | Elixir OTP | 📊 Level: Advanced
**Topic:** Configure Supervisor strategies and tuning using :one_for_one, :one_for_all, :rest_for_one, and max_restarts/max_seconds.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1" s="53">
        <v>0</v>
      </c>
      <c r="W21" s="87" t="str">
        <f t="shared" si="10"/>
        <v>[ROLE] Tech Product Manager assigning a Elixir OTP Jira Ticket | [TASK] Provide a guided implementation exercise with full solution for learning purposes | [TOPIC] Configure Supervisor strategies and tuning using :one_for_one, :one_for_all, :rest_for_one, and max_restarts/max_seconds.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#13 | Stage 5 | Elixir OTP | 📊 Level: Advanced | 🌐 Coding5s.com
**Concept:** Supervisor Strategies &amp; Tuning (:one_for_one, :one_for_all, :rest_for_one, max_restarts/max_seconds)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Supervisor strategies and tuning using :one_for_one, :one_for_all, :rest_for_one, and max_restarts/max_seconds.. Goal: Supervisor Strategies &amp; Tuning (:one_for_one, :one_for_all, :rest_for_one, max_restarts/max_seconds)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#13 | Extend | Elixir OTP | 📊 Level: Advanced
**Topic:** Configure Supervisor strategies and tuning using :one_for_one, :one_for_all, :rest_for_one, and max_restarts/max_seconds.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1" s="53">
        <v>0</v>
      </c>
      <c r="Z21" s="56" t="str">
        <f t="shared" si="12"/>
        <v/>
      </c>
      <c r="AA21" s="56" t="str">
        <f t="shared" si="13"/>
        <v/>
      </c>
      <c r="AB21" s="56" t="str">
        <f t="shared" si="14"/>
        <v/>
      </c>
      <c r="AC21" s="56" t="str">
        <f t="shared" si="15"/>
        <v/>
      </c>
      <c r="AD21" s="56" t="str">
        <f t="shared" si="16"/>
        <v/>
      </c>
      <c r="AE21" s="40" t="s">
        <v>113</v>
      </c>
      <c r="AF21" s="40" t="s">
        <v>114</v>
      </c>
      <c r="AG21" s="40" t="s">
        <v>115</v>
      </c>
      <c r="AH21" s="56" t="str">
        <f t="shared" si="0"/>
        <v/>
      </c>
      <c r="AI21" s="54"/>
      <c r="AJ21" s="54"/>
      <c r="AK21" s="54">
        <v>13</v>
      </c>
      <c r="AL21" s="54" t="s">
        <v>116</v>
      </c>
      <c r="AM21" s="54" t="s">
        <v>117</v>
      </c>
    </row>
    <row r="22" spans="1:39">
      <c r="A22" s="45" t="str" cm="1">
        <f t="array" ref="A22">IF(H22="PROJECT", CHAR(10) &amp; "- " &amp; _xlfn.TEXTJOIN(CHAR(10) &amp; "- ", TRUE, _xlfn._xlws.FILTER($I$9:$I$1000, ($B$9:$B$1000=B22) * ($H$9:$H$1000="Topic"))), "")</f>
        <v/>
      </c>
      <c r="B22" s="45">
        <f t="shared" si="1"/>
        <v>2</v>
      </c>
      <c r="C22" s="95">
        <v>30</v>
      </c>
      <c r="D22" s="57">
        <v>5</v>
      </c>
      <c r="E22" s="58" t="s">
        <v>46</v>
      </c>
      <c r="F22" s="59">
        <v>14</v>
      </c>
      <c r="G22" s="60" t="s">
        <v>159</v>
      </c>
      <c r="H22" s="60" t="s">
        <v>48</v>
      </c>
      <c r="I22" s="61" t="s">
        <v>754</v>
      </c>
      <c r="J22" s="62" t="s">
        <v>755</v>
      </c>
      <c r="K22" s="129" t="str">
        <f t="shared" si="2"/>
        <v xml:space="preserve">[ROLE] Friendly tutor specializing in Elixir OTP | [TOPIC] Architect Supervision trees and dynamic supervisors using parent-child cascades, DynamicSupervisor, start_child/2, and failure domains.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30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#14 | Stage 1 📖 Practice | Elixir OTP | 📊 Level: Advanced | 🌐 Coding5s.com
**Concept:** Supervision Trees &amp; Dynamic Supervisors (Architecting parent-child cascades, DynamicSupervisor, start_child/2, failure domains)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2"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Architect Supervision trees and dynamic supervisors using parent-child cascades, DynamicSupervisor, start_child/2, and failure domains.. Topic details: Supervision Trees &amp; Dynamic Supervisors (Architecting parent-child cascades, DynamicSupervisor, start_child/2, failure domains)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#14 | Practice | Elixir OTP | 📊 Level: Advanced
**Topic:** Architect Supervision trees and dynamic supervisors using parent-child cascades, DynamicSupervisor, start_child/2, and failure domains.
---
 | [FOOTER RULE - STRICT] End your response with: '--- ⚡ *Coding5s Mentor System — Eliminating Epistemic Debt*' | </v>
      </c>
      <c r="M22" s="52">
        <v>0</v>
      </c>
      <c r="N22" s="102" t="str">
        <f t="shared" si="4"/>
        <v>[ROLE] Careless Elixir OTP Developer | [TASK] Generate debugging challenges in Elixir OTP | | [TOPIC] Architect Supervision trees and dynamic supervisors using parent-child cascades, DynamicSupervisor, start_child/2, and failure domains.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#14 | Stage 2 🐛 Debug | Elixir OTP | 📊 Level: Advanced | 🌐 Coding5s.com
Concept: Supervision Trees &amp; Dynamic Supervisors (Architecting parent-child cascades, DynamicSupervisor, start_child/2, failure domains)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2"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#14 | Debug | Elixir OTP | 📊 Level: Advanced
**Topic:** Architect Supervision trees and dynamic supervisors using parent-child cascades, DynamicSupervisor, start_child/2, and failure domains.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2" s="52">
        <v>0</v>
      </c>
      <c r="Q22" s="102" t="str">
        <f t="shared" si="6"/>
        <v>[ROLE] Tech Lead | [TASK] Assign incomplete Elixir OTP script challenges | [TOPIC] Architect Supervision trees and dynamic supervisors using parent-child cascades, DynamicSupervisor, start_child/2, and failure domains.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#14 | Stage 3 🧩 Complete | Elixir OTP | 📊 Level: Advanced | 🌐 Coding5s.com
**Concept:** Supervision Trees &amp; Dynamic Supervisors (Architecting parent-child cascades, DynamicSupervisor, start_child/2, failure domains)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Architect Supervision trees and dynamic supervisors using parent-child cascades, DynamicSupervisor, start_child/2, and failure domains..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2"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#14 | Complete | Elixir OTP | 📊 Level: Advanced
**Topic:** Architect Supervision trees and dynamic supervisors using parent-child cascades, DynamicSupervisor, start_child/2, and failure domains.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2" s="52">
        <v>0</v>
      </c>
      <c r="T22" s="102" t="str">
        <f t="shared" si="8"/>
        <v>[ROLE] Tech Lead | [TASK] Provide intentionally messy but functional code for learning debugging and improvement | [TOPIC] Architect Supervision trees and dynamic supervisors using parent-child cascades, DynamicSupervisor, start_child/2, and failure domains.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#14 | Stage 4 🧹 Refactor | Elixir OTP | 📊 Level: Advanced | 🌐 Coding5s.com
**Concept:** Supervision Trees &amp; Dynamic Supervisors (Architecting parent-child cascades, DynamicSupervisor, start_child/2, failure domains)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Architect Supervision trees and dynamic supervisors using parent-child cascades, DynamicSupervisor, start_child/2, and failure domains.. Topic details: Supervision Trees &amp; Dynamic Supervisors (Architecting parent-child cascades, DynamicSupervisor, start_child/2, failure domains)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#14 | Refactor | Elixir OTP | 📊 Level: Advanced
**Topic:** Architect Supervision trees and dynamic supervisors using parent-child cascades, DynamicSupervisor, start_child/2, and failure domains.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2" s="52">
        <v>0</v>
      </c>
      <c r="W22" s="87" t="str">
        <f t="shared" si="10"/>
        <v>[ROLE] Tech Product Manager assigning a Elixir OTP Jira Ticket | [TASK] Provide a guided implementation exercise with full solution for learning purposes | [TOPIC] Architect Supervision trees and dynamic supervisors using parent-child cascades, DynamicSupervisor, start_child/2, and failure domains.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#14 | Stage 5 | Elixir OTP | 📊 Level: Advanced | 🌐 Coding5s.com
**Concept:** Supervision Trees &amp; Dynamic Supervisors (Architecting parent-child cascades, DynamicSupervisor, start_child/2, failure domains)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Architect Supervision trees and dynamic supervisors using parent-child cascades, DynamicSupervisor, start_child/2, and failure domains.. Goal: Supervision Trees &amp; Dynamic Supervisors (Architecting parent-child cascades, DynamicSupervisor, start_child/2, failure domains)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#14 | Extend | Elixir OTP | 📊 Level: Advanced
**Topic:** Architect Supervision trees and dynamic supervisors using parent-child cascades, DynamicSupervisor, start_child/2, and failure domains.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2" s="52">
        <v>0</v>
      </c>
      <c r="Z22" s="56" t="str">
        <f t="shared" si="12"/>
        <v/>
      </c>
      <c r="AA22" s="56" t="str">
        <f t="shared" si="13"/>
        <v/>
      </c>
      <c r="AB22" s="56" t="str">
        <f t="shared" si="14"/>
        <v/>
      </c>
      <c r="AC22" s="56" t="str">
        <f t="shared" si="15"/>
        <v/>
      </c>
      <c r="AD22" s="56" t="str">
        <f t="shared" si="16"/>
        <v/>
      </c>
      <c r="AE22" s="40" t="s">
        <v>118</v>
      </c>
      <c r="AF22" s="40" t="s">
        <v>119</v>
      </c>
      <c r="AG22" s="40" t="s">
        <v>120</v>
      </c>
      <c r="AH22" s="56" t="str">
        <f t="shared" si="0"/>
        <v/>
      </c>
      <c r="AI22" s="54"/>
      <c r="AJ22" s="54"/>
      <c r="AK22" s="54">
        <v>14</v>
      </c>
      <c r="AL22" s="54" t="s">
        <v>121</v>
      </c>
      <c r="AM22" s="54" t="s">
        <v>122</v>
      </c>
    </row>
    <row r="23" spans="1:39">
      <c r="A23" s="45" t="str" cm="1">
        <f t="array" ref="A23">IF(H23="PROJECT", CHAR(10) &amp; "- " &amp; _xlfn.TEXTJOIN(CHAR(10) &amp; "- ", TRUE, _xlfn._xlws.FILTER($I$9:$I$1000, ($B$9:$B$1000=B23) * ($H$9:$H$1000="Topic"))), "")</f>
        <v/>
      </c>
      <c r="B23" s="45">
        <f t="shared" si="1"/>
        <v>2</v>
      </c>
      <c r="C23" s="95">
        <v>15</v>
      </c>
      <c r="D23" s="46">
        <v>5</v>
      </c>
      <c r="E23" s="58" t="s">
        <v>710</v>
      </c>
      <c r="F23" s="48">
        <v>15</v>
      </c>
      <c r="G23" s="49" t="s">
        <v>159</v>
      </c>
      <c r="H23" s="49" t="s">
        <v>48</v>
      </c>
      <c r="I23" s="50" t="s">
        <v>756</v>
      </c>
      <c r="J23" s="51" t="s">
        <v>757</v>
      </c>
      <c r="K23" s="129" t="str">
        <f t="shared" si="2"/>
        <v xml:space="preserve">[ROLE] Friendly tutor specializing in Elixir OTP | [TOPIC] Execute asynchronous tasks and bounded concurrency using Task.async/1, Task.await/2, Task.yield/2, and Task.async_stream/3 for safe massive processing.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#15 | Stage 1 📖 Practice | Elixir OTP | 📊 Level: Advanced | 🌐 Coding5s.com
**Concept:** Asynchronous Tasks &amp; Bounded Concurrency (Task.async/1, Task.await/2, Task.yield/2, Task.async_stream/3 for safe massive processing)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3"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asynchronous tasks and bounded concurrency using Task.async/1, Task.await/2, Task.yield/2, and Task.async_stream/3 for safe massive processing.. Topic details: Asynchronous Tasks &amp; Bounded Concurrency (Task.async/1, Task.await/2, Task.yield/2, Task.async_stream/3 for safe massive processing)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#15 | Practice | Elixir OTP | 📊 Level: Advanced
**Topic:** Execute asynchronous tasks and bounded concurrency using Task.async/1, Task.await/2, Task.yield/2, and Task.async_stream/3 for safe massive processing.
---
 | [FOOTER RULE - STRICT] End your response with: '--- ⚡ *Coding5s Mentor System — Eliminating Epistemic Debt*' | </v>
      </c>
      <c r="M23" s="53">
        <v>0</v>
      </c>
      <c r="N23" s="102" t="str">
        <f t="shared" si="4"/>
        <v>[ROLE] Careless Elixir OTP Developer | [TASK] Generate debugging challenges in Elixir OTP | | [TOPIC] Execute asynchronous tasks and bounded concurrency using Task.async/1, Task.await/2, Task.yield/2, and Task.async_stream/3 for safe massive processing.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#15 | Stage 2 🐛 Debug | Elixir OTP | 📊 Level: Advanced | 🌐 Coding5s.com
Concept: Asynchronous Tasks &amp; Bounded Concurrency (Task.async/1, Task.await/2, Task.yield/2, Task.async_stream/3 for safe massive processing)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3"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#15 | Debug | Elixir OTP | 📊 Level: Advanced
**Topic:** Execute asynchronous tasks and bounded concurrency using Task.async/1, Task.await/2, Task.yield/2, and Task.async_stream/3 for safe massive processing.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3" s="53">
        <v>0</v>
      </c>
      <c r="Q23" s="102" t="str">
        <f t="shared" si="6"/>
        <v>[ROLE] Tech Lead | [TASK] Assign incomplete Elixir OTP script challenges | [TOPIC] Execute asynchronous tasks and bounded concurrency using Task.async/1, Task.await/2, Task.yield/2, and Task.async_stream/3 for safe massive processing.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#15 | Stage 3 🧩 Complete | Elixir OTP | 📊 Level: Advanced | 🌐 Coding5s.com
**Concept:** Asynchronous Tasks &amp; Bounded Concurrency (Task.async/1, Task.await/2, Task.yield/2, Task.async_stream/3 for safe massive processing)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asynchronous tasks and bounded concurrency using Task.async/1, Task.await/2, Task.yield/2, and Task.async_stream/3 for safe massive processing..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3"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#15 | Complete | Elixir OTP | 📊 Level: Advanced
**Topic:** Execute asynchronous tasks and bounded concurrency using Task.async/1, Task.await/2, Task.yield/2, and Task.async_stream/3 for safe massive processing.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3" s="53">
        <v>0</v>
      </c>
      <c r="T23" s="102" t="str">
        <f t="shared" si="8"/>
        <v>[ROLE] Tech Lead | [TASK] Provide intentionally messy but functional code for learning debugging and improvement | [TOPIC] Execute asynchronous tasks and bounded concurrency using Task.async/1, Task.await/2, Task.yield/2, and Task.async_stream/3 for safe massive processing.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#15 | Stage 4 🧹 Refactor | Elixir OTP | 📊 Level: Advanced | 🌐 Coding5s.com
**Concept:** Asynchronous Tasks &amp; Bounded Concurrency (Task.async/1, Task.await/2, Task.yield/2, Task.async_stream/3 for safe massive processing)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asynchronous tasks and bounded concurrency using Task.async/1, Task.await/2, Task.yield/2, and Task.async_stream/3 for safe massive processing.. Topic details: Asynchronous Tasks &amp; Bounded Concurrency (Task.async/1, Task.await/2, Task.yield/2, Task.async_stream/3 for safe massive processing)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#15 | Refactor | Elixir OTP | 📊 Level: Advanced
**Topic:** Execute asynchronous tasks and bounded concurrency using Task.async/1, Task.await/2, Task.yield/2, and Task.async_stream/3 for safe massive processing.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3" s="53">
        <v>0</v>
      </c>
      <c r="W23" s="87" t="str">
        <f t="shared" si="10"/>
        <v>[ROLE] Tech Product Manager assigning a Elixir OTP Jira Ticket | [TASK] Provide a guided implementation exercise with full solution for learning purposes | [TOPIC] Execute asynchronous tasks and bounded concurrency using Task.async/1, Task.await/2, Task.yield/2, and Task.async_stream/3 for safe massive processing.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#15 | Stage 5 | Elixir OTP | 📊 Level: Advanced | 🌐 Coding5s.com
**Concept:** Asynchronous Tasks &amp; Bounded Concurrency (Task.async/1, Task.await/2, Task.yield/2, Task.async_stream/3 for safe massive processing)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asynchronous tasks and bounded concurrency using Task.async/1, Task.await/2, Task.yield/2, and Task.async_stream/3 for safe massive processing.. Goal: Asynchronous Tasks &amp; Bounded Concurrency (Task.async/1, Task.await/2, Task.yield/2, Task.async_stream/3 for safe massive processing)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#15 | Extend | Elixir OTP | 📊 Level: Advanced
**Topic:** Execute asynchronous tasks and bounded concurrency using Task.async/1, Task.await/2, Task.yield/2, and Task.async_stream/3 for safe massive processing.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3" s="53">
        <v>0</v>
      </c>
      <c r="Z23" s="56" t="str">
        <f t="shared" si="12"/>
        <v/>
      </c>
      <c r="AA23" s="56" t="str">
        <f t="shared" si="13"/>
        <v/>
      </c>
      <c r="AB23" s="56" t="str">
        <f t="shared" si="14"/>
        <v/>
      </c>
      <c r="AC23" s="56" t="str">
        <f t="shared" si="15"/>
        <v/>
      </c>
      <c r="AD23" s="56" t="str">
        <f t="shared" si="16"/>
        <v/>
      </c>
      <c r="AE23" s="40" t="s">
        <v>123</v>
      </c>
      <c r="AF23" s="40" t="s">
        <v>124</v>
      </c>
      <c r="AG23" s="40" t="s">
        <v>125</v>
      </c>
      <c r="AH23" s="56" t="str">
        <f t="shared" si="0"/>
        <v/>
      </c>
      <c r="AI23" s="54"/>
      <c r="AJ23" s="54"/>
      <c r="AK23" s="54">
        <v>15</v>
      </c>
      <c r="AL23" s="54" t="s">
        <v>126</v>
      </c>
      <c r="AM23" s="54" t="s">
        <v>127</v>
      </c>
    </row>
    <row r="24" spans="1:39">
      <c r="A24" s="45" t="str" cm="1">
        <f t="array" ref="A24">IF(H24="PROJECT", CHAR(10) &amp; "- " &amp; _xlfn.TEXTJOIN(CHAR(10) &amp; "- ", TRUE, _xlfn._xlws.FILTER($I$9:$I$1000, ($B$9:$B$1000=B24) * ($H$9:$H$1000="Topic"))), "")</f>
        <v xml:space="preserve">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v>
      </c>
      <c r="B24" s="45">
        <f t="shared" si="1"/>
        <v>2</v>
      </c>
      <c r="C24" s="95" t="s">
        <v>741</v>
      </c>
      <c r="D24" s="57">
        <v>0</v>
      </c>
      <c r="E24" s="58" t="s">
        <v>710</v>
      </c>
      <c r="F24" s="59">
        <v>16</v>
      </c>
      <c r="G24" s="60" t="s">
        <v>159</v>
      </c>
      <c r="H24" s="60" t="s">
        <v>77</v>
      </c>
      <c r="I24" s="61" t="s">
        <v>758</v>
      </c>
      <c r="J24" s="62" t="s">
        <v>759</v>
      </c>
      <c r="K24" s="129" t="str">
        <f t="shared" si="2"/>
        <v>[TASK] Teach through a practical Elixir OTP -  project following the micro-learning methodology, acting as a supportive tutor, creating a project about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OTP | 📊 Level: Advanced | 🌐 Coding5s.com
**Project:** PROJECT: Resilient Job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24"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fault-tolerant job processing system utilizing DynamicSupervisor, Registry, and Task.async_stream/3.. Topics applied in this project: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#16 | Practice | Elixir OTP | 📊 Level: Advanced
**Project:** Develop a fault-tolerant job processing system utilizing DynamicSupervisor, Registry, and Task.async_stream/3.
---
 | [FOOTER RULE - STRICT] End your response with: '--- ⚡ *Coding5s Mentor System — Eliminating Epistemic Debt*' | </v>
      </c>
      <c r="M24" s="52">
        <v>0</v>
      </c>
      <c r="N24" s="102" t="str">
        <f t="shared" si="4"/>
        <v>[ROLE] Careless Elixir OTP Developer | [TASK] Generate debugging project in Elixir OTP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[OUTPUT] Only header, dataset summary or statement (if any), email intro, objective, expected output, broken code, and footer | [HEADER RULE - STRICT] You MUST start your entire response EXACTLY with this markdown block (do not print anything before it):
### 🚀 Project #16 | Stage 2 | Elixir OTP | 📊 Level: Advanced | 🌐 Coding5s.com
Project: PROJECT: Resilient Job Processor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24"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#16 | Debug | Elixir OTP | 📊 Level: Advanced
**Project:** Develop a fault-tolerant job processing system utilizing DynamicSupervisor, Registry, and Task.async_stream/3.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4" s="52">
        <v>0</v>
      </c>
      <c r="Q24" s="102" t="str">
        <f t="shared" si="6"/>
        <v>[ROLE] Tech Lead | [TASK] Assign incomplete project script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OTP | 📊 Level: Advanced | 🌐 Coding5s.com
**Project:** PROJECT: Resilient Job Processor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24"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#16 | Complete | Elixir OTP | 📊 Level: Advanced
**Project:** Develop a fault-tolerant job processing system utilizing DynamicSupervisor, Registry, and Task.async_stream/3.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4" s="52">
        <v>0</v>
      </c>
      <c r="T24" s="102" t="str">
        <f t="shared" si="8"/>
        <v>[ROLE] Tech Lead | [TASK] Provide a messy but functional project for refactoring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Tech Lead. A junior wrote this working but messy code. Tone: professional but exhausted | [HEADER RULE - STRICT] You MUST start your entire response EXACTLY with this markdown block (do not print anything before it):
### 🚀 Project #16 | Stage 4 | Elixir OTP | 📊 Level: Advanced | 🌐 Coding5s.com
**Project:** PROJECT: Resilient Job Processor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2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Develop a fault-tolerant job processing system utilizing DynamicSupervisor, Registry, and Task.async_stream/3.. Topics involved: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Project objective: PROJECT: Resilient Job Processor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#16 | Refactor | Elixir OTP | 📊 Level: Advanced
**Project:** Develop a fault-tolerant job processing system utilizing DynamicSupervisor, Registry, and Task.async_stream/3.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4" s="52">
        <v>0</v>
      </c>
      <c r="W24" s="87" t="str">
        <f t="shared" si="10"/>
        <v>[ROLE] Tech Product Manager assigning a Elixir OTP Jira Ticket | [TASK] Provide a guided project implementation with full solution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#16 | Stage 5 | Elixir OTP | 📊 Level: Advanced | 🌐 Coding5s.com
**Project:** PROJECT: Resilient Job Processor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2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fault-tolerant job processing system utilizing DynamicSupervisor, Registry, and Task.async_stream/3.. Topics integrated: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Business Goal: PROJECT: Resilient Job Processor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#16 | Extend | Elixir OTP | 📊 Level: Advanced
**Project:** Develop a fault-tolerant job processing system utilizing DynamicSupervisor, Registry, and Task.async_stream/3.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4" s="52">
        <v>0</v>
      </c>
      <c r="Z24" s="56" t="str">
        <f t="shared" si="12"/>
        <v>[TASK] Teach through a practical Elixir OTP -  project following the micro-learning methodology, acting as a supportive tutor, creating a project about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#16 | Stage 1 | Elixir OTP | 📊 Level: Advanced | 🌐 Coding5s.com
**Project:** PROJECT: Resilient Job Processor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24" s="56" t="str">
        <f t="shared" si="13"/>
        <v>[ROLE] Careless Elixir OTP Developer | [TASK] Generate debugging project in Elixir OTP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[OUTPUT] Only header, dataset summary or statement (if any), email intro, objective, expected output, broken code, and footer | [HEADER RULE - STRICT] You MUST start your entire response EXACTLY with this markdown block (do not print anything before it):
### 🚀 Project #16 | Stage 2 | Elixir OTP | 📊 Level: Advanced | 🌐 Coding5s.com
Project: PROJECT: Resilient Job Processor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Telugu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24" s="56" t="str">
        <f t="shared" si="14"/>
        <v>[ROLE] Tech Lead | [TASK] Assign incomplete project script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#16 | Stage 3 | Elixir OTP | 📊 Level: Advanced | 🌐 Coding5s.com
**Project:** PROJECT: Resilient Job Processor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24" s="56" t="str">
        <f t="shared" si="15"/>
        <v>[ROLE] Tech Lead | [TASK] Provide a messy but functional project for refactoring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Tech Lead. A junior wrote this working but messy code. Tone: professional but exhausted | [HEADER RULE - STRICT] You MUST start your entire response EXACTLY with this markdown block (do not print anything before it):
### 🚀 Project #16 | Stage 4 | Elixir OTP | 📊 Level: Advanced | 🌐 Coding5s.com
**Project:** PROJECT: Resilient Job Processor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24" s="56" t="str">
        <f t="shared" si="16"/>
        <v>[ROLE] Tech Product Manager assigning a Elixir OTP Jira Ticket | [TASK] Provide a guided project implementation with full solution | [PROJECT] Develop a fault-tolerant job processing system utilizing DynamicSupervisor, Registry, and Task.async_stream/3. | [TOPICS USED] 
- Design state modeling patterns using Maps as state, Structs as state, nested state transitions, and process ownership design.
- Implement local registration and global basics using Local name: atom, Process.whereis/1, Process.register/2, and the :global module.
- Implement dynamic naming with The Registry Module using Registry.start_link/1, Registry.lookup/2, and {:via, Registry, ...} dynamic routing.
- Define Supervisor core and child specifications using use Supervisor, init/1, child_spec/1, shutdown timeouts vs :brutal_kill, and process ownership.
- Configure Supervisor strategies and tuning using :one_for_one, :one_for_all, :rest_for_one, and max_restarts/max_seconds.
- Architect Supervision trees and dynamic supervisors using parent-child cascades, DynamicSupervisor, start_child/2, and failure domains.
- Execute asynchronous tasks and bounded concurrency using Task.async/1, Task.await/2, Task.yield/2, and Task.async_stream/3 for safe massive processing.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#16 | Stage 5 | Elixir OTP | 📊 Level: Advanced | 🌐 Coding5s.com
**Project:** PROJECT: Resilient Job Processor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24" s="40" t="s">
        <v>128</v>
      </c>
      <c r="AF24" s="40" t="s">
        <v>129</v>
      </c>
      <c r="AG24" s="40" t="s">
        <v>130</v>
      </c>
      <c r="AH24" s="56" t="str">
        <f t="shared" si="0"/>
        <v/>
      </c>
      <c r="AI24" s="54"/>
      <c r="AJ24" s="54"/>
      <c r="AK24" s="54">
        <v>16</v>
      </c>
      <c r="AL24" s="54" t="s">
        <v>131</v>
      </c>
      <c r="AM24" s="54" t="s">
        <v>132</v>
      </c>
    </row>
    <row r="25" spans="1:39">
      <c r="A25" s="45" t="str" cm="1">
        <f t="array" ref="A25">IF(H25="PROJECT", CHAR(10) &amp; "- " &amp; _xlfn.TEXTJOIN(CHAR(10) &amp; "- ", TRUE, _xlfn._xlws.FILTER($I$9:$I$1000, ($B$9:$B$1000=B25) * ($H$9:$H$1000="Topic"))), "")</f>
        <v/>
      </c>
      <c r="B25" s="45">
        <f t="shared" si="1"/>
        <v>3</v>
      </c>
      <c r="C25" s="95">
        <v>18</v>
      </c>
      <c r="D25" s="46">
        <v>3</v>
      </c>
      <c r="E25" s="58" t="s">
        <v>46</v>
      </c>
      <c r="F25" s="48">
        <v>17</v>
      </c>
      <c r="G25" s="49" t="s">
        <v>159</v>
      </c>
      <c r="H25" s="49" t="s">
        <v>48</v>
      </c>
      <c r="I25" s="50" t="s">
        <v>760</v>
      </c>
      <c r="J25" s="51" t="s">
        <v>761</v>
      </c>
      <c r="K25" s="129" t="str">
        <f t="shared" si="2"/>
        <v xml:space="preserve">[ROLE] Friendly tutor specializing in Elixir OTP | [TOPIC] Manage unlinked tasks and task supervision using Task.start/1, Task.Supervisor, and Task.Supervisor.async_nolink/2.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18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#17 | Stage 1 📖 Practice | Elixir OTP | 📊 Level: Advanced | 🌐 Coding5s.com
**Concept:** Unlinked Tasks &amp; Task Supervision (Task.start/1, Task.Supervisor, Task.Supervisor.async_nolink/2)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5"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Manage unlinked tasks and task supervision using Task.start/1, Task.Supervisor, and Task.Supervisor.async_nolink/2.. Topic details: Unlinked Tasks &amp; Task Supervision (Task.start/1, Task.Supervisor, Task.Supervisor.async_nolink/2)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#17 | Practice | Elixir OTP | 📊 Level: Advanced
**Topic:** Manage unlinked tasks and task supervision using Task.start/1, Task.Supervisor, and Task.Supervisor.async_nolink/2.
---
 | [FOOTER RULE - STRICT] End your response with: '--- ⚡ *Coding5s Mentor System — Eliminating Epistemic Debt*' | </v>
      </c>
      <c r="M25" s="53">
        <v>0</v>
      </c>
      <c r="N25" s="102" t="str">
        <f t="shared" si="4"/>
        <v>[ROLE] Careless Elixir OTP Developer | [TASK] Generate debugging challenges in Elixir OTP | | [TOPIC] Manage unlinked tasks and task supervision using Task.start/1, Task.Supervisor, and Task.Supervisor.async_nolink/2.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#17 | Stage 2 🐛 Debug | Elixir OTP | 📊 Level: Advanced | 🌐 Coding5s.com
Concept: Unlinked Tasks &amp; Task Supervision (Task.start/1, Task.Supervisor, Task.Supervisor.async_nolink/2)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5"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Manage unlinked tasks and task supervision using Task.start/1, Task.Supervisor, and Task.Supervisor.async_nolink/2.. Topic details: Unlinked Tasks &amp; Task Supervision (Task.start/1, Task.Supervisor, Task.Supervisor.async_nolink/2)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#17 | Debug | Elixir OTP | 📊 Level: Advanced
**Topic:** Manage unlinked tasks and task supervision using Task.start/1, Task.Supervisor, and Task.Supervisor.async_nolink/2.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5" s="53">
        <v>0</v>
      </c>
      <c r="Q25" s="102" t="str">
        <f t="shared" si="6"/>
        <v>[ROLE] Tech Lead | [TASK] Assign incomplete Elixir OTP script challenges | [TOPIC] Manage unlinked tasks and task supervision using Task.start/1, Task.Supervisor, and Task.Supervisor.async_nolink/2.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#17 | Stage 3 🧩 Complete | Elixir OTP | 📊 Level: Advanced | 🌐 Coding5s.com
**Concept:** Unlinked Tasks &amp; Task Supervision (Task.start/1, Task.Supervisor, Task.Supervisor.async_nolink/2)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Manage unlinked tasks and task supervision using Task.start/1, Task.Supervisor, and Task.Supervisor.async_nolink/2..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5"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Manage unlinked tasks and task supervision using Task.start/1, Task.Supervisor, and Task.Supervisor.async_nolink/2.. Topic details: Unlinked Tasks &amp; Task Supervision (Task.start/1, Task.Supervisor, Task.Supervisor.async_nolink/2)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#17 | Complete | Elixir OTP | 📊 Level: Advanced
**Topic:** Manage unlinked tasks and task supervision using Task.start/1, Task.Supervisor, and Task.Supervisor.async_nolink/2.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5" s="53">
        <v>0</v>
      </c>
      <c r="T25" s="102" t="str">
        <f t="shared" si="8"/>
        <v>[ROLE] Tech Lead | [TASK] Provide intentionally messy but functional code for learning debugging and improvement | [TOPIC] Manage unlinked tasks and task supervision using Task.start/1, Task.Supervisor, and Task.Supervisor.async_nolink/2.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#17 | Stage 4 🧹 Refactor | Elixir OTP | 📊 Level: Advanced | 🌐 Coding5s.com
**Concept:** Unlinked Tasks &amp; Task Supervision (Task.start/1, Task.Supervisor, Task.Supervisor.async_nolink/2)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Manage unlinked tasks and task supervision using Task.start/1, Task.Supervisor, and Task.Supervisor.async_nolink/2.. Topic details: Unlinked Tasks &amp; Task Supervision (Task.start/1, Task.Supervisor, Task.Supervisor.async_nolink/2)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#17 | Refactor | Elixir OTP | 📊 Level: Advanced
**Topic:** Manage unlinked tasks and task supervision using Task.start/1, Task.Supervisor, and Task.Supervisor.async_nolink/2.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5" s="53">
        <v>0</v>
      </c>
      <c r="W25" s="87" t="str">
        <f t="shared" si="10"/>
        <v>[ROLE] Tech Product Manager assigning a Elixir OTP Jira Ticket | [TASK] Provide a guided implementation exercise with full solution for learning purposes | [TOPIC] Manage unlinked tasks and task supervision using Task.start/1, Task.Supervisor, and Task.Supervisor.async_nolink/2.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#17 | Stage 5 | Elixir OTP | 📊 Level: Advanced | 🌐 Coding5s.com
**Concept:** Unlinked Tasks &amp; Task Supervision (Task.start/1, Task.Supervisor, Task.Supervisor.async_nolink/2)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Manage unlinked tasks and task supervision using Task.start/1, Task.Supervisor, and Task.Supervisor.async_nolink/2.. Goal: Unlinked Tasks &amp; Task Supervision (Task.start/1, Task.Supervisor, Task.Supervisor.async_nolink/2)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#17 | Extend | Elixir OTP | 📊 Level: Advanced
**Topic:** Manage unlinked tasks and task supervision using Task.start/1, Task.Supervisor, and Task.Supervisor.async_nolink/2.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5" s="53">
        <v>0</v>
      </c>
      <c r="Z25" s="56" t="str">
        <f t="shared" si="12"/>
        <v/>
      </c>
      <c r="AA25" s="56" t="str">
        <f t="shared" si="13"/>
        <v/>
      </c>
      <c r="AB25" s="56" t="str">
        <f t="shared" si="14"/>
        <v/>
      </c>
      <c r="AC25" s="56" t="str">
        <f t="shared" si="15"/>
        <v/>
      </c>
      <c r="AD25" s="56" t="str">
        <f t="shared" si="16"/>
        <v/>
      </c>
      <c r="AE25" s="40" t="s">
        <v>133</v>
      </c>
      <c r="AF25" s="40" t="s">
        <v>134</v>
      </c>
      <c r="AG25" s="40" t="s">
        <v>135</v>
      </c>
      <c r="AH25" s="56" t="str">
        <f t="shared" si="0"/>
        <v/>
      </c>
      <c r="AI25" s="54"/>
      <c r="AJ25" s="54"/>
      <c r="AK25" s="54">
        <v>17</v>
      </c>
      <c r="AL25" s="54" t="s">
        <v>136</v>
      </c>
      <c r="AM25" s="54" t="s">
        <v>137</v>
      </c>
    </row>
    <row r="26" spans="1:39">
      <c r="A26" s="45" t="str" cm="1">
        <f t="array" ref="A26">IF(H26="PROJECT", CHAR(10) &amp; "- " &amp; _xlfn.TEXTJOIN(CHAR(10) &amp; "- ", TRUE, _xlfn._xlws.FILTER($I$9:$I$1000, ($B$9:$B$1000=B26) * ($H$9:$H$1000="Topic"))), "")</f>
        <v/>
      </c>
      <c r="B26" s="45">
        <f t="shared" si="1"/>
        <v>3</v>
      </c>
      <c r="C26" s="95">
        <v>12</v>
      </c>
      <c r="D26" s="57">
        <v>4</v>
      </c>
      <c r="E26" s="58" t="s">
        <v>710</v>
      </c>
      <c r="F26" s="59">
        <v>18</v>
      </c>
      <c r="G26" s="60" t="s">
        <v>159</v>
      </c>
      <c r="H26" s="60" t="s">
        <v>48</v>
      </c>
      <c r="I26" s="61" t="s">
        <v>762</v>
      </c>
      <c r="J26" s="62" t="s">
        <v>763</v>
      </c>
      <c r="K26" s="129" t="str">
        <f t="shared" si="2"/>
        <v xml:space="preserve">[ROLE] Friendly tutor specializing in Elixir OTP | [TOPIC] Execute ETS core operations using :ets.new, :ets.insert, :ets.lookup, and :ets.delete.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12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#18 | Stage 1 📖 Practice | Elixir OTP | 📊 Level: Advanced | 🌐 Coding5s.com
**Concept:** ETS Core Operations (:ets.new, :ets.insert, :ets.lookup, :ets.delete)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6"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ETS core operations using :ets.new, :ets.insert, :ets.lookup, and :ets.delete.. Topic details: ETS Core Operations (:ets.new, :ets.insert, :ets.lookup, :ets.delete)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#18 | Practice | Elixir OTP | 📊 Level: Advanced
**Topic:** Execute ETS core operations using :ets.new, :ets.insert, :ets.lookup, and :ets.delete.
---
 | [FOOTER RULE - STRICT] End your response with: '--- ⚡ *Coding5s Mentor System — Eliminating Epistemic Debt*' | </v>
      </c>
      <c r="M26" s="52">
        <v>0</v>
      </c>
      <c r="N26" s="102" t="str">
        <f t="shared" si="4"/>
        <v>[ROLE] Careless Elixir OTP Developer | [TASK] Generate debugging challenges in Elixir OTP | | [TOPIC] Execute ETS core operations using :ets.new, :ets.insert, :ets.lookup, and :ets.delete.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#18 | Stage 2 🐛 Debug | Elixir OTP | 📊 Level: Advanced | 🌐 Coding5s.com
Concept: ETS Core Operations (:ets.new, :ets.insert, :ets.lookup, :ets.delete)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6"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ETS core operations using :ets.new, :ets.insert, :ets.lookup, and :ets.delete.. Topic details: ETS Core Operations (:ets.new, :ets.insert, :ets.lookup, :ets.delete)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#18 | Debug | Elixir OTP | 📊 Level: Advanced
**Topic:** Execute ETS core operations using :ets.new, :ets.insert, :ets.lookup, and :ets.delete.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6" s="52">
        <v>0</v>
      </c>
      <c r="Q26" s="102" t="str">
        <f t="shared" si="6"/>
        <v>[ROLE] Tech Lead | [TASK] Assign incomplete Elixir OTP script challenges | [TOPIC] Execute ETS core operations using :ets.new, :ets.insert, :ets.lookup, and :ets.delete.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#18 | Stage 3 🧩 Complete | Elixir OTP | 📊 Level: Advanced | 🌐 Coding5s.com
**Concept:** ETS Core Operations (:ets.new, :ets.insert, :ets.lookup, :ets.delete)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ETS core operations using :ets.new, :ets.insert, :ets.lookup, and :ets.delete..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6"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ETS core operations using :ets.new, :ets.insert, :ets.lookup, and :ets.delete.. Topic details: ETS Core Operations (:ets.new, :ets.insert, :ets.lookup, :ets.delete)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#18 | Complete | Elixir OTP | 📊 Level: Advanced
**Topic:** Execute ETS core operations using :ets.new, :ets.insert, :ets.lookup, and :ets.delete.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6" s="52">
        <v>0</v>
      </c>
      <c r="T26" s="102" t="str">
        <f t="shared" si="8"/>
        <v>[ROLE] Tech Lead | [TASK] Provide intentionally messy but functional code for learning debugging and improvement | [TOPIC] Execute ETS core operations using :ets.new, :ets.insert, :ets.lookup, and :ets.delete.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#18 | Stage 4 🧹 Refactor | Elixir OTP | 📊 Level: Advanced | 🌐 Coding5s.com
**Concept:** ETS Core Operations (:ets.new, :ets.insert, :ets.lookup, :ets.delete)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ETS core operations using :ets.new, :ets.insert, :ets.lookup, and :ets.delete.. Topic details: ETS Core Operations (:ets.new, :ets.insert, :ets.lookup, :ets.delete)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#18 | Refactor | Elixir OTP | 📊 Level: Advanced
**Topic:** Execute ETS core operations using :ets.new, :ets.insert, :ets.lookup, and :ets.delete.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6" s="52">
        <v>0</v>
      </c>
      <c r="W26" s="87" t="str">
        <f t="shared" si="10"/>
        <v>[ROLE] Tech Product Manager assigning a Elixir OTP Jira Ticket | [TASK] Provide a guided implementation exercise with full solution for learning purposes | [TOPIC] Execute ETS core operations using :ets.new, :ets.insert, :ets.lookup, and :ets.delete.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#18 | Stage 5 | Elixir OTP | 📊 Level: Advanced | 🌐 Coding5s.com
**Concept:** ETS Core Operations (:ets.new, :ets.insert, :ets.lookup, :ets.delete)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ETS core operations using :ets.new, :ets.insert, :ets.lookup, and :ets.delete.. Goal: ETS Core Operations (:ets.new, :ets.insert, :ets.lookup, :ets.delete)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#18 | Extend | Elixir OTP | 📊 Level: Advanced
**Topic:** Execute ETS core operations using :ets.new, :ets.insert, :ets.lookup, and :ets.delete.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6" s="52">
        <v>0</v>
      </c>
      <c r="Z26" s="56" t="str">
        <f t="shared" si="12"/>
        <v/>
      </c>
      <c r="AA26" s="56" t="str">
        <f t="shared" si="13"/>
        <v/>
      </c>
      <c r="AB26" s="56" t="str">
        <f t="shared" si="14"/>
        <v/>
      </c>
      <c r="AC26" s="56" t="str">
        <f t="shared" si="15"/>
        <v/>
      </c>
      <c r="AD26" s="56" t="str">
        <f t="shared" si="16"/>
        <v/>
      </c>
      <c r="AE26" s="40" t="s">
        <v>138</v>
      </c>
      <c r="AF26" s="40" t="s">
        <v>139</v>
      </c>
      <c r="AG26" s="40" t="s">
        <v>140</v>
      </c>
      <c r="AH26" s="56" t="str">
        <f t="shared" si="0"/>
        <v/>
      </c>
      <c r="AI26" s="54"/>
      <c r="AJ26" s="54"/>
      <c r="AK26" s="54">
        <v>18</v>
      </c>
      <c r="AL26" s="54" t="s">
        <v>141</v>
      </c>
      <c r="AM26" s="54" t="s">
        <v>142</v>
      </c>
    </row>
    <row r="27" spans="1:39">
      <c r="A27" s="45" t="str" cm="1">
        <f t="array" ref="A27">IF(H27="PROJECT", CHAR(10) &amp; "- " &amp; _xlfn.TEXTJOIN(CHAR(10) &amp; "- ", TRUE, _xlfn._xlws.FILTER($I$9:$I$1000, ($B$9:$B$1000=B27) * ($H$9:$H$1000="Topic"))), "")</f>
        <v/>
      </c>
      <c r="B27" s="45">
        <f t="shared" si="1"/>
        <v>3</v>
      </c>
      <c r="C27" s="95">
        <v>20</v>
      </c>
      <c r="D27" s="46">
        <v>4</v>
      </c>
      <c r="E27" s="58" t="s">
        <v>710</v>
      </c>
      <c r="F27" s="48">
        <v>19</v>
      </c>
      <c r="G27" s="49" t="s">
        <v>159</v>
      </c>
      <c r="H27" s="49" t="s">
        <v>48</v>
      </c>
      <c r="I27" s="50" t="s">
        <v>764</v>
      </c>
      <c r="J27" s="51" t="s">
        <v>765</v>
      </c>
      <c r="K27" s="129" t="str">
        <f t="shared" si="2"/>
        <v xml:space="preserve">[ROLE] Friendly tutor specializing in Elixir OTP | [TOPIC] Configure ETS ownership and advanced patterns utilizing Table types, heir configuration, :read_concurrency / :write_concurrency optimizations, and ETS vs GenServer selection.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#19 | Stage 1 📖 Practice | Elixir OTP | 📊 Level: Advanced | 🌐 Coding5s.com
**Concept:** ETS Ownership &amp; Advanced Patterns (Table types, heir configuration, :read_concurrency / :write_concurrency optimizations, ETS vs GenServer selection)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7"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#19 | Practice | Elixir OTP | 📊 Level: Advanced
**Topic:** Configure ETS ownership and advanced patterns utilizing Table types, heir configuration, :read_concurrency / :write_concurrency optimizations, and ETS vs GenServer selection.
---
 | [FOOTER RULE - STRICT] End your response with: '--- ⚡ *Coding5s Mentor System — Eliminating Epistemic Debt*' | </v>
      </c>
      <c r="M27" s="53">
        <v>0</v>
      </c>
      <c r="N27" s="102" t="str">
        <f t="shared" si="4"/>
        <v>[ROLE] Careless Elixir OTP Developer | [TASK] Generate debugging challenges in Elixir OTP | | [TOPIC] Configure ETS ownership and advanced patterns utilizing Table types, heir configuration, :read_concurrency / :write_concurrency optimizations, and ETS vs GenServer selection.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#19 | Stage 2 🐛 Debug | Elixir OTP | 📊 Level: Advanced | 🌐 Coding5s.com
Concept: ETS Ownership &amp; Advanced Patterns (Table types, heir configuration, :read_concurrency / :write_concurrency optimizations, ETS vs GenServer selection)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7"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#19 | Debug | Elixir OTP | 📊 Level: Advanced
**Topic:** Configure ETS ownership and advanced patterns utilizing Table types, heir configuration, :read_concurrency / :write_concurrency optimizations, and ETS vs GenServer selection.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7" s="53">
        <v>0</v>
      </c>
      <c r="Q27" s="102" t="str">
        <f t="shared" si="6"/>
        <v>[ROLE] Tech Lead | [TASK] Assign incomplete Elixir OTP script challenges | [TOPIC] Configure ETS ownership and advanced patterns utilizing Table types, heir configuration, :read_concurrency / :write_concurrency optimizations, and ETS vs GenServer selection.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#19 | Stage 3 🧩 Complete | Elixir OTP | 📊 Level: Advanced | 🌐 Coding5s.com
**Concept:** ETS Ownership &amp; Advanced Patterns (Table types, heir configuration, :read_concurrency / :write_concurrency optimizations, ETS vs GenServer selection)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Configure ETS ownership and advanced patterns utilizing Table types, heir configuration, :read_concurrency / :write_concurrency optimizations, and ETS vs GenServer selection..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7"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#19 | Complete | Elixir OTP | 📊 Level: Advanced
**Topic:** Configure ETS ownership and advanced patterns utilizing Table types, heir configuration, :read_concurrency / :write_concurrency optimizations, and ETS vs GenServer selection.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7" s="53">
        <v>0</v>
      </c>
      <c r="T27" s="102" t="str">
        <f t="shared" si="8"/>
        <v>[ROLE] Tech Lead | [TASK] Provide intentionally messy but functional code for learning debugging and improvement | [TOPIC] Configure ETS ownership and advanced patterns utilizing Table types, heir configuration, :read_concurrency / :write_concurrency optimizations, and ETS vs GenServer selection.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#19 | Stage 4 🧹 Refactor | Elixir OTP | 📊 Level: Advanced | 🌐 Coding5s.com
**Concept:** ETS Ownership &amp; Advanced Patterns (Table types, heir configuration, :read_concurrency / :write_concurrency optimizations, ETS vs GenServer selection)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7"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Configure ETS ownership and advanced patterns utilizing Table types, heir configuration, :read_concurrency / :write_concurrency optimizations, and ETS vs GenServer selection.. Topic details: ETS Ownership &amp; Advanced Patterns (Table types, heir configuration, :read_concurrency / :write_concurrency optimizations, ETS vs GenServer selection)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#19 | Refactor | Elixir OTP | 📊 Level: Advanced
**Topic:** Configure ETS ownership and advanced patterns utilizing Table types, heir configuration, :read_concurrency / :write_concurrency optimizations, and ETS vs GenServer selection.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7" s="53">
        <v>0</v>
      </c>
      <c r="W27" s="87" t="str">
        <f t="shared" si="10"/>
        <v>[ROLE] Tech Product Manager assigning a Elixir OTP Jira Ticket | [TASK] Provide a guided implementation exercise with full solution for learning purposes | [TOPIC] Configure ETS ownership and advanced patterns utilizing Table types, heir configuration, :read_concurrency / :write_concurrency optimizations, and ETS vs GenServer selection.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#19 | Stage 5 | Elixir OTP | 📊 Level: Advanced | 🌐 Coding5s.com
**Concept:** ETS Ownership &amp; Advanced Patterns (Table types, heir configuration, :read_concurrency / :write_concurrency optimizations, ETS vs GenServer selection)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7"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Configure ETS ownership and advanced patterns utilizing Table types, heir configuration, :read_concurrency / :write_concurrency optimizations, and ETS vs GenServer selection.. Goal: ETS Ownership &amp; Advanced Patterns (Table types, heir configuration, :read_concurrency / :write_concurrency optimizations, ETS vs GenServer selection)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#19 | Extend | Elixir OTP | 📊 Level: Advanced
**Topic:** Configure ETS ownership and advanced patterns utilizing Table types, heir configuration, :read_concurrency / :write_concurrency optimizations, and ETS vs GenServer selection.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7" s="53">
        <v>0</v>
      </c>
      <c r="Z27" s="56" t="str">
        <f t="shared" si="12"/>
        <v/>
      </c>
      <c r="AA27" s="56" t="str">
        <f t="shared" si="13"/>
        <v/>
      </c>
      <c r="AB27" s="56" t="str">
        <f t="shared" si="14"/>
        <v/>
      </c>
      <c r="AC27" s="56" t="str">
        <f t="shared" si="15"/>
        <v/>
      </c>
      <c r="AD27" s="56" t="str">
        <f t="shared" si="16"/>
        <v/>
      </c>
      <c r="AE27" s="40" t="s">
        <v>143</v>
      </c>
      <c r="AF27" s="40" t="s">
        <v>144</v>
      </c>
      <c r="AG27" s="40" t="s">
        <v>145</v>
      </c>
      <c r="AH27" s="56" t="str">
        <f t="shared" si="0"/>
        <v/>
      </c>
      <c r="AI27" s="54"/>
      <c r="AJ27" s="54"/>
      <c r="AK27" s="54">
        <v>19</v>
      </c>
      <c r="AL27" s="54" t="s">
        <v>103</v>
      </c>
      <c r="AM27" s="54" t="s">
        <v>104</v>
      </c>
    </row>
    <row r="28" spans="1:39">
      <c r="A28" s="45" t="str" cm="1">
        <f t="array" ref="A28">IF(H28="PROJECT", CHAR(10) &amp; "- " &amp; _xlfn.TEXTJOIN(CHAR(10) &amp; "- ", TRUE, _xlfn._xlws.FILTER($I$9:$I$1000, ($B$9:$B$1000=B28) * ($H$9:$H$1000="Topic"))), "")</f>
        <v/>
      </c>
      <c r="B28" s="45">
        <f t="shared" si="1"/>
        <v>3</v>
      </c>
      <c r="C28" s="95">
        <v>20</v>
      </c>
      <c r="D28" s="57">
        <v>3</v>
      </c>
      <c r="E28" s="58" t="s">
        <v>46</v>
      </c>
      <c r="F28" s="59">
        <v>20</v>
      </c>
      <c r="G28" s="60" t="s">
        <v>159</v>
      </c>
      <c r="H28" s="60" t="s">
        <v>48</v>
      </c>
      <c r="I28" s="61" t="s">
        <v>766</v>
      </c>
      <c r="J28" s="62" t="s">
        <v>767</v>
      </c>
      <c r="K28" s="129" t="str">
        <f t="shared" si="2"/>
        <v xml:space="preserve">[ROLE] Friendly tutor specializing in Elixir OTP | [TOPIC] Define Application behavior and environment using use Application, start/2, Config scripts, and Application.get_env/3. | [LEVEL] Advanced | [COUNT] 3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20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#20 | Stage 1 📖 Practice | Elixir OTP | 📊 Level: Advanced | 🌐 Coding5s.com
**Concept:** Application Behavior &amp; Environment (use Application, start/2, Config scripts, Application.get_env/3)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3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8"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Define Application behavior and environment using use Application, start/2, Config scripts, and Application.get_env/3.. Topic details: Application Behavior &amp; Environment (use Application, start/2, Config scripts, Application.get_env/3)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#20 | Practice | Elixir OTP | 📊 Level: Advanced
**Topic:** Define Application behavior and environment using use Application, start/2, Config scripts, and Application.get_env/3.
---
 | [FOOTER RULE - STRICT] End your response with: '--- ⚡ *Coding5s Mentor System — Eliminating Epistemic Debt*' | </v>
      </c>
      <c r="M28" s="52">
        <v>0</v>
      </c>
      <c r="N28" s="102" t="str">
        <f t="shared" si="4"/>
        <v>[ROLE] Careless Elixir OTP Developer | [TASK] Generate debugging challenges in Elixir OTP | | [TOPIC] Define Application behavior and environment using use Application, start/2, Config scripts, and Application.get_env/3. | | [LEVEL] Advanced |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#20 | Stage 2 🐛 Debug | Elixir OTP | 📊 Level: Advanced | 🌐 Coding5s.com
Concept: Application Behavior &amp; Environment (use Application, start/2, Config scripts, Application.get_env/3)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3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8"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Define Application behavior and environment using use Application, start/2, Config scripts, and Application.get_env/3.. Topic details: Application Behavior &amp; Environment (use Application, start/2, Config scripts, Application.get_env/3)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#20 | Debug | Elixir OTP | 📊 Level: Advanced
**Topic:** Define Application behavior and environment using use Application, start/2, Config scripts, and Application.get_env/3.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8" s="52">
        <v>0</v>
      </c>
      <c r="Q28" s="102" t="str">
        <f t="shared" si="6"/>
        <v>[ROLE] Tech Lead | [TASK] Assign incomplete Elixir OTP script challenges | [TOPIC] Define Application behavior and environment using use Application, start/2, Config scripts, and Application.get_env/3. | [LEVEL] Advanced | [COUNT] 3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#20 | Stage 3 🧩 Complete | Elixir OTP | 📊 Level: Advanced | 🌐 Coding5s.com
**Concept:** Application Behavior &amp; Environment (use Application, start/2, Config scripts, Application.get_env/3)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3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Define Application behavior and environment using use Application, start/2, Config scripts, and Application.get_env/3..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8"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Define Application behavior and environment using use Application, start/2, Config scripts, and Application.get_env/3.. Topic details: Application Behavior &amp; Environment (use Application, start/2, Config scripts, Application.get_env/3)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#20 | Complete | Elixir OTP | 📊 Level: Advanced
**Topic:** Define Application behavior and environment using use Application, start/2, Config scripts, and Application.get_env/3.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8" s="52">
        <v>0</v>
      </c>
      <c r="T28" s="102" t="str">
        <f t="shared" si="8"/>
        <v>[ROLE] Tech Lead | [TASK] Provide intentionally messy but functional code for learning debugging and improvement | [TOPIC] Define Application behavior and environment using use Application, start/2, Config scripts, and Application.get_env/3. | [LEVEL] Advanced | [COUNT] 3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#20 | Stage 4 🧹 Refactor | Elixir OTP | 📊 Level: Advanced | 🌐 Coding5s.com
**Concept:** Application Behavior &amp; Environment (use Application, start/2, Config scripts, Application.get_env/3)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3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8"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Define Application behavior and environment using use Application, start/2, Config scripts, and Application.get_env/3.. Topic details: Application Behavior &amp; Environment (use Application, start/2, Config scripts, Application.get_env/3)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#20 | Refactor | Elixir OTP | 📊 Level: Advanced
**Topic:** Define Application behavior and environment using use Application, start/2, Config scripts, and Application.get_env/3.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8" s="52">
        <v>0</v>
      </c>
      <c r="W28" s="87" t="str">
        <f t="shared" si="10"/>
        <v>[ROLE] Tech Product Manager assigning a Elixir OTP Jira Ticket | [TASK] Provide a guided implementation exercise with full solution for learning purposes | [TOPIC] Define Application behavior and environment using use Application, start/2, Config scripts, and Application.get_env/3.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#20 | Stage 5 | Elixir OTP | 📊 Level: Advanced | 🌐 Coding5s.com
**Concept:** Application Behavior &amp; Environment (use Application, start/2, Config scripts, Application.get_env/3)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8"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Define Application behavior and environment using use Application, start/2, Config scripts, and Application.get_env/3.. Goal: Application Behavior &amp; Environment (use Application, start/2, Config scripts, Application.get_env/3)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#20 | Extend | Elixir OTP | 📊 Level: Advanced
**Topic:** Define Application behavior and environment using use Application, start/2, Config scripts, and Application.get_env/3.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8" s="52">
        <v>0</v>
      </c>
      <c r="Z28" s="56" t="str">
        <f t="shared" si="12"/>
        <v/>
      </c>
      <c r="AA28" s="56" t="str">
        <f t="shared" si="13"/>
        <v/>
      </c>
      <c r="AB28" s="56" t="str">
        <f t="shared" si="14"/>
        <v/>
      </c>
      <c r="AC28" s="56" t="str">
        <f t="shared" si="15"/>
        <v/>
      </c>
      <c r="AD28" s="56" t="str">
        <f t="shared" si="16"/>
        <v/>
      </c>
      <c r="AE28" s="40" t="s">
        <v>146</v>
      </c>
      <c r="AF28" s="40" t="s">
        <v>147</v>
      </c>
      <c r="AG28" s="40" t="s">
        <v>148</v>
      </c>
      <c r="AH28" s="56" t="str">
        <f t="shared" si="0"/>
        <v/>
      </c>
      <c r="AI28" s="54"/>
      <c r="AJ28" s="54"/>
      <c r="AK28" s="54">
        <v>20</v>
      </c>
      <c r="AL28" s="54" t="s">
        <v>108</v>
      </c>
      <c r="AM28" s="54" t="s">
        <v>109</v>
      </c>
    </row>
    <row r="29" spans="1:39">
      <c r="A29" s="45" t="str" cm="1">
        <f t="array" ref="A29">IF(H29="PROJECT", CHAR(10) &amp; "- " &amp; _xlfn.TEXTJOIN(CHAR(10) &amp; "- ", TRUE, _xlfn._xlws.FILTER($I$9:$I$1000, ($B$9:$B$1000=B29) * ($H$9:$H$1000="Topic"))), "")</f>
        <v/>
      </c>
      <c r="B29" s="45">
        <f t="shared" si="1"/>
        <v>3</v>
      </c>
      <c r="C29" s="95">
        <v>25</v>
      </c>
      <c r="D29" s="46">
        <v>5</v>
      </c>
      <c r="E29" s="58" t="s">
        <v>46</v>
      </c>
      <c r="F29" s="48">
        <v>21</v>
      </c>
      <c r="G29" s="49" t="s">
        <v>159</v>
      </c>
      <c r="H29" s="49" t="s">
        <v>48</v>
      </c>
      <c r="I29" s="50" t="s">
        <v>768</v>
      </c>
      <c r="J29" s="51" t="s">
        <v>769</v>
      </c>
      <c r="K29" s="129" t="str">
        <f t="shared" si="2"/>
        <v xml:space="preserve">[ROLE] Friendly tutor specializing in Elixir OTP | [TOPIC] Implement complex initialization and releases using start_phases, mix release, runtime.exs, and connecting to running nodes.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#21 | Stage 1 📖 Practice | Elixir OTP | 📊 Level: Advanced | 🌐 Coding5s.com
**Concept:** Complex Initialization &amp; Releases (start_phases, mix release, runtime.exs, connecting to running nodes)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29"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complex initialization and releases using start_phases, mix release, runtime.exs, and connecting to running nodes.. Topic details: Complex Initialization &amp; Releases (start_phases, mix release, runtime.exs, connecting to running nodes)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#21 | Practice | Elixir OTP | 📊 Level: Advanced
**Topic:** Implement complex initialization and releases using start_phases, mix release, runtime.exs, and connecting to running nodes.
---
 | [FOOTER RULE - STRICT] End your response with: '--- ⚡ *Coding5s Mentor System — Eliminating Epistemic Debt*' | </v>
      </c>
      <c r="M29" s="53">
        <v>0</v>
      </c>
      <c r="N29" s="102" t="str">
        <f t="shared" si="4"/>
        <v>[ROLE] Careless Elixir OTP Developer | [TASK] Generate debugging challenges in Elixir OTP | | [TOPIC] Implement complex initialization and releases using start_phases, mix release, runtime.exs, and connecting to running nodes.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#21 | Stage 2 🐛 Debug | Elixir OTP | 📊 Level: Advanced | 🌐 Coding5s.com
Concept: Complex Initialization &amp; Releases (start_phases, mix release, runtime.exs, connecting to running nodes)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29"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complex initialization and releases using start_phases, mix release, runtime.exs, and connecting to running nodes.. Topic details: Complex Initialization &amp; Releases (start_phases, mix release, runtime.exs, connecting to running nodes)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#21 | Debug | Elixir OTP | 📊 Level: Advanced
**Topic:** Implement complex initialization and releases using start_phases, mix release, runtime.exs, and connecting to running nodes.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29" s="53">
        <v>0</v>
      </c>
      <c r="Q29" s="102" t="str">
        <f t="shared" si="6"/>
        <v>[ROLE] Tech Lead | [TASK] Assign incomplete Elixir OTP script challenges | [TOPIC] Implement complex initialization and releases using start_phases, mix release, runtime.exs, and connecting to running nodes.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#21 | Stage 3 🧩 Complete | Elixir OTP | 📊 Level: Advanced | 🌐 Coding5s.com
**Concept:** Complex Initialization &amp; Releases (start_phases, mix release, runtime.exs, connecting to running nodes)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complex initialization and releases using start_phases, mix release, runtime.exs, and connecting to running nodes..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29"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complex initialization and releases using start_phases, mix release, runtime.exs, and connecting to running nodes.. Topic details: Complex Initialization &amp; Releases (start_phases, mix release, runtime.exs, connecting to running nodes)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#21 | Complete | Elixir OTP | 📊 Level: Advanced
**Topic:** Implement complex initialization and releases using start_phases, mix release, runtime.exs, and connecting to running nodes.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29" s="53">
        <v>0</v>
      </c>
      <c r="T29" s="102" t="str">
        <f t="shared" si="8"/>
        <v>[ROLE] Tech Lead | [TASK] Provide intentionally messy but functional code for learning debugging and improvement | [TOPIC] Implement complex initialization and releases using start_phases, mix release, runtime.exs, and connecting to running nodes.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#21 | Stage 4 🧹 Refactor | Elixir OTP | 📊 Level: Advanced | 🌐 Coding5s.com
**Concept:** Complex Initialization &amp; Releases (start_phases, mix release, runtime.exs, connecting to running nodes)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29"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complex initialization and releases using start_phases, mix release, runtime.exs, and connecting to running nodes.. Topic details: Complex Initialization &amp; Releases (start_phases, mix release, runtime.exs, connecting to running nodes)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#21 | Refactor | Elixir OTP | 📊 Level: Advanced
**Topic:** Implement complex initialization and releases using start_phases, mix release, runtime.exs, and connecting to running nodes.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29" s="53">
        <v>0</v>
      </c>
      <c r="W29" s="87" t="str">
        <f t="shared" si="10"/>
        <v>[ROLE] Tech Product Manager assigning a Elixir OTP Jira Ticket | [TASK] Provide a guided implementation exercise with full solution for learning purposes | [TOPIC] Implement complex initialization and releases using start_phases, mix release, runtime.exs, and connecting to running nodes.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#21 | Stage 5 | Elixir OTP | 📊 Level: Advanced | 🌐 Coding5s.com
**Concept:** Complex Initialization &amp; Releases (start_phases, mix release, runtime.exs, connecting to running nodes)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29"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complex initialization and releases using start_phases, mix release, runtime.exs, and connecting to running nodes.. Goal: Complex Initialization &amp; Releases (start_phases, mix release, runtime.exs, connecting to running nodes)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#21 | Extend | Elixir OTP | 📊 Level: Advanced
**Topic:** Implement complex initialization and releases using start_phases, mix release, runtime.exs, and connecting to running nodes.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29" s="53">
        <v>0</v>
      </c>
      <c r="Z29" s="56" t="str">
        <f t="shared" si="12"/>
        <v/>
      </c>
      <c r="AA29" s="56" t="str">
        <f t="shared" si="13"/>
        <v/>
      </c>
      <c r="AB29" s="56" t="str">
        <f t="shared" si="14"/>
        <v/>
      </c>
      <c r="AC29" s="56" t="str">
        <f t="shared" si="15"/>
        <v/>
      </c>
      <c r="AD29" s="56" t="str">
        <f t="shared" si="16"/>
        <v/>
      </c>
      <c r="AE29" s="40" t="s">
        <v>149</v>
      </c>
      <c r="AF29" s="40" t="s">
        <v>150</v>
      </c>
      <c r="AG29" s="40" t="s">
        <v>151</v>
      </c>
      <c r="AH29" s="56" t="str">
        <f t="shared" si="0"/>
        <v/>
      </c>
      <c r="AI29" s="54"/>
      <c r="AJ29" s="54"/>
      <c r="AK29" s="54">
        <v>21</v>
      </c>
      <c r="AL29" s="54" t="s">
        <v>113</v>
      </c>
      <c r="AM29" s="54" t="s">
        <v>114</v>
      </c>
    </row>
    <row r="30" spans="1:39">
      <c r="A30" s="45" t="str" cm="1">
        <f t="array" ref="A30">IF(H30="PROJECT", CHAR(10) &amp; "- " &amp; _xlfn.TEXTJOIN(CHAR(10) &amp; "- ", TRUE, _xlfn._xlws.FILTER($I$9:$I$1000, ($B$9:$B$1000=B30) * ($H$9:$H$1000="Topic"))), "")</f>
        <v/>
      </c>
      <c r="B30" s="45">
        <f t="shared" si="1"/>
        <v>3</v>
      </c>
      <c r="C30" s="95">
        <v>15</v>
      </c>
      <c r="D30" s="57">
        <v>4</v>
      </c>
      <c r="E30" s="58" t="s">
        <v>710</v>
      </c>
      <c r="F30" s="59">
        <v>22</v>
      </c>
      <c r="G30" s="60" t="s">
        <v>159</v>
      </c>
      <c r="H30" s="60" t="s">
        <v>48</v>
      </c>
      <c r="I30" s="61" t="s">
        <v>770</v>
      </c>
      <c r="J30" s="62" t="s">
        <v>771</v>
      </c>
      <c r="K30" s="129" t="str">
        <f t="shared" si="2"/>
        <v xml:space="preserve">[ROLE] Friendly tutor specializing in Elixir OTP | [TOPIC] Execute Node operations and RPC using Node.self/0, Node.connect/1, :rpc.call/4, and :rpc.multicall/3.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15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#22 | Stage 1 📖 Practice | Elixir OTP | 📊 Level: Advanced | 🌐 Coding5s.com
**Concept:** Node Operations &amp; RPC (Node.self/0, Node.connect/1, :rpc.call/4, :rpc.multicall/3)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0"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Execute Node operations and RPC using Node.self/0, Node.connect/1, :rpc.call/4, and :rpc.multicall/3.. Topic details: Node Operations &amp; RPC (Node.self/0, Node.connect/1, :rpc.call/4, :rpc.multicall/3)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#22 | Practice | Elixir OTP | 📊 Level: Advanced
**Topic:** Execute Node operations and RPC using Node.self/0, Node.connect/1, :rpc.call/4, and :rpc.multicall/3.
---
 | [FOOTER RULE - STRICT] End your response with: '--- ⚡ *Coding5s Mentor System — Eliminating Epistemic Debt*' | </v>
      </c>
      <c r="M30" s="52">
        <v>0</v>
      </c>
      <c r="N30" s="102" t="str">
        <f t="shared" si="4"/>
        <v>[ROLE] Careless Elixir OTP Developer | [TASK] Generate debugging challenges in Elixir OTP | | [TOPIC] Execute Node operations and RPC using Node.self/0, Node.connect/1, :rpc.call/4, and :rpc.multicall/3.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#22 | Stage 2 🐛 Debug | Elixir OTP | 📊 Level: Advanced | 🌐 Coding5s.com
Concept: Node Operations &amp; RPC (Node.self/0, Node.connect/1, :rpc.call/4, :rpc.multicall/3)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0"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Execute Node operations and RPC using Node.self/0, Node.connect/1, :rpc.call/4, and :rpc.multicall/3.. Topic details: Node Operations &amp; RPC (Node.self/0, Node.connect/1, :rpc.call/4, :rpc.multicall/3)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#22 | Debug | Elixir OTP | 📊 Level: Advanced
**Topic:** Execute Node operations and RPC using Node.self/0, Node.connect/1, :rpc.call/4, and :rpc.multicall/3.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0" s="52">
        <v>0</v>
      </c>
      <c r="Q30" s="102" t="str">
        <f t="shared" si="6"/>
        <v>[ROLE] Tech Lead | [TASK] Assign incomplete Elixir OTP script challenges | [TOPIC] Execute Node operations and RPC using Node.self/0, Node.connect/1, :rpc.call/4, and :rpc.multicall/3.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#22 | Stage 3 🧩 Complete | Elixir OTP | 📊 Level: Advanced | 🌐 Coding5s.com
**Concept:** Node Operations &amp; RPC (Node.self/0, Node.connect/1, :rpc.call/4, :rpc.multicall/3)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Execute Node operations and RPC using Node.self/0, Node.connect/1, :rpc.call/4, and :rpc.multicall/3..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0"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Execute Node operations and RPC using Node.self/0, Node.connect/1, :rpc.call/4, and :rpc.multicall/3.. Topic details: Node Operations &amp; RPC (Node.self/0, Node.connect/1, :rpc.call/4, :rpc.multicall/3)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#22 | Complete | Elixir OTP | 📊 Level: Advanced
**Topic:** Execute Node operations and RPC using Node.self/0, Node.connect/1, :rpc.call/4, and :rpc.multicall/3.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0" s="52">
        <v>0</v>
      </c>
      <c r="T30" s="102" t="str">
        <f t="shared" si="8"/>
        <v>[ROLE] Tech Lead | [TASK] Provide intentionally messy but functional code for learning debugging and improvement | [TOPIC] Execute Node operations and RPC using Node.self/0, Node.connect/1, :rpc.call/4, and :rpc.multicall/3.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#22 | Stage 4 🧹 Refactor | Elixir OTP | 📊 Level: Advanced | 🌐 Coding5s.com
**Concept:** Node Operations &amp; RPC (Node.self/0, Node.connect/1, :rpc.call/4, :rpc.multicall/3)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0"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Execute Node operations and RPC using Node.self/0, Node.connect/1, :rpc.call/4, and :rpc.multicall/3.. Topic details: Node Operations &amp; RPC (Node.self/0, Node.connect/1, :rpc.call/4, :rpc.multicall/3)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#22 | Refactor | Elixir OTP | 📊 Level: Advanced
**Topic:** Execute Node operations and RPC using Node.self/0, Node.connect/1, :rpc.call/4, and :rpc.multicall/3.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0" s="52">
        <v>0</v>
      </c>
      <c r="W30" s="87" t="str">
        <f t="shared" si="10"/>
        <v>[ROLE] Tech Product Manager assigning a Elixir OTP Jira Ticket | [TASK] Provide a guided implementation exercise with full solution for learning purposes | [TOPIC] Execute Node operations and RPC using Node.self/0, Node.connect/1, :rpc.call/4, and :rpc.multicall/3.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#22 | Stage 5 | Elixir OTP | 📊 Level: Advanced | 🌐 Coding5s.com
**Concept:** Node Operations &amp; RPC (Node.self/0, Node.connect/1, :rpc.call/4, :rpc.multicall/3)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0"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Execute Node operations and RPC using Node.self/0, Node.connect/1, :rpc.call/4, and :rpc.multicall/3.. Goal: Node Operations &amp; RPC (Node.self/0, Node.connect/1, :rpc.call/4, :rpc.multicall/3)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#22 | Extend | Elixir OTP | 📊 Level: Advanced
**Topic:** Execute Node operations and RPC using Node.self/0, Node.connect/1, :rpc.call/4, and :rpc.multicall/3.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0" s="52">
        <v>0</v>
      </c>
      <c r="Z30" s="56" t="str">
        <f t="shared" si="12"/>
        <v/>
      </c>
      <c r="AA30" s="56" t="str">
        <f t="shared" si="13"/>
        <v/>
      </c>
      <c r="AB30" s="56" t="str">
        <f t="shared" si="14"/>
        <v/>
      </c>
      <c r="AC30" s="56" t="str">
        <f t="shared" si="15"/>
        <v/>
      </c>
      <c r="AD30" s="56" t="str">
        <f t="shared" si="16"/>
        <v/>
      </c>
      <c r="AE30" s="40" t="s">
        <v>152</v>
      </c>
      <c r="AF30" s="40" t="s">
        <v>153</v>
      </c>
      <c r="AG30" s="40" t="s">
        <v>154</v>
      </c>
      <c r="AH30" s="56" t="str">
        <f t="shared" si="0"/>
        <v/>
      </c>
      <c r="AI30" s="54"/>
      <c r="AJ30" s="54"/>
      <c r="AK30" s="54">
        <v>22</v>
      </c>
      <c r="AL30" s="54" t="s">
        <v>118</v>
      </c>
      <c r="AM30" s="54" t="s">
        <v>119</v>
      </c>
    </row>
    <row r="31" spans="1:39">
      <c r="A31" s="45" t="str" cm="1">
        <f t="array" ref="A31">IF(H31="PROJECT", CHAR(10) &amp; "- " &amp; _xlfn.TEXTJOIN(CHAR(10) &amp; "- ", TRUE, _xlfn._xlws.FILTER($I$9:$I$1000, ($B$9:$B$1000=B31) * ($H$9:$H$1000="Topic"))), "")</f>
        <v/>
      </c>
      <c r="B31" s="45">
        <f t="shared" si="1"/>
        <v>3</v>
      </c>
      <c r="C31" s="95">
        <v>25</v>
      </c>
      <c r="D31" s="46">
        <v>5</v>
      </c>
      <c r="E31" s="58" t="s">
        <v>710</v>
      </c>
      <c r="F31" s="48">
        <v>23</v>
      </c>
      <c r="G31" s="49" t="s">
        <v>159</v>
      </c>
      <c r="H31" s="49" t="s">
        <v>48</v>
      </c>
      <c r="I31" s="50" t="s">
        <v>772</v>
      </c>
      <c r="J31" s="51" t="s">
        <v>773</v>
      </c>
      <c r="K31" s="129" t="str">
        <f t="shared" si="2"/>
        <v xml:space="preserve">[ROLE] Friendly tutor specializing in Elixir OTP | [TOPIC] Design distributed architecture and constraints using Node.monitor/2, :pg Process Groups, and handling network partitions/split-brain. | [LEVEL] Advanced | [COUNT] 5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#23 | Stage 1 📖 Practice | Elixir OTP | 📊 Level: Advanced | 🌐 Coding5s.com
**Concept:** Distributed Architecture &amp; Constraints (Node.monitor/2, :pg Process Groups, handling network partitions/split-brain)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5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1"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distributed architecture and constraints using Node.monitor/2, :pg Process Groups, and handling network partitions/split-brain.. Topic details: Distributed Architecture &amp; Constraints (Node.monitor/2, :pg Process Groups, handling network partitions/split-brain)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#23 | Practice | Elixir OTP | 📊 Level: Advanced
**Topic:** Design distributed architecture and constraints using Node.monitor/2, :pg Process Groups, and handling network partitions/split-brain.
---
 | [FOOTER RULE - STRICT] End your response with: '--- ⚡ *Coding5s Mentor System — Eliminating Epistemic Debt*' | </v>
      </c>
      <c r="M31" s="53">
        <v>0</v>
      </c>
      <c r="N31" s="102" t="str">
        <f t="shared" si="4"/>
        <v>[ROLE] Careless Elixir OTP Developer | [TASK] Generate debugging challenges in Elixir OTP | | [TOPIC] Design distributed architecture and constraints using Node.monitor/2, :pg Process Groups, and handling network partitions/split-brain. | | [LEVEL] Advanced |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#23 | Stage 2 🐛 Debug | Elixir OTP | 📊 Level: Advanced | 🌐 Coding5s.com
Concept: Distributed Architecture &amp; Constraints (Node.monitor/2, :pg Process Groups, handling network partitions/split-brain)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5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1"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#23 | Debug | Elixir OTP | 📊 Level: Advanced
**Topic:** Design distributed architecture and constraints using Node.monitor/2, :pg Process Groups, and handling network partitions/split-brain.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1" s="53">
        <v>0</v>
      </c>
      <c r="Q31" s="102" t="str">
        <f t="shared" si="6"/>
        <v>[ROLE] Tech Lead | [TASK] Assign incomplete Elixir OTP script challenges | [TOPIC] Design distributed architecture and constraints using Node.monitor/2, :pg Process Groups, and handling network partitions/split-brain. | [LEVEL] Advanced | [COUNT] 5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#23 | Stage 3 🧩 Complete | Elixir OTP | 📊 Level: Advanced | 🌐 Coding5s.com
**Concept:** Distributed Architecture &amp; Constraints (Node.monitor/2, :pg Process Groups, handling network partitions/split-brain)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5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distributed architecture and constraints using Node.monitor/2, :pg Process Groups, and handling network partitions/split-brain..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1"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#23 | Complete | Elixir OTP | 📊 Level: Advanced
**Topic:** Design distributed architecture and constraints using Node.monitor/2, :pg Process Groups, and handling network partitions/split-brain.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1" s="53">
        <v>0</v>
      </c>
      <c r="T31" s="102" t="str">
        <f t="shared" si="8"/>
        <v>[ROLE] Tech Lead | [TASK] Provide intentionally messy but functional code for learning debugging and improvement | [TOPIC] Design distributed architecture and constraints using Node.monitor/2, :pg Process Groups, and handling network partitions/split-brain. | [LEVEL] Advanced | [COUNT] 5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#23 | Stage 4 🧹 Refactor | Elixir OTP | 📊 Level: Advanced | 🌐 Coding5s.com
**Concept:** Distributed Architecture &amp; Constraints (Node.monitor/2, :pg Process Groups, handling network partitions/split-brain)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5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1"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distributed architecture and constraints using Node.monitor/2, :pg Process Groups, and handling network partitions/split-brain.. Topic details: Distributed Architecture &amp; Constraints (Node.monitor/2, :pg Process Groups, handling network partitions/split-brain)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#23 | Refactor | Elixir OTP | 📊 Level: Advanced
**Topic:** Design distributed architecture and constraints using Node.monitor/2, :pg Process Groups, and handling network partitions/split-brain.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1" s="53">
        <v>0</v>
      </c>
      <c r="W31" s="87" t="str">
        <f t="shared" si="10"/>
        <v>[ROLE] Tech Product Manager assigning a Elixir OTP Jira Ticket | [TASK] Provide a guided implementation exercise with full solution for learning purposes | [TOPIC] Design distributed architecture and constraints using Node.monitor/2, :pg Process Groups, and handling network partitions/split-brain.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#23 | Stage 5 | Elixir OTP | 📊 Level: Advanced | 🌐 Coding5s.com
**Concept:** Distributed Architecture &amp; Constraints (Node.monitor/2, :pg Process Groups, handling network partitions/split-brain)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1"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distributed architecture and constraints using Node.monitor/2, :pg Process Groups, and handling network partitions/split-brain.. Goal: Distributed Architecture &amp; Constraints (Node.monitor/2, :pg Process Groups, handling network partitions/split-brain)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#23 | Extend | Elixir OTP | 📊 Level: Advanced
**Topic:** Design distributed architecture and constraints using Node.monitor/2, :pg Process Groups, and handling network partitions/split-brain.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1" s="53">
        <v>0</v>
      </c>
      <c r="Z31" s="56" t="str">
        <f t="shared" si="12"/>
        <v/>
      </c>
      <c r="AA31" s="56" t="str">
        <f t="shared" si="13"/>
        <v/>
      </c>
      <c r="AB31" s="56" t="str">
        <f t="shared" si="14"/>
        <v/>
      </c>
      <c r="AC31" s="56" t="str">
        <f t="shared" si="15"/>
        <v/>
      </c>
      <c r="AD31" s="56" t="str">
        <f t="shared" si="16"/>
        <v/>
      </c>
      <c r="AE31" s="40" t="s">
        <v>155</v>
      </c>
      <c r="AF31" s="40" t="s">
        <v>156</v>
      </c>
      <c r="AG31" s="40" t="s">
        <v>157</v>
      </c>
      <c r="AH31" s="56" t="str">
        <f t="shared" si="0"/>
        <v/>
      </c>
      <c r="AI31" s="54"/>
      <c r="AJ31" s="54"/>
      <c r="AK31" s="54">
        <v>23</v>
      </c>
      <c r="AL31" s="54" t="s">
        <v>123</v>
      </c>
      <c r="AM31" s="54" t="s">
        <v>124</v>
      </c>
    </row>
    <row r="32" spans="1:39">
      <c r="A32" s="45" t="str" cm="1">
        <f t="array" ref="A32">IF(H32="PROJECT", CHAR(10) &amp; "- " &amp; _xlfn.TEXTJOIN(CHAR(10) &amp; "- ", TRUE, _xlfn._xlws.FILTER($I$9:$I$1000, ($B$9:$B$1000=B32) * ($H$9:$H$1000="Topic"))), "")</f>
        <v xml:space="preserve">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v>
      </c>
      <c r="B32" s="45">
        <f t="shared" si="1"/>
        <v>3</v>
      </c>
      <c r="C32" s="95" t="s">
        <v>741</v>
      </c>
      <c r="D32" s="57">
        <v>0</v>
      </c>
      <c r="E32" s="58" t="s">
        <v>710</v>
      </c>
      <c r="F32" s="59">
        <v>24</v>
      </c>
      <c r="G32" s="60" t="s">
        <v>159</v>
      </c>
      <c r="H32" s="60" t="s">
        <v>77</v>
      </c>
      <c r="I32" s="61" t="s">
        <v>774</v>
      </c>
      <c r="J32" s="62" t="s">
        <v>775</v>
      </c>
      <c r="K32" s="129" t="str">
        <f t="shared" si="2"/>
        <v>[TASK] Teach through a practical Elixir OTP -  project following the micro-learning methodology, acting as a supportive tutor, creating a project about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OTP | 📊 Level: Advanced | 🌐 Coding5s.com
**Project:** PROJECT: Distributed ETS Cache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2"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Construct a distributed caching application utilizing :ets operations, Application lifecycle, and :rpc node calls.. Topics applied in this project: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#24 | Practice | Elixir OTP | 📊 Level: Advanced
**Project:** Construct a distributed caching application utilizing :ets operations, Application lifecycle, and :rpc node calls.
---
 | [FOOTER RULE - STRICT] End your response with: '--- ⚡ *Coding5s Mentor System — Eliminating Epistemic Debt*' | </v>
      </c>
      <c r="M32" s="52">
        <v>0</v>
      </c>
      <c r="N32" s="102" t="str">
        <f t="shared" si="4"/>
        <v>[ROLE] Careless Elixir OTP Developer | [TASK] Generate debugging project in Elixir OTP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[OUTPUT] Only header, dataset summary or statement (if any), email intro, objective, expected output, broken code, and footer | [HEADER RULE - STRICT] You MUST start your entire response EXACTLY with this markdown block (do not print anything before it):
### 🚀 Project #24 | Stage 2 | Elixir OTP | 📊 Level: Advanced | 🌐 Coding5s.com
Project: PROJECT: Distributed ETS Cache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2"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#24 | Debug | Elixir OTP | 📊 Level: Advanced
**Project:** Construct a distributed caching application utilizing :ets operations, Application lifecycle, and :rpc node calls.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2" s="52">
        <v>0</v>
      </c>
      <c r="Q32" s="102" t="str">
        <f t="shared" si="6"/>
        <v>[ROLE] Tech Lead | [TASK] Assign incomplete project script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OTP | 📊 Level: Advanced | 🌐 Coding5s.com
**Project:** PROJECT: Distributed ETS Cache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2"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#24 | Complete | Elixir OTP | 📊 Level: Advanced
**Project:** Construct a distributed caching application utilizing :ets operations, Application lifecycle, and :rpc node calls.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2" s="52">
        <v>0</v>
      </c>
      <c r="T32" s="102" t="str">
        <f t="shared" si="8"/>
        <v>[ROLE] Tech Lead | [TASK] Provide a messy but functional project for refactoring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Tech Lead. A junior wrote this working but messy code. Tone: professional but exhausted | [HEADER RULE - STRICT] You MUST start your entire response EXACTLY with this markdown block (do not print anything before it):
### 🚀 Project #24 | Stage 4 | Elixir OTP | 📊 Level: Advanced | 🌐 Coding5s.com
**Project:** PROJECT: Distributed ETS Cache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2"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Construct a distributed caching application utilizing :ets operations, Application lifecycle, and :rpc node calls.. Topics involved: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Project objective: PROJECT: Distributed ETS Cache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#24 | Refactor | Elixir OTP | 📊 Level: Advanced
**Project:** Construct a distributed caching application utilizing :ets operations, Application lifecycle, and :rpc node calls.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2" s="52">
        <v>0</v>
      </c>
      <c r="W32" s="87" t="str">
        <f t="shared" si="10"/>
        <v>[ROLE] Tech Product Manager assigning a Elixir OTP Jira Ticket | [TASK] Provide a guided project implementation with full solution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#24 | Stage 5 | Elixir OTP | 📊 Level: Advanced | 🌐 Coding5s.com
**Project:** PROJECT: Distributed ETS Cache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2"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Construct a distributed caching application utilizing :ets operations, Application lifecycle, and :rpc node calls.. Topics integrated: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Business Goal: PROJECT: Distributed ETS Cache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#24 | Extend | Elixir OTP | 📊 Level: Advanced
**Project:** Construct a distributed caching application utilizing :ets operations, Application lifecycle, and :rpc node calls.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2" s="52">
        <v>0</v>
      </c>
      <c r="Z32" s="56" t="str">
        <f t="shared" si="12"/>
        <v>[TASK] Teach through a practical Elixir OTP -  project following the micro-learning methodology, acting as a supportive tutor, creating a project about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#24 | Stage 1 | Elixir OTP | 📊 Level: Advanced | 🌐 Coding5s.com
**Project:** PROJECT: Distributed ETS Cache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2" s="56" t="str">
        <f t="shared" si="13"/>
        <v>[ROLE] Careless Elixir OTP Developer | [TASK] Generate debugging project in Elixir OTP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[OUTPUT] Only header, dataset summary or statement (if any), email intro, objective, expected output, broken code, and footer | [HEADER RULE - STRICT] You MUST start your entire response EXACTLY with this markdown block (do not print anything before it):
### 🚀 Project #24 | Stage 2 | Elixir OTP | 📊 Level: Advanced | 🌐 Coding5s.com
Project: PROJECT: Distributed ETS Cache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Oromo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2" s="56" t="str">
        <f t="shared" si="14"/>
        <v>[ROLE] Tech Lead | [TASK] Assign incomplete project script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#24 | Stage 3 | Elixir OTP | 📊 Level: Advanced | 🌐 Coding5s.com
**Project:** PROJECT: Distributed ETS Cache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2" s="56" t="str">
        <f t="shared" si="15"/>
        <v>[ROLE] Tech Lead | [TASK] Provide a messy but functional project for refactoring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Tech Lead. A junior wrote this working but messy code. Tone: professional but exhausted | [HEADER RULE - STRICT] You MUST start your entire response EXACTLY with this markdown block (do not print anything before it):
### 🚀 Project #24 | Stage 4 | Elixir OTP | 📊 Level: Advanced | 🌐 Coding5s.com
**Project:** PROJECT: Distributed ETS Cache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2" s="56" t="str">
        <f t="shared" si="16"/>
        <v>[ROLE] Tech Product Manager assigning a Elixir OTP Jira Ticket | [TASK] Provide a guided project implementation with full solution | [PROJECT] Construct a distributed caching application utilizing :ets operations, Application lifecycle, and :rpc node calls. | [TOPICS USED] 
- Manage unlinked tasks and task supervision using Task.start/1, Task.Supervisor, and Task.Supervisor.async_nolink/2.
- Execute ETS core operations using :ets.new, :ets.insert, :ets.lookup, and :ets.delete.
- Configure ETS ownership and advanced patterns utilizing Table types, heir configuration, :read_concurrency / :write_concurrency optimizations, and ETS vs GenServer selection.
- Define Application behavior and environment using use Application, start/2, Config scripts, and Application.get_env/3.
- Implement complex initialization and releases using start_phases, mix release, runtime.exs, and connecting to running nodes.
- Execute Node operations and RPC using Node.self/0, Node.connect/1, :rpc.call/4, and :rpc.multicall/3.
- Design distributed architecture and constraints using Node.monitor/2, :pg Process Groups, and handling network partitions/split-brain.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#24 | Stage 5 | Elixir OTP | 📊 Level: Advanced | 🌐 Coding5s.com
**Project:** PROJECT: Distributed ETS Cache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2" s="40"/>
      <c r="AF32" s="40"/>
      <c r="AG32" s="40"/>
      <c r="AH32" s="56" t="str">
        <f t="shared" si="0"/>
        <v/>
      </c>
      <c r="AI32" s="54"/>
      <c r="AJ32" s="54"/>
      <c r="AK32" s="54">
        <v>24</v>
      </c>
      <c r="AL32" s="54" t="s">
        <v>128</v>
      </c>
      <c r="AM32" s="54" t="s">
        <v>129</v>
      </c>
    </row>
    <row r="33" spans="1:39">
      <c r="A33" s="45" t="str" cm="1">
        <f t="array" ref="A33">IF(H33="PROJECT", CHAR(10) &amp; "- " &amp; _xlfn.TEXTJOIN(CHAR(10) &amp; "- ", TRUE, _xlfn._xlws.FILTER($I$9:$I$1000, ($B$9:$B$1000=B33) * ($H$9:$H$1000="Topic"))), "")</f>
        <v/>
      </c>
      <c r="B33" s="45">
        <f t="shared" si="1"/>
        <v>4</v>
      </c>
      <c r="C33" s="95">
        <v>25</v>
      </c>
      <c r="D33" s="46">
        <v>4</v>
      </c>
      <c r="E33" s="58" t="s">
        <v>46</v>
      </c>
      <c r="F33" s="48">
        <v>25</v>
      </c>
      <c r="G33" s="49" t="s">
        <v>159</v>
      </c>
      <c r="H33" s="49" t="s">
        <v>48</v>
      </c>
      <c r="I33" s="50" t="s">
        <v>776</v>
      </c>
      <c r="J33" s="51" t="s">
        <v>777</v>
      </c>
      <c r="K33" s="129" t="str">
        <f t="shared" si="2"/>
        <v xml:space="preserve">[ROLE] Friendly tutor specializing in Elixir OTP | [TOPIC] Implement testing for GenServers and internal state using ExUnit with GenServer, asserting synchronous state, and assert_receive/3 for handle_info.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#25 | Stage 1 📖 Practice | Elixir OTP | 📊 Level: Advanced | 🌐 Coding5s.com
**Concept:** Testing GenServers &amp; Internal State (ExUnit with GenServer, asserting synchronous state, assert_receive/3 for handle_info)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3"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#25 | Practice | Elixir OTP | 📊 Level: Advanced
**Topic:** Implement testing for GenServers and internal state using ExUnit with GenServer, asserting synchronous state, and assert_receive/3 for handle_info.
---
 | [FOOTER RULE - STRICT] End your response with: '--- ⚡ *Coding5s Mentor System — Eliminating Epistemic Debt*' | </v>
      </c>
      <c r="M33" s="53">
        <v>0</v>
      </c>
      <c r="N33" s="102" t="str">
        <f t="shared" si="4"/>
        <v>[ROLE] Careless Elixir OTP Developer | [TASK] Generate debugging challenges in Elixir OTP | | [TOPIC] Implement testing for GenServers and internal state using ExUnit with GenServer, asserting synchronous state, and assert_receive/3 for handle_info.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#25 | Stage 2 🐛 Debug | Elixir OTP | 📊 Level: Advanced | 🌐 Coding5s.com
Concept: Testing GenServers &amp; Internal State (ExUnit with GenServer, asserting synchronous state, assert_receive/3 for handle_info)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3"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#25 | Debug | Elixir OTP | 📊 Level: Advanced
**Topic:** Implement testing for GenServers and internal state using ExUnit with GenServer, asserting synchronous state, and assert_receive/3 for handle_info.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3" s="53">
        <v>0</v>
      </c>
      <c r="Q33" s="102" t="str">
        <f t="shared" si="6"/>
        <v>[ROLE] Tech Lead | [TASK] Assign incomplete Elixir OTP script challenges | [TOPIC] Implement testing for GenServers and internal state using ExUnit with GenServer, asserting synchronous state, and assert_receive/3 for handle_info.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#25 | Stage 3 🧩 Complete | Elixir OTP | 📊 Level: Advanced | 🌐 Coding5s.com
**Concept:** Testing GenServers &amp; Internal State (ExUnit with GenServer, asserting synchronous state, assert_receive/3 for handle_info)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Implement testing for GenServers and internal state using ExUnit with GenServer, asserting synchronous state, and assert_receive/3 for handle_info..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3"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#25 | Complete | Elixir OTP | 📊 Level: Advanced
**Topic:** Implement testing for GenServers and internal state using ExUnit with GenServer, asserting synchronous state, and assert_receive/3 for handle_info.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3" s="53">
        <v>0</v>
      </c>
      <c r="T33" s="102" t="str">
        <f t="shared" si="8"/>
        <v>[ROLE] Tech Lead | [TASK] Provide intentionally messy but functional code for learning debugging and improvement | [TOPIC] Implement testing for GenServers and internal state using ExUnit with GenServer, asserting synchronous state, and assert_receive/3 for handle_info.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#25 | Stage 4 🧹 Refactor | Elixir OTP | 📊 Level: Advanced | 🌐 Coding5s.com
**Concept:** Testing GenServers &amp; Internal State (ExUnit with GenServer, asserting synchronous state, assert_receive/3 for handle_info)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3"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Implement testing for GenServers and internal state using ExUnit with GenServer, asserting synchronous state, and assert_receive/3 for handle_info.. Topic details: Testing GenServers &amp; Internal State (ExUnit with GenServer, asserting synchronous state, assert_receive/3 for handle_info)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#25 | Refactor | Elixir OTP | 📊 Level: Advanced
**Topic:** Implement testing for GenServers and internal state using ExUnit with GenServer, asserting synchronous state, and assert_receive/3 for handle_info.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3" s="53">
        <v>0</v>
      </c>
      <c r="W33" s="87" t="str">
        <f t="shared" si="10"/>
        <v>[ROLE] Tech Product Manager assigning a Elixir OTP Jira Ticket | [TASK] Provide a guided implementation exercise with full solution for learning purposes | [TOPIC] Implement testing for GenServers and internal state using ExUnit with GenServer, asserting synchronous state, and assert_receive/3 for handle_info.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#25 | Stage 5 | Elixir OTP | 📊 Level: Advanced | 🌐 Coding5s.com
**Concept:** Testing GenServers &amp; Internal State (ExUnit with GenServer, asserting synchronous state, assert_receive/3 for handle_info)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3"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Implement testing for GenServers and internal state using ExUnit with GenServer, asserting synchronous state, and assert_receive/3 for handle_info.. Goal: Testing GenServers &amp; Internal State (ExUnit with GenServer, asserting synchronous state, assert_receive/3 for handle_info)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#25 | Extend | Elixir OTP | 📊 Level: Advanced
**Topic:** Implement testing for GenServers and internal state using ExUnit with GenServer, asserting synchronous state, and assert_receive/3 for handle_info.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3" s="53">
        <v>0</v>
      </c>
      <c r="Z33" s="56" t="str">
        <f t="shared" si="12"/>
        <v/>
      </c>
      <c r="AA33" s="56" t="str">
        <f t="shared" si="13"/>
        <v/>
      </c>
      <c r="AB33" s="56" t="str">
        <f t="shared" si="14"/>
        <v/>
      </c>
      <c r="AC33" s="56" t="str">
        <f t="shared" si="15"/>
        <v/>
      </c>
      <c r="AD33" s="56" t="str">
        <f t="shared" si="16"/>
        <v/>
      </c>
      <c r="AE33" s="40"/>
      <c r="AF33" s="40"/>
      <c r="AG33" s="40"/>
      <c r="AH33" s="56" t="str">
        <f t="shared" si="0"/>
        <v/>
      </c>
      <c r="AI33" s="54"/>
      <c r="AJ33" s="54"/>
      <c r="AK33" s="54">
        <v>25</v>
      </c>
      <c r="AL33" s="54" t="s">
        <v>133</v>
      </c>
      <c r="AM33" s="54" t="s">
        <v>134</v>
      </c>
    </row>
    <row r="34" spans="1:39">
      <c r="A34" s="45" t="str" cm="1">
        <f t="array" ref="A34">IF(H34="PROJECT", CHAR(10) &amp; "- " &amp; _xlfn.TEXTJOIN(CHAR(10) &amp; "- ", TRUE, _xlfn._xlws.FILTER($I$9:$I$1000, ($B$9:$B$1000=B34) * ($H$9:$H$1000="Topic"))), "")</f>
        <v/>
      </c>
      <c r="B34" s="45">
        <f t="shared" si="1"/>
        <v>4</v>
      </c>
      <c r="C34" s="95">
        <v>25</v>
      </c>
      <c r="D34" s="57">
        <v>4</v>
      </c>
      <c r="E34" s="58" t="s">
        <v>46</v>
      </c>
      <c r="F34" s="59">
        <v>26</v>
      </c>
      <c r="G34" s="60" t="s">
        <v>159</v>
      </c>
      <c r="H34" s="60" t="s">
        <v>48</v>
      </c>
      <c r="I34" s="61" t="s">
        <v>778</v>
      </c>
      <c r="J34" s="62" t="s">
        <v>779</v>
      </c>
      <c r="K34" s="129" t="str">
        <f t="shared" si="2"/>
        <v xml:space="preserve">[ROLE] Friendly tutor specializing in Elixir OTP | [TOPIC] Formulate testing for Supervisors and fault tolerance using Process.exit/2 simulations, asserting restart behavior, and Task.yield/2 in tests.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#26 | Stage 1 📖 Practice | Elixir OTP | 📊 Level: Advanced | 🌐 Coding5s.com
**Concept:** Testing Supervisors &amp; Fault Tolerance (Process.exit/2 simulations, asserting restart behavior, Task.yield/2 in tests)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4"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Formulate testing for Supervisors and fault tolerance using Process.exit/2 simulations, asserting restart behavior, and Task.yield/2 in tests.. Topic details: Testing Supervisors &amp; Fault Tolerance (Process.exit/2 simulations, asserting restart behavior, Task.yield/2 in tests)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#26 | Practice | Elixir OTP | 📊 Level: Advanced
**Topic:** Formulate testing for Supervisors and fault tolerance using Process.exit/2 simulations, asserting restart behavior, and Task.yield/2 in tests.
---
 | [FOOTER RULE - STRICT] End your response with: '--- ⚡ *Coding5s Mentor System — Eliminating Epistemic Debt*' | </v>
      </c>
      <c r="M34" s="52">
        <v>0</v>
      </c>
      <c r="N34" s="102" t="str">
        <f t="shared" si="4"/>
        <v>[ROLE] Careless Elixir OTP Developer | [TASK] Generate debugging challenges in Elixir OTP | | [TOPIC] Formulate testing for Supervisors and fault tolerance using Process.exit/2 simulations, asserting restart behavior, and Task.yield/2 in tests.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#26 | Stage 2 🐛 Debug | Elixir OTP | 📊 Level: Advanced | 🌐 Coding5s.com
Concept: Testing Supervisors &amp; Fault Tolerance (Process.exit/2 simulations, asserting restart behavior, Task.yield/2 in tests)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4"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#26 | Debug | Elixir OTP | 📊 Level: Advanced
**Topic:** Formulate testing for Supervisors and fault tolerance using Process.exit/2 simulations, asserting restart behavior, and Task.yield/2 in tests.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4" s="52">
        <v>0</v>
      </c>
      <c r="Q34" s="102" t="str">
        <f t="shared" si="6"/>
        <v>[ROLE] Tech Lead | [TASK] Assign incomplete Elixir OTP script challenges | [TOPIC] Formulate testing for Supervisors and fault tolerance using Process.exit/2 simulations, asserting restart behavior, and Task.yield/2 in tests.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#26 | Stage 3 🧩 Complete | Elixir OTP | 📊 Level: Advanced | 🌐 Coding5s.com
**Concept:** Testing Supervisors &amp; Fault Tolerance (Process.exit/2 simulations, asserting restart behavior, Task.yield/2 in tests)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Formulate testing for Supervisors and fault tolerance using Process.exit/2 simulations, asserting restart behavior, and Task.yield/2 in tests..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4"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#26 | Complete | Elixir OTP | 📊 Level: Advanced
**Topic:** Formulate testing for Supervisors and fault tolerance using Process.exit/2 simulations, asserting restart behavior, and Task.yield/2 in tests.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4" s="52">
        <v>0</v>
      </c>
      <c r="T34" s="102" t="str">
        <f t="shared" si="8"/>
        <v>[ROLE] Tech Lead | [TASK] Provide intentionally messy but functional code for learning debugging and improvement | [TOPIC] Formulate testing for Supervisors and fault tolerance using Process.exit/2 simulations, asserting restart behavior, and Task.yield/2 in tests.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#26 | Stage 4 🧹 Refactor | Elixir OTP | 📊 Level: Advanced | 🌐 Coding5s.com
**Concept:** Testing Supervisors &amp; Fault Tolerance (Process.exit/2 simulations, asserting restart behavior, Task.yield/2 in tests)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4"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Formulate testing for Supervisors and fault tolerance using Process.exit/2 simulations, asserting restart behavior, and Task.yield/2 in tests.. Topic details: Testing Supervisors &amp; Fault Tolerance (Process.exit/2 simulations, asserting restart behavior, Task.yield/2 in tests)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#26 | Refactor | Elixir OTP | 📊 Level: Advanced
**Topic:** Formulate testing for Supervisors and fault tolerance using Process.exit/2 simulations, asserting restart behavior, and Task.yield/2 in tests.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4" s="52">
        <v>0</v>
      </c>
      <c r="W34" s="87" t="str">
        <f t="shared" si="10"/>
        <v>[ROLE] Tech Product Manager assigning a Elixir OTP Jira Ticket | [TASK] Provide a guided implementation exercise with full solution for learning purposes | [TOPIC] Formulate testing for Supervisors and fault tolerance using Process.exit/2 simulations, asserting restart behavior, and Task.yield/2 in tests.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#26 | Stage 5 | Elixir OTP | 📊 Level: Advanced | 🌐 Coding5s.com
**Concept:** Testing Supervisors &amp; Fault Tolerance (Process.exit/2 simulations, asserting restart behavior, Task.yield/2 in tests)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4"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Formulate testing for Supervisors and fault tolerance using Process.exit/2 simulations, asserting restart behavior, and Task.yield/2 in tests.. Goal: Testing Supervisors &amp; Fault Tolerance (Process.exit/2 simulations, asserting restart behavior, Task.yield/2 in tests)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#26 | Extend | Elixir OTP | 📊 Level: Advanced
**Topic:** Formulate testing for Supervisors and fault tolerance using Process.exit/2 simulations, asserting restart behavior, and Task.yield/2 in tests.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4" s="52">
        <v>0</v>
      </c>
      <c r="Z34" s="56" t="str">
        <f t="shared" si="12"/>
        <v/>
      </c>
      <c r="AA34" s="56" t="str">
        <f t="shared" si="13"/>
        <v/>
      </c>
      <c r="AB34" s="56" t="str">
        <f t="shared" si="14"/>
        <v/>
      </c>
      <c r="AC34" s="56" t="str">
        <f t="shared" si="15"/>
        <v/>
      </c>
      <c r="AD34" s="56" t="str">
        <f t="shared" si="16"/>
        <v/>
      </c>
      <c r="AE34" s="40"/>
      <c r="AF34" s="40"/>
      <c r="AG34" s="40"/>
      <c r="AH34" s="56" t="str">
        <f t="shared" si="0"/>
        <v/>
      </c>
      <c r="AI34" s="54"/>
      <c r="AJ34" s="54"/>
      <c r="AK34" s="54">
        <v>26</v>
      </c>
      <c r="AL34" s="54" t="s">
        <v>138</v>
      </c>
      <c r="AM34" s="54" t="s">
        <v>139</v>
      </c>
    </row>
    <row r="35" spans="1:39">
      <c r="A35" s="45" t="str" cm="1">
        <f t="array" ref="A35">IF(H35="PROJECT", CHAR(10) &amp; "- " &amp; _xlfn.TEXTJOIN(CHAR(10) &amp; "- ", TRUE, _xlfn._xlws.FILTER($I$9:$I$1000, ($B$9:$B$1000=B35) * ($H$9:$H$1000="Topic"))), "")</f>
        <v/>
      </c>
      <c r="B35" s="45">
        <f t="shared" si="1"/>
        <v>4</v>
      </c>
      <c r="C35" s="95">
        <v>25</v>
      </c>
      <c r="D35" s="46">
        <v>4</v>
      </c>
      <c r="E35" s="58" t="s">
        <v>710</v>
      </c>
      <c r="F35" s="48">
        <v>27</v>
      </c>
      <c r="G35" s="49" t="s">
        <v>159</v>
      </c>
      <c r="H35" s="49" t="s">
        <v>48</v>
      </c>
      <c r="I35" s="50" t="s">
        <v>780</v>
      </c>
      <c r="J35" s="51" t="s">
        <v>781</v>
      </c>
      <c r="K35" s="129" t="str">
        <f t="shared" si="2"/>
        <v xml:space="preserve">[ROLE] Friendly tutor specializing in Elixir OTP | [TOPIC] Design testing for Registries and distributed systems by asserting via tuples, mocking node connections, and testing ETS table state. | [LEVEL] Advanced | [COUNT] 4 examples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[LANGUAGE] English | [EXECUTIVE CONSTRAINTS] Each example MUST include: - Internal data OR dataset usage - Print key intermediate steps and the final result - MUST NOT exceed exactly 25 lines of EXECUTABLE code (STRICT: Do NOT count comments or blank lines). - NEVER exceed this limit. | [FUNCTION RULE] Rule: Advanced OTP patterns: dynamic supervisors (DynamicSupervisor), GenStage/Broadway pipelines, distributed nodes, and custom Supervisor specs. | [CODE_CONSTRAINTS_RULE]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[I_O_PARADIGM] Use State management via GenServer/Agent process state structures. and gracefully handle Use IO.puts/1 or IO.inspect/2 to display server responses clearly. when applicable. | [INLINE_PACKAGE_MANAGER] If using external packages, use Native OTP behaviors (GenServer, Supervisor, Agent, Task), Kernel functions, and BEAM supervision trees. at the top of the code block. Assume no project configuration file exists. | [CONCEPT_ISOLATION_RULE]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[CODE QUALITY RULE] Code MUST be clean, readable, educational, executable and produce correct results. Safely handle missing/malformed/inconsistent data, using pattern matching if possible. | [COMMENT CONSTRAINTS] Code MUST include enough inline comments explaining WHAT it does AND WHY. Density: Beginner=high, Intermediate=medium, Advanced=lower but present in key logic. | [FORMAT RULE] Only valid markdown code blocks allowed | [LANGUAGE TAG RULE] ALWAYS label markdown code blocks with the correct underlying programming language (e.g., elixir, javascript, sql) | [HEADER RULE - STRICT] You MUST start your entire response EXACTLY with this markdown block (do not print anything before it):
### 🔹 Topic #27 | Stage 1 📖 Practice | Elixir OTP | 📊 Level: Advanced | 🌐 Coding5s.com
**Concept:** Testing Registries &amp; Distributed Systems (Asserting via tuples, mocking node connections, testing ETS table state)
---
 | [INTRO RULE] Include a short tutor-style sentence in English before the analogy, followed by this EXACT instruction block translated to English: '🚨 **Your objective in this lesson:** To truly master the new Elixir OTP concepts via Coding5s, manually type the exercises in your IDE while analyzing every comment and explanation. Copy-pasting is strictly forbidden in this Stage. Doing this consciously builds real skill and escapes tutorial hell.' | [PERSONA RULE] Act as a friendly, clear tutor | [TASK] Teach and explain concepts clearly with correct code examples | [OUTPUT CONTRACT] EXACTLY 4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[CODE QUALITY RULE] Code MUST be clean, readable, educational, executable, and produce correct and accurate results | [COMMENT RULE - STRICT] Code MUST include sufficient inline comments explaining important lines and logical blocks | [COMMENT DEPTH RULE] Comments MUST explain WHAT the code does AND WHY it is written that way | [EXPLANATION RULE] Explanation within 'Mini-Lección' MUST explain WHAT, WHY, HOW, and real-world context concisely | [LEARNING RULE] Each example MUST highlight a key insight | [COMMON MISTAKES RULE] Include a short mistake note after each example | [MINI CHALLENGE RULE] Include a short reinforcement question after each example | [REAL WORLD RULE] Connect each example to a real-world use case | [FORMAT RULE] Only valid markdown code blocks allowed | [LANGUAGE TAG RULE] ALWAYS label markdown code blocks with the correct underlying programming language (e.g., python, javascript, sql) | [CONSISTENCY RULE] All examples MUST have similar complexity and length | [FINAL OUTPUT RULE] Include Key Takeaway section at the end |  | [DATA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English), generate minimal dummy data internally, skip summary. | [DATA SUMMARY FORMAT RULE] When a dataset is present, you MUST display IMMEDIATELY AFTER THE HEADER: Dataset Summary: - File Type: - Columns / Fields: - Data Types: - Notes: | [DATA CONSISTENCY RULE] Respect dataset schema | [COMMENT DENSITY RULE] Beginner = high, Intermediate = medium, Advanced = lower but present in key logic | [DIFFICULTY RULE] Complexity MUST match level | [OUTPUT] Only header, introduction, examples, outputs, notes, summary, and footer | [FOOTER RULE - STRICT] End your entire response EXACTLY with this markdown string (ensure all code blocks are closed before it): ⚡ *Coding5s System — Learn Programming by Writing Code* | </v>
      </c>
      <c r="L35"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learning: Design testing for Registries and distributed systems by asserting via tuples, mocking node connections, and testing ETS table state.. Topic details: Testing Registries &amp; Distributed Systems (Asserting via tuples, mocking node connections, testing ETS table state)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TOPIC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topic. 5. Provide a section exactly titled '🏋️ Mini-Challenges:' with 2 tasks to reinforce the fix. | [HEADER RULE - STRICT] You MUST start your entire response exactly with the following RAW markdown block (do NOT strip the '#' characters):
### 🎓 Mentor Stage 1 | Topic #27 | Practice | Elixir OTP | 📊 Level: Advanced
**Topic:** Design testing for Registries and distributed systems by asserting via tuples, mocking node connections, and testing ETS table state.
---
 | [FOOTER RULE - STRICT] End your response with: '--- ⚡ *Coding5s Mentor System — Eliminating Epistemic Debt*' | </v>
      </c>
      <c r="M35" s="53">
        <v>0</v>
      </c>
      <c r="N35" s="102" t="str">
        <f t="shared" si="4"/>
        <v>[ROLE] Careless Elixir OTP Developer | [TASK] Generate debugging challenges in Elixir OTP | | [TOPIC] Design testing for Registries and distributed systems by asserting via tuples, mocking node connections, and testing ETS table state. | | [LEVEL] Advanced |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#27 | Stage 2 🐛 Debug | Elixir OTP | 📊 Level: Advanced | 🌐 Coding5s.com
Concept: Testing Registries &amp; Distributed Systems (Asserting via tuples, mocking node connections, testing ETS table state)
---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[TESTING_FRAMEWORK_RULE] Validate with IO output or simple ExUnit assert/refute macros. Avoid complex suites, setup chains, or excessive test scaffolding. | [DEPENDENCY_MANAGEMENT_RULE] Standard Mix/Elixir context. If external packages are needed, declare them only in mix.exs and install with mix deps.get. | [CODE CONSTRAINTS] Each challenge MUST include GenServer/Agent process use, at least 1 IO.puts/IO.inspect, state transformation, EXACTLY 1 OTP module, and EXACTLY 1 process call/cast. - 15–35 lines of EXECUTABLE broken Elixir OTP code per challenge; exclude blank lines. NO raw process receive loops and NO top-level executable expressions EXCEPT the startup and call flow. | All challenges MUST maintain similar complexity, length, and functional scope. | [INTRO RULE] The intro MUST be a dynamically generated, urgent, unprofessional email in English with this EXACT format: '📥 From: [Random Dev Name]' / '📤 To: [Insert my user name if known from context, otherwise use Elixir OTP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English: '🚨 Your objective in this lesson: Copy the code blocks from each Challenge exactly as they are into your IDE. Then fix all errors until you get the exact Expected Output when running the program.' | [COMMENT RULE] Do NOT include comments that reveal bugs | [FORMAT RULE] Only valid markdown code blocks allowed | [LANGUAGE TAG RULE] ALWAYS label markdown code blocks with the correct underlying programming language (e.g., python, javascript, sql) | [STRICT MODE] If ANY rule is violated, regenerate entire response | [PERSONA RULE] Use a careless, messy, slightly frustrated developer tone | [OUTPUT CONTRACT] EXACTLY 4 broken code challenges. Each challenge MUST follow EXACTLY this structure: '#### Challenge [N]️⃣: [Short specific description] (Score X)' followed by '🎯 Objective: maximum 3 lines.', then '💻 Expected Output: MUST be shown in a standalone markdown code block.', and finally '❌ Broken Code: a single code block.'. | [OUTPUT] Only header, dataset summary (if any), email intro, challenges, and footer | [STRUCTURE RULE] Do NOT rename sections. Do NOT add titles. Do NOT add extra text (except when required by SUPPORT FILES RULE) | [CONSISTENCY RULE] All challenges MUST have similar complexity and length | [BUG COMPLEXITY RULE] Must align with score (3 basic, 4 intermediate, 5 multi-step) | [BUG RULE] Each challenge MUST include 2–3 bugs. | [CORRECTNESS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[EXECUTION RULE] Code must fail due to syntax errors, runtime exceptions, or produce incorrect output | [DATA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English) - generate minimal dummy data - NO summary | [CRITICAL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[DATA SUMMARY FORMAT RULE] Dataset Summary: - File Type: - Columns / Fields: - Data Types: - Notes: | [SUPPORT FILES RULE - STRICT] If env/config is used, MUST include: 1. Instructional sentence 2. File content in markdown code block 3. BEFORE the broken code | | [SUPPORT FILES QUALITY RULE] Support files (.env, .env.example, .gitignore) MUST be fully correct and contain NO bugs | [NO SOLUTION RULE - STRICT] You are generating an EXAM. You MUST NOT provide the fixed code, bug diagnosis, hints, explanations, or takeaways. Output ONLY the broken code. Do NOT solve your own challenges. Let the student find the bugs. | [FOOTER RULE - STRICT] End your entire response EXACTLY with this markdown string (ensure all code blocks are closed before it):
---
⚡ Coding5s System - Learn Programming by Writing Code - Coding5S.com</v>
      </c>
      <c r="O35"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Topic #27 | Debug | Elixir OTP | 📊 Level: Advanced
**Topic:** Design testing for Registries and distributed systems by asserting via tuples, mocking node connections, and testing ETS table state.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5" s="53">
        <v>0</v>
      </c>
      <c r="Q35" s="102" t="str">
        <f t="shared" si="6"/>
        <v>[ROLE] Tech Lead | [TASK] Assign incomplete Elixir OTP script challenges | [TOPIC] Design testing for Registries and distributed systems by asserting via tuples, mocking node connections, and testing ETS table state. | [LEVEL] Advanced | [COUNT] 4 challenges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[HEADER RULE - STRICT] You MUST start your entire response EXACTLY with this markdown block (do not print anything before it):
### 🔹 Topic #27 | Stage 3 🧩 Complete | Elixir OTP | 📊 Level: Advanced | 🌐 Coding5s.com
**Concept:** Testing Registries &amp; Distributed Systems (Asserting via tuples, mocking node connections, testing ETS table state)
---
 | [LANGUAGE CONSISTENCY RULE] ALL output text MUST be written strictly in the selected language (English). This includes translating ALL structural labels requested in this prompt (like 'Dataset Summary', 'File Type', 'Columns / Fields', 'Data Types', 'Notes', 'Analogy', 'Exercise', 'Objective', 'Expected Output') into English. Do NOT mix languages. Only code and technical identifiers remain unchanged |  | [LANGUAGE SEED CONTEXT] Language Seed Not Necessary | [EXTERNAL_PACKAGE_PROTOCOL] Standard Elixir/OTP modules only. Strictly ZERO external Hex packages for beginner topics. | [TESTING_FRAMEWORK_PROTOCOL] Simple console-output verification via IO.puts/1 or IO.inspect/2. | [CHALLENGE_CONSTRAINTS_POLICY] For Beginner level, # TODO MUST be atomic: 1–2 simple lines max, e.g. state tuple return, GenServer call, direct comparison, or simple pattern match. NO complex IO capture or process mocking. - 15–35 5–15 lines of EXECUTABLE base code. Code outside # TODO MUST be fully valid/readable. If no_def is present in AJ, use flat GenServer skeleton code. | [FORMAT RULE] ALWAYS label markdown code blocks with the correct underlying programming language (e.g., elixir, python, javascript, sql) | [FORMAT RULE] Only valid markdown code blocks allowed | [SCORING ENFORCEMENT RULE] Score MUST be ONLY 3, 4, or 5 | [DATA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[LANGUAGE TAG RULE] ALWAYS label markdown code blocks with the correct underlying programming language (e.g., python, javascript, sql) | [INTRO RULE] Intro MUST be a dynamically generated email in English with this EXACT format translated to English: '📥 From: [Generate NEW random full name] - Tech Lead' / '📤 To: [Insert my user name if known, else Junior] - Elixir OTP Developer' / 'Subject: [Task Subject]'. Body MUST be unique. Vibe: 'Hola, estructuré la base, encárgate de la lógica core. Completa los # TODO. El output debe coincidir. Saludos.'. IMMEDIATELY AFTER the email body, you MUST include this exact instruction block translated to English: '🚨 **Your objective in this lesson:** You must copy the code blocks from each Challenge exactly as they are and paste them into your IDE, then write the missing lines in the code until you achieve the exact Expected Output when running the program.' | [OUTPUT CONTRACT] EXACTLY 4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[OUTPUT TRUNCATION RULE - STRICT] If expected output is long, display ONLY the first 5 lines. Ensure accuracy. Do NOT use ellipsis (...) | [OUTPUT EXECUTION RULE - STRICT] Expected output MUST be explicit, complete, and produced via print() (at least one print already in base code). Monetary values must include '$' | [BASE CODE INTEGRITY RULE - STRICT] Code outside the TODO block MUST be 100% valid, logically correct, and run without errors. Do NOT simulate bugs using 'pass', '...', None, or wrong variable types outside the TODO. Variables used outside TODO must be initialized before TODO. | [TODO VARIATION RULE] TODO sections MUST vary: Single-line TODO, Multiple TODOs, Small blocks (2–4 lines). | [VARIABILITY RULE - STRICT] Each challenge MUST be structurally different. Vary: Code length, Logic type, Position of TODO, Number of TODOs (1–3), Data flow. | [TODO REALISM RULE - STRICT] TODOs MUST represent realistic mistakes based on the topic: Design testing for Registries and distributed systems by asserting via tuples, mocking node connections, and testing ETS table state.. Describe what is incorrect or incomplete. Avoid imperative instructions. | [TODO ISOLATION RULE - STRICT] ALL missing, incorrect, or output-affecting logic MUST exist ONLY inside the TODO block. | [NO SOLUTION RULE - STRICT] The code under the # TODO MUST be left empty or with a 'pass'. DO NOT write the actual solution. | [OUTPUT VERIFICATION RULE] The base code MUST print the final variables/results evaluated in the TODO block to verify correctness. | [TODO GUIDANCE RULE] Rule Minimal hint |  | [OUTPUT] Only header, dataset summary or statement (if any), intro message, challenges (objective, expected output, incomplete code), and footer | [FOOTER RULE - STRICT] End your entire response EXACTLY with this markdown string (ensure all code blocks are closed before it):
---
⚡ *Coding5s System - Learn Programming by Writing Code - Coding5S.com*</v>
      </c>
      <c r="R35"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Topic #27 | Complete | Elixir OTP | 📊 Level: Advanced
**Topic:** Design testing for Registries and distributed systems by asserting via tuples, mocking node connections, and testing ETS table state.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5" s="53">
        <v>0</v>
      </c>
      <c r="T35" s="102" t="str">
        <f t="shared" si="8"/>
        <v>[ROLE] Tech Lead | [TASK] Provide intentionally messy but functional code for learning debugging and improvement | [TOPIC] Design testing for Registries and distributed systems by asserting via tuples, mocking node connections, and testing ETS table state. | [LEVEL] Advanced | [COUNT] 4 challenges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Tech Lead. A junior wrote this working but messy code. Tone: professional but exhausted by the code quality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[HEADER RULE - STRICT] You MUST start your entire response EXACTLY with this markdown block (do not print anything before it):
### 🔹 Topic #27 | Stage 4 🧹 Refactor | Elixir OTP | 📊 Level: Advanced | 🌐 Coding5s.com
**Concept:** Testing Registries &amp; Distributed Systems (Asserting via tuples, mocking node connections, testing ETS table state)
---
 | [LANGUAGE SEED CONTEXT] Language Seed Not Necessary | [CODE QUALITY RULE] Code MUST be executable and correct BUT intentionally messy, inconsistent, or suboptimal | [DIRTY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[STYLE INCONSISTENCY RULE] Each challenge should feel like it was written at a different time with different formatting styles | [FILE HANDLING RULE] Use correct loaders and enforce encoding='utf-8' and newline='' when applicable if the programming language supports it. | [DATA TYPE RULE] Explicit casting required before calculations when the programming language requires it. | [DATA ROBUSTNESS RULE] Handle missing, malformed, or inconsistent data safely | [BOOLEAN HANDLING RULE] Normalize boolean values before comparison when the programming language requires it. | [DATA CONSISTENCY RULE] Respect dataset schema | [FORMAT RULE] Only valid markdown code blocks allowed | [LANGUAGE TAG RULE] ALWAYS label markdown code blocks with the correct underlying programming language (e.g., python, javascript, sql) | [OUTPUT FORMAT RULE] Monetary values formatted with '$', commas, 2 decimals | [OUTPUT] Only header, dataset summary or statement (if any), intro, challenges, code, outputs, and footer | [DATA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[DATA SUMMARY FORMAT RULE] When a dataset is present, you MUST display IMMEDIATELY AFTER THE HEADER: Dataset Summary: - File Type: - Columns / Fields: - Data Types: - Notes: | [INTRO RULE] The intro MUST be an email in English with this EXACT format translated to English: '📥 From: [Tech Lead Name]' / '📤 To: [Insert my user name if known, else Elixir OTP Dev]' / 'Subject: [Funny subject]'. Body vibe: 'Hola, el Junior mandó esto. Increíblemente funciona, pero mis ojos sangran. Por favor refactorízalo.'. IMMEDIATELY AFTER the email body, you MUST include this exact instruction block translated to English: '🚨 **Your objective in this lesson:** You must copy the code blocks from each Challenge exactly as they and paste them into your IDE, then refactor the code by rewriting it professionally until you achieve the exact Program Output when running the refactored program.' | [OUTPUT CONTRACT] EXACTLY 4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[REVIEW INTENT RULE] The user is expected to review, identify issues, and refactor the code to production-level quality | [CODE CONSTRAINTS] Each challenge MUST include: - Internal data OR dataset usage - At least 1 print statement - MUST be between 15–35 lines of EXECUTABLE code (STRICT: Do NOT count blank lines towards this limit, allow messy spacing) - NO classes - Single logical flow - Code MUST run correctly BUT be poorly structured, inconsistent, or inefficient | [SUPPORT FILES RULE] If env/config is used, include: 1. Instructional sentence 2. File content in markdown code block 3. BEFORE the main code | [DIFFICULTY RULE] Complexity MUST match level | [DIFFICULTY CONSISTENCY RULE] All challenges MUST have similar complexity and length, even if coding styles differ | [FOOTER RULE - STRICT] End your entire response EXACTLY with this markdown string (ensure all code blocks are closed before it):
---
⚡ *Coding5s System - Learn Programming by Writing Code - Coding5S.com*</v>
      </c>
      <c r="U35"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TOPIC: Design testing for Registries and distributed systems by asserting via tuples, mocking node connections, and testing ETS table state.. Topic details: Testing Registries &amp; Distributed Systems (Asserting via tuples, mocking node connections, testing ETS table state)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Topic #27 | Refactor | Elixir OTP | 📊 Level: Advanced
**Topic:** Design testing for Registries and distributed systems by asserting via tuples, mocking node connections, and testing ETS table state.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5" s="53">
        <v>0</v>
      </c>
      <c r="W35" s="87" t="str">
        <f t="shared" si="10"/>
        <v>[ROLE] Tech Product Manager assigning a Elixir OTP Jira Ticket | [TASK] Provide a guided implementation exercise with full solution for learning purposes | [TOPIC] Design testing for Registries and distributed systems by asserting via tuples, mocking node connections, and testing ETS table state. | [LEVEL] Advanced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[PERSONA RULE] Act as a professional Tech Product Manager writing clear Jira tickets | [LANGUAGE CONSISTENCY RULE] ALL output text MUST be written strictly in the selected language (English). This includes translating ALL structural labels requested in this prompt (like 'Dataset detected', 'Dataset Summary', 'File Type', 'Columns / Fields', 'Data Types', 'Notes', 'From', 'To', 'Subject', 'Dirty Code') into English. Do NOT mix languages. Only code and technical identifiers remain unchanged |  | [LANGUAGE SEED CONTEXT] Language Seed Not Necessary | [HEADER RULE - STRICT] You MUST start your entire response EXACTLY with this markdown block (do not print anything before it):
### 🔹 Topic #27 | Stage 5 | Elixir OTP | 📊 Level: Advanced | 🌐 Coding5s.com
**Concept:** Testing Registries &amp; Distributed Systems (Asserting via tuples, mocking node connections, testing ETS table state)
---
 | [FUNCTIONAL_STRUCTURE_POLICY] Rule: Use modular functions with clear structure.  | [DETERMINISTIC_OUTPUT_PROTOCOL]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Elixir OTP runtime (e.g., VSCode) | [CODE QUALITY RULE] Code MUST be clean, readable, and production-like | [FILE HANDLING RULE] Use correct loaders and enforce encoding='utf-8' and newline=' when applicable or supported by the programming language. | [DATA TYPE RULE] Explicit casting required before calculations if the programming language requires it. | [DATA ROBUSTNESS RULE] Handle missing or malformed data safely | [BOOLEAN HANDLING RULE] Normalize boolean values before comparison if the programming language requires it. | [DATA CONSISTENCY RULE] Respect dataset schema | [TICKET FORMAT RULE - STRICT] The 'Context &amp; Ticket' section MUST begin with this EXACT text (translated to English):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Immediately followed by this EXACT multi-line format (translated to English):
🎫 Ticket #[Random 5-digit ID]
👤 From: [Generate Name] - [Department]
📥 To: Dev Team
Subject: [Ticket Subject]
Hello Dev Team, this is [Name] from [Department]. [Context paragraph].
(Tech Product Manager Notes):
👥 From: [Generate TPM Name] - Tech Product Manager
📥 To: [Insert my user name if known, otherwise use 'Elixir OTP Dev']
Subject: Assignment Details
Hello [Insert my user name if known, otherwise use 'Elixir OTP Dev']!
[Assignment paragraph]
✅ Acceptance Criteria:
[Bullet list] | [DATA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English). Purge past datasets from memory and generate minimal dummy data. | [DATA SUMMARY FORMAT RULE] When a dataset is present, you MUST display IMMEDIATELY AFTER THE HEADER: Dataset Summary: - File Type: - Columns / Fields: - Data Types: - Notes: | [OUTPUT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STOP BARRIER 🛑 11. 🌳 Updated Code (V1.1 - FULLY IMPLEMENTED) 12. 📝 Implementation Notes 13. Implemented Output (MUST reflect REAL execution of V1.1 code) | [CODE CONSTRAINTS] V1.0 MUST be between 25–40 lines of EXECUTABLE code (STRICT) - V1.1 MUST be between 35–60 lines of EXECUTABLE code (STRICT) - Do NOT count comments or blank lines towards these limits - ALL code MUST run without errors - MUST be executable and realistic - MUST include a clear integration point - MUST NOT include unused imports - NO classes - NO unnecessary complexity | [SUPPORT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[DIFFICULTY RULE] Complexity MUST match level | [FORMAT RULE] Only valid markdown code blocks allowed | [LANGUAGE TAG RULE] ALWAYS label markdown code blocks with the correct underlying programming language (e.g., python, javascript, sql) | [OUTPUT] Only header, dataset summary or statement (if any), the defined sections, and footer | [FOOTER RULE - STRICT] End your entire response EXACTLY with this markdown string (ensure all code blocks are closed before it):
---
⚡ *Coding5s System — Learn Programming by Writing Code*</v>
      </c>
      <c r="X35"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TOPIC: Design testing for Registries and distributed systems by asserting via tuples, mocking node connections, and testing ETS table state.. Goal: Testing Registries &amp; Distributed Systems (Asserting via tuples, mocking node connections, testing ETS table state)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Topic #27 | Extend | Elixir OTP | 📊 Level: Advanced
**Topic:** Design testing for Registries and distributed systems by asserting via tuples, mocking node connections, and testing ETS table state.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5" s="53">
        <v>0</v>
      </c>
      <c r="Z35" s="56" t="str">
        <f t="shared" si="12"/>
        <v/>
      </c>
      <c r="AA35" s="56" t="str">
        <f t="shared" si="13"/>
        <v/>
      </c>
      <c r="AB35" s="56" t="str">
        <f t="shared" si="14"/>
        <v/>
      </c>
      <c r="AC35" s="56" t="str">
        <f t="shared" si="15"/>
        <v/>
      </c>
      <c r="AD35" s="56" t="str">
        <f t="shared" si="16"/>
        <v/>
      </c>
      <c r="AE35" s="40"/>
      <c r="AF35" s="40"/>
      <c r="AG35" s="40"/>
      <c r="AH35" s="56" t="str">
        <f t="shared" si="0"/>
        <v/>
      </c>
      <c r="AI35" s="54"/>
      <c r="AJ35" s="54"/>
      <c r="AK35" s="54">
        <v>27</v>
      </c>
      <c r="AL35" s="54" t="s">
        <v>143</v>
      </c>
      <c r="AM35" s="54" t="s">
        <v>144</v>
      </c>
    </row>
    <row r="36" spans="1:39">
      <c r="A36" s="45" t="str" cm="1">
        <f t="array" ref="A36">IF(H36="PROJECT", CHAR(10) &amp; "- " &amp; _xlfn.TEXTJOIN(CHAR(10) &amp; "- ", TRUE, _xlfn._xlws.FILTER($I$9:$I$1000, ($B$9:$B$1000=B36) * ($H$9:$H$1000="Topic"))), "")</f>
        <v xml:space="preserve">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v>
      </c>
      <c r="B36" s="45">
        <f t="shared" si="1"/>
        <v>4</v>
      </c>
      <c r="C36" s="95" t="s">
        <v>741</v>
      </c>
      <c r="D36" s="57">
        <v>0</v>
      </c>
      <c r="E36" s="58" t="s">
        <v>46</v>
      </c>
      <c r="F36" s="59">
        <v>28</v>
      </c>
      <c r="G36" s="60" t="s">
        <v>159</v>
      </c>
      <c r="H36" s="60" t="s">
        <v>77</v>
      </c>
      <c r="I36" s="61" t="s">
        <v>782</v>
      </c>
      <c r="J36" s="62" t="s">
        <v>783</v>
      </c>
      <c r="K36" s="129" t="str">
        <f t="shared" si="2"/>
        <v>[TASK] Teach through a practical Elixir OTP -  project following the micro-learning methodology, acting as a supportive tutor, creating a project about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#28 | Stage 1 | Elixir OTP | 📊 Level: Advanced | 🌐 Coding5s.com
**Project:** PROJECT: Master OTP Test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L36" s="103" t="str">
        <f t="shared" si="3"/>
        <v xml:space="preserve">[MENTOR_S1_SAFE_GUIDE] Act as 'The Safe Guide' (El Hermano Mayor) - a World-Class Elite Technical Mentor for Stage 1 Practice specializing in Elixir OTP -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[CULTURAL &amp; JARGON RULE] If the language (English) is Portuguese, act like a 'Sênior Brasileiro Parceiro' using warm local jargon (e.g., 'tranquilo cara', 'bora codar', 'todo mundo passa por isso'). If Spanish, use warm Latin American tech terminology (e.g., 'tranquilo, a todos nos pasa', 'vamos a ver'). Match the cultural vibe of a friendly big brother. | [CONTEXT] You are helping a Junior Developer who is building a PROJECT: Develop a comprehensive concurrent test suite for an OTP application validating Supervisors, GenServer state, and Registry via tuples.. Topics applied in this project: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[LIBRARY BEING LEARNED]  | [LANGUAGE CONSISTENCY RULE] ALL output text MUST be written strictly in (English). | [LANGUAGE SEED CONTEXT] Language Seed Not Necessary | [LANGUAGE] English | [MENTOR_SCOPE_EXPECTATIONS] Expect modular supervision trees with Supervisor specs, dynamic worker spawning, restart strategies, and process monitoring. | [CODE_QUALITY_POLICIES]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[EMPTY INPUT HANDLING - STRICT] If student provided NO code/explanation: 
1. HALT all phases. DO NOT output Phase 1, Barrier, or Phase 2. 
2. Greet warmly (use name or 'Junior'/'Dev'). 
3. Explain that practice requires seeing their attempt. 
4. Firmly/kindly instruct them to reply with BOTH code AND explanation. 
5. STRICT: DO NOT hallucinate code. End response immediately. | [TASK] Analyze the student's code and explanation. If the code is perfect, congratulate them warmly and provide 2 'Bonus Challenges'. Otherwise, follow the 2-PHASE MENTORING PROTOCOL | [ATOMIC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PROJECT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[EXPLANATION GATE &amp; SCROLL BARRIER] After Phase 1, you MUST insert exactly this visual separator:
------------------------------------------------------------
🛑 THE EXPLANATION GATE 🛑
Before scrolling down to see the Master Code, articulate WHY you think your logic failed. Copy-pasting without understanding builds Epistemic Debt.
------------------------------------------------------------ | [MINIMAL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[PHASE 2: FULL SOLUTION - STRICT] 1. Provide the clean, idiomatic Elixir OTP code, and fully functional Elixir OTP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project. 5. Provide a section exactly titled '🏋️ Mini-Challenges:' with 2 tasks to reinforce the fix. | [HEADER RULE - STRICT] You MUST start your entire response exactly with the following RAW markdown block (do NOT strip the '#' characters):
### 🎓 Mentor Stage 1 | Project #28 | Practice | Elixir OTP | 📊 Level: Advanced
**Project:** Develop a comprehensive concurrent test suite for an OTP application validating Supervisors, GenServer state, and Registry via tuples.
---
 | [FOOTER RULE - STRICT] End your response with: '--- ⚡ *Coding5s Mentor System — Eliminating Epistemic Debt*' | </v>
      </c>
      <c r="M36" s="52">
        <v>0</v>
      </c>
      <c r="N36" s="102" t="str">
        <f t="shared" si="4"/>
        <v>[ROLE] Careless Elixir OTP Developer | [TASK] Generate debugging project in Elixir OTP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[OUTPUT] Only header, dataset summary or statement (if any), email intro, objective, expected output, broken code, and footer | [HEADER RULE - STRICT] You MUST start your entire response EXACTLY with this markdown block (do not print anything before it):
### 🚀 Project #28 | Stage 2 | Elixir OTP | 📊 Level: Advanced | 🌐 Coding5s.com
Project: PROJECT: Master OTP Test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O36" s="103" t="str">
        <f t="shared" si="5"/>
        <v xml:space="preserve">[MENTOR_S2_DETECTIVE] Act as 'The Analytical Partner' (El Detective con Café) - a World-Class Elite Technical Mentor for Stage 2 Debugging specializing in Elixir OTP.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[CULTURAL &amp; JARGON RULE] If the language (English)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[CONTEXT] You are helping a Junior Developer debug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explanation, and error. If the code is already fixed and correct, recognize their 'debugging skill' and provide a 'Pro-Tip' for prevention.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2 | Project #28 | Debug | Elixir OTP | 📊 Level: Advanced
**Project:** Develop a comprehensive concurrent test suite for an OTP application validating Supervisors, GenServer state, and Registry via tuples.
---
 | [CORE_QUALITY_POLICY]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Elixir OTP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Elixir OTP). | [EXPLANATION GATE &amp; SCROLL BARRIER] After Phase 1, you MUST insert exactly this visual separator:
------------------------------------------------------------
🛑 THE EXPLANATION GATE 🛑
Before scrolling down to see the Master Code, articulate the ROOT CAUSE of the crash. Copy-pasting a fix without understanding the bug builds Epistemic Debt.
----------------------------------------------------------- | [PHASE 2: FULL SOLUTION - STRICT] 1. Provide the clean, Elixir OTP code, and fully functional Elixir OTP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[FOOTER RULE] End your response with: '--- ⚡ *Coding5s Mentor System — Eliminating Epistemic Debt &amp; Hunting Bugs*
</v>
      </c>
      <c r="P36" s="52">
        <v>0</v>
      </c>
      <c r="Q36" s="102" t="str">
        <f t="shared" si="6"/>
        <v>[ROLE] Tech Lead | [TASK] Assign incomplete project script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#28 | Stage 3 | Elixir OTP | 📊 Level: Advanced | 🌐 Coding5s.com
**Project:** PROJECT: Master OTP Test Suite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R36" s="103" t="str">
        <f t="shared" si="7"/>
        <v xml:space="preserve">[MENTOR_S3_BUILDER] Act as 'The Logical Scaffold' (El Maestro de Obra) - a World-Class Elite Technical Mentor for Stage 3 Code Completion specializing in Elixir OTP.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[CULTURAL &amp; JARGON RULE] If the language (English)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[CONTEXT] You are helping a Junior Developer complete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and explanation. If they completed the data flow perfectly, celebrate the 'solid foundation' and offer a 'System Extension' challenge.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3 | Project #28 | Complete | Elixir OTP | 📊 Level: Advanced
**Project:** Develop a comprehensive concurrent test suite for an OTP application validating Supervisors, GenServer state, and Registry via tuples.
---
 | [CORE_QUALITY_POLICY]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[EXPLANATION GATE &amp; SCROLL BARRIER] After Phase 1, you MUST insert exactly this visual separator:
------------------------------------------------------------
🛑 THE EXPLANATION GATE 🛑
Before scrolling down to see the Master Code, articulate HOW the data transforms from State B to State C. Copy-pasting without understanding the flow builds Epistemic Debt.
------------------------------------------------------------ | | [PHASE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[FOOTER RULE] End your response with: '--- ⚡ *Coding5s Mentor System — Eliminating Epistemic Debt &amp; Connecting the Flow*',
</v>
      </c>
      <c r="S36" s="52">
        <v>0</v>
      </c>
      <c r="T36" s="102" t="str">
        <f t="shared" si="8"/>
        <v>[ROLE] Tech Lead | [TASK] Provide a messy but functional project for refactoring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Tech Lead. A junior wrote this working but messy code. Tone: professional but exhausted | [HEADER RULE - STRICT] You MUST start your entire response EXACTLY with this markdown block (do not print anything before it):
### 🚀 Project #28 | Stage 4 | Elixir OTP | 📊 Level: Advanced | 🌐 Coding5s.com
**Project:** PROJECT: Master OTP Test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U36" s="103" t="str">
        <f t="shared" si="9"/>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[CULTURAL &amp; JARGON RULE] If the language (English) is Portuguese, act like a 'Sênior ranzinza e perfeccionista' using local jargon (e.g., 'que gambiarra!', 'código espaguete', 'meu Deus, cadê o PEP 8?'). If Spanish, use sharp Latin American tech terminology (e.g., 'qué código más espantoso', 'esto no es nada de codigo legible y elegante Elixir OTP', 'limpia este desastre'). Match the cultural vibe of a senior who is tired of seeing bad code. | [CONTEXT] You are performing a Code Review for a PROJECT: Develop a comprehensive concurrent test suite for an OTP application validating Supervisors, GenServer state, and Registry via tuples.. Topics involved: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Project objective: PROJECT: Master OTP Test Suite | [TASK]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4 | Project #28 | Refactor | Elixir OTP | 📊 Level: Advanced
**Project:** Develop a comprehensive concurrent test suite for an OTP application validating Supervisors, GenServer state, and Registry via tuples.
---
 | [PYTHON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Elixir OTP built-in, standard library module, or good Elixir OTP code pattern to research. | [EXPLANATION GATE &amp; SCROLL BARRIER] After Phase 1, you MUST insert exactly this visual separator:
------------------------------------------------------------
🛑 THE EXPLANATION GATE 🛑
Before scrolling down to see the Master Code, justify WHY your refactor will be more idiomatic. Blindly cleaning code is just 'Vibe Refactoring'. Articulate the debt.
------------------------------------------------------------ | | [PHASE 2: FULL SOLUTION - STRICT] 1. Provide the 'Senior' version: clean, elegant, and good Elixir OTP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[FOOTER RULE] End your response with: '--- ⚡ *Coding5s Mentor System — Eliminating Technical Debt with Elegance*'</v>
      </c>
      <c r="V36" s="52">
        <v>0</v>
      </c>
      <c r="W36" s="87" t="str">
        <f t="shared" si="10"/>
        <v>[ROLE] Tech Product Manager assigning a Elixir OTP Jira Ticket | [TASK] Provide a guided project implementation with full solution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#28 | Stage 5 | Elixir OTP | 📊 Level: Advanced | 🌐 Coding5s.com
**Project:** PROJECT: Master OTP Test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X36" s="103" t="str">
        <f t="shared" si="11"/>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[CULTURAL &amp; JARGON RULE] If the language (English) is Portuguese, act like an 'Arquiteto de Software Sênior' using local jargon (e.g., 'subir pra produção', 'vai escalar?', 'casos extremos'). If Spanish, use Latin American tech terminology (e.g., 'subir a producción', '¿esto escala?', 'casos borde'). Match the cultural vibe of a strategic tech lead. | [CONTEXT] You are reviewing the final implementation of a new feature for a PROJECT: Develop a comprehensive concurrent test suite for an OTP application validating Supervisors, GenServer state, and Registry via tuples.. Topics integrated: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Business Goal: PROJECT: Master OTP Test Suite | [TASK] Analyze the extension code. If they already anticipated the edge cases and scalability issues (e.g., using generators or async patterns), give them the 'Architect's Approval' and discuss a more advanced trade-off. Otherwise, follow the 2-PHASE MENTORING PROTOCOL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the following RAW markdown block (do NOT strip the '#' characters):
### 🚀 Elite Mentor Stage 5 | Project #28 | Extend | Elixir OTP | 📊 Level: Advanced
**Project:** Develop a comprehensive concurrent test suite for an OTP application validating Supervisors, GenServer state, and Registry via tuples.
---
 | [CODE_QUALITY_PROTOCOL]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[EXPLANATION GATE &amp; SCROLL BARRIER] After Phase 1, you MUST insert exactly this visual separator:
------------------------------------------------------------
🛑 THE EXPLANATION GATE 🛑
Before scrolling down to the final architectural review, articulate the TRADE-OFFS of your implementation. What happens when this feature faces extreme load? Pushing code without understanding scale builds Epistemic Debt.
------------------------------------------------------------ | [PHASE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[FOOTER RULE] End your response with: '--- ⚡ *Coding5s Mentor System — Eliminating Epistemic Debt &amp; Shipping to Production*'</v>
      </c>
      <c r="Y36" s="52">
        <v>0</v>
      </c>
      <c r="Z36" s="56" t="str">
        <f t="shared" si="12"/>
        <v>[TASK] Teach through a practical Elixir OTP -  project following the micro-learning methodology, acting as a supportive tutor, creating a project about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[LANGUAGE] English | [INLINE_PACKAGE_MANAGER] If using external packages, use Native OTP behaviors (GenServer, Supervisor, Agent, Task), Kernel functions, and BEAM supervision trees. at the top of the code block. Assume no project configuration file exists. | [CODE_CONSTRAINTS_RULE] Standard OTP process and state validation using ExUnit assert/refute macros and Process tracking. | [VISUAL_ARCHITECTURE_COMMENTS]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[DATA ROBUSTNESS RULE] Handle real-world data safely | [CODE CONSTRAINTS] MUST be between 40–100 lines (STRICT) - Multi-step flow | [SUPPORT FILES RULE] Include config files before code if needed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[CODE QUALITY RULE] Code MUST be clean, readable, correct, and educational | [FORMAT RULE] Only markdown code blocks allowed | [EXECUTION RULE] Code MUST run and produce correct output | [CONSISTENCY RULE] Project must match objective | [HEADER RULE - STRICT] You MUST start your entire response EXACTLY with this markdown block (do not print anything before it):
### 🚀 Project #28 | Stage 1 | Elixir OTP | 📊 Level: Advanced | 🌐 Coding5s.com
**Project:** PROJECT: Master OTP Test Suite
---
 | [OUTPUT] Only header, dataset notice, objective, support file, code planning, expected output, code, and footer | [FOOTER RULE - STRICT] End your entire response EXACTLY with this markdown string (ensure all code blocks are closed before it):
---
⚡ *Coding5s System — Learn Programming by Writing Code*</v>
      </c>
      <c r="AA36" s="56" t="str">
        <f t="shared" si="13"/>
        <v>[ROLE] Careless Elixir OTP Developer | [TASK] Generate debugging project in Elixir OTP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[OUTPUT] Only header, dataset summary or statement (if any), email intro, objective, expected output, broken code, and footer | [HEADER RULE - STRICT] You MUST start your entire response EXACTLY with this markdown block (do not print anything before it):
### 🚀 Project #28 | Stage 2 | Elixir OTP | 📊 Level: Advanced | 🌐 Coding5s.com
Project: PROJECT: Master OTP Test Suite
---
 | [LIBRARY BEING LEARNED]  | [ECOSYSTEM ORIENTATION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CONSISTENCY RULE] ALL output text MUST be written strictly in the selected language (English). This includes translating ALL structural labels requested in this prompt (like 'Project', 'Objective', 'Expected Output', 'Broken Code', 'From', 'To', 'Subject') into English. Do NOT mix languages. Only code and technical identifiers remain unchanged |  | [LANGUAGE SEED CONTEXT] Language Seed Not Necessary | [BUG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[ENV USAGE RULE] Bugs ONLY in code logic, not config files | [SUPPORT FILES RULE] IF an external configuration or data file is needed, include: 1. Short instructional sentence 2. File content in markdown code block 3. Place it strictly BEFORE the main code. | [NO SOLUTION RULE - STRICT] You are generating an EXAM. Do NOT provide the fixed code, diagnosis, hints, or explanations. Output ONLY the broken code. Do NOT include comments that reveal the bugs. Let the student find them. | [PERSONA RULE] Use a messy, careless developer tone | [INTRO RULE] The intro MUST be a dynamically generated, urgent, unprofessional email in English with this EXACT format translated to English: 'From: [Random Dev Name]' / 'To: [Insert my user name if you know it from context, otherwise use Elixir OTP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[OUTPUT CONTRACT] EXACTLY 1 project. Structure MUST be: 'Project:' followed by 'Objective: maximum 6 lines.', then 'Expected Output: standalone markdown code block.', and finally 'Broken Code' | [STRUCTURE RULE] Do NOT add extra sections or explanations (except when required by SUPPORT FILES RULE) | [CODE CONSTRAINTS] - 40–100 lines of EXECUTABLE code (STRICT: Do NOT count blank lines towards this limit) - Multi-step flow - 2–4 functions ONLY - main() as entry point  | [EXECUTION RULE] Code must fail due to syntax errors, runtime exceptions, or produce incorrect output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English) IMMEDIATELY AFTER THE HEADER, PURGE any memory of previous files, and use realistic dummy data | [FORMAT RULE] Only valid markdown code blocks | [LANGUAGE TAG RULE] ALWAYS label markdown code blocks with the correct underlying programming language (e.g., python, javascript, sql) | [STRICT MODE] Enforce all rules strictly | [FOOTER RULE - STRICT] End your entire response EXACTLY with this markdown string (ensure all code blocks are closed before it):
---
⚡ Coding5s System - Learn Programming by Writing Code - Coding5S.com</v>
      </c>
      <c r="AB36" s="56" t="str">
        <f t="shared" si="14"/>
        <v>[ROLE] Tech Lead | [TASK] Assign incomplete project script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[LIBRARY BEING LEARNED]  | [ECOSYSTEM ORIENTATION RULE] If a data manipulation library, external package, or ecosystem like Pandas or NumPy is specified in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[HEADER RULE - STRICT] You MUST start your entire response EXACTLY with this markdown block (do not print anything before it):
### 🚀 Project #28 | Stage 3 | Elixir OTP | 📊 Level: Advanced | 🌐 Coding5s.com
**Project:** PROJECT: Master OTP Test Suite
---
 | [EXTERNAL_PACKAGE_PROTOCOL] Require Mix dependency declarations in mix.exs and mix deps.get for external Hex dependencies when applicable. | [CHALLENGE_CONSTRAINTS_POLICY] MUST contain 25–40 lines of EXECUTABLE base Elixir OTP code; do NOT count comments or # TODO blocks. 40–100 Multi-step OTP process architecture. Max 2 modules, standard GenServer/Agent structure. Integration logic exclusively inside # TODO blocks. | [FORMAT RULE] Only valid markdown code blocks allowed | [LANGUAGE TAG RULE] ALWAYS label markdown code blocks with the correct underlying programming language (e.g., python, javascript, sql) | [DATA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English) 2. Display Summary (Type, Columns, Types) IMMEDIATELY AFTER THE HEADER 3. Use it directly (NO dummy data). If NO dataset is provided IN THIS CURRENT PROMPT: - STRICT: You MUST explicitly state 'Dataset detected: NO. Generating dummy data.' (translate to English) IMMEDIATELY AFTER THE HEADER - PURGE ANY MEMORY of previous datasets. - Generate internal dummy data | [INTRO RULE] Intro MUST be a dynamically generated email in English with this EXACT format translated to English: 'From: [Generate NEW random full name] - Tech Lead' / 'To: [Insert my user name if known, else Junior] - Elixir OTP Developer' / 'Subject: [Project Subject]'. Body MUST be unique. Vibe: 'Hola, tengo la arquitectura lista, implementa la lógica en los # TODO. Revisa el expected output. Saludos.' | [OUTPUT CONTRACT] EXACTLY 1 project. Structure MUST be: Tech Lead Intro Message, Project: Objective (max 6 lines), Expected Output (code block), Incomplete Code | [OUTPUT TRUNCATION RULE] If output is large, show only first 5 lines. Do NOT use ellipsis (...) | [OUTPUT EXECUTION RULE - STRICT] Expected output MUST be explicit, complete, and produced via final print(). | [BASE CODE INTEGRITY RULE - STRICT] Code outside the TODO block MUST be 100% valid, logically correct, and run without errors. Do NOT use 'pass', '...', or empty placeholders outside the TODO. | [TODO REALISM RULE] TODO must represent realistic integration bugs. Describe what is incorrect/incomplete. | [TODO ISOLATION RULE - STRICT] ALL missing, incorrect, or output-affecting logic MUST exist ONLY inside the TODO block. Replace ONLY integration logic. | [NO SOLUTION RULE - STRICT] The code under the # TODO MUST be left empty or with a 'pass'. DO NOT write the actual solution. | [OUTPUT] Only header, dataset summary or statement (if any), intro message, objective, expected output, incomplete code, and footer | [FOOTER RULE - STRICT] End your entire response EXACTLY with this markdown string (ensure all code blocks are closed before it):
---
⚡ *Coding5s System - Learn Programming by Writing Code - Coding5S.com*</v>
      </c>
      <c r="AC36" s="56" t="str">
        <f t="shared" si="15"/>
        <v>[ROLE] Tech Lead | [TASK] Provide a messy but functional project for refactoring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Tech Lead. A junior wrote this working but messy code. Tone: professional but exhausted | [HEADER RULE - STRICT] You MUST start your entire response EXACTLY with this markdown block (do not print anything before it):
### 🚀 Project #28 | Stage 4 | Elixir OTP | 📊 Level: Advanced | 🌐 Coding5s.com
**Project:** PROJECT: Master OTP Test Suite
---
 | [LIBRARY BEING LEARNED]  | [LANGUAGE CONSISTENCY RULE] ALL output MUST be strictly in English. This includes translating ALL structural labels requested in this prompt (like 'Project', 'Objective', 'Support File', 'Code Planning', 'Libraries', 'Functional Structure', 'Friction Point', 'Expected Output', 'Code') into English. Do NOT mix languages. Only code and technical identifiers remain unchanged |  | [LANGUAGE SEED CONTEXT] Language Seed Not Necessary | [CODE QUALITY RULE] Code MUST be correct and executable but not perfectly clean | [DIRTY CODE RULE] Code MUST NOT include ANY comments and should include inconsistent naming, redundant logic, minor structural issues, and slightly messy organization while still remaining understandable as a complete working program | [DATA ROBUSTNESS RULE] Handle real-world data safely | [FORMAT RULE] Only valid markdown code blocks allowed | [LANGUAGE TAG RULE] ALWAYS label markdown code blocks with the correct underlying programming language (e.g., python, javascript, sql)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 बुन्देल IMMEDIATELY AFTER THE HEADER, PURGE any memory of previous files, and use realistic dummy data | [INTRO RULE] The intro MUST be an email in English with this EXACT format translated to English: 'From: [Tech Lead Name]' / 'To: [Insert my user name if known, else Elixir OTP Dev]' / 'Subject: [Funny subject]'. Body vibe: 'Hola, el Junior mandó esto. Increíblemente funciona, pero mis ojos sangran. Por favor refactorízalo.' | [OUTPUT CONTRACT] EXACTLY 1 project. Structure MUST be: 1. Tech Lead Intro Email 2. Project: Objective (max 6 lines), Expected Output (code block), Dirty Code | [REVIEW INTENT RULE] The user is expected to review and refactor the project to improve structure, readability, and maintainability | [CODE CONSTRAINTS] MUST be between 40–100 lines of EXECUTABLE code (STRICT: Do NOT count blank lines towards this limit) - Multi-step flow - NO classes - Code MUST run correctly BUT be slightly messy and contain NO comments | [SUPPORT FILES RULE] Include config files before code if needed | [EXECUTION RULE] Code MUST run and produce correct output | [CONSISTENCY RULE] Project must match objective | [OUTPUT] Only header, dataset summary or statement (if any), intro email, objective, expected output, code, and footer | [FOOTER RULE - STRICT] End your entire response EXACTLY with this markdown string (ensure all code blocks are closed before it):
---
⚡ *Coding5s System - Learn Programming by Writing Code - Coding5S.com*</v>
      </c>
      <c r="AD36" s="56" t="str">
        <f t="shared" si="16"/>
        <v>[ROLE] Tech Product Manager assigning a Elixir OTP Jira Ticket | [TASK] Provide a guided project implementation with full solution | [PROJECT] Develop a comprehensive concurrent test suite for an OTP application validating Supervisors, GenServer state, and Registry via tuples. | [TOPICS USED] 
- Implement testing for GenServers and internal state using ExUnit with GenServer, asserting synchronous state, and assert_receive/3 for handle_info.
- Formulate testing for Supervisors and fault tolerance using Process.exit/2 simulations, asserting restart behavior, and Task.yield/2 in tests.
- Design testing for Registries and distributed systems by asserting via tuples, mocking node connections, and testing ETS table state. | [LEVEL] Advanced | [PERSONA RULE] Act as a professional Tech Product Manager defining a project ticket | [LIBRARY BEING LEARNED]  | [ECOSYSTEM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[HEADER RULE - STRICT] You MUST start your entire response EXACTLY with this markdown block (do not print anything before it):
### 🚀 Project #28 | Stage 5 | Elixir OTP | 📊 Level: Advanced | 🌐 Coding5s.com
**Project:** PROJECT: Master OTP Test Suite
---
 | [LANGUAGE CONSISTENCY RULE] ALL output MUST be strictly in English.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English |  | [LANGUAGE SEED CONTEXT] Language Seed Not Necessary | [CODE CONSTRAINTS] V1.0 MUST be between 45–70 lines of EXECUTABLE code (STRICT) - V1.1 MUST be between 60–90 lines of EXECUTABLE code (STRICT) - Do NOT count comments or blank lines towards these limits - MUST run without errors - MUST include integration points - NO unnecessary complexity | [CRITICAL OUTPUT RULE] Output MUST match real execution - Convert sets to sorted lists before printing | [FUNCTION RULE] Use structured modular functions.  | [TICKET FORMAT RULE - STRICT] The 'Context &amp; Ticket' section MUST use this EXACT multi-line format (translated to English):
Ticket #[Random 5-digit ID]
From: [Generate Name] - [Department]
To: Dev Team
Subject: [Ticket Subject]
Hello Dev Team, this is [Name] from [Department]. [Context paragraph].
(Tech Product Manager Notes):
From: [Generate TPM Name] - Tech Product Manager
To: [Insert my user name if known, otherwise use 'Elixir OTP Dev']
Subject: Assignment Details
Hello [Insert my user name if known, otherwise use 'Elixir OTP Dev']!
[Assignment paragraph]
Acceptance Criteria:
[Bullet list] | [DATA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English) IMMEDIATELY AFTER THE HEADER, PURGE any memory of previous files, and use realistic dummy data | [OUTPUT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[CODE QUALITY RULE] Code MUST be clean and realistic | [DATA ROBUSTNESS RULE] Handle real-world data safely | [FORMAT RULE] Only markdown code blocks allowed | [LANGUAGE TAG RULE] ALWAYS label markdown code blocks with the correct underlying programming language (e.g., python, javascript, sql) | [EXECUTION RULE] Code MUST run correctly | [OUTPUT] Only header, dataset summary or statement (if any), defined sections, and footer, | [FOOTER RULE - STRICT] End your entire response EXACTLY with this markdown string (ensure all code blocks are closed before it):
---
⚡ *Coding5s System — Learn Programming by Writing Code*</v>
      </c>
      <c r="AE36" s="40"/>
      <c r="AF36" s="40"/>
      <c r="AG36" s="40"/>
      <c r="AH36" s="56" t="str">
        <f t="shared" si="0"/>
        <v/>
      </c>
      <c r="AI36" s="54"/>
      <c r="AJ36" s="54"/>
      <c r="AK36" s="54">
        <v>28</v>
      </c>
      <c r="AL36" s="54" t="s">
        <v>146</v>
      </c>
      <c r="AM36" s="54" t="s">
        <v>147</v>
      </c>
    </row>
    <row r="37" spans="1:39">
      <c r="A37" s="45" t="str" cm="1">
        <f t="array" ref="A37">IF(H37="PROJECT", CHAR(10) &amp; "- " &amp; _xlfn.TEXTJOIN(CHAR(10) &amp; "- ", TRUE, _xlfn._xlws.FILTER($I$9:$I$1000, ($B$9:$B$1000=B37) * ($H$9:$H$1000="Topic"))), "")</f>
        <v/>
      </c>
      <c r="B37" s="45" t="str">
        <f t="shared" si="1"/>
        <v/>
      </c>
      <c r="C37" s="95"/>
      <c r="D37" s="46"/>
      <c r="E37" s="58"/>
      <c r="F37" s="48"/>
      <c r="G37" s="49"/>
      <c r="H37" s="49"/>
      <c r="I37" s="50"/>
      <c r="J37" s="51"/>
      <c r="K37" s="129" t="str">
        <f t="shared" si="2"/>
        <v/>
      </c>
      <c r="L37" s="103" t="str">
        <f t="shared" si="3"/>
        <v/>
      </c>
      <c r="M37" s="53">
        <v>0</v>
      </c>
      <c r="N37" s="102" t="str">
        <f t="shared" si="4"/>
        <v/>
      </c>
      <c r="O37" s="103" t="str">
        <f t="shared" si="5"/>
        <v/>
      </c>
      <c r="P37" s="53">
        <v>0</v>
      </c>
      <c r="Q37" s="102" t="str">
        <f t="shared" si="6"/>
        <v/>
      </c>
      <c r="R37" s="103" t="str">
        <f t="shared" si="7"/>
        <v/>
      </c>
      <c r="S37" s="53">
        <v>0</v>
      </c>
      <c r="T37" s="102" t="str">
        <f t="shared" si="8"/>
        <v/>
      </c>
      <c r="U37" s="103" t="str">
        <f t="shared" si="9"/>
        <v/>
      </c>
      <c r="V37" s="53">
        <v>0</v>
      </c>
      <c r="W37" s="87" t="str">
        <f t="shared" si="10"/>
        <v/>
      </c>
      <c r="X37" s="103" t="str">
        <f t="shared" si="11"/>
        <v/>
      </c>
      <c r="Y37" s="53">
        <v>0</v>
      </c>
      <c r="Z37" s="56" t="str">
        <f t="shared" si="12"/>
        <v/>
      </c>
      <c r="AA37" s="56" t="str">
        <f t="shared" si="13"/>
        <v/>
      </c>
      <c r="AB37" s="56" t="str">
        <f t="shared" si="14"/>
        <v/>
      </c>
      <c r="AC37" s="56" t="str">
        <f t="shared" si="15"/>
        <v/>
      </c>
      <c r="AD37" s="56" t="str">
        <f t="shared" si="16"/>
        <v/>
      </c>
      <c r="AE37" s="40"/>
      <c r="AF37" s="40"/>
      <c r="AG37" s="40"/>
      <c r="AH37" s="56" t="str">
        <f t="shared" si="0"/>
        <v/>
      </c>
      <c r="AI37" s="54"/>
      <c r="AJ37" s="54"/>
      <c r="AK37" s="54">
        <v>29</v>
      </c>
      <c r="AL37" s="54" t="s">
        <v>149</v>
      </c>
      <c r="AM37" s="54" t="s">
        <v>150</v>
      </c>
    </row>
    <row r="38" spans="1:39">
      <c r="A38" s="45" t="str" cm="1">
        <f t="array" ref="A38">IF(H38="PROJECT", CHAR(10) &amp; "- " &amp; _xlfn.TEXTJOIN(CHAR(10) &amp; "- ", TRUE, _xlfn._xlws.FILTER($I$9:$I$1000, ($B$9:$B$1000=B38) * ($H$9:$H$1000="Topic"))), "")</f>
        <v/>
      </c>
      <c r="B38" s="45" t="str">
        <f t="shared" si="1"/>
        <v/>
      </c>
      <c r="C38" s="95"/>
      <c r="D38" s="57"/>
      <c r="E38" s="58"/>
      <c r="F38" s="59"/>
      <c r="G38" s="60"/>
      <c r="H38" s="60"/>
      <c r="I38" s="61"/>
      <c r="J38" s="62"/>
      <c r="K38" s="129" t="str">
        <f t="shared" si="2"/>
        <v/>
      </c>
      <c r="L38" s="103" t="str">
        <f t="shared" si="3"/>
        <v/>
      </c>
      <c r="M38" s="52">
        <v>0</v>
      </c>
      <c r="N38" s="102" t="str">
        <f t="shared" si="4"/>
        <v/>
      </c>
      <c r="O38" s="103" t="str">
        <f t="shared" si="5"/>
        <v/>
      </c>
      <c r="P38" s="52">
        <v>0</v>
      </c>
      <c r="Q38" s="102" t="str">
        <f t="shared" si="6"/>
        <v/>
      </c>
      <c r="R38" s="103" t="str">
        <f t="shared" si="7"/>
        <v/>
      </c>
      <c r="S38" s="52">
        <v>0</v>
      </c>
      <c r="T38" s="102" t="str">
        <f t="shared" si="8"/>
        <v/>
      </c>
      <c r="U38" s="103" t="str">
        <f t="shared" si="9"/>
        <v/>
      </c>
      <c r="V38" s="52">
        <v>0</v>
      </c>
      <c r="W38" s="87" t="str">
        <f t="shared" si="10"/>
        <v/>
      </c>
      <c r="X38" s="103" t="str">
        <f t="shared" si="11"/>
        <v/>
      </c>
      <c r="Y38" s="52">
        <v>0</v>
      </c>
      <c r="Z38" s="56" t="str">
        <f t="shared" si="12"/>
        <v/>
      </c>
      <c r="AA38" s="56" t="str">
        <f t="shared" si="13"/>
        <v/>
      </c>
      <c r="AB38" s="56" t="str">
        <f t="shared" si="14"/>
        <v/>
      </c>
      <c r="AC38" s="56" t="str">
        <f t="shared" si="15"/>
        <v/>
      </c>
      <c r="AD38" s="56" t="str">
        <f t="shared" si="16"/>
        <v/>
      </c>
      <c r="AE38" s="40"/>
      <c r="AF38" s="40"/>
      <c r="AG38" s="40"/>
      <c r="AH38" s="56" t="str">
        <f t="shared" si="0"/>
        <v/>
      </c>
      <c r="AI38" s="54"/>
      <c r="AJ38" s="54"/>
      <c r="AK38" s="54">
        <v>30</v>
      </c>
      <c r="AL38" s="54" t="s">
        <v>152</v>
      </c>
      <c r="AM38" s="54" t="s">
        <v>153</v>
      </c>
    </row>
    <row r="39" spans="1:39">
      <c r="A39" s="45" t="str" cm="1">
        <f t="array" ref="A39">IF(H39="PROJECT", CHAR(10) &amp; "- " &amp; _xlfn.TEXTJOIN(CHAR(10) &amp; "- ", TRUE, _xlfn._xlws.FILTER($I$9:$I$1000, ($B$9:$B$1000=B39) * ($H$9:$H$1000="Topic"))), "")</f>
        <v/>
      </c>
      <c r="B39" s="45" t="str">
        <f t="shared" si="1"/>
        <v/>
      </c>
      <c r="C39" s="95"/>
      <c r="D39" s="46"/>
      <c r="E39" s="58"/>
      <c r="F39" s="48"/>
      <c r="G39" s="49"/>
      <c r="H39" s="49"/>
      <c r="I39" s="50"/>
      <c r="J39" s="51"/>
      <c r="K39" s="129" t="str">
        <f t="shared" si="2"/>
        <v/>
      </c>
      <c r="L39" s="103" t="str">
        <f t="shared" si="3"/>
        <v/>
      </c>
      <c r="M39" s="53">
        <v>0</v>
      </c>
      <c r="N39" s="102" t="str">
        <f t="shared" si="4"/>
        <v/>
      </c>
      <c r="O39" s="103" t="str">
        <f t="shared" si="5"/>
        <v/>
      </c>
      <c r="P39" s="53">
        <v>0</v>
      </c>
      <c r="Q39" s="102" t="str">
        <f t="shared" si="6"/>
        <v/>
      </c>
      <c r="R39" s="103" t="str">
        <f t="shared" si="7"/>
        <v/>
      </c>
      <c r="S39" s="53">
        <v>0</v>
      </c>
      <c r="T39" s="102" t="str">
        <f t="shared" si="8"/>
        <v/>
      </c>
      <c r="U39" s="103" t="str">
        <f t="shared" si="9"/>
        <v/>
      </c>
      <c r="V39" s="53">
        <v>0</v>
      </c>
      <c r="W39" s="87" t="str">
        <f t="shared" si="10"/>
        <v/>
      </c>
      <c r="X39" s="103" t="str">
        <f t="shared" si="11"/>
        <v/>
      </c>
      <c r="Y39" s="53">
        <v>0</v>
      </c>
      <c r="Z39" s="56" t="str">
        <f t="shared" si="12"/>
        <v/>
      </c>
      <c r="AA39" s="56" t="str">
        <f t="shared" si="13"/>
        <v/>
      </c>
      <c r="AB39" s="56" t="str">
        <f t="shared" si="14"/>
        <v/>
      </c>
      <c r="AC39" s="56" t="str">
        <f t="shared" si="15"/>
        <v/>
      </c>
      <c r="AD39" s="56" t="str">
        <f t="shared" si="16"/>
        <v/>
      </c>
      <c r="AE39" s="40"/>
      <c r="AF39" s="40"/>
      <c r="AG39" s="40"/>
      <c r="AH39" s="56" t="str">
        <f t="shared" si="0"/>
        <v/>
      </c>
      <c r="AI39" s="54"/>
      <c r="AJ39" s="54"/>
      <c r="AK39" s="54">
        <v>31</v>
      </c>
      <c r="AL39" s="54" t="s">
        <v>49</v>
      </c>
      <c r="AM39" s="54" t="s">
        <v>50</v>
      </c>
    </row>
    <row r="40" spans="1:39">
      <c r="A40" s="45" t="str" cm="1">
        <f t="array" ref="A40">IF(H40="PROJECT", CHAR(10) &amp; "- " &amp; _xlfn.TEXTJOIN(CHAR(10) &amp; "- ", TRUE, _xlfn._xlws.FILTER($I$9:$I$1000, ($B$9:$B$1000=B40) * ($H$9:$H$1000="Topic"))), "")</f>
        <v/>
      </c>
      <c r="B40" s="45" t="str">
        <f t="shared" si="1"/>
        <v/>
      </c>
      <c r="C40" s="95"/>
      <c r="D40" s="57"/>
      <c r="E40" s="58"/>
      <c r="F40" s="59"/>
      <c r="G40" s="60"/>
      <c r="H40" s="60"/>
      <c r="I40" s="61"/>
      <c r="J40" s="62"/>
      <c r="K40" s="129" t="str">
        <f t="shared" si="2"/>
        <v/>
      </c>
      <c r="L40" s="103" t="str">
        <f t="shared" si="3"/>
        <v/>
      </c>
      <c r="M40" s="52">
        <v>0</v>
      </c>
      <c r="N40" s="102" t="str">
        <f t="shared" si="4"/>
        <v/>
      </c>
      <c r="O40" s="103" t="str">
        <f t="shared" si="5"/>
        <v/>
      </c>
      <c r="P40" s="52">
        <v>0</v>
      </c>
      <c r="Q40" s="102" t="str">
        <f t="shared" si="6"/>
        <v/>
      </c>
      <c r="R40" s="103" t="str">
        <f t="shared" si="7"/>
        <v/>
      </c>
      <c r="S40" s="52">
        <v>0</v>
      </c>
      <c r="T40" s="102" t="str">
        <f t="shared" si="8"/>
        <v/>
      </c>
      <c r="U40" s="103" t="str">
        <f t="shared" si="9"/>
        <v/>
      </c>
      <c r="V40" s="52">
        <v>0</v>
      </c>
      <c r="W40" s="87" t="str">
        <f t="shared" si="10"/>
        <v/>
      </c>
      <c r="X40" s="103" t="str">
        <f t="shared" si="11"/>
        <v/>
      </c>
      <c r="Y40" s="52">
        <v>0</v>
      </c>
      <c r="Z40" s="56" t="str">
        <f t="shared" si="12"/>
        <v/>
      </c>
      <c r="AA40" s="56" t="str">
        <f t="shared" si="13"/>
        <v/>
      </c>
      <c r="AB40" s="56" t="str">
        <f t="shared" si="14"/>
        <v/>
      </c>
      <c r="AC40" s="56" t="str">
        <f t="shared" si="15"/>
        <v/>
      </c>
      <c r="AD40" s="56" t="str">
        <f t="shared" si="16"/>
        <v/>
      </c>
      <c r="AE40" s="40"/>
      <c r="AF40" s="40"/>
      <c r="AG40" s="40"/>
      <c r="AH40" s="56" t="str">
        <f t="shared" si="0"/>
        <v/>
      </c>
      <c r="AI40" s="54"/>
      <c r="AJ40" s="54"/>
      <c r="AK40" s="54">
        <v>32</v>
      </c>
      <c r="AL40" s="54" t="s">
        <v>55</v>
      </c>
      <c r="AM40" s="54" t="s">
        <v>56</v>
      </c>
    </row>
    <row r="41" spans="1:39">
      <c r="A41" s="45" t="str" cm="1">
        <f t="array" ref="A41">IF(H41="PROJECT", CHAR(10) &amp; "- " &amp; _xlfn.TEXTJOIN(CHAR(10) &amp; "- ", TRUE, _xlfn._xlws.FILTER($I$9:$I$1000, ($B$9:$B$1000=B41) * ($H$9:$H$1000="Topic"))), "")</f>
        <v/>
      </c>
      <c r="B41" s="45" t="str">
        <f t="shared" si="1"/>
        <v/>
      </c>
      <c r="C41" s="95"/>
      <c r="D41" s="46"/>
      <c r="E41" s="58"/>
      <c r="F41" s="48"/>
      <c r="G41" s="49"/>
      <c r="H41" s="49"/>
      <c r="I41" s="50"/>
      <c r="J41" s="51"/>
      <c r="K41" s="129" t="str">
        <f t="shared" si="2"/>
        <v/>
      </c>
      <c r="L41" s="103" t="str">
        <f t="shared" si="3"/>
        <v/>
      </c>
      <c r="M41" s="53">
        <v>0</v>
      </c>
      <c r="N41" s="102" t="str">
        <f t="shared" si="4"/>
        <v/>
      </c>
      <c r="O41" s="103" t="str">
        <f t="shared" si="5"/>
        <v/>
      </c>
      <c r="P41" s="53">
        <v>0</v>
      </c>
      <c r="Q41" s="102" t="str">
        <f t="shared" si="6"/>
        <v/>
      </c>
      <c r="R41" s="103" t="str">
        <f t="shared" si="7"/>
        <v/>
      </c>
      <c r="S41" s="53">
        <v>0</v>
      </c>
      <c r="T41" s="102" t="str">
        <f t="shared" si="8"/>
        <v/>
      </c>
      <c r="U41" s="103" t="str">
        <f t="shared" si="9"/>
        <v/>
      </c>
      <c r="V41" s="53">
        <v>0</v>
      </c>
      <c r="W41" s="87" t="str">
        <f t="shared" si="10"/>
        <v/>
      </c>
      <c r="X41" s="103" t="str">
        <f t="shared" si="11"/>
        <v/>
      </c>
      <c r="Y41" s="53">
        <v>0</v>
      </c>
      <c r="Z41" s="56" t="str">
        <f t="shared" si="12"/>
        <v/>
      </c>
      <c r="AA41" s="56" t="str">
        <f t="shared" si="13"/>
        <v/>
      </c>
      <c r="AB41" s="56" t="str">
        <f t="shared" si="14"/>
        <v/>
      </c>
      <c r="AC41" s="56" t="str">
        <f t="shared" si="15"/>
        <v/>
      </c>
      <c r="AD41" s="56" t="str">
        <f t="shared" si="16"/>
        <v/>
      </c>
      <c r="AE41" s="40"/>
      <c r="AF41" s="40"/>
      <c r="AG41" s="40"/>
      <c r="AH41" s="56" t="str">
        <f t="shared" ref="AH41:AH72" si="17">IF(AE41=$B$6,AG41,"")</f>
        <v/>
      </c>
      <c r="AI41" s="54"/>
      <c r="AJ41" s="54"/>
      <c r="AK41" s="54">
        <v>33</v>
      </c>
      <c r="AL41" s="54" t="s">
        <v>60</v>
      </c>
      <c r="AM41" s="54" t="s">
        <v>61</v>
      </c>
    </row>
    <row r="42" spans="1:39">
      <c r="A42" s="45" t="str" cm="1">
        <f t="array" ref="A42">IF(H42="PROJECT", CHAR(10) &amp; "- " &amp; _xlfn.TEXTJOIN(CHAR(10) &amp; "- ", TRUE, _xlfn._xlws.FILTER($I$9:$I$1000, ($B$9:$B$1000=B42) * ($H$9:$H$1000="Topic"))), "")</f>
        <v/>
      </c>
      <c r="B42" s="45" t="str">
        <f t="shared" si="1"/>
        <v/>
      </c>
      <c r="C42" s="95"/>
      <c r="D42" s="57"/>
      <c r="E42" s="58"/>
      <c r="F42" s="59"/>
      <c r="G42" s="60"/>
      <c r="H42" s="60"/>
      <c r="I42" s="61"/>
      <c r="J42" s="62"/>
      <c r="K42" s="129" t="str">
        <f t="shared" si="2"/>
        <v/>
      </c>
      <c r="L42" s="103" t="str">
        <f t="shared" si="3"/>
        <v/>
      </c>
      <c r="M42" s="52">
        <v>0</v>
      </c>
      <c r="N42" s="102" t="str">
        <f t="shared" si="4"/>
        <v/>
      </c>
      <c r="O42" s="103" t="str">
        <f t="shared" si="5"/>
        <v/>
      </c>
      <c r="P42" s="52">
        <v>0</v>
      </c>
      <c r="Q42" s="102" t="str">
        <f t="shared" si="6"/>
        <v/>
      </c>
      <c r="R42" s="103" t="str">
        <f t="shared" si="7"/>
        <v/>
      </c>
      <c r="S42" s="52">
        <v>0</v>
      </c>
      <c r="T42" s="102" t="str">
        <f t="shared" si="8"/>
        <v/>
      </c>
      <c r="U42" s="103" t="str">
        <f t="shared" si="9"/>
        <v/>
      </c>
      <c r="V42" s="52">
        <v>0</v>
      </c>
      <c r="W42" s="87" t="str">
        <f t="shared" si="10"/>
        <v/>
      </c>
      <c r="X42" s="103" t="str">
        <f t="shared" si="11"/>
        <v/>
      </c>
      <c r="Y42" s="52">
        <v>0</v>
      </c>
      <c r="Z42" s="56" t="str">
        <f t="shared" si="12"/>
        <v/>
      </c>
      <c r="AA42" s="56" t="str">
        <f t="shared" si="13"/>
        <v/>
      </c>
      <c r="AB42" s="56" t="str">
        <f t="shared" si="14"/>
        <v/>
      </c>
      <c r="AC42" s="56" t="str">
        <f t="shared" si="15"/>
        <v/>
      </c>
      <c r="AD42" s="56" t="str">
        <f t="shared" si="16"/>
        <v/>
      </c>
      <c r="AE42" s="40"/>
      <c r="AF42" s="40"/>
      <c r="AG42" s="40"/>
      <c r="AH42" s="56" t="str">
        <f t="shared" si="17"/>
        <v/>
      </c>
      <c r="AI42" s="54"/>
      <c r="AJ42" s="54"/>
      <c r="AK42" s="54">
        <v>34</v>
      </c>
      <c r="AL42" s="54" t="s">
        <v>66</v>
      </c>
      <c r="AM42" s="54" t="s">
        <v>67</v>
      </c>
    </row>
    <row r="43" spans="1:39">
      <c r="A43" s="45" t="str" cm="1">
        <f t="array" ref="A43">IF(H43="PROJECT", CHAR(10) &amp; "- " &amp; _xlfn.TEXTJOIN(CHAR(10) &amp; "- ", TRUE, _xlfn._xlws.FILTER($I$9:$I$1000, ($B$9:$B$1000=B43) * ($H$9:$H$1000="Topic"))), "")</f>
        <v/>
      </c>
      <c r="B43" s="45" t="str">
        <f t="shared" si="1"/>
        <v/>
      </c>
      <c r="C43" s="95"/>
      <c r="D43" s="46"/>
      <c r="E43" s="58"/>
      <c r="F43" s="48"/>
      <c r="G43" s="49"/>
      <c r="H43" s="49"/>
      <c r="I43" s="50"/>
      <c r="J43" s="51"/>
      <c r="K43" s="129" t="str">
        <f t="shared" si="2"/>
        <v/>
      </c>
      <c r="L43" s="103" t="str">
        <f t="shared" si="3"/>
        <v/>
      </c>
      <c r="M43" s="53">
        <v>0</v>
      </c>
      <c r="N43" s="102" t="str">
        <f t="shared" si="4"/>
        <v/>
      </c>
      <c r="O43" s="103" t="str">
        <f t="shared" si="5"/>
        <v/>
      </c>
      <c r="P43" s="53">
        <v>0</v>
      </c>
      <c r="Q43" s="102" t="str">
        <f t="shared" si="6"/>
        <v/>
      </c>
      <c r="R43" s="103" t="str">
        <f t="shared" si="7"/>
        <v/>
      </c>
      <c r="S43" s="53">
        <v>0</v>
      </c>
      <c r="T43" s="102" t="str">
        <f t="shared" si="8"/>
        <v/>
      </c>
      <c r="U43" s="103" t="str">
        <f t="shared" si="9"/>
        <v/>
      </c>
      <c r="V43" s="53">
        <v>0</v>
      </c>
      <c r="W43" s="87" t="str">
        <f t="shared" si="10"/>
        <v/>
      </c>
      <c r="X43" s="103" t="str">
        <f t="shared" si="11"/>
        <v/>
      </c>
      <c r="Y43" s="53">
        <v>0</v>
      </c>
      <c r="Z43" s="56" t="str">
        <f t="shared" si="12"/>
        <v/>
      </c>
      <c r="AA43" s="56" t="str">
        <f t="shared" si="13"/>
        <v/>
      </c>
      <c r="AB43" s="56" t="str">
        <f t="shared" si="14"/>
        <v/>
      </c>
      <c r="AC43" s="56" t="str">
        <f t="shared" si="15"/>
        <v/>
      </c>
      <c r="AD43" s="56" t="str">
        <f t="shared" si="16"/>
        <v/>
      </c>
      <c r="AE43" s="40"/>
      <c r="AF43" s="40"/>
      <c r="AG43" s="40"/>
      <c r="AH43" s="56" t="str">
        <f t="shared" si="17"/>
        <v/>
      </c>
      <c r="AI43" s="54"/>
      <c r="AJ43" s="54"/>
      <c r="AK43" s="54">
        <v>35</v>
      </c>
      <c r="AL43" s="54" t="s">
        <v>72</v>
      </c>
      <c r="AM43" s="54" t="s">
        <v>73</v>
      </c>
    </row>
    <row r="44" spans="1:39">
      <c r="A44" s="45" t="str" cm="1">
        <f t="array" ref="A44">IF(H44="PROJECT", CHAR(10) &amp; "- " &amp; _xlfn.TEXTJOIN(CHAR(10) &amp; "- ", TRUE, _xlfn._xlws.FILTER($I$9:$I$1000, ($B$9:$B$1000=B44) * ($H$9:$H$1000="Topic"))), "")</f>
        <v/>
      </c>
      <c r="B44" s="45" t="str">
        <f t="shared" si="1"/>
        <v/>
      </c>
      <c r="C44" s="95"/>
      <c r="D44" s="57"/>
      <c r="E44" s="58"/>
      <c r="F44" s="59"/>
      <c r="G44" s="60"/>
      <c r="H44" s="60"/>
      <c r="I44" s="61"/>
      <c r="J44" s="62"/>
      <c r="K44" s="129" t="str">
        <f t="shared" si="2"/>
        <v/>
      </c>
      <c r="L44" s="103" t="str">
        <f t="shared" si="3"/>
        <v/>
      </c>
      <c r="M44" s="52">
        <v>0</v>
      </c>
      <c r="N44" s="102" t="str">
        <f t="shared" si="4"/>
        <v/>
      </c>
      <c r="O44" s="103" t="str">
        <f t="shared" si="5"/>
        <v/>
      </c>
      <c r="P44" s="52">
        <v>0</v>
      </c>
      <c r="Q44" s="102" t="str">
        <f t="shared" si="6"/>
        <v/>
      </c>
      <c r="R44" s="103" t="str">
        <f t="shared" si="7"/>
        <v/>
      </c>
      <c r="S44" s="52">
        <v>0</v>
      </c>
      <c r="T44" s="102" t="str">
        <f t="shared" si="8"/>
        <v/>
      </c>
      <c r="U44" s="103" t="str">
        <f t="shared" si="9"/>
        <v/>
      </c>
      <c r="V44" s="52">
        <v>0</v>
      </c>
      <c r="W44" s="87" t="str">
        <f t="shared" si="10"/>
        <v/>
      </c>
      <c r="X44" s="103" t="str">
        <f t="shared" si="11"/>
        <v/>
      </c>
      <c r="Y44" s="52">
        <v>0</v>
      </c>
      <c r="Z44" s="56" t="str">
        <f t="shared" si="12"/>
        <v/>
      </c>
      <c r="AA44" s="56" t="str">
        <f t="shared" si="13"/>
        <v/>
      </c>
      <c r="AB44" s="56" t="str">
        <f t="shared" si="14"/>
        <v/>
      </c>
      <c r="AC44" s="56" t="str">
        <f t="shared" si="15"/>
        <v/>
      </c>
      <c r="AD44" s="56" t="str">
        <f t="shared" si="16"/>
        <v/>
      </c>
      <c r="AE44" s="40"/>
      <c r="AF44" s="40"/>
      <c r="AG44" s="40"/>
      <c r="AH44" s="56" t="str">
        <f t="shared" si="17"/>
        <v/>
      </c>
      <c r="AI44" s="54"/>
      <c r="AJ44" s="54"/>
      <c r="AK44" s="54">
        <v>36</v>
      </c>
      <c r="AL44" s="54" t="s">
        <v>78</v>
      </c>
      <c r="AM44" s="54" t="s">
        <v>79</v>
      </c>
    </row>
    <row r="45" spans="1:39">
      <c r="A45" s="45" t="str" cm="1">
        <f t="array" ref="A45">IF(H45="PROJECT", CHAR(10) &amp; "- " &amp; _xlfn.TEXTJOIN(CHAR(10) &amp; "- ", TRUE, _xlfn._xlws.FILTER($I$9:$I$1000, ($B$9:$B$1000=B45) * ($H$9:$H$1000="Topic"))), "")</f>
        <v/>
      </c>
      <c r="B45" s="45" t="str">
        <f t="shared" si="1"/>
        <v/>
      </c>
      <c r="C45" s="95"/>
      <c r="D45" s="46"/>
      <c r="E45" s="58"/>
      <c r="F45" s="48"/>
      <c r="G45" s="49"/>
      <c r="H45" s="49"/>
      <c r="I45" s="50"/>
      <c r="J45" s="51"/>
      <c r="K45" s="129" t="str">
        <f t="shared" si="2"/>
        <v/>
      </c>
      <c r="L45" s="103" t="str">
        <f t="shared" si="3"/>
        <v/>
      </c>
      <c r="M45" s="53">
        <v>0</v>
      </c>
      <c r="N45" s="102" t="str">
        <f t="shared" si="4"/>
        <v/>
      </c>
      <c r="O45" s="103" t="str">
        <f t="shared" si="5"/>
        <v/>
      </c>
      <c r="P45" s="53">
        <v>0</v>
      </c>
      <c r="Q45" s="102" t="str">
        <f t="shared" si="6"/>
        <v/>
      </c>
      <c r="R45" s="103" t="str">
        <f t="shared" si="7"/>
        <v/>
      </c>
      <c r="S45" s="53">
        <v>0</v>
      </c>
      <c r="T45" s="102" t="str">
        <f t="shared" si="8"/>
        <v/>
      </c>
      <c r="U45" s="103" t="str">
        <f t="shared" si="9"/>
        <v/>
      </c>
      <c r="V45" s="53">
        <v>0</v>
      </c>
      <c r="W45" s="87" t="str">
        <f t="shared" si="10"/>
        <v/>
      </c>
      <c r="X45" s="103" t="str">
        <f t="shared" si="11"/>
        <v/>
      </c>
      <c r="Y45" s="53">
        <v>0</v>
      </c>
      <c r="Z45" s="56" t="str">
        <f t="shared" si="12"/>
        <v/>
      </c>
      <c r="AA45" s="56" t="str">
        <f t="shared" si="13"/>
        <v/>
      </c>
      <c r="AB45" s="56" t="str">
        <f t="shared" si="14"/>
        <v/>
      </c>
      <c r="AC45" s="56" t="str">
        <f t="shared" si="15"/>
        <v/>
      </c>
      <c r="AD45" s="56" t="str">
        <f t="shared" si="16"/>
        <v/>
      </c>
      <c r="AE45" s="40"/>
      <c r="AF45" s="40"/>
      <c r="AG45" s="40"/>
      <c r="AH45" s="56" t="str">
        <f t="shared" si="17"/>
        <v/>
      </c>
      <c r="AI45" s="54"/>
      <c r="AJ45" s="54"/>
      <c r="AK45" s="54">
        <v>37</v>
      </c>
      <c r="AL45" s="54" t="s">
        <v>83</v>
      </c>
      <c r="AM45" s="54" t="s">
        <v>84</v>
      </c>
    </row>
    <row r="46" spans="1:39">
      <c r="A46" s="45" t="str" cm="1">
        <f t="array" ref="A46">IF(H46="PROJECT", CHAR(10) &amp; "- " &amp; _xlfn.TEXTJOIN(CHAR(10) &amp; "- ", TRUE, _xlfn._xlws.FILTER($I$9:$I$1000, ($B$9:$B$1000=B46) * ($H$9:$H$1000="Topic"))), "")</f>
        <v/>
      </c>
      <c r="B46" s="45" t="str">
        <f t="shared" si="1"/>
        <v/>
      </c>
      <c r="C46" s="95"/>
      <c r="D46" s="57"/>
      <c r="E46" s="58"/>
      <c r="F46" s="59"/>
      <c r="G46" s="60"/>
      <c r="H46" s="60"/>
      <c r="I46" s="61"/>
      <c r="J46" s="62"/>
      <c r="K46" s="129" t="str">
        <f t="shared" si="2"/>
        <v/>
      </c>
      <c r="L46" s="103" t="str">
        <f t="shared" si="3"/>
        <v/>
      </c>
      <c r="M46" s="52">
        <v>0</v>
      </c>
      <c r="N46" s="102" t="str">
        <f t="shared" si="4"/>
        <v/>
      </c>
      <c r="O46" s="103" t="str">
        <f t="shared" si="5"/>
        <v/>
      </c>
      <c r="P46" s="52">
        <v>0</v>
      </c>
      <c r="Q46" s="102" t="str">
        <f t="shared" si="6"/>
        <v/>
      </c>
      <c r="R46" s="103" t="str">
        <f t="shared" si="7"/>
        <v/>
      </c>
      <c r="S46" s="52">
        <v>0</v>
      </c>
      <c r="T46" s="102" t="str">
        <f t="shared" si="8"/>
        <v/>
      </c>
      <c r="U46" s="103" t="str">
        <f t="shared" si="9"/>
        <v/>
      </c>
      <c r="V46" s="52">
        <v>0</v>
      </c>
      <c r="W46" s="87" t="str">
        <f t="shared" si="10"/>
        <v/>
      </c>
      <c r="X46" s="103" t="str">
        <f t="shared" si="11"/>
        <v/>
      </c>
      <c r="Y46" s="52">
        <v>0</v>
      </c>
      <c r="Z46" s="56" t="str">
        <f t="shared" si="12"/>
        <v/>
      </c>
      <c r="AA46" s="56" t="str">
        <f t="shared" si="13"/>
        <v/>
      </c>
      <c r="AB46" s="56" t="str">
        <f t="shared" si="14"/>
        <v/>
      </c>
      <c r="AC46" s="56" t="str">
        <f t="shared" si="15"/>
        <v/>
      </c>
      <c r="AD46" s="56" t="str">
        <f t="shared" si="16"/>
        <v/>
      </c>
      <c r="AE46" s="40"/>
      <c r="AF46" s="40"/>
      <c r="AG46" s="40"/>
      <c r="AH46" s="56" t="str">
        <f t="shared" si="17"/>
        <v/>
      </c>
      <c r="AI46" s="54"/>
      <c r="AJ46" s="54"/>
      <c r="AK46" s="54">
        <v>38</v>
      </c>
      <c r="AL46" s="54" t="s">
        <v>88</v>
      </c>
      <c r="AM46" s="54" t="s">
        <v>89</v>
      </c>
    </row>
    <row r="47" spans="1:39">
      <c r="A47" s="45" t="str" cm="1">
        <f t="array" ref="A47">IF(H47="PROJECT", CHAR(10) &amp; "- " &amp; _xlfn.TEXTJOIN(CHAR(10) &amp; "- ", TRUE, _xlfn._xlws.FILTER($I$9:$I$1000, ($B$9:$B$1000=B47) * ($H$9:$H$1000="Topic"))), "")</f>
        <v/>
      </c>
      <c r="B47" s="45" t="str">
        <f t="shared" si="1"/>
        <v/>
      </c>
      <c r="C47" s="95"/>
      <c r="D47" s="46"/>
      <c r="E47" s="58"/>
      <c r="F47" s="48"/>
      <c r="G47" s="49"/>
      <c r="H47" s="49"/>
      <c r="I47" s="50"/>
      <c r="J47" s="51"/>
      <c r="K47" s="129" t="str">
        <f t="shared" si="2"/>
        <v/>
      </c>
      <c r="L47" s="103" t="str">
        <f t="shared" si="3"/>
        <v/>
      </c>
      <c r="M47" s="53">
        <v>0</v>
      </c>
      <c r="N47" s="102" t="str">
        <f t="shared" si="4"/>
        <v/>
      </c>
      <c r="O47" s="103" t="str">
        <f t="shared" si="5"/>
        <v/>
      </c>
      <c r="P47" s="53">
        <v>0</v>
      </c>
      <c r="Q47" s="102" t="str">
        <f t="shared" si="6"/>
        <v/>
      </c>
      <c r="R47" s="103" t="str">
        <f t="shared" si="7"/>
        <v/>
      </c>
      <c r="S47" s="53">
        <v>0</v>
      </c>
      <c r="T47" s="102" t="str">
        <f t="shared" si="8"/>
        <v/>
      </c>
      <c r="U47" s="103" t="str">
        <f t="shared" si="9"/>
        <v/>
      </c>
      <c r="V47" s="53">
        <v>0</v>
      </c>
      <c r="W47" s="87" t="str">
        <f t="shared" si="10"/>
        <v/>
      </c>
      <c r="X47" s="103" t="str">
        <f t="shared" si="11"/>
        <v/>
      </c>
      <c r="Y47" s="53">
        <v>0</v>
      </c>
      <c r="Z47" s="56" t="str">
        <f t="shared" si="12"/>
        <v/>
      </c>
      <c r="AA47" s="56" t="str">
        <f t="shared" si="13"/>
        <v/>
      </c>
      <c r="AB47" s="56" t="str">
        <f t="shared" si="14"/>
        <v/>
      </c>
      <c r="AC47" s="56" t="str">
        <f t="shared" si="15"/>
        <v/>
      </c>
      <c r="AD47" s="56" t="str">
        <f t="shared" si="16"/>
        <v/>
      </c>
      <c r="AE47" s="40"/>
      <c r="AF47" s="40"/>
      <c r="AG47" s="40"/>
      <c r="AH47" s="56" t="str">
        <f t="shared" si="17"/>
        <v/>
      </c>
      <c r="AI47" s="54"/>
      <c r="AJ47" s="54"/>
      <c r="AK47" s="54">
        <v>39</v>
      </c>
      <c r="AL47" s="54" t="s">
        <v>93</v>
      </c>
      <c r="AM47" s="54" t="s">
        <v>94</v>
      </c>
    </row>
    <row r="48" spans="1:39">
      <c r="A48" s="45" t="str" cm="1">
        <f t="array" ref="A48">IF(H48="PROJECT", CHAR(10) &amp; "- " &amp; _xlfn.TEXTJOIN(CHAR(10) &amp; "- ", TRUE, _xlfn._xlws.FILTER($I$9:$I$1000, ($B$9:$B$1000=B48) * ($H$9:$H$1000="Topic"))), "")</f>
        <v/>
      </c>
      <c r="B48" s="45" t="str">
        <f t="shared" si="1"/>
        <v/>
      </c>
      <c r="C48" s="95"/>
      <c r="D48" s="57"/>
      <c r="E48" s="58"/>
      <c r="F48" s="59"/>
      <c r="G48" s="60"/>
      <c r="H48" s="60"/>
      <c r="I48" s="61"/>
      <c r="J48" s="62"/>
      <c r="K48" s="129" t="str">
        <f t="shared" si="2"/>
        <v/>
      </c>
      <c r="L48" s="103" t="str">
        <f t="shared" si="3"/>
        <v/>
      </c>
      <c r="M48" s="52">
        <v>0</v>
      </c>
      <c r="N48" s="102" t="str">
        <f t="shared" si="4"/>
        <v/>
      </c>
      <c r="O48" s="103" t="str">
        <f t="shared" si="5"/>
        <v/>
      </c>
      <c r="P48" s="52">
        <v>0</v>
      </c>
      <c r="Q48" s="102" t="str">
        <f t="shared" si="6"/>
        <v/>
      </c>
      <c r="R48" s="103" t="str">
        <f t="shared" si="7"/>
        <v/>
      </c>
      <c r="S48" s="52">
        <v>0</v>
      </c>
      <c r="T48" s="102" t="str">
        <f t="shared" si="8"/>
        <v/>
      </c>
      <c r="U48" s="103" t="str">
        <f t="shared" si="9"/>
        <v/>
      </c>
      <c r="V48" s="52">
        <v>0</v>
      </c>
      <c r="W48" s="87" t="str">
        <f t="shared" si="10"/>
        <v/>
      </c>
      <c r="X48" s="103" t="str">
        <f t="shared" si="11"/>
        <v/>
      </c>
      <c r="Y48" s="52">
        <v>0</v>
      </c>
      <c r="Z48" s="56" t="str">
        <f t="shared" si="12"/>
        <v/>
      </c>
      <c r="AA48" s="56" t="str">
        <f t="shared" si="13"/>
        <v/>
      </c>
      <c r="AB48" s="56" t="str">
        <f t="shared" si="14"/>
        <v/>
      </c>
      <c r="AC48" s="56" t="str">
        <f t="shared" si="15"/>
        <v/>
      </c>
      <c r="AD48" s="56" t="str">
        <f t="shared" si="16"/>
        <v/>
      </c>
      <c r="AE48" s="40"/>
      <c r="AF48" s="40"/>
      <c r="AG48" s="40"/>
      <c r="AH48" s="56" t="str">
        <f t="shared" si="17"/>
        <v/>
      </c>
      <c r="AI48" s="54"/>
      <c r="AJ48" s="54"/>
      <c r="AK48" s="54">
        <v>40</v>
      </c>
      <c r="AL48" s="54" t="s">
        <v>98</v>
      </c>
      <c r="AM48" s="54" t="s">
        <v>99</v>
      </c>
    </row>
    <row r="49" spans="1:39">
      <c r="A49" s="45" t="str" cm="1">
        <f t="array" ref="A49">IF(H49="PROJECT", CHAR(10) &amp; "- " &amp; _xlfn.TEXTJOIN(CHAR(10) &amp; "- ", TRUE, _xlfn._xlws.FILTER($I$9:$I$1000, ($B$9:$B$1000=B49) * ($H$9:$H$1000="Topic"))), "")</f>
        <v/>
      </c>
      <c r="B49" s="45" t="str">
        <f t="shared" si="1"/>
        <v/>
      </c>
      <c r="C49" s="95"/>
      <c r="D49" s="46"/>
      <c r="E49" s="58"/>
      <c r="F49" s="48"/>
      <c r="G49" s="49"/>
      <c r="H49" s="49"/>
      <c r="I49" s="50"/>
      <c r="J49" s="51"/>
      <c r="K49" s="129" t="str">
        <f t="shared" si="2"/>
        <v/>
      </c>
      <c r="L49" s="103" t="str">
        <f t="shared" si="3"/>
        <v/>
      </c>
      <c r="M49" s="53">
        <v>0</v>
      </c>
      <c r="N49" s="102" t="str">
        <f t="shared" si="4"/>
        <v/>
      </c>
      <c r="O49" s="103" t="str">
        <f t="shared" si="5"/>
        <v/>
      </c>
      <c r="P49" s="53">
        <v>0</v>
      </c>
      <c r="Q49" s="102" t="str">
        <f t="shared" si="6"/>
        <v/>
      </c>
      <c r="R49" s="103" t="str">
        <f t="shared" si="7"/>
        <v/>
      </c>
      <c r="S49" s="53">
        <v>0</v>
      </c>
      <c r="T49" s="102" t="str">
        <f t="shared" si="8"/>
        <v/>
      </c>
      <c r="U49" s="103" t="str">
        <f t="shared" si="9"/>
        <v/>
      </c>
      <c r="V49" s="53">
        <v>0</v>
      </c>
      <c r="W49" s="87" t="str">
        <f t="shared" si="10"/>
        <v/>
      </c>
      <c r="X49" s="103" t="str">
        <f t="shared" si="11"/>
        <v/>
      </c>
      <c r="Y49" s="53">
        <v>0</v>
      </c>
      <c r="Z49" s="56" t="str">
        <f t="shared" si="12"/>
        <v/>
      </c>
      <c r="AA49" s="56" t="str">
        <f t="shared" si="13"/>
        <v/>
      </c>
      <c r="AB49" s="56" t="str">
        <f t="shared" si="14"/>
        <v/>
      </c>
      <c r="AC49" s="56" t="str">
        <f t="shared" si="15"/>
        <v/>
      </c>
      <c r="AD49" s="56" t="str">
        <f t="shared" si="16"/>
        <v/>
      </c>
      <c r="AE49" s="40"/>
      <c r="AF49" s="40"/>
      <c r="AG49" s="40"/>
      <c r="AH49" s="56" t="str">
        <f t="shared" si="17"/>
        <v/>
      </c>
      <c r="AI49" s="54"/>
      <c r="AJ49" s="54"/>
      <c r="AK49" s="54"/>
      <c r="AL49" s="54"/>
      <c r="AM49" s="54"/>
    </row>
    <row r="50" spans="1:39">
      <c r="A50" s="45" t="str" cm="1">
        <f t="array" ref="A50">IF(H50="PROJECT", CHAR(10) &amp; "- " &amp; _xlfn.TEXTJOIN(CHAR(10) &amp; "- ", TRUE, _xlfn._xlws.FILTER($I$9:$I$1000, ($B$9:$B$1000=B50) * ($H$9:$H$1000="Topic"))), "")</f>
        <v/>
      </c>
      <c r="B50" s="45" t="str">
        <f t="shared" si="1"/>
        <v/>
      </c>
      <c r="C50" s="95"/>
      <c r="D50" s="57"/>
      <c r="E50" s="58"/>
      <c r="F50" s="59"/>
      <c r="G50" s="60"/>
      <c r="H50" s="60"/>
      <c r="I50" s="61"/>
      <c r="J50" s="62"/>
      <c r="K50" s="129" t="str">
        <f t="shared" si="2"/>
        <v/>
      </c>
      <c r="L50" s="103" t="str">
        <f t="shared" si="3"/>
        <v/>
      </c>
      <c r="M50" s="52">
        <v>0</v>
      </c>
      <c r="N50" s="102" t="str">
        <f t="shared" si="4"/>
        <v/>
      </c>
      <c r="O50" s="103" t="str">
        <f t="shared" si="5"/>
        <v/>
      </c>
      <c r="P50" s="52">
        <v>0</v>
      </c>
      <c r="Q50" s="102" t="str">
        <f t="shared" si="6"/>
        <v/>
      </c>
      <c r="R50" s="103" t="str">
        <f t="shared" si="7"/>
        <v/>
      </c>
      <c r="S50" s="52">
        <v>0</v>
      </c>
      <c r="T50" s="102" t="str">
        <f t="shared" si="8"/>
        <v/>
      </c>
      <c r="U50" s="103" t="str">
        <f t="shared" si="9"/>
        <v/>
      </c>
      <c r="V50" s="52">
        <v>0</v>
      </c>
      <c r="W50" s="87" t="str">
        <f t="shared" si="10"/>
        <v/>
      </c>
      <c r="X50" s="103" t="str">
        <f t="shared" si="11"/>
        <v/>
      </c>
      <c r="Y50" s="52">
        <v>0</v>
      </c>
      <c r="Z50" s="56" t="str">
        <f t="shared" si="12"/>
        <v/>
      </c>
      <c r="AA50" s="56" t="str">
        <f t="shared" si="13"/>
        <v/>
      </c>
      <c r="AB50" s="56" t="str">
        <f t="shared" si="14"/>
        <v/>
      </c>
      <c r="AC50" s="56" t="str">
        <f t="shared" si="15"/>
        <v/>
      </c>
      <c r="AD50" s="56" t="str">
        <f t="shared" si="16"/>
        <v/>
      </c>
      <c r="AE50" s="40"/>
      <c r="AF50" s="40"/>
      <c r="AG50" s="40"/>
      <c r="AH50" s="56" t="str">
        <f t="shared" si="17"/>
        <v/>
      </c>
      <c r="AI50" s="54"/>
      <c r="AJ50" s="54"/>
      <c r="AK50" s="54"/>
      <c r="AL50" s="54"/>
      <c r="AM50" s="54"/>
    </row>
    <row r="51" spans="1:39">
      <c r="A51" s="45" t="str" cm="1">
        <f t="array" ref="A51">IF(H51="PROJECT", CHAR(10) &amp; "- " &amp; _xlfn.TEXTJOIN(CHAR(10) &amp; "- ", TRUE, _xlfn._xlws.FILTER($I$9:$I$1000, ($B$9:$B$1000=B51) * ($H$9:$H$1000="Topic"))), "")</f>
        <v/>
      </c>
      <c r="B51" s="45" t="str">
        <f t="shared" si="1"/>
        <v/>
      </c>
      <c r="C51" s="95"/>
      <c r="D51" s="46"/>
      <c r="E51" s="58"/>
      <c r="F51" s="48"/>
      <c r="G51" s="49"/>
      <c r="H51" s="49"/>
      <c r="I51" s="50"/>
      <c r="J51" s="51"/>
      <c r="K51" s="129" t="str">
        <f t="shared" si="2"/>
        <v/>
      </c>
      <c r="L51" s="103" t="str">
        <f t="shared" si="3"/>
        <v/>
      </c>
      <c r="M51" s="53">
        <v>0</v>
      </c>
      <c r="N51" s="102" t="str">
        <f t="shared" si="4"/>
        <v/>
      </c>
      <c r="O51" s="103" t="str">
        <f t="shared" si="5"/>
        <v/>
      </c>
      <c r="P51" s="53">
        <v>0</v>
      </c>
      <c r="Q51" s="102" t="str">
        <f t="shared" si="6"/>
        <v/>
      </c>
      <c r="R51" s="103" t="str">
        <f t="shared" si="7"/>
        <v/>
      </c>
      <c r="S51" s="53">
        <v>0</v>
      </c>
      <c r="T51" s="102" t="str">
        <f t="shared" si="8"/>
        <v/>
      </c>
      <c r="U51" s="103" t="str">
        <f t="shared" si="9"/>
        <v/>
      </c>
      <c r="V51" s="53">
        <v>0</v>
      </c>
      <c r="W51" s="87" t="str">
        <f t="shared" si="10"/>
        <v/>
      </c>
      <c r="X51" s="103" t="str">
        <f t="shared" si="11"/>
        <v/>
      </c>
      <c r="Y51" s="53">
        <v>0</v>
      </c>
      <c r="Z51" s="56" t="str">
        <f t="shared" si="12"/>
        <v/>
      </c>
      <c r="AA51" s="56" t="str">
        <f t="shared" si="13"/>
        <v/>
      </c>
      <c r="AB51" s="56" t="str">
        <f t="shared" si="14"/>
        <v/>
      </c>
      <c r="AC51" s="56" t="str">
        <f t="shared" si="15"/>
        <v/>
      </c>
      <c r="AD51" s="56" t="str">
        <f t="shared" si="16"/>
        <v/>
      </c>
      <c r="AE51" s="40"/>
      <c r="AF51" s="40"/>
      <c r="AG51" s="40"/>
      <c r="AH51" s="56" t="str">
        <f t="shared" si="17"/>
        <v/>
      </c>
      <c r="AI51" s="54"/>
      <c r="AJ51" s="54"/>
      <c r="AK51" s="54"/>
      <c r="AL51" s="54"/>
      <c r="AM51" s="54"/>
    </row>
    <row r="52" spans="1:39">
      <c r="A52" s="45" t="str" cm="1">
        <f t="array" ref="A52">IF(H52="PROJECT", CHAR(10) &amp; "- " &amp; _xlfn.TEXTJOIN(CHAR(10) &amp; "- ", TRUE, _xlfn._xlws.FILTER($I$9:$I$1000, ($B$9:$B$1000=B52) * ($H$9:$H$1000="Topic"))), "")</f>
        <v/>
      </c>
      <c r="B52" s="45" t="str">
        <f t="shared" si="1"/>
        <v/>
      </c>
      <c r="C52" s="95"/>
      <c r="D52" s="57"/>
      <c r="E52" s="58"/>
      <c r="F52" s="59"/>
      <c r="G52" s="60"/>
      <c r="H52" s="60"/>
      <c r="I52" s="61"/>
      <c r="J52" s="62"/>
      <c r="K52" s="129" t="str">
        <f t="shared" si="2"/>
        <v/>
      </c>
      <c r="L52" s="103" t="str">
        <f t="shared" si="3"/>
        <v/>
      </c>
      <c r="M52" s="52">
        <v>0</v>
      </c>
      <c r="N52" s="102" t="str">
        <f t="shared" si="4"/>
        <v/>
      </c>
      <c r="O52" s="103" t="str">
        <f t="shared" si="5"/>
        <v/>
      </c>
      <c r="P52" s="52">
        <v>0</v>
      </c>
      <c r="Q52" s="102" t="str">
        <f t="shared" si="6"/>
        <v/>
      </c>
      <c r="R52" s="103" t="str">
        <f t="shared" si="7"/>
        <v/>
      </c>
      <c r="S52" s="52">
        <v>0</v>
      </c>
      <c r="T52" s="102" t="str">
        <f t="shared" si="8"/>
        <v/>
      </c>
      <c r="U52" s="103" t="str">
        <f t="shared" si="9"/>
        <v/>
      </c>
      <c r="V52" s="52">
        <v>0</v>
      </c>
      <c r="W52" s="87" t="str">
        <f t="shared" si="10"/>
        <v/>
      </c>
      <c r="X52" s="103" t="str">
        <f t="shared" si="11"/>
        <v/>
      </c>
      <c r="Y52" s="52">
        <v>0</v>
      </c>
      <c r="Z52" s="56" t="str">
        <f t="shared" si="12"/>
        <v/>
      </c>
      <c r="AA52" s="56" t="str">
        <f t="shared" si="13"/>
        <v/>
      </c>
      <c r="AB52" s="56" t="str">
        <f t="shared" si="14"/>
        <v/>
      </c>
      <c r="AC52" s="56" t="str">
        <f t="shared" si="15"/>
        <v/>
      </c>
      <c r="AD52" s="56" t="str">
        <f t="shared" si="16"/>
        <v/>
      </c>
      <c r="AE52" s="40"/>
      <c r="AF52" s="40"/>
      <c r="AG52" s="40"/>
      <c r="AH52" s="56" t="str">
        <f t="shared" si="17"/>
        <v/>
      </c>
      <c r="AI52" s="54"/>
      <c r="AJ52" s="54"/>
      <c r="AK52" s="54"/>
      <c r="AL52" s="54"/>
      <c r="AM52" s="54"/>
    </row>
    <row r="53" spans="1:39">
      <c r="A53" s="45" t="str" cm="1">
        <f t="array" ref="A53">IF(H53="PROJECT", CHAR(10) &amp; "- " &amp; _xlfn.TEXTJOIN(CHAR(10) &amp; "- ", TRUE, _xlfn._xlws.FILTER($I$9:$I$1000, ($B$9:$B$1000=B53) * ($H$9:$H$1000="Topic"))), "")</f>
        <v/>
      </c>
      <c r="B53" s="45" t="str">
        <f t="shared" si="1"/>
        <v/>
      </c>
      <c r="C53" s="95"/>
      <c r="D53" s="46"/>
      <c r="E53" s="58"/>
      <c r="F53" s="48"/>
      <c r="G53" s="49"/>
      <c r="H53" s="49"/>
      <c r="I53" s="50"/>
      <c r="J53" s="51"/>
      <c r="K53" s="129" t="str">
        <f t="shared" si="2"/>
        <v/>
      </c>
      <c r="L53" s="103" t="str">
        <f t="shared" si="3"/>
        <v/>
      </c>
      <c r="M53" s="53">
        <v>0</v>
      </c>
      <c r="N53" s="102" t="str">
        <f t="shared" si="4"/>
        <v/>
      </c>
      <c r="O53" s="103" t="str">
        <f t="shared" si="5"/>
        <v/>
      </c>
      <c r="P53" s="53">
        <v>0</v>
      </c>
      <c r="Q53" s="102" t="str">
        <f t="shared" si="6"/>
        <v/>
      </c>
      <c r="R53" s="103" t="str">
        <f t="shared" si="7"/>
        <v/>
      </c>
      <c r="S53" s="53">
        <v>0</v>
      </c>
      <c r="T53" s="102" t="str">
        <f t="shared" si="8"/>
        <v/>
      </c>
      <c r="U53" s="103" t="str">
        <f t="shared" si="9"/>
        <v/>
      </c>
      <c r="V53" s="53">
        <v>0</v>
      </c>
      <c r="W53" s="87" t="str">
        <f t="shared" si="10"/>
        <v/>
      </c>
      <c r="X53" s="103" t="str">
        <f t="shared" si="11"/>
        <v/>
      </c>
      <c r="Y53" s="53">
        <v>0</v>
      </c>
      <c r="Z53" s="56" t="str">
        <f t="shared" si="12"/>
        <v/>
      </c>
      <c r="AA53" s="56" t="str">
        <f t="shared" si="13"/>
        <v/>
      </c>
      <c r="AB53" s="56" t="str">
        <f t="shared" si="14"/>
        <v/>
      </c>
      <c r="AC53" s="56" t="str">
        <f t="shared" si="15"/>
        <v/>
      </c>
      <c r="AD53" s="56" t="str">
        <f t="shared" si="16"/>
        <v/>
      </c>
      <c r="AE53" s="40"/>
      <c r="AF53" s="40"/>
      <c r="AG53" s="40"/>
      <c r="AH53" s="56" t="str">
        <f t="shared" si="17"/>
        <v/>
      </c>
      <c r="AI53" s="54"/>
      <c r="AJ53" s="54"/>
      <c r="AK53" s="54"/>
      <c r="AL53" s="54"/>
      <c r="AM53" s="54"/>
    </row>
    <row r="54" spans="1:39">
      <c r="A54" s="45" t="str" cm="1">
        <f t="array" ref="A54">IF(H54="PROJECT", CHAR(10) &amp; "- " &amp; _xlfn.TEXTJOIN(CHAR(10) &amp; "- ", TRUE, _xlfn._xlws.FILTER($I$9:$I$1000, ($B$9:$B$1000=B54) * ($H$9:$H$1000="Topic"))), "")</f>
        <v/>
      </c>
      <c r="B54" s="45" t="str">
        <f t="shared" si="1"/>
        <v/>
      </c>
      <c r="C54" s="95"/>
      <c r="D54" s="57"/>
      <c r="E54" s="58"/>
      <c r="F54" s="59"/>
      <c r="G54" s="60"/>
      <c r="H54" s="60"/>
      <c r="I54" s="61"/>
      <c r="J54" s="62"/>
      <c r="K54" s="129" t="str">
        <f t="shared" si="2"/>
        <v/>
      </c>
      <c r="L54" s="103" t="str">
        <f t="shared" si="3"/>
        <v/>
      </c>
      <c r="M54" s="52">
        <v>0</v>
      </c>
      <c r="N54" s="102" t="str">
        <f t="shared" si="4"/>
        <v/>
      </c>
      <c r="O54" s="103" t="str">
        <f t="shared" si="5"/>
        <v/>
      </c>
      <c r="P54" s="52">
        <v>0</v>
      </c>
      <c r="Q54" s="102" t="str">
        <f t="shared" si="6"/>
        <v/>
      </c>
      <c r="R54" s="103" t="str">
        <f t="shared" si="7"/>
        <v/>
      </c>
      <c r="S54" s="52">
        <v>0</v>
      </c>
      <c r="T54" s="102" t="str">
        <f t="shared" si="8"/>
        <v/>
      </c>
      <c r="U54" s="103" t="str">
        <f t="shared" si="9"/>
        <v/>
      </c>
      <c r="V54" s="52">
        <v>0</v>
      </c>
      <c r="W54" s="87" t="str">
        <f t="shared" si="10"/>
        <v/>
      </c>
      <c r="X54" s="103" t="str">
        <f t="shared" si="11"/>
        <v/>
      </c>
      <c r="Y54" s="52">
        <v>0</v>
      </c>
      <c r="Z54" s="56" t="str">
        <f t="shared" si="12"/>
        <v/>
      </c>
      <c r="AA54" s="56" t="str">
        <f t="shared" si="13"/>
        <v/>
      </c>
      <c r="AB54" s="56" t="str">
        <f t="shared" si="14"/>
        <v/>
      </c>
      <c r="AC54" s="56" t="str">
        <f t="shared" si="15"/>
        <v/>
      </c>
      <c r="AD54" s="56" t="str">
        <f t="shared" si="16"/>
        <v/>
      </c>
      <c r="AE54" s="40"/>
      <c r="AF54" s="40"/>
      <c r="AG54" s="40"/>
      <c r="AH54" s="56" t="str">
        <f t="shared" si="17"/>
        <v/>
      </c>
      <c r="AI54" s="54"/>
      <c r="AJ54" s="54"/>
      <c r="AK54" s="54"/>
      <c r="AL54" s="54"/>
      <c r="AM54" s="54"/>
    </row>
    <row r="55" spans="1:39">
      <c r="A55" s="45" t="str" cm="1">
        <f t="array" ref="A55">IF(H55="PROJECT", CHAR(10) &amp; "- " &amp; _xlfn.TEXTJOIN(CHAR(10) &amp; "- ", TRUE, _xlfn._xlws.FILTER($I$9:$I$1000, ($B$9:$B$1000=B55) * ($H$9:$H$1000="Topic"))), "")</f>
        <v/>
      </c>
      <c r="B55" s="45" t="str">
        <f t="shared" si="1"/>
        <v/>
      </c>
      <c r="C55" s="95"/>
      <c r="D55" s="46"/>
      <c r="E55" s="58"/>
      <c r="F55" s="48"/>
      <c r="G55" s="49"/>
      <c r="H55" s="49"/>
      <c r="I55" s="50"/>
      <c r="J55" s="51"/>
      <c r="K55" s="129" t="str">
        <f t="shared" si="2"/>
        <v/>
      </c>
      <c r="L55" s="103" t="str">
        <f t="shared" si="3"/>
        <v/>
      </c>
      <c r="M55" s="53">
        <v>0</v>
      </c>
      <c r="N55" s="102" t="str">
        <f t="shared" si="4"/>
        <v/>
      </c>
      <c r="O55" s="103" t="str">
        <f t="shared" si="5"/>
        <v/>
      </c>
      <c r="P55" s="53">
        <v>0</v>
      </c>
      <c r="Q55" s="102" t="str">
        <f t="shared" si="6"/>
        <v/>
      </c>
      <c r="R55" s="103" t="str">
        <f t="shared" si="7"/>
        <v/>
      </c>
      <c r="S55" s="53">
        <v>0</v>
      </c>
      <c r="T55" s="102" t="str">
        <f t="shared" si="8"/>
        <v/>
      </c>
      <c r="U55" s="103" t="str">
        <f t="shared" si="9"/>
        <v/>
      </c>
      <c r="V55" s="53">
        <v>0</v>
      </c>
      <c r="W55" s="87" t="str">
        <f t="shared" si="10"/>
        <v/>
      </c>
      <c r="X55" s="103" t="str">
        <f t="shared" si="11"/>
        <v/>
      </c>
      <c r="Y55" s="53">
        <v>0</v>
      </c>
      <c r="Z55" s="56" t="str">
        <f t="shared" si="12"/>
        <v/>
      </c>
      <c r="AA55" s="56" t="str">
        <f t="shared" si="13"/>
        <v/>
      </c>
      <c r="AB55" s="56" t="str">
        <f t="shared" si="14"/>
        <v/>
      </c>
      <c r="AC55" s="56" t="str">
        <f t="shared" si="15"/>
        <v/>
      </c>
      <c r="AD55" s="56" t="str">
        <f t="shared" si="16"/>
        <v/>
      </c>
      <c r="AE55" s="40"/>
      <c r="AF55" s="40"/>
      <c r="AG55" s="40"/>
      <c r="AH55" s="56" t="str">
        <f t="shared" si="17"/>
        <v/>
      </c>
      <c r="AI55" s="54"/>
      <c r="AJ55" s="54"/>
      <c r="AK55" s="54"/>
      <c r="AL55" s="54"/>
      <c r="AM55" s="54"/>
    </row>
    <row r="56" spans="1:39">
      <c r="A56" s="45" t="str" cm="1">
        <f t="array" ref="A56">IF(H56="PROJECT", CHAR(10) &amp; "- " &amp; _xlfn.TEXTJOIN(CHAR(10) &amp; "- ", TRUE, _xlfn._xlws.FILTER($I$9:$I$1000, ($B$9:$B$1000=B56) * ($H$9:$H$1000="Topic"))), "")</f>
        <v/>
      </c>
      <c r="B56" s="45" t="str">
        <f t="shared" si="1"/>
        <v/>
      </c>
      <c r="C56" s="95"/>
      <c r="D56" s="57"/>
      <c r="E56" s="58"/>
      <c r="F56" s="63"/>
      <c r="G56" s="60"/>
      <c r="H56" s="64"/>
      <c r="I56" s="61"/>
      <c r="J56" s="62"/>
      <c r="K56" s="129" t="str">
        <f t="shared" si="2"/>
        <v/>
      </c>
      <c r="L56" s="103" t="str">
        <f t="shared" si="3"/>
        <v/>
      </c>
      <c r="M56" s="52">
        <v>0</v>
      </c>
      <c r="N56" s="102" t="str">
        <f t="shared" si="4"/>
        <v/>
      </c>
      <c r="O56" s="103" t="str">
        <f t="shared" si="5"/>
        <v/>
      </c>
      <c r="P56" s="52">
        <v>0</v>
      </c>
      <c r="Q56" s="102" t="str">
        <f t="shared" si="6"/>
        <v/>
      </c>
      <c r="R56" s="103" t="str">
        <f t="shared" si="7"/>
        <v/>
      </c>
      <c r="S56" s="52">
        <v>0</v>
      </c>
      <c r="T56" s="102" t="str">
        <f t="shared" si="8"/>
        <v/>
      </c>
      <c r="U56" s="103" t="str">
        <f t="shared" si="9"/>
        <v/>
      </c>
      <c r="V56" s="52">
        <v>0</v>
      </c>
      <c r="W56" s="87" t="str">
        <f t="shared" si="10"/>
        <v/>
      </c>
      <c r="X56" s="103" t="str">
        <f t="shared" si="11"/>
        <v/>
      </c>
      <c r="Y56" s="52">
        <v>0</v>
      </c>
      <c r="Z56" s="56" t="str">
        <f t="shared" si="12"/>
        <v/>
      </c>
      <c r="AA56" s="56" t="str">
        <f t="shared" si="13"/>
        <v/>
      </c>
      <c r="AB56" s="56" t="str">
        <f t="shared" si="14"/>
        <v/>
      </c>
      <c r="AC56" s="56" t="str">
        <f t="shared" si="15"/>
        <v/>
      </c>
      <c r="AD56" s="56" t="str">
        <f t="shared" si="16"/>
        <v/>
      </c>
      <c r="AE56" s="40"/>
      <c r="AF56" s="40"/>
      <c r="AG56" s="40"/>
      <c r="AH56" s="56" t="str">
        <f t="shared" si="17"/>
        <v/>
      </c>
      <c r="AI56" s="54"/>
      <c r="AJ56" s="54"/>
      <c r="AK56" s="54"/>
      <c r="AL56" s="54"/>
      <c r="AM56" s="54"/>
    </row>
    <row r="57" spans="1:39">
      <c r="A57" s="45" t="str" cm="1">
        <f t="array" ref="A57">IF(H57="PROJECT", CHAR(10) &amp; "- " &amp; _xlfn.TEXTJOIN(CHAR(10) &amp; "- ", TRUE, _xlfn._xlws.FILTER($I$9:$I$1000, ($B$9:$B$1000=B57) * ($H$9:$H$1000="Topic"))), "")</f>
        <v/>
      </c>
      <c r="B57" s="45" t="str">
        <f t="shared" si="1"/>
        <v/>
      </c>
      <c r="C57" s="95"/>
      <c r="D57" s="46"/>
      <c r="E57" s="58"/>
      <c r="F57" s="65"/>
      <c r="G57" s="49"/>
      <c r="H57" s="66"/>
      <c r="I57" s="50"/>
      <c r="J57" s="51"/>
      <c r="K57" s="129" t="str">
        <f t="shared" si="2"/>
        <v/>
      </c>
      <c r="L57" s="103" t="str">
        <f t="shared" si="3"/>
        <v/>
      </c>
      <c r="M57" s="53">
        <v>0</v>
      </c>
      <c r="N57" s="102" t="str">
        <f t="shared" si="4"/>
        <v/>
      </c>
      <c r="O57" s="103" t="str">
        <f t="shared" si="5"/>
        <v/>
      </c>
      <c r="P57" s="53">
        <v>0</v>
      </c>
      <c r="Q57" s="102" t="str">
        <f t="shared" si="6"/>
        <v/>
      </c>
      <c r="R57" s="103" t="str">
        <f t="shared" si="7"/>
        <v/>
      </c>
      <c r="S57" s="53">
        <v>0</v>
      </c>
      <c r="T57" s="102" t="str">
        <f t="shared" si="8"/>
        <v/>
      </c>
      <c r="U57" s="103" t="str">
        <f t="shared" si="9"/>
        <v/>
      </c>
      <c r="V57" s="53">
        <v>0</v>
      </c>
      <c r="W57" s="87" t="str">
        <f t="shared" si="10"/>
        <v/>
      </c>
      <c r="X57" s="103" t="str">
        <f t="shared" si="11"/>
        <v/>
      </c>
      <c r="Y57" s="53">
        <v>0</v>
      </c>
      <c r="Z57" s="56" t="str">
        <f t="shared" si="12"/>
        <v/>
      </c>
      <c r="AA57" s="56" t="str">
        <f t="shared" si="13"/>
        <v/>
      </c>
      <c r="AB57" s="56" t="str">
        <f t="shared" si="14"/>
        <v/>
      </c>
      <c r="AC57" s="56" t="str">
        <f t="shared" si="15"/>
        <v/>
      </c>
      <c r="AD57" s="56" t="str">
        <f t="shared" si="16"/>
        <v/>
      </c>
      <c r="AE57" s="40"/>
      <c r="AF57" s="40"/>
      <c r="AG57" s="40"/>
      <c r="AH57" s="56" t="str">
        <f t="shared" si="17"/>
        <v/>
      </c>
      <c r="AI57" s="54"/>
      <c r="AJ57" s="54"/>
      <c r="AK57" s="54"/>
      <c r="AL57" s="54"/>
      <c r="AM57" s="54"/>
    </row>
    <row r="58" spans="1:39">
      <c r="A58" s="45" t="str" cm="1">
        <f t="array" ref="A58">IF(H58="PROJECT", CHAR(10) &amp; "- " &amp; _xlfn.TEXTJOIN(CHAR(10) &amp; "- ", TRUE, _xlfn._xlws.FILTER($I$9:$I$1000, ($B$9:$B$1000=B58) * ($H$9:$H$1000="Topic"))), "")</f>
        <v/>
      </c>
      <c r="B58" s="45" t="str">
        <f t="shared" si="1"/>
        <v/>
      </c>
      <c r="C58" s="95"/>
      <c r="D58" s="57"/>
      <c r="E58" s="58"/>
      <c r="F58" s="63"/>
      <c r="G58" s="60"/>
      <c r="H58" s="64"/>
      <c r="I58" s="61"/>
      <c r="J58" s="62"/>
      <c r="K58" s="129" t="str">
        <f t="shared" si="2"/>
        <v/>
      </c>
      <c r="L58" s="103" t="str">
        <f t="shared" si="3"/>
        <v/>
      </c>
      <c r="M58" s="52">
        <v>0</v>
      </c>
      <c r="N58" s="102" t="str">
        <f t="shared" si="4"/>
        <v/>
      </c>
      <c r="O58" s="103" t="str">
        <f t="shared" si="5"/>
        <v/>
      </c>
      <c r="P58" s="52">
        <v>0</v>
      </c>
      <c r="Q58" s="102" t="str">
        <f t="shared" si="6"/>
        <v/>
      </c>
      <c r="R58" s="103" t="str">
        <f t="shared" si="7"/>
        <v/>
      </c>
      <c r="S58" s="52">
        <v>0</v>
      </c>
      <c r="T58" s="102" t="str">
        <f t="shared" si="8"/>
        <v/>
      </c>
      <c r="U58" s="103" t="str">
        <f t="shared" si="9"/>
        <v/>
      </c>
      <c r="V58" s="52">
        <v>0</v>
      </c>
      <c r="W58" s="87" t="str">
        <f t="shared" si="10"/>
        <v/>
      </c>
      <c r="X58" s="103" t="str">
        <f t="shared" si="11"/>
        <v/>
      </c>
      <c r="Y58" s="52">
        <v>0</v>
      </c>
      <c r="Z58" s="56" t="str">
        <f t="shared" si="12"/>
        <v/>
      </c>
      <c r="AA58" s="56" t="str">
        <f t="shared" si="13"/>
        <v/>
      </c>
      <c r="AB58" s="56" t="str">
        <f t="shared" si="14"/>
        <v/>
      </c>
      <c r="AC58" s="56" t="str">
        <f t="shared" si="15"/>
        <v/>
      </c>
      <c r="AD58" s="56" t="str">
        <f t="shared" si="16"/>
        <v/>
      </c>
      <c r="AE58" s="40"/>
      <c r="AF58" s="40"/>
      <c r="AG58" s="40"/>
      <c r="AH58" s="56" t="str">
        <f t="shared" si="17"/>
        <v/>
      </c>
      <c r="AI58" s="54"/>
      <c r="AJ58" s="54"/>
      <c r="AK58" s="54"/>
      <c r="AL58" s="54"/>
      <c r="AM58" s="54"/>
    </row>
    <row r="59" spans="1:39">
      <c r="A59" s="45" t="str" cm="1">
        <f t="array" ref="A59">IF(H59="PROJECT", CHAR(10) &amp; "- " &amp; _xlfn.TEXTJOIN(CHAR(10) &amp; "- ", TRUE, _xlfn._xlws.FILTER($I$9:$I$1000, ($B$9:$B$1000=B59) * ($H$9:$H$1000="Topic"))), "")</f>
        <v/>
      </c>
      <c r="B59" s="45" t="str">
        <f t="shared" si="1"/>
        <v/>
      </c>
      <c r="C59" s="95"/>
      <c r="D59" s="46"/>
      <c r="E59" s="58"/>
      <c r="F59" s="65"/>
      <c r="G59" s="49"/>
      <c r="H59" s="66"/>
      <c r="I59" s="50"/>
      <c r="J59" s="51"/>
      <c r="K59" s="129" t="str">
        <f t="shared" si="2"/>
        <v/>
      </c>
      <c r="L59" s="103" t="str">
        <f t="shared" si="3"/>
        <v/>
      </c>
      <c r="M59" s="53">
        <v>0</v>
      </c>
      <c r="N59" s="102" t="str">
        <f t="shared" si="4"/>
        <v/>
      </c>
      <c r="O59" s="103" t="str">
        <f t="shared" si="5"/>
        <v/>
      </c>
      <c r="P59" s="53">
        <v>0</v>
      </c>
      <c r="Q59" s="102" t="str">
        <f t="shared" si="6"/>
        <v/>
      </c>
      <c r="R59" s="103" t="str">
        <f t="shared" si="7"/>
        <v/>
      </c>
      <c r="S59" s="53">
        <v>0</v>
      </c>
      <c r="T59" s="102" t="str">
        <f t="shared" si="8"/>
        <v/>
      </c>
      <c r="U59" s="103" t="str">
        <f t="shared" si="9"/>
        <v/>
      </c>
      <c r="V59" s="53">
        <v>0</v>
      </c>
      <c r="W59" s="87" t="str">
        <f t="shared" si="10"/>
        <v/>
      </c>
      <c r="X59" s="103" t="str">
        <f t="shared" si="11"/>
        <v/>
      </c>
      <c r="Y59" s="53">
        <v>0</v>
      </c>
      <c r="Z59" s="56" t="str">
        <f t="shared" si="12"/>
        <v/>
      </c>
      <c r="AA59" s="56" t="str">
        <f t="shared" si="13"/>
        <v/>
      </c>
      <c r="AB59" s="56" t="str">
        <f t="shared" si="14"/>
        <v/>
      </c>
      <c r="AC59" s="56" t="str">
        <f t="shared" si="15"/>
        <v/>
      </c>
      <c r="AD59" s="56" t="str">
        <f t="shared" si="16"/>
        <v/>
      </c>
      <c r="AE59" s="40"/>
      <c r="AF59" s="40"/>
      <c r="AG59" s="40"/>
      <c r="AH59" s="56" t="str">
        <f t="shared" si="17"/>
        <v/>
      </c>
      <c r="AI59" s="54"/>
      <c r="AJ59" s="54"/>
      <c r="AK59" s="54"/>
      <c r="AL59" s="54"/>
      <c r="AM59" s="54"/>
    </row>
    <row r="60" spans="1:39">
      <c r="A60" s="45" t="str" cm="1">
        <f t="array" ref="A60">IF(H60="PROJECT", CHAR(10) &amp; "- " &amp; _xlfn.TEXTJOIN(CHAR(10) &amp; "- ", TRUE, _xlfn._xlws.FILTER($I$9:$I$1000, ($B$9:$B$1000=B60) * ($H$9:$H$1000="Topic"))), "")</f>
        <v/>
      </c>
      <c r="B60" s="45" t="str">
        <f t="shared" si="1"/>
        <v/>
      </c>
      <c r="C60" s="95"/>
      <c r="D60" s="57"/>
      <c r="E60" s="58"/>
      <c r="F60" s="63"/>
      <c r="G60" s="60"/>
      <c r="H60" s="64"/>
      <c r="I60" s="61"/>
      <c r="J60" s="62"/>
      <c r="K60" s="129" t="str">
        <f t="shared" si="2"/>
        <v/>
      </c>
      <c r="L60" s="103" t="str">
        <f t="shared" si="3"/>
        <v/>
      </c>
      <c r="M60" s="52">
        <v>0</v>
      </c>
      <c r="N60" s="102" t="str">
        <f t="shared" si="4"/>
        <v/>
      </c>
      <c r="O60" s="103" t="str">
        <f t="shared" si="5"/>
        <v/>
      </c>
      <c r="P60" s="52">
        <v>0</v>
      </c>
      <c r="Q60" s="102" t="str">
        <f t="shared" si="6"/>
        <v/>
      </c>
      <c r="R60" s="103" t="str">
        <f t="shared" si="7"/>
        <v/>
      </c>
      <c r="S60" s="52">
        <v>0</v>
      </c>
      <c r="T60" s="102" t="str">
        <f t="shared" si="8"/>
        <v/>
      </c>
      <c r="U60" s="103" t="str">
        <f t="shared" si="9"/>
        <v/>
      </c>
      <c r="V60" s="52">
        <v>0</v>
      </c>
      <c r="W60" s="87" t="str">
        <f t="shared" si="10"/>
        <v/>
      </c>
      <c r="X60" s="103" t="str">
        <f t="shared" si="11"/>
        <v/>
      </c>
      <c r="Y60" s="52">
        <v>0</v>
      </c>
      <c r="Z60" s="56" t="str">
        <f t="shared" si="12"/>
        <v/>
      </c>
      <c r="AA60" s="56" t="str">
        <f t="shared" si="13"/>
        <v/>
      </c>
      <c r="AB60" s="56" t="str">
        <f t="shared" si="14"/>
        <v/>
      </c>
      <c r="AC60" s="56" t="str">
        <f t="shared" si="15"/>
        <v/>
      </c>
      <c r="AD60" s="56" t="str">
        <f t="shared" si="16"/>
        <v/>
      </c>
      <c r="AE60" s="40"/>
      <c r="AF60" s="40"/>
      <c r="AG60" s="40"/>
      <c r="AH60" s="56" t="str">
        <f t="shared" si="17"/>
        <v/>
      </c>
      <c r="AI60" s="54"/>
      <c r="AJ60" s="54"/>
      <c r="AK60" s="54"/>
      <c r="AL60" s="54"/>
      <c r="AM60" s="54"/>
    </row>
    <row r="61" spans="1:39">
      <c r="A61" s="45" t="str" cm="1">
        <f t="array" ref="A61">IF(H61="PROJECT", CHAR(10) &amp; "- " &amp; _xlfn.TEXTJOIN(CHAR(10) &amp; "- ", TRUE, _xlfn._xlws.FILTER($I$9:$I$1000, ($B$9:$B$1000=B61) * ($H$9:$H$1000="Topic"))), "")</f>
        <v/>
      </c>
      <c r="B61" s="45" t="str">
        <f t="shared" si="1"/>
        <v/>
      </c>
      <c r="C61" s="95"/>
      <c r="D61" s="46"/>
      <c r="E61" s="58"/>
      <c r="F61" s="65"/>
      <c r="G61" s="49"/>
      <c r="H61" s="66"/>
      <c r="I61" s="50"/>
      <c r="J61" s="51"/>
      <c r="K61" s="129" t="str">
        <f t="shared" si="2"/>
        <v/>
      </c>
      <c r="L61" s="103" t="str">
        <f t="shared" si="3"/>
        <v/>
      </c>
      <c r="M61" s="53">
        <v>0</v>
      </c>
      <c r="N61" s="102" t="str">
        <f t="shared" si="4"/>
        <v/>
      </c>
      <c r="O61" s="103" t="str">
        <f t="shared" si="5"/>
        <v/>
      </c>
      <c r="P61" s="53">
        <v>0</v>
      </c>
      <c r="Q61" s="102" t="str">
        <f t="shared" si="6"/>
        <v/>
      </c>
      <c r="R61" s="103" t="str">
        <f t="shared" si="7"/>
        <v/>
      </c>
      <c r="S61" s="53">
        <v>0</v>
      </c>
      <c r="T61" s="102" t="str">
        <f t="shared" si="8"/>
        <v/>
      </c>
      <c r="U61" s="103" t="str">
        <f t="shared" si="9"/>
        <v/>
      </c>
      <c r="V61" s="53">
        <v>0</v>
      </c>
      <c r="W61" s="87" t="str">
        <f t="shared" si="10"/>
        <v/>
      </c>
      <c r="X61" s="103" t="str">
        <f t="shared" si="11"/>
        <v/>
      </c>
      <c r="Y61" s="53">
        <v>0</v>
      </c>
      <c r="Z61" s="56" t="str">
        <f t="shared" si="12"/>
        <v/>
      </c>
      <c r="AA61" s="56" t="str">
        <f t="shared" si="13"/>
        <v/>
      </c>
      <c r="AB61" s="56" t="str">
        <f t="shared" si="14"/>
        <v/>
      </c>
      <c r="AC61" s="56" t="str">
        <f t="shared" si="15"/>
        <v/>
      </c>
      <c r="AD61" s="56" t="str">
        <f t="shared" si="16"/>
        <v/>
      </c>
      <c r="AE61" s="40"/>
      <c r="AF61" s="40"/>
      <c r="AG61" s="40"/>
      <c r="AH61" s="56" t="str">
        <f t="shared" si="17"/>
        <v/>
      </c>
      <c r="AI61" s="54"/>
      <c r="AJ61" s="54"/>
      <c r="AK61" s="54"/>
      <c r="AL61" s="54"/>
      <c r="AM61" s="54"/>
    </row>
    <row r="62" spans="1:39">
      <c r="A62" s="45" t="str" cm="1">
        <f t="array" ref="A62">IF(H62="PROJECT", CHAR(10) &amp; "- " &amp; _xlfn.TEXTJOIN(CHAR(10) &amp; "- ", TRUE, _xlfn._xlws.FILTER($I$9:$I$1000, ($B$9:$B$1000=B62) * ($H$9:$H$1000="Topic"))), "")</f>
        <v/>
      </c>
      <c r="B62" s="45" t="str">
        <f t="shared" si="1"/>
        <v/>
      </c>
      <c r="C62" s="95"/>
      <c r="D62" s="57"/>
      <c r="E62" s="58"/>
      <c r="F62" s="63"/>
      <c r="G62" s="60"/>
      <c r="H62" s="64"/>
      <c r="I62" s="61"/>
      <c r="J62" s="62"/>
      <c r="K62" s="129" t="str">
        <f t="shared" si="2"/>
        <v/>
      </c>
      <c r="L62" s="103" t="str">
        <f t="shared" si="3"/>
        <v/>
      </c>
      <c r="M62" s="52">
        <v>0</v>
      </c>
      <c r="N62" s="102" t="str">
        <f t="shared" si="4"/>
        <v/>
      </c>
      <c r="O62" s="103" t="str">
        <f t="shared" si="5"/>
        <v/>
      </c>
      <c r="P62" s="52">
        <v>0</v>
      </c>
      <c r="Q62" s="102" t="str">
        <f t="shared" si="6"/>
        <v/>
      </c>
      <c r="R62" s="103" t="str">
        <f t="shared" si="7"/>
        <v/>
      </c>
      <c r="S62" s="52">
        <v>0</v>
      </c>
      <c r="T62" s="102" t="str">
        <f t="shared" si="8"/>
        <v/>
      </c>
      <c r="U62" s="103" t="str">
        <f t="shared" si="9"/>
        <v/>
      </c>
      <c r="V62" s="52">
        <v>0</v>
      </c>
      <c r="W62" s="87" t="str">
        <f t="shared" si="10"/>
        <v/>
      </c>
      <c r="X62" s="103" t="str">
        <f t="shared" si="11"/>
        <v/>
      </c>
      <c r="Y62" s="52">
        <v>0</v>
      </c>
      <c r="Z62" s="56" t="str">
        <f t="shared" si="12"/>
        <v/>
      </c>
      <c r="AA62" s="56" t="str">
        <f t="shared" si="13"/>
        <v/>
      </c>
      <c r="AB62" s="56" t="str">
        <f t="shared" si="14"/>
        <v/>
      </c>
      <c r="AC62" s="56" t="str">
        <f t="shared" si="15"/>
        <v/>
      </c>
      <c r="AD62" s="56" t="str">
        <f t="shared" si="16"/>
        <v/>
      </c>
      <c r="AE62" s="40"/>
      <c r="AF62" s="40"/>
      <c r="AG62" s="40"/>
      <c r="AH62" s="56" t="str">
        <f t="shared" si="17"/>
        <v/>
      </c>
      <c r="AI62" s="54"/>
      <c r="AJ62" s="54"/>
      <c r="AK62" s="54"/>
      <c r="AL62" s="54"/>
      <c r="AM62" s="54"/>
    </row>
    <row r="63" spans="1:39">
      <c r="A63" s="45" t="str" cm="1">
        <f t="array" ref="A63">IF(H63="PROJECT", CHAR(10) &amp; "- " &amp; _xlfn.TEXTJOIN(CHAR(10) &amp; "- ", TRUE, _xlfn._xlws.FILTER($I$9:$I$1000, ($B$9:$B$1000=B63) * ($H$9:$H$1000="Topic"))), "")</f>
        <v/>
      </c>
      <c r="B63" s="45" t="str">
        <f t="shared" si="1"/>
        <v/>
      </c>
      <c r="C63" s="95"/>
      <c r="D63" s="46"/>
      <c r="E63" s="58"/>
      <c r="F63" s="65"/>
      <c r="G63" s="49"/>
      <c r="H63" s="66"/>
      <c r="I63" s="50"/>
      <c r="J63" s="51"/>
      <c r="K63" s="129" t="str">
        <f t="shared" si="2"/>
        <v/>
      </c>
      <c r="L63" s="103" t="str">
        <f t="shared" si="3"/>
        <v/>
      </c>
      <c r="M63" s="53">
        <v>0</v>
      </c>
      <c r="N63" s="102" t="str">
        <f t="shared" si="4"/>
        <v/>
      </c>
      <c r="O63" s="103" t="str">
        <f t="shared" si="5"/>
        <v/>
      </c>
      <c r="P63" s="53">
        <v>0</v>
      </c>
      <c r="Q63" s="102" t="str">
        <f t="shared" si="6"/>
        <v/>
      </c>
      <c r="R63" s="103" t="str">
        <f t="shared" si="7"/>
        <v/>
      </c>
      <c r="S63" s="53">
        <v>0</v>
      </c>
      <c r="T63" s="102" t="str">
        <f t="shared" si="8"/>
        <v/>
      </c>
      <c r="U63" s="103" t="str">
        <f t="shared" si="9"/>
        <v/>
      </c>
      <c r="V63" s="53">
        <v>0</v>
      </c>
      <c r="W63" s="87" t="str">
        <f t="shared" si="10"/>
        <v/>
      </c>
      <c r="X63" s="103" t="str">
        <f t="shared" si="11"/>
        <v/>
      </c>
      <c r="Y63" s="53">
        <v>0</v>
      </c>
      <c r="Z63" s="56" t="str">
        <f t="shared" si="12"/>
        <v/>
      </c>
      <c r="AA63" s="56" t="str">
        <f t="shared" si="13"/>
        <v/>
      </c>
      <c r="AB63" s="56" t="str">
        <f t="shared" si="14"/>
        <v/>
      </c>
      <c r="AC63" s="56" t="str">
        <f t="shared" si="15"/>
        <v/>
      </c>
      <c r="AD63" s="56" t="str">
        <f t="shared" si="16"/>
        <v/>
      </c>
      <c r="AE63" s="40"/>
      <c r="AF63" s="40"/>
      <c r="AG63" s="40"/>
      <c r="AH63" s="56" t="str">
        <f t="shared" si="17"/>
        <v/>
      </c>
      <c r="AI63" s="54"/>
      <c r="AJ63" s="54"/>
      <c r="AK63" s="54"/>
      <c r="AL63" s="54"/>
      <c r="AM63" s="54"/>
    </row>
    <row r="64" spans="1:39">
      <c r="A64" s="45" t="str" cm="1">
        <f t="array" ref="A64">IF(H64="PROJECT", CHAR(10) &amp; "- " &amp; _xlfn.TEXTJOIN(CHAR(10) &amp; "- ", TRUE, _xlfn._xlws.FILTER($I$9:$I$1000, ($B$9:$B$1000=B64) * ($H$9:$H$1000="Topic"))), "")</f>
        <v/>
      </c>
      <c r="B64" s="45" t="str">
        <f t="shared" si="1"/>
        <v/>
      </c>
      <c r="C64" s="95"/>
      <c r="D64" s="57"/>
      <c r="E64" s="58"/>
      <c r="F64" s="63"/>
      <c r="G64" s="60"/>
      <c r="H64" s="64"/>
      <c r="I64" s="61"/>
      <c r="J64" s="62"/>
      <c r="K64" s="129" t="str">
        <f t="shared" si="2"/>
        <v/>
      </c>
      <c r="L64" s="103" t="str">
        <f t="shared" si="3"/>
        <v/>
      </c>
      <c r="M64" s="52">
        <v>0</v>
      </c>
      <c r="N64" s="102" t="str">
        <f t="shared" si="4"/>
        <v/>
      </c>
      <c r="O64" s="103" t="str">
        <f t="shared" si="5"/>
        <v/>
      </c>
      <c r="P64" s="52">
        <v>0</v>
      </c>
      <c r="Q64" s="102" t="str">
        <f t="shared" si="6"/>
        <v/>
      </c>
      <c r="R64" s="103" t="str">
        <f t="shared" si="7"/>
        <v/>
      </c>
      <c r="S64" s="52">
        <v>0</v>
      </c>
      <c r="T64" s="102" t="str">
        <f t="shared" si="8"/>
        <v/>
      </c>
      <c r="U64" s="103" t="str">
        <f t="shared" si="9"/>
        <v/>
      </c>
      <c r="V64" s="52">
        <v>0</v>
      </c>
      <c r="W64" s="87" t="str">
        <f t="shared" si="10"/>
        <v/>
      </c>
      <c r="X64" s="103" t="str">
        <f t="shared" si="11"/>
        <v/>
      </c>
      <c r="Y64" s="52">
        <v>0</v>
      </c>
      <c r="Z64" s="56" t="str">
        <f t="shared" si="12"/>
        <v/>
      </c>
      <c r="AA64" s="56" t="str">
        <f t="shared" si="13"/>
        <v/>
      </c>
      <c r="AB64" s="56" t="str">
        <f t="shared" si="14"/>
        <v/>
      </c>
      <c r="AC64" s="56" t="str">
        <f t="shared" si="15"/>
        <v/>
      </c>
      <c r="AD64" s="56" t="str">
        <f t="shared" si="16"/>
        <v/>
      </c>
      <c r="AE64" s="40"/>
      <c r="AF64" s="40"/>
      <c r="AG64" s="40"/>
      <c r="AH64" s="56" t="str">
        <f t="shared" si="17"/>
        <v/>
      </c>
      <c r="AI64" s="54"/>
      <c r="AJ64" s="54"/>
      <c r="AK64" s="54"/>
      <c r="AL64" s="54"/>
      <c r="AM64" s="54"/>
    </row>
    <row r="65" spans="1:39">
      <c r="A65" s="45" t="str" cm="1">
        <f t="array" ref="A65">IF(H65="PROJECT", CHAR(10) &amp; "- " &amp; _xlfn.TEXTJOIN(CHAR(10) &amp; "- ", TRUE, _xlfn._xlws.FILTER($I$9:$I$1000, ($B$9:$B$1000=B65) * ($H$9:$H$1000="Topic"))), "")</f>
        <v/>
      </c>
      <c r="B65" s="45" t="str">
        <f t="shared" si="1"/>
        <v/>
      </c>
      <c r="C65" s="95"/>
      <c r="D65" s="46"/>
      <c r="E65" s="58"/>
      <c r="F65" s="65"/>
      <c r="G65" s="49"/>
      <c r="H65" s="66"/>
      <c r="I65" s="50"/>
      <c r="J65" s="51"/>
      <c r="K65" s="129" t="str">
        <f t="shared" si="2"/>
        <v/>
      </c>
      <c r="L65" s="103" t="str">
        <f t="shared" si="3"/>
        <v/>
      </c>
      <c r="M65" s="53">
        <v>0</v>
      </c>
      <c r="N65" s="102" t="str">
        <f t="shared" si="4"/>
        <v/>
      </c>
      <c r="O65" s="103" t="str">
        <f t="shared" si="5"/>
        <v/>
      </c>
      <c r="P65" s="53">
        <v>0</v>
      </c>
      <c r="Q65" s="102" t="str">
        <f t="shared" si="6"/>
        <v/>
      </c>
      <c r="R65" s="103" t="str">
        <f t="shared" si="7"/>
        <v/>
      </c>
      <c r="S65" s="53">
        <v>0</v>
      </c>
      <c r="T65" s="102" t="str">
        <f t="shared" si="8"/>
        <v/>
      </c>
      <c r="U65" s="103" t="str">
        <f t="shared" si="9"/>
        <v/>
      </c>
      <c r="V65" s="53">
        <v>0</v>
      </c>
      <c r="W65" s="87" t="str">
        <f t="shared" si="10"/>
        <v/>
      </c>
      <c r="X65" s="103" t="str">
        <f t="shared" si="11"/>
        <v/>
      </c>
      <c r="Y65" s="53">
        <v>0</v>
      </c>
      <c r="Z65" s="56" t="str">
        <f t="shared" si="12"/>
        <v/>
      </c>
      <c r="AA65" s="56" t="str">
        <f t="shared" si="13"/>
        <v/>
      </c>
      <c r="AB65" s="56" t="str">
        <f t="shared" si="14"/>
        <v/>
      </c>
      <c r="AC65" s="56" t="str">
        <f t="shared" si="15"/>
        <v/>
      </c>
      <c r="AD65" s="56" t="str">
        <f t="shared" si="16"/>
        <v/>
      </c>
      <c r="AE65" s="40"/>
      <c r="AF65" s="40"/>
      <c r="AG65" s="40"/>
      <c r="AH65" s="56" t="str">
        <f t="shared" si="17"/>
        <v/>
      </c>
      <c r="AI65" s="54"/>
      <c r="AJ65" s="54"/>
      <c r="AK65" s="54"/>
      <c r="AL65" s="54"/>
      <c r="AM65" s="54"/>
    </row>
    <row r="66" spans="1:39">
      <c r="A66" s="45" t="str" cm="1">
        <f t="array" ref="A66">IF(H66="PROJECT", CHAR(10) &amp; "- " &amp; _xlfn.TEXTJOIN(CHAR(10) &amp; "- ", TRUE, _xlfn._xlws.FILTER($I$9:$I$1000, ($B$9:$B$1000=B66) * ($H$9:$H$1000="Topic"))), "")</f>
        <v/>
      </c>
      <c r="B66" s="45" t="str">
        <f t="shared" si="1"/>
        <v/>
      </c>
      <c r="C66" s="95"/>
      <c r="D66" s="57"/>
      <c r="E66" s="58"/>
      <c r="F66" s="63"/>
      <c r="G66" s="60"/>
      <c r="H66" s="64"/>
      <c r="I66" s="61"/>
      <c r="J66" s="62"/>
      <c r="K66" s="129" t="str">
        <f t="shared" si="2"/>
        <v/>
      </c>
      <c r="L66" s="103" t="str">
        <f t="shared" si="3"/>
        <v/>
      </c>
      <c r="M66" s="52">
        <v>0</v>
      </c>
      <c r="N66" s="102" t="str">
        <f t="shared" si="4"/>
        <v/>
      </c>
      <c r="O66" s="103" t="str">
        <f t="shared" si="5"/>
        <v/>
      </c>
      <c r="P66" s="52">
        <v>0</v>
      </c>
      <c r="Q66" s="102" t="str">
        <f t="shared" si="6"/>
        <v/>
      </c>
      <c r="R66" s="103" t="str">
        <f t="shared" si="7"/>
        <v/>
      </c>
      <c r="S66" s="52">
        <v>0</v>
      </c>
      <c r="T66" s="102" t="str">
        <f t="shared" si="8"/>
        <v/>
      </c>
      <c r="U66" s="103" t="str">
        <f t="shared" si="9"/>
        <v/>
      </c>
      <c r="V66" s="52">
        <v>0</v>
      </c>
      <c r="W66" s="87" t="str">
        <f t="shared" si="10"/>
        <v/>
      </c>
      <c r="X66" s="103" t="str">
        <f t="shared" si="11"/>
        <v/>
      </c>
      <c r="Y66" s="52">
        <v>0</v>
      </c>
      <c r="Z66" s="56" t="str">
        <f t="shared" si="12"/>
        <v/>
      </c>
      <c r="AA66" s="56" t="str">
        <f t="shared" si="13"/>
        <v/>
      </c>
      <c r="AB66" s="56" t="str">
        <f t="shared" si="14"/>
        <v/>
      </c>
      <c r="AC66" s="56" t="str">
        <f t="shared" si="15"/>
        <v/>
      </c>
      <c r="AD66" s="56" t="str">
        <f t="shared" si="16"/>
        <v/>
      </c>
      <c r="AE66" s="40"/>
      <c r="AF66" s="40"/>
      <c r="AG66" s="40"/>
      <c r="AH66" s="56" t="str">
        <f t="shared" si="17"/>
        <v/>
      </c>
      <c r="AI66" s="54"/>
      <c r="AJ66" s="54"/>
      <c r="AK66" s="54"/>
      <c r="AL66" s="54"/>
      <c r="AM66" s="54"/>
    </row>
    <row r="67" spans="1:39">
      <c r="A67" s="45" t="str" cm="1">
        <f t="array" ref="A67">IF(H67="PROJECT", CHAR(10) &amp; "- " &amp; _xlfn.TEXTJOIN(CHAR(10) &amp; "- ", TRUE, _xlfn._xlws.FILTER($I$9:$I$1000, ($B$9:$B$1000=B67) * ($H$9:$H$1000="Topic"))), "")</f>
        <v/>
      </c>
      <c r="B67" s="45" t="str">
        <f t="shared" si="1"/>
        <v/>
      </c>
      <c r="C67" s="95"/>
      <c r="D67" s="46"/>
      <c r="E67" s="58"/>
      <c r="F67" s="65"/>
      <c r="G67" s="49"/>
      <c r="H67" s="66"/>
      <c r="I67" s="50"/>
      <c r="J67" s="51"/>
      <c r="K67" s="129" t="str">
        <f t="shared" si="2"/>
        <v/>
      </c>
      <c r="L67" s="103" t="str">
        <f t="shared" si="3"/>
        <v/>
      </c>
      <c r="M67" s="53">
        <v>0</v>
      </c>
      <c r="N67" s="102" t="str">
        <f t="shared" si="4"/>
        <v/>
      </c>
      <c r="O67" s="103" t="str">
        <f t="shared" si="5"/>
        <v/>
      </c>
      <c r="P67" s="53">
        <v>0</v>
      </c>
      <c r="Q67" s="102" t="str">
        <f t="shared" si="6"/>
        <v/>
      </c>
      <c r="R67" s="103" t="str">
        <f t="shared" si="7"/>
        <v/>
      </c>
      <c r="S67" s="53">
        <v>0</v>
      </c>
      <c r="T67" s="102" t="str">
        <f t="shared" si="8"/>
        <v/>
      </c>
      <c r="U67" s="103" t="str">
        <f t="shared" si="9"/>
        <v/>
      </c>
      <c r="V67" s="53">
        <v>0</v>
      </c>
      <c r="W67" s="87" t="str">
        <f t="shared" si="10"/>
        <v/>
      </c>
      <c r="X67" s="103" t="str">
        <f t="shared" si="11"/>
        <v/>
      </c>
      <c r="Y67" s="53">
        <v>0</v>
      </c>
      <c r="Z67" s="56" t="str">
        <f t="shared" si="12"/>
        <v/>
      </c>
      <c r="AA67" s="56" t="str">
        <f t="shared" si="13"/>
        <v/>
      </c>
      <c r="AB67" s="56" t="str">
        <f t="shared" si="14"/>
        <v/>
      </c>
      <c r="AC67" s="56" t="str">
        <f t="shared" si="15"/>
        <v/>
      </c>
      <c r="AD67" s="56" t="str">
        <f t="shared" si="16"/>
        <v/>
      </c>
      <c r="AE67" s="40"/>
      <c r="AF67" s="40"/>
      <c r="AG67" s="40"/>
      <c r="AH67" s="56" t="str">
        <f t="shared" si="17"/>
        <v/>
      </c>
      <c r="AI67" s="54"/>
      <c r="AJ67" s="54"/>
      <c r="AK67" s="54"/>
      <c r="AL67" s="54"/>
      <c r="AM67" s="54"/>
    </row>
    <row r="68" spans="1:39">
      <c r="A68" s="45" t="str" cm="1">
        <f t="array" ref="A68">IF(H68="PROJECT", CHAR(10) &amp; "- " &amp; _xlfn.TEXTJOIN(CHAR(10) &amp; "- ", TRUE, _xlfn._xlws.FILTER($I$9:$I$1000, ($B$9:$B$1000=B68) * ($H$9:$H$1000="Topic"))), "")</f>
        <v/>
      </c>
      <c r="B68" s="45" t="str">
        <f t="shared" si="1"/>
        <v/>
      </c>
      <c r="C68" s="95"/>
      <c r="D68" s="57"/>
      <c r="E68" s="58"/>
      <c r="F68" s="63"/>
      <c r="G68" s="60"/>
      <c r="H68" s="60"/>
      <c r="I68" s="61"/>
      <c r="J68" s="62"/>
      <c r="K68" s="129" t="str">
        <f t="shared" si="2"/>
        <v/>
      </c>
      <c r="L68" s="103" t="str">
        <f t="shared" si="3"/>
        <v/>
      </c>
      <c r="M68" s="52">
        <v>0</v>
      </c>
      <c r="N68" s="102" t="str">
        <f t="shared" si="4"/>
        <v/>
      </c>
      <c r="O68" s="103" t="str">
        <f t="shared" si="5"/>
        <v/>
      </c>
      <c r="P68" s="52">
        <v>0</v>
      </c>
      <c r="Q68" s="102" t="str">
        <f t="shared" si="6"/>
        <v/>
      </c>
      <c r="R68" s="103" t="str">
        <f t="shared" si="7"/>
        <v/>
      </c>
      <c r="S68" s="52">
        <v>0</v>
      </c>
      <c r="T68" s="102" t="str">
        <f t="shared" si="8"/>
        <v/>
      </c>
      <c r="U68" s="103" t="str">
        <f t="shared" si="9"/>
        <v/>
      </c>
      <c r="V68" s="52">
        <v>0</v>
      </c>
      <c r="W68" s="87" t="str">
        <f t="shared" si="10"/>
        <v/>
      </c>
      <c r="X68" s="103" t="str">
        <f t="shared" si="11"/>
        <v/>
      </c>
      <c r="Y68" s="52">
        <v>0</v>
      </c>
      <c r="Z68" s="56" t="str">
        <f t="shared" si="12"/>
        <v/>
      </c>
      <c r="AA68" s="56" t="str">
        <f t="shared" si="13"/>
        <v/>
      </c>
      <c r="AB68" s="56" t="str">
        <f t="shared" si="14"/>
        <v/>
      </c>
      <c r="AC68" s="56" t="str">
        <f t="shared" si="15"/>
        <v/>
      </c>
      <c r="AD68" s="56" t="str">
        <f t="shared" si="16"/>
        <v/>
      </c>
      <c r="AE68" s="40"/>
      <c r="AF68" s="40"/>
      <c r="AG68" s="40"/>
      <c r="AH68" s="56" t="str">
        <f t="shared" si="17"/>
        <v/>
      </c>
      <c r="AI68" s="54"/>
      <c r="AJ68" s="54"/>
      <c r="AK68" s="54"/>
      <c r="AL68" s="54"/>
      <c r="AM68" s="54"/>
    </row>
    <row r="69" spans="1:39">
      <c r="A69" s="45" t="str" cm="1">
        <f t="array" ref="A69">IF(H69="PROJECT", CHAR(10) &amp; "- " &amp; _xlfn.TEXTJOIN(CHAR(10) &amp; "- ", TRUE, _xlfn._xlws.FILTER($I$9:$I$1000, ($B$9:$B$1000=B69) * ($H$9:$H$1000="Topic"))), "")</f>
        <v/>
      </c>
      <c r="B69" s="45" t="str">
        <f t="shared" si="1"/>
        <v/>
      </c>
      <c r="C69" s="95"/>
      <c r="D69" s="46"/>
      <c r="E69" s="58"/>
      <c r="F69" s="65"/>
      <c r="G69" s="49"/>
      <c r="H69" s="66"/>
      <c r="I69" s="50"/>
      <c r="J69" s="51"/>
      <c r="K69" s="129" t="str">
        <f t="shared" si="2"/>
        <v/>
      </c>
      <c r="L69" s="103" t="str">
        <f t="shared" si="3"/>
        <v/>
      </c>
      <c r="M69" s="53">
        <v>0</v>
      </c>
      <c r="N69" s="102" t="str">
        <f t="shared" si="4"/>
        <v/>
      </c>
      <c r="O69" s="103" t="str">
        <f t="shared" si="5"/>
        <v/>
      </c>
      <c r="P69" s="53">
        <v>0</v>
      </c>
      <c r="Q69" s="102" t="str">
        <f t="shared" si="6"/>
        <v/>
      </c>
      <c r="R69" s="103" t="str">
        <f t="shared" si="7"/>
        <v/>
      </c>
      <c r="S69" s="53">
        <v>0</v>
      </c>
      <c r="T69" s="102" t="str">
        <f t="shared" si="8"/>
        <v/>
      </c>
      <c r="U69" s="103" t="str">
        <f t="shared" si="9"/>
        <v/>
      </c>
      <c r="V69" s="53">
        <v>0</v>
      </c>
      <c r="W69" s="87" t="str">
        <f t="shared" si="10"/>
        <v/>
      </c>
      <c r="X69" s="103" t="str">
        <f t="shared" si="11"/>
        <v/>
      </c>
      <c r="Y69" s="53">
        <v>0</v>
      </c>
      <c r="Z69" s="56" t="str">
        <f t="shared" si="12"/>
        <v/>
      </c>
      <c r="AA69" s="56" t="str">
        <f t="shared" si="13"/>
        <v/>
      </c>
      <c r="AB69" s="56" t="str">
        <f t="shared" si="14"/>
        <v/>
      </c>
      <c r="AC69" s="56" t="str">
        <f t="shared" si="15"/>
        <v/>
      </c>
      <c r="AD69" s="56" t="str">
        <f t="shared" si="16"/>
        <v/>
      </c>
      <c r="AE69" s="40"/>
      <c r="AF69" s="40"/>
      <c r="AG69" s="40"/>
      <c r="AH69" s="56" t="str">
        <f t="shared" si="17"/>
        <v/>
      </c>
      <c r="AI69" s="54"/>
      <c r="AJ69" s="54"/>
      <c r="AK69" s="54"/>
      <c r="AL69" s="54"/>
      <c r="AM69" s="54"/>
    </row>
    <row r="70" spans="1:39">
      <c r="A70" s="45" t="str" cm="1">
        <f t="array" ref="A70">IF(H70="PROJECT", CHAR(10) &amp; "- " &amp; _xlfn.TEXTJOIN(CHAR(10) &amp; "- ", TRUE, _xlfn._xlws.FILTER($I$9:$I$1000, ($B$9:$B$1000=B70) * ($H$9:$H$1000="Topic"))), "")</f>
        <v/>
      </c>
      <c r="B70" s="45" t="str">
        <f t="shared" si="1"/>
        <v/>
      </c>
      <c r="C70" s="95"/>
      <c r="D70" s="57"/>
      <c r="E70" s="58"/>
      <c r="F70" s="63"/>
      <c r="G70" s="60"/>
      <c r="H70" s="64"/>
      <c r="I70" s="61"/>
      <c r="J70" s="62"/>
      <c r="K70" s="129" t="str">
        <f t="shared" si="2"/>
        <v/>
      </c>
      <c r="L70" s="103" t="str">
        <f t="shared" si="3"/>
        <v/>
      </c>
      <c r="M70" s="52">
        <v>0</v>
      </c>
      <c r="N70" s="102" t="str">
        <f t="shared" si="4"/>
        <v/>
      </c>
      <c r="O70" s="103" t="str">
        <f t="shared" si="5"/>
        <v/>
      </c>
      <c r="P70" s="52">
        <v>0</v>
      </c>
      <c r="Q70" s="102" t="str">
        <f t="shared" si="6"/>
        <v/>
      </c>
      <c r="R70" s="103" t="str">
        <f t="shared" si="7"/>
        <v/>
      </c>
      <c r="S70" s="52">
        <v>0</v>
      </c>
      <c r="T70" s="102" t="str">
        <f t="shared" si="8"/>
        <v/>
      </c>
      <c r="U70" s="103" t="str">
        <f t="shared" si="9"/>
        <v/>
      </c>
      <c r="V70" s="52">
        <v>0</v>
      </c>
      <c r="W70" s="87" t="str">
        <f t="shared" si="10"/>
        <v/>
      </c>
      <c r="X70" s="103" t="str">
        <f t="shared" si="11"/>
        <v/>
      </c>
      <c r="Y70" s="52">
        <v>0</v>
      </c>
      <c r="Z70" s="56" t="str">
        <f t="shared" si="12"/>
        <v/>
      </c>
      <c r="AA70" s="56" t="str">
        <f t="shared" si="13"/>
        <v/>
      </c>
      <c r="AB70" s="56" t="str">
        <f t="shared" si="14"/>
        <v/>
      </c>
      <c r="AC70" s="56" t="str">
        <f t="shared" si="15"/>
        <v/>
      </c>
      <c r="AD70" s="56" t="str">
        <f t="shared" si="16"/>
        <v/>
      </c>
      <c r="AE70" s="40"/>
      <c r="AF70" s="40"/>
      <c r="AG70" s="40"/>
      <c r="AH70" s="56" t="str">
        <f t="shared" si="17"/>
        <v/>
      </c>
      <c r="AI70" s="54"/>
      <c r="AJ70" s="54"/>
      <c r="AK70" s="54"/>
      <c r="AL70" s="54"/>
      <c r="AM70" s="54"/>
    </row>
    <row r="71" spans="1:39">
      <c r="A71" s="45" t="str" cm="1">
        <f t="array" ref="A71">IF(H71="PROJECT", CHAR(10) &amp; "- " &amp; _xlfn.TEXTJOIN(CHAR(10) &amp; "- ", TRUE, _xlfn._xlws.FILTER($I$9:$I$1000, ($B$9:$B$1000=B71) * ($H$9:$H$1000="Topic"))), "")</f>
        <v/>
      </c>
      <c r="B71" s="45" t="str">
        <f t="shared" si="1"/>
        <v/>
      </c>
      <c r="C71" s="95"/>
      <c r="D71" s="46"/>
      <c r="E71" s="58"/>
      <c r="F71" s="65"/>
      <c r="G71" s="49"/>
      <c r="H71" s="66"/>
      <c r="I71" s="50"/>
      <c r="J71" s="51"/>
      <c r="K71" s="129" t="str">
        <f t="shared" si="2"/>
        <v/>
      </c>
      <c r="L71" s="103" t="str">
        <f t="shared" si="3"/>
        <v/>
      </c>
      <c r="M71" s="53">
        <v>0</v>
      </c>
      <c r="N71" s="102" t="str">
        <f t="shared" si="4"/>
        <v/>
      </c>
      <c r="O71" s="103" t="str">
        <f t="shared" si="5"/>
        <v/>
      </c>
      <c r="P71" s="53">
        <v>0</v>
      </c>
      <c r="Q71" s="102" t="str">
        <f t="shared" si="6"/>
        <v/>
      </c>
      <c r="R71" s="103" t="str">
        <f t="shared" si="7"/>
        <v/>
      </c>
      <c r="S71" s="53">
        <v>0</v>
      </c>
      <c r="T71" s="102" t="str">
        <f t="shared" si="8"/>
        <v/>
      </c>
      <c r="U71" s="103" t="str">
        <f t="shared" si="9"/>
        <v/>
      </c>
      <c r="V71" s="53">
        <v>0</v>
      </c>
      <c r="W71" s="87" t="str">
        <f t="shared" si="10"/>
        <v/>
      </c>
      <c r="X71" s="103" t="str">
        <f t="shared" si="11"/>
        <v/>
      </c>
      <c r="Y71" s="53">
        <v>0</v>
      </c>
      <c r="Z71" s="56" t="str">
        <f t="shared" si="12"/>
        <v/>
      </c>
      <c r="AA71" s="56" t="str">
        <f t="shared" si="13"/>
        <v/>
      </c>
      <c r="AB71" s="56" t="str">
        <f t="shared" si="14"/>
        <v/>
      </c>
      <c r="AC71" s="56" t="str">
        <f t="shared" si="15"/>
        <v/>
      </c>
      <c r="AD71" s="56" t="str">
        <f t="shared" si="16"/>
        <v/>
      </c>
      <c r="AE71" s="40"/>
      <c r="AF71" s="40"/>
      <c r="AG71" s="40"/>
      <c r="AH71" s="56" t="str">
        <f t="shared" si="17"/>
        <v/>
      </c>
      <c r="AI71" s="54"/>
      <c r="AJ71" s="54"/>
      <c r="AK71" s="54"/>
      <c r="AL71" s="54"/>
      <c r="AM71" s="54"/>
    </row>
    <row r="72" spans="1:39">
      <c r="A72" s="45" t="str" cm="1">
        <f t="array" ref="A72">IF(H72="PROJECT", CHAR(10) &amp; "- " &amp; _xlfn.TEXTJOIN(CHAR(10) &amp; "- ", TRUE, _xlfn._xlws.FILTER($I$9:$I$1000, ($B$9:$B$1000=B72) * ($H$9:$H$1000="Topic"))), "")</f>
        <v/>
      </c>
      <c r="B72" s="45" t="str">
        <f t="shared" si="1"/>
        <v/>
      </c>
      <c r="C72" s="95"/>
      <c r="D72" s="57"/>
      <c r="E72" s="58"/>
      <c r="F72" s="63"/>
      <c r="G72" s="60"/>
      <c r="H72" s="64"/>
      <c r="I72" s="61"/>
      <c r="J72" s="62"/>
      <c r="K72" s="129" t="str">
        <f t="shared" si="2"/>
        <v/>
      </c>
      <c r="L72" s="103" t="str">
        <f t="shared" si="3"/>
        <v/>
      </c>
      <c r="M72" s="52">
        <v>0</v>
      </c>
      <c r="N72" s="102" t="str">
        <f t="shared" si="4"/>
        <v/>
      </c>
      <c r="O72" s="103" t="str">
        <f t="shared" si="5"/>
        <v/>
      </c>
      <c r="P72" s="52">
        <v>0</v>
      </c>
      <c r="Q72" s="102" t="str">
        <f t="shared" si="6"/>
        <v/>
      </c>
      <c r="R72" s="103" t="str">
        <f t="shared" si="7"/>
        <v/>
      </c>
      <c r="S72" s="52">
        <v>0</v>
      </c>
      <c r="T72" s="102" t="str">
        <f t="shared" si="8"/>
        <v/>
      </c>
      <c r="U72" s="103" t="str">
        <f t="shared" si="9"/>
        <v/>
      </c>
      <c r="V72" s="52">
        <v>0</v>
      </c>
      <c r="W72" s="87" t="str">
        <f t="shared" si="10"/>
        <v/>
      </c>
      <c r="X72" s="103" t="str">
        <f t="shared" si="11"/>
        <v/>
      </c>
      <c r="Y72" s="52">
        <v>0</v>
      </c>
      <c r="Z72" s="56" t="str">
        <f t="shared" si="12"/>
        <v/>
      </c>
      <c r="AA72" s="56" t="str">
        <f t="shared" si="13"/>
        <v/>
      </c>
      <c r="AB72" s="56" t="str">
        <f t="shared" si="14"/>
        <v/>
      </c>
      <c r="AC72" s="56" t="str">
        <f t="shared" si="15"/>
        <v/>
      </c>
      <c r="AD72" s="56" t="str">
        <f t="shared" si="16"/>
        <v/>
      </c>
      <c r="AE72" s="40"/>
      <c r="AF72" s="40"/>
      <c r="AG72" s="40"/>
      <c r="AH72" s="56" t="str">
        <f t="shared" si="17"/>
        <v/>
      </c>
      <c r="AI72" s="54"/>
      <c r="AJ72" s="54"/>
      <c r="AK72" s="54"/>
      <c r="AL72" s="54"/>
      <c r="AM72" s="54"/>
    </row>
    <row r="73" spans="1:39">
      <c r="A73" s="45" t="str" cm="1">
        <f t="array" ref="A73">IF(H73="PROJECT", CHAR(10) &amp; "- " &amp; _xlfn.TEXTJOIN(CHAR(10) &amp; "- ", TRUE, _xlfn._xlws.FILTER($I$9:$I$1000, ($B$9:$B$1000=B73) * ($H$9:$H$1000="Topic"))), "")</f>
        <v/>
      </c>
      <c r="B73" s="45" t="str">
        <f t="shared" si="1"/>
        <v/>
      </c>
      <c r="C73" s="95"/>
      <c r="D73" s="46"/>
      <c r="E73" s="58"/>
      <c r="F73" s="67"/>
      <c r="G73" s="53"/>
      <c r="H73" s="49"/>
      <c r="I73" s="50"/>
      <c r="J73" s="51"/>
      <c r="K73" s="129" t="str">
        <f t="shared" si="2"/>
        <v/>
      </c>
      <c r="L73" s="103" t="str">
        <f t="shared" si="3"/>
        <v/>
      </c>
      <c r="M73" s="53">
        <v>0</v>
      </c>
      <c r="N73" s="102" t="str">
        <f t="shared" si="4"/>
        <v/>
      </c>
      <c r="O73" s="103" t="str">
        <f t="shared" si="5"/>
        <v/>
      </c>
      <c r="P73" s="53">
        <v>0</v>
      </c>
      <c r="Q73" s="102" t="str">
        <f t="shared" si="6"/>
        <v/>
      </c>
      <c r="R73" s="103" t="str">
        <f t="shared" si="7"/>
        <v/>
      </c>
      <c r="S73" s="53">
        <v>0</v>
      </c>
      <c r="T73" s="102" t="str">
        <f t="shared" si="8"/>
        <v/>
      </c>
      <c r="U73" s="103" t="str">
        <f t="shared" si="9"/>
        <v/>
      </c>
      <c r="V73" s="53">
        <v>0</v>
      </c>
      <c r="W73" s="87" t="str">
        <f t="shared" si="10"/>
        <v/>
      </c>
      <c r="X73" s="103" t="str">
        <f t="shared" si="11"/>
        <v/>
      </c>
      <c r="Y73" s="53">
        <v>0</v>
      </c>
      <c r="Z73" s="56" t="str">
        <f t="shared" si="12"/>
        <v/>
      </c>
      <c r="AA73" s="56" t="str">
        <f t="shared" si="13"/>
        <v/>
      </c>
      <c r="AB73" s="56" t="str">
        <f t="shared" si="14"/>
        <v/>
      </c>
      <c r="AC73" s="56" t="str">
        <f t="shared" si="15"/>
        <v/>
      </c>
      <c r="AD73" s="56" t="str">
        <f t="shared" si="16"/>
        <v/>
      </c>
      <c r="AE73" s="40"/>
      <c r="AF73" s="40"/>
      <c r="AG73" s="40"/>
      <c r="AH73" s="56" t="str">
        <f t="shared" ref="AH73:AH104" si="18">IF(AE73=$B$6,AG73,"")</f>
        <v/>
      </c>
      <c r="AI73" s="54"/>
      <c r="AJ73" s="54"/>
      <c r="AK73" s="54"/>
      <c r="AL73" s="54"/>
      <c r="AM73" s="54"/>
    </row>
    <row r="74" spans="1:39">
      <c r="A74" s="45" t="str" cm="1">
        <f t="array" ref="A74">IF(H74="PROJECT", CHAR(10) &amp; "- " &amp; _xlfn.TEXTJOIN(CHAR(10) &amp; "- ", TRUE, _xlfn._xlws.FILTER($I$9:$I$1000, ($B$9:$B$1000=B74) * ($H$9:$H$1000="Topic"))), "")</f>
        <v/>
      </c>
      <c r="B74" s="45" t="str">
        <f t="shared" ref="B74:B137" si="19">IF(H74="","",IF(AND(H74="Topic",H73="PROJECT"),B73+1,IF(H74="PROJECT",B73,IF(AND(H74="Topic",H73="Topic"),B73,B73+1))))</f>
        <v/>
      </c>
      <c r="C74" s="95"/>
      <c r="D74" s="57"/>
      <c r="E74" s="58"/>
      <c r="F74" s="54"/>
      <c r="G74" s="52"/>
      <c r="H74" s="52"/>
      <c r="I74" s="61"/>
      <c r="J74" s="62"/>
      <c r="K74" s="129" t="str">
        <f t="shared" ref="K74:K137" si="20">IF(H74="Topic",
"[ROLE] Friendly tutor specializing in " &amp; $I$2 &amp; " | " &amp;
"[TOPIC] " &amp; I74 &amp; " | " &amp;
"[LEVEL] " &amp; G74 &amp; " | " &amp;
"[COUNT] " &amp; D74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$C74 &amp; " lines of EXECUTABLE code (STRICT: Do NOT count comments or blank lines). - NEVER exceed this limit. | " &amp;
"[FUNCTION RULE] Rule: " &amp; IF(G74="Beginner","Focus on stateless GenServer callbacks, init/1, handle_call/3, and primitive messaging structures. DO NOT use complex dynamic supervision trees.", IF(G74="Intermediate",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F74 &amp; " | Stage 1 📖 Practice | " &amp; IF($I$3="", $I$2, $I$2&amp; " - " &amp;$I$3) &amp; " | 📊 Level: " &amp; G74 &amp; " | 🌐 Coding5s.com" &amp; CHAR(10) &amp; "**Concept:** " &amp; J74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D74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IF(AJ74&lt;&gt;"", AJ74,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IF(H74="PROJECT", Z74, ""))</f>
        <v/>
      </c>
      <c r="L74" s="103" t="str">
        <f t="shared" ref="L74:L137" si="21">IF(OR(H74="Topic", UPPER(H74)="PROJECT"),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IF(UPPER(H74)="PROJECT", "building a PROJECT: " &amp; I74 &amp; ". Topics applied in this project: " &amp; A74 &amp; ". Project objective: " &amp; J74, "learning: " &amp; I74 &amp; ". Topic details: " &amp; J74)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IF(G74="Beginner", "Evaluate basic GenServer state init, handle_call responses, and simple client wrappers. Do NOT expect dynamic supervisors or multi-node distribution unless demanded.", IF(G74="Intermediate",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IF(AJ74&lt;&gt;"", "[MENTOR CONTEXT ALERT] Be aware of the following infrastructure limitation for this exercise: " &amp; AJ74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IF(UPPER(H74)="PROJECT",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IF(UPPER(H74)="PROJECT",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IF(UPPER(H74)="PROJECT", "Project #", "Topic #") &amp; F74 &amp; " | Practice | " &amp; IF($I$3="", $I$2, $I$2&amp; " - " &amp;$I$3) &amp; " | 📊 Level: " &amp; G74 &amp; CHAR(10) &amp; "**" &amp; IF(UPPER(H74)="PROJECT", "Project", "Topic") &amp; ":** " &amp; I74 &amp; CHAR(10) &amp; "---" &amp; CHAR(10) &amp; " | " &amp;
"[FOOTER RULE - STRICT] End your response with: '--- ⚡ *Coding5s Mentor System — Eliminating Epistemic Debt*' | ","")</f>
        <v/>
      </c>
      <c r="M74" s="52">
        <v>0</v>
      </c>
      <c r="N74" s="102" t="str">
        <f t="shared" ref="N74:N137" si="22">IF(H74="Topic",
"[ROLE] Careless " &amp; $I$2 &amp; " Developer | " &amp;
"[TASK] Generate debugging challenges in " &amp; $I$2 &amp; " | | " &amp;
"[TOPIC] " &amp; I74 &amp; " | | " &amp;
"[LEVEL] " &amp; G74 &amp; "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F74 &amp; " | Stage 2 🐛 Debug | " &amp; IF($I$3="", $I$2, $I$2&amp; " - " &amp;$I$3) &amp; " | 📊 Level: " &amp; G74 &amp; " | 🌐 Coding5s.com" &amp; CHAR(10) &amp; "Concept: " &amp; J74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IF(G74="Beginner", "5–15", IF(G74="Intermediate",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D74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IF(H74="PROJECT", AA74, ""))</f>
        <v/>
      </c>
      <c r="O74" s="103" t="str">
        <f t="shared" ref="O74:O137" si="23">IF(OR(H74="Topic", UPPER(H74)="PROJECT"),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IF(UPPER(H74)="PROJECT", "PROJECT: " &amp; I74 &amp; ". Topics involved: " &amp; A74 &amp; ". Project objective: " &amp; J74, "TOPIC: " &amp; I74 &amp; ". Topic details: " &amp; J74)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IF(UPPER(H74)="PROJECT", "Project #", "Topic #") &amp; F74 &amp; " | Debug | " &amp; IF($I$3="", $I$2, $I$2&amp; " - " &amp;$I$3) &amp; " | 📊 Level: " &amp; G74 &amp; CHAR(10) &amp; "**" &amp; IF(UPPER(H74)="PROJECT", "Project", "Topic") &amp; ":** " &amp; I74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74" s="52">
        <v>0</v>
      </c>
      <c r="Q74" s="102" t="str">
        <f t="shared" ref="Q74:Q137" si="24">IF(H74="Topic",
"[ROLE] Tech Lead | " &amp;
"[TASK] Assign incomplete " &amp; $I$2 &amp; " script challenges | " &amp;
"[TOPIC] " &amp; I74 &amp; " | " &amp;
"[LEVEL] " &amp; G74 &amp; " | " &amp;
"[COUNT] " &amp; D74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F74 &amp; " | Stage 3 🧩 Complete | " &amp; IF($I$3="", $I$2, $I$2&amp; " - " &amp;$I$3) &amp; " | 📊 Level: " &amp; G74 &amp; " | 🌐 Coding5s.com" &amp; CHAR(10) &amp; "**Concept:** " &amp; J74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IF(G74="Beginner","5–15", IF(G74="Intermediate","10–25","15–35"))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D74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I74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IF(G74="Beginner", "Clear explicit hint (no code) | ", IF(G74="Intermediate",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IF(H74="PROJECT", AB74, ""))</f>
        <v/>
      </c>
      <c r="R74" s="103" t="str">
        <f t="shared" ref="R74:R137" si="25">IF(OR(H74="Topic", UPPER(H74)="PROJECT"),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IF(UPPER(H74)="PROJECT", "PROJECT: " &amp; I74 &amp; ". Topics involved: " &amp; A74 &amp; ". Project objective: " &amp; J74, "TOPIC: " &amp; I74 &amp; ". Topic details: " &amp; J74)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IF(UPPER(H74)="PROJECT", "Project #", "Topic #") &amp; F74 &amp; " | Complete | " &amp; IF($I$3="", $I$2, $I$2&amp; " - " &amp;$I$3) &amp; " | 📊 Level: " &amp; G74 &amp; CHAR(10) &amp; "**" &amp; IF(UPPER(H74)="PROJECT", "Project", "Topic") &amp; ":** " &amp; I74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74" s="52">
        <v>0</v>
      </c>
      <c r="T74" s="102" t="str">
        <f t="shared" ref="T74:T137" si="26">IF(H74="Topic",
"[ROLE] Tech Lead | " &amp;
"[TASK] Provide intentionally messy but functional code for learning debugging and improvement | " &amp;
"[TOPIC] " &amp; I74 &amp; " | " &amp;
"[LEVEL] " &amp; G74 &amp; " | " &amp;
"[COUNT] " &amp; D74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F74 &amp; " | Stage 4 🧹 Refactor | " &amp; IF($I$3="", $I$2, $I$2&amp; " - " &amp;$I$3) &amp; " | 📊 Level: " &amp; G74 &amp; " | 🌐 Coding5s.com" &amp; CHAR(10) &amp; "**Concept:** " &amp; J74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D74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IF(G74="Beginner", "5–15", IF(G74="Intermediate",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IF(H74="PROJECT", AC74, ""))</f>
        <v/>
      </c>
      <c r="U74" s="103" t="str">
        <f t="shared" ref="U74:U137" si="27">IF(OR(H74="Topic", UPPER(H74)="PROJECT"),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IF(UPPER(H74)="PROJECT", "PROJECT: " &amp; I74 &amp; ". Topics involved: " &amp; A74 &amp; ". Project objective: " &amp; J74, "TOPIC: " &amp; I74 &amp; ". Topic details: " &amp; J74)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IF(UPPER(H74)="PROJECT", "Project #", "Topic #") &amp; F74 &amp; " | Refactor | " &amp; IF($I$3="", $I$2, $I$2&amp; " - " &amp;$I$3) &amp; " | 📊 Level: " &amp; G74 &amp; CHAR(10) &amp; "**" &amp; IF(UPPER(H74)="PROJECT", "Project", "Topic") &amp; ":** " &amp; I74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74" s="52">
        <v>0</v>
      </c>
      <c r="W74" s="87" t="str">
        <f t="shared" ref="W74:W137" si="28">IF(H74="Topic",
"[ROLE] Tech Product Manager assigning a " &amp; $I$2 &amp; " Jira Ticket | " &amp;
"[TASK] Provide a guided implementation exercise with full solution for learning purposes | " &amp;
"[TOPIC] " &amp; I74 &amp; " | " &amp;
"[LEVEL] " &amp; G74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F74 &amp; " | Stage 5 | " &amp; IF($I$3="", $I$2, $I$2&amp; " - " &amp;$I$3) &amp; " | 📊 Level: " &amp; G74 &amp; " | 🌐 Coding5s.com" &amp; CHAR(10) &amp; "**Concept:** " &amp; J74 &amp; CHAR(10) &amp; "---" &amp; CHAR(10) &amp; " | " &amp;
"[FUNCTIONAL_STRUCTURE_POLICY] Rule: " &amp; IF(G74="Beginner", "Use simple scripts or minimal functions. ", IF(G74="Intermediate",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IF(G74="Beginner", "10–20", IF(G74="Intermediate", "15–30", "25–40")) &amp; " lines of EXECUTABLE code (STRICT) - V1.1 MUST be between " &amp; IF(G74="Beginner", "15–30", IF(G74="Intermediate",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IF(H74="PROJECT", AD74, ""))</f>
        <v/>
      </c>
      <c r="X74" s="103" t="str">
        <f t="shared" ref="X74:X137" si="29">IF(OR(H74="Topic", UPPER(H74)="PROJECT"),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IF(UPPER(H74)="PROJECT", "PROJECT: " &amp; I74 &amp; ". Topics integrated: " &amp; A74 &amp; ". Business Goal: " &amp; J74, "TOPIC: " &amp; I74 &amp; ". Goal: " &amp; J74)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IF(UPPER(H74)="PROJECT", "Project #", "Topic #") &amp; F74 &amp; " | Extend | " &amp; IF($I$3="", $I$2, $I$2&amp; " - " &amp;$I$3) &amp; " | 📊 Level: " &amp; G74 &amp; CHAR(10) &amp; "**" &amp; IF(UPPER(H74)="PROJECT", "Project", "Topic") &amp; ":** " &amp; I74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74" s="52">
        <v>0</v>
      </c>
      <c r="Z74" s="56" t="str">
        <f t="shared" ref="Z74:Z137" si="30">IF(H74&lt;&gt;"PROJECT","",
"[TASK] Teach through a practical " &amp; $I$2 &amp; " - " &amp; $I$3 &amp; " project following the micro-learning methodology, acting as a supportive tutor, creating a project about  " &amp; I74 &amp; " | " &amp;
"[TOPICS USED] " &amp; A74 &amp; " | " &amp;
"[LEVEL] " &amp; G74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IF(G74="Beginner", "25–40", IF(G74="Intermediate",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F74 &amp; " | Stage 1 | " &amp; IF($I$3="", $I$2, $I$2&amp; " - " &amp;$I$3) &amp; " | 📊 Level: " &amp; G74 &amp; " | 🌐 Coding5s.com" &amp; CHAR(10) &amp; "**Project:** " &amp; J74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74" s="56" t="str">
        <f t="shared" ref="AA74:AA137" si="31">IF(H74&lt;&gt;"PROJECT","",
"[ROLE] Careless " &amp; $I$2 &amp; " Developer | " &amp;
"[TASK] Generate debugging project in " &amp; $I$2 &amp; " | " &amp;
"[PROJECT] " &amp; I74 &amp; " | " &amp;
"[TOPICS USED] " &amp; A74 &amp; " | " &amp;
"[LEVEL] " &amp; G74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F74 &amp; " | Stage 2 | " &amp; IF($I$3="", $I$2, $I$2&amp; " - " &amp;$I$3) &amp; " | 📊 Level: " &amp; G74 &amp; " | 🌐 Coding5s.com" &amp; CHAR(10) &amp; "Project: " &amp; J74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AE72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IF(G74="Beginner", "25–40", IF(G74="Intermediate", "30–60", "40–100")) &amp; " lines of EXECUTABLE code (STRICT: Do NOT count blank lines towards this limit) - Multi-step flow - 2–4 functions ONLY - main() as entry point " &amp; IF(G74&lt;&gt;"Advanced",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74" s="56" t="str">
        <f t="shared" ref="AB74:AB137" si="32">IF(H74&lt;&gt;"PROJECT","",
"[ROLE] Tech Lead | " &amp;
"[TASK] Assign incomplete project script | " &amp;
"[PROJECT] " &amp; I74 &amp; " | " &amp;
"[TOPICS USED] " &amp; A74 &amp; " | " &amp;
"[LEVEL] " &amp; G74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F74 &amp; " | Stage 3 | " &amp; IF($I$3="", $I$2, $I$2&amp; " - " &amp;$I$3) &amp; " | 📊 Level: " &amp; G74 &amp; " | 🌐 Coding5s.com" &amp; CHAR(10) &amp; "**Project:** " &amp; J74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IF(G74="Beginner","25–40", IF(G74="Intermediate","30–60","40–100"))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74" s="56" t="str">
        <f t="shared" ref="AC74:AC137" si="33">IF(H74&lt;&gt;"PROJECT","",
"[ROLE] Tech Lead | " &amp;
"[TASK] Provide a messy but functional project for refactoring | " &amp;
"[PROJECT] " &amp; I74 &amp; " | " &amp;
"[TOPICS USED] " &amp; A74 &amp; " | " &amp;
"[LEVEL] " &amp; G74 &amp; " | " &amp;
"[PERSONA RULE] Act as a Tech Lead. A junior wrote this working but messy code. Tone: professional but exhausted | " &amp;
"[HEADER RULE - STRICT] You MUST start your entire response EXACTLY with this markdown block (do not print anything before it):" &amp; CHAR(10) &amp; "### 🚀 Project #" &amp; F74 &amp; " | Stage 4 | " &amp; IF($I$3="", $I$2, $I$2&amp; " - " &amp;$I$3) &amp; " | 📊 Level: " &amp; G74 &amp; " | 🌐 Coding5s.com" &amp; CHAR(10) &amp; "**Project:** " &amp; J74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IF(G74="Beginner", "25–40", IF(G74="Intermediate",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74" s="56" t="str">
        <f t="shared" ref="AD74:AD137" si="34">IF(H74&lt;&gt;"PROJECT","",
"[ROLE] Tech Product Manager assigning a " &amp; $I$2 &amp; " Jira Ticket | " &amp;
"[TASK] Provide a guided project implementation with full solution | " &amp;
"[PROJECT] " &amp; I74 &amp; " | " &amp;
"[TOPICS USED] " &amp; A74 &amp; " | " &amp;
"[LEVEL] " &amp; G74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F74 &amp; " | Stage 5 | " &amp; IF($I$3="", $I$2, $I$2&amp; " - " &amp;$I$3) &amp; " | 📊 Level: " &amp; G74 &amp; " | 🌐 Coding5s.com" &amp; CHAR(10) &amp; "**Project:** " &amp; J74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IF(G74="Beginner", "20–35", IF(G74="Intermediate", "30–50", "45–70")) &amp; " lines of EXECUTABLE code (STRICT) - V1.1 MUST be between " &amp; IF(G74="Beginner", "30–50", IF(G74="Intermediate",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IF(G74="Beginner", "Avoid complex structure. ", IF(G74="Intermediate",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74" s="40"/>
      <c r="AF74" s="40"/>
      <c r="AG74" s="40"/>
      <c r="AH74" s="56" t="str">
        <f t="shared" si="18"/>
        <v/>
      </c>
      <c r="AI74" s="54"/>
      <c r="AJ74" s="54"/>
      <c r="AK74" s="54"/>
      <c r="AL74" s="54"/>
      <c r="AM74" s="54"/>
    </row>
    <row r="75" spans="1:39">
      <c r="A75" s="45" t="str" cm="1">
        <f t="array" ref="A75">IF(H75="PROJECT", CHAR(10) &amp; "- " &amp; _xlfn.TEXTJOIN(CHAR(10) &amp; "- ", TRUE, _xlfn._xlws.FILTER($I$9:$I$1000, ($B$9:$B$1000=B75) * ($H$9:$H$1000="Topic"))), "")</f>
        <v/>
      </c>
      <c r="B75" s="45" t="str">
        <f t="shared" si="19"/>
        <v/>
      </c>
      <c r="C75" s="95"/>
      <c r="D75" s="46"/>
      <c r="E75" s="58"/>
      <c r="F75" s="67"/>
      <c r="G75" s="53"/>
      <c r="H75" s="53"/>
      <c r="I75" s="50"/>
      <c r="J75" s="51"/>
      <c r="K75" s="129" t="str">
        <f t="shared" si="20"/>
        <v/>
      </c>
      <c r="L75" s="103" t="str">
        <f t="shared" si="21"/>
        <v/>
      </c>
      <c r="M75" s="53">
        <v>0</v>
      </c>
      <c r="N75" s="102" t="str">
        <f t="shared" si="22"/>
        <v/>
      </c>
      <c r="O75" s="103" t="str">
        <f t="shared" si="23"/>
        <v/>
      </c>
      <c r="P75" s="53">
        <v>0</v>
      </c>
      <c r="Q75" s="102" t="str">
        <f t="shared" si="24"/>
        <v/>
      </c>
      <c r="R75" s="103" t="str">
        <f t="shared" si="25"/>
        <v/>
      </c>
      <c r="S75" s="53">
        <v>0</v>
      </c>
      <c r="T75" s="102" t="str">
        <f t="shared" si="26"/>
        <v/>
      </c>
      <c r="U75" s="103" t="str">
        <f t="shared" si="27"/>
        <v/>
      </c>
      <c r="V75" s="53">
        <v>0</v>
      </c>
      <c r="W75" s="87" t="str">
        <f t="shared" si="28"/>
        <v/>
      </c>
      <c r="X75" s="103" t="str">
        <f t="shared" si="29"/>
        <v/>
      </c>
      <c r="Y75" s="53">
        <v>0</v>
      </c>
      <c r="Z75" s="56" t="str">
        <f t="shared" si="30"/>
        <v/>
      </c>
      <c r="AA75" s="56" t="str">
        <f t="shared" si="31"/>
        <v/>
      </c>
      <c r="AB75" s="56" t="str">
        <f t="shared" si="32"/>
        <v/>
      </c>
      <c r="AC75" s="56" t="str">
        <f t="shared" si="33"/>
        <v/>
      </c>
      <c r="AD75" s="56" t="str">
        <f t="shared" si="34"/>
        <v/>
      </c>
      <c r="AE75" s="40"/>
      <c r="AF75" s="40"/>
      <c r="AG75" s="40"/>
      <c r="AH75" s="56" t="str">
        <f t="shared" si="18"/>
        <v/>
      </c>
      <c r="AI75" s="54"/>
      <c r="AJ75" s="54"/>
      <c r="AK75" s="54"/>
      <c r="AL75" s="54"/>
      <c r="AM75" s="54"/>
    </row>
    <row r="76" spans="1:39">
      <c r="A76" s="45" t="str" cm="1">
        <f t="array" ref="A76">IF(H76="PROJECT", CHAR(10) &amp; "- " &amp; _xlfn.TEXTJOIN(CHAR(10) &amp; "- ", TRUE, _xlfn._xlws.FILTER($I$9:$I$1000, ($B$9:$B$1000=B76) * ($H$9:$H$1000="Topic"))), "")</f>
        <v/>
      </c>
      <c r="B76" s="45" t="str">
        <f t="shared" si="19"/>
        <v/>
      </c>
      <c r="C76" s="95"/>
      <c r="D76" s="57"/>
      <c r="E76" s="58"/>
      <c r="F76" s="54"/>
      <c r="G76" s="52"/>
      <c r="H76" s="52"/>
      <c r="I76" s="61"/>
      <c r="J76" s="62"/>
      <c r="K76" s="129" t="str">
        <f t="shared" si="20"/>
        <v/>
      </c>
      <c r="L76" s="103" t="str">
        <f t="shared" si="21"/>
        <v/>
      </c>
      <c r="M76" s="52">
        <v>0</v>
      </c>
      <c r="N76" s="102" t="str">
        <f t="shared" si="22"/>
        <v/>
      </c>
      <c r="O76" s="103" t="str">
        <f t="shared" si="23"/>
        <v/>
      </c>
      <c r="P76" s="52">
        <v>0</v>
      </c>
      <c r="Q76" s="102" t="str">
        <f t="shared" si="24"/>
        <v/>
      </c>
      <c r="R76" s="103" t="str">
        <f t="shared" si="25"/>
        <v/>
      </c>
      <c r="S76" s="52">
        <v>0</v>
      </c>
      <c r="T76" s="102" t="str">
        <f t="shared" si="26"/>
        <v/>
      </c>
      <c r="U76" s="103" t="str">
        <f t="shared" si="27"/>
        <v/>
      </c>
      <c r="V76" s="52">
        <v>0</v>
      </c>
      <c r="W76" s="87" t="str">
        <f t="shared" si="28"/>
        <v/>
      </c>
      <c r="X76" s="103" t="str">
        <f t="shared" si="29"/>
        <v/>
      </c>
      <c r="Y76" s="52">
        <v>0</v>
      </c>
      <c r="Z76" s="56" t="str">
        <f t="shared" si="30"/>
        <v/>
      </c>
      <c r="AA76" s="56" t="str">
        <f t="shared" si="31"/>
        <v/>
      </c>
      <c r="AB76" s="56" t="str">
        <f t="shared" si="32"/>
        <v/>
      </c>
      <c r="AC76" s="56" t="str">
        <f t="shared" si="33"/>
        <v/>
      </c>
      <c r="AD76" s="56" t="str">
        <f t="shared" si="34"/>
        <v/>
      </c>
      <c r="AE76" s="40"/>
      <c r="AF76" s="40"/>
      <c r="AG76" s="40"/>
      <c r="AH76" s="56" t="str">
        <f t="shared" si="18"/>
        <v/>
      </c>
      <c r="AI76" s="54"/>
      <c r="AJ76" s="54"/>
      <c r="AK76" s="54"/>
      <c r="AL76" s="54"/>
      <c r="AM76" s="54"/>
    </row>
    <row r="77" spans="1:39">
      <c r="A77" s="45" t="str" cm="1">
        <f t="array" ref="A77">IF(H77="PROJECT", CHAR(10) &amp; "- " &amp; _xlfn.TEXTJOIN(CHAR(10) &amp; "- ", TRUE, _xlfn._xlws.FILTER($I$9:$I$1000, ($B$9:$B$1000=B77) * ($H$9:$H$1000="Topic"))), "")</f>
        <v/>
      </c>
      <c r="B77" s="45" t="str">
        <f t="shared" si="19"/>
        <v/>
      </c>
      <c r="C77" s="95"/>
      <c r="D77" s="46"/>
      <c r="E77" s="58"/>
      <c r="F77" s="67"/>
      <c r="G77" s="53"/>
      <c r="H77" s="53"/>
      <c r="I77" s="50"/>
      <c r="J77" s="51"/>
      <c r="K77" s="129" t="str">
        <f t="shared" si="20"/>
        <v/>
      </c>
      <c r="L77" s="103" t="str">
        <f t="shared" si="21"/>
        <v/>
      </c>
      <c r="M77" s="53">
        <v>0</v>
      </c>
      <c r="N77" s="102" t="str">
        <f t="shared" si="22"/>
        <v/>
      </c>
      <c r="O77" s="103" t="str">
        <f t="shared" si="23"/>
        <v/>
      </c>
      <c r="P77" s="53">
        <v>0</v>
      </c>
      <c r="Q77" s="102" t="str">
        <f t="shared" si="24"/>
        <v/>
      </c>
      <c r="R77" s="103" t="str">
        <f t="shared" si="25"/>
        <v/>
      </c>
      <c r="S77" s="53">
        <v>0</v>
      </c>
      <c r="T77" s="102" t="str">
        <f t="shared" si="26"/>
        <v/>
      </c>
      <c r="U77" s="103" t="str">
        <f t="shared" si="27"/>
        <v/>
      </c>
      <c r="V77" s="53">
        <v>0</v>
      </c>
      <c r="W77" s="87" t="str">
        <f t="shared" si="28"/>
        <v/>
      </c>
      <c r="X77" s="103" t="str">
        <f t="shared" si="29"/>
        <v/>
      </c>
      <c r="Y77" s="53">
        <v>0</v>
      </c>
      <c r="Z77" s="56" t="str">
        <f t="shared" si="30"/>
        <v/>
      </c>
      <c r="AA77" s="56" t="str">
        <f t="shared" si="31"/>
        <v/>
      </c>
      <c r="AB77" s="56" t="str">
        <f t="shared" si="32"/>
        <v/>
      </c>
      <c r="AC77" s="56" t="str">
        <f t="shared" si="33"/>
        <v/>
      </c>
      <c r="AD77" s="56" t="str">
        <f t="shared" si="34"/>
        <v/>
      </c>
      <c r="AE77" s="40"/>
      <c r="AF77" s="40"/>
      <c r="AG77" s="40"/>
      <c r="AH77" s="56" t="str">
        <f t="shared" si="18"/>
        <v/>
      </c>
      <c r="AI77" s="54"/>
      <c r="AJ77" s="54"/>
      <c r="AK77" s="54"/>
      <c r="AL77" s="54"/>
      <c r="AM77" s="54"/>
    </row>
    <row r="78" spans="1:39">
      <c r="A78" s="45" t="str" cm="1">
        <f t="array" ref="A78">IF(H78="PROJECT", CHAR(10) &amp; "- " &amp; _xlfn.TEXTJOIN(CHAR(10) &amp; "- ", TRUE, _xlfn._xlws.FILTER($I$9:$I$1000, ($B$9:$B$1000=B78) * ($H$9:$H$1000="Topic"))), "")</f>
        <v/>
      </c>
      <c r="B78" s="45" t="str">
        <f t="shared" si="19"/>
        <v/>
      </c>
      <c r="C78" s="95"/>
      <c r="D78" s="57"/>
      <c r="E78" s="58"/>
      <c r="F78" s="54"/>
      <c r="G78" s="52"/>
      <c r="H78" s="52"/>
      <c r="I78" s="61"/>
      <c r="J78" s="62"/>
      <c r="K78" s="129" t="str">
        <f t="shared" si="20"/>
        <v/>
      </c>
      <c r="L78" s="103" t="str">
        <f t="shared" si="21"/>
        <v/>
      </c>
      <c r="M78" s="52">
        <v>0</v>
      </c>
      <c r="N78" s="102" t="str">
        <f t="shared" si="22"/>
        <v/>
      </c>
      <c r="O78" s="103" t="str">
        <f t="shared" si="23"/>
        <v/>
      </c>
      <c r="P78" s="52">
        <v>0</v>
      </c>
      <c r="Q78" s="102" t="str">
        <f t="shared" si="24"/>
        <v/>
      </c>
      <c r="R78" s="103" t="str">
        <f t="shared" si="25"/>
        <v/>
      </c>
      <c r="S78" s="52">
        <v>0</v>
      </c>
      <c r="T78" s="102" t="str">
        <f t="shared" si="26"/>
        <v/>
      </c>
      <c r="U78" s="103" t="str">
        <f t="shared" si="27"/>
        <v/>
      </c>
      <c r="V78" s="52">
        <v>0</v>
      </c>
      <c r="W78" s="87" t="str">
        <f t="shared" si="28"/>
        <v/>
      </c>
      <c r="X78" s="103" t="str">
        <f t="shared" si="29"/>
        <v/>
      </c>
      <c r="Y78" s="52">
        <v>0</v>
      </c>
      <c r="Z78" s="56" t="str">
        <f t="shared" si="30"/>
        <v/>
      </c>
      <c r="AA78" s="56" t="str">
        <f t="shared" si="31"/>
        <v/>
      </c>
      <c r="AB78" s="56" t="str">
        <f t="shared" si="32"/>
        <v/>
      </c>
      <c r="AC78" s="56" t="str">
        <f t="shared" si="33"/>
        <v/>
      </c>
      <c r="AD78" s="56" t="str">
        <f t="shared" si="34"/>
        <v/>
      </c>
      <c r="AE78" s="40"/>
      <c r="AF78" s="40"/>
      <c r="AG78" s="40"/>
      <c r="AH78" s="56" t="str">
        <f t="shared" si="18"/>
        <v/>
      </c>
      <c r="AI78" s="54"/>
      <c r="AJ78" s="54"/>
      <c r="AK78" s="54"/>
      <c r="AL78" s="54"/>
      <c r="AM78" s="54"/>
    </row>
    <row r="79" spans="1:39">
      <c r="A79" s="45" t="str" cm="1">
        <f t="array" ref="A79">IF(H79="PROJECT", CHAR(10) &amp; "- " &amp; _xlfn.TEXTJOIN(CHAR(10) &amp; "- ", TRUE, _xlfn._xlws.FILTER($I$9:$I$1000, ($B$9:$B$1000=B79) * ($H$9:$H$1000="Topic"))), "")</f>
        <v/>
      </c>
      <c r="B79" s="45" t="str">
        <f t="shared" si="19"/>
        <v/>
      </c>
      <c r="C79" s="95"/>
      <c r="D79" s="46"/>
      <c r="E79" s="58"/>
      <c r="F79" s="67"/>
      <c r="G79" s="53"/>
      <c r="H79" s="53"/>
      <c r="I79" s="50"/>
      <c r="J79" s="51"/>
      <c r="K79" s="129" t="str">
        <f t="shared" si="20"/>
        <v/>
      </c>
      <c r="L79" s="103" t="str">
        <f t="shared" si="21"/>
        <v/>
      </c>
      <c r="M79" s="53">
        <v>0</v>
      </c>
      <c r="N79" s="102" t="str">
        <f t="shared" si="22"/>
        <v/>
      </c>
      <c r="O79" s="103" t="str">
        <f t="shared" si="23"/>
        <v/>
      </c>
      <c r="P79" s="53">
        <v>0</v>
      </c>
      <c r="Q79" s="102" t="str">
        <f t="shared" si="24"/>
        <v/>
      </c>
      <c r="R79" s="103" t="str">
        <f t="shared" si="25"/>
        <v/>
      </c>
      <c r="S79" s="53">
        <v>0</v>
      </c>
      <c r="T79" s="102" t="str">
        <f t="shared" si="26"/>
        <v/>
      </c>
      <c r="U79" s="103" t="str">
        <f t="shared" si="27"/>
        <v/>
      </c>
      <c r="V79" s="53">
        <v>0</v>
      </c>
      <c r="W79" s="87" t="str">
        <f t="shared" si="28"/>
        <v/>
      </c>
      <c r="X79" s="103" t="str">
        <f t="shared" si="29"/>
        <v/>
      </c>
      <c r="Y79" s="53">
        <v>0</v>
      </c>
      <c r="Z79" s="56" t="str">
        <f t="shared" si="30"/>
        <v/>
      </c>
      <c r="AA79" s="56" t="str">
        <f t="shared" si="31"/>
        <v/>
      </c>
      <c r="AB79" s="56" t="str">
        <f t="shared" si="32"/>
        <v/>
      </c>
      <c r="AC79" s="56" t="str">
        <f t="shared" si="33"/>
        <v/>
      </c>
      <c r="AD79" s="56" t="str">
        <f t="shared" si="34"/>
        <v/>
      </c>
      <c r="AE79" s="40"/>
      <c r="AF79" s="40"/>
      <c r="AG79" s="40"/>
      <c r="AH79" s="56" t="str">
        <f t="shared" si="18"/>
        <v/>
      </c>
      <c r="AI79" s="54"/>
      <c r="AJ79" s="54"/>
      <c r="AK79" s="54"/>
      <c r="AL79" s="54"/>
      <c r="AM79" s="54"/>
    </row>
    <row r="80" spans="1:39">
      <c r="A80" s="45" t="str" cm="1">
        <f t="array" ref="A80">IF(H80="PROJECT", CHAR(10) &amp; "- " &amp; _xlfn.TEXTJOIN(CHAR(10) &amp; "- ", TRUE, _xlfn._xlws.FILTER($I$9:$I$1000, ($B$9:$B$1000=B80) * ($H$9:$H$1000="Topic"))), "")</f>
        <v/>
      </c>
      <c r="B80" s="45" t="str">
        <f t="shared" si="19"/>
        <v/>
      </c>
      <c r="C80" s="95"/>
      <c r="D80" s="57"/>
      <c r="E80" s="58"/>
      <c r="F80" s="54"/>
      <c r="G80" s="52"/>
      <c r="H80" s="60"/>
      <c r="I80" s="61"/>
      <c r="J80" s="62"/>
      <c r="K80" s="129" t="str">
        <f t="shared" si="20"/>
        <v/>
      </c>
      <c r="L80" s="103" t="str">
        <f t="shared" si="21"/>
        <v/>
      </c>
      <c r="M80" s="52">
        <v>0</v>
      </c>
      <c r="N80" s="102" t="str">
        <f t="shared" si="22"/>
        <v/>
      </c>
      <c r="O80" s="103" t="str">
        <f t="shared" si="23"/>
        <v/>
      </c>
      <c r="P80" s="52">
        <v>0</v>
      </c>
      <c r="Q80" s="102" t="str">
        <f t="shared" si="24"/>
        <v/>
      </c>
      <c r="R80" s="103" t="str">
        <f t="shared" si="25"/>
        <v/>
      </c>
      <c r="S80" s="52">
        <v>0</v>
      </c>
      <c r="T80" s="102" t="str">
        <f t="shared" si="26"/>
        <v/>
      </c>
      <c r="U80" s="103" t="str">
        <f t="shared" si="27"/>
        <v/>
      </c>
      <c r="V80" s="52">
        <v>0</v>
      </c>
      <c r="W80" s="87" t="str">
        <f t="shared" si="28"/>
        <v/>
      </c>
      <c r="X80" s="103" t="str">
        <f t="shared" si="29"/>
        <v/>
      </c>
      <c r="Y80" s="52">
        <v>0</v>
      </c>
      <c r="Z80" s="56" t="str">
        <f t="shared" si="30"/>
        <v/>
      </c>
      <c r="AA80" s="56" t="str">
        <f t="shared" si="31"/>
        <v/>
      </c>
      <c r="AB80" s="56" t="str">
        <f t="shared" si="32"/>
        <v/>
      </c>
      <c r="AC80" s="56" t="str">
        <f t="shared" si="33"/>
        <v/>
      </c>
      <c r="AD80" s="56" t="str">
        <f t="shared" si="34"/>
        <v/>
      </c>
      <c r="AE80" s="40"/>
      <c r="AF80" s="40"/>
      <c r="AG80" s="40"/>
      <c r="AH80" s="56" t="str">
        <f t="shared" si="18"/>
        <v/>
      </c>
      <c r="AI80" s="54"/>
      <c r="AJ80" s="54"/>
      <c r="AK80" s="54"/>
      <c r="AL80" s="54"/>
      <c r="AM80" s="54"/>
    </row>
    <row r="81" spans="1:39">
      <c r="A81" s="45" t="str" cm="1">
        <f t="array" ref="A81">IF(H81="PROJECT", CHAR(10) &amp; "- " &amp; _xlfn.TEXTJOIN(CHAR(10) &amp; "- ", TRUE, _xlfn._xlws.FILTER($I$9:$I$1000, ($B$9:$B$1000=B81) * ($H$9:$H$1000="Topic"))), "")</f>
        <v/>
      </c>
      <c r="B81" s="45" t="str">
        <f t="shared" si="19"/>
        <v/>
      </c>
      <c r="C81" s="95"/>
      <c r="D81" s="46"/>
      <c r="E81" s="58"/>
      <c r="F81" s="67"/>
      <c r="G81" s="53"/>
      <c r="H81" s="53"/>
      <c r="I81" s="50"/>
      <c r="J81" s="51"/>
      <c r="K81" s="129" t="str">
        <f t="shared" si="20"/>
        <v/>
      </c>
      <c r="L81" s="103" t="str">
        <f t="shared" si="21"/>
        <v/>
      </c>
      <c r="M81" s="53">
        <v>0</v>
      </c>
      <c r="N81" s="102" t="str">
        <f t="shared" si="22"/>
        <v/>
      </c>
      <c r="O81" s="103" t="str">
        <f t="shared" si="23"/>
        <v/>
      </c>
      <c r="P81" s="53">
        <v>0</v>
      </c>
      <c r="Q81" s="102" t="str">
        <f t="shared" si="24"/>
        <v/>
      </c>
      <c r="R81" s="103" t="str">
        <f t="shared" si="25"/>
        <v/>
      </c>
      <c r="S81" s="53">
        <v>0</v>
      </c>
      <c r="T81" s="102" t="str">
        <f t="shared" si="26"/>
        <v/>
      </c>
      <c r="U81" s="103" t="str">
        <f t="shared" si="27"/>
        <v/>
      </c>
      <c r="V81" s="53">
        <v>0</v>
      </c>
      <c r="W81" s="87" t="str">
        <f t="shared" si="28"/>
        <v/>
      </c>
      <c r="X81" s="103" t="str">
        <f t="shared" si="29"/>
        <v/>
      </c>
      <c r="Y81" s="53">
        <v>0</v>
      </c>
      <c r="Z81" s="56" t="str">
        <f t="shared" si="30"/>
        <v/>
      </c>
      <c r="AA81" s="56" t="str">
        <f t="shared" si="31"/>
        <v/>
      </c>
      <c r="AB81" s="56" t="str">
        <f t="shared" si="32"/>
        <v/>
      </c>
      <c r="AC81" s="56" t="str">
        <f t="shared" si="33"/>
        <v/>
      </c>
      <c r="AD81" s="56" t="str">
        <f t="shared" si="34"/>
        <v/>
      </c>
      <c r="AE81" s="40"/>
      <c r="AF81" s="40"/>
      <c r="AG81" s="40"/>
      <c r="AH81" s="56" t="str">
        <f t="shared" si="18"/>
        <v/>
      </c>
      <c r="AI81" s="54"/>
      <c r="AJ81" s="54"/>
      <c r="AK81" s="54"/>
      <c r="AL81" s="54"/>
      <c r="AM81" s="54"/>
    </row>
    <row r="82" spans="1:39">
      <c r="A82" s="45" t="str" cm="1">
        <f t="array" ref="A82">IF(H82="PROJECT", CHAR(10) &amp; "- " &amp; _xlfn.TEXTJOIN(CHAR(10) &amp; "- ", TRUE, _xlfn._xlws.FILTER($I$9:$I$1000, ($B$9:$B$1000=B82) * ($H$9:$H$1000="Topic"))), "")</f>
        <v/>
      </c>
      <c r="B82" s="45" t="str">
        <f t="shared" si="19"/>
        <v/>
      </c>
      <c r="C82" s="95"/>
      <c r="D82" s="57"/>
      <c r="E82" s="58"/>
      <c r="F82" s="54"/>
      <c r="G82" s="52"/>
      <c r="H82" s="52"/>
      <c r="I82" s="61"/>
      <c r="J82" s="62"/>
      <c r="K82" s="129" t="str">
        <f t="shared" si="20"/>
        <v/>
      </c>
      <c r="L82" s="103" t="str">
        <f t="shared" si="21"/>
        <v/>
      </c>
      <c r="M82" s="52">
        <v>0</v>
      </c>
      <c r="N82" s="102" t="str">
        <f t="shared" si="22"/>
        <v/>
      </c>
      <c r="O82" s="103" t="str">
        <f t="shared" si="23"/>
        <v/>
      </c>
      <c r="P82" s="52">
        <v>0</v>
      </c>
      <c r="Q82" s="102" t="str">
        <f t="shared" si="24"/>
        <v/>
      </c>
      <c r="R82" s="103" t="str">
        <f t="shared" si="25"/>
        <v/>
      </c>
      <c r="S82" s="52">
        <v>0</v>
      </c>
      <c r="T82" s="102" t="str">
        <f t="shared" si="26"/>
        <v/>
      </c>
      <c r="U82" s="103" t="str">
        <f t="shared" si="27"/>
        <v/>
      </c>
      <c r="V82" s="52">
        <v>0</v>
      </c>
      <c r="W82" s="87" t="str">
        <f t="shared" si="28"/>
        <v/>
      </c>
      <c r="X82" s="103" t="str">
        <f t="shared" si="29"/>
        <v/>
      </c>
      <c r="Y82" s="52">
        <v>0</v>
      </c>
      <c r="Z82" s="56" t="str">
        <f t="shared" si="30"/>
        <v/>
      </c>
      <c r="AA82" s="56" t="str">
        <f t="shared" si="31"/>
        <v/>
      </c>
      <c r="AB82" s="56" t="str">
        <f t="shared" si="32"/>
        <v/>
      </c>
      <c r="AC82" s="56" t="str">
        <f t="shared" si="33"/>
        <v/>
      </c>
      <c r="AD82" s="56" t="str">
        <f t="shared" si="34"/>
        <v/>
      </c>
      <c r="AE82" s="40"/>
      <c r="AF82" s="40"/>
      <c r="AG82" s="40"/>
      <c r="AH82" s="56" t="str">
        <f t="shared" si="18"/>
        <v/>
      </c>
      <c r="AI82" s="54"/>
      <c r="AJ82" s="54"/>
      <c r="AK82" s="54"/>
      <c r="AL82" s="54"/>
      <c r="AM82" s="54"/>
    </row>
    <row r="83" spans="1:39">
      <c r="A83" s="45" t="str" cm="1">
        <f t="array" ref="A83">IF(H83="PROJECT", CHAR(10) &amp; "- " &amp; _xlfn.TEXTJOIN(CHAR(10) &amp; "- ", TRUE, _xlfn._xlws.FILTER($I$9:$I$1000, ($B$9:$B$1000=B83) * ($H$9:$H$1000="Topic"))), "")</f>
        <v/>
      </c>
      <c r="B83" s="45" t="str">
        <f t="shared" si="19"/>
        <v/>
      </c>
      <c r="C83" s="95"/>
      <c r="D83" s="46"/>
      <c r="E83" s="58"/>
      <c r="F83" s="67"/>
      <c r="G83" s="53"/>
      <c r="H83" s="53"/>
      <c r="I83" s="50"/>
      <c r="J83" s="51"/>
      <c r="K83" s="129" t="str">
        <f t="shared" si="20"/>
        <v/>
      </c>
      <c r="L83" s="103" t="str">
        <f t="shared" si="21"/>
        <v/>
      </c>
      <c r="M83" s="53">
        <v>0</v>
      </c>
      <c r="N83" s="102" t="str">
        <f t="shared" si="22"/>
        <v/>
      </c>
      <c r="O83" s="103" t="str">
        <f t="shared" si="23"/>
        <v/>
      </c>
      <c r="P83" s="53">
        <v>0</v>
      </c>
      <c r="Q83" s="102" t="str">
        <f t="shared" si="24"/>
        <v/>
      </c>
      <c r="R83" s="103" t="str">
        <f t="shared" si="25"/>
        <v/>
      </c>
      <c r="S83" s="53">
        <v>0</v>
      </c>
      <c r="T83" s="102" t="str">
        <f t="shared" si="26"/>
        <v/>
      </c>
      <c r="U83" s="103" t="str">
        <f t="shared" si="27"/>
        <v/>
      </c>
      <c r="V83" s="53">
        <v>0</v>
      </c>
      <c r="W83" s="87" t="str">
        <f t="shared" si="28"/>
        <v/>
      </c>
      <c r="X83" s="103" t="str">
        <f t="shared" si="29"/>
        <v/>
      </c>
      <c r="Y83" s="53">
        <v>0</v>
      </c>
      <c r="Z83" s="56" t="str">
        <f t="shared" si="30"/>
        <v/>
      </c>
      <c r="AA83" s="56" t="str">
        <f t="shared" si="31"/>
        <v/>
      </c>
      <c r="AB83" s="56" t="str">
        <f t="shared" si="32"/>
        <v/>
      </c>
      <c r="AC83" s="56" t="str">
        <f t="shared" si="33"/>
        <v/>
      </c>
      <c r="AD83" s="56" t="str">
        <f t="shared" si="34"/>
        <v/>
      </c>
      <c r="AE83" s="40"/>
      <c r="AF83" s="40"/>
      <c r="AG83" s="40"/>
      <c r="AH83" s="56" t="str">
        <f t="shared" si="18"/>
        <v/>
      </c>
      <c r="AI83" s="54"/>
      <c r="AJ83" s="54"/>
      <c r="AK83" s="54"/>
      <c r="AL83" s="54"/>
      <c r="AM83" s="54"/>
    </row>
    <row r="84" spans="1:39">
      <c r="A84" s="45" t="str" cm="1">
        <f t="array" ref="A84">IF(H84="PROJECT", CHAR(10) &amp; "- " &amp; _xlfn.TEXTJOIN(CHAR(10) &amp; "- ", TRUE, _xlfn._xlws.FILTER($I$9:$I$1000, ($B$9:$B$1000=B84) * ($H$9:$H$1000="Topic"))), "")</f>
        <v/>
      </c>
      <c r="B84" s="45" t="str">
        <f t="shared" si="19"/>
        <v/>
      </c>
      <c r="C84" s="95"/>
      <c r="D84" s="57"/>
      <c r="E84" s="58"/>
      <c r="F84" s="54"/>
      <c r="G84" s="52"/>
      <c r="H84" s="52"/>
      <c r="I84" s="61"/>
      <c r="J84" s="62"/>
      <c r="K84" s="129" t="str">
        <f t="shared" si="20"/>
        <v/>
      </c>
      <c r="L84" s="103" t="str">
        <f t="shared" si="21"/>
        <v/>
      </c>
      <c r="M84" s="52">
        <v>0</v>
      </c>
      <c r="N84" s="102" t="str">
        <f t="shared" si="22"/>
        <v/>
      </c>
      <c r="O84" s="103" t="str">
        <f t="shared" si="23"/>
        <v/>
      </c>
      <c r="P84" s="52">
        <v>0</v>
      </c>
      <c r="Q84" s="102" t="str">
        <f t="shared" si="24"/>
        <v/>
      </c>
      <c r="R84" s="103" t="str">
        <f t="shared" si="25"/>
        <v/>
      </c>
      <c r="S84" s="52">
        <v>0</v>
      </c>
      <c r="T84" s="102" t="str">
        <f t="shared" si="26"/>
        <v/>
      </c>
      <c r="U84" s="103" t="str">
        <f t="shared" si="27"/>
        <v/>
      </c>
      <c r="V84" s="52">
        <v>0</v>
      </c>
      <c r="W84" s="87" t="str">
        <f t="shared" si="28"/>
        <v/>
      </c>
      <c r="X84" s="103" t="str">
        <f t="shared" si="29"/>
        <v/>
      </c>
      <c r="Y84" s="52">
        <v>0</v>
      </c>
      <c r="Z84" s="56" t="str">
        <f t="shared" si="30"/>
        <v/>
      </c>
      <c r="AA84" s="56" t="str">
        <f t="shared" si="31"/>
        <v/>
      </c>
      <c r="AB84" s="56" t="str">
        <f t="shared" si="32"/>
        <v/>
      </c>
      <c r="AC84" s="56" t="str">
        <f t="shared" si="33"/>
        <v/>
      </c>
      <c r="AD84" s="56" t="str">
        <f t="shared" si="34"/>
        <v/>
      </c>
      <c r="AE84" s="40"/>
      <c r="AF84" s="40"/>
      <c r="AG84" s="40"/>
      <c r="AH84" s="56" t="str">
        <f t="shared" si="18"/>
        <v/>
      </c>
      <c r="AI84" s="54"/>
      <c r="AJ84" s="54"/>
      <c r="AK84" s="54"/>
      <c r="AL84" s="54"/>
      <c r="AM84" s="54"/>
    </row>
    <row r="85" spans="1:39">
      <c r="A85" s="45" t="str" cm="1">
        <f t="array" ref="A85">IF(H85="PROJECT", CHAR(10) &amp; "- " &amp; _xlfn.TEXTJOIN(CHAR(10) &amp; "- ", TRUE, _xlfn._xlws.FILTER($I$9:$I$1000, ($B$9:$B$1000=B85) * ($H$9:$H$1000="Topic"))), "")</f>
        <v/>
      </c>
      <c r="B85" s="45" t="str">
        <f t="shared" si="19"/>
        <v/>
      </c>
      <c r="C85" s="95"/>
      <c r="D85" s="46"/>
      <c r="E85" s="58"/>
      <c r="F85" s="67"/>
      <c r="G85" s="53"/>
      <c r="H85" s="53"/>
      <c r="I85" s="50"/>
      <c r="J85" s="51"/>
      <c r="K85" s="129" t="str">
        <f t="shared" si="20"/>
        <v/>
      </c>
      <c r="L85" s="103" t="str">
        <f t="shared" si="21"/>
        <v/>
      </c>
      <c r="M85" s="53">
        <v>0</v>
      </c>
      <c r="N85" s="102" t="str">
        <f t="shared" si="22"/>
        <v/>
      </c>
      <c r="O85" s="103" t="str">
        <f t="shared" si="23"/>
        <v/>
      </c>
      <c r="P85" s="53">
        <v>0</v>
      </c>
      <c r="Q85" s="102" t="str">
        <f t="shared" si="24"/>
        <v/>
      </c>
      <c r="R85" s="103" t="str">
        <f t="shared" si="25"/>
        <v/>
      </c>
      <c r="S85" s="53">
        <v>0</v>
      </c>
      <c r="T85" s="102" t="str">
        <f t="shared" si="26"/>
        <v/>
      </c>
      <c r="U85" s="103" t="str">
        <f t="shared" si="27"/>
        <v/>
      </c>
      <c r="V85" s="53">
        <v>0</v>
      </c>
      <c r="W85" s="87" t="str">
        <f t="shared" si="28"/>
        <v/>
      </c>
      <c r="X85" s="103" t="str">
        <f t="shared" si="29"/>
        <v/>
      </c>
      <c r="Y85" s="53">
        <v>0</v>
      </c>
      <c r="Z85" s="56" t="str">
        <f t="shared" si="30"/>
        <v/>
      </c>
      <c r="AA85" s="56" t="str">
        <f t="shared" si="31"/>
        <v/>
      </c>
      <c r="AB85" s="56" t="str">
        <f t="shared" si="32"/>
        <v/>
      </c>
      <c r="AC85" s="56" t="str">
        <f t="shared" si="33"/>
        <v/>
      </c>
      <c r="AD85" s="56" t="str">
        <f t="shared" si="34"/>
        <v/>
      </c>
      <c r="AE85" s="40"/>
      <c r="AF85" s="40"/>
      <c r="AG85" s="40"/>
      <c r="AH85" s="56" t="str">
        <f t="shared" si="18"/>
        <v/>
      </c>
      <c r="AI85" s="54"/>
      <c r="AJ85" s="54"/>
      <c r="AK85" s="54"/>
      <c r="AL85" s="54"/>
      <c r="AM85" s="54"/>
    </row>
    <row r="86" spans="1:39">
      <c r="A86" s="45" t="str" cm="1">
        <f t="array" ref="A86">IF(H86="PROJECT", CHAR(10) &amp; "- " &amp; _xlfn.TEXTJOIN(CHAR(10) &amp; "- ", TRUE, _xlfn._xlws.FILTER($I$9:$I$1000, ($B$9:$B$1000=B86) * ($H$9:$H$1000="Topic"))), "")</f>
        <v/>
      </c>
      <c r="B86" s="45" t="str">
        <f t="shared" si="19"/>
        <v/>
      </c>
      <c r="C86" s="95"/>
      <c r="D86" s="57"/>
      <c r="E86" s="58"/>
      <c r="F86" s="54"/>
      <c r="G86" s="52"/>
      <c r="H86" s="52"/>
      <c r="I86" s="61"/>
      <c r="J86" s="62"/>
      <c r="K86" s="129" t="str">
        <f t="shared" si="20"/>
        <v/>
      </c>
      <c r="L86" s="103" t="str">
        <f t="shared" si="21"/>
        <v/>
      </c>
      <c r="M86" s="52">
        <v>0</v>
      </c>
      <c r="N86" s="102" t="str">
        <f t="shared" si="22"/>
        <v/>
      </c>
      <c r="O86" s="103" t="str">
        <f t="shared" si="23"/>
        <v/>
      </c>
      <c r="P86" s="52">
        <v>0</v>
      </c>
      <c r="Q86" s="102" t="str">
        <f t="shared" si="24"/>
        <v/>
      </c>
      <c r="R86" s="103" t="str">
        <f t="shared" si="25"/>
        <v/>
      </c>
      <c r="S86" s="52">
        <v>0</v>
      </c>
      <c r="T86" s="102" t="str">
        <f t="shared" si="26"/>
        <v/>
      </c>
      <c r="U86" s="103" t="str">
        <f t="shared" si="27"/>
        <v/>
      </c>
      <c r="V86" s="52">
        <v>0</v>
      </c>
      <c r="W86" s="87" t="str">
        <f t="shared" si="28"/>
        <v/>
      </c>
      <c r="X86" s="103" t="str">
        <f t="shared" si="29"/>
        <v/>
      </c>
      <c r="Y86" s="52">
        <v>0</v>
      </c>
      <c r="Z86" s="56" t="str">
        <f t="shared" si="30"/>
        <v/>
      </c>
      <c r="AA86" s="56" t="str">
        <f t="shared" si="31"/>
        <v/>
      </c>
      <c r="AB86" s="56" t="str">
        <f t="shared" si="32"/>
        <v/>
      </c>
      <c r="AC86" s="56" t="str">
        <f t="shared" si="33"/>
        <v/>
      </c>
      <c r="AD86" s="56" t="str">
        <f t="shared" si="34"/>
        <v/>
      </c>
      <c r="AE86" s="40"/>
      <c r="AF86" s="40"/>
      <c r="AG86" s="40"/>
      <c r="AH86" s="56" t="str">
        <f t="shared" si="18"/>
        <v/>
      </c>
      <c r="AI86" s="54"/>
      <c r="AJ86" s="54"/>
      <c r="AK86" s="54"/>
      <c r="AL86" s="54"/>
      <c r="AM86" s="54"/>
    </row>
    <row r="87" spans="1:39">
      <c r="A87" s="45" t="str" cm="1">
        <f t="array" ref="A87">IF(H87="PROJECT", CHAR(10) &amp; "- " &amp; _xlfn.TEXTJOIN(CHAR(10) &amp; "- ", TRUE, _xlfn._xlws.FILTER($I$9:$I$1000, ($B$9:$B$1000=B87) * ($H$9:$H$1000="Topic"))), "")</f>
        <v/>
      </c>
      <c r="B87" s="45" t="str">
        <f t="shared" si="19"/>
        <v/>
      </c>
      <c r="C87" s="95"/>
      <c r="D87" s="46"/>
      <c r="E87" s="58"/>
      <c r="F87" s="67"/>
      <c r="G87" s="53"/>
      <c r="H87" s="53"/>
      <c r="I87" s="50"/>
      <c r="J87" s="51"/>
      <c r="K87" s="129" t="str">
        <f t="shared" si="20"/>
        <v/>
      </c>
      <c r="L87" s="103" t="str">
        <f t="shared" si="21"/>
        <v/>
      </c>
      <c r="M87" s="53">
        <v>0</v>
      </c>
      <c r="N87" s="102" t="str">
        <f t="shared" si="22"/>
        <v/>
      </c>
      <c r="O87" s="103" t="str">
        <f t="shared" si="23"/>
        <v/>
      </c>
      <c r="P87" s="53">
        <v>0</v>
      </c>
      <c r="Q87" s="102" t="str">
        <f t="shared" si="24"/>
        <v/>
      </c>
      <c r="R87" s="103" t="str">
        <f t="shared" si="25"/>
        <v/>
      </c>
      <c r="S87" s="53">
        <v>0</v>
      </c>
      <c r="T87" s="102" t="str">
        <f t="shared" si="26"/>
        <v/>
      </c>
      <c r="U87" s="103" t="str">
        <f t="shared" si="27"/>
        <v/>
      </c>
      <c r="V87" s="53">
        <v>0</v>
      </c>
      <c r="W87" s="87" t="str">
        <f t="shared" si="28"/>
        <v/>
      </c>
      <c r="X87" s="103" t="str">
        <f t="shared" si="29"/>
        <v/>
      </c>
      <c r="Y87" s="53">
        <v>0</v>
      </c>
      <c r="Z87" s="56" t="str">
        <f t="shared" si="30"/>
        <v/>
      </c>
      <c r="AA87" s="56" t="str">
        <f t="shared" si="31"/>
        <v/>
      </c>
      <c r="AB87" s="56" t="str">
        <f t="shared" si="32"/>
        <v/>
      </c>
      <c r="AC87" s="56" t="str">
        <f t="shared" si="33"/>
        <v/>
      </c>
      <c r="AD87" s="56" t="str">
        <f t="shared" si="34"/>
        <v/>
      </c>
      <c r="AE87" s="40"/>
      <c r="AF87" s="40"/>
      <c r="AG87" s="40"/>
      <c r="AH87" s="56" t="str">
        <f t="shared" si="18"/>
        <v/>
      </c>
      <c r="AI87" s="54"/>
      <c r="AJ87" s="54"/>
      <c r="AK87" s="54"/>
      <c r="AL87" s="54"/>
      <c r="AM87" s="54"/>
    </row>
    <row r="88" spans="1:39">
      <c r="A88" s="45" t="str" cm="1">
        <f t="array" ref="A88">IF(H88="PROJECT", CHAR(10) &amp; "- " &amp; _xlfn.TEXTJOIN(CHAR(10) &amp; "- ", TRUE, _xlfn._xlws.FILTER($I$9:$I$1000, ($B$9:$B$1000=B88) * ($H$9:$H$1000="Topic"))), "")</f>
        <v/>
      </c>
      <c r="B88" s="45" t="str">
        <f t="shared" si="19"/>
        <v/>
      </c>
      <c r="C88" s="95"/>
      <c r="D88" s="57"/>
      <c r="E88" s="58"/>
      <c r="F88" s="54"/>
      <c r="G88" s="52"/>
      <c r="H88" s="52"/>
      <c r="I88" s="61"/>
      <c r="J88" s="62"/>
      <c r="K88" s="129" t="str">
        <f t="shared" si="20"/>
        <v/>
      </c>
      <c r="L88" s="103" t="str">
        <f t="shared" si="21"/>
        <v/>
      </c>
      <c r="M88" s="52">
        <v>0</v>
      </c>
      <c r="N88" s="102" t="str">
        <f t="shared" si="22"/>
        <v/>
      </c>
      <c r="O88" s="103" t="str">
        <f t="shared" si="23"/>
        <v/>
      </c>
      <c r="P88" s="52">
        <v>0</v>
      </c>
      <c r="Q88" s="102" t="str">
        <f t="shared" si="24"/>
        <v/>
      </c>
      <c r="R88" s="103" t="str">
        <f t="shared" si="25"/>
        <v/>
      </c>
      <c r="S88" s="52">
        <v>0</v>
      </c>
      <c r="T88" s="102" t="str">
        <f t="shared" si="26"/>
        <v/>
      </c>
      <c r="U88" s="103" t="str">
        <f t="shared" si="27"/>
        <v/>
      </c>
      <c r="V88" s="52">
        <v>0</v>
      </c>
      <c r="W88" s="87" t="str">
        <f t="shared" si="28"/>
        <v/>
      </c>
      <c r="X88" s="103" t="str">
        <f t="shared" si="29"/>
        <v/>
      </c>
      <c r="Y88" s="52">
        <v>0</v>
      </c>
      <c r="Z88" s="56" t="str">
        <f t="shared" si="30"/>
        <v/>
      </c>
      <c r="AA88" s="56" t="str">
        <f t="shared" si="31"/>
        <v/>
      </c>
      <c r="AB88" s="56" t="str">
        <f t="shared" si="32"/>
        <v/>
      </c>
      <c r="AC88" s="56" t="str">
        <f t="shared" si="33"/>
        <v/>
      </c>
      <c r="AD88" s="56" t="str">
        <f t="shared" si="34"/>
        <v/>
      </c>
      <c r="AE88" s="40"/>
      <c r="AF88" s="40"/>
      <c r="AG88" s="40"/>
      <c r="AH88" s="56" t="str">
        <f t="shared" si="18"/>
        <v/>
      </c>
      <c r="AI88" s="54"/>
      <c r="AJ88" s="54"/>
      <c r="AK88" s="54"/>
      <c r="AL88" s="54"/>
      <c r="AM88" s="54"/>
    </row>
    <row r="89" spans="1:39">
      <c r="A89" s="45" t="str" cm="1">
        <f t="array" ref="A89">IF(H89="PROJECT", CHAR(10) &amp; "- " &amp; _xlfn.TEXTJOIN(CHAR(10) &amp; "- ", TRUE, _xlfn._xlws.FILTER($I$9:$I$1000, ($B$9:$B$1000=B89) * ($H$9:$H$1000="Topic"))), "")</f>
        <v/>
      </c>
      <c r="B89" s="45" t="str">
        <f t="shared" si="19"/>
        <v/>
      </c>
      <c r="C89" s="95"/>
      <c r="D89" s="46"/>
      <c r="E89" s="58"/>
      <c r="F89" s="67"/>
      <c r="G89" s="53"/>
      <c r="H89" s="53"/>
      <c r="I89" s="50"/>
      <c r="J89" s="51"/>
      <c r="K89" s="129" t="str">
        <f t="shared" si="20"/>
        <v/>
      </c>
      <c r="L89" s="103" t="str">
        <f t="shared" si="21"/>
        <v/>
      </c>
      <c r="M89" s="53">
        <v>0</v>
      </c>
      <c r="N89" s="102" t="str">
        <f t="shared" si="22"/>
        <v/>
      </c>
      <c r="O89" s="103" t="str">
        <f t="shared" si="23"/>
        <v/>
      </c>
      <c r="P89" s="53">
        <v>0</v>
      </c>
      <c r="Q89" s="102" t="str">
        <f t="shared" si="24"/>
        <v/>
      </c>
      <c r="R89" s="103" t="str">
        <f t="shared" si="25"/>
        <v/>
      </c>
      <c r="S89" s="53">
        <v>0</v>
      </c>
      <c r="T89" s="102" t="str">
        <f t="shared" si="26"/>
        <v/>
      </c>
      <c r="U89" s="103" t="str">
        <f t="shared" si="27"/>
        <v/>
      </c>
      <c r="V89" s="53">
        <v>0</v>
      </c>
      <c r="W89" s="87" t="str">
        <f t="shared" si="28"/>
        <v/>
      </c>
      <c r="X89" s="103" t="str">
        <f t="shared" si="29"/>
        <v/>
      </c>
      <c r="Y89" s="53">
        <v>0</v>
      </c>
      <c r="Z89" s="56" t="str">
        <f t="shared" si="30"/>
        <v/>
      </c>
      <c r="AA89" s="56" t="str">
        <f t="shared" si="31"/>
        <v/>
      </c>
      <c r="AB89" s="56" t="str">
        <f t="shared" si="32"/>
        <v/>
      </c>
      <c r="AC89" s="56" t="str">
        <f t="shared" si="33"/>
        <v/>
      </c>
      <c r="AD89" s="56" t="str">
        <f t="shared" si="34"/>
        <v/>
      </c>
      <c r="AE89" s="40"/>
      <c r="AF89" s="40"/>
      <c r="AG89" s="40"/>
      <c r="AH89" s="56" t="str">
        <f t="shared" si="18"/>
        <v/>
      </c>
      <c r="AI89" s="54"/>
      <c r="AJ89" s="54"/>
      <c r="AK89" s="54"/>
      <c r="AL89" s="54"/>
      <c r="AM89" s="54"/>
    </row>
    <row r="90" spans="1:39">
      <c r="A90" s="45" t="str" cm="1">
        <f t="array" ref="A90">IF(H90="PROJECT", CHAR(10) &amp; "- " &amp; _xlfn.TEXTJOIN(CHAR(10) &amp; "- ", TRUE, _xlfn._xlws.FILTER($I$9:$I$1000, ($B$9:$B$1000=B90) * ($H$9:$H$1000="Topic"))), "")</f>
        <v/>
      </c>
      <c r="B90" s="45" t="str">
        <f t="shared" si="19"/>
        <v/>
      </c>
      <c r="C90" s="95"/>
      <c r="D90" s="57"/>
      <c r="E90" s="58"/>
      <c r="F90" s="54"/>
      <c r="G90" s="52"/>
      <c r="H90" s="52"/>
      <c r="I90" s="61"/>
      <c r="J90" s="62"/>
      <c r="K90" s="129" t="str">
        <f t="shared" si="20"/>
        <v/>
      </c>
      <c r="L90" s="103" t="str">
        <f t="shared" si="21"/>
        <v/>
      </c>
      <c r="M90" s="52">
        <v>0</v>
      </c>
      <c r="N90" s="102" t="str">
        <f t="shared" si="22"/>
        <v/>
      </c>
      <c r="O90" s="103" t="str">
        <f t="shared" si="23"/>
        <v/>
      </c>
      <c r="P90" s="52">
        <v>0</v>
      </c>
      <c r="Q90" s="102" t="str">
        <f t="shared" si="24"/>
        <v/>
      </c>
      <c r="R90" s="103" t="str">
        <f t="shared" si="25"/>
        <v/>
      </c>
      <c r="S90" s="52">
        <v>0</v>
      </c>
      <c r="T90" s="102" t="str">
        <f t="shared" si="26"/>
        <v/>
      </c>
      <c r="U90" s="103" t="str">
        <f t="shared" si="27"/>
        <v/>
      </c>
      <c r="V90" s="52">
        <v>0</v>
      </c>
      <c r="W90" s="87" t="str">
        <f t="shared" si="28"/>
        <v/>
      </c>
      <c r="X90" s="103" t="str">
        <f t="shared" si="29"/>
        <v/>
      </c>
      <c r="Y90" s="52">
        <v>0</v>
      </c>
      <c r="Z90" s="56" t="str">
        <f t="shared" si="30"/>
        <v/>
      </c>
      <c r="AA90" s="56" t="str">
        <f t="shared" si="31"/>
        <v/>
      </c>
      <c r="AB90" s="56" t="str">
        <f t="shared" si="32"/>
        <v/>
      </c>
      <c r="AC90" s="56" t="str">
        <f t="shared" si="33"/>
        <v/>
      </c>
      <c r="AD90" s="56" t="str">
        <f t="shared" si="34"/>
        <v/>
      </c>
      <c r="AE90" s="40"/>
      <c r="AF90" s="40"/>
      <c r="AG90" s="40"/>
      <c r="AH90" s="56" t="str">
        <f t="shared" si="18"/>
        <v/>
      </c>
      <c r="AI90" s="54"/>
      <c r="AJ90" s="54"/>
      <c r="AK90" s="54"/>
      <c r="AL90" s="54"/>
      <c r="AM90" s="54"/>
    </row>
    <row r="91" spans="1:39">
      <c r="A91" s="45" t="str" cm="1">
        <f t="array" ref="A91">IF(H91="PROJECT", CHAR(10) &amp; "- " &amp; _xlfn.TEXTJOIN(CHAR(10) &amp; "- ", TRUE, _xlfn._xlws.FILTER($I$9:$I$1000, ($B$9:$B$1000=B91) * ($H$9:$H$1000="Topic"))), "")</f>
        <v/>
      </c>
      <c r="B91" s="45" t="str">
        <f t="shared" si="19"/>
        <v/>
      </c>
      <c r="C91" s="95"/>
      <c r="D91" s="46"/>
      <c r="E91" s="58"/>
      <c r="F91" s="67"/>
      <c r="G91" s="53"/>
      <c r="H91" s="53"/>
      <c r="I91" s="50"/>
      <c r="J91" s="51"/>
      <c r="K91" s="129" t="str">
        <f t="shared" si="20"/>
        <v/>
      </c>
      <c r="L91" s="103" t="str">
        <f t="shared" si="21"/>
        <v/>
      </c>
      <c r="M91" s="53">
        <v>0</v>
      </c>
      <c r="N91" s="102" t="str">
        <f t="shared" si="22"/>
        <v/>
      </c>
      <c r="O91" s="103" t="str">
        <f t="shared" si="23"/>
        <v/>
      </c>
      <c r="P91" s="53">
        <v>0</v>
      </c>
      <c r="Q91" s="102" t="str">
        <f t="shared" si="24"/>
        <v/>
      </c>
      <c r="R91" s="103" t="str">
        <f t="shared" si="25"/>
        <v/>
      </c>
      <c r="S91" s="53">
        <v>0</v>
      </c>
      <c r="T91" s="102" t="str">
        <f t="shared" si="26"/>
        <v/>
      </c>
      <c r="U91" s="103" t="str">
        <f t="shared" si="27"/>
        <v/>
      </c>
      <c r="V91" s="53">
        <v>0</v>
      </c>
      <c r="W91" s="87" t="str">
        <f t="shared" si="28"/>
        <v/>
      </c>
      <c r="X91" s="103" t="str">
        <f t="shared" si="29"/>
        <v/>
      </c>
      <c r="Y91" s="53">
        <v>0</v>
      </c>
      <c r="Z91" s="56" t="str">
        <f t="shared" si="30"/>
        <v/>
      </c>
      <c r="AA91" s="56" t="str">
        <f t="shared" si="31"/>
        <v/>
      </c>
      <c r="AB91" s="56" t="str">
        <f t="shared" si="32"/>
        <v/>
      </c>
      <c r="AC91" s="56" t="str">
        <f t="shared" si="33"/>
        <v/>
      </c>
      <c r="AD91" s="56" t="str">
        <f t="shared" si="34"/>
        <v/>
      </c>
      <c r="AE91" s="40"/>
      <c r="AF91" s="40"/>
      <c r="AG91" s="40"/>
      <c r="AH91" s="56" t="str">
        <f t="shared" si="18"/>
        <v/>
      </c>
      <c r="AI91" s="54"/>
      <c r="AJ91" s="54"/>
      <c r="AK91" s="54"/>
      <c r="AL91" s="54"/>
      <c r="AM91" s="54"/>
    </row>
    <row r="92" spans="1:39">
      <c r="A92" s="45" t="str" cm="1">
        <f t="array" ref="A92">IF(H92="PROJECT", CHAR(10) &amp; "- " &amp; _xlfn.TEXTJOIN(CHAR(10) &amp; "- ", TRUE, _xlfn._xlws.FILTER($I$9:$I$1000, ($B$9:$B$1000=B92) * ($H$9:$H$1000="Topic"))), "")</f>
        <v/>
      </c>
      <c r="B92" s="45" t="str">
        <f t="shared" si="19"/>
        <v/>
      </c>
      <c r="C92" s="95"/>
      <c r="D92" s="57"/>
      <c r="E92" s="58"/>
      <c r="F92" s="54"/>
      <c r="G92" s="52"/>
      <c r="H92" s="52"/>
      <c r="I92" s="61"/>
      <c r="J92" s="62"/>
      <c r="K92" s="129" t="str">
        <f t="shared" si="20"/>
        <v/>
      </c>
      <c r="L92" s="103" t="str">
        <f t="shared" si="21"/>
        <v/>
      </c>
      <c r="M92" s="52">
        <v>0</v>
      </c>
      <c r="N92" s="102" t="str">
        <f t="shared" si="22"/>
        <v/>
      </c>
      <c r="O92" s="103" t="str">
        <f t="shared" si="23"/>
        <v/>
      </c>
      <c r="P92" s="52">
        <v>0</v>
      </c>
      <c r="Q92" s="102" t="str">
        <f t="shared" si="24"/>
        <v/>
      </c>
      <c r="R92" s="103" t="str">
        <f t="shared" si="25"/>
        <v/>
      </c>
      <c r="S92" s="52">
        <v>0</v>
      </c>
      <c r="T92" s="102" t="str">
        <f t="shared" si="26"/>
        <v/>
      </c>
      <c r="U92" s="103" t="str">
        <f t="shared" si="27"/>
        <v/>
      </c>
      <c r="V92" s="52">
        <v>0</v>
      </c>
      <c r="W92" s="87" t="str">
        <f t="shared" si="28"/>
        <v/>
      </c>
      <c r="X92" s="103" t="str">
        <f t="shared" si="29"/>
        <v/>
      </c>
      <c r="Y92" s="52">
        <v>0</v>
      </c>
      <c r="Z92" s="56" t="str">
        <f t="shared" si="30"/>
        <v/>
      </c>
      <c r="AA92" s="56" t="str">
        <f t="shared" si="31"/>
        <v/>
      </c>
      <c r="AB92" s="56" t="str">
        <f t="shared" si="32"/>
        <v/>
      </c>
      <c r="AC92" s="56" t="str">
        <f t="shared" si="33"/>
        <v/>
      </c>
      <c r="AD92" s="56" t="str">
        <f t="shared" si="34"/>
        <v/>
      </c>
      <c r="AE92" s="40"/>
      <c r="AF92" s="40"/>
      <c r="AG92" s="40"/>
      <c r="AH92" s="56" t="str">
        <f t="shared" si="18"/>
        <v/>
      </c>
      <c r="AI92" s="54"/>
      <c r="AJ92" s="54"/>
      <c r="AK92" s="54"/>
      <c r="AL92" s="54"/>
      <c r="AM92" s="54"/>
    </row>
    <row r="93" spans="1:39">
      <c r="A93" s="45" t="str" cm="1">
        <f t="array" ref="A93">IF(H93="PROJECT", CHAR(10) &amp; "- " &amp; _xlfn.TEXTJOIN(CHAR(10) &amp; "- ", TRUE, _xlfn._xlws.FILTER($I$9:$I$1000, ($B$9:$B$1000=B93) * ($H$9:$H$1000="Topic"))), "")</f>
        <v/>
      </c>
      <c r="B93" s="45" t="str">
        <f t="shared" si="19"/>
        <v/>
      </c>
      <c r="C93" s="95"/>
      <c r="D93" s="46"/>
      <c r="E93" s="58"/>
      <c r="F93" s="67"/>
      <c r="G93" s="53"/>
      <c r="H93" s="53"/>
      <c r="I93" s="50"/>
      <c r="J93" s="51"/>
      <c r="K93" s="129" t="str">
        <f t="shared" si="20"/>
        <v/>
      </c>
      <c r="L93" s="103" t="str">
        <f t="shared" si="21"/>
        <v/>
      </c>
      <c r="M93" s="53">
        <v>0</v>
      </c>
      <c r="N93" s="102" t="str">
        <f t="shared" si="22"/>
        <v/>
      </c>
      <c r="O93" s="103" t="str">
        <f t="shared" si="23"/>
        <v/>
      </c>
      <c r="P93" s="53">
        <v>0</v>
      </c>
      <c r="Q93" s="102" t="str">
        <f t="shared" si="24"/>
        <v/>
      </c>
      <c r="R93" s="103" t="str">
        <f t="shared" si="25"/>
        <v/>
      </c>
      <c r="S93" s="53">
        <v>0</v>
      </c>
      <c r="T93" s="102" t="str">
        <f t="shared" si="26"/>
        <v/>
      </c>
      <c r="U93" s="103" t="str">
        <f t="shared" si="27"/>
        <v/>
      </c>
      <c r="V93" s="53">
        <v>0</v>
      </c>
      <c r="W93" s="87" t="str">
        <f t="shared" si="28"/>
        <v/>
      </c>
      <c r="X93" s="103" t="str">
        <f t="shared" si="29"/>
        <v/>
      </c>
      <c r="Y93" s="53">
        <v>0</v>
      </c>
      <c r="Z93" s="56" t="str">
        <f t="shared" si="30"/>
        <v/>
      </c>
      <c r="AA93" s="56" t="str">
        <f t="shared" si="31"/>
        <v/>
      </c>
      <c r="AB93" s="56" t="str">
        <f t="shared" si="32"/>
        <v/>
      </c>
      <c r="AC93" s="56" t="str">
        <f t="shared" si="33"/>
        <v/>
      </c>
      <c r="AD93" s="56" t="str">
        <f t="shared" si="34"/>
        <v/>
      </c>
      <c r="AE93" s="40"/>
      <c r="AF93" s="40"/>
      <c r="AG93" s="40"/>
      <c r="AH93" s="56" t="str">
        <f t="shared" si="18"/>
        <v/>
      </c>
      <c r="AI93" s="54"/>
      <c r="AJ93" s="54"/>
      <c r="AK93" s="54"/>
      <c r="AL93" s="54"/>
      <c r="AM93" s="54"/>
    </row>
    <row r="94" spans="1:39">
      <c r="A94" s="45" t="str" cm="1">
        <f t="array" ref="A94">IF(H94="PROJECT", CHAR(10) &amp; "- " &amp; _xlfn.TEXTJOIN(CHAR(10) &amp; "- ", TRUE, _xlfn._xlws.FILTER($I$9:$I$1000, ($B$9:$B$1000=B94) * ($H$9:$H$1000="Topic"))), "")</f>
        <v/>
      </c>
      <c r="B94" s="45" t="str">
        <f t="shared" si="19"/>
        <v/>
      </c>
      <c r="C94" s="95"/>
      <c r="D94" s="57"/>
      <c r="E94" s="58"/>
      <c r="F94" s="54"/>
      <c r="G94" s="52"/>
      <c r="H94" s="52"/>
      <c r="I94" s="61"/>
      <c r="J94" s="62"/>
      <c r="K94" s="129" t="str">
        <f t="shared" si="20"/>
        <v/>
      </c>
      <c r="L94" s="103" t="str">
        <f t="shared" si="21"/>
        <v/>
      </c>
      <c r="M94" s="52">
        <v>0</v>
      </c>
      <c r="N94" s="102" t="str">
        <f t="shared" si="22"/>
        <v/>
      </c>
      <c r="O94" s="103" t="str">
        <f t="shared" si="23"/>
        <v/>
      </c>
      <c r="P94" s="52">
        <v>0</v>
      </c>
      <c r="Q94" s="102" t="str">
        <f t="shared" si="24"/>
        <v/>
      </c>
      <c r="R94" s="103" t="str">
        <f t="shared" si="25"/>
        <v/>
      </c>
      <c r="S94" s="52">
        <v>0</v>
      </c>
      <c r="T94" s="102" t="str">
        <f t="shared" si="26"/>
        <v/>
      </c>
      <c r="U94" s="103" t="str">
        <f t="shared" si="27"/>
        <v/>
      </c>
      <c r="V94" s="52">
        <v>0</v>
      </c>
      <c r="W94" s="87" t="str">
        <f t="shared" si="28"/>
        <v/>
      </c>
      <c r="X94" s="103" t="str">
        <f t="shared" si="29"/>
        <v/>
      </c>
      <c r="Y94" s="52">
        <v>0</v>
      </c>
      <c r="Z94" s="56" t="str">
        <f t="shared" si="30"/>
        <v/>
      </c>
      <c r="AA94" s="56" t="str">
        <f t="shared" si="31"/>
        <v/>
      </c>
      <c r="AB94" s="56" t="str">
        <f t="shared" si="32"/>
        <v/>
      </c>
      <c r="AC94" s="56" t="str">
        <f t="shared" si="33"/>
        <v/>
      </c>
      <c r="AD94" s="56" t="str">
        <f t="shared" si="34"/>
        <v/>
      </c>
      <c r="AE94" s="40"/>
      <c r="AF94" s="40"/>
      <c r="AG94" s="40"/>
      <c r="AH94" s="56" t="str">
        <f t="shared" si="18"/>
        <v/>
      </c>
      <c r="AI94" s="54"/>
      <c r="AJ94" s="54"/>
      <c r="AK94" s="54"/>
      <c r="AL94" s="54"/>
      <c r="AM94" s="54"/>
    </row>
    <row r="95" spans="1:39">
      <c r="A95" s="45" t="str" cm="1">
        <f t="array" ref="A95">IF(H95="PROJECT", CHAR(10) &amp; "- " &amp; _xlfn.TEXTJOIN(CHAR(10) &amp; "- ", TRUE, _xlfn._xlws.FILTER($I$9:$I$1000, ($B$9:$B$1000=B95) * ($H$9:$H$1000="Topic"))), "")</f>
        <v/>
      </c>
      <c r="B95" s="45" t="str">
        <f t="shared" si="19"/>
        <v/>
      </c>
      <c r="C95" s="95"/>
      <c r="D95" s="46"/>
      <c r="E95" s="58"/>
      <c r="F95" s="67"/>
      <c r="G95" s="53"/>
      <c r="H95" s="53"/>
      <c r="I95" s="50"/>
      <c r="J95" s="51"/>
      <c r="K95" s="129" t="str">
        <f t="shared" si="20"/>
        <v/>
      </c>
      <c r="L95" s="103" t="str">
        <f t="shared" si="21"/>
        <v/>
      </c>
      <c r="M95" s="53">
        <v>0</v>
      </c>
      <c r="N95" s="102" t="str">
        <f t="shared" si="22"/>
        <v/>
      </c>
      <c r="O95" s="103" t="str">
        <f t="shared" si="23"/>
        <v/>
      </c>
      <c r="P95" s="53">
        <v>0</v>
      </c>
      <c r="Q95" s="102" t="str">
        <f t="shared" si="24"/>
        <v/>
      </c>
      <c r="R95" s="103" t="str">
        <f t="shared" si="25"/>
        <v/>
      </c>
      <c r="S95" s="53">
        <v>0</v>
      </c>
      <c r="T95" s="102" t="str">
        <f t="shared" si="26"/>
        <v/>
      </c>
      <c r="U95" s="103" t="str">
        <f t="shared" si="27"/>
        <v/>
      </c>
      <c r="V95" s="53">
        <v>0</v>
      </c>
      <c r="W95" s="87" t="str">
        <f t="shared" si="28"/>
        <v/>
      </c>
      <c r="X95" s="103" t="str">
        <f t="shared" si="29"/>
        <v/>
      </c>
      <c r="Y95" s="53">
        <v>0</v>
      </c>
      <c r="Z95" s="56" t="str">
        <f t="shared" si="30"/>
        <v/>
      </c>
      <c r="AA95" s="56" t="str">
        <f t="shared" si="31"/>
        <v/>
      </c>
      <c r="AB95" s="56" t="str">
        <f t="shared" si="32"/>
        <v/>
      </c>
      <c r="AC95" s="56" t="str">
        <f t="shared" si="33"/>
        <v/>
      </c>
      <c r="AD95" s="56" t="str">
        <f t="shared" si="34"/>
        <v/>
      </c>
      <c r="AE95" s="40"/>
      <c r="AF95" s="40"/>
      <c r="AG95" s="40"/>
      <c r="AH95" s="56" t="str">
        <f t="shared" si="18"/>
        <v/>
      </c>
      <c r="AI95" s="54"/>
      <c r="AJ95" s="54"/>
      <c r="AK95" s="54"/>
      <c r="AL95" s="54"/>
      <c r="AM95" s="54"/>
    </row>
    <row r="96" spans="1:39">
      <c r="A96" s="45" t="str" cm="1">
        <f t="array" ref="A96">IF(H96="PROJECT", CHAR(10) &amp; "- " &amp; _xlfn.TEXTJOIN(CHAR(10) &amp; "- ", TRUE, _xlfn._xlws.FILTER($I$9:$I$1000, ($B$9:$B$1000=B96) * ($H$9:$H$1000="Topic"))), "")</f>
        <v/>
      </c>
      <c r="B96" s="45" t="str">
        <f t="shared" si="19"/>
        <v/>
      </c>
      <c r="C96" s="95"/>
      <c r="D96" s="57"/>
      <c r="E96" s="58"/>
      <c r="F96" s="54"/>
      <c r="G96" s="52"/>
      <c r="H96" s="52"/>
      <c r="I96" s="61"/>
      <c r="J96" s="62"/>
      <c r="K96" s="129" t="str">
        <f t="shared" si="20"/>
        <v/>
      </c>
      <c r="L96" s="103" t="str">
        <f t="shared" si="21"/>
        <v/>
      </c>
      <c r="M96" s="52">
        <v>0</v>
      </c>
      <c r="N96" s="102" t="str">
        <f t="shared" si="22"/>
        <v/>
      </c>
      <c r="O96" s="103" t="str">
        <f t="shared" si="23"/>
        <v/>
      </c>
      <c r="P96" s="52">
        <v>0</v>
      </c>
      <c r="Q96" s="102" t="str">
        <f t="shared" si="24"/>
        <v/>
      </c>
      <c r="R96" s="103" t="str">
        <f t="shared" si="25"/>
        <v/>
      </c>
      <c r="S96" s="52">
        <v>0</v>
      </c>
      <c r="T96" s="102" t="str">
        <f t="shared" si="26"/>
        <v/>
      </c>
      <c r="U96" s="103" t="str">
        <f t="shared" si="27"/>
        <v/>
      </c>
      <c r="V96" s="52">
        <v>0</v>
      </c>
      <c r="W96" s="87" t="str">
        <f t="shared" si="28"/>
        <v/>
      </c>
      <c r="X96" s="103" t="str">
        <f t="shared" si="29"/>
        <v/>
      </c>
      <c r="Y96" s="52">
        <v>0</v>
      </c>
      <c r="Z96" s="56" t="str">
        <f t="shared" si="30"/>
        <v/>
      </c>
      <c r="AA96" s="56" t="str">
        <f t="shared" si="31"/>
        <v/>
      </c>
      <c r="AB96" s="56" t="str">
        <f t="shared" si="32"/>
        <v/>
      </c>
      <c r="AC96" s="56" t="str">
        <f t="shared" si="33"/>
        <v/>
      </c>
      <c r="AD96" s="56" t="str">
        <f t="shared" si="34"/>
        <v/>
      </c>
      <c r="AE96" s="40"/>
      <c r="AF96" s="40"/>
      <c r="AG96" s="40"/>
      <c r="AH96" s="56" t="str">
        <f t="shared" si="18"/>
        <v/>
      </c>
      <c r="AI96" s="54"/>
      <c r="AJ96" s="54"/>
      <c r="AK96" s="54"/>
      <c r="AL96" s="54"/>
      <c r="AM96" s="54"/>
    </row>
    <row r="97" spans="1:39">
      <c r="A97" s="45" t="str" cm="1">
        <f t="array" ref="A97">IF(H97="PROJECT", CHAR(10) &amp; "- " &amp; _xlfn.TEXTJOIN(CHAR(10) &amp; "- ", TRUE, _xlfn._xlws.FILTER($I$9:$I$1000, ($B$9:$B$1000=B97) * ($H$9:$H$1000="Topic"))), "")</f>
        <v/>
      </c>
      <c r="B97" s="45" t="str">
        <f t="shared" si="19"/>
        <v/>
      </c>
      <c r="C97" s="95"/>
      <c r="D97" s="46"/>
      <c r="E97" s="58"/>
      <c r="F97" s="67"/>
      <c r="G97" s="53"/>
      <c r="H97" s="53"/>
      <c r="I97" s="50"/>
      <c r="J97" s="51"/>
      <c r="K97" s="129" t="str">
        <f t="shared" si="20"/>
        <v/>
      </c>
      <c r="L97" s="103" t="str">
        <f t="shared" si="21"/>
        <v/>
      </c>
      <c r="M97" s="53">
        <v>0</v>
      </c>
      <c r="N97" s="102" t="str">
        <f t="shared" si="22"/>
        <v/>
      </c>
      <c r="O97" s="103" t="str">
        <f t="shared" si="23"/>
        <v/>
      </c>
      <c r="P97" s="53">
        <v>0</v>
      </c>
      <c r="Q97" s="102" t="str">
        <f t="shared" si="24"/>
        <v/>
      </c>
      <c r="R97" s="103" t="str">
        <f t="shared" si="25"/>
        <v/>
      </c>
      <c r="S97" s="53">
        <v>0</v>
      </c>
      <c r="T97" s="102" t="str">
        <f t="shared" si="26"/>
        <v/>
      </c>
      <c r="U97" s="103" t="str">
        <f t="shared" si="27"/>
        <v/>
      </c>
      <c r="V97" s="53">
        <v>0</v>
      </c>
      <c r="W97" s="87" t="str">
        <f t="shared" si="28"/>
        <v/>
      </c>
      <c r="X97" s="103" t="str">
        <f t="shared" si="29"/>
        <v/>
      </c>
      <c r="Y97" s="53">
        <v>0</v>
      </c>
      <c r="Z97" s="56" t="str">
        <f t="shared" si="30"/>
        <v/>
      </c>
      <c r="AA97" s="56" t="str">
        <f t="shared" si="31"/>
        <v/>
      </c>
      <c r="AB97" s="56" t="str">
        <f t="shared" si="32"/>
        <v/>
      </c>
      <c r="AC97" s="56" t="str">
        <f t="shared" si="33"/>
        <v/>
      </c>
      <c r="AD97" s="56" t="str">
        <f t="shared" si="34"/>
        <v/>
      </c>
      <c r="AE97" s="40"/>
      <c r="AF97" s="40"/>
      <c r="AG97" s="40"/>
      <c r="AH97" s="56" t="str">
        <f t="shared" si="18"/>
        <v/>
      </c>
      <c r="AI97" s="54"/>
      <c r="AJ97" s="54"/>
      <c r="AK97" s="54"/>
      <c r="AL97" s="54"/>
      <c r="AM97" s="54"/>
    </row>
    <row r="98" spans="1:39">
      <c r="A98" s="45" t="str" cm="1">
        <f t="array" ref="A98">IF(H98="PROJECT", CHAR(10) &amp; "- " &amp; _xlfn.TEXTJOIN(CHAR(10) &amp; "- ", TRUE, _xlfn._xlws.FILTER($I$9:$I$1000, ($B$9:$B$1000=B98) * ($H$9:$H$1000="Topic"))), "")</f>
        <v/>
      </c>
      <c r="B98" s="45" t="str">
        <f t="shared" si="19"/>
        <v/>
      </c>
      <c r="C98" s="95"/>
      <c r="D98" s="57"/>
      <c r="E98" s="58"/>
      <c r="F98" s="54"/>
      <c r="G98" s="52"/>
      <c r="H98" s="52"/>
      <c r="I98" s="61"/>
      <c r="J98" s="62"/>
      <c r="K98" s="129" t="str">
        <f t="shared" si="20"/>
        <v/>
      </c>
      <c r="L98" s="103" t="str">
        <f t="shared" si="21"/>
        <v/>
      </c>
      <c r="M98" s="52">
        <v>0</v>
      </c>
      <c r="N98" s="102" t="str">
        <f t="shared" si="22"/>
        <v/>
      </c>
      <c r="O98" s="103" t="str">
        <f t="shared" si="23"/>
        <v/>
      </c>
      <c r="P98" s="52">
        <v>0</v>
      </c>
      <c r="Q98" s="102" t="str">
        <f t="shared" si="24"/>
        <v/>
      </c>
      <c r="R98" s="103" t="str">
        <f t="shared" si="25"/>
        <v/>
      </c>
      <c r="S98" s="52">
        <v>0</v>
      </c>
      <c r="T98" s="102" t="str">
        <f t="shared" si="26"/>
        <v/>
      </c>
      <c r="U98" s="103" t="str">
        <f t="shared" si="27"/>
        <v/>
      </c>
      <c r="V98" s="52">
        <v>0</v>
      </c>
      <c r="W98" s="87" t="str">
        <f t="shared" si="28"/>
        <v/>
      </c>
      <c r="X98" s="103" t="str">
        <f t="shared" si="29"/>
        <v/>
      </c>
      <c r="Y98" s="52">
        <v>0</v>
      </c>
      <c r="Z98" s="56" t="str">
        <f t="shared" si="30"/>
        <v/>
      </c>
      <c r="AA98" s="56" t="str">
        <f t="shared" si="31"/>
        <v/>
      </c>
      <c r="AB98" s="56" t="str">
        <f t="shared" si="32"/>
        <v/>
      </c>
      <c r="AC98" s="56" t="str">
        <f t="shared" si="33"/>
        <v/>
      </c>
      <c r="AD98" s="56" t="str">
        <f t="shared" si="34"/>
        <v/>
      </c>
      <c r="AE98" s="40"/>
      <c r="AF98" s="40"/>
      <c r="AG98" s="40"/>
      <c r="AH98" s="56" t="str">
        <f t="shared" si="18"/>
        <v/>
      </c>
      <c r="AI98" s="54"/>
      <c r="AJ98" s="54"/>
      <c r="AK98" s="54"/>
      <c r="AL98" s="54"/>
      <c r="AM98" s="54"/>
    </row>
    <row r="99" spans="1:39">
      <c r="A99" s="45" t="str" cm="1">
        <f t="array" ref="A99">IF(H99="PROJECT", CHAR(10) &amp; "- " &amp; _xlfn.TEXTJOIN(CHAR(10) &amp; "- ", TRUE, _xlfn._xlws.FILTER($I$9:$I$1000, ($B$9:$B$1000=B99) * ($H$9:$H$1000="Topic"))), "")</f>
        <v/>
      </c>
      <c r="B99" s="45" t="str">
        <f t="shared" si="19"/>
        <v/>
      </c>
      <c r="C99" s="95"/>
      <c r="D99" s="46"/>
      <c r="E99" s="58"/>
      <c r="F99" s="67"/>
      <c r="G99" s="53"/>
      <c r="H99" s="53"/>
      <c r="I99" s="50"/>
      <c r="J99" s="51"/>
      <c r="K99" s="129" t="str">
        <f t="shared" si="20"/>
        <v/>
      </c>
      <c r="L99" s="103" t="str">
        <f t="shared" si="21"/>
        <v/>
      </c>
      <c r="M99" s="53">
        <v>0</v>
      </c>
      <c r="N99" s="102" t="str">
        <f t="shared" si="22"/>
        <v/>
      </c>
      <c r="O99" s="103" t="str">
        <f t="shared" si="23"/>
        <v/>
      </c>
      <c r="P99" s="53">
        <v>0</v>
      </c>
      <c r="Q99" s="102" t="str">
        <f t="shared" si="24"/>
        <v/>
      </c>
      <c r="R99" s="103" t="str">
        <f t="shared" si="25"/>
        <v/>
      </c>
      <c r="S99" s="53">
        <v>0</v>
      </c>
      <c r="T99" s="102" t="str">
        <f t="shared" si="26"/>
        <v/>
      </c>
      <c r="U99" s="103" t="str">
        <f t="shared" si="27"/>
        <v/>
      </c>
      <c r="V99" s="53">
        <v>0</v>
      </c>
      <c r="W99" s="87" t="str">
        <f t="shared" si="28"/>
        <v/>
      </c>
      <c r="X99" s="103" t="str">
        <f t="shared" si="29"/>
        <v/>
      </c>
      <c r="Y99" s="53">
        <v>0</v>
      </c>
      <c r="Z99" s="56" t="str">
        <f t="shared" si="30"/>
        <v/>
      </c>
      <c r="AA99" s="56" t="str">
        <f t="shared" si="31"/>
        <v/>
      </c>
      <c r="AB99" s="56" t="str">
        <f t="shared" si="32"/>
        <v/>
      </c>
      <c r="AC99" s="56" t="str">
        <f t="shared" si="33"/>
        <v/>
      </c>
      <c r="AD99" s="56" t="str">
        <f t="shared" si="34"/>
        <v/>
      </c>
      <c r="AE99" s="40"/>
      <c r="AF99" s="40"/>
      <c r="AG99" s="40"/>
      <c r="AH99" s="56" t="str">
        <f t="shared" si="18"/>
        <v/>
      </c>
      <c r="AI99" s="54"/>
      <c r="AJ99" s="54"/>
      <c r="AK99" s="54"/>
      <c r="AL99" s="54"/>
      <c r="AM99" s="54"/>
    </row>
    <row r="100" spans="1:39">
      <c r="A100" s="45" t="str" cm="1">
        <f t="array" ref="A100">IF(H100="PROJECT", CHAR(10) &amp; "- " &amp; _xlfn.TEXTJOIN(CHAR(10) &amp; "- ", TRUE, _xlfn._xlws.FILTER($I$9:$I$1000, ($B$9:$B$1000=B100) * ($H$9:$H$1000="Topic"))), "")</f>
        <v/>
      </c>
      <c r="B100" s="45" t="str">
        <f t="shared" si="19"/>
        <v/>
      </c>
      <c r="C100" s="95"/>
      <c r="D100" s="57"/>
      <c r="E100" s="58"/>
      <c r="F100" s="54"/>
      <c r="G100" s="52"/>
      <c r="H100" s="52"/>
      <c r="I100" s="61"/>
      <c r="J100" s="62"/>
      <c r="K100" s="129" t="str">
        <f t="shared" si="20"/>
        <v/>
      </c>
      <c r="L100" s="103" t="str">
        <f t="shared" si="21"/>
        <v/>
      </c>
      <c r="M100" s="52">
        <v>0</v>
      </c>
      <c r="N100" s="102" t="str">
        <f t="shared" si="22"/>
        <v/>
      </c>
      <c r="O100" s="103" t="str">
        <f t="shared" si="23"/>
        <v/>
      </c>
      <c r="P100" s="52">
        <v>0</v>
      </c>
      <c r="Q100" s="102" t="str">
        <f t="shared" si="24"/>
        <v/>
      </c>
      <c r="R100" s="103" t="str">
        <f t="shared" si="25"/>
        <v/>
      </c>
      <c r="S100" s="52">
        <v>0</v>
      </c>
      <c r="T100" s="102" t="str">
        <f t="shared" si="26"/>
        <v/>
      </c>
      <c r="U100" s="103" t="str">
        <f t="shared" si="27"/>
        <v/>
      </c>
      <c r="V100" s="52">
        <v>0</v>
      </c>
      <c r="W100" s="87" t="str">
        <f t="shared" si="28"/>
        <v/>
      </c>
      <c r="X100" s="103" t="str">
        <f t="shared" si="29"/>
        <v/>
      </c>
      <c r="Y100" s="52">
        <v>0</v>
      </c>
      <c r="Z100" s="56" t="str">
        <f t="shared" si="30"/>
        <v/>
      </c>
      <c r="AA100" s="56" t="str">
        <f t="shared" si="31"/>
        <v/>
      </c>
      <c r="AB100" s="56" t="str">
        <f t="shared" si="32"/>
        <v/>
      </c>
      <c r="AC100" s="56" t="str">
        <f t="shared" si="33"/>
        <v/>
      </c>
      <c r="AD100" s="56" t="str">
        <f t="shared" si="34"/>
        <v/>
      </c>
      <c r="AE100" s="40"/>
      <c r="AF100" s="40"/>
      <c r="AG100" s="40"/>
      <c r="AH100" s="56" t="str">
        <f t="shared" si="18"/>
        <v/>
      </c>
      <c r="AI100" s="54"/>
      <c r="AJ100" s="54"/>
      <c r="AK100" s="54"/>
      <c r="AL100" s="54"/>
      <c r="AM100" s="54"/>
    </row>
    <row r="101" spans="1:39">
      <c r="A101" s="45" t="str" cm="1">
        <f t="array" ref="A101">IF(H101="PROJECT", CHAR(10) &amp; "- " &amp; _xlfn.TEXTJOIN(CHAR(10) &amp; "- ", TRUE, _xlfn._xlws.FILTER($I$9:$I$1000, ($B$9:$B$1000=B101) * ($H$9:$H$1000="Topic"))), "")</f>
        <v/>
      </c>
      <c r="B101" s="45" t="str">
        <f t="shared" si="19"/>
        <v/>
      </c>
      <c r="C101" s="95"/>
      <c r="D101" s="46"/>
      <c r="E101" s="58"/>
      <c r="F101" s="67"/>
      <c r="G101" s="53"/>
      <c r="H101" s="53"/>
      <c r="I101" s="50"/>
      <c r="J101" s="51"/>
      <c r="K101" s="129" t="str">
        <f t="shared" si="20"/>
        <v/>
      </c>
      <c r="L101" s="103" t="str">
        <f t="shared" si="21"/>
        <v/>
      </c>
      <c r="M101" s="53">
        <v>0</v>
      </c>
      <c r="N101" s="102" t="str">
        <f t="shared" si="22"/>
        <v/>
      </c>
      <c r="O101" s="103" t="str">
        <f t="shared" si="23"/>
        <v/>
      </c>
      <c r="P101" s="53">
        <v>0</v>
      </c>
      <c r="Q101" s="102" t="str">
        <f t="shared" si="24"/>
        <v/>
      </c>
      <c r="R101" s="103" t="str">
        <f t="shared" si="25"/>
        <v/>
      </c>
      <c r="S101" s="53">
        <v>0</v>
      </c>
      <c r="T101" s="102" t="str">
        <f t="shared" si="26"/>
        <v/>
      </c>
      <c r="U101" s="103" t="str">
        <f t="shared" si="27"/>
        <v/>
      </c>
      <c r="V101" s="53">
        <v>0</v>
      </c>
      <c r="W101" s="87" t="str">
        <f t="shared" si="28"/>
        <v/>
      </c>
      <c r="X101" s="103" t="str">
        <f t="shared" si="29"/>
        <v/>
      </c>
      <c r="Y101" s="53">
        <v>0</v>
      </c>
      <c r="Z101" s="56" t="str">
        <f t="shared" si="30"/>
        <v/>
      </c>
      <c r="AA101" s="56" t="str">
        <f t="shared" si="31"/>
        <v/>
      </c>
      <c r="AB101" s="56" t="str">
        <f t="shared" si="32"/>
        <v/>
      </c>
      <c r="AC101" s="56" t="str">
        <f t="shared" si="33"/>
        <v/>
      </c>
      <c r="AD101" s="56" t="str">
        <f t="shared" si="34"/>
        <v/>
      </c>
      <c r="AE101" s="40"/>
      <c r="AF101" s="40"/>
      <c r="AG101" s="40"/>
      <c r="AH101" s="56" t="str">
        <f t="shared" si="18"/>
        <v/>
      </c>
      <c r="AI101" s="54"/>
      <c r="AJ101" s="54"/>
      <c r="AK101" s="54"/>
      <c r="AL101" s="54"/>
      <c r="AM101" s="54"/>
    </row>
    <row r="102" spans="1:39">
      <c r="A102" s="45" t="str" cm="1">
        <f t="array" ref="A102">IF(H102="PROJECT", CHAR(10) &amp; "- " &amp; _xlfn.TEXTJOIN(CHAR(10) &amp; "- ", TRUE, _xlfn._xlws.FILTER($I$9:$I$1000, ($B$9:$B$1000=B102) * ($H$9:$H$1000="Topic"))), "")</f>
        <v/>
      </c>
      <c r="B102" s="45" t="str">
        <f t="shared" si="19"/>
        <v/>
      </c>
      <c r="C102" s="95"/>
      <c r="D102" s="57"/>
      <c r="E102" s="58"/>
      <c r="F102" s="54"/>
      <c r="G102" s="52"/>
      <c r="H102" s="52"/>
      <c r="I102" s="61"/>
      <c r="J102" s="62"/>
      <c r="K102" s="129" t="str">
        <f t="shared" si="20"/>
        <v/>
      </c>
      <c r="L102" s="103" t="str">
        <f t="shared" si="21"/>
        <v/>
      </c>
      <c r="M102" s="52">
        <v>0</v>
      </c>
      <c r="N102" s="102" t="str">
        <f t="shared" si="22"/>
        <v/>
      </c>
      <c r="O102" s="103" t="str">
        <f t="shared" si="23"/>
        <v/>
      </c>
      <c r="P102" s="52">
        <v>0</v>
      </c>
      <c r="Q102" s="102" t="str">
        <f t="shared" si="24"/>
        <v/>
      </c>
      <c r="R102" s="103" t="str">
        <f t="shared" si="25"/>
        <v/>
      </c>
      <c r="S102" s="52">
        <v>0</v>
      </c>
      <c r="T102" s="102" t="str">
        <f t="shared" si="26"/>
        <v/>
      </c>
      <c r="U102" s="103" t="str">
        <f t="shared" si="27"/>
        <v/>
      </c>
      <c r="V102" s="52">
        <v>0</v>
      </c>
      <c r="W102" s="87" t="str">
        <f t="shared" si="28"/>
        <v/>
      </c>
      <c r="X102" s="103" t="str">
        <f t="shared" si="29"/>
        <v/>
      </c>
      <c r="Y102" s="52">
        <v>0</v>
      </c>
      <c r="Z102" s="56" t="str">
        <f t="shared" si="30"/>
        <v/>
      </c>
      <c r="AA102" s="56" t="str">
        <f t="shared" si="31"/>
        <v/>
      </c>
      <c r="AB102" s="56" t="str">
        <f t="shared" si="32"/>
        <v/>
      </c>
      <c r="AC102" s="56" t="str">
        <f t="shared" si="33"/>
        <v/>
      </c>
      <c r="AD102" s="56" t="str">
        <f t="shared" si="34"/>
        <v/>
      </c>
      <c r="AE102" s="40"/>
      <c r="AF102" s="40"/>
      <c r="AG102" s="40"/>
      <c r="AH102" s="56" t="str">
        <f t="shared" si="18"/>
        <v/>
      </c>
      <c r="AI102" s="54"/>
      <c r="AJ102" s="54"/>
      <c r="AK102" s="54"/>
      <c r="AL102" s="54"/>
      <c r="AM102" s="54"/>
    </row>
    <row r="103" spans="1:39">
      <c r="A103" s="45" t="str" cm="1">
        <f t="array" ref="A103">IF(H103="PROJECT", CHAR(10) &amp; "- " &amp; _xlfn.TEXTJOIN(CHAR(10) &amp; "- ", TRUE, _xlfn._xlws.FILTER($I$9:$I$1000, ($B$9:$B$1000=B103) * ($H$9:$H$1000="Topic"))), "")</f>
        <v/>
      </c>
      <c r="B103" s="45" t="str">
        <f t="shared" si="19"/>
        <v/>
      </c>
      <c r="C103" s="95"/>
      <c r="D103" s="46"/>
      <c r="E103" s="58"/>
      <c r="F103" s="67"/>
      <c r="G103" s="53"/>
      <c r="H103" s="53"/>
      <c r="I103" s="50"/>
      <c r="J103" s="51"/>
      <c r="K103" s="129" t="str">
        <f t="shared" si="20"/>
        <v/>
      </c>
      <c r="L103" s="103" t="str">
        <f t="shared" si="21"/>
        <v/>
      </c>
      <c r="M103" s="53">
        <v>0</v>
      </c>
      <c r="N103" s="102" t="str">
        <f t="shared" si="22"/>
        <v/>
      </c>
      <c r="O103" s="103" t="str">
        <f t="shared" si="23"/>
        <v/>
      </c>
      <c r="P103" s="53">
        <v>0</v>
      </c>
      <c r="Q103" s="102" t="str">
        <f t="shared" si="24"/>
        <v/>
      </c>
      <c r="R103" s="103" t="str">
        <f t="shared" si="25"/>
        <v/>
      </c>
      <c r="S103" s="53">
        <v>0</v>
      </c>
      <c r="T103" s="102" t="str">
        <f t="shared" si="26"/>
        <v/>
      </c>
      <c r="U103" s="103" t="str">
        <f t="shared" si="27"/>
        <v/>
      </c>
      <c r="V103" s="53">
        <v>0</v>
      </c>
      <c r="W103" s="87" t="str">
        <f t="shared" si="28"/>
        <v/>
      </c>
      <c r="X103" s="103" t="str">
        <f t="shared" si="29"/>
        <v/>
      </c>
      <c r="Y103" s="53">
        <v>0</v>
      </c>
      <c r="Z103" s="56" t="str">
        <f t="shared" si="30"/>
        <v/>
      </c>
      <c r="AA103" s="56" t="str">
        <f t="shared" si="31"/>
        <v/>
      </c>
      <c r="AB103" s="56" t="str">
        <f t="shared" si="32"/>
        <v/>
      </c>
      <c r="AC103" s="56" t="str">
        <f t="shared" si="33"/>
        <v/>
      </c>
      <c r="AD103" s="56" t="str">
        <f t="shared" si="34"/>
        <v/>
      </c>
      <c r="AE103" s="40"/>
      <c r="AF103" s="40"/>
      <c r="AG103" s="40"/>
      <c r="AH103" s="56" t="str">
        <f t="shared" si="18"/>
        <v/>
      </c>
      <c r="AI103" s="54"/>
      <c r="AJ103" s="54"/>
      <c r="AK103" s="54"/>
      <c r="AL103" s="54"/>
      <c r="AM103" s="54"/>
    </row>
    <row r="104" spans="1:39">
      <c r="A104" s="45" t="str" cm="1">
        <f t="array" ref="A104">IF(H104="PROJECT", CHAR(10) &amp; "- " &amp; _xlfn.TEXTJOIN(CHAR(10) &amp; "- ", TRUE, _xlfn._xlws.FILTER($I$9:$I$1000, ($B$9:$B$1000=B104) * ($H$9:$H$1000="Topic"))), "")</f>
        <v/>
      </c>
      <c r="B104" s="45" t="str">
        <f t="shared" si="19"/>
        <v/>
      </c>
      <c r="C104" s="95"/>
      <c r="D104" s="57"/>
      <c r="E104" s="58"/>
      <c r="F104" s="54"/>
      <c r="G104" s="52"/>
      <c r="H104" s="52"/>
      <c r="I104" s="61"/>
      <c r="J104" s="62"/>
      <c r="K104" s="129" t="str">
        <f t="shared" si="20"/>
        <v/>
      </c>
      <c r="L104" s="103" t="str">
        <f t="shared" si="21"/>
        <v/>
      </c>
      <c r="M104" s="52">
        <v>0</v>
      </c>
      <c r="N104" s="102" t="str">
        <f t="shared" si="22"/>
        <v/>
      </c>
      <c r="O104" s="103" t="str">
        <f t="shared" si="23"/>
        <v/>
      </c>
      <c r="P104" s="52">
        <v>0</v>
      </c>
      <c r="Q104" s="102" t="str">
        <f t="shared" si="24"/>
        <v/>
      </c>
      <c r="R104" s="103" t="str">
        <f t="shared" si="25"/>
        <v/>
      </c>
      <c r="S104" s="52">
        <v>0</v>
      </c>
      <c r="T104" s="102" t="str">
        <f t="shared" si="26"/>
        <v/>
      </c>
      <c r="U104" s="103" t="str">
        <f t="shared" si="27"/>
        <v/>
      </c>
      <c r="V104" s="52">
        <v>0</v>
      </c>
      <c r="W104" s="87" t="str">
        <f t="shared" si="28"/>
        <v/>
      </c>
      <c r="X104" s="103" t="str">
        <f t="shared" si="29"/>
        <v/>
      </c>
      <c r="Y104" s="52">
        <v>0</v>
      </c>
      <c r="Z104" s="56" t="str">
        <f t="shared" si="30"/>
        <v/>
      </c>
      <c r="AA104" s="56" t="str">
        <f t="shared" si="31"/>
        <v/>
      </c>
      <c r="AB104" s="56" t="str">
        <f t="shared" si="32"/>
        <v/>
      </c>
      <c r="AC104" s="56" t="str">
        <f t="shared" si="33"/>
        <v/>
      </c>
      <c r="AD104" s="56" t="str">
        <f t="shared" si="34"/>
        <v/>
      </c>
      <c r="AE104" s="40"/>
      <c r="AF104" s="40"/>
      <c r="AG104" s="40"/>
      <c r="AH104" s="56" t="str">
        <f t="shared" si="18"/>
        <v/>
      </c>
      <c r="AI104" s="54"/>
      <c r="AJ104" s="54"/>
      <c r="AK104" s="54"/>
      <c r="AL104" s="54"/>
      <c r="AM104" s="54"/>
    </row>
    <row r="105" spans="1:39">
      <c r="A105" s="45" t="str" cm="1">
        <f t="array" ref="A105">IF(H105="PROJECT", CHAR(10) &amp; "- " &amp; _xlfn.TEXTJOIN(CHAR(10) &amp; "- ", TRUE, _xlfn._xlws.FILTER($I$9:$I$1000, ($B$9:$B$1000=B105) * ($H$9:$H$1000="Topic"))), "")</f>
        <v/>
      </c>
      <c r="B105" s="45" t="str">
        <f t="shared" si="19"/>
        <v/>
      </c>
      <c r="C105" s="95"/>
      <c r="D105" s="46"/>
      <c r="E105" s="58"/>
      <c r="F105" s="67"/>
      <c r="G105" s="53"/>
      <c r="H105" s="53"/>
      <c r="I105" s="50"/>
      <c r="J105" s="51"/>
      <c r="K105" s="129" t="str">
        <f t="shared" si="20"/>
        <v/>
      </c>
      <c r="L105" s="103" t="str">
        <f t="shared" si="21"/>
        <v/>
      </c>
      <c r="M105" s="53">
        <v>0</v>
      </c>
      <c r="N105" s="102" t="str">
        <f t="shared" si="22"/>
        <v/>
      </c>
      <c r="O105" s="103" t="str">
        <f t="shared" si="23"/>
        <v/>
      </c>
      <c r="P105" s="53">
        <v>0</v>
      </c>
      <c r="Q105" s="102" t="str">
        <f t="shared" si="24"/>
        <v/>
      </c>
      <c r="R105" s="103" t="str">
        <f t="shared" si="25"/>
        <v/>
      </c>
      <c r="S105" s="53">
        <v>0</v>
      </c>
      <c r="T105" s="102" t="str">
        <f t="shared" si="26"/>
        <v/>
      </c>
      <c r="U105" s="103" t="str">
        <f t="shared" si="27"/>
        <v/>
      </c>
      <c r="V105" s="53">
        <v>0</v>
      </c>
      <c r="W105" s="87" t="str">
        <f t="shared" si="28"/>
        <v/>
      </c>
      <c r="X105" s="103" t="str">
        <f t="shared" si="29"/>
        <v/>
      </c>
      <c r="Y105" s="53">
        <v>0</v>
      </c>
      <c r="Z105" s="56" t="str">
        <f t="shared" si="30"/>
        <v/>
      </c>
      <c r="AA105" s="56" t="str">
        <f t="shared" si="31"/>
        <v/>
      </c>
      <c r="AB105" s="56" t="str">
        <f t="shared" si="32"/>
        <v/>
      </c>
      <c r="AC105" s="56" t="str">
        <f t="shared" si="33"/>
        <v/>
      </c>
      <c r="AD105" s="56" t="str">
        <f t="shared" si="34"/>
        <v/>
      </c>
      <c r="AE105" s="40"/>
      <c r="AF105" s="40"/>
      <c r="AG105" s="40"/>
      <c r="AH105" s="56" t="str">
        <f t="shared" ref="AH105:AH136" si="35">IF(AE105=$B$6,AG105,"")</f>
        <v/>
      </c>
      <c r="AI105" s="54"/>
      <c r="AJ105" s="54"/>
      <c r="AK105" s="54"/>
      <c r="AL105" s="54"/>
      <c r="AM105" s="54"/>
    </row>
    <row r="106" spans="1:39">
      <c r="A106" s="45" t="str" cm="1">
        <f t="array" ref="A106">IF(H106="PROJECT", CHAR(10) &amp; "- " &amp; _xlfn.TEXTJOIN(CHAR(10) &amp; "- ", TRUE, _xlfn._xlws.FILTER($I$9:$I$1000, ($B$9:$B$1000=B106) * ($H$9:$H$1000="Topic"))), "")</f>
        <v/>
      </c>
      <c r="B106" s="45" t="str">
        <f t="shared" si="19"/>
        <v/>
      </c>
      <c r="C106" s="95"/>
      <c r="D106" s="57"/>
      <c r="E106" s="58"/>
      <c r="F106" s="54"/>
      <c r="G106" s="52"/>
      <c r="H106" s="52"/>
      <c r="I106" s="61"/>
      <c r="J106" s="62"/>
      <c r="K106" s="129" t="str">
        <f t="shared" si="20"/>
        <v/>
      </c>
      <c r="L106" s="103" t="str">
        <f t="shared" si="21"/>
        <v/>
      </c>
      <c r="M106" s="52">
        <v>0</v>
      </c>
      <c r="N106" s="102" t="str">
        <f t="shared" si="22"/>
        <v/>
      </c>
      <c r="O106" s="103" t="str">
        <f t="shared" si="23"/>
        <v/>
      </c>
      <c r="P106" s="52">
        <v>0</v>
      </c>
      <c r="Q106" s="102" t="str">
        <f t="shared" si="24"/>
        <v/>
      </c>
      <c r="R106" s="103" t="str">
        <f t="shared" si="25"/>
        <v/>
      </c>
      <c r="S106" s="52">
        <v>0</v>
      </c>
      <c r="T106" s="102" t="str">
        <f t="shared" si="26"/>
        <v/>
      </c>
      <c r="U106" s="103" t="str">
        <f t="shared" si="27"/>
        <v/>
      </c>
      <c r="V106" s="52">
        <v>0</v>
      </c>
      <c r="W106" s="87" t="str">
        <f t="shared" si="28"/>
        <v/>
      </c>
      <c r="X106" s="103" t="str">
        <f t="shared" si="29"/>
        <v/>
      </c>
      <c r="Y106" s="52">
        <v>0</v>
      </c>
      <c r="Z106" s="56" t="str">
        <f t="shared" si="30"/>
        <v/>
      </c>
      <c r="AA106" s="56" t="str">
        <f t="shared" si="31"/>
        <v/>
      </c>
      <c r="AB106" s="56" t="str">
        <f t="shared" si="32"/>
        <v/>
      </c>
      <c r="AC106" s="56" t="str">
        <f t="shared" si="33"/>
        <v/>
      </c>
      <c r="AD106" s="56" t="str">
        <f t="shared" si="34"/>
        <v/>
      </c>
      <c r="AE106" s="40"/>
      <c r="AF106" s="40"/>
      <c r="AG106" s="40"/>
      <c r="AH106" s="56" t="str">
        <f t="shared" si="35"/>
        <v/>
      </c>
      <c r="AI106" s="54"/>
      <c r="AJ106" s="54"/>
      <c r="AK106" s="54"/>
      <c r="AL106" s="54"/>
      <c r="AM106" s="54"/>
    </row>
    <row r="107" spans="1:39">
      <c r="A107" s="45" t="str" cm="1">
        <f t="array" ref="A107">IF(H107="PROJECT", CHAR(10) &amp; "- " &amp; _xlfn.TEXTJOIN(CHAR(10) &amp; "- ", TRUE, _xlfn._xlws.FILTER($I$9:$I$1000, ($B$9:$B$1000=B107) * ($H$9:$H$1000="Topic"))), "")</f>
        <v/>
      </c>
      <c r="B107" s="45" t="str">
        <f t="shared" si="19"/>
        <v/>
      </c>
      <c r="C107" s="95"/>
      <c r="D107" s="46"/>
      <c r="E107" s="58"/>
      <c r="F107" s="67"/>
      <c r="G107" s="53"/>
      <c r="H107" s="53"/>
      <c r="I107" s="50"/>
      <c r="J107" s="51"/>
      <c r="K107" s="129" t="str">
        <f t="shared" si="20"/>
        <v/>
      </c>
      <c r="L107" s="103" t="str">
        <f t="shared" si="21"/>
        <v/>
      </c>
      <c r="M107" s="53">
        <v>0</v>
      </c>
      <c r="N107" s="102" t="str">
        <f t="shared" si="22"/>
        <v/>
      </c>
      <c r="O107" s="103" t="str">
        <f t="shared" si="23"/>
        <v/>
      </c>
      <c r="P107" s="53">
        <v>0</v>
      </c>
      <c r="Q107" s="102" t="str">
        <f t="shared" si="24"/>
        <v/>
      </c>
      <c r="R107" s="103" t="str">
        <f t="shared" si="25"/>
        <v/>
      </c>
      <c r="S107" s="53">
        <v>0</v>
      </c>
      <c r="T107" s="102" t="str">
        <f t="shared" si="26"/>
        <v/>
      </c>
      <c r="U107" s="103" t="str">
        <f t="shared" si="27"/>
        <v/>
      </c>
      <c r="V107" s="53">
        <v>0</v>
      </c>
      <c r="W107" s="87" t="str">
        <f t="shared" si="28"/>
        <v/>
      </c>
      <c r="X107" s="103" t="str">
        <f t="shared" si="29"/>
        <v/>
      </c>
      <c r="Y107" s="53">
        <v>0</v>
      </c>
      <c r="Z107" s="56" t="str">
        <f t="shared" si="30"/>
        <v/>
      </c>
      <c r="AA107" s="56" t="str">
        <f t="shared" si="31"/>
        <v/>
      </c>
      <c r="AB107" s="56" t="str">
        <f t="shared" si="32"/>
        <v/>
      </c>
      <c r="AC107" s="56" t="str">
        <f t="shared" si="33"/>
        <v/>
      </c>
      <c r="AD107" s="56" t="str">
        <f t="shared" si="34"/>
        <v/>
      </c>
      <c r="AE107" s="40"/>
      <c r="AF107" s="40"/>
      <c r="AG107" s="40"/>
      <c r="AH107" s="56" t="str">
        <f t="shared" si="35"/>
        <v/>
      </c>
      <c r="AI107" s="54"/>
      <c r="AJ107" s="54"/>
      <c r="AK107" s="54"/>
      <c r="AL107" s="54"/>
      <c r="AM107" s="54"/>
    </row>
    <row r="108" spans="1:39">
      <c r="A108" s="45" t="str" cm="1">
        <f t="array" ref="A108">IF(H108="PROJECT", CHAR(10) &amp; "- " &amp; _xlfn.TEXTJOIN(CHAR(10) &amp; "- ", TRUE, _xlfn._xlws.FILTER($I$9:$I$1000, ($B$9:$B$1000=B108) * ($H$9:$H$1000="Topic"))), "")</f>
        <v/>
      </c>
      <c r="B108" s="45" t="str">
        <f t="shared" si="19"/>
        <v/>
      </c>
      <c r="C108" s="95"/>
      <c r="D108" s="57"/>
      <c r="E108" s="58"/>
      <c r="F108" s="54"/>
      <c r="G108" s="52"/>
      <c r="H108" s="52"/>
      <c r="I108" s="61"/>
      <c r="J108" s="62"/>
      <c r="K108" s="129" t="str">
        <f t="shared" si="20"/>
        <v/>
      </c>
      <c r="L108" s="103" t="str">
        <f t="shared" si="21"/>
        <v/>
      </c>
      <c r="M108" s="52">
        <v>0</v>
      </c>
      <c r="N108" s="102" t="str">
        <f t="shared" si="22"/>
        <v/>
      </c>
      <c r="O108" s="103" t="str">
        <f t="shared" si="23"/>
        <v/>
      </c>
      <c r="P108" s="52">
        <v>0</v>
      </c>
      <c r="Q108" s="102" t="str">
        <f t="shared" si="24"/>
        <v/>
      </c>
      <c r="R108" s="103" t="str">
        <f t="shared" si="25"/>
        <v/>
      </c>
      <c r="S108" s="52">
        <v>0</v>
      </c>
      <c r="T108" s="102" t="str">
        <f t="shared" si="26"/>
        <v/>
      </c>
      <c r="U108" s="103" t="str">
        <f t="shared" si="27"/>
        <v/>
      </c>
      <c r="V108" s="52">
        <v>0</v>
      </c>
      <c r="W108" s="87" t="str">
        <f t="shared" si="28"/>
        <v/>
      </c>
      <c r="X108" s="103" t="str">
        <f t="shared" si="29"/>
        <v/>
      </c>
      <c r="Y108" s="52">
        <v>0</v>
      </c>
      <c r="Z108" s="56" t="str">
        <f t="shared" si="30"/>
        <v/>
      </c>
      <c r="AA108" s="56" t="str">
        <f t="shared" si="31"/>
        <v/>
      </c>
      <c r="AB108" s="56" t="str">
        <f t="shared" si="32"/>
        <v/>
      </c>
      <c r="AC108" s="56" t="str">
        <f t="shared" si="33"/>
        <v/>
      </c>
      <c r="AD108" s="56" t="str">
        <f t="shared" si="34"/>
        <v/>
      </c>
      <c r="AE108" s="40"/>
      <c r="AF108" s="40"/>
      <c r="AG108" s="40"/>
      <c r="AH108" s="56" t="str">
        <f t="shared" si="35"/>
        <v/>
      </c>
      <c r="AI108" s="54"/>
      <c r="AJ108" s="54"/>
      <c r="AK108" s="54"/>
      <c r="AL108" s="54"/>
      <c r="AM108" s="54"/>
    </row>
    <row r="109" spans="1:39">
      <c r="A109" s="45" t="str" cm="1">
        <f t="array" ref="A109">IF(H109="PROJECT", CHAR(10) &amp; "- " &amp; _xlfn.TEXTJOIN(CHAR(10) &amp; "- ", TRUE, _xlfn._xlws.FILTER($I$9:$I$1000, ($B$9:$B$1000=B109) * ($H$9:$H$1000="Topic"))), "")</f>
        <v/>
      </c>
      <c r="B109" s="45" t="str">
        <f t="shared" si="19"/>
        <v/>
      </c>
      <c r="C109" s="95"/>
      <c r="D109" s="46"/>
      <c r="E109" s="58"/>
      <c r="F109" s="67"/>
      <c r="G109" s="53"/>
      <c r="H109" s="53"/>
      <c r="I109" s="50"/>
      <c r="J109" s="51"/>
      <c r="K109" s="129" t="str">
        <f t="shared" si="20"/>
        <v/>
      </c>
      <c r="L109" s="103" t="str">
        <f t="shared" si="21"/>
        <v/>
      </c>
      <c r="M109" s="53">
        <v>0</v>
      </c>
      <c r="N109" s="102" t="str">
        <f t="shared" si="22"/>
        <v/>
      </c>
      <c r="O109" s="103" t="str">
        <f t="shared" si="23"/>
        <v/>
      </c>
      <c r="P109" s="53">
        <v>0</v>
      </c>
      <c r="Q109" s="102" t="str">
        <f t="shared" si="24"/>
        <v/>
      </c>
      <c r="R109" s="103" t="str">
        <f t="shared" si="25"/>
        <v/>
      </c>
      <c r="S109" s="53">
        <v>0</v>
      </c>
      <c r="T109" s="102" t="str">
        <f t="shared" si="26"/>
        <v/>
      </c>
      <c r="U109" s="103" t="str">
        <f t="shared" si="27"/>
        <v/>
      </c>
      <c r="V109" s="53">
        <v>0</v>
      </c>
      <c r="W109" s="87" t="str">
        <f t="shared" si="28"/>
        <v/>
      </c>
      <c r="X109" s="103" t="str">
        <f t="shared" si="29"/>
        <v/>
      </c>
      <c r="Y109" s="53">
        <v>0</v>
      </c>
      <c r="Z109" s="56" t="str">
        <f t="shared" si="30"/>
        <v/>
      </c>
      <c r="AA109" s="56" t="str">
        <f t="shared" si="31"/>
        <v/>
      </c>
      <c r="AB109" s="56" t="str">
        <f t="shared" si="32"/>
        <v/>
      </c>
      <c r="AC109" s="56" t="str">
        <f t="shared" si="33"/>
        <v/>
      </c>
      <c r="AD109" s="56" t="str">
        <f t="shared" si="34"/>
        <v/>
      </c>
      <c r="AE109" s="40"/>
      <c r="AF109" s="40"/>
      <c r="AG109" s="40"/>
      <c r="AH109" s="56" t="str">
        <f t="shared" si="35"/>
        <v/>
      </c>
      <c r="AI109" s="54"/>
      <c r="AJ109" s="54"/>
      <c r="AK109" s="54"/>
      <c r="AL109" s="54"/>
      <c r="AM109" s="54"/>
    </row>
    <row r="110" spans="1:39">
      <c r="A110" s="45" t="str" cm="1">
        <f t="array" ref="A110">IF(H110="PROJECT", CHAR(10) &amp; "- " &amp; _xlfn.TEXTJOIN(CHAR(10) &amp; "- ", TRUE, _xlfn._xlws.FILTER($I$9:$I$1000, ($B$9:$B$1000=B110) * ($H$9:$H$1000="Topic"))), "")</f>
        <v/>
      </c>
      <c r="B110" s="45" t="str">
        <f t="shared" si="19"/>
        <v/>
      </c>
      <c r="C110" s="95"/>
      <c r="D110" s="57"/>
      <c r="E110" s="58"/>
      <c r="F110" s="54"/>
      <c r="G110" s="52"/>
      <c r="H110" s="52"/>
      <c r="I110" s="61"/>
      <c r="J110" s="62"/>
      <c r="K110" s="129" t="str">
        <f t="shared" si="20"/>
        <v/>
      </c>
      <c r="L110" s="103" t="str">
        <f t="shared" si="21"/>
        <v/>
      </c>
      <c r="M110" s="52">
        <v>0</v>
      </c>
      <c r="N110" s="102" t="str">
        <f t="shared" si="22"/>
        <v/>
      </c>
      <c r="O110" s="103" t="str">
        <f t="shared" si="23"/>
        <v/>
      </c>
      <c r="P110" s="52">
        <v>0</v>
      </c>
      <c r="Q110" s="102" t="str">
        <f t="shared" si="24"/>
        <v/>
      </c>
      <c r="R110" s="103" t="str">
        <f t="shared" si="25"/>
        <v/>
      </c>
      <c r="S110" s="52">
        <v>0</v>
      </c>
      <c r="T110" s="102" t="str">
        <f t="shared" si="26"/>
        <v/>
      </c>
      <c r="U110" s="103" t="str">
        <f t="shared" si="27"/>
        <v/>
      </c>
      <c r="V110" s="52">
        <v>0</v>
      </c>
      <c r="W110" s="87" t="str">
        <f t="shared" si="28"/>
        <v/>
      </c>
      <c r="X110" s="103" t="str">
        <f t="shared" si="29"/>
        <v/>
      </c>
      <c r="Y110" s="52">
        <v>0</v>
      </c>
      <c r="Z110" s="56" t="str">
        <f t="shared" si="30"/>
        <v/>
      </c>
      <c r="AA110" s="56" t="str">
        <f t="shared" si="31"/>
        <v/>
      </c>
      <c r="AB110" s="56" t="str">
        <f t="shared" si="32"/>
        <v/>
      </c>
      <c r="AC110" s="56" t="str">
        <f t="shared" si="33"/>
        <v/>
      </c>
      <c r="AD110" s="56" t="str">
        <f t="shared" si="34"/>
        <v/>
      </c>
      <c r="AE110" s="40"/>
      <c r="AF110" s="40"/>
      <c r="AG110" s="40"/>
      <c r="AH110" s="56" t="str">
        <f t="shared" si="35"/>
        <v/>
      </c>
      <c r="AI110" s="54"/>
      <c r="AJ110" s="54"/>
      <c r="AK110" s="54"/>
      <c r="AL110" s="54"/>
      <c r="AM110" s="54"/>
    </row>
    <row r="111" spans="1:39">
      <c r="A111" s="45" t="str" cm="1">
        <f t="array" ref="A111">IF(H111="PROJECT", CHAR(10) &amp; "- " &amp; _xlfn.TEXTJOIN(CHAR(10) &amp; "- ", TRUE, _xlfn._xlws.FILTER($I$9:$I$1000, ($B$9:$B$1000=B111) * ($H$9:$H$1000="Topic"))), "")</f>
        <v/>
      </c>
      <c r="B111" s="45" t="str">
        <f t="shared" si="19"/>
        <v/>
      </c>
      <c r="C111" s="95"/>
      <c r="D111" s="46"/>
      <c r="E111" s="58"/>
      <c r="F111" s="67"/>
      <c r="G111" s="53"/>
      <c r="H111" s="53"/>
      <c r="I111" s="50"/>
      <c r="J111" s="51"/>
      <c r="K111" s="129" t="str">
        <f t="shared" si="20"/>
        <v/>
      </c>
      <c r="L111" s="103" t="str">
        <f t="shared" si="21"/>
        <v/>
      </c>
      <c r="M111" s="53">
        <v>0</v>
      </c>
      <c r="N111" s="102" t="str">
        <f t="shared" si="22"/>
        <v/>
      </c>
      <c r="O111" s="103" t="str">
        <f t="shared" si="23"/>
        <v/>
      </c>
      <c r="P111" s="53">
        <v>0</v>
      </c>
      <c r="Q111" s="102" t="str">
        <f t="shared" si="24"/>
        <v/>
      </c>
      <c r="R111" s="103" t="str">
        <f t="shared" si="25"/>
        <v/>
      </c>
      <c r="S111" s="53">
        <v>0</v>
      </c>
      <c r="T111" s="102" t="str">
        <f t="shared" si="26"/>
        <v/>
      </c>
      <c r="U111" s="103" t="str">
        <f t="shared" si="27"/>
        <v/>
      </c>
      <c r="V111" s="53">
        <v>0</v>
      </c>
      <c r="W111" s="87" t="str">
        <f t="shared" si="28"/>
        <v/>
      </c>
      <c r="X111" s="103" t="str">
        <f t="shared" si="29"/>
        <v/>
      </c>
      <c r="Y111" s="53">
        <v>0</v>
      </c>
      <c r="Z111" s="56" t="str">
        <f t="shared" si="30"/>
        <v/>
      </c>
      <c r="AA111" s="56" t="str">
        <f t="shared" si="31"/>
        <v/>
      </c>
      <c r="AB111" s="56" t="str">
        <f t="shared" si="32"/>
        <v/>
      </c>
      <c r="AC111" s="56" t="str">
        <f t="shared" si="33"/>
        <v/>
      </c>
      <c r="AD111" s="56" t="str">
        <f t="shared" si="34"/>
        <v/>
      </c>
      <c r="AE111" s="40"/>
      <c r="AF111" s="40"/>
      <c r="AG111" s="40"/>
      <c r="AH111" s="56" t="str">
        <f t="shared" si="35"/>
        <v/>
      </c>
      <c r="AI111" s="54"/>
      <c r="AJ111" s="54"/>
      <c r="AK111" s="54"/>
      <c r="AL111" s="54"/>
      <c r="AM111" s="54"/>
    </row>
    <row r="112" spans="1:39">
      <c r="A112" s="45" t="str" cm="1">
        <f t="array" ref="A112">IF(H112="PROJECT", CHAR(10) &amp; "- " &amp; _xlfn.TEXTJOIN(CHAR(10) &amp; "- ", TRUE, _xlfn._xlws.FILTER($I$9:$I$1000, ($B$9:$B$1000=B112) * ($H$9:$H$1000="Topic"))), "")</f>
        <v/>
      </c>
      <c r="B112" s="45" t="str">
        <f t="shared" si="19"/>
        <v/>
      </c>
      <c r="C112" s="95"/>
      <c r="D112" s="57"/>
      <c r="E112" s="58"/>
      <c r="F112" s="54"/>
      <c r="G112" s="52"/>
      <c r="H112" s="52"/>
      <c r="I112" s="61"/>
      <c r="J112" s="62"/>
      <c r="K112" s="129" t="str">
        <f t="shared" si="20"/>
        <v/>
      </c>
      <c r="L112" s="103" t="str">
        <f t="shared" si="21"/>
        <v/>
      </c>
      <c r="M112" s="52">
        <v>0</v>
      </c>
      <c r="N112" s="102" t="str">
        <f t="shared" si="22"/>
        <v/>
      </c>
      <c r="O112" s="103" t="str">
        <f t="shared" si="23"/>
        <v/>
      </c>
      <c r="P112" s="52">
        <v>0</v>
      </c>
      <c r="Q112" s="102" t="str">
        <f t="shared" si="24"/>
        <v/>
      </c>
      <c r="R112" s="103" t="str">
        <f t="shared" si="25"/>
        <v/>
      </c>
      <c r="S112" s="52">
        <v>0</v>
      </c>
      <c r="T112" s="102" t="str">
        <f t="shared" si="26"/>
        <v/>
      </c>
      <c r="U112" s="103" t="str">
        <f t="shared" si="27"/>
        <v/>
      </c>
      <c r="V112" s="52">
        <v>0</v>
      </c>
      <c r="W112" s="87" t="str">
        <f t="shared" si="28"/>
        <v/>
      </c>
      <c r="X112" s="103" t="str">
        <f t="shared" si="29"/>
        <v/>
      </c>
      <c r="Y112" s="52">
        <v>0</v>
      </c>
      <c r="Z112" s="56" t="str">
        <f t="shared" si="30"/>
        <v/>
      </c>
      <c r="AA112" s="56" t="str">
        <f t="shared" si="31"/>
        <v/>
      </c>
      <c r="AB112" s="56" t="str">
        <f t="shared" si="32"/>
        <v/>
      </c>
      <c r="AC112" s="56" t="str">
        <f t="shared" si="33"/>
        <v/>
      </c>
      <c r="AD112" s="56" t="str">
        <f t="shared" si="34"/>
        <v/>
      </c>
      <c r="AE112" s="40"/>
      <c r="AF112" s="40"/>
      <c r="AG112" s="40"/>
      <c r="AH112" s="56" t="str">
        <f t="shared" si="35"/>
        <v/>
      </c>
      <c r="AI112" s="54"/>
      <c r="AJ112" s="54"/>
      <c r="AK112" s="54"/>
      <c r="AL112" s="54"/>
      <c r="AM112" s="54"/>
    </row>
    <row r="113" spans="1:39">
      <c r="A113" s="45" t="str" cm="1">
        <f t="array" ref="A113">IF(H113="PROJECT", CHAR(10) &amp; "- " &amp; _xlfn.TEXTJOIN(CHAR(10) &amp; "- ", TRUE, _xlfn._xlws.FILTER($I$9:$I$1000, ($B$9:$B$1000=B113) * ($H$9:$H$1000="Topic"))), "")</f>
        <v/>
      </c>
      <c r="B113" s="45" t="str">
        <f t="shared" si="19"/>
        <v/>
      </c>
      <c r="C113" s="95"/>
      <c r="D113" s="46"/>
      <c r="E113" s="58"/>
      <c r="F113" s="67"/>
      <c r="G113" s="53"/>
      <c r="H113" s="53"/>
      <c r="I113" s="50"/>
      <c r="J113" s="51"/>
      <c r="K113" s="129" t="str">
        <f t="shared" si="20"/>
        <v/>
      </c>
      <c r="L113" s="103" t="str">
        <f t="shared" si="21"/>
        <v/>
      </c>
      <c r="M113" s="53">
        <v>0</v>
      </c>
      <c r="N113" s="102" t="str">
        <f t="shared" si="22"/>
        <v/>
      </c>
      <c r="O113" s="103" t="str">
        <f t="shared" si="23"/>
        <v/>
      </c>
      <c r="P113" s="53">
        <v>0</v>
      </c>
      <c r="Q113" s="102" t="str">
        <f t="shared" si="24"/>
        <v/>
      </c>
      <c r="R113" s="103" t="str">
        <f t="shared" si="25"/>
        <v/>
      </c>
      <c r="S113" s="53">
        <v>0</v>
      </c>
      <c r="T113" s="102" t="str">
        <f t="shared" si="26"/>
        <v/>
      </c>
      <c r="U113" s="103" t="str">
        <f t="shared" si="27"/>
        <v/>
      </c>
      <c r="V113" s="53">
        <v>0</v>
      </c>
      <c r="W113" s="87" t="str">
        <f t="shared" si="28"/>
        <v/>
      </c>
      <c r="X113" s="103" t="str">
        <f t="shared" si="29"/>
        <v/>
      </c>
      <c r="Y113" s="53">
        <v>0</v>
      </c>
      <c r="Z113" s="56" t="str">
        <f t="shared" si="30"/>
        <v/>
      </c>
      <c r="AA113" s="56" t="str">
        <f t="shared" si="31"/>
        <v/>
      </c>
      <c r="AB113" s="56" t="str">
        <f t="shared" si="32"/>
        <v/>
      </c>
      <c r="AC113" s="56" t="str">
        <f t="shared" si="33"/>
        <v/>
      </c>
      <c r="AD113" s="56" t="str">
        <f t="shared" si="34"/>
        <v/>
      </c>
      <c r="AE113" s="40"/>
      <c r="AF113" s="40"/>
      <c r="AG113" s="40"/>
      <c r="AH113" s="56" t="str">
        <f t="shared" si="35"/>
        <v/>
      </c>
      <c r="AI113" s="54"/>
      <c r="AJ113" s="54"/>
      <c r="AK113" s="54"/>
      <c r="AL113" s="54"/>
      <c r="AM113" s="54"/>
    </row>
    <row r="114" spans="1:39">
      <c r="A114" s="45" t="str" cm="1">
        <f t="array" ref="A114">IF(H114="PROJECT", CHAR(10) &amp; "- " &amp; _xlfn.TEXTJOIN(CHAR(10) &amp; "- ", TRUE, _xlfn._xlws.FILTER($I$9:$I$1000, ($B$9:$B$1000=B114) * ($H$9:$H$1000="Topic"))), "")</f>
        <v/>
      </c>
      <c r="B114" s="45" t="str">
        <f t="shared" si="19"/>
        <v/>
      </c>
      <c r="C114" s="95"/>
      <c r="D114" s="57"/>
      <c r="E114" s="58"/>
      <c r="F114" s="54"/>
      <c r="G114" s="52"/>
      <c r="H114" s="52"/>
      <c r="I114" s="61"/>
      <c r="J114" s="62"/>
      <c r="K114" s="129" t="str">
        <f t="shared" si="20"/>
        <v/>
      </c>
      <c r="L114" s="103" t="str">
        <f t="shared" si="21"/>
        <v/>
      </c>
      <c r="M114" s="52">
        <v>0</v>
      </c>
      <c r="N114" s="102" t="str">
        <f t="shared" si="22"/>
        <v/>
      </c>
      <c r="O114" s="103" t="str">
        <f t="shared" si="23"/>
        <v/>
      </c>
      <c r="P114" s="52">
        <v>0</v>
      </c>
      <c r="Q114" s="102" t="str">
        <f t="shared" si="24"/>
        <v/>
      </c>
      <c r="R114" s="103" t="str">
        <f t="shared" si="25"/>
        <v/>
      </c>
      <c r="S114" s="52">
        <v>0</v>
      </c>
      <c r="T114" s="102" t="str">
        <f t="shared" si="26"/>
        <v/>
      </c>
      <c r="U114" s="103" t="str">
        <f t="shared" si="27"/>
        <v/>
      </c>
      <c r="V114" s="52">
        <v>0</v>
      </c>
      <c r="W114" s="87" t="str">
        <f t="shared" si="28"/>
        <v/>
      </c>
      <c r="X114" s="103" t="str">
        <f t="shared" si="29"/>
        <v/>
      </c>
      <c r="Y114" s="52">
        <v>0</v>
      </c>
      <c r="Z114" s="56" t="str">
        <f t="shared" si="30"/>
        <v/>
      </c>
      <c r="AA114" s="56" t="str">
        <f t="shared" si="31"/>
        <v/>
      </c>
      <c r="AB114" s="56" t="str">
        <f t="shared" si="32"/>
        <v/>
      </c>
      <c r="AC114" s="56" t="str">
        <f t="shared" si="33"/>
        <v/>
      </c>
      <c r="AD114" s="56" t="str">
        <f t="shared" si="34"/>
        <v/>
      </c>
      <c r="AE114" s="40"/>
      <c r="AF114" s="40"/>
      <c r="AG114" s="40"/>
      <c r="AH114" s="56" t="str">
        <f t="shared" si="35"/>
        <v/>
      </c>
      <c r="AI114" s="54"/>
      <c r="AJ114" s="54"/>
      <c r="AK114" s="54"/>
      <c r="AL114" s="54"/>
      <c r="AM114" s="54"/>
    </row>
    <row r="115" spans="1:39">
      <c r="A115" s="45" t="str" cm="1">
        <f t="array" ref="A115">IF(H115="PROJECT", CHAR(10) &amp; "- " &amp; _xlfn.TEXTJOIN(CHAR(10) &amp; "- ", TRUE, _xlfn._xlws.FILTER($I$9:$I$1000, ($B$9:$B$1000=B115) * ($H$9:$H$1000="Topic"))), "")</f>
        <v/>
      </c>
      <c r="B115" s="45" t="str">
        <f t="shared" si="19"/>
        <v/>
      </c>
      <c r="C115" s="95"/>
      <c r="D115" s="46"/>
      <c r="E115" s="58"/>
      <c r="F115" s="67"/>
      <c r="G115" s="53"/>
      <c r="H115" s="53"/>
      <c r="I115" s="50"/>
      <c r="J115" s="51"/>
      <c r="K115" s="129" t="str">
        <f t="shared" si="20"/>
        <v/>
      </c>
      <c r="L115" s="103" t="str">
        <f t="shared" si="21"/>
        <v/>
      </c>
      <c r="M115" s="53">
        <v>0</v>
      </c>
      <c r="N115" s="102" t="str">
        <f t="shared" si="22"/>
        <v/>
      </c>
      <c r="O115" s="103" t="str">
        <f t="shared" si="23"/>
        <v/>
      </c>
      <c r="P115" s="53">
        <v>0</v>
      </c>
      <c r="Q115" s="102" t="str">
        <f t="shared" si="24"/>
        <v/>
      </c>
      <c r="R115" s="103" t="str">
        <f t="shared" si="25"/>
        <v/>
      </c>
      <c r="S115" s="53">
        <v>0</v>
      </c>
      <c r="T115" s="102" t="str">
        <f t="shared" si="26"/>
        <v/>
      </c>
      <c r="U115" s="103" t="str">
        <f t="shared" si="27"/>
        <v/>
      </c>
      <c r="V115" s="53">
        <v>0</v>
      </c>
      <c r="W115" s="87" t="str">
        <f t="shared" si="28"/>
        <v/>
      </c>
      <c r="X115" s="103" t="str">
        <f t="shared" si="29"/>
        <v/>
      </c>
      <c r="Y115" s="53">
        <v>0</v>
      </c>
      <c r="Z115" s="56" t="str">
        <f t="shared" si="30"/>
        <v/>
      </c>
      <c r="AA115" s="56" t="str">
        <f t="shared" si="31"/>
        <v/>
      </c>
      <c r="AB115" s="56" t="str">
        <f t="shared" si="32"/>
        <v/>
      </c>
      <c r="AC115" s="56" t="str">
        <f t="shared" si="33"/>
        <v/>
      </c>
      <c r="AD115" s="56" t="str">
        <f t="shared" si="34"/>
        <v/>
      </c>
      <c r="AE115" s="40"/>
      <c r="AF115" s="40"/>
      <c r="AG115" s="40"/>
      <c r="AH115" s="56" t="str">
        <f t="shared" si="35"/>
        <v/>
      </c>
      <c r="AI115" s="54"/>
      <c r="AJ115" s="54"/>
      <c r="AK115" s="54"/>
      <c r="AL115" s="54"/>
      <c r="AM115" s="54"/>
    </row>
    <row r="116" spans="1:39">
      <c r="A116" s="45" t="str" cm="1">
        <f t="array" ref="A116">IF(H116="PROJECT", CHAR(10) &amp; "- " &amp; _xlfn.TEXTJOIN(CHAR(10) &amp; "- ", TRUE, _xlfn._xlws.FILTER($I$9:$I$1000, ($B$9:$B$1000=B116) * ($H$9:$H$1000="Topic"))), "")</f>
        <v/>
      </c>
      <c r="B116" s="45" t="str">
        <f t="shared" si="19"/>
        <v/>
      </c>
      <c r="C116" s="95"/>
      <c r="D116" s="57"/>
      <c r="E116" s="58"/>
      <c r="F116" s="54"/>
      <c r="G116" s="52"/>
      <c r="H116" s="52"/>
      <c r="I116" s="61"/>
      <c r="J116" s="62"/>
      <c r="K116" s="129" t="str">
        <f t="shared" si="20"/>
        <v/>
      </c>
      <c r="L116" s="103" t="str">
        <f t="shared" si="21"/>
        <v/>
      </c>
      <c r="M116" s="52">
        <v>0</v>
      </c>
      <c r="N116" s="102" t="str">
        <f t="shared" si="22"/>
        <v/>
      </c>
      <c r="O116" s="103" t="str">
        <f t="shared" si="23"/>
        <v/>
      </c>
      <c r="P116" s="52">
        <v>0</v>
      </c>
      <c r="Q116" s="102" t="str">
        <f t="shared" si="24"/>
        <v/>
      </c>
      <c r="R116" s="103" t="str">
        <f t="shared" si="25"/>
        <v/>
      </c>
      <c r="S116" s="52">
        <v>0</v>
      </c>
      <c r="T116" s="102" t="str">
        <f t="shared" si="26"/>
        <v/>
      </c>
      <c r="U116" s="103" t="str">
        <f t="shared" si="27"/>
        <v/>
      </c>
      <c r="V116" s="52">
        <v>0</v>
      </c>
      <c r="W116" s="87" t="str">
        <f t="shared" si="28"/>
        <v/>
      </c>
      <c r="X116" s="103" t="str">
        <f t="shared" si="29"/>
        <v/>
      </c>
      <c r="Y116" s="52">
        <v>0</v>
      </c>
      <c r="Z116" s="56" t="str">
        <f t="shared" si="30"/>
        <v/>
      </c>
      <c r="AA116" s="56" t="str">
        <f t="shared" si="31"/>
        <v/>
      </c>
      <c r="AB116" s="56" t="str">
        <f t="shared" si="32"/>
        <v/>
      </c>
      <c r="AC116" s="56" t="str">
        <f t="shared" si="33"/>
        <v/>
      </c>
      <c r="AD116" s="56" t="str">
        <f t="shared" si="34"/>
        <v/>
      </c>
      <c r="AE116" s="40"/>
      <c r="AF116" s="40"/>
      <c r="AG116" s="40"/>
      <c r="AH116" s="56" t="str">
        <f t="shared" si="35"/>
        <v/>
      </c>
      <c r="AI116" s="54"/>
      <c r="AJ116" s="54"/>
      <c r="AK116" s="54"/>
      <c r="AL116" s="54"/>
      <c r="AM116" s="54"/>
    </row>
    <row r="117" spans="1:39">
      <c r="A117" s="45" t="str" cm="1">
        <f t="array" ref="A117">IF(H117="PROJECT", CHAR(10) &amp; "- " &amp; _xlfn.TEXTJOIN(CHAR(10) &amp; "- ", TRUE, _xlfn._xlws.FILTER($I$9:$I$1000, ($B$9:$B$1000=B117) * ($H$9:$H$1000="Topic"))), "")</f>
        <v/>
      </c>
      <c r="B117" s="45" t="str">
        <f t="shared" si="19"/>
        <v/>
      </c>
      <c r="C117" s="95"/>
      <c r="D117" s="46"/>
      <c r="E117" s="58"/>
      <c r="F117" s="67"/>
      <c r="G117" s="53"/>
      <c r="H117" s="53"/>
      <c r="I117" s="50"/>
      <c r="J117" s="51"/>
      <c r="K117" s="129" t="str">
        <f t="shared" si="20"/>
        <v/>
      </c>
      <c r="L117" s="103" t="str">
        <f t="shared" si="21"/>
        <v/>
      </c>
      <c r="M117" s="53">
        <v>0</v>
      </c>
      <c r="N117" s="102" t="str">
        <f t="shared" si="22"/>
        <v/>
      </c>
      <c r="O117" s="103" t="str">
        <f t="shared" si="23"/>
        <v/>
      </c>
      <c r="P117" s="53">
        <v>0</v>
      </c>
      <c r="Q117" s="102" t="str">
        <f t="shared" si="24"/>
        <v/>
      </c>
      <c r="R117" s="103" t="str">
        <f t="shared" si="25"/>
        <v/>
      </c>
      <c r="S117" s="53">
        <v>0</v>
      </c>
      <c r="T117" s="102" t="str">
        <f t="shared" si="26"/>
        <v/>
      </c>
      <c r="U117" s="103" t="str">
        <f t="shared" si="27"/>
        <v/>
      </c>
      <c r="V117" s="53">
        <v>0</v>
      </c>
      <c r="W117" s="87" t="str">
        <f t="shared" si="28"/>
        <v/>
      </c>
      <c r="X117" s="103" t="str">
        <f t="shared" si="29"/>
        <v/>
      </c>
      <c r="Y117" s="53">
        <v>0</v>
      </c>
      <c r="Z117" s="56" t="str">
        <f t="shared" si="30"/>
        <v/>
      </c>
      <c r="AA117" s="56" t="str">
        <f t="shared" si="31"/>
        <v/>
      </c>
      <c r="AB117" s="56" t="str">
        <f t="shared" si="32"/>
        <v/>
      </c>
      <c r="AC117" s="56" t="str">
        <f t="shared" si="33"/>
        <v/>
      </c>
      <c r="AD117" s="56" t="str">
        <f t="shared" si="34"/>
        <v/>
      </c>
      <c r="AE117" s="40"/>
      <c r="AF117" s="40"/>
      <c r="AG117" s="40"/>
      <c r="AH117" s="56" t="str">
        <f t="shared" si="35"/>
        <v/>
      </c>
      <c r="AI117" s="54"/>
      <c r="AJ117" s="54"/>
      <c r="AK117" s="54"/>
      <c r="AL117" s="54"/>
      <c r="AM117" s="54"/>
    </row>
    <row r="118" spans="1:39">
      <c r="A118" s="45" t="str" cm="1">
        <f t="array" ref="A118">IF(H118="PROJECT", CHAR(10) &amp; "- " &amp; _xlfn.TEXTJOIN(CHAR(10) &amp; "- ", TRUE, _xlfn._xlws.FILTER($I$9:$I$1000, ($B$9:$B$1000=B118) * ($H$9:$H$1000="Topic"))), "")</f>
        <v/>
      </c>
      <c r="B118" s="45" t="str">
        <f t="shared" si="19"/>
        <v/>
      </c>
      <c r="C118" s="95"/>
      <c r="D118" s="57"/>
      <c r="E118" s="58"/>
      <c r="F118" s="54"/>
      <c r="G118" s="52"/>
      <c r="H118" s="52"/>
      <c r="I118" s="61"/>
      <c r="J118" s="62"/>
      <c r="K118" s="129" t="str">
        <f t="shared" si="20"/>
        <v/>
      </c>
      <c r="L118" s="103" t="str">
        <f t="shared" si="21"/>
        <v/>
      </c>
      <c r="M118" s="52">
        <v>0</v>
      </c>
      <c r="N118" s="102" t="str">
        <f t="shared" si="22"/>
        <v/>
      </c>
      <c r="O118" s="103" t="str">
        <f t="shared" si="23"/>
        <v/>
      </c>
      <c r="P118" s="52">
        <v>0</v>
      </c>
      <c r="Q118" s="102" t="str">
        <f t="shared" si="24"/>
        <v/>
      </c>
      <c r="R118" s="103" t="str">
        <f t="shared" si="25"/>
        <v/>
      </c>
      <c r="S118" s="52">
        <v>0</v>
      </c>
      <c r="T118" s="102" t="str">
        <f t="shared" si="26"/>
        <v/>
      </c>
      <c r="U118" s="103" t="str">
        <f t="shared" si="27"/>
        <v/>
      </c>
      <c r="V118" s="52">
        <v>0</v>
      </c>
      <c r="W118" s="87" t="str">
        <f t="shared" si="28"/>
        <v/>
      </c>
      <c r="X118" s="103" t="str">
        <f t="shared" si="29"/>
        <v/>
      </c>
      <c r="Y118" s="52">
        <v>0</v>
      </c>
      <c r="Z118" s="56" t="str">
        <f t="shared" si="30"/>
        <v/>
      </c>
      <c r="AA118" s="56" t="str">
        <f t="shared" si="31"/>
        <v/>
      </c>
      <c r="AB118" s="56" t="str">
        <f t="shared" si="32"/>
        <v/>
      </c>
      <c r="AC118" s="56" t="str">
        <f t="shared" si="33"/>
        <v/>
      </c>
      <c r="AD118" s="56" t="str">
        <f t="shared" si="34"/>
        <v/>
      </c>
      <c r="AE118" s="40"/>
      <c r="AF118" s="40"/>
      <c r="AG118" s="40"/>
      <c r="AH118" s="56" t="str">
        <f t="shared" si="35"/>
        <v/>
      </c>
      <c r="AI118" s="54"/>
      <c r="AJ118" s="54"/>
      <c r="AK118" s="54"/>
      <c r="AL118" s="54"/>
      <c r="AM118" s="54"/>
    </row>
    <row r="119" spans="1:39">
      <c r="A119" s="45" t="str" cm="1">
        <f t="array" ref="A119">IF(H119="PROJECT", CHAR(10) &amp; "- " &amp; _xlfn.TEXTJOIN(CHAR(10) &amp; "- ", TRUE, _xlfn._xlws.FILTER($I$9:$I$1000, ($B$9:$B$1000=B119) * ($H$9:$H$1000="Topic"))), "")</f>
        <v/>
      </c>
      <c r="B119" s="45" t="str">
        <f t="shared" si="19"/>
        <v/>
      </c>
      <c r="C119" s="95"/>
      <c r="D119" s="46"/>
      <c r="E119" s="58"/>
      <c r="F119" s="67"/>
      <c r="G119" s="53"/>
      <c r="H119" s="53"/>
      <c r="I119" s="50"/>
      <c r="J119" s="51"/>
      <c r="K119" s="129" t="str">
        <f t="shared" si="20"/>
        <v/>
      </c>
      <c r="L119" s="103" t="str">
        <f t="shared" si="21"/>
        <v/>
      </c>
      <c r="M119" s="53">
        <v>0</v>
      </c>
      <c r="N119" s="102" t="str">
        <f t="shared" si="22"/>
        <v/>
      </c>
      <c r="O119" s="103" t="str">
        <f t="shared" si="23"/>
        <v/>
      </c>
      <c r="P119" s="53">
        <v>0</v>
      </c>
      <c r="Q119" s="102" t="str">
        <f t="shared" si="24"/>
        <v/>
      </c>
      <c r="R119" s="103" t="str">
        <f t="shared" si="25"/>
        <v/>
      </c>
      <c r="S119" s="53">
        <v>0</v>
      </c>
      <c r="T119" s="102" t="str">
        <f t="shared" si="26"/>
        <v/>
      </c>
      <c r="U119" s="103" t="str">
        <f t="shared" si="27"/>
        <v/>
      </c>
      <c r="V119" s="53">
        <v>0</v>
      </c>
      <c r="W119" s="87" t="str">
        <f t="shared" si="28"/>
        <v/>
      </c>
      <c r="X119" s="103" t="str">
        <f t="shared" si="29"/>
        <v/>
      </c>
      <c r="Y119" s="53">
        <v>0</v>
      </c>
      <c r="Z119" s="56" t="str">
        <f t="shared" si="30"/>
        <v/>
      </c>
      <c r="AA119" s="56" t="str">
        <f t="shared" si="31"/>
        <v/>
      </c>
      <c r="AB119" s="56" t="str">
        <f t="shared" si="32"/>
        <v/>
      </c>
      <c r="AC119" s="56" t="str">
        <f t="shared" si="33"/>
        <v/>
      </c>
      <c r="AD119" s="56" t="str">
        <f t="shared" si="34"/>
        <v/>
      </c>
      <c r="AE119" s="40"/>
      <c r="AF119" s="40"/>
      <c r="AG119" s="40"/>
      <c r="AH119" s="56" t="str">
        <f t="shared" si="35"/>
        <v/>
      </c>
      <c r="AI119" s="54"/>
      <c r="AJ119" s="54"/>
      <c r="AK119" s="54"/>
      <c r="AL119" s="54"/>
      <c r="AM119" s="54"/>
    </row>
    <row r="120" spans="1:39">
      <c r="A120" s="45" t="str" cm="1">
        <f t="array" ref="A120">IF(H120="PROJECT", CHAR(10) &amp; "- " &amp; _xlfn.TEXTJOIN(CHAR(10) &amp; "- ", TRUE, _xlfn._xlws.FILTER($I$9:$I$1000, ($B$9:$B$1000=B120) * ($H$9:$H$1000="Topic"))), "")</f>
        <v/>
      </c>
      <c r="B120" s="45" t="str">
        <f t="shared" si="19"/>
        <v/>
      </c>
      <c r="C120" s="95"/>
      <c r="D120" s="57"/>
      <c r="E120" s="58"/>
      <c r="F120" s="54"/>
      <c r="G120" s="52"/>
      <c r="H120" s="52"/>
      <c r="I120" s="61"/>
      <c r="J120" s="62"/>
      <c r="K120" s="129" t="str">
        <f t="shared" si="20"/>
        <v/>
      </c>
      <c r="L120" s="103" t="str">
        <f t="shared" si="21"/>
        <v/>
      </c>
      <c r="M120" s="52">
        <v>0</v>
      </c>
      <c r="N120" s="102" t="str">
        <f t="shared" si="22"/>
        <v/>
      </c>
      <c r="O120" s="103" t="str">
        <f t="shared" si="23"/>
        <v/>
      </c>
      <c r="P120" s="52">
        <v>0</v>
      </c>
      <c r="Q120" s="102" t="str">
        <f t="shared" si="24"/>
        <v/>
      </c>
      <c r="R120" s="103" t="str">
        <f t="shared" si="25"/>
        <v/>
      </c>
      <c r="S120" s="52">
        <v>0</v>
      </c>
      <c r="T120" s="102" t="str">
        <f t="shared" si="26"/>
        <v/>
      </c>
      <c r="U120" s="103" t="str">
        <f t="shared" si="27"/>
        <v/>
      </c>
      <c r="V120" s="52">
        <v>0</v>
      </c>
      <c r="W120" s="87" t="str">
        <f t="shared" si="28"/>
        <v/>
      </c>
      <c r="X120" s="103" t="str">
        <f t="shared" si="29"/>
        <v/>
      </c>
      <c r="Y120" s="52">
        <v>0</v>
      </c>
      <c r="Z120" s="56" t="str">
        <f t="shared" si="30"/>
        <v/>
      </c>
      <c r="AA120" s="56" t="str">
        <f t="shared" si="31"/>
        <v/>
      </c>
      <c r="AB120" s="56" t="str">
        <f t="shared" si="32"/>
        <v/>
      </c>
      <c r="AC120" s="56" t="str">
        <f t="shared" si="33"/>
        <v/>
      </c>
      <c r="AD120" s="56" t="str">
        <f t="shared" si="34"/>
        <v/>
      </c>
      <c r="AE120" s="40"/>
      <c r="AF120" s="40"/>
      <c r="AG120" s="40"/>
      <c r="AH120" s="56" t="str">
        <f t="shared" si="35"/>
        <v/>
      </c>
      <c r="AI120" s="54"/>
      <c r="AJ120" s="54"/>
      <c r="AK120" s="54"/>
      <c r="AL120" s="54"/>
      <c r="AM120" s="54"/>
    </row>
    <row r="121" spans="1:39">
      <c r="A121" s="45" t="str" cm="1">
        <f t="array" ref="A121">IF(H121="PROJECT", CHAR(10) &amp; "- " &amp; _xlfn.TEXTJOIN(CHAR(10) &amp; "- ", TRUE, _xlfn._xlws.FILTER($I$9:$I$1000, ($B$9:$B$1000=B121) * ($H$9:$H$1000="Topic"))), "")</f>
        <v/>
      </c>
      <c r="B121" s="45" t="str">
        <f t="shared" si="19"/>
        <v/>
      </c>
      <c r="C121" s="95"/>
      <c r="D121" s="46"/>
      <c r="E121" s="58"/>
      <c r="F121" s="67"/>
      <c r="G121" s="53"/>
      <c r="H121" s="53"/>
      <c r="I121" s="50"/>
      <c r="J121" s="51"/>
      <c r="K121" s="129" t="str">
        <f t="shared" si="20"/>
        <v/>
      </c>
      <c r="L121" s="103" t="str">
        <f t="shared" si="21"/>
        <v/>
      </c>
      <c r="M121" s="53">
        <v>0</v>
      </c>
      <c r="N121" s="102" t="str">
        <f t="shared" si="22"/>
        <v/>
      </c>
      <c r="O121" s="103" t="str">
        <f t="shared" si="23"/>
        <v/>
      </c>
      <c r="P121" s="53">
        <v>0</v>
      </c>
      <c r="Q121" s="102" t="str">
        <f t="shared" si="24"/>
        <v/>
      </c>
      <c r="R121" s="103" t="str">
        <f t="shared" si="25"/>
        <v/>
      </c>
      <c r="S121" s="53">
        <v>0</v>
      </c>
      <c r="T121" s="102" t="str">
        <f t="shared" si="26"/>
        <v/>
      </c>
      <c r="U121" s="103" t="str">
        <f t="shared" si="27"/>
        <v/>
      </c>
      <c r="V121" s="53">
        <v>0</v>
      </c>
      <c r="W121" s="87" t="str">
        <f t="shared" si="28"/>
        <v/>
      </c>
      <c r="X121" s="103" t="str">
        <f t="shared" si="29"/>
        <v/>
      </c>
      <c r="Y121" s="53">
        <v>0</v>
      </c>
      <c r="Z121" s="56" t="str">
        <f t="shared" si="30"/>
        <v/>
      </c>
      <c r="AA121" s="56" t="str">
        <f t="shared" si="31"/>
        <v/>
      </c>
      <c r="AB121" s="56" t="str">
        <f t="shared" si="32"/>
        <v/>
      </c>
      <c r="AC121" s="56" t="str">
        <f t="shared" si="33"/>
        <v/>
      </c>
      <c r="AD121" s="56" t="str">
        <f t="shared" si="34"/>
        <v/>
      </c>
      <c r="AE121" s="40"/>
      <c r="AF121" s="40"/>
      <c r="AG121" s="40"/>
      <c r="AH121" s="56" t="str">
        <f t="shared" si="35"/>
        <v/>
      </c>
      <c r="AI121" s="54"/>
      <c r="AJ121" s="54"/>
      <c r="AK121" s="54"/>
      <c r="AL121" s="54"/>
      <c r="AM121" s="54"/>
    </row>
    <row r="122" spans="1:39">
      <c r="A122" s="45" t="str" cm="1">
        <f t="array" ref="A122">IF(H122="PROJECT", CHAR(10) &amp; "- " &amp; _xlfn.TEXTJOIN(CHAR(10) &amp; "- ", TRUE, _xlfn._xlws.FILTER($I$9:$I$1000, ($B$9:$B$1000=B122) * ($H$9:$H$1000="Topic"))), "")</f>
        <v/>
      </c>
      <c r="B122" s="45" t="str">
        <f t="shared" si="19"/>
        <v/>
      </c>
      <c r="C122" s="95"/>
      <c r="D122" s="57"/>
      <c r="E122" s="58"/>
      <c r="F122" s="54"/>
      <c r="G122" s="52"/>
      <c r="H122" s="52"/>
      <c r="I122" s="61"/>
      <c r="J122" s="62"/>
      <c r="K122" s="129" t="str">
        <f t="shared" si="20"/>
        <v/>
      </c>
      <c r="L122" s="103" t="str">
        <f t="shared" si="21"/>
        <v/>
      </c>
      <c r="M122" s="52">
        <v>0</v>
      </c>
      <c r="N122" s="102" t="str">
        <f t="shared" si="22"/>
        <v/>
      </c>
      <c r="O122" s="103" t="str">
        <f t="shared" si="23"/>
        <v/>
      </c>
      <c r="P122" s="52">
        <v>0</v>
      </c>
      <c r="Q122" s="102" t="str">
        <f t="shared" si="24"/>
        <v/>
      </c>
      <c r="R122" s="103" t="str">
        <f t="shared" si="25"/>
        <v/>
      </c>
      <c r="S122" s="52">
        <v>0</v>
      </c>
      <c r="T122" s="102" t="str">
        <f t="shared" si="26"/>
        <v/>
      </c>
      <c r="U122" s="103" t="str">
        <f t="shared" si="27"/>
        <v/>
      </c>
      <c r="V122" s="52">
        <v>0</v>
      </c>
      <c r="W122" s="87" t="str">
        <f t="shared" si="28"/>
        <v/>
      </c>
      <c r="X122" s="103" t="str">
        <f t="shared" si="29"/>
        <v/>
      </c>
      <c r="Y122" s="52">
        <v>0</v>
      </c>
      <c r="Z122" s="56" t="str">
        <f t="shared" si="30"/>
        <v/>
      </c>
      <c r="AA122" s="56" t="str">
        <f t="shared" si="31"/>
        <v/>
      </c>
      <c r="AB122" s="56" t="str">
        <f t="shared" si="32"/>
        <v/>
      </c>
      <c r="AC122" s="56" t="str">
        <f t="shared" si="33"/>
        <v/>
      </c>
      <c r="AD122" s="56" t="str">
        <f t="shared" si="34"/>
        <v/>
      </c>
      <c r="AE122" s="40"/>
      <c r="AF122" s="40"/>
      <c r="AG122" s="40"/>
      <c r="AH122" s="56" t="str">
        <f t="shared" si="35"/>
        <v/>
      </c>
      <c r="AI122" s="54"/>
      <c r="AJ122" s="54"/>
      <c r="AK122" s="54"/>
      <c r="AL122" s="54"/>
      <c r="AM122" s="54"/>
    </row>
    <row r="123" spans="1:39">
      <c r="A123" s="45" t="str" cm="1">
        <f t="array" ref="A123">IF(H123="PROJECT", CHAR(10) &amp; "- " &amp; _xlfn.TEXTJOIN(CHAR(10) &amp; "- ", TRUE, _xlfn._xlws.FILTER($I$9:$I$1000, ($B$9:$B$1000=B123) * ($H$9:$H$1000="Topic"))), "")</f>
        <v/>
      </c>
      <c r="B123" s="45" t="str">
        <f t="shared" si="19"/>
        <v/>
      </c>
      <c r="C123" s="95"/>
      <c r="D123" s="46"/>
      <c r="E123" s="58"/>
      <c r="F123" s="67"/>
      <c r="G123" s="53"/>
      <c r="H123" s="53"/>
      <c r="I123" s="50"/>
      <c r="J123" s="51"/>
      <c r="K123" s="129" t="str">
        <f t="shared" si="20"/>
        <v/>
      </c>
      <c r="L123" s="103" t="str">
        <f t="shared" si="21"/>
        <v/>
      </c>
      <c r="M123" s="53">
        <v>0</v>
      </c>
      <c r="N123" s="102" t="str">
        <f t="shared" si="22"/>
        <v/>
      </c>
      <c r="O123" s="103" t="str">
        <f t="shared" si="23"/>
        <v/>
      </c>
      <c r="P123" s="53">
        <v>0</v>
      </c>
      <c r="Q123" s="102" t="str">
        <f t="shared" si="24"/>
        <v/>
      </c>
      <c r="R123" s="103" t="str">
        <f t="shared" si="25"/>
        <v/>
      </c>
      <c r="S123" s="53">
        <v>0</v>
      </c>
      <c r="T123" s="102" t="str">
        <f t="shared" si="26"/>
        <v/>
      </c>
      <c r="U123" s="103" t="str">
        <f t="shared" si="27"/>
        <v/>
      </c>
      <c r="V123" s="53">
        <v>0</v>
      </c>
      <c r="W123" s="87" t="str">
        <f t="shared" si="28"/>
        <v/>
      </c>
      <c r="X123" s="103" t="str">
        <f t="shared" si="29"/>
        <v/>
      </c>
      <c r="Y123" s="53">
        <v>0</v>
      </c>
      <c r="Z123" s="56" t="str">
        <f t="shared" si="30"/>
        <v/>
      </c>
      <c r="AA123" s="56" t="str">
        <f t="shared" si="31"/>
        <v/>
      </c>
      <c r="AB123" s="56" t="str">
        <f t="shared" si="32"/>
        <v/>
      </c>
      <c r="AC123" s="56" t="str">
        <f t="shared" si="33"/>
        <v/>
      </c>
      <c r="AD123" s="56" t="str">
        <f t="shared" si="34"/>
        <v/>
      </c>
      <c r="AE123" s="40"/>
      <c r="AF123" s="40"/>
      <c r="AG123" s="40"/>
      <c r="AH123" s="56" t="str">
        <f t="shared" si="35"/>
        <v/>
      </c>
      <c r="AI123" s="54"/>
      <c r="AJ123" s="54"/>
      <c r="AK123" s="54"/>
      <c r="AL123" s="54"/>
      <c r="AM123" s="54"/>
    </row>
    <row r="124" spans="1:39">
      <c r="A124" s="45" t="str" cm="1">
        <f t="array" ref="A124">IF(H124="PROJECT", CHAR(10) &amp; "- " &amp; _xlfn.TEXTJOIN(CHAR(10) &amp; "- ", TRUE, _xlfn._xlws.FILTER($I$9:$I$1000, ($B$9:$B$1000=B124) * ($H$9:$H$1000="Topic"))), "")</f>
        <v/>
      </c>
      <c r="B124" s="45" t="str">
        <f t="shared" si="19"/>
        <v/>
      </c>
      <c r="C124" s="95"/>
      <c r="D124" s="57"/>
      <c r="E124" s="58"/>
      <c r="F124" s="54"/>
      <c r="G124" s="52"/>
      <c r="H124" s="52"/>
      <c r="I124" s="61"/>
      <c r="J124" s="62"/>
      <c r="K124" s="129" t="str">
        <f t="shared" si="20"/>
        <v/>
      </c>
      <c r="L124" s="103" t="str">
        <f t="shared" si="21"/>
        <v/>
      </c>
      <c r="M124" s="52">
        <v>0</v>
      </c>
      <c r="N124" s="102" t="str">
        <f t="shared" si="22"/>
        <v/>
      </c>
      <c r="O124" s="103" t="str">
        <f t="shared" si="23"/>
        <v/>
      </c>
      <c r="P124" s="52">
        <v>0</v>
      </c>
      <c r="Q124" s="102" t="str">
        <f t="shared" si="24"/>
        <v/>
      </c>
      <c r="R124" s="103" t="str">
        <f t="shared" si="25"/>
        <v/>
      </c>
      <c r="S124" s="52">
        <v>0</v>
      </c>
      <c r="T124" s="102" t="str">
        <f t="shared" si="26"/>
        <v/>
      </c>
      <c r="U124" s="103" t="str">
        <f t="shared" si="27"/>
        <v/>
      </c>
      <c r="V124" s="52">
        <v>0</v>
      </c>
      <c r="W124" s="87" t="str">
        <f t="shared" si="28"/>
        <v/>
      </c>
      <c r="X124" s="103" t="str">
        <f t="shared" si="29"/>
        <v/>
      </c>
      <c r="Y124" s="52">
        <v>0</v>
      </c>
      <c r="Z124" s="56" t="str">
        <f t="shared" si="30"/>
        <v/>
      </c>
      <c r="AA124" s="56" t="str">
        <f t="shared" si="31"/>
        <v/>
      </c>
      <c r="AB124" s="56" t="str">
        <f t="shared" si="32"/>
        <v/>
      </c>
      <c r="AC124" s="56" t="str">
        <f t="shared" si="33"/>
        <v/>
      </c>
      <c r="AD124" s="56" t="str">
        <f t="shared" si="34"/>
        <v/>
      </c>
      <c r="AE124" s="40"/>
      <c r="AF124" s="40"/>
      <c r="AG124" s="40"/>
      <c r="AH124" s="56" t="str">
        <f t="shared" si="35"/>
        <v/>
      </c>
      <c r="AI124" s="54"/>
      <c r="AJ124" s="54"/>
      <c r="AK124" s="54"/>
      <c r="AL124" s="54"/>
      <c r="AM124" s="54"/>
    </row>
    <row r="125" spans="1:39">
      <c r="A125" s="45" t="str" cm="1">
        <f t="array" ref="A125">IF(H125="PROJECT", CHAR(10) &amp; "- " &amp; _xlfn.TEXTJOIN(CHAR(10) &amp; "- ", TRUE, _xlfn._xlws.FILTER($I$9:$I$1000, ($B$9:$B$1000=B125) * ($H$9:$H$1000="Topic"))), "")</f>
        <v/>
      </c>
      <c r="B125" s="45" t="str">
        <f t="shared" si="19"/>
        <v/>
      </c>
      <c r="C125" s="95"/>
      <c r="D125" s="46"/>
      <c r="E125" s="58"/>
      <c r="F125" s="67"/>
      <c r="G125" s="53"/>
      <c r="H125" s="53"/>
      <c r="I125" s="50"/>
      <c r="J125" s="51"/>
      <c r="K125" s="129" t="str">
        <f t="shared" si="20"/>
        <v/>
      </c>
      <c r="L125" s="103" t="str">
        <f t="shared" si="21"/>
        <v/>
      </c>
      <c r="M125" s="53">
        <v>0</v>
      </c>
      <c r="N125" s="102" t="str">
        <f t="shared" si="22"/>
        <v/>
      </c>
      <c r="O125" s="103" t="str">
        <f t="shared" si="23"/>
        <v/>
      </c>
      <c r="P125" s="53">
        <v>0</v>
      </c>
      <c r="Q125" s="102" t="str">
        <f t="shared" si="24"/>
        <v/>
      </c>
      <c r="R125" s="103" t="str">
        <f t="shared" si="25"/>
        <v/>
      </c>
      <c r="S125" s="53">
        <v>0</v>
      </c>
      <c r="T125" s="102" t="str">
        <f t="shared" si="26"/>
        <v/>
      </c>
      <c r="U125" s="103" t="str">
        <f t="shared" si="27"/>
        <v/>
      </c>
      <c r="V125" s="53">
        <v>0</v>
      </c>
      <c r="W125" s="87" t="str">
        <f t="shared" si="28"/>
        <v/>
      </c>
      <c r="X125" s="103" t="str">
        <f t="shared" si="29"/>
        <v/>
      </c>
      <c r="Y125" s="53">
        <v>0</v>
      </c>
      <c r="Z125" s="56" t="str">
        <f t="shared" si="30"/>
        <v/>
      </c>
      <c r="AA125" s="56" t="str">
        <f t="shared" si="31"/>
        <v/>
      </c>
      <c r="AB125" s="56" t="str">
        <f t="shared" si="32"/>
        <v/>
      </c>
      <c r="AC125" s="56" t="str">
        <f t="shared" si="33"/>
        <v/>
      </c>
      <c r="AD125" s="56" t="str">
        <f t="shared" si="34"/>
        <v/>
      </c>
      <c r="AE125" s="40"/>
      <c r="AF125" s="40"/>
      <c r="AG125" s="40"/>
      <c r="AH125" s="56" t="str">
        <f t="shared" si="35"/>
        <v/>
      </c>
      <c r="AI125" s="54"/>
      <c r="AJ125" s="54"/>
      <c r="AK125" s="54"/>
      <c r="AL125" s="54"/>
      <c r="AM125" s="54"/>
    </row>
    <row r="126" spans="1:39">
      <c r="A126" s="45" t="str" cm="1">
        <f t="array" ref="A126">IF(H126="PROJECT", CHAR(10) &amp; "- " &amp; _xlfn.TEXTJOIN(CHAR(10) &amp; "- ", TRUE, _xlfn._xlws.FILTER($I$9:$I$1000, ($B$9:$B$1000=B126) * ($H$9:$H$1000="Topic"))), "")</f>
        <v/>
      </c>
      <c r="B126" s="45" t="str">
        <f t="shared" si="19"/>
        <v/>
      </c>
      <c r="C126" s="95"/>
      <c r="D126" s="57"/>
      <c r="E126" s="58"/>
      <c r="F126" s="54"/>
      <c r="G126" s="52"/>
      <c r="H126" s="52"/>
      <c r="I126" s="61"/>
      <c r="J126" s="62"/>
      <c r="K126" s="129" t="str">
        <f t="shared" si="20"/>
        <v/>
      </c>
      <c r="L126" s="103" t="str">
        <f t="shared" si="21"/>
        <v/>
      </c>
      <c r="M126" s="52">
        <v>0</v>
      </c>
      <c r="N126" s="102" t="str">
        <f t="shared" si="22"/>
        <v/>
      </c>
      <c r="O126" s="103" t="str">
        <f t="shared" si="23"/>
        <v/>
      </c>
      <c r="P126" s="52">
        <v>0</v>
      </c>
      <c r="Q126" s="102" t="str">
        <f t="shared" si="24"/>
        <v/>
      </c>
      <c r="R126" s="103" t="str">
        <f t="shared" si="25"/>
        <v/>
      </c>
      <c r="S126" s="52">
        <v>0</v>
      </c>
      <c r="T126" s="102" t="str">
        <f t="shared" si="26"/>
        <v/>
      </c>
      <c r="U126" s="103" t="str">
        <f t="shared" si="27"/>
        <v/>
      </c>
      <c r="V126" s="52">
        <v>0</v>
      </c>
      <c r="W126" s="87" t="str">
        <f t="shared" si="28"/>
        <v/>
      </c>
      <c r="X126" s="103" t="str">
        <f t="shared" si="29"/>
        <v/>
      </c>
      <c r="Y126" s="52">
        <v>0</v>
      </c>
      <c r="Z126" s="56" t="str">
        <f t="shared" si="30"/>
        <v/>
      </c>
      <c r="AA126" s="56" t="str">
        <f t="shared" si="31"/>
        <v/>
      </c>
      <c r="AB126" s="56" t="str">
        <f t="shared" si="32"/>
        <v/>
      </c>
      <c r="AC126" s="56" t="str">
        <f t="shared" si="33"/>
        <v/>
      </c>
      <c r="AD126" s="56" t="str">
        <f t="shared" si="34"/>
        <v/>
      </c>
      <c r="AE126" s="40"/>
      <c r="AF126" s="40"/>
      <c r="AG126" s="40"/>
      <c r="AH126" s="56" t="str">
        <f t="shared" si="35"/>
        <v/>
      </c>
      <c r="AI126" s="54"/>
      <c r="AJ126" s="54"/>
      <c r="AK126" s="54"/>
      <c r="AL126" s="54"/>
      <c r="AM126" s="54"/>
    </row>
    <row r="127" spans="1:39">
      <c r="A127" s="45" t="str" cm="1">
        <f t="array" ref="A127">IF(H127="PROJECT", CHAR(10) &amp; "- " &amp; _xlfn.TEXTJOIN(CHAR(10) &amp; "- ", TRUE, _xlfn._xlws.FILTER($I$9:$I$1000, ($B$9:$B$1000=B127) * ($H$9:$H$1000="Topic"))), "")</f>
        <v/>
      </c>
      <c r="B127" s="45" t="str">
        <f t="shared" si="19"/>
        <v/>
      </c>
      <c r="C127" s="95"/>
      <c r="D127" s="46"/>
      <c r="E127" s="58"/>
      <c r="F127" s="67"/>
      <c r="G127" s="53"/>
      <c r="H127" s="53"/>
      <c r="I127" s="50"/>
      <c r="J127" s="51"/>
      <c r="K127" s="129" t="str">
        <f t="shared" si="20"/>
        <v/>
      </c>
      <c r="L127" s="103" t="str">
        <f t="shared" si="21"/>
        <v/>
      </c>
      <c r="M127" s="53">
        <v>0</v>
      </c>
      <c r="N127" s="102" t="str">
        <f t="shared" si="22"/>
        <v/>
      </c>
      <c r="O127" s="103" t="str">
        <f t="shared" si="23"/>
        <v/>
      </c>
      <c r="P127" s="53">
        <v>0</v>
      </c>
      <c r="Q127" s="102" t="str">
        <f t="shared" si="24"/>
        <v/>
      </c>
      <c r="R127" s="103" t="str">
        <f t="shared" si="25"/>
        <v/>
      </c>
      <c r="S127" s="53">
        <v>0</v>
      </c>
      <c r="T127" s="102" t="str">
        <f t="shared" si="26"/>
        <v/>
      </c>
      <c r="U127" s="103" t="str">
        <f t="shared" si="27"/>
        <v/>
      </c>
      <c r="V127" s="53">
        <v>0</v>
      </c>
      <c r="W127" s="87" t="str">
        <f t="shared" si="28"/>
        <v/>
      </c>
      <c r="X127" s="103" t="str">
        <f t="shared" si="29"/>
        <v/>
      </c>
      <c r="Y127" s="53">
        <v>0</v>
      </c>
      <c r="Z127" s="56" t="str">
        <f t="shared" si="30"/>
        <v/>
      </c>
      <c r="AA127" s="56" t="str">
        <f t="shared" si="31"/>
        <v/>
      </c>
      <c r="AB127" s="56" t="str">
        <f t="shared" si="32"/>
        <v/>
      </c>
      <c r="AC127" s="56" t="str">
        <f t="shared" si="33"/>
        <v/>
      </c>
      <c r="AD127" s="56" t="str">
        <f t="shared" si="34"/>
        <v/>
      </c>
      <c r="AE127" s="40"/>
      <c r="AF127" s="40"/>
      <c r="AG127" s="40"/>
      <c r="AH127" s="56" t="str">
        <f t="shared" si="35"/>
        <v/>
      </c>
      <c r="AI127" s="54"/>
      <c r="AJ127" s="54"/>
      <c r="AK127" s="54"/>
      <c r="AL127" s="54"/>
      <c r="AM127" s="54"/>
    </row>
    <row r="128" spans="1:39">
      <c r="A128" s="45" t="str" cm="1">
        <f t="array" ref="A128">IF(H128="PROJECT", CHAR(10) &amp; "- " &amp; _xlfn.TEXTJOIN(CHAR(10) &amp; "- ", TRUE, _xlfn._xlws.FILTER($I$9:$I$1000, ($B$9:$B$1000=B128) * ($H$9:$H$1000="Topic"))), "")</f>
        <v/>
      </c>
      <c r="B128" s="45" t="str">
        <f t="shared" si="19"/>
        <v/>
      </c>
      <c r="C128" s="95"/>
      <c r="D128" s="57"/>
      <c r="E128" s="58"/>
      <c r="F128" s="54"/>
      <c r="G128" s="52"/>
      <c r="H128" s="52"/>
      <c r="I128" s="61"/>
      <c r="J128" s="62"/>
      <c r="K128" s="129" t="str">
        <f t="shared" si="20"/>
        <v/>
      </c>
      <c r="L128" s="103" t="str">
        <f t="shared" si="21"/>
        <v/>
      </c>
      <c r="M128" s="52">
        <v>0</v>
      </c>
      <c r="N128" s="102" t="str">
        <f t="shared" si="22"/>
        <v/>
      </c>
      <c r="O128" s="103" t="str">
        <f t="shared" si="23"/>
        <v/>
      </c>
      <c r="P128" s="52">
        <v>0</v>
      </c>
      <c r="Q128" s="102" t="str">
        <f t="shared" si="24"/>
        <v/>
      </c>
      <c r="R128" s="103" t="str">
        <f t="shared" si="25"/>
        <v/>
      </c>
      <c r="S128" s="52">
        <v>0</v>
      </c>
      <c r="T128" s="102" t="str">
        <f t="shared" si="26"/>
        <v/>
      </c>
      <c r="U128" s="103" t="str">
        <f t="shared" si="27"/>
        <v/>
      </c>
      <c r="V128" s="52">
        <v>0</v>
      </c>
      <c r="W128" s="87" t="str">
        <f t="shared" si="28"/>
        <v/>
      </c>
      <c r="X128" s="103" t="str">
        <f t="shared" si="29"/>
        <v/>
      </c>
      <c r="Y128" s="52">
        <v>0</v>
      </c>
      <c r="Z128" s="56" t="str">
        <f t="shared" si="30"/>
        <v/>
      </c>
      <c r="AA128" s="56" t="str">
        <f t="shared" si="31"/>
        <v/>
      </c>
      <c r="AB128" s="56" t="str">
        <f t="shared" si="32"/>
        <v/>
      </c>
      <c r="AC128" s="56" t="str">
        <f t="shared" si="33"/>
        <v/>
      </c>
      <c r="AD128" s="56" t="str">
        <f t="shared" si="34"/>
        <v/>
      </c>
      <c r="AE128" s="40"/>
      <c r="AF128" s="40"/>
      <c r="AG128" s="40"/>
      <c r="AH128" s="56" t="str">
        <f t="shared" si="35"/>
        <v/>
      </c>
      <c r="AI128" s="54"/>
      <c r="AJ128" s="54"/>
      <c r="AK128" s="54"/>
      <c r="AL128" s="54"/>
      <c r="AM128" s="54"/>
    </row>
    <row r="129" spans="1:39">
      <c r="A129" s="45" t="str" cm="1">
        <f t="array" ref="A129">IF(H129="PROJECT", CHAR(10) &amp; "- " &amp; _xlfn.TEXTJOIN(CHAR(10) &amp; "- ", TRUE, _xlfn._xlws.FILTER($I$9:$I$1000, ($B$9:$B$1000=B129) * ($H$9:$H$1000="Topic"))), "")</f>
        <v/>
      </c>
      <c r="B129" s="45" t="str">
        <f t="shared" si="19"/>
        <v/>
      </c>
      <c r="C129" s="95"/>
      <c r="D129" s="46"/>
      <c r="E129" s="58"/>
      <c r="F129" s="67"/>
      <c r="G129" s="53"/>
      <c r="H129" s="53"/>
      <c r="I129" s="50"/>
      <c r="J129" s="51"/>
      <c r="K129" s="129" t="str">
        <f t="shared" si="20"/>
        <v/>
      </c>
      <c r="L129" s="103" t="str">
        <f t="shared" si="21"/>
        <v/>
      </c>
      <c r="M129" s="53">
        <v>0</v>
      </c>
      <c r="N129" s="102" t="str">
        <f t="shared" si="22"/>
        <v/>
      </c>
      <c r="O129" s="103" t="str">
        <f t="shared" si="23"/>
        <v/>
      </c>
      <c r="P129" s="53">
        <v>0</v>
      </c>
      <c r="Q129" s="102" t="str">
        <f t="shared" si="24"/>
        <v/>
      </c>
      <c r="R129" s="103" t="str">
        <f t="shared" si="25"/>
        <v/>
      </c>
      <c r="S129" s="53">
        <v>0</v>
      </c>
      <c r="T129" s="102" t="str">
        <f t="shared" si="26"/>
        <v/>
      </c>
      <c r="U129" s="103" t="str">
        <f t="shared" si="27"/>
        <v/>
      </c>
      <c r="V129" s="53">
        <v>0</v>
      </c>
      <c r="W129" s="87" t="str">
        <f t="shared" si="28"/>
        <v/>
      </c>
      <c r="X129" s="103" t="str">
        <f t="shared" si="29"/>
        <v/>
      </c>
      <c r="Y129" s="53">
        <v>0</v>
      </c>
      <c r="Z129" s="56" t="str">
        <f t="shared" si="30"/>
        <v/>
      </c>
      <c r="AA129" s="56" t="str">
        <f t="shared" si="31"/>
        <v/>
      </c>
      <c r="AB129" s="56" t="str">
        <f t="shared" si="32"/>
        <v/>
      </c>
      <c r="AC129" s="56" t="str">
        <f t="shared" si="33"/>
        <v/>
      </c>
      <c r="AD129" s="56" t="str">
        <f t="shared" si="34"/>
        <v/>
      </c>
      <c r="AE129" s="40"/>
      <c r="AF129" s="40"/>
      <c r="AG129" s="40"/>
      <c r="AH129" s="56" t="str">
        <f t="shared" si="35"/>
        <v/>
      </c>
      <c r="AI129" s="54"/>
      <c r="AJ129" s="54"/>
      <c r="AK129" s="54"/>
      <c r="AL129" s="54"/>
      <c r="AM129" s="54"/>
    </row>
    <row r="130" spans="1:39">
      <c r="A130" s="45" t="str" cm="1">
        <f t="array" ref="A130">IF(H130="PROJECT", CHAR(10) &amp; "- " &amp; _xlfn.TEXTJOIN(CHAR(10) &amp; "- ", TRUE, _xlfn._xlws.FILTER($I$9:$I$1000, ($B$9:$B$1000=B130) * ($H$9:$H$1000="Topic"))), "")</f>
        <v/>
      </c>
      <c r="B130" s="45" t="str">
        <f t="shared" si="19"/>
        <v/>
      </c>
      <c r="C130" s="95"/>
      <c r="D130" s="57"/>
      <c r="E130" s="58"/>
      <c r="F130" s="54"/>
      <c r="G130" s="52"/>
      <c r="H130" s="52"/>
      <c r="I130" s="61"/>
      <c r="J130" s="62"/>
      <c r="K130" s="129" t="str">
        <f t="shared" si="20"/>
        <v/>
      </c>
      <c r="L130" s="103" t="str">
        <f t="shared" si="21"/>
        <v/>
      </c>
      <c r="M130" s="52">
        <v>0</v>
      </c>
      <c r="N130" s="102" t="str">
        <f t="shared" si="22"/>
        <v/>
      </c>
      <c r="O130" s="103" t="str">
        <f t="shared" si="23"/>
        <v/>
      </c>
      <c r="P130" s="52">
        <v>0</v>
      </c>
      <c r="Q130" s="102" t="str">
        <f t="shared" si="24"/>
        <v/>
      </c>
      <c r="R130" s="103" t="str">
        <f t="shared" si="25"/>
        <v/>
      </c>
      <c r="S130" s="52">
        <v>0</v>
      </c>
      <c r="T130" s="102" t="str">
        <f t="shared" si="26"/>
        <v/>
      </c>
      <c r="U130" s="103" t="str">
        <f t="shared" si="27"/>
        <v/>
      </c>
      <c r="V130" s="52">
        <v>0</v>
      </c>
      <c r="W130" s="87" t="str">
        <f t="shared" si="28"/>
        <v/>
      </c>
      <c r="X130" s="103" t="str">
        <f t="shared" si="29"/>
        <v/>
      </c>
      <c r="Y130" s="52">
        <v>0</v>
      </c>
      <c r="Z130" s="56" t="str">
        <f t="shared" si="30"/>
        <v/>
      </c>
      <c r="AA130" s="56" t="str">
        <f t="shared" si="31"/>
        <v/>
      </c>
      <c r="AB130" s="56" t="str">
        <f t="shared" si="32"/>
        <v/>
      </c>
      <c r="AC130" s="56" t="str">
        <f t="shared" si="33"/>
        <v/>
      </c>
      <c r="AD130" s="56" t="str">
        <f t="shared" si="34"/>
        <v/>
      </c>
      <c r="AE130" s="40"/>
      <c r="AF130" s="40"/>
      <c r="AG130" s="40"/>
      <c r="AH130" s="56" t="str">
        <f t="shared" si="35"/>
        <v/>
      </c>
      <c r="AI130" s="54"/>
      <c r="AJ130" s="54"/>
      <c r="AK130" s="54"/>
      <c r="AL130" s="54"/>
      <c r="AM130" s="54"/>
    </row>
    <row r="131" spans="1:39">
      <c r="A131" s="45" t="str" cm="1">
        <f t="array" ref="A131">IF(H131="PROJECT", CHAR(10) &amp; "- " &amp; _xlfn.TEXTJOIN(CHAR(10) &amp; "- ", TRUE, _xlfn._xlws.FILTER($I$9:$I$1000, ($B$9:$B$1000=B131) * ($H$9:$H$1000="Topic"))), "")</f>
        <v/>
      </c>
      <c r="B131" s="45" t="str">
        <f t="shared" si="19"/>
        <v/>
      </c>
      <c r="C131" s="95"/>
      <c r="D131" s="46"/>
      <c r="E131" s="58"/>
      <c r="F131" s="67"/>
      <c r="G131" s="53"/>
      <c r="H131" s="53"/>
      <c r="I131" s="50"/>
      <c r="J131" s="51"/>
      <c r="K131" s="129" t="str">
        <f t="shared" si="20"/>
        <v/>
      </c>
      <c r="L131" s="103" t="str">
        <f t="shared" si="21"/>
        <v/>
      </c>
      <c r="M131" s="53">
        <v>0</v>
      </c>
      <c r="N131" s="102" t="str">
        <f t="shared" si="22"/>
        <v/>
      </c>
      <c r="O131" s="103" t="str">
        <f t="shared" si="23"/>
        <v/>
      </c>
      <c r="P131" s="53">
        <v>0</v>
      </c>
      <c r="Q131" s="102" t="str">
        <f t="shared" si="24"/>
        <v/>
      </c>
      <c r="R131" s="103" t="str">
        <f t="shared" si="25"/>
        <v/>
      </c>
      <c r="S131" s="53">
        <v>0</v>
      </c>
      <c r="T131" s="102" t="str">
        <f t="shared" si="26"/>
        <v/>
      </c>
      <c r="U131" s="103" t="str">
        <f t="shared" si="27"/>
        <v/>
      </c>
      <c r="V131" s="53">
        <v>0</v>
      </c>
      <c r="W131" s="87" t="str">
        <f t="shared" si="28"/>
        <v/>
      </c>
      <c r="X131" s="103" t="str">
        <f t="shared" si="29"/>
        <v/>
      </c>
      <c r="Y131" s="53">
        <v>0</v>
      </c>
      <c r="Z131" s="56" t="str">
        <f t="shared" si="30"/>
        <v/>
      </c>
      <c r="AA131" s="56" t="str">
        <f t="shared" si="31"/>
        <v/>
      </c>
      <c r="AB131" s="56" t="str">
        <f t="shared" si="32"/>
        <v/>
      </c>
      <c r="AC131" s="56" t="str">
        <f t="shared" si="33"/>
        <v/>
      </c>
      <c r="AD131" s="56" t="str">
        <f t="shared" si="34"/>
        <v/>
      </c>
      <c r="AE131" s="40"/>
      <c r="AF131" s="40"/>
      <c r="AG131" s="40"/>
      <c r="AH131" s="56" t="str">
        <f t="shared" si="35"/>
        <v/>
      </c>
      <c r="AI131" s="54"/>
      <c r="AJ131" s="54"/>
      <c r="AK131" s="54"/>
      <c r="AL131" s="54"/>
      <c r="AM131" s="54"/>
    </row>
    <row r="132" spans="1:39">
      <c r="A132" s="45" t="str" cm="1">
        <f t="array" ref="A132">IF(H132="PROJECT", CHAR(10) &amp; "- " &amp; _xlfn.TEXTJOIN(CHAR(10) &amp; "- ", TRUE, _xlfn._xlws.FILTER($I$9:$I$1000, ($B$9:$B$1000=B132) * ($H$9:$H$1000="Topic"))), "")</f>
        <v/>
      </c>
      <c r="B132" s="45" t="str">
        <f t="shared" si="19"/>
        <v/>
      </c>
      <c r="C132" s="95"/>
      <c r="D132" s="57"/>
      <c r="E132" s="58"/>
      <c r="F132" s="54"/>
      <c r="G132" s="52"/>
      <c r="H132" s="52"/>
      <c r="I132" s="61"/>
      <c r="J132" s="62"/>
      <c r="K132" s="129" t="str">
        <f t="shared" si="20"/>
        <v/>
      </c>
      <c r="L132" s="103" t="str">
        <f t="shared" si="21"/>
        <v/>
      </c>
      <c r="M132" s="52">
        <v>0</v>
      </c>
      <c r="N132" s="102" t="str">
        <f t="shared" si="22"/>
        <v/>
      </c>
      <c r="O132" s="103" t="str">
        <f t="shared" si="23"/>
        <v/>
      </c>
      <c r="P132" s="52">
        <v>0</v>
      </c>
      <c r="Q132" s="102" t="str">
        <f t="shared" si="24"/>
        <v/>
      </c>
      <c r="R132" s="103" t="str">
        <f t="shared" si="25"/>
        <v/>
      </c>
      <c r="S132" s="52">
        <v>0</v>
      </c>
      <c r="T132" s="102" t="str">
        <f t="shared" si="26"/>
        <v/>
      </c>
      <c r="U132" s="103" t="str">
        <f t="shared" si="27"/>
        <v/>
      </c>
      <c r="V132" s="52">
        <v>0</v>
      </c>
      <c r="W132" s="87" t="str">
        <f t="shared" si="28"/>
        <v/>
      </c>
      <c r="X132" s="103" t="str">
        <f t="shared" si="29"/>
        <v/>
      </c>
      <c r="Y132" s="52">
        <v>0</v>
      </c>
      <c r="Z132" s="56" t="str">
        <f t="shared" si="30"/>
        <v/>
      </c>
      <c r="AA132" s="56" t="str">
        <f t="shared" si="31"/>
        <v/>
      </c>
      <c r="AB132" s="56" t="str">
        <f t="shared" si="32"/>
        <v/>
      </c>
      <c r="AC132" s="56" t="str">
        <f t="shared" si="33"/>
        <v/>
      </c>
      <c r="AD132" s="56" t="str">
        <f t="shared" si="34"/>
        <v/>
      </c>
      <c r="AE132" s="40"/>
      <c r="AF132" s="40"/>
      <c r="AG132" s="40"/>
      <c r="AH132" s="56" t="str">
        <f t="shared" si="35"/>
        <v/>
      </c>
      <c r="AI132" s="54"/>
      <c r="AJ132" s="54"/>
      <c r="AK132" s="54"/>
      <c r="AL132" s="54"/>
      <c r="AM132" s="54"/>
    </row>
    <row r="133" spans="1:39">
      <c r="A133" s="45" t="str" cm="1">
        <f t="array" ref="A133">IF(H133="PROJECT", CHAR(10) &amp; "- " &amp; _xlfn.TEXTJOIN(CHAR(10) &amp; "- ", TRUE, _xlfn._xlws.FILTER($I$9:$I$1000, ($B$9:$B$1000=B133) * ($H$9:$H$1000="Topic"))), "")</f>
        <v/>
      </c>
      <c r="B133" s="45" t="str">
        <f t="shared" si="19"/>
        <v/>
      </c>
      <c r="C133" s="95"/>
      <c r="D133" s="46"/>
      <c r="E133" s="58"/>
      <c r="F133" s="67"/>
      <c r="G133" s="53"/>
      <c r="H133" s="53"/>
      <c r="I133" s="50"/>
      <c r="J133" s="51"/>
      <c r="K133" s="129" t="str">
        <f t="shared" si="20"/>
        <v/>
      </c>
      <c r="L133" s="103" t="str">
        <f t="shared" si="21"/>
        <v/>
      </c>
      <c r="M133" s="53">
        <v>0</v>
      </c>
      <c r="N133" s="102" t="str">
        <f t="shared" si="22"/>
        <v/>
      </c>
      <c r="O133" s="103" t="str">
        <f t="shared" si="23"/>
        <v/>
      </c>
      <c r="P133" s="53">
        <v>0</v>
      </c>
      <c r="Q133" s="102" t="str">
        <f t="shared" si="24"/>
        <v/>
      </c>
      <c r="R133" s="103" t="str">
        <f t="shared" si="25"/>
        <v/>
      </c>
      <c r="S133" s="53">
        <v>0</v>
      </c>
      <c r="T133" s="102" t="str">
        <f t="shared" si="26"/>
        <v/>
      </c>
      <c r="U133" s="103" t="str">
        <f t="shared" si="27"/>
        <v/>
      </c>
      <c r="V133" s="53">
        <v>0</v>
      </c>
      <c r="W133" s="87" t="str">
        <f t="shared" si="28"/>
        <v/>
      </c>
      <c r="X133" s="103" t="str">
        <f t="shared" si="29"/>
        <v/>
      </c>
      <c r="Y133" s="53">
        <v>0</v>
      </c>
      <c r="Z133" s="56" t="str">
        <f t="shared" si="30"/>
        <v/>
      </c>
      <c r="AA133" s="56" t="str">
        <f t="shared" si="31"/>
        <v/>
      </c>
      <c r="AB133" s="56" t="str">
        <f t="shared" si="32"/>
        <v/>
      </c>
      <c r="AC133" s="56" t="str">
        <f t="shared" si="33"/>
        <v/>
      </c>
      <c r="AD133" s="56" t="str">
        <f t="shared" si="34"/>
        <v/>
      </c>
      <c r="AE133" s="40"/>
      <c r="AF133" s="40"/>
      <c r="AG133" s="40"/>
      <c r="AH133" s="56" t="str">
        <f t="shared" si="35"/>
        <v/>
      </c>
      <c r="AI133" s="54"/>
      <c r="AJ133" s="54"/>
      <c r="AK133" s="54"/>
      <c r="AL133" s="54"/>
      <c r="AM133" s="54"/>
    </row>
    <row r="134" spans="1:39">
      <c r="A134" s="45" t="str" cm="1">
        <f t="array" ref="A134">IF(H134="PROJECT", CHAR(10) &amp; "- " &amp; _xlfn.TEXTJOIN(CHAR(10) &amp; "- ", TRUE, _xlfn._xlws.FILTER($I$9:$I$1000, ($B$9:$B$1000=B134) * ($H$9:$H$1000="Topic"))), "")</f>
        <v/>
      </c>
      <c r="B134" s="45" t="str">
        <f t="shared" si="19"/>
        <v/>
      </c>
      <c r="C134" s="95"/>
      <c r="D134" s="57"/>
      <c r="E134" s="58"/>
      <c r="F134" s="54"/>
      <c r="G134" s="52"/>
      <c r="H134" s="52"/>
      <c r="I134" s="61"/>
      <c r="J134" s="62"/>
      <c r="K134" s="129" t="str">
        <f t="shared" si="20"/>
        <v/>
      </c>
      <c r="L134" s="103" t="str">
        <f t="shared" si="21"/>
        <v/>
      </c>
      <c r="M134" s="52">
        <v>0</v>
      </c>
      <c r="N134" s="102" t="str">
        <f t="shared" si="22"/>
        <v/>
      </c>
      <c r="O134" s="103" t="str">
        <f t="shared" si="23"/>
        <v/>
      </c>
      <c r="P134" s="52">
        <v>0</v>
      </c>
      <c r="Q134" s="102" t="str">
        <f t="shared" si="24"/>
        <v/>
      </c>
      <c r="R134" s="103" t="str">
        <f t="shared" si="25"/>
        <v/>
      </c>
      <c r="S134" s="52">
        <v>0</v>
      </c>
      <c r="T134" s="102" t="str">
        <f t="shared" si="26"/>
        <v/>
      </c>
      <c r="U134" s="103" t="str">
        <f t="shared" si="27"/>
        <v/>
      </c>
      <c r="V134" s="52">
        <v>0</v>
      </c>
      <c r="W134" s="87" t="str">
        <f t="shared" si="28"/>
        <v/>
      </c>
      <c r="X134" s="103" t="str">
        <f t="shared" si="29"/>
        <v/>
      </c>
      <c r="Y134" s="52">
        <v>0</v>
      </c>
      <c r="Z134" s="56" t="str">
        <f t="shared" si="30"/>
        <v/>
      </c>
      <c r="AA134" s="56" t="str">
        <f t="shared" si="31"/>
        <v/>
      </c>
      <c r="AB134" s="56" t="str">
        <f t="shared" si="32"/>
        <v/>
      </c>
      <c r="AC134" s="56" t="str">
        <f t="shared" si="33"/>
        <v/>
      </c>
      <c r="AD134" s="56" t="str">
        <f t="shared" si="34"/>
        <v/>
      </c>
      <c r="AE134" s="40"/>
      <c r="AF134" s="40"/>
      <c r="AG134" s="40"/>
      <c r="AH134" s="56" t="str">
        <f t="shared" si="35"/>
        <v/>
      </c>
      <c r="AI134" s="54"/>
      <c r="AJ134" s="54"/>
      <c r="AK134" s="54"/>
      <c r="AL134" s="54"/>
      <c r="AM134" s="54"/>
    </row>
    <row r="135" spans="1:39">
      <c r="A135" s="45" t="str" cm="1">
        <f t="array" ref="A135">IF(H135="PROJECT", CHAR(10) &amp; "- " &amp; _xlfn.TEXTJOIN(CHAR(10) &amp; "- ", TRUE, _xlfn._xlws.FILTER($I$9:$I$1000, ($B$9:$B$1000=B135) * ($H$9:$H$1000="Topic"))), "")</f>
        <v/>
      </c>
      <c r="B135" s="45" t="str">
        <f t="shared" si="19"/>
        <v/>
      </c>
      <c r="C135" s="95"/>
      <c r="D135" s="46"/>
      <c r="E135" s="58"/>
      <c r="F135" s="67"/>
      <c r="G135" s="53"/>
      <c r="H135" s="53"/>
      <c r="I135" s="50"/>
      <c r="J135" s="51"/>
      <c r="K135" s="129" t="str">
        <f t="shared" si="20"/>
        <v/>
      </c>
      <c r="L135" s="103" t="str">
        <f t="shared" si="21"/>
        <v/>
      </c>
      <c r="M135" s="53">
        <v>0</v>
      </c>
      <c r="N135" s="102" t="str">
        <f t="shared" si="22"/>
        <v/>
      </c>
      <c r="O135" s="103" t="str">
        <f t="shared" si="23"/>
        <v/>
      </c>
      <c r="P135" s="53">
        <v>0</v>
      </c>
      <c r="Q135" s="102" t="str">
        <f t="shared" si="24"/>
        <v/>
      </c>
      <c r="R135" s="103" t="str">
        <f t="shared" si="25"/>
        <v/>
      </c>
      <c r="S135" s="53">
        <v>0</v>
      </c>
      <c r="T135" s="102" t="str">
        <f t="shared" si="26"/>
        <v/>
      </c>
      <c r="U135" s="103" t="str">
        <f t="shared" si="27"/>
        <v/>
      </c>
      <c r="V135" s="53">
        <v>0</v>
      </c>
      <c r="W135" s="87" t="str">
        <f t="shared" si="28"/>
        <v/>
      </c>
      <c r="X135" s="103" t="str">
        <f t="shared" si="29"/>
        <v/>
      </c>
      <c r="Y135" s="53">
        <v>0</v>
      </c>
      <c r="Z135" s="56" t="str">
        <f t="shared" si="30"/>
        <v/>
      </c>
      <c r="AA135" s="56" t="str">
        <f t="shared" si="31"/>
        <v/>
      </c>
      <c r="AB135" s="56" t="str">
        <f t="shared" si="32"/>
        <v/>
      </c>
      <c r="AC135" s="56" t="str">
        <f t="shared" si="33"/>
        <v/>
      </c>
      <c r="AD135" s="56" t="str">
        <f t="shared" si="34"/>
        <v/>
      </c>
      <c r="AE135" s="40"/>
      <c r="AF135" s="40"/>
      <c r="AG135" s="40"/>
      <c r="AH135" s="56" t="str">
        <f t="shared" si="35"/>
        <v/>
      </c>
      <c r="AI135" s="54"/>
      <c r="AJ135" s="54"/>
      <c r="AK135" s="54"/>
      <c r="AL135" s="54"/>
      <c r="AM135" s="54"/>
    </row>
    <row r="136" spans="1:39">
      <c r="A136" s="45" t="str" cm="1">
        <f t="array" ref="A136">IF(H136="PROJECT", CHAR(10) &amp; "- " &amp; _xlfn.TEXTJOIN(CHAR(10) &amp; "- ", TRUE, _xlfn._xlws.FILTER($I$9:$I$1000, ($B$9:$B$1000=B136) * ($H$9:$H$1000="Topic"))), "")</f>
        <v/>
      </c>
      <c r="B136" s="45" t="str">
        <f t="shared" si="19"/>
        <v/>
      </c>
      <c r="C136" s="95"/>
      <c r="D136" s="57"/>
      <c r="E136" s="58"/>
      <c r="F136" s="54"/>
      <c r="G136" s="52"/>
      <c r="H136" s="52"/>
      <c r="I136" s="61"/>
      <c r="J136" s="62"/>
      <c r="K136" s="129" t="str">
        <f t="shared" si="20"/>
        <v/>
      </c>
      <c r="L136" s="103" t="str">
        <f t="shared" si="21"/>
        <v/>
      </c>
      <c r="M136" s="52">
        <v>0</v>
      </c>
      <c r="N136" s="102" t="str">
        <f t="shared" si="22"/>
        <v/>
      </c>
      <c r="O136" s="103" t="str">
        <f t="shared" si="23"/>
        <v/>
      </c>
      <c r="P136" s="52">
        <v>0</v>
      </c>
      <c r="Q136" s="102" t="str">
        <f t="shared" si="24"/>
        <v/>
      </c>
      <c r="R136" s="103" t="str">
        <f t="shared" si="25"/>
        <v/>
      </c>
      <c r="S136" s="52">
        <v>0</v>
      </c>
      <c r="T136" s="102" t="str">
        <f t="shared" si="26"/>
        <v/>
      </c>
      <c r="U136" s="103" t="str">
        <f t="shared" si="27"/>
        <v/>
      </c>
      <c r="V136" s="52">
        <v>0</v>
      </c>
      <c r="W136" s="87" t="str">
        <f t="shared" si="28"/>
        <v/>
      </c>
      <c r="X136" s="103" t="str">
        <f t="shared" si="29"/>
        <v/>
      </c>
      <c r="Y136" s="52">
        <v>0</v>
      </c>
      <c r="Z136" s="56" t="str">
        <f t="shared" si="30"/>
        <v/>
      </c>
      <c r="AA136" s="56" t="str">
        <f t="shared" si="31"/>
        <v/>
      </c>
      <c r="AB136" s="56" t="str">
        <f t="shared" si="32"/>
        <v/>
      </c>
      <c r="AC136" s="56" t="str">
        <f t="shared" si="33"/>
        <v/>
      </c>
      <c r="AD136" s="56" t="str">
        <f t="shared" si="34"/>
        <v/>
      </c>
      <c r="AE136" s="40"/>
      <c r="AF136" s="40"/>
      <c r="AG136" s="40"/>
      <c r="AH136" s="56" t="str">
        <f t="shared" si="35"/>
        <v/>
      </c>
      <c r="AI136" s="54"/>
      <c r="AJ136" s="54"/>
      <c r="AK136" s="54"/>
      <c r="AL136" s="54"/>
      <c r="AM136" s="54"/>
    </row>
    <row r="137" spans="1:39">
      <c r="A137" s="45" t="str" cm="1">
        <f t="array" ref="A137">IF(H137="PROJECT", CHAR(10) &amp; "- " &amp; _xlfn.TEXTJOIN(CHAR(10) &amp; "- ", TRUE, _xlfn._xlws.FILTER($I$9:$I$1000, ($B$9:$B$1000=B137) * ($H$9:$H$1000="Topic"))), "")</f>
        <v/>
      </c>
      <c r="B137" s="45" t="str">
        <f t="shared" si="19"/>
        <v/>
      </c>
      <c r="C137" s="95"/>
      <c r="D137" s="46"/>
      <c r="E137" s="58"/>
      <c r="F137" s="67"/>
      <c r="G137" s="53"/>
      <c r="H137" s="53"/>
      <c r="I137" s="50"/>
      <c r="J137" s="51"/>
      <c r="K137" s="129" t="str">
        <f t="shared" si="20"/>
        <v/>
      </c>
      <c r="L137" s="103" t="str">
        <f t="shared" si="21"/>
        <v/>
      </c>
      <c r="M137" s="53">
        <v>0</v>
      </c>
      <c r="N137" s="102" t="str">
        <f t="shared" si="22"/>
        <v/>
      </c>
      <c r="O137" s="103" t="str">
        <f t="shared" si="23"/>
        <v/>
      </c>
      <c r="P137" s="53">
        <v>0</v>
      </c>
      <c r="Q137" s="102" t="str">
        <f t="shared" si="24"/>
        <v/>
      </c>
      <c r="R137" s="103" t="str">
        <f t="shared" si="25"/>
        <v/>
      </c>
      <c r="S137" s="53">
        <v>0</v>
      </c>
      <c r="T137" s="102" t="str">
        <f t="shared" si="26"/>
        <v/>
      </c>
      <c r="U137" s="103" t="str">
        <f t="shared" si="27"/>
        <v/>
      </c>
      <c r="V137" s="53">
        <v>0</v>
      </c>
      <c r="W137" s="87" t="str">
        <f t="shared" si="28"/>
        <v/>
      </c>
      <c r="X137" s="103" t="str">
        <f t="shared" si="29"/>
        <v/>
      </c>
      <c r="Y137" s="53">
        <v>0</v>
      </c>
      <c r="Z137" s="56" t="str">
        <f t="shared" si="30"/>
        <v/>
      </c>
      <c r="AA137" s="56" t="str">
        <f t="shared" si="31"/>
        <v/>
      </c>
      <c r="AB137" s="56" t="str">
        <f t="shared" si="32"/>
        <v/>
      </c>
      <c r="AC137" s="56" t="str">
        <f t="shared" si="33"/>
        <v/>
      </c>
      <c r="AD137" s="56" t="str">
        <f t="shared" si="34"/>
        <v/>
      </c>
      <c r="AE137" s="40"/>
      <c r="AF137" s="40"/>
      <c r="AG137" s="40"/>
      <c r="AH137" s="56" t="str">
        <f t="shared" ref="AH137:AH168" si="36">IF(AE137=$B$6,AG137,"")</f>
        <v/>
      </c>
      <c r="AI137" s="54"/>
      <c r="AJ137" s="54"/>
      <c r="AK137" s="54"/>
      <c r="AL137" s="54"/>
      <c r="AM137" s="54"/>
    </row>
    <row r="138" spans="1:39">
      <c r="A138" s="45" t="str" cm="1">
        <f t="array" ref="A138">IF(H138="PROJECT", CHAR(10) &amp; "- " &amp; _xlfn.TEXTJOIN(CHAR(10) &amp; "- ", TRUE, _xlfn._xlws.FILTER($I$9:$I$1000, ($B$9:$B$1000=B138) * ($H$9:$H$1000="Topic"))), "")</f>
        <v/>
      </c>
      <c r="B138" s="45" t="str">
        <f t="shared" ref="B138:B200" si="37">IF(H138="","",IF(AND(H138="Topic",H137="PROJECT"),B137+1,IF(H138="PROJECT",B137,IF(AND(H138="Topic",H137="Topic"),B137,B137+1))))</f>
        <v/>
      </c>
      <c r="C138" s="95"/>
      <c r="D138" s="57"/>
      <c r="E138" s="58"/>
      <c r="F138" s="54"/>
      <c r="G138" s="52"/>
      <c r="H138" s="52"/>
      <c r="I138" s="61"/>
      <c r="J138" s="62"/>
      <c r="K138" s="129" t="str">
        <f t="shared" ref="K138:K200" si="38">IF(H138="Topic",
"[ROLE] Friendly tutor specializing in " &amp; $I$2 &amp; " | " &amp;
"[TOPIC] " &amp; I138 &amp; " | " &amp;
"[LEVEL] " &amp; G138 &amp; " | " &amp;
"[COUNT] " &amp; D138 &amp; " examples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"[EXECUTIVE CONSTRAINTS] Each example MUST include: - Internal data OR dataset usage - Print key intermediate steps and the final result - MUST NOT exceed exactly " &amp; $C138 &amp; " lines of EXECUTABLE code (STRICT: Do NOT count comments or blank lines). - NEVER exceed this limit. | " &amp;
"[FUNCTION RULE] Rule: " &amp; IF(G138="Beginner","Focus on stateless GenServer callbacks, init/1, handle_call/3, and primitive messaging structures. DO NOT use complex dynamic supervision trees.", IF(G138="Intermediate",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
_xlfn._LONGTEXT("[CODE_CONSTRAINTS_RULE]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
"[I_O_PARADIGM] Use State management via GenServer/Agent process state structures. and gracefully handle Use IO.puts/1 or IO.inspect/2 to display server responses clearly. when applicable. | " &amp;
"[INLINE_PACKAGE_MANAGER] If using external packages, use Native OTP behaviors (GenServer, Supervisor, Agent, Task), Kernel functions, and BEAM supervision trees. at the top of the code block. Assume no project configuration file exists. | " &amp;
_xlfn._LONGTEXT("[CONCEPT_ISOLATION_RULE]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
"[CODE QUALITY RULE] Code MUST be clean, readable, educational, executable and produce correct results. Safely handle missing/malformed/inconsistent data, using pattern matching if possible. | " &amp;
"[COMMENT CONSTRAINTS] Code MUST include enough inline comments explaining WHAT it does AND WHY. Density: Beginner=high, Intermediate=medium, Advanced=lower but present in key logic. | " &amp;
"[FORMAT RULE] Only valid markdown code blocks allowed | " &amp;
"[LANGUAGE TAG RULE] ALWAYS label markdown code blocks with the correct underlying programming language (e.g., elixir, javascript, sql) | " &amp;
"[HEADER RULE - STRICT] You MUST start your entire response EXACTLY with this markdown block (do not print anything before it):" &amp; CHAR(10) &amp; "### 🔹 Topic #" &amp; F138 &amp; " | Stage 1 📖 Practice | " &amp; IF($I$3="", $I$2, $I$2&amp; " - " &amp;$I$3) &amp; " | 📊 Level: " &amp; G138 &amp; " | 🌐 Coding5s.com" &amp; CHAR(10) &amp; "**Concept:** " &amp; J138 &amp; CHAR(10) &amp; "---" &amp; CHAR(10) &amp; " | " &amp;
"[INTRO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
"[PERSONA RULE] Act as a friendly, clear tutor | " &amp;
"[TASK] Teach and explain concepts clearly with correct code examples | " &amp;
"[OUTPUT CONTRACT] EXACTLY " &amp; D138 &amp; _xlfn._LONGTEXT("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
"[CODE QUALITY RULE] Code MUST be clean, readable, educational, executable, and produce correct and accurate results | " &amp;
"[COMMENT RULE - STRICT] Code MUST include sufficient inline comments explaining important lines and logical blocks | " &amp;
"[COMMENT DEPTH RULE] Comments MUST explain WHAT the code does AND WHY it is written that way | " &amp;
"[EXPLANATION RULE] Explanation within 'Mini-Lección' MUST explain WHAT, WHY, HOW, and real-world context concisely | " &amp;
"[LEARNING RULE] Each example MUST highlight a key insight | " &amp;
"[COMMON MISTAKES RULE] Include a short mistake note after each example | " &amp;
"[MINI CHALLENGE RULE] Include a short reinforcement question after each example | " &amp;
"[REAL WORLD RULE] Connect each example to a real-world use case | " &amp;
"[FORMAT RULE] Only valid markdown code blocks allowed | " &amp;
"[LANGUAGE TAG RULE] ALWAYS label markdown code blocks with the correct underlying programming language (e.g., python, javascript, sql) | " &amp;
"[CONSISTENCY RULE] All examples MUST have similar complexity and length | " &amp;
"[FINAL OUTPUT RULE] Include Key Takeaway section at the end | " &amp; IF(AJ138&lt;&gt;"", AJ138, "") &amp;" | " &amp;
_xlfn._LONGTEXT("[DATA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
"[DATA SUMMARY FORMAT RULE] When a dataset is present, you MUST display IMMEDIATELY AFTER THE HEADER: Dataset Summary: - File Type: - Columns / Fields: - Data Types: - Notes: | " &amp;
"[DATA CONSISTENCY RULE] Respect dataset schema | " &amp;
"[COMMENT DENSITY RULE] Beginner = high, Intermediate = medium, Advanced = lower but present in key logic | " &amp;
"[DIFFICULTY RULE] Complexity MUST match level | " &amp;
"[OUTPUT] Only header, introduction, examples, outputs, notes, summary, and footer | " &amp;
"[FOOTER RULE - STRICT] End your entire response EXACTLY with this markdown string (ensure all code blocks are closed before it): ⚡ *Coding5s System — Learn Programming by Writing Code* | ",
IF(H138="PROJECT", Z138, ""))</f>
        <v/>
      </c>
      <c r="L138" s="103" t="str">
        <f t="shared" ref="L138:L200" si="39">IF(OR(H138="Topic", UPPER(H138)="PROJECT"),
"[MENTOR_S1_SAFE_GUIDE] Act as 'The Safe Guide' (El Hermano Mayor) - a World-Class Elite Technical Mentor for Stage 1 Practice specializing in " &amp; $I$2 &amp; " - " &amp; $I$3 &amp; _xlfn._LONGTEXT(".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
"[CULTURAL &amp; JARGON RULE] If the language (" &amp; $B$6 &amp; _xlfn._LONGTEXT(")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
"[CONTEXT] You are helping a Junior Developer who is " &amp; IF(UPPER(H138)="PROJECT", "building a PROJECT: " &amp; I138 &amp; ". Topics applied in this project: " &amp; A138 &amp; ". Project objective: " &amp; J138, "learning: " &amp; I138 &amp; ". Topic details: " &amp; J138) &amp; " | " &amp;
"[LIBRARY BEING LEARNED] " &amp; $I$3 &amp; " | " &amp;
"[LANGUAGE CONSISTENCY RULE] ALL output text MUST be written strictly in (" &amp; $B$6 &amp; "). | " &amp;
"[LANGUAGE SEED CONTEXT] " &amp; IF($AE$7 = "", "Language Seed Not Necessary", "You MUST strictly follow this seed context to enhance, adapt, and naturalize your tone, vocabulary, and instructional quality in " &amp; $B$6 &amp; ": " &amp; $AE$7) &amp; " | " &amp;
"[LANGUAGE] " &amp; $B$6 &amp;" | " &amp;
"[MENTOR_SCOPE_EXPECTATIONS] " &amp; IF(G138="Beginner", "Evaluate basic GenServer state init, handle_call responses, and simple client wrappers. Do NOT expect dynamic supervisors or multi-node distribution unless demanded.", IF(G138="Intermediate",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
_xlfn._LONGTEXT("[CODE_QUALITY_POLICIES]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IF(AJ138&lt;&gt;"", "[MENTOR CONTEXT ALERT] Be aware of the following infrastructure limitation for this exercise: " &amp; AJ138 &amp; " Use this knowledge to reassure the student if they present an environment error. | ", "") &amp; " | " &amp;
_xlfn._LONGTEXT("[DATA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
"[EMPTY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
"[TASK] Analyze the student's code and explanation. If the code is perfect, congratulate them warmly and provide 2 'Bonus Challenges'. Otherwise, follow the 2-PHASE MENTORING PROTOCOL | " &amp;
_xlfn._LONGTEXT("[ATOMIC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
_xlfn._LONGTEXT("[PHASE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IF(UPPER(H138)="PROJECT", "PROJECT", "TOPIC") &amp; _xlfn._LONGTEXT("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
"[EXPLANATION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
_xlfn._LONGTEXT("[MINIMAL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
"[PHASE 2: FULL SOLUTION - STRICT] 1. Provide the clean, idiomatic " &amp; $I$2 &amp; " code, and fully functional " &amp; $I$2 &amp; _xlfn._LONGTEXT("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IF(UPPER(H138)="PROJECT", "project", "topic") &amp; ". 5. Provide a section exactly titled '🏋️ Mini-Challenges:' with 2 tasks to reinforce the fix. | " &amp;
"[HEADER RULE - STRICT] You MUST start your entire response exactly with the following RAW markdown block (do NOT strip the '#' characters):" &amp; CHAR(10) &amp; "### 🎓 Mentor Stage 1 | " &amp; IF(UPPER(H138)="PROJECT", "Project #", "Topic #") &amp; F138 &amp; " | Practice | " &amp; IF($I$3="", $I$2, $I$2&amp; " - " &amp;$I$3) &amp; " | 📊 Level: " &amp; G138 &amp; CHAR(10) &amp; "**" &amp; IF(UPPER(H138)="PROJECT", "Project", "Topic") &amp; ":** " &amp; I138 &amp; CHAR(10) &amp; "---" &amp; CHAR(10) &amp; " | " &amp;
"[FOOTER RULE - STRICT] End your response with: '--- ⚡ *Coding5s Mentor System — Eliminating Epistemic Debt*' | ","")</f>
        <v/>
      </c>
      <c r="M138" s="52">
        <v>0</v>
      </c>
      <c r="N138" s="102" t="str">
        <f t="shared" ref="N138:N200" si="40">IF(H138="Topic",
"[ROLE] Careless " &amp; $I$2 &amp; " Developer | " &amp;
"[TASK] Generate debugging challenges in " &amp; $I$2 &amp; " | | " &amp;
"[TOPIC] " &amp; I138 &amp; " | | " &amp;
"[LEVEL] " &amp; G138 &amp; "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F138 &amp; " | Stage 2 🐛 Debug | " &amp; IF($I$3="", $I$2, $I$2&amp; " - " &amp;$I$3) &amp; " | 📊 Level: " &amp; G138 &amp; " | 🌐 Coding5s.com" &amp; CHAR(10) &amp; "Concept: " &amp; J138 &amp; CHAR(10) &amp; "---" &amp; CHAR(10) &amp; "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_xlfn._LONGTEXT("[FILE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
"[TESTING_FRAMEWORK_RULE] Validate with IO output or simple ExUnit assert/refute macros. Avoid complex suites, setup chains, or excessive test scaffolding. | " &amp;
"[DEPENDENCY_MANAGEMENT_RULE] Standard Mix/Elixir context. If external packages are needed, declare them only in mix.exs and install with mix deps.get. | " &amp;
"[CODE CONSTRAINTS] Each challenge MUST include GenServer/Agent process use, at least 1 IO.puts/IO.inspect, state transformation, EXACTLY 1 OTP module, and EXACTLY 1 process call/cast. - " &amp; IF(G138="Beginner", "5–15", IF(G138="Intermediate", "10–25", "15–35")) &amp; _xlfn._LONGTEXT(" lines of EXECUTABLE broken Elixir OTP code per challenge; exclude blank lines. NO raw process receive loops and NO top-level executable expressions EXCEPT the startup and call flow. | All challenges MUST maintain similar complexity, length, and functiona","l scope. | ") &amp;
"[INTRO RULE] The intro MUST be a dynamically generated, urgent, unprofessional email in " &amp; $B$6 &amp; " with this EXACT format: '📥 From: [Random Dev Name]' / '📤 To: [Insert my user name if known from context, otherwise use " &amp; $I$2 &amp; _xlfn._LONGTEXT("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
"[COMMENT RULE] Do NOT include comments that reveal bugs | " &amp;
"[FORMAT RULE] Only valid markdown code blocks allowed | " &amp;
"[LANGUAGE TAG RULE] ALWAYS label markdown code blocks with the correct underlying programming language (e.g., python, javascript, sql) | " &amp;
"[STRICT MODE] If ANY rule is violated, regenerate entire response | " &amp;
"[PERSONA RULE] Use a careless, messy, slightly frustrated developer tone | " &amp;
"[OUTPUT CONTRACT] EXACTLY " &amp; D138 &amp; _xlfn._LONGTEXT("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
"[OUTPUT] Only header, dataset summary (if any), email intro, challenges, and footer | " &amp;
"[STRUCTURE RULE] Do NOT rename sections. Do NOT add titles. Do NOT add extra text (except when required by SUPPORT FILES RULE) | " &amp;
"[CONSISTENCY RULE] All challenges MUST have similar complexity and length | " &amp;
"[BUG COMPLEXITY RULE] Must align with score (3 basic, 4 intermediate, 5 multi-step) | " &amp;
"[BUG RULE] Each challenge MUST include 2–3 bugs. | " &amp;
_xlfn._LONGTEXT("[CORRECTNESS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
"[EXECUTION RULE] Code must fail due to syntax errors, runtime exceptions, or produce incorrect output | " &amp;
_xlfn._LONGTEXT("[DATA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
_xlfn._LONGTEXT("[CRITICAL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
"[DATA SUMMARY FORMAT RULE] Dataset Summary: - File Type: - Columns / Fields: - Data Types: - Notes: | " &amp;
"[SUPPORT FILES RULE - STRICT] If env/config is used, MUST include: 1. Instructional sentence 2. File content in markdown code block 3. BEFORE the broken code | | " &amp;
"[SUPPORT FILES QUALITY RULE] Support files (.env, .env.example, .gitignore) MUST be fully correct and contain NO bugs | " &amp;
"[NO SOLUTION RULE - STRICT] You are generating an EXAM. You MUST NOT provide the fixed code, bug diagnosis, hints, explanations, or takeaways. Output ONLY the broken code. Do NOT solve your own challenges. Let the student find the bugs. | " &amp;
"[FOOTER RULE - STRICT] End your entire response EXACTLY with this markdown string (ensure all code blocks are closed before it):" &amp; CHAR(10) &amp; "---" &amp; CHAR(10) &amp; "⚡ Coding5s System - Learn Programming by Writing Code - Coding5S.com",
IF(H138="PROJECT", AA138, ""))</f>
        <v/>
      </c>
      <c r="O138" s="103" t="str">
        <f t="shared" ref="O138:O200" si="41">IF(OR(H138="Topic", UPPER(H138)="PROJECT"),
"[MENTOR_S2_DETECTIVE] Act as 'The Analytical Partner' (El Detective con Café) - a World-Class Elite Technical Mentor for Stage 2 Debugging specializing in " &amp; $I$2 &amp; _xlfn._LONGTEXT(".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
"[CULTURAL &amp; JARGON RULE] If the language (" &amp; $B$6 &amp; _xlfn._LONGTEXT(")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
"[CONTEXT] You are helping a Junior Developer debug a " &amp; IF(UPPER(H138)="PROJECT", "PROJECT: " &amp; I138 &amp; ". Topics involved: " &amp; A138 &amp; ". Project objective: " &amp; J138, "TOPIC: " &amp; I138 &amp; ". Topic details: " &amp; J138) &amp; " | " &amp;
"[TASK] Analyze the student's code, explanation, and error. If the code is already fixed and correct, recognize their 'debugging skill' and provide a 'Pro-Tip' for prevention.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2 | " &amp; IF(UPPER(H138)="PROJECT", "Project #", "Topic #") &amp; F138 &amp; " | Debug | " &amp; IF($I$3="", $I$2, $I$2&amp; " - " &amp;$I$3) &amp; " | 📊 Level: " &amp; G138 &amp; CHAR(10) &amp; "**" &amp; IF(UPPER(H138)="PROJECT", "Project", "Topic") &amp; ":** " &amp; I138 &amp; CHAR(10) &amp; "---" &amp; CHAR(10) &amp; " | " &amp;
_xlfn._LONGTEXT("[CORE_QUALITY_POLICY]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
_xlfn._LONGTEXT("[EMPTY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
_xlfn._LONGTEXT("[PHASE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_xlfn._LONGTEXT("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
"[EXPLANATION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
"[PHASE 2: FULL SOLUTION - STRICT] 1. Provide the clean, " &amp; $I$2 &amp; " code, and fully functional " &amp; $I$2 &amp; _xlfn._LONGTEXT("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
_xlfn._LONGTEXT("[MINIMAL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
"[FOOTER RULE] End your response with: '--- ⚡ *Coding5s Mentor System — Eliminating Epistemic Debt &amp; Hunting Bugs*
", "")</f>
        <v/>
      </c>
      <c r="P138" s="52">
        <v>0</v>
      </c>
      <c r="Q138" s="102" t="str">
        <f t="shared" ref="Q138:Q200" si="42">IF(H138="Topic",
"[ROLE] Tech Lead | " &amp;
"[TASK] Assign incomplete " &amp; $I$2 &amp; " script challenges | " &amp;
"[TOPIC] " &amp; I138 &amp; " | " &amp;
"[LEVEL] " &amp; G138 &amp; " | " &amp;
"[COUNT] " &amp; D138 &amp; " challenges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"[HEADER RULE - STRICT] You MUST start your entire response EXACTLY with this markdown block (do not print anything before it):" &amp; CHAR(10) &amp; "### 🔹 Topic #" &amp; F138 &amp; " | Stage 3 🧩 Complete | " &amp; IF($I$3="", $I$2, $I$2&amp; " - " &amp;$I$3) &amp; " | 📊 Level: " &amp; G138 &amp; " | 🌐 Coding5s.com" &amp; CHAR(10) &amp; "**Concept:** " &amp; J138 &amp; CHAR(10) &amp; "---" &amp; CHAR(10) &amp; " | " &amp;
"[LANGUAGE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"[EXTERNAL_PACKAGE_PROTOCOL] Standard Elixir/OTP modules only. Strictly ZERO external Hex packages for beginner topics. | " &amp;
"[TESTING_FRAMEWORK_PROTOCOL] Simple console-output verification via IO.puts/1 or IO.inspect/2. | " &amp;
"[CHALLENGE_CONSTRAINTS_POLICY] For Beginner level, # TODO MUST be atomic: 1–2 simple lines max, e.g. state tuple return, GenServer call, direct comparison, or simple pattern match. NO complex IO capture or process mocking. - " &amp; IF(G138="Beginner","5–15", IF(G138="Intermediate","10–25","15–35")) &amp; " 5–15 lines of EXECUTABLE base code. Code outside # TODO MUST be fully valid/readable. If no_def is present in AJ, use flat GenServer skeleton code. | " &amp;
"[FORMAT RULE] ALWAYS label markdown code blocks with the correct underlying programming language (e.g., elixir, python, javascript, sql) | " &amp;
"[FORMAT RULE] Only valid markdown code blocks allowed | " &amp;
"[SCORING ENFORCEMENT RULE] Score MUST be ONLY 3, 4, or 5 | " &amp;
_xlfn._LONGTEXT("[DATA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"[LANGUAGE TAG RULE] ALWAYS label markdown code blocks with the correct underlying programming language (e.g., python, javascript, sql) | " &amp;
"[INTRO RULE] Intro MUST be a dynamically generated email in " &amp; $B$6 &amp; " with this EXACT format translated to " &amp; $B$6 &amp; ": '📥 From: [Generate NEW random full name] - Tech Lead' / '📤 To: [Insert my user name if known, else Junior] - " &amp; $I$2 &amp; _xlfn._LONGTEXT("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
"[OUTPUT CONTRACT] EXACTLY " &amp; D138 &amp; _xlfn._LONGTEXT("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
"[OUTPUT TRUNCATION RULE - STRICT] If expected output is long, display ONLY the first 5 lines. Ensure accuracy. Do NOT use ellipsis (...) | " &amp;
"[OUTPUT EXECUTION RULE - STRICT] Expected output MUST be explicit, complete, and produced via print() (at least one print already in base code). Monetary values must include '$' | " &amp;
_xlfn._LONGTEXT("[BASE CODE INTEGRITY RULE - STRICT] Code outside the TODO block MUST be 100% valid, logically correct, and run without errors. Do NOT simulate bugs using 'pass', '...', None, or wrong variable types outside the TODO. Variables used outside TODO must be in","itialized before TODO. | ") &amp;
"[TODO VARIATION RULE] TODO sections MUST vary: Single-line TODO, Multiple TODOs, Small blocks (2–4 lines). | " &amp;
"[VARIABILITY RULE - STRICT] Each challenge MUST be structurally different. Vary: Code length, Logic type, Position of TODO, Number of TODOs (1–3), Data flow. | " &amp;
"[TODO REALISM RULE - STRICT] TODOs MUST represent realistic mistakes based on the topic: " &amp; I138 &amp; ". Describe what is incorrect or incomplete. Avoid imperative instructions. | " &amp;
"[TODO ISOLATION RULE - STRICT] ALL missing, incorrect, or output-affecting logic MUST exist ONLY inside the TODO block. | " &amp;
"[NO SOLUTION RULE - STRICT] The code under the # TODO MUST be left empty or with a 'pass'. DO NOT write the actual solution. | " &amp;
"[OUTPUT VERIFICATION RULE] The base code MUST print the final variables/results evaluated in the TODO block to verify correctness. | " &amp;
"[TODO GUIDANCE RULE] Rule " &amp; IF(G138="Beginner", "Clear explicit hint (no code) | ", IF(G138="Intermediate", "Brief hint | ", "Minimal hint | ")) &amp; " | " &amp;
"[OUTPUT] Only header, dataset summary or statement (if any), intro message, challenges (objective, expected output, incomplete code), and footer | " &amp;
"[FOOTER RULE - STRICT] End your entire response EXACTLY with this markdown string (ensure all code blocks are closed before it):" &amp; CHAR(10) &amp; "---" &amp; CHAR(10) &amp; "⚡ *Coding5s System - Learn Programming by Writing Code - Coding5S.com*",
IF(H138="PROJECT", AB138, ""))</f>
        <v/>
      </c>
      <c r="R138" s="103" t="str">
        <f t="shared" ref="R138:R200" si="43">IF(OR(H138="Topic", UPPER(H138)="PROJECT"),
"[MENTOR_S3_BUILDER] Act as 'The Logical Scaffold' (El Maestro de Obra) - a World-Class Elite Technical Mentor for Stage 3 Code Completion specializing in " &amp; $I$2 &amp; _xlfn._LONGTEXT(".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
"[CULTURAL &amp; JARGON RULE] If the language (" &amp; $B$6 &amp; _xlfn._LONGTEXT(")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
"[CONTEXT] You are helping a Junior Developer complete a " &amp; IF(UPPER(H138)="PROJECT", "PROJECT: " &amp; I138 &amp; ". Topics involved: " &amp; A138 &amp; ". Project objective: " &amp; J138, "TOPIC: " &amp; I138 &amp; ". Topic details: " &amp; J138) &amp; " | " &amp;
"[TASK] Analyze the student's code and explanation. If they completed the data flow perfectly, celebrate the 'solid foundation' and offer a 'System Extension' challenge.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3 | " &amp; IF(UPPER(H138)="PROJECT", "Project #", "Topic #") &amp; F138 &amp; " | Complete | " &amp; IF($I$3="", $I$2, $I$2&amp; " - " &amp;$I$3) &amp; " | 📊 Level: " &amp; G138 &amp; CHAR(10) &amp; "**" &amp; IF(UPPER(H138)="PROJECT", "Project", "Topic") &amp; ":** " &amp; I138 &amp; CHAR(10) &amp; "---" &amp; CHAR(10) &amp; " | " &amp;
_xlfn._LONGTEXT("[CORE_QUALITY_POLICY]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
_xlfn._LONGTEXT("[EMPTY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
_xlfn._LONGTEXT("[PHASE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
"[EXPLANATION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
_xlfn._LONGTEXT("[PHASE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
"[FOOTER RULE] End your response with: '--- ⚡ *Coding5s Mentor System — Eliminating Epistemic Debt &amp; Connecting the Flow*',
", "")</f>
        <v/>
      </c>
      <c r="S138" s="52">
        <v>0</v>
      </c>
      <c r="T138" s="102" t="str">
        <f t="shared" ref="T138:T200" si="44">IF(H138="Topic",
"[ROLE] Tech Lead | " &amp;
"[TASK] Provide intentionally messy but functional code for learning debugging and improvement | " &amp;
"[TOPIC] " &amp; I138 &amp; " | " &amp;
"[LEVEL] " &amp; G138 &amp; " | " &amp;
"[COUNT] " &amp; D138 &amp; " challenges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Tech Lead. A junior wrote this working but messy code. Tone: professional but exhausted by the code quality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"[HEADER RULE - STRICT] You MUST start your entire response EXACTLY with this markdown block (do not print anything before it):" &amp; CHAR(10) &amp; "### 🔹 Topic #" &amp; F138 &amp; " | Stage 4 🧹 Refactor | " &amp; IF($I$3="", $I$2, $I$2&amp; " - " &amp;$I$3) &amp; " | 📊 Level: " &amp; G138 &amp; " | 🌐 Coding5s.com" &amp; CHAR(10) &amp; "**Concept:** " &amp; J138 &amp; CHAR(10) &amp; "---" &amp; CHAR(10) &amp; " | " &amp;
"[LANGUAGE SEED CONTEXT] " &amp; IF($AE$7 = "", "Language Seed Not Necessary", "You MUST strictly follow this seed context to enhance, adapt, and naturalize your tone, vocabulary, and instructional quality in " &amp; $B$6 &amp; ": " &amp; $AE$7) &amp; " | " &amp;
"[CODE QUALITY RULE] Code MUST be executable and correct BUT intentionally messy, inconsistent, or suboptimal | " &amp;
_xlfn._LONGTEXT("[DIRTY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
"[STYLE INCONSISTENCY RULE] Each challenge should feel like it was written at a different time with different formatting styles | " &amp;
"[FILE HANDLING RULE] Use correct loaders and enforce encoding='utf-8' and newline='' when applicable if the programming language supports it. | " &amp;
"[DATA TYPE RULE] Explicit casting required before calculations when the programming language requires it. | " &amp;
"[DATA ROBUSTNESS RULE] Handle missing, malformed, or inconsistent data safely | " &amp;
"[BOOLEAN HANDLING RULE] Normalize boolean values before comparison when the programming language requires it. | " &amp;
"[DATA CONSISTENCY RULE] Respect dataset schema | " &amp;
"[FORMAT RULE] Only valid markdown code blocks allowed | " &amp;
"[LANGUAGE TAG RULE] ALWAYS label markdown code blocks with the correct underlying programming language (e.g., python, javascript, sql) | " &amp;
"[OUTPUT FORMAT RULE] Monetary values formatted with '$', commas, 2 decimals | " &amp;
"[OUTPUT] Only header, dataset summary or statement (if any), intro, challenges, code, outputs, and footer | " &amp;
_xlfn._LONGTEXT("[DATA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"[DATA SUMMARY FORMAT RULE] When a dataset is present, you MUST display IMMEDIATELY AFTER THE HEADER: Dataset Summary: - File Type: - Columns / Fields: - Data Types: - Notes: | " &amp;
"[INTRO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_xlfn._LONGTEXT(": '🚨 **Your objective in this lesson:** You must copy the code blocks from each Challenge exactly as they and paste them into your IDE, then refactor the code by rewriting it professionally until you achieve the exact Program Output when running the refa","ctored program.' | ") &amp;
"[OUTPUT CONTRACT] EXACTLY " &amp; D138 &amp; _xlfn._LONGTEXT("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
"[REVIEW INTENT RULE] The user is expected to review, identify issues, and refactor the code to production-level quality | " &amp;
"[CODE CONSTRAINTS] Each challenge MUST include: - Internal data OR dataset usage - At least 1 print statement - MUST be between " &amp; IF(G138="Beginner", "5–15", IF(G138="Intermediate", "10–25", "15–35")) &amp; " lines of EXECUTABLE code (STRICT: Do NOT count blank lines towards this limit, allow messy spacing) - NO classes - Single logical flow - Code MUST run correctly BUT be poorly structured, inconsistent, or inefficient | " &amp;
"[SUPPORT FILES RULE] If env/config is used, include: 1. Instructional sentence 2. File content in markdown code block 3. BEFORE the main code | " &amp;
"[DIFFICULTY RULE] Complexity MUST match level | " &amp;
"[DIFFICULTY CONSISTENCY RULE] All challenges MUST have similar complexity and length, even if coding styles differ | " &amp;
"[FOOTER RULE - STRICT] End your entire response EXACTLY with this markdown string (ensure all code blocks are closed before it):" &amp; CHAR(10) &amp; "---" &amp; CHAR(10) &amp; "⚡ *Coding5s System - Learn Programming by Writing Code - Coding5S.com*",
IF(H138="PROJECT", AC138, ""))</f>
        <v/>
      </c>
      <c r="U138" s="103" t="str">
        <f t="shared" ref="U138:U200" si="45">IF(OR(H138="Topic", UPPER(H138)="PROJECT"),
_xlfn._LONGTEXT("[MENTOR_S4_PURIST]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
"[CULTURAL &amp; JARGON RULE] If the language (" &amp; $B$6 &amp; _xlfn._LONGTEXT(")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
"[CONTEXT] You are performing a Code Review for a " &amp; IF(UPPER(H138)="PROJECT", "PROJECT: " &amp; I138 &amp; ". Topics involved: " &amp; A138 &amp; ". Project objective: " &amp; J138, "TOPIC: " &amp; I138 &amp; ". Topic details: " &amp; J138) &amp; " | " &amp;
_xlfn._LONGTEXT("[TASK]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4 | " &amp; IF(UPPER(H138)="PROJECT", "Project #", "Topic #") &amp; F138 &amp; " | Refactor | " &amp; IF($I$3="", $I$2, $I$2&amp; " - " &amp;$I$3) &amp; " | 📊 Level: " &amp; G138 &amp; CHAR(10) &amp; "**" &amp; IF(UPPER(H138)="PROJECT", "Project", "Topic") &amp; ":** " &amp; I138 &amp; CHAR(10) &amp; "---" &amp; CHAR(10) &amp; " | " &amp;
_xlfn._LONGTEXT("[PYTHON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
_xlfn._LONGTEXT("[EMPTY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
_xlfn._LONGTEXT("[PHASE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
"[EXPLANATION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
"[PHASE 2: FULL SOLUTION - STRICT] 1. Provide the 'Senior' version: clean, elegant, and good " &amp; $I$2 &amp; _xlfn._LONGTEXT("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
"[FOOTER RULE] End your response with: '--- ⚡ *Coding5s Mentor System — Eliminating Technical Debt with Elegance*'",
"")</f>
        <v/>
      </c>
      <c r="V138" s="52">
        <v>0</v>
      </c>
      <c r="W138" s="87" t="str">
        <f t="shared" ref="W138:W200" si="46">IF(H138="Topic",
"[ROLE] Tech Product Manager assigning a " &amp; $I$2 &amp; " Jira Ticket | " &amp;
"[TASK] Provide a guided implementation exercise with full solution for learning purposes | " &amp;
"[TOPIC] " &amp; I138 &amp; " | " &amp;
"[LEVEL] " &amp; G138 &amp; "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"[PERSONA RULE] Act as a professional Tech Product Manager writing clear Jira tickets | " &amp;
"[LANGUAGE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Topic #" &amp; F138 &amp; " | Stage 5 | " &amp; IF($I$3="", $I$2, $I$2&amp; " - " &amp;$I$3) &amp; " | 📊 Level: " &amp; G138 &amp; " | 🌐 Coding5s.com" &amp; CHAR(10) &amp; "**Concept:** " &amp; J138 &amp; CHAR(10) &amp; "---" &amp; CHAR(10) &amp; " | " &amp;
"[FUNCTIONAL_STRUCTURE_POLICY] Rule: " &amp; IF(G138="Beginner", "Use simple scripts or minimal functions. ", IF(G138="Intermediate", "Use functions where appropriate. ", "Use modular functions with clear structure. ")) &amp; " | " &amp;
_xlfn._LONGTEXT("[DETERMINISTIC_OUTPUT_PROTOCOL]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
"[CODE QUALITY RULE] Code MUST be clean, readable, and production-like | " &amp;
"[FILE HANDLING RULE] Use correct loaders and enforce encoding='utf-8' and newline=' when applicable or supported by the programming language. | " &amp;
"[DATA TYPE RULE] Explicit casting required before calculations if the programming language requires it. | " &amp;
"[DATA ROBUSTNESS RULE] Handle missing or malformed data safely | " &amp;
"[BOOLEAN HANDLING RULE] Normalize boolean values before comparison if the programming language requires it. | " &amp;
"[DATA CONSISTENCY RULE] Respect dataset schema | " &amp;
"[TICKET FORMAT RULE - STRICT] The 'Context &amp; Ticket' section MUST begin with this EXACT text (translated to " &amp; $B$6 &amp; "):" &amp; CHAR(10) &amp; _xlfn._LONGTEXT("🎯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
_xlfn._LONGTEXT("[DATA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
"[DATA SUMMARY FORMAT RULE] When a dataset is present, you MUST display IMMEDIATELY AFTER THE HEADER: Dataset Summary: - File Type: - Columns / Fields: - Data Types: - Notes: | " &amp;
_xlfn._LONGTEXT("[OUTPUT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
"[CODE CONSTRAINTS] V1.0 MUST be between " &amp; IF(G138="Beginner", "10–20", IF(G138="Intermediate", "15–30", "25–40")) &amp; " lines of EXECUTABLE code (STRICT) - V1.1 MUST be between " &amp; IF(G138="Beginner", "15–30", IF(G138="Intermediate", "25–45", "35–60")) &amp; _xlfn._LONGTEXT(" lines of EXECUTABLE code (STRICT) - Do NOT count comments or blank lines towards these limits - ALL code MUST run without errors - MUST be executable and realistic - MUST include a clear integration point - MUST NOT include unused imports - NO classes - ","NO unnecessary complexity | ") &amp;
_xlfn._LONGTEXT("[SUPPORT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
"[DIFFICULTY RULE] Complexity MUST match level | " &amp;
"[FORMAT RULE] Only valid markdown code blocks allowed | " &amp;
"[LANGUAGE TAG RULE] ALWAYS label markdown code blocks with the correct underlying programming language (e.g., python, javascript, sql) | " &amp;
"[OUTPUT] Only header, dataset summary or statement (if any), the defined sections, and footer | " &amp;
"[FOOTER RULE - STRICT] End your entire response EXACTLY with this markdown string (ensure all code blocks are closed before it):" &amp; CHAR(10) &amp; "---" &amp; CHAR(10) &amp; "⚡ *Coding5s System — Learn Programming by Writing Code*",
IF(H138="PROJECT", AD138, ""))</f>
        <v/>
      </c>
      <c r="X138" s="103" t="str">
        <f t="shared" ref="X138:X200" si="47">IF(OR(H138="Topic", UPPER(H138)="PROJECT"),
_xlfn._LONGTEXT("[MENTOR_S5_ARCHITECT]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
"[CULTURAL &amp; JARGON RULE] If the language (" &amp; $B$6 &amp; _xlfn._LONGTEXT(") is Portuguese, act like an 'Arquiteto de Software Sênior' using local jargon (e.g., 'subir pra produção', 'vai escalar?', 'casos extremos'). If Spanish, use Latin American tech terminology (e.g., 'subir a producción', '¿esto escala?', 'casos borde'). Ma","tch the cultural vibe of a strategic tech lead. | ") &amp;
"[CONTEXT] You are reviewing the final implementation of a new feature for a " &amp; IF(UPPER(H138)="PROJECT", "PROJECT: " &amp; I138 &amp; ". Topics integrated: " &amp; A138 &amp; ". Business Goal: " &amp; J138, "TOPIC: " &amp; I138 &amp; ". Goal: " &amp; J138) &amp; " | " &amp;
_xlfn._LONGTEXT("[TASK] Analyze the extension code. If they already anticipated the edge cases and scalability issues (e.g., using generators or async patterns), give them the 'Architect's Approval' and discuss a more advanced trade-off. Otherwise, follow the 2-PHASE MENT","ORING PROTOCOL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the following RAW markdown block (do NOT strip the '#' characters):" &amp; CHAR(10) &amp; "### 🚀 Elite Mentor Stage 5 | " &amp; IF(UPPER(H138)="PROJECT", "Project #", "Topic #") &amp; F138 &amp; " | Extend | " &amp; IF($I$3="", $I$2, $I$2&amp; " - " &amp;$I$3) &amp; " | 📊 Level: " &amp; G138 &amp; CHAR(10) &amp; "**" &amp; IF(UPPER(H138)="PROJECT", "Project", "Topic") &amp; ":** " &amp; I138 &amp; CHAR(10) &amp; "---" &amp; CHAR(10) &amp; " | " &amp;
_xlfn._LONGTEXT("[CODE_QUALITY_PROTOCOL]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
_xlfn._LONGTEXT("[EMPTY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
_xlfn._LONGTEXT("[PHASE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
"[EXPLANATION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
_xlfn._LONGTEXT("[PHASE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
"[FOOTER RULE] End your response with: '--- ⚡ *Coding5s Mentor System — Eliminating Epistemic Debt &amp; Shipping to Production*'",
"")</f>
        <v/>
      </c>
      <c r="Y138" s="52">
        <v>0</v>
      </c>
      <c r="Z138" s="56" t="str">
        <f t="shared" ref="Z138:Z200" si="48">IF(H138&lt;&gt;"PROJECT","",
"[TASK] Teach through a practical " &amp; $I$2 &amp; " - " &amp; $I$3 &amp; " project following the micro-learning methodology, acting as a supportive tutor, creating a project about  " &amp; I138 &amp; " | " &amp;
"[TOPICS USED] " &amp; A138 &amp; " | " &amp;
"[LEVEL] " &amp; G138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"[LANGUAGE] " &amp; $B$6 &amp; " | " &amp;
"[INLINE_PACKAGE_MANAGER] If using external packages, use Native OTP behaviors (GenServer, Supervisor, Agent, Task), Kernel functions, and BEAM supervision trees. at the top of the code block. Assume no project configuration file exists. | " &amp;
"[CODE_CONSTRAINTS_RULE] Standard OTP process and state validation using ExUnit assert/refute macros and Process tracking. | " &amp;
_xlfn._LONGTEXT("[VISUAL_ARCHITECTURE_COMMENTS]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
"[DATA ROBUSTNESS RULE] Handle real-world data safely | " &amp;
"[CODE CONSTRAINTS] MUST be between " &amp; IF(G138="Beginner", "25–40", IF(G138="Intermediate", "30–60", "40–100")) &amp; " lines (STRICT) - Multi-step flow | " &amp;
"[SUPPORT FILES RULE] Include config files before code if needed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_xlfn._LONGTEXT("[OUTPUT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
"[CODE QUALITY RULE] Code MUST be clean, readable, correct, and educational | " &amp;
"[FORMAT RULE] Only markdown code blocks allowed | " &amp;
"[EXECUTION RULE] Code MUST run and produce correct output | " &amp;
"[CONSISTENCY RULE] Project must match objective | " &amp;
"[HEADER RULE - STRICT] You MUST start your entire response EXACTLY with this markdown block (do not print anything before it):" &amp; CHAR(10) &amp; "### 🚀 Project #" &amp; F138 &amp; " | Stage 1 | " &amp; IF($I$3="", $I$2, $I$2&amp; " - " &amp;$I$3) &amp; " | 📊 Level: " &amp; G138 &amp; " | 🌐 Coding5s.com" &amp; CHAR(10) &amp; "**Project:** " &amp; J138 &amp; CHAR(10) &amp; "---" &amp; CHAR(10) &amp; " | " &amp;
"[OUTPUT] Only header, dataset notice, objective, support file, code planning, expected output, code, and footer | " &amp;
"[FOOTER RULE - STRICT] End your entire response EXACTLY with this markdown string (ensure all code blocks are closed before it):" &amp; CHAR(10) &amp; "---" &amp; CHAR(10) &amp; "⚡ *Coding5s System — Learn Programming by Writing Code*")</f>
        <v/>
      </c>
      <c r="AA138" s="56" t="str">
        <f t="shared" ref="AA138:AA200" si="49">IF(H138&lt;&gt;"PROJECT","",
"[ROLE] Careless " &amp; $I$2 &amp; " Developer | " &amp;
"[TASK] Generate debugging project in " &amp; $I$2 &amp; " | " &amp;
"[PROJECT] " &amp; I138 &amp; " | " &amp;
"[TOPICS USED] " &amp; A138 &amp; " | " &amp;
"[LEVEL] " &amp; G138 &amp; " | " &amp;
"[OUTPUT] Only header, dataset summary or statement (if any), email intro, objective, expected output, broken code, and footer | " &amp;
"[HEADER RULE - STRICT] You MUST start your entire response EXACTLY with this markdown block (do not print anything before it):" &amp; CHAR(10) &amp; "### 🚀 Project #" &amp; F138 &amp; " | Stage 2 | " &amp; IF($I$3="", $I$2, $I$2&amp; " - " &amp;$I$3) &amp; " | 📊 Level: " &amp; G138 &amp; " | 🌐 Coding5s.com" &amp; CHAR(10) &amp; "Project: " &amp; J138 &amp; CHAR(10) &amp; "---" &amp; CHAR(10) &amp; " | " &amp;
"[LIBRARY BEING LEARNED] " &amp; $I$3 &amp; " | " &amp;
"[ECOSYSTEM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AE136 &amp; " | " &amp;
"[LANGUAGE SEED CONTEXT] " &amp; IF($AE$7 = "", "Language Seed Not Necessary", "You MUST strictly follow this seed context to enhance, adapt, and naturalize your tone, vocabulary, and instructional quality in " &amp; $B$6 &amp; ": " &amp; $AE$7) &amp; " | " &amp;
_xlfn._LONGTEXT("[BUG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
"[ENV USAGE RULE] Bugs ONLY in code logic, not config files | " &amp;
"[SUPPORT FILES RULE] IF an external configuration or data file is needed, include: 1. Short instructional sentence 2. File content in markdown code block 3. Place it strictly BEFORE the main code. | " &amp;
"[NO SOLUTION RULE - STRICT] You are generating an EXAM. Do NOT provide the fixed code, diagnosis, hints, or explanations. Output ONLY the broken code. Do NOT include comments that reveal the bugs. Let the student find them. | " &amp;
"[PERSONA RULE] Use a messy, careless developer tone | " &amp;
"[INTRO RULE] The intro MUST be a dynamically generated, urgent, unprofessional email in " &amp; $B$6 &amp; " with this EXACT format translated to " &amp; $B$6 &amp; ": 'From: [Random Dev Name]' / 'To: [Insert my user name if you know it from context, otherwise use " &amp; $I$2 &amp; _xlfn._LONGTEXT("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
"[OUTPUT CONTRACT] EXACTLY 1 project. Structure MUST be: 'Project:' followed by 'Objective: maximum 6 lines.', then 'Expected Output: standalone markdown code block.', and finally 'Broken Code' | " &amp;
"[STRUCTURE RULE] Do NOT add extra sections or explanations (except when required by SUPPORT FILES RULE) | " &amp;
"[CODE CONSTRAINTS] - " &amp; IF(G138="Beginner", "25–40", IF(G138="Intermediate", "30–60", "40–100")) &amp; " lines of EXECUTABLE code (STRICT: Do NOT count blank lines towards this limit) - Multi-step flow - 2–4 functions ONLY - main() as entry point " &amp; IF(G138&lt;&gt;"Advanced", "- NO classes | ", "") &amp; " | " &amp;
"[EXECUTION RULE] Code must fail due to syntax errors, runtime exceptions, or produce incorrect output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
"[FORMAT RULE] Only valid markdown code blocks | " &amp;
"[LANGUAGE TAG RULE] ALWAYS label markdown code blocks with the correct underlying programming language (e.g., python, javascript, sql) | " &amp;
"[STRICT MODE] Enforce all rules strictly | " &amp;
"[FOOTER RULE - STRICT] End your entire response EXACTLY with this markdown string (ensure all code blocks are closed before it):" &amp; CHAR(10) &amp; "---" &amp; CHAR(10) &amp; "⚡ Coding5s System - Learn Programming by Writing Code - Coding5S.com" )</f>
        <v/>
      </c>
      <c r="AB138" s="56" t="str">
        <f t="shared" ref="AB138:AB200" si="50">IF(H138&lt;&gt;"PROJECT","",
"[ROLE] Tech Lead | " &amp;
"[TASK] Assign incomplete project script | " &amp;
"[PROJECT] " &amp; I138 &amp; " | " &amp;
"[TOPICS USED] " &amp; A138 &amp; " | " &amp;
"[LEVEL] " &amp; G138 &amp; " | " &amp;
"[LIBRARY BEING LEARNED] " &amp; $I$3 &amp; " | " &amp;
"[ECOSYSTEM ORIENTATION RULE] If a data manipulation library, external package, or ecosystem like Pandas or NumPy is specified in " &amp; $I$3 &amp; _xlfn._LONGTEXT(",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"[HEADER RULE - STRICT] You MUST start your entire response EXACTLY with this markdown block (do not print anything before it):" &amp; CHAR(10) &amp; "### 🚀 Project #" &amp; F138 &amp; " | Stage 3 | " &amp; IF($I$3="", $I$2, $I$2&amp; " - " &amp;$I$3) &amp; " | 📊 Level: " &amp; G138 &amp; " | 🌐 Coding5s.com" &amp; CHAR(10) &amp; "**Project:** " &amp; J138 &amp; CHAR(10) &amp; "---" &amp; CHAR(10) &amp; " | " &amp;
"[EXTERNAL_PACKAGE_PROTOCOL] Require Mix dependency declarations in mix.exs and mix deps.get for external Hex dependencies when applicable. | " &amp;
"[CHALLENGE_CONSTRAINTS_POLICY] MUST contain 25–40 lines of EXECUTABLE base Elixir OTP code; do NOT count comments or # TODO blocks. " &amp; IF(G138="Beginner","25–40", IF(G138="Intermediate","30–60","40–100")) &amp; " Multi-step OTP process architecture. Max 2 modules, standard GenServer/Agent structure. Integration logic exclusively inside # TODO blocks. | " &amp;
"[FORMAT RULE] Only valid markdown code blocks allowed | " &amp;
"[LANGUAGE TAG RULE] ALWAYS label markdown code blocks with the correct underlying programming language (e.g., python, javascript, sql) | " &amp;
_xlfn._LONGTEXT("[DATA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_xlfn._LONGTEXT(")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
"[INTRO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
"[OUTPUT CONTRACT] EXACTLY 1 project. Structure MUST be: Tech Lead Intro Message, Project: Objective (max 6 lines), Expected Output (code block), Incomplete Code | " &amp;
"[OUTPUT TRUNCATION RULE] If output is large, show only first 5 lines. Do NOT use ellipsis (...) | " &amp;
"[OUTPUT EXECUTION RULE - STRICT] Expected output MUST be explicit, complete, and produced via final print(). | " &amp;
"[BASE CODE INTEGRITY RULE - STRICT] Code outside the TODO block MUST be 100% valid, logically correct, and run without errors. Do NOT use 'pass', '...', or empty placeholders outside the TODO. | " &amp;
"[TODO REALISM RULE] TODO must represent realistic integration bugs. Describe what is incorrect/incomplete. | " &amp;
"[TODO ISOLATION RULE - STRICT] ALL missing, incorrect, or output-affecting logic MUST exist ONLY inside the TODO block. Replace ONLY integration logic. | " &amp;
"[NO SOLUTION RULE - STRICT] The code under the # TODO MUST be left empty or with a 'pass'. DO NOT write the actual solution. | " &amp;
"[OUTPUT] Only header, dataset summary or statement (if any), intro message, objective, expected output, incomplete code, and footer | " &amp;
"[FOOTER RULE - STRICT] End your entire response EXACTLY with this markdown string (ensure all code blocks are closed before it):" &amp; CHAR(10) &amp; "---" &amp; CHAR(10) &amp; "⚡ *Coding5s System - Learn Programming by Writing Code - Coding5S.com*")</f>
        <v/>
      </c>
      <c r="AC138" s="56" t="str">
        <f t="shared" ref="AC138:AC200" si="51">IF(H138&lt;&gt;"PROJECT","",
"[ROLE] Tech Lead | " &amp;
"[TASK] Provide a messy but functional project for refactoring | " &amp;
"[PROJECT] " &amp; I138 &amp; " | " &amp;
"[TOPICS USED] " &amp; A138 &amp; " | " &amp;
"[LEVEL] " &amp; G138 &amp; " | " &amp;
"[PERSONA RULE] Act as a Tech Lead. A junior wrote this working but messy code. Tone: professional but exhausted | " &amp;
"[HEADER RULE - STRICT] You MUST start your entire response EXACTLY with this markdown block (do not print anything before it):" &amp; CHAR(10) &amp; "### 🚀 Project #" &amp; F138 &amp; " | Stage 4 | " &amp; IF($I$3="", $I$2, $I$2&amp; " - " &amp;$I$3) &amp; " | 📊 Level: " &amp; G138 &amp; " | 🌐 Coding5s.com" &amp; CHAR(10) &amp; "**Project:** " &amp; J138 &amp; CHAR(10) &amp; "---" &amp; CHAR(10) &amp; " | " &amp;
"[LIBRARY BEING LEARNED] " &amp; $I$3 &amp; " | " &amp;
"[LANGUAGE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
"[LANGUAGE SEED CONTEXT] " &amp; IF($AE$7 = "", "Language Seed Not Necessary", "You MUST strictly follow this seed context to enhance, adapt, and naturalize your tone, vocabulary, and instructional quality in " &amp; $B$6 &amp; ": " &amp; $AE$7) &amp; " | " &amp;
"[CODE QUALITY RULE] Code MUST be correct and executable but not perfectly clean | " &amp;
"[DIRTY CODE RULE] Code MUST NOT include ANY comments and should include inconsistent naming, redundant logic, minor structural issues, and slightly messy organization while still remaining understandable as a complete working program | " &amp;
"[DATA ROBUSTNESS RULE] Handle real-world data safely | " &amp;
"[FORMAT RULE] Only valid markdown code blocks allowed | " &amp;
"[LANGUAGE TAG RULE] ALWAYS label markdown code blocks with the correct underlying programming language (e.g., python, javascript, sql)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
"[INTRO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
"[OUTPUT CONTRACT] EXACTLY 1 project. Structure MUST be: 1. Tech Lead Intro Email 2. Project: Objective (max 6 lines), Expected Output (code block), Dirty Code | " &amp;
"[REVIEW INTENT RULE] The user is expected to review and refactor the project to improve structure, readability, and maintainability | " &amp;
"[CODE CONSTRAINTS] MUST be between " &amp; IF(G138="Beginner", "25–40", IF(G138="Intermediate", "30–60", "40–100")) &amp; " lines of EXECUTABLE code (STRICT: Do NOT count blank lines towards this limit) - Multi-step flow - NO classes - Code MUST run correctly BUT be slightly messy and contain NO comments | " &amp;
"[SUPPORT FILES RULE] Include config files before code if needed | " &amp;
"[EXECUTION RULE] Code MUST run and produce correct output | " &amp;
"[CONSISTENCY RULE] Project must match objective | " &amp;
"[OUTPUT] Only header, dataset summary or statement (if any), intro email, objective, expected output, code, and footer | " &amp;
"[FOOTER RULE - STRICT] End your entire response EXACTLY with this markdown string (ensure all code blocks are closed before it):" &amp; CHAR(10) &amp; "---" &amp; CHAR(10) &amp; "⚡ *Coding5s System - Learn Programming by Writing Code - Coding5S.com*")</f>
        <v/>
      </c>
      <c r="AD138" s="56" t="str">
        <f t="shared" ref="AD138:AD200" si="52">IF(H138&lt;&gt;"PROJECT","",
"[ROLE] Tech Product Manager assigning a " &amp; $I$2 &amp; " Jira Ticket | " &amp;
"[TASK] Provide a guided project implementation with full solution | " &amp;
"[PROJECT] " &amp; I138 &amp; " | " &amp;
"[TOPICS USED] " &amp; A138 &amp; " | " &amp;
"[LEVEL] " &amp; G138 &amp; " | " &amp;
"[PERSONA RULE] Act as a professional Tech Product Manager defining a project ticket | " &amp;
"[LIBRARY BEING LEARNED] " &amp; $I$3 &amp; " | " &amp;
_xlfn._LONGTEXT("[ECOSYSTEM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
"[HEADER RULE - STRICT] You MUST start your entire response EXACTLY with this markdown block (do not print anything before it):" &amp; CHAR(10) &amp; "### 🚀 Project #" &amp; F138 &amp; " | Stage 5 | " &amp; IF($I$3="", $I$2, $I$2&amp; " - " &amp;$I$3) &amp; " | 📊 Level: " &amp; G138 &amp; " | 🌐 Coding5s.com" &amp; CHAR(10) &amp; "**Project:** " &amp; J138 &amp; CHAR(10) &amp; "---" &amp; CHAR(10) &amp; " | " &amp;
"[LANGUAGE CONSISTENCY RULE] ALL output MUST be strictly in " &amp; $B$6 &amp; _xlfn._LONGTEXT(".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
"[LANGUAGE SEED CONTEXT] " &amp; IF($AE$7 = "", "Language Seed Not Necessary", "You MUST strictly follow this seed context to enhance, adapt, and naturalize your tone, vocabulary, and instructional quality in " &amp; $B$6 &amp; ": " &amp; $AE$7) &amp; " | " &amp;
"[CODE CONSTRAINTS] V1.0 MUST be between " &amp; IF(G138="Beginner", "20–35", IF(G138="Intermediate", "30–50", "45–70")) &amp; " lines of EXECUTABLE code (STRICT) - V1.1 MUST be between " &amp; IF(G138="Beginner", "30–50", IF(G138="Intermediate", "45–75", "60–90")) &amp; " lines of EXECUTABLE code (STRICT) - Do NOT count comments or blank lines towards these limits - MUST run without errors - MUST include integration points - NO unnecessary complexity | " &amp;
"[CRITICAL OUTPUT RULE] Output MUST match real execution - Convert sets to sorted lists before printing | " &amp;
"[FUNCTION RULE] " &amp; IF(G138="Beginner", "Avoid complex structure. ", IF(G138="Intermediate", "Functions optional. ", "Use structured modular functions. ")) &amp; " | " &amp;
"[TICKET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
_xlfn._LONGTEXT("[DATA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
_xlfn._LONGTEXT("[OUTPUT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
"[CODE QUALITY RULE] Code MUST be clean and realistic | " &amp;
"[DATA ROBUSTNESS RULE] Handle real-world data safely | " &amp;
"[FORMAT RULE] Only markdown code blocks allowed | " &amp;
"[LANGUAGE TAG RULE] ALWAYS label markdown code blocks with the correct underlying programming language (e.g., python, javascript, sql) | " &amp;
"[EXECUTION RULE] Code MUST run correctly | " &amp;
"[OUTPUT] Only header, dataset summary or statement (if any), defined sections, and footer, | " &amp;
"[FOOTER RULE - STRICT] End your entire response EXACTLY with this markdown string (ensure all code blocks are closed before it):" &amp; CHAR(10) &amp; "---" &amp; CHAR(10) &amp; "⚡ *Coding5s System — Learn Programming by Writing Code*")</f>
        <v/>
      </c>
      <c r="AE138" s="40"/>
      <c r="AF138" s="40"/>
      <c r="AG138" s="40"/>
      <c r="AH138" s="56" t="str">
        <f t="shared" si="36"/>
        <v/>
      </c>
      <c r="AI138" s="54"/>
      <c r="AJ138" s="54"/>
      <c r="AK138" s="54"/>
      <c r="AL138" s="54"/>
      <c r="AM138" s="54"/>
    </row>
    <row r="139" spans="1:39">
      <c r="A139" s="45" t="str" cm="1">
        <f t="array" ref="A139">IF(H139="PROJECT", CHAR(10) &amp; "- " &amp; _xlfn.TEXTJOIN(CHAR(10) &amp; "- ", TRUE, _xlfn._xlws.FILTER($I$9:$I$1000, ($B$9:$B$1000=B139) * ($H$9:$H$1000="Topic"))), "")</f>
        <v/>
      </c>
      <c r="B139" s="45" t="str">
        <f t="shared" si="37"/>
        <v/>
      </c>
      <c r="C139" s="95"/>
      <c r="D139" s="46"/>
      <c r="E139" s="58"/>
      <c r="F139" s="67"/>
      <c r="G139" s="53"/>
      <c r="H139" s="53"/>
      <c r="I139" s="50"/>
      <c r="J139" s="51"/>
      <c r="K139" s="129" t="str">
        <f t="shared" si="38"/>
        <v/>
      </c>
      <c r="L139" s="103" t="str">
        <f t="shared" si="39"/>
        <v/>
      </c>
      <c r="M139" s="53">
        <v>0</v>
      </c>
      <c r="N139" s="102" t="str">
        <f t="shared" si="40"/>
        <v/>
      </c>
      <c r="O139" s="103" t="str">
        <f t="shared" si="41"/>
        <v/>
      </c>
      <c r="P139" s="53">
        <v>0</v>
      </c>
      <c r="Q139" s="102" t="str">
        <f t="shared" si="42"/>
        <v/>
      </c>
      <c r="R139" s="103" t="str">
        <f t="shared" si="43"/>
        <v/>
      </c>
      <c r="S139" s="53">
        <v>0</v>
      </c>
      <c r="T139" s="102" t="str">
        <f t="shared" si="44"/>
        <v/>
      </c>
      <c r="U139" s="103" t="str">
        <f t="shared" si="45"/>
        <v/>
      </c>
      <c r="V139" s="53">
        <v>0</v>
      </c>
      <c r="W139" s="87" t="str">
        <f t="shared" si="46"/>
        <v/>
      </c>
      <c r="X139" s="103" t="str">
        <f t="shared" si="47"/>
        <v/>
      </c>
      <c r="Y139" s="53">
        <v>0</v>
      </c>
      <c r="Z139" s="56" t="str">
        <f t="shared" si="48"/>
        <v/>
      </c>
      <c r="AA139" s="56" t="str">
        <f t="shared" si="49"/>
        <v/>
      </c>
      <c r="AB139" s="56" t="str">
        <f t="shared" si="50"/>
        <v/>
      </c>
      <c r="AC139" s="56" t="str">
        <f t="shared" si="51"/>
        <v/>
      </c>
      <c r="AD139" s="56" t="str">
        <f t="shared" si="52"/>
        <v/>
      </c>
      <c r="AE139" s="40"/>
      <c r="AF139" s="40"/>
      <c r="AG139" s="40"/>
      <c r="AH139" s="56" t="str">
        <f t="shared" si="36"/>
        <v/>
      </c>
      <c r="AI139" s="54"/>
      <c r="AJ139" s="54"/>
      <c r="AK139" s="54"/>
      <c r="AL139" s="54"/>
      <c r="AM139" s="54"/>
    </row>
    <row r="140" spans="1:39">
      <c r="A140" s="45" t="str" cm="1">
        <f t="array" ref="A140">IF(H140="PROJECT", CHAR(10) &amp; "- " &amp; _xlfn.TEXTJOIN(CHAR(10) &amp; "- ", TRUE, _xlfn._xlws.FILTER($I$9:$I$1000, ($B$9:$B$1000=B140) * ($H$9:$H$1000="Topic"))), "")</f>
        <v/>
      </c>
      <c r="B140" s="45" t="str">
        <f t="shared" si="37"/>
        <v/>
      </c>
      <c r="C140" s="95"/>
      <c r="D140" s="57"/>
      <c r="E140" s="58"/>
      <c r="F140" s="54"/>
      <c r="G140" s="52"/>
      <c r="H140" s="52"/>
      <c r="I140" s="61"/>
      <c r="J140" s="62"/>
      <c r="K140" s="129" t="str">
        <f t="shared" si="38"/>
        <v/>
      </c>
      <c r="L140" s="103" t="str">
        <f t="shared" si="39"/>
        <v/>
      </c>
      <c r="M140" s="52">
        <v>0</v>
      </c>
      <c r="N140" s="102" t="str">
        <f t="shared" si="40"/>
        <v/>
      </c>
      <c r="O140" s="103" t="str">
        <f t="shared" si="41"/>
        <v/>
      </c>
      <c r="P140" s="52">
        <v>0</v>
      </c>
      <c r="Q140" s="102" t="str">
        <f t="shared" si="42"/>
        <v/>
      </c>
      <c r="R140" s="103" t="str">
        <f t="shared" si="43"/>
        <v/>
      </c>
      <c r="S140" s="52">
        <v>0</v>
      </c>
      <c r="T140" s="102" t="str">
        <f t="shared" si="44"/>
        <v/>
      </c>
      <c r="U140" s="103" t="str">
        <f t="shared" si="45"/>
        <v/>
      </c>
      <c r="V140" s="52">
        <v>0</v>
      </c>
      <c r="W140" s="87" t="str">
        <f t="shared" si="46"/>
        <v/>
      </c>
      <c r="X140" s="103" t="str">
        <f t="shared" si="47"/>
        <v/>
      </c>
      <c r="Y140" s="52">
        <v>0</v>
      </c>
      <c r="Z140" s="56" t="str">
        <f t="shared" si="48"/>
        <v/>
      </c>
      <c r="AA140" s="56" t="str">
        <f t="shared" si="49"/>
        <v/>
      </c>
      <c r="AB140" s="56" t="str">
        <f t="shared" si="50"/>
        <v/>
      </c>
      <c r="AC140" s="56" t="str">
        <f t="shared" si="51"/>
        <v/>
      </c>
      <c r="AD140" s="56" t="str">
        <f t="shared" si="52"/>
        <v/>
      </c>
      <c r="AE140" s="40"/>
      <c r="AF140" s="40"/>
      <c r="AG140" s="40"/>
      <c r="AH140" s="56" t="str">
        <f t="shared" si="36"/>
        <v/>
      </c>
      <c r="AI140" s="54"/>
      <c r="AJ140" s="54"/>
      <c r="AK140" s="54"/>
      <c r="AL140" s="54"/>
      <c r="AM140" s="54"/>
    </row>
    <row r="141" spans="1:39">
      <c r="A141" s="45" t="str" cm="1">
        <f t="array" ref="A141">IF(H141="PROJECT", CHAR(10) &amp; "- " &amp; _xlfn.TEXTJOIN(CHAR(10) &amp; "- ", TRUE, _xlfn._xlws.FILTER($I$9:$I$1000, ($B$9:$B$1000=B141) * ($H$9:$H$1000="Topic"))), "")</f>
        <v/>
      </c>
      <c r="B141" s="45" t="str">
        <f t="shared" si="37"/>
        <v/>
      </c>
      <c r="C141" s="95"/>
      <c r="D141" s="46"/>
      <c r="E141" s="58"/>
      <c r="F141" s="67"/>
      <c r="G141" s="53"/>
      <c r="H141" s="53"/>
      <c r="I141" s="50"/>
      <c r="J141" s="51"/>
      <c r="K141" s="129" t="str">
        <f t="shared" si="38"/>
        <v/>
      </c>
      <c r="L141" s="103" t="str">
        <f t="shared" si="39"/>
        <v/>
      </c>
      <c r="M141" s="53">
        <v>0</v>
      </c>
      <c r="N141" s="102" t="str">
        <f t="shared" si="40"/>
        <v/>
      </c>
      <c r="O141" s="103" t="str">
        <f t="shared" si="41"/>
        <v/>
      </c>
      <c r="P141" s="53">
        <v>0</v>
      </c>
      <c r="Q141" s="102" t="str">
        <f t="shared" si="42"/>
        <v/>
      </c>
      <c r="R141" s="103" t="str">
        <f t="shared" si="43"/>
        <v/>
      </c>
      <c r="S141" s="53">
        <v>0</v>
      </c>
      <c r="T141" s="102" t="str">
        <f t="shared" si="44"/>
        <v/>
      </c>
      <c r="U141" s="103" t="str">
        <f t="shared" si="45"/>
        <v/>
      </c>
      <c r="V141" s="53">
        <v>0</v>
      </c>
      <c r="W141" s="87" t="str">
        <f t="shared" si="46"/>
        <v/>
      </c>
      <c r="X141" s="103" t="str">
        <f t="shared" si="47"/>
        <v/>
      </c>
      <c r="Y141" s="53">
        <v>0</v>
      </c>
      <c r="Z141" s="56" t="str">
        <f t="shared" si="48"/>
        <v/>
      </c>
      <c r="AA141" s="56" t="str">
        <f t="shared" si="49"/>
        <v/>
      </c>
      <c r="AB141" s="56" t="str">
        <f t="shared" si="50"/>
        <v/>
      </c>
      <c r="AC141" s="56" t="str">
        <f t="shared" si="51"/>
        <v/>
      </c>
      <c r="AD141" s="56" t="str">
        <f t="shared" si="52"/>
        <v/>
      </c>
      <c r="AE141" s="40"/>
      <c r="AF141" s="40"/>
      <c r="AG141" s="40"/>
      <c r="AH141" s="56" t="str">
        <f t="shared" si="36"/>
        <v/>
      </c>
      <c r="AI141" s="54"/>
      <c r="AJ141" s="54"/>
      <c r="AK141" s="54"/>
      <c r="AL141" s="54"/>
      <c r="AM141" s="54"/>
    </row>
    <row r="142" spans="1:39">
      <c r="A142" s="45" t="str" cm="1">
        <f t="array" ref="A142">IF(H142="PROJECT", CHAR(10) &amp; "- " &amp; _xlfn.TEXTJOIN(CHAR(10) &amp; "- ", TRUE, _xlfn._xlws.FILTER($I$9:$I$1000, ($B$9:$B$1000=B142) * ($H$9:$H$1000="Topic"))), "")</f>
        <v/>
      </c>
      <c r="B142" s="45" t="str">
        <f t="shared" si="37"/>
        <v/>
      </c>
      <c r="C142" s="95"/>
      <c r="D142" s="57"/>
      <c r="E142" s="58"/>
      <c r="F142" s="54"/>
      <c r="G142" s="52"/>
      <c r="H142" s="52"/>
      <c r="I142" s="61"/>
      <c r="J142" s="62"/>
      <c r="K142" s="129" t="str">
        <f t="shared" si="38"/>
        <v/>
      </c>
      <c r="L142" s="103" t="str">
        <f t="shared" si="39"/>
        <v/>
      </c>
      <c r="M142" s="52">
        <v>0</v>
      </c>
      <c r="N142" s="102" t="str">
        <f t="shared" si="40"/>
        <v/>
      </c>
      <c r="O142" s="103" t="str">
        <f t="shared" si="41"/>
        <v/>
      </c>
      <c r="P142" s="52">
        <v>0</v>
      </c>
      <c r="Q142" s="102" t="str">
        <f t="shared" si="42"/>
        <v/>
      </c>
      <c r="R142" s="103" t="str">
        <f t="shared" si="43"/>
        <v/>
      </c>
      <c r="S142" s="52">
        <v>0</v>
      </c>
      <c r="T142" s="102" t="str">
        <f t="shared" si="44"/>
        <v/>
      </c>
      <c r="U142" s="103" t="str">
        <f t="shared" si="45"/>
        <v/>
      </c>
      <c r="V142" s="52">
        <v>0</v>
      </c>
      <c r="W142" s="87" t="str">
        <f t="shared" si="46"/>
        <v/>
      </c>
      <c r="X142" s="103" t="str">
        <f t="shared" si="47"/>
        <v/>
      </c>
      <c r="Y142" s="52">
        <v>0</v>
      </c>
      <c r="Z142" s="56" t="str">
        <f t="shared" si="48"/>
        <v/>
      </c>
      <c r="AA142" s="56" t="str">
        <f t="shared" si="49"/>
        <v/>
      </c>
      <c r="AB142" s="56" t="str">
        <f t="shared" si="50"/>
        <v/>
      </c>
      <c r="AC142" s="56" t="str">
        <f t="shared" si="51"/>
        <v/>
      </c>
      <c r="AD142" s="56" t="str">
        <f t="shared" si="52"/>
        <v/>
      </c>
      <c r="AE142" s="40"/>
      <c r="AF142" s="40"/>
      <c r="AG142" s="40"/>
      <c r="AH142" s="56" t="str">
        <f t="shared" si="36"/>
        <v/>
      </c>
      <c r="AI142" s="54"/>
      <c r="AJ142" s="54"/>
      <c r="AK142" s="54"/>
      <c r="AL142" s="54"/>
      <c r="AM142" s="54"/>
    </row>
    <row r="143" spans="1:39">
      <c r="A143" s="45" t="str" cm="1">
        <f t="array" ref="A143">IF(H143="PROJECT", CHAR(10) &amp; "- " &amp; _xlfn.TEXTJOIN(CHAR(10) &amp; "- ", TRUE, _xlfn._xlws.FILTER($I$9:$I$1000, ($B$9:$B$1000=B143) * ($H$9:$H$1000="Topic"))), "")</f>
        <v/>
      </c>
      <c r="B143" s="45" t="str">
        <f t="shared" si="37"/>
        <v/>
      </c>
      <c r="C143" s="95"/>
      <c r="D143" s="46"/>
      <c r="E143" s="58"/>
      <c r="F143" s="67"/>
      <c r="G143" s="53"/>
      <c r="H143" s="53"/>
      <c r="I143" s="50"/>
      <c r="J143" s="51"/>
      <c r="K143" s="129" t="str">
        <f t="shared" si="38"/>
        <v/>
      </c>
      <c r="L143" s="103" t="str">
        <f t="shared" si="39"/>
        <v/>
      </c>
      <c r="M143" s="53">
        <v>0</v>
      </c>
      <c r="N143" s="102" t="str">
        <f t="shared" si="40"/>
        <v/>
      </c>
      <c r="O143" s="103" t="str">
        <f t="shared" si="41"/>
        <v/>
      </c>
      <c r="P143" s="53">
        <v>0</v>
      </c>
      <c r="Q143" s="102" t="str">
        <f t="shared" si="42"/>
        <v/>
      </c>
      <c r="R143" s="103" t="str">
        <f t="shared" si="43"/>
        <v/>
      </c>
      <c r="S143" s="53">
        <v>0</v>
      </c>
      <c r="T143" s="102" t="str">
        <f t="shared" si="44"/>
        <v/>
      </c>
      <c r="U143" s="103" t="str">
        <f t="shared" si="45"/>
        <v/>
      </c>
      <c r="V143" s="53">
        <v>0</v>
      </c>
      <c r="W143" s="87" t="str">
        <f t="shared" si="46"/>
        <v/>
      </c>
      <c r="X143" s="103" t="str">
        <f t="shared" si="47"/>
        <v/>
      </c>
      <c r="Y143" s="53">
        <v>0</v>
      </c>
      <c r="Z143" s="56" t="str">
        <f t="shared" si="48"/>
        <v/>
      </c>
      <c r="AA143" s="56" t="str">
        <f t="shared" si="49"/>
        <v/>
      </c>
      <c r="AB143" s="56" t="str">
        <f t="shared" si="50"/>
        <v/>
      </c>
      <c r="AC143" s="56" t="str">
        <f t="shared" si="51"/>
        <v/>
      </c>
      <c r="AD143" s="56" t="str">
        <f t="shared" si="52"/>
        <v/>
      </c>
      <c r="AE143" s="40"/>
      <c r="AF143" s="40"/>
      <c r="AG143" s="40"/>
      <c r="AH143" s="56" t="str">
        <f t="shared" si="36"/>
        <v/>
      </c>
      <c r="AI143" s="54"/>
      <c r="AJ143" s="54"/>
      <c r="AK143" s="54"/>
      <c r="AL143" s="54"/>
      <c r="AM143" s="54"/>
    </row>
    <row r="144" spans="1:39">
      <c r="A144" s="45" t="str" cm="1">
        <f t="array" ref="A144">IF(H144="PROJECT", CHAR(10) &amp; "- " &amp; _xlfn.TEXTJOIN(CHAR(10) &amp; "- ", TRUE, _xlfn._xlws.FILTER($I$9:$I$1000, ($B$9:$B$1000=B144) * ($H$9:$H$1000="Topic"))), "")</f>
        <v/>
      </c>
      <c r="B144" s="45" t="str">
        <f t="shared" si="37"/>
        <v/>
      </c>
      <c r="C144" s="95"/>
      <c r="D144" s="57"/>
      <c r="E144" s="58"/>
      <c r="F144" s="54"/>
      <c r="G144" s="52"/>
      <c r="H144" s="52"/>
      <c r="I144" s="61"/>
      <c r="J144" s="62"/>
      <c r="K144" s="129" t="str">
        <f t="shared" si="38"/>
        <v/>
      </c>
      <c r="L144" s="103" t="str">
        <f t="shared" si="39"/>
        <v/>
      </c>
      <c r="M144" s="52">
        <v>0</v>
      </c>
      <c r="N144" s="102" t="str">
        <f t="shared" si="40"/>
        <v/>
      </c>
      <c r="O144" s="103" t="str">
        <f t="shared" si="41"/>
        <v/>
      </c>
      <c r="P144" s="52">
        <v>0</v>
      </c>
      <c r="Q144" s="102" t="str">
        <f t="shared" si="42"/>
        <v/>
      </c>
      <c r="R144" s="103" t="str">
        <f t="shared" si="43"/>
        <v/>
      </c>
      <c r="S144" s="52">
        <v>0</v>
      </c>
      <c r="T144" s="102" t="str">
        <f t="shared" si="44"/>
        <v/>
      </c>
      <c r="U144" s="103" t="str">
        <f t="shared" si="45"/>
        <v/>
      </c>
      <c r="V144" s="52">
        <v>0</v>
      </c>
      <c r="W144" s="87" t="str">
        <f t="shared" si="46"/>
        <v/>
      </c>
      <c r="X144" s="103" t="str">
        <f t="shared" si="47"/>
        <v/>
      </c>
      <c r="Y144" s="52">
        <v>0</v>
      </c>
      <c r="Z144" s="56" t="str">
        <f t="shared" si="48"/>
        <v/>
      </c>
      <c r="AA144" s="56" t="str">
        <f t="shared" si="49"/>
        <v/>
      </c>
      <c r="AB144" s="56" t="str">
        <f t="shared" si="50"/>
        <v/>
      </c>
      <c r="AC144" s="56" t="str">
        <f t="shared" si="51"/>
        <v/>
      </c>
      <c r="AD144" s="56" t="str">
        <f t="shared" si="52"/>
        <v/>
      </c>
      <c r="AE144" s="40"/>
      <c r="AF144" s="40"/>
      <c r="AG144" s="40"/>
      <c r="AH144" s="56" t="str">
        <f t="shared" si="36"/>
        <v/>
      </c>
      <c r="AI144" s="54"/>
      <c r="AJ144" s="54"/>
      <c r="AK144" s="54"/>
      <c r="AL144" s="54"/>
      <c r="AM144" s="54"/>
    </row>
    <row r="145" spans="1:39">
      <c r="A145" s="45" t="str" cm="1">
        <f t="array" ref="A145">IF(H145="PROJECT", CHAR(10) &amp; "- " &amp; _xlfn.TEXTJOIN(CHAR(10) &amp; "- ", TRUE, _xlfn._xlws.FILTER($I$9:$I$1000, ($B$9:$B$1000=B145) * ($H$9:$H$1000="Topic"))), "")</f>
        <v/>
      </c>
      <c r="B145" s="45" t="str">
        <f t="shared" si="37"/>
        <v/>
      </c>
      <c r="C145" s="95"/>
      <c r="D145" s="46"/>
      <c r="E145" s="58"/>
      <c r="F145" s="67"/>
      <c r="G145" s="53"/>
      <c r="H145" s="53"/>
      <c r="I145" s="50"/>
      <c r="J145" s="51"/>
      <c r="K145" s="129" t="str">
        <f t="shared" si="38"/>
        <v/>
      </c>
      <c r="L145" s="103" t="str">
        <f t="shared" si="39"/>
        <v/>
      </c>
      <c r="M145" s="53">
        <v>0</v>
      </c>
      <c r="N145" s="102" t="str">
        <f t="shared" si="40"/>
        <v/>
      </c>
      <c r="O145" s="103" t="str">
        <f t="shared" si="41"/>
        <v/>
      </c>
      <c r="P145" s="53">
        <v>0</v>
      </c>
      <c r="Q145" s="102" t="str">
        <f t="shared" si="42"/>
        <v/>
      </c>
      <c r="R145" s="103" t="str">
        <f t="shared" si="43"/>
        <v/>
      </c>
      <c r="S145" s="53">
        <v>0</v>
      </c>
      <c r="T145" s="102" t="str">
        <f t="shared" si="44"/>
        <v/>
      </c>
      <c r="U145" s="103" t="str">
        <f t="shared" si="45"/>
        <v/>
      </c>
      <c r="V145" s="53">
        <v>0</v>
      </c>
      <c r="W145" s="87" t="str">
        <f t="shared" si="46"/>
        <v/>
      </c>
      <c r="X145" s="103" t="str">
        <f t="shared" si="47"/>
        <v/>
      </c>
      <c r="Y145" s="53">
        <v>0</v>
      </c>
      <c r="Z145" s="56" t="str">
        <f t="shared" si="48"/>
        <v/>
      </c>
      <c r="AA145" s="56" t="str">
        <f t="shared" si="49"/>
        <v/>
      </c>
      <c r="AB145" s="56" t="str">
        <f t="shared" si="50"/>
        <v/>
      </c>
      <c r="AC145" s="56" t="str">
        <f t="shared" si="51"/>
        <v/>
      </c>
      <c r="AD145" s="56" t="str">
        <f t="shared" si="52"/>
        <v/>
      </c>
      <c r="AE145" s="40"/>
      <c r="AF145" s="40"/>
      <c r="AG145" s="40"/>
      <c r="AH145" s="56" t="str">
        <f t="shared" si="36"/>
        <v/>
      </c>
      <c r="AI145" s="54"/>
      <c r="AJ145" s="54"/>
      <c r="AK145" s="54"/>
      <c r="AL145" s="54"/>
      <c r="AM145" s="54"/>
    </row>
    <row r="146" spans="1:39">
      <c r="A146" s="45" t="str" cm="1">
        <f t="array" ref="A146">IF(H146="PROJECT", CHAR(10) &amp; "- " &amp; _xlfn.TEXTJOIN(CHAR(10) &amp; "- ", TRUE, _xlfn._xlws.FILTER($I$9:$I$1000, ($B$9:$B$1000=B146) * ($H$9:$H$1000="Topic"))), "")</f>
        <v/>
      </c>
      <c r="B146" s="45" t="str">
        <f t="shared" si="37"/>
        <v/>
      </c>
      <c r="C146" s="95"/>
      <c r="D146" s="57"/>
      <c r="E146" s="58"/>
      <c r="F146" s="54"/>
      <c r="G146" s="52"/>
      <c r="H146" s="52"/>
      <c r="I146" s="61"/>
      <c r="J146" s="62"/>
      <c r="K146" s="129" t="str">
        <f t="shared" si="38"/>
        <v/>
      </c>
      <c r="L146" s="103" t="str">
        <f t="shared" si="39"/>
        <v/>
      </c>
      <c r="M146" s="52">
        <v>0</v>
      </c>
      <c r="N146" s="102" t="str">
        <f t="shared" si="40"/>
        <v/>
      </c>
      <c r="O146" s="103" t="str">
        <f t="shared" si="41"/>
        <v/>
      </c>
      <c r="P146" s="52">
        <v>0</v>
      </c>
      <c r="Q146" s="102" t="str">
        <f t="shared" si="42"/>
        <v/>
      </c>
      <c r="R146" s="103" t="str">
        <f t="shared" si="43"/>
        <v/>
      </c>
      <c r="S146" s="52">
        <v>0</v>
      </c>
      <c r="T146" s="102" t="str">
        <f t="shared" si="44"/>
        <v/>
      </c>
      <c r="U146" s="103" t="str">
        <f t="shared" si="45"/>
        <v/>
      </c>
      <c r="V146" s="52">
        <v>0</v>
      </c>
      <c r="W146" s="87" t="str">
        <f t="shared" si="46"/>
        <v/>
      </c>
      <c r="X146" s="103" t="str">
        <f t="shared" si="47"/>
        <v/>
      </c>
      <c r="Y146" s="52">
        <v>0</v>
      </c>
      <c r="Z146" s="56" t="str">
        <f t="shared" si="48"/>
        <v/>
      </c>
      <c r="AA146" s="56" t="str">
        <f t="shared" si="49"/>
        <v/>
      </c>
      <c r="AB146" s="56" t="str">
        <f t="shared" si="50"/>
        <v/>
      </c>
      <c r="AC146" s="56" t="str">
        <f t="shared" si="51"/>
        <v/>
      </c>
      <c r="AD146" s="56" t="str">
        <f t="shared" si="52"/>
        <v/>
      </c>
      <c r="AE146" s="40"/>
      <c r="AF146" s="40"/>
      <c r="AG146" s="40"/>
      <c r="AH146" s="56" t="str">
        <f t="shared" si="36"/>
        <v/>
      </c>
      <c r="AI146" s="54"/>
      <c r="AJ146" s="54"/>
      <c r="AK146" s="54"/>
      <c r="AL146" s="54"/>
      <c r="AM146" s="54"/>
    </row>
    <row r="147" spans="1:39">
      <c r="A147" s="45" t="str" cm="1">
        <f t="array" ref="A147">IF(H147="PROJECT", CHAR(10) &amp; "- " &amp; _xlfn.TEXTJOIN(CHAR(10) &amp; "- ", TRUE, _xlfn._xlws.FILTER($I$9:$I$1000, ($B$9:$B$1000=B147) * ($H$9:$H$1000="Topic"))), "")</f>
        <v/>
      </c>
      <c r="B147" s="45" t="str">
        <f t="shared" si="37"/>
        <v/>
      </c>
      <c r="C147" s="95"/>
      <c r="D147" s="46"/>
      <c r="E147" s="58"/>
      <c r="F147" s="67"/>
      <c r="G147" s="53"/>
      <c r="H147" s="53"/>
      <c r="I147" s="50"/>
      <c r="J147" s="51"/>
      <c r="K147" s="129" t="str">
        <f t="shared" si="38"/>
        <v/>
      </c>
      <c r="L147" s="103" t="str">
        <f t="shared" si="39"/>
        <v/>
      </c>
      <c r="M147" s="53">
        <v>0</v>
      </c>
      <c r="N147" s="102" t="str">
        <f t="shared" si="40"/>
        <v/>
      </c>
      <c r="O147" s="103" t="str">
        <f t="shared" si="41"/>
        <v/>
      </c>
      <c r="P147" s="53">
        <v>0</v>
      </c>
      <c r="Q147" s="102" t="str">
        <f t="shared" si="42"/>
        <v/>
      </c>
      <c r="R147" s="103" t="str">
        <f t="shared" si="43"/>
        <v/>
      </c>
      <c r="S147" s="53">
        <v>0</v>
      </c>
      <c r="T147" s="102" t="str">
        <f t="shared" si="44"/>
        <v/>
      </c>
      <c r="U147" s="103" t="str">
        <f t="shared" si="45"/>
        <v/>
      </c>
      <c r="V147" s="53">
        <v>0</v>
      </c>
      <c r="W147" s="87" t="str">
        <f t="shared" si="46"/>
        <v/>
      </c>
      <c r="X147" s="103" t="str">
        <f t="shared" si="47"/>
        <v/>
      </c>
      <c r="Y147" s="53">
        <v>0</v>
      </c>
      <c r="Z147" s="56" t="str">
        <f t="shared" si="48"/>
        <v/>
      </c>
      <c r="AA147" s="56" t="str">
        <f t="shared" si="49"/>
        <v/>
      </c>
      <c r="AB147" s="56" t="str">
        <f t="shared" si="50"/>
        <v/>
      </c>
      <c r="AC147" s="56" t="str">
        <f t="shared" si="51"/>
        <v/>
      </c>
      <c r="AD147" s="56" t="str">
        <f t="shared" si="52"/>
        <v/>
      </c>
      <c r="AE147" s="40"/>
      <c r="AF147" s="40"/>
      <c r="AG147" s="40"/>
      <c r="AH147" s="56" t="str">
        <f t="shared" si="36"/>
        <v/>
      </c>
      <c r="AI147" s="54"/>
      <c r="AJ147" s="54"/>
      <c r="AK147" s="54"/>
      <c r="AL147" s="54"/>
      <c r="AM147" s="54"/>
    </row>
    <row r="148" spans="1:39">
      <c r="A148" s="45" t="str" cm="1">
        <f t="array" ref="A148">IF(H148="PROJECT", CHAR(10) &amp; "- " &amp; _xlfn.TEXTJOIN(CHAR(10) &amp; "- ", TRUE, _xlfn._xlws.FILTER($I$9:$I$1000, ($B$9:$B$1000=B148) * ($H$9:$H$1000="Topic"))), "")</f>
        <v/>
      </c>
      <c r="B148" s="45" t="str">
        <f t="shared" si="37"/>
        <v/>
      </c>
      <c r="C148" s="95"/>
      <c r="D148" s="57"/>
      <c r="E148" s="58"/>
      <c r="F148" s="54"/>
      <c r="G148" s="52"/>
      <c r="H148" s="52"/>
      <c r="I148" s="61"/>
      <c r="J148" s="62"/>
      <c r="K148" s="129" t="str">
        <f t="shared" si="38"/>
        <v/>
      </c>
      <c r="L148" s="103" t="str">
        <f t="shared" si="39"/>
        <v/>
      </c>
      <c r="M148" s="52">
        <v>0</v>
      </c>
      <c r="N148" s="102" t="str">
        <f t="shared" si="40"/>
        <v/>
      </c>
      <c r="O148" s="103" t="str">
        <f t="shared" si="41"/>
        <v/>
      </c>
      <c r="P148" s="52">
        <v>0</v>
      </c>
      <c r="Q148" s="102" t="str">
        <f t="shared" si="42"/>
        <v/>
      </c>
      <c r="R148" s="103" t="str">
        <f t="shared" si="43"/>
        <v/>
      </c>
      <c r="S148" s="52">
        <v>0</v>
      </c>
      <c r="T148" s="102" t="str">
        <f t="shared" si="44"/>
        <v/>
      </c>
      <c r="U148" s="103" t="str">
        <f t="shared" si="45"/>
        <v/>
      </c>
      <c r="V148" s="52">
        <v>0</v>
      </c>
      <c r="W148" s="87" t="str">
        <f t="shared" si="46"/>
        <v/>
      </c>
      <c r="X148" s="103" t="str">
        <f t="shared" si="47"/>
        <v/>
      </c>
      <c r="Y148" s="52">
        <v>0</v>
      </c>
      <c r="Z148" s="56" t="str">
        <f t="shared" si="48"/>
        <v/>
      </c>
      <c r="AA148" s="56" t="str">
        <f t="shared" si="49"/>
        <v/>
      </c>
      <c r="AB148" s="56" t="str">
        <f t="shared" si="50"/>
        <v/>
      </c>
      <c r="AC148" s="56" t="str">
        <f t="shared" si="51"/>
        <v/>
      </c>
      <c r="AD148" s="56" t="str">
        <f t="shared" si="52"/>
        <v/>
      </c>
      <c r="AE148" s="40"/>
      <c r="AF148" s="40"/>
      <c r="AG148" s="40"/>
      <c r="AH148" s="56" t="str">
        <f t="shared" si="36"/>
        <v/>
      </c>
      <c r="AI148" s="54"/>
      <c r="AJ148" s="54"/>
      <c r="AK148" s="54"/>
      <c r="AL148" s="54"/>
      <c r="AM148" s="54"/>
    </row>
    <row r="149" spans="1:39">
      <c r="A149" s="45" t="str" cm="1">
        <f t="array" ref="A149">IF(H149="PROJECT", CHAR(10) &amp; "- " &amp; _xlfn.TEXTJOIN(CHAR(10) &amp; "- ", TRUE, _xlfn._xlws.FILTER($I$9:$I$1000, ($B$9:$B$1000=B149) * ($H$9:$H$1000="Topic"))), "")</f>
        <v/>
      </c>
      <c r="B149" s="45" t="str">
        <f t="shared" si="37"/>
        <v/>
      </c>
      <c r="C149" s="95"/>
      <c r="D149" s="46"/>
      <c r="E149" s="58"/>
      <c r="F149" s="67"/>
      <c r="G149" s="53"/>
      <c r="H149" s="53"/>
      <c r="I149" s="50"/>
      <c r="J149" s="51"/>
      <c r="K149" s="129" t="str">
        <f t="shared" si="38"/>
        <v/>
      </c>
      <c r="L149" s="103" t="str">
        <f t="shared" si="39"/>
        <v/>
      </c>
      <c r="M149" s="53">
        <v>0</v>
      </c>
      <c r="N149" s="102" t="str">
        <f t="shared" si="40"/>
        <v/>
      </c>
      <c r="O149" s="103" t="str">
        <f t="shared" si="41"/>
        <v/>
      </c>
      <c r="P149" s="53">
        <v>0</v>
      </c>
      <c r="Q149" s="102" t="str">
        <f t="shared" si="42"/>
        <v/>
      </c>
      <c r="R149" s="103" t="str">
        <f t="shared" si="43"/>
        <v/>
      </c>
      <c r="S149" s="53">
        <v>0</v>
      </c>
      <c r="T149" s="102" t="str">
        <f t="shared" si="44"/>
        <v/>
      </c>
      <c r="U149" s="103" t="str">
        <f t="shared" si="45"/>
        <v/>
      </c>
      <c r="V149" s="53">
        <v>0</v>
      </c>
      <c r="W149" s="87" t="str">
        <f t="shared" si="46"/>
        <v/>
      </c>
      <c r="X149" s="103" t="str">
        <f t="shared" si="47"/>
        <v/>
      </c>
      <c r="Y149" s="53">
        <v>0</v>
      </c>
      <c r="Z149" s="56" t="str">
        <f t="shared" si="48"/>
        <v/>
      </c>
      <c r="AA149" s="56" t="str">
        <f t="shared" si="49"/>
        <v/>
      </c>
      <c r="AB149" s="56" t="str">
        <f t="shared" si="50"/>
        <v/>
      </c>
      <c r="AC149" s="56" t="str">
        <f t="shared" si="51"/>
        <v/>
      </c>
      <c r="AD149" s="56" t="str">
        <f t="shared" si="52"/>
        <v/>
      </c>
      <c r="AE149" s="40"/>
      <c r="AF149" s="40"/>
      <c r="AG149" s="40"/>
      <c r="AH149" s="56" t="str">
        <f t="shared" si="36"/>
        <v/>
      </c>
      <c r="AI149" s="54"/>
      <c r="AJ149" s="54"/>
      <c r="AK149" s="54"/>
      <c r="AL149" s="54"/>
      <c r="AM149" s="54"/>
    </row>
    <row r="150" spans="1:39">
      <c r="A150" s="45" t="str" cm="1">
        <f t="array" ref="A150">IF(H150="PROJECT", CHAR(10) &amp; "- " &amp; _xlfn.TEXTJOIN(CHAR(10) &amp; "- ", TRUE, _xlfn._xlws.FILTER($I$9:$I$1000, ($B$9:$B$1000=B150) * ($H$9:$H$1000="Topic"))), "")</f>
        <v/>
      </c>
      <c r="B150" s="45" t="str">
        <f t="shared" si="37"/>
        <v/>
      </c>
      <c r="C150" s="95"/>
      <c r="D150" s="57"/>
      <c r="E150" s="58"/>
      <c r="F150" s="54"/>
      <c r="G150" s="52"/>
      <c r="H150" s="52"/>
      <c r="I150" s="61"/>
      <c r="J150" s="62"/>
      <c r="K150" s="129" t="str">
        <f t="shared" si="38"/>
        <v/>
      </c>
      <c r="L150" s="103" t="str">
        <f t="shared" si="39"/>
        <v/>
      </c>
      <c r="M150" s="52">
        <v>0</v>
      </c>
      <c r="N150" s="102" t="str">
        <f t="shared" si="40"/>
        <v/>
      </c>
      <c r="O150" s="103" t="str">
        <f t="shared" si="41"/>
        <v/>
      </c>
      <c r="P150" s="52">
        <v>0</v>
      </c>
      <c r="Q150" s="102" t="str">
        <f t="shared" si="42"/>
        <v/>
      </c>
      <c r="R150" s="103" t="str">
        <f t="shared" si="43"/>
        <v/>
      </c>
      <c r="S150" s="52">
        <v>0</v>
      </c>
      <c r="T150" s="102" t="str">
        <f t="shared" si="44"/>
        <v/>
      </c>
      <c r="U150" s="103" t="str">
        <f t="shared" si="45"/>
        <v/>
      </c>
      <c r="V150" s="52">
        <v>0</v>
      </c>
      <c r="W150" s="87" t="str">
        <f t="shared" si="46"/>
        <v/>
      </c>
      <c r="X150" s="103" t="str">
        <f t="shared" si="47"/>
        <v/>
      </c>
      <c r="Y150" s="52">
        <v>0</v>
      </c>
      <c r="Z150" s="56" t="str">
        <f t="shared" si="48"/>
        <v/>
      </c>
      <c r="AA150" s="56" t="str">
        <f t="shared" si="49"/>
        <v/>
      </c>
      <c r="AB150" s="56" t="str">
        <f t="shared" si="50"/>
        <v/>
      </c>
      <c r="AC150" s="56" t="str">
        <f t="shared" si="51"/>
        <v/>
      </c>
      <c r="AD150" s="56" t="str">
        <f t="shared" si="52"/>
        <v/>
      </c>
      <c r="AE150" s="40"/>
      <c r="AF150" s="40"/>
      <c r="AG150" s="40"/>
      <c r="AH150" s="56" t="str">
        <f t="shared" si="36"/>
        <v/>
      </c>
      <c r="AI150" s="54"/>
      <c r="AJ150" s="54"/>
      <c r="AK150" s="54"/>
      <c r="AL150" s="54"/>
      <c r="AM150" s="54"/>
    </row>
    <row r="151" spans="1:39">
      <c r="A151" s="45" t="str" cm="1">
        <f t="array" ref="A151">IF(H151="PROJECT", CHAR(10) &amp; "- " &amp; _xlfn.TEXTJOIN(CHAR(10) &amp; "- ", TRUE, _xlfn._xlws.FILTER($I$9:$I$1000, ($B$9:$B$1000=B151) * ($H$9:$H$1000="Topic"))), "")</f>
        <v/>
      </c>
      <c r="B151" s="45" t="str">
        <f t="shared" si="37"/>
        <v/>
      </c>
      <c r="C151" s="95"/>
      <c r="D151" s="46"/>
      <c r="E151" s="58"/>
      <c r="F151" s="67"/>
      <c r="G151" s="53"/>
      <c r="H151" s="53"/>
      <c r="I151" s="50"/>
      <c r="J151" s="51"/>
      <c r="K151" s="129" t="str">
        <f t="shared" si="38"/>
        <v/>
      </c>
      <c r="L151" s="103" t="str">
        <f t="shared" si="39"/>
        <v/>
      </c>
      <c r="M151" s="53">
        <v>0</v>
      </c>
      <c r="N151" s="102" t="str">
        <f t="shared" si="40"/>
        <v/>
      </c>
      <c r="O151" s="103" t="str">
        <f t="shared" si="41"/>
        <v/>
      </c>
      <c r="P151" s="53">
        <v>0</v>
      </c>
      <c r="Q151" s="102" t="str">
        <f t="shared" si="42"/>
        <v/>
      </c>
      <c r="R151" s="103" t="str">
        <f t="shared" si="43"/>
        <v/>
      </c>
      <c r="S151" s="53">
        <v>0</v>
      </c>
      <c r="T151" s="102" t="str">
        <f t="shared" si="44"/>
        <v/>
      </c>
      <c r="U151" s="103" t="str">
        <f t="shared" si="45"/>
        <v/>
      </c>
      <c r="V151" s="53">
        <v>0</v>
      </c>
      <c r="W151" s="87" t="str">
        <f t="shared" si="46"/>
        <v/>
      </c>
      <c r="X151" s="103" t="str">
        <f t="shared" si="47"/>
        <v/>
      </c>
      <c r="Y151" s="53">
        <v>0</v>
      </c>
      <c r="Z151" s="56" t="str">
        <f t="shared" si="48"/>
        <v/>
      </c>
      <c r="AA151" s="56" t="str">
        <f t="shared" si="49"/>
        <v/>
      </c>
      <c r="AB151" s="56" t="str">
        <f t="shared" si="50"/>
        <v/>
      </c>
      <c r="AC151" s="56" t="str">
        <f t="shared" si="51"/>
        <v/>
      </c>
      <c r="AD151" s="56" t="str">
        <f t="shared" si="52"/>
        <v/>
      </c>
      <c r="AE151" s="40"/>
      <c r="AF151" s="40"/>
      <c r="AG151" s="40"/>
      <c r="AH151" s="56" t="str">
        <f t="shared" si="36"/>
        <v/>
      </c>
      <c r="AI151" s="54"/>
      <c r="AJ151" s="54"/>
      <c r="AK151" s="54"/>
      <c r="AL151" s="54"/>
      <c r="AM151" s="54"/>
    </row>
    <row r="152" spans="1:39">
      <c r="A152" s="45" t="str" cm="1">
        <f t="array" ref="A152">IF(H152="PROJECT", CHAR(10) &amp; "- " &amp; _xlfn.TEXTJOIN(CHAR(10) &amp; "- ", TRUE, _xlfn._xlws.FILTER($I$9:$I$1000, ($B$9:$B$1000=B152) * ($H$9:$H$1000="Topic"))), "")</f>
        <v/>
      </c>
      <c r="B152" s="45" t="str">
        <f t="shared" si="37"/>
        <v/>
      </c>
      <c r="C152" s="95"/>
      <c r="D152" s="57"/>
      <c r="E152" s="58"/>
      <c r="F152" s="54"/>
      <c r="G152" s="52"/>
      <c r="H152" s="52"/>
      <c r="I152" s="61"/>
      <c r="J152" s="62"/>
      <c r="K152" s="129" t="str">
        <f t="shared" si="38"/>
        <v/>
      </c>
      <c r="L152" s="103" t="str">
        <f t="shared" si="39"/>
        <v/>
      </c>
      <c r="M152" s="52">
        <v>0</v>
      </c>
      <c r="N152" s="102" t="str">
        <f t="shared" si="40"/>
        <v/>
      </c>
      <c r="O152" s="103" t="str">
        <f t="shared" si="41"/>
        <v/>
      </c>
      <c r="P152" s="52">
        <v>0</v>
      </c>
      <c r="Q152" s="102" t="str">
        <f t="shared" si="42"/>
        <v/>
      </c>
      <c r="R152" s="103" t="str">
        <f t="shared" si="43"/>
        <v/>
      </c>
      <c r="S152" s="52">
        <v>0</v>
      </c>
      <c r="T152" s="102" t="str">
        <f t="shared" si="44"/>
        <v/>
      </c>
      <c r="U152" s="103" t="str">
        <f t="shared" si="45"/>
        <v/>
      </c>
      <c r="V152" s="52">
        <v>0</v>
      </c>
      <c r="W152" s="87" t="str">
        <f t="shared" si="46"/>
        <v/>
      </c>
      <c r="X152" s="103" t="str">
        <f t="shared" si="47"/>
        <v/>
      </c>
      <c r="Y152" s="52">
        <v>0</v>
      </c>
      <c r="Z152" s="56" t="str">
        <f t="shared" si="48"/>
        <v/>
      </c>
      <c r="AA152" s="56" t="str">
        <f t="shared" si="49"/>
        <v/>
      </c>
      <c r="AB152" s="56" t="str">
        <f t="shared" si="50"/>
        <v/>
      </c>
      <c r="AC152" s="56" t="str">
        <f t="shared" si="51"/>
        <v/>
      </c>
      <c r="AD152" s="56" t="str">
        <f t="shared" si="52"/>
        <v/>
      </c>
      <c r="AE152" s="40"/>
      <c r="AF152" s="40"/>
      <c r="AG152" s="40"/>
      <c r="AH152" s="56" t="str">
        <f t="shared" si="36"/>
        <v/>
      </c>
      <c r="AI152" s="54"/>
      <c r="AJ152" s="54"/>
      <c r="AK152" s="54"/>
      <c r="AL152" s="54"/>
      <c r="AM152" s="54"/>
    </row>
    <row r="153" spans="1:39">
      <c r="A153" s="45" t="str" cm="1">
        <f t="array" ref="A153">IF(H153="PROJECT", CHAR(10) &amp; "- " &amp; _xlfn.TEXTJOIN(CHAR(10) &amp; "- ", TRUE, _xlfn._xlws.FILTER($I$9:$I$1000, ($B$9:$B$1000=B153) * ($H$9:$H$1000="Topic"))), "")</f>
        <v/>
      </c>
      <c r="B153" s="45" t="str">
        <f t="shared" si="37"/>
        <v/>
      </c>
      <c r="C153" s="95"/>
      <c r="D153" s="46"/>
      <c r="E153" s="58"/>
      <c r="F153" s="67"/>
      <c r="G153" s="53"/>
      <c r="H153" s="53"/>
      <c r="I153" s="50"/>
      <c r="J153" s="51"/>
      <c r="K153" s="129" t="str">
        <f t="shared" si="38"/>
        <v/>
      </c>
      <c r="L153" s="103" t="str">
        <f t="shared" si="39"/>
        <v/>
      </c>
      <c r="M153" s="53">
        <v>0</v>
      </c>
      <c r="N153" s="102" t="str">
        <f t="shared" si="40"/>
        <v/>
      </c>
      <c r="O153" s="103" t="str">
        <f t="shared" si="41"/>
        <v/>
      </c>
      <c r="P153" s="53">
        <v>0</v>
      </c>
      <c r="Q153" s="102" t="str">
        <f t="shared" si="42"/>
        <v/>
      </c>
      <c r="R153" s="103" t="str">
        <f t="shared" si="43"/>
        <v/>
      </c>
      <c r="S153" s="53">
        <v>0</v>
      </c>
      <c r="T153" s="102" t="str">
        <f t="shared" si="44"/>
        <v/>
      </c>
      <c r="U153" s="103" t="str">
        <f t="shared" si="45"/>
        <v/>
      </c>
      <c r="V153" s="53">
        <v>0</v>
      </c>
      <c r="W153" s="87" t="str">
        <f t="shared" si="46"/>
        <v/>
      </c>
      <c r="X153" s="103" t="str">
        <f t="shared" si="47"/>
        <v/>
      </c>
      <c r="Y153" s="53">
        <v>0</v>
      </c>
      <c r="Z153" s="56" t="str">
        <f t="shared" si="48"/>
        <v/>
      </c>
      <c r="AA153" s="56" t="str">
        <f t="shared" si="49"/>
        <v/>
      </c>
      <c r="AB153" s="56" t="str">
        <f t="shared" si="50"/>
        <v/>
      </c>
      <c r="AC153" s="56" t="str">
        <f t="shared" si="51"/>
        <v/>
      </c>
      <c r="AD153" s="56" t="str">
        <f t="shared" si="52"/>
        <v/>
      </c>
      <c r="AE153" s="40"/>
      <c r="AF153" s="40"/>
      <c r="AG153" s="40"/>
      <c r="AH153" s="56" t="str">
        <f t="shared" si="36"/>
        <v/>
      </c>
      <c r="AI153" s="54"/>
      <c r="AJ153" s="54"/>
      <c r="AK153" s="54"/>
      <c r="AL153" s="54"/>
      <c r="AM153" s="54"/>
    </row>
    <row r="154" spans="1:39">
      <c r="A154" s="45" t="str" cm="1">
        <f t="array" ref="A154">IF(H154="PROJECT", CHAR(10) &amp; "- " &amp; _xlfn.TEXTJOIN(CHAR(10) &amp; "- ", TRUE, _xlfn._xlws.FILTER($I$9:$I$1000, ($B$9:$B$1000=B154) * ($H$9:$H$1000="Topic"))), "")</f>
        <v/>
      </c>
      <c r="B154" s="45" t="str">
        <f t="shared" si="37"/>
        <v/>
      </c>
      <c r="C154" s="95"/>
      <c r="D154" s="57"/>
      <c r="E154" s="58"/>
      <c r="F154" s="54"/>
      <c r="G154" s="52"/>
      <c r="H154" s="52"/>
      <c r="I154" s="61"/>
      <c r="J154" s="62"/>
      <c r="K154" s="129" t="str">
        <f t="shared" si="38"/>
        <v/>
      </c>
      <c r="L154" s="103" t="str">
        <f t="shared" si="39"/>
        <v/>
      </c>
      <c r="M154" s="52">
        <v>0</v>
      </c>
      <c r="N154" s="102" t="str">
        <f t="shared" si="40"/>
        <v/>
      </c>
      <c r="O154" s="103" t="str">
        <f t="shared" si="41"/>
        <v/>
      </c>
      <c r="P154" s="52">
        <v>0</v>
      </c>
      <c r="Q154" s="102" t="str">
        <f t="shared" si="42"/>
        <v/>
      </c>
      <c r="R154" s="103" t="str">
        <f t="shared" si="43"/>
        <v/>
      </c>
      <c r="S154" s="52">
        <v>0</v>
      </c>
      <c r="T154" s="102" t="str">
        <f t="shared" si="44"/>
        <v/>
      </c>
      <c r="U154" s="103" t="str">
        <f t="shared" si="45"/>
        <v/>
      </c>
      <c r="V154" s="52">
        <v>0</v>
      </c>
      <c r="W154" s="87" t="str">
        <f t="shared" si="46"/>
        <v/>
      </c>
      <c r="X154" s="103" t="str">
        <f t="shared" si="47"/>
        <v/>
      </c>
      <c r="Y154" s="52">
        <v>0</v>
      </c>
      <c r="Z154" s="56" t="str">
        <f t="shared" si="48"/>
        <v/>
      </c>
      <c r="AA154" s="56" t="str">
        <f t="shared" si="49"/>
        <v/>
      </c>
      <c r="AB154" s="56" t="str">
        <f t="shared" si="50"/>
        <v/>
      </c>
      <c r="AC154" s="56" t="str">
        <f t="shared" si="51"/>
        <v/>
      </c>
      <c r="AD154" s="56" t="str">
        <f t="shared" si="52"/>
        <v/>
      </c>
      <c r="AE154" s="40"/>
      <c r="AF154" s="40"/>
      <c r="AG154" s="40"/>
      <c r="AH154" s="56" t="str">
        <f t="shared" si="36"/>
        <v/>
      </c>
      <c r="AI154" s="54"/>
      <c r="AJ154" s="54"/>
      <c r="AK154" s="54"/>
      <c r="AL154" s="54"/>
      <c r="AM154" s="54"/>
    </row>
    <row r="155" spans="1:39">
      <c r="A155" s="45" t="str" cm="1">
        <f t="array" ref="A155">IF(H155="PROJECT", CHAR(10) &amp; "- " &amp; _xlfn.TEXTJOIN(CHAR(10) &amp; "- ", TRUE, _xlfn._xlws.FILTER($I$9:$I$1000, ($B$9:$B$1000=B155) * ($H$9:$H$1000="Topic"))), "")</f>
        <v/>
      </c>
      <c r="B155" s="45" t="str">
        <f t="shared" si="37"/>
        <v/>
      </c>
      <c r="C155" s="95"/>
      <c r="D155" s="46"/>
      <c r="E155" s="58"/>
      <c r="F155" s="67"/>
      <c r="G155" s="53"/>
      <c r="H155" s="53"/>
      <c r="I155" s="50"/>
      <c r="J155" s="51"/>
      <c r="K155" s="129" t="str">
        <f t="shared" si="38"/>
        <v/>
      </c>
      <c r="L155" s="103" t="str">
        <f t="shared" si="39"/>
        <v/>
      </c>
      <c r="M155" s="53">
        <v>0</v>
      </c>
      <c r="N155" s="102" t="str">
        <f t="shared" si="40"/>
        <v/>
      </c>
      <c r="O155" s="103" t="str">
        <f t="shared" si="41"/>
        <v/>
      </c>
      <c r="P155" s="53">
        <v>0</v>
      </c>
      <c r="Q155" s="102" t="str">
        <f t="shared" si="42"/>
        <v/>
      </c>
      <c r="R155" s="103" t="str">
        <f t="shared" si="43"/>
        <v/>
      </c>
      <c r="S155" s="53">
        <v>0</v>
      </c>
      <c r="T155" s="102" t="str">
        <f t="shared" si="44"/>
        <v/>
      </c>
      <c r="U155" s="103" t="str">
        <f t="shared" si="45"/>
        <v/>
      </c>
      <c r="V155" s="53">
        <v>0</v>
      </c>
      <c r="W155" s="87" t="str">
        <f t="shared" si="46"/>
        <v/>
      </c>
      <c r="X155" s="103" t="str">
        <f t="shared" si="47"/>
        <v/>
      </c>
      <c r="Y155" s="53">
        <v>0</v>
      </c>
      <c r="Z155" s="56" t="str">
        <f t="shared" si="48"/>
        <v/>
      </c>
      <c r="AA155" s="56" t="str">
        <f t="shared" si="49"/>
        <v/>
      </c>
      <c r="AB155" s="56" t="str">
        <f t="shared" si="50"/>
        <v/>
      </c>
      <c r="AC155" s="56" t="str">
        <f t="shared" si="51"/>
        <v/>
      </c>
      <c r="AD155" s="56" t="str">
        <f t="shared" si="52"/>
        <v/>
      </c>
      <c r="AE155" s="40"/>
      <c r="AF155" s="40"/>
      <c r="AG155" s="40"/>
      <c r="AH155" s="56" t="str">
        <f t="shared" si="36"/>
        <v/>
      </c>
      <c r="AI155" s="54"/>
      <c r="AJ155" s="54"/>
      <c r="AK155" s="54"/>
      <c r="AL155" s="54"/>
      <c r="AM155" s="54"/>
    </row>
    <row r="156" spans="1:39">
      <c r="A156" s="45" t="str" cm="1">
        <f t="array" ref="A156">IF(H156="PROJECT", CHAR(10) &amp; "- " &amp; _xlfn.TEXTJOIN(CHAR(10) &amp; "- ", TRUE, _xlfn._xlws.FILTER($I$9:$I$1000, ($B$9:$B$1000=B156) * ($H$9:$H$1000="Topic"))), "")</f>
        <v/>
      </c>
      <c r="B156" s="45" t="str">
        <f t="shared" si="37"/>
        <v/>
      </c>
      <c r="C156" s="95"/>
      <c r="D156" s="57"/>
      <c r="E156" s="58"/>
      <c r="F156" s="54"/>
      <c r="G156" s="52"/>
      <c r="H156" s="52"/>
      <c r="I156" s="61"/>
      <c r="J156" s="62"/>
      <c r="K156" s="129" t="str">
        <f t="shared" si="38"/>
        <v/>
      </c>
      <c r="L156" s="103" t="str">
        <f t="shared" si="39"/>
        <v/>
      </c>
      <c r="M156" s="52">
        <v>0</v>
      </c>
      <c r="N156" s="102" t="str">
        <f t="shared" si="40"/>
        <v/>
      </c>
      <c r="O156" s="103" t="str">
        <f t="shared" si="41"/>
        <v/>
      </c>
      <c r="P156" s="52">
        <v>0</v>
      </c>
      <c r="Q156" s="102" t="str">
        <f t="shared" si="42"/>
        <v/>
      </c>
      <c r="R156" s="103" t="str">
        <f t="shared" si="43"/>
        <v/>
      </c>
      <c r="S156" s="52">
        <v>0</v>
      </c>
      <c r="T156" s="102" t="str">
        <f t="shared" si="44"/>
        <v/>
      </c>
      <c r="U156" s="103" t="str">
        <f t="shared" si="45"/>
        <v/>
      </c>
      <c r="V156" s="52">
        <v>0</v>
      </c>
      <c r="W156" s="87" t="str">
        <f t="shared" si="46"/>
        <v/>
      </c>
      <c r="X156" s="103" t="str">
        <f t="shared" si="47"/>
        <v/>
      </c>
      <c r="Y156" s="52">
        <v>0</v>
      </c>
      <c r="Z156" s="56" t="str">
        <f t="shared" si="48"/>
        <v/>
      </c>
      <c r="AA156" s="56" t="str">
        <f t="shared" si="49"/>
        <v/>
      </c>
      <c r="AB156" s="56" t="str">
        <f t="shared" si="50"/>
        <v/>
      </c>
      <c r="AC156" s="56" t="str">
        <f t="shared" si="51"/>
        <v/>
      </c>
      <c r="AD156" s="56" t="str">
        <f t="shared" si="52"/>
        <v/>
      </c>
      <c r="AE156" s="40"/>
      <c r="AF156" s="40"/>
      <c r="AG156" s="40"/>
      <c r="AH156" s="56" t="str">
        <f t="shared" si="36"/>
        <v/>
      </c>
      <c r="AI156" s="54"/>
      <c r="AJ156" s="54"/>
      <c r="AK156" s="54"/>
      <c r="AL156" s="54"/>
      <c r="AM156" s="54"/>
    </row>
    <row r="157" spans="1:39">
      <c r="A157" s="45" t="str" cm="1">
        <f t="array" ref="A157">IF(H157="PROJECT", CHAR(10) &amp; "- " &amp; _xlfn.TEXTJOIN(CHAR(10) &amp; "- ", TRUE, _xlfn._xlws.FILTER($I$9:$I$1000, ($B$9:$B$1000=B157) * ($H$9:$H$1000="Topic"))), "")</f>
        <v/>
      </c>
      <c r="B157" s="45" t="str">
        <f t="shared" si="37"/>
        <v/>
      </c>
      <c r="C157" s="95"/>
      <c r="D157" s="46"/>
      <c r="E157" s="58"/>
      <c r="F157" s="67"/>
      <c r="G157" s="53"/>
      <c r="H157" s="53"/>
      <c r="I157" s="50"/>
      <c r="J157" s="51"/>
      <c r="K157" s="129" t="str">
        <f t="shared" si="38"/>
        <v/>
      </c>
      <c r="L157" s="103" t="str">
        <f t="shared" si="39"/>
        <v/>
      </c>
      <c r="M157" s="53">
        <v>0</v>
      </c>
      <c r="N157" s="102" t="str">
        <f t="shared" si="40"/>
        <v/>
      </c>
      <c r="O157" s="103" t="str">
        <f t="shared" si="41"/>
        <v/>
      </c>
      <c r="P157" s="53">
        <v>0</v>
      </c>
      <c r="Q157" s="102" t="str">
        <f t="shared" si="42"/>
        <v/>
      </c>
      <c r="R157" s="103" t="str">
        <f t="shared" si="43"/>
        <v/>
      </c>
      <c r="S157" s="53">
        <v>0</v>
      </c>
      <c r="T157" s="102" t="str">
        <f t="shared" si="44"/>
        <v/>
      </c>
      <c r="U157" s="103" t="str">
        <f t="shared" si="45"/>
        <v/>
      </c>
      <c r="V157" s="53">
        <v>0</v>
      </c>
      <c r="W157" s="87" t="str">
        <f t="shared" si="46"/>
        <v/>
      </c>
      <c r="X157" s="103" t="str">
        <f t="shared" si="47"/>
        <v/>
      </c>
      <c r="Y157" s="53">
        <v>0</v>
      </c>
      <c r="Z157" s="56" t="str">
        <f t="shared" si="48"/>
        <v/>
      </c>
      <c r="AA157" s="56" t="str">
        <f t="shared" si="49"/>
        <v/>
      </c>
      <c r="AB157" s="56" t="str">
        <f t="shared" si="50"/>
        <v/>
      </c>
      <c r="AC157" s="56" t="str">
        <f t="shared" si="51"/>
        <v/>
      </c>
      <c r="AD157" s="56" t="str">
        <f t="shared" si="52"/>
        <v/>
      </c>
      <c r="AE157" s="40"/>
      <c r="AF157" s="40"/>
      <c r="AG157" s="40"/>
      <c r="AH157" s="56" t="str">
        <f t="shared" si="36"/>
        <v/>
      </c>
      <c r="AI157" s="54"/>
      <c r="AJ157" s="54"/>
      <c r="AK157" s="54"/>
      <c r="AL157" s="54"/>
      <c r="AM157" s="54"/>
    </row>
    <row r="158" spans="1:39">
      <c r="A158" s="45" t="str" cm="1">
        <f t="array" ref="A158">IF(H158="PROJECT", CHAR(10) &amp; "- " &amp; _xlfn.TEXTJOIN(CHAR(10) &amp; "- ", TRUE, _xlfn._xlws.FILTER($I$9:$I$1000, ($B$9:$B$1000=B158) * ($H$9:$H$1000="Topic"))), "")</f>
        <v/>
      </c>
      <c r="B158" s="45" t="str">
        <f t="shared" si="37"/>
        <v/>
      </c>
      <c r="C158" s="95"/>
      <c r="D158" s="57"/>
      <c r="E158" s="58"/>
      <c r="F158" s="54"/>
      <c r="G158" s="52"/>
      <c r="H158" s="52"/>
      <c r="I158" s="61"/>
      <c r="J158" s="62"/>
      <c r="K158" s="129" t="str">
        <f t="shared" si="38"/>
        <v/>
      </c>
      <c r="L158" s="103" t="str">
        <f t="shared" si="39"/>
        <v/>
      </c>
      <c r="M158" s="52">
        <v>0</v>
      </c>
      <c r="N158" s="102" t="str">
        <f t="shared" si="40"/>
        <v/>
      </c>
      <c r="O158" s="103" t="str">
        <f t="shared" si="41"/>
        <v/>
      </c>
      <c r="P158" s="52">
        <v>0</v>
      </c>
      <c r="Q158" s="102" t="str">
        <f t="shared" si="42"/>
        <v/>
      </c>
      <c r="R158" s="103" t="str">
        <f t="shared" si="43"/>
        <v/>
      </c>
      <c r="S158" s="52">
        <v>0</v>
      </c>
      <c r="T158" s="102" t="str">
        <f t="shared" si="44"/>
        <v/>
      </c>
      <c r="U158" s="103" t="str">
        <f t="shared" si="45"/>
        <v/>
      </c>
      <c r="V158" s="52">
        <v>0</v>
      </c>
      <c r="W158" s="87" t="str">
        <f t="shared" si="46"/>
        <v/>
      </c>
      <c r="X158" s="103" t="str">
        <f t="shared" si="47"/>
        <v/>
      </c>
      <c r="Y158" s="52">
        <v>0</v>
      </c>
      <c r="Z158" s="56" t="str">
        <f t="shared" si="48"/>
        <v/>
      </c>
      <c r="AA158" s="56" t="str">
        <f t="shared" si="49"/>
        <v/>
      </c>
      <c r="AB158" s="56" t="str">
        <f t="shared" si="50"/>
        <v/>
      </c>
      <c r="AC158" s="56" t="str">
        <f t="shared" si="51"/>
        <v/>
      </c>
      <c r="AD158" s="56" t="str">
        <f t="shared" si="52"/>
        <v/>
      </c>
      <c r="AE158" s="40"/>
      <c r="AF158" s="40"/>
      <c r="AG158" s="40"/>
      <c r="AH158" s="56" t="str">
        <f t="shared" si="36"/>
        <v/>
      </c>
      <c r="AI158" s="54"/>
      <c r="AJ158" s="54"/>
      <c r="AK158" s="54"/>
      <c r="AL158" s="54"/>
      <c r="AM158" s="54"/>
    </row>
    <row r="159" spans="1:39">
      <c r="A159" s="45" t="str" cm="1">
        <f t="array" ref="A159">IF(H159="PROJECT", CHAR(10) &amp; "- " &amp; _xlfn.TEXTJOIN(CHAR(10) &amp; "- ", TRUE, _xlfn._xlws.FILTER($I$9:$I$1000, ($B$9:$B$1000=B159) * ($H$9:$H$1000="Topic"))), "")</f>
        <v/>
      </c>
      <c r="B159" s="45" t="str">
        <f t="shared" si="37"/>
        <v/>
      </c>
      <c r="C159" s="95"/>
      <c r="D159" s="46"/>
      <c r="E159" s="58"/>
      <c r="F159" s="67"/>
      <c r="G159" s="53"/>
      <c r="H159" s="53"/>
      <c r="I159" s="50"/>
      <c r="J159" s="51"/>
      <c r="K159" s="129" t="str">
        <f t="shared" si="38"/>
        <v/>
      </c>
      <c r="L159" s="103" t="str">
        <f t="shared" si="39"/>
        <v/>
      </c>
      <c r="M159" s="53">
        <v>0</v>
      </c>
      <c r="N159" s="102" t="str">
        <f t="shared" si="40"/>
        <v/>
      </c>
      <c r="O159" s="103" t="str">
        <f t="shared" si="41"/>
        <v/>
      </c>
      <c r="P159" s="53">
        <v>0</v>
      </c>
      <c r="Q159" s="102" t="str">
        <f t="shared" si="42"/>
        <v/>
      </c>
      <c r="R159" s="103" t="str">
        <f t="shared" si="43"/>
        <v/>
      </c>
      <c r="S159" s="53">
        <v>0</v>
      </c>
      <c r="T159" s="102" t="str">
        <f t="shared" si="44"/>
        <v/>
      </c>
      <c r="U159" s="103" t="str">
        <f t="shared" si="45"/>
        <v/>
      </c>
      <c r="V159" s="53">
        <v>0</v>
      </c>
      <c r="W159" s="87" t="str">
        <f t="shared" si="46"/>
        <v/>
      </c>
      <c r="X159" s="103" t="str">
        <f t="shared" si="47"/>
        <v/>
      </c>
      <c r="Y159" s="53">
        <v>0</v>
      </c>
      <c r="Z159" s="56" t="str">
        <f t="shared" si="48"/>
        <v/>
      </c>
      <c r="AA159" s="56" t="str">
        <f t="shared" si="49"/>
        <v/>
      </c>
      <c r="AB159" s="56" t="str">
        <f t="shared" si="50"/>
        <v/>
      </c>
      <c r="AC159" s="56" t="str">
        <f t="shared" si="51"/>
        <v/>
      </c>
      <c r="AD159" s="56" t="str">
        <f t="shared" si="52"/>
        <v/>
      </c>
      <c r="AE159" s="40"/>
      <c r="AF159" s="40"/>
      <c r="AG159" s="40"/>
      <c r="AH159" s="56" t="str">
        <f t="shared" si="36"/>
        <v/>
      </c>
      <c r="AI159" s="54"/>
      <c r="AJ159" s="54"/>
      <c r="AK159" s="54"/>
      <c r="AL159" s="54"/>
      <c r="AM159" s="54"/>
    </row>
    <row r="160" spans="1:39">
      <c r="A160" s="45" t="str" cm="1">
        <f t="array" ref="A160">IF(H160="PROJECT", CHAR(10) &amp; "- " &amp; _xlfn.TEXTJOIN(CHAR(10) &amp; "- ", TRUE, _xlfn._xlws.FILTER($I$9:$I$1000, ($B$9:$B$1000=B160) * ($H$9:$H$1000="Topic"))), "")</f>
        <v/>
      </c>
      <c r="B160" s="45" t="str">
        <f t="shared" si="37"/>
        <v/>
      </c>
      <c r="C160" s="95"/>
      <c r="D160" s="57"/>
      <c r="E160" s="58"/>
      <c r="F160" s="54"/>
      <c r="G160" s="52"/>
      <c r="H160" s="52"/>
      <c r="I160" s="61"/>
      <c r="J160" s="62"/>
      <c r="K160" s="129" t="str">
        <f t="shared" si="38"/>
        <v/>
      </c>
      <c r="L160" s="103" t="str">
        <f t="shared" si="39"/>
        <v/>
      </c>
      <c r="M160" s="52">
        <v>0</v>
      </c>
      <c r="N160" s="102" t="str">
        <f t="shared" si="40"/>
        <v/>
      </c>
      <c r="O160" s="103" t="str">
        <f t="shared" si="41"/>
        <v/>
      </c>
      <c r="P160" s="52">
        <v>0</v>
      </c>
      <c r="Q160" s="102" t="str">
        <f t="shared" si="42"/>
        <v/>
      </c>
      <c r="R160" s="103" t="str">
        <f t="shared" si="43"/>
        <v/>
      </c>
      <c r="S160" s="52">
        <v>0</v>
      </c>
      <c r="T160" s="102" t="str">
        <f t="shared" si="44"/>
        <v/>
      </c>
      <c r="U160" s="103" t="str">
        <f t="shared" si="45"/>
        <v/>
      </c>
      <c r="V160" s="52">
        <v>0</v>
      </c>
      <c r="W160" s="87" t="str">
        <f t="shared" si="46"/>
        <v/>
      </c>
      <c r="X160" s="103" t="str">
        <f t="shared" si="47"/>
        <v/>
      </c>
      <c r="Y160" s="52">
        <v>0</v>
      </c>
      <c r="Z160" s="56" t="str">
        <f t="shared" si="48"/>
        <v/>
      </c>
      <c r="AA160" s="56" t="str">
        <f t="shared" si="49"/>
        <v/>
      </c>
      <c r="AB160" s="56" t="str">
        <f t="shared" si="50"/>
        <v/>
      </c>
      <c r="AC160" s="56" t="str">
        <f t="shared" si="51"/>
        <v/>
      </c>
      <c r="AD160" s="56" t="str">
        <f t="shared" si="52"/>
        <v/>
      </c>
      <c r="AE160" s="40"/>
      <c r="AF160" s="40"/>
      <c r="AG160" s="40"/>
      <c r="AH160" s="56" t="str">
        <f t="shared" si="36"/>
        <v/>
      </c>
      <c r="AI160" s="54"/>
      <c r="AJ160" s="54"/>
      <c r="AK160" s="54"/>
      <c r="AL160" s="54"/>
      <c r="AM160" s="54"/>
    </row>
    <row r="161" spans="1:39">
      <c r="A161" s="45" t="str" cm="1">
        <f t="array" ref="A161">IF(H161="PROJECT", CHAR(10) &amp; "- " &amp; _xlfn.TEXTJOIN(CHAR(10) &amp; "- ", TRUE, _xlfn._xlws.FILTER($I$9:$I$1000, ($B$9:$B$1000=B161) * ($H$9:$H$1000="Topic"))), "")</f>
        <v/>
      </c>
      <c r="B161" s="45" t="str">
        <f t="shared" si="37"/>
        <v/>
      </c>
      <c r="C161" s="95"/>
      <c r="D161" s="46"/>
      <c r="E161" s="58"/>
      <c r="F161" s="67"/>
      <c r="G161" s="53"/>
      <c r="H161" s="53"/>
      <c r="I161" s="50"/>
      <c r="J161" s="51"/>
      <c r="K161" s="129" t="str">
        <f t="shared" si="38"/>
        <v/>
      </c>
      <c r="L161" s="103" t="str">
        <f t="shared" si="39"/>
        <v/>
      </c>
      <c r="M161" s="53">
        <v>0</v>
      </c>
      <c r="N161" s="102" t="str">
        <f t="shared" si="40"/>
        <v/>
      </c>
      <c r="O161" s="103" t="str">
        <f t="shared" si="41"/>
        <v/>
      </c>
      <c r="P161" s="53">
        <v>0</v>
      </c>
      <c r="Q161" s="102" t="str">
        <f t="shared" si="42"/>
        <v/>
      </c>
      <c r="R161" s="103" t="str">
        <f t="shared" si="43"/>
        <v/>
      </c>
      <c r="S161" s="53">
        <v>0</v>
      </c>
      <c r="T161" s="102" t="str">
        <f t="shared" si="44"/>
        <v/>
      </c>
      <c r="U161" s="103" t="str">
        <f t="shared" si="45"/>
        <v/>
      </c>
      <c r="V161" s="53">
        <v>0</v>
      </c>
      <c r="W161" s="87" t="str">
        <f t="shared" si="46"/>
        <v/>
      </c>
      <c r="X161" s="103" t="str">
        <f t="shared" si="47"/>
        <v/>
      </c>
      <c r="Y161" s="53">
        <v>0</v>
      </c>
      <c r="Z161" s="56" t="str">
        <f t="shared" si="48"/>
        <v/>
      </c>
      <c r="AA161" s="56" t="str">
        <f t="shared" si="49"/>
        <v/>
      </c>
      <c r="AB161" s="56" t="str">
        <f t="shared" si="50"/>
        <v/>
      </c>
      <c r="AC161" s="56" t="str">
        <f t="shared" si="51"/>
        <v/>
      </c>
      <c r="AD161" s="56" t="str">
        <f t="shared" si="52"/>
        <v/>
      </c>
      <c r="AE161" s="40"/>
      <c r="AF161" s="40"/>
      <c r="AG161" s="40"/>
      <c r="AH161" s="56" t="str">
        <f t="shared" si="36"/>
        <v/>
      </c>
      <c r="AI161" s="54"/>
      <c r="AJ161" s="54"/>
      <c r="AK161" s="54"/>
      <c r="AL161" s="54"/>
      <c r="AM161" s="54"/>
    </row>
    <row r="162" spans="1:39">
      <c r="A162" s="45" t="str" cm="1">
        <f t="array" ref="A162">IF(H162="PROJECT", CHAR(10) &amp; "- " &amp; _xlfn.TEXTJOIN(CHAR(10) &amp; "- ", TRUE, _xlfn._xlws.FILTER($I$9:$I$1000, ($B$9:$B$1000=B162) * ($H$9:$H$1000="Topic"))), "")</f>
        <v/>
      </c>
      <c r="B162" s="45" t="str">
        <f t="shared" si="37"/>
        <v/>
      </c>
      <c r="C162" s="95"/>
      <c r="D162" s="57"/>
      <c r="E162" s="58"/>
      <c r="F162" s="54"/>
      <c r="G162" s="52"/>
      <c r="H162" s="52"/>
      <c r="I162" s="61"/>
      <c r="J162" s="62"/>
      <c r="K162" s="129" t="str">
        <f t="shared" si="38"/>
        <v/>
      </c>
      <c r="L162" s="103" t="str">
        <f t="shared" si="39"/>
        <v/>
      </c>
      <c r="M162" s="52">
        <v>0</v>
      </c>
      <c r="N162" s="102" t="str">
        <f t="shared" si="40"/>
        <v/>
      </c>
      <c r="O162" s="103" t="str">
        <f t="shared" si="41"/>
        <v/>
      </c>
      <c r="P162" s="52">
        <v>0</v>
      </c>
      <c r="Q162" s="102" t="str">
        <f t="shared" si="42"/>
        <v/>
      </c>
      <c r="R162" s="103" t="str">
        <f t="shared" si="43"/>
        <v/>
      </c>
      <c r="S162" s="52">
        <v>0</v>
      </c>
      <c r="T162" s="102" t="str">
        <f t="shared" si="44"/>
        <v/>
      </c>
      <c r="U162" s="103" t="str">
        <f t="shared" si="45"/>
        <v/>
      </c>
      <c r="V162" s="52">
        <v>0</v>
      </c>
      <c r="W162" s="87" t="str">
        <f t="shared" si="46"/>
        <v/>
      </c>
      <c r="X162" s="103" t="str">
        <f t="shared" si="47"/>
        <v/>
      </c>
      <c r="Y162" s="52">
        <v>0</v>
      </c>
      <c r="Z162" s="56" t="str">
        <f t="shared" si="48"/>
        <v/>
      </c>
      <c r="AA162" s="56" t="str">
        <f t="shared" si="49"/>
        <v/>
      </c>
      <c r="AB162" s="56" t="str">
        <f t="shared" si="50"/>
        <v/>
      </c>
      <c r="AC162" s="56" t="str">
        <f t="shared" si="51"/>
        <v/>
      </c>
      <c r="AD162" s="56" t="str">
        <f t="shared" si="52"/>
        <v/>
      </c>
      <c r="AE162" s="40"/>
      <c r="AF162" s="40"/>
      <c r="AG162" s="40"/>
      <c r="AH162" s="56" t="str">
        <f t="shared" si="36"/>
        <v/>
      </c>
      <c r="AI162" s="54"/>
      <c r="AJ162" s="54"/>
      <c r="AK162" s="54"/>
      <c r="AL162" s="54"/>
      <c r="AM162" s="54"/>
    </row>
    <row r="163" spans="1:39">
      <c r="A163" s="45" t="str" cm="1">
        <f t="array" ref="A163">IF(H163="PROJECT", CHAR(10) &amp; "- " &amp; _xlfn.TEXTJOIN(CHAR(10) &amp; "- ", TRUE, _xlfn._xlws.FILTER($I$9:$I$1000, ($B$9:$B$1000=B163) * ($H$9:$H$1000="Topic"))), "")</f>
        <v/>
      </c>
      <c r="B163" s="45" t="str">
        <f t="shared" si="37"/>
        <v/>
      </c>
      <c r="C163" s="95"/>
      <c r="D163" s="46"/>
      <c r="E163" s="58"/>
      <c r="F163" s="67"/>
      <c r="G163" s="53"/>
      <c r="H163" s="53"/>
      <c r="I163" s="50"/>
      <c r="J163" s="51"/>
      <c r="K163" s="129" t="str">
        <f t="shared" si="38"/>
        <v/>
      </c>
      <c r="L163" s="103" t="str">
        <f t="shared" si="39"/>
        <v/>
      </c>
      <c r="M163" s="53">
        <v>0</v>
      </c>
      <c r="N163" s="102" t="str">
        <f t="shared" si="40"/>
        <v/>
      </c>
      <c r="O163" s="103" t="str">
        <f t="shared" si="41"/>
        <v/>
      </c>
      <c r="P163" s="53">
        <v>0</v>
      </c>
      <c r="Q163" s="102" t="str">
        <f t="shared" si="42"/>
        <v/>
      </c>
      <c r="R163" s="103" t="str">
        <f t="shared" si="43"/>
        <v/>
      </c>
      <c r="S163" s="53">
        <v>0</v>
      </c>
      <c r="T163" s="102" t="str">
        <f t="shared" si="44"/>
        <v/>
      </c>
      <c r="U163" s="103" t="str">
        <f t="shared" si="45"/>
        <v/>
      </c>
      <c r="V163" s="53">
        <v>0</v>
      </c>
      <c r="W163" s="87" t="str">
        <f t="shared" si="46"/>
        <v/>
      </c>
      <c r="X163" s="103" t="str">
        <f t="shared" si="47"/>
        <v/>
      </c>
      <c r="Y163" s="53">
        <v>0</v>
      </c>
      <c r="Z163" s="56" t="str">
        <f t="shared" si="48"/>
        <v/>
      </c>
      <c r="AA163" s="56" t="str">
        <f t="shared" si="49"/>
        <v/>
      </c>
      <c r="AB163" s="56" t="str">
        <f t="shared" si="50"/>
        <v/>
      </c>
      <c r="AC163" s="56" t="str">
        <f t="shared" si="51"/>
        <v/>
      </c>
      <c r="AD163" s="56" t="str">
        <f t="shared" si="52"/>
        <v/>
      </c>
      <c r="AE163" s="40"/>
      <c r="AF163" s="40"/>
      <c r="AG163" s="40"/>
      <c r="AH163" s="56" t="str">
        <f t="shared" si="36"/>
        <v/>
      </c>
      <c r="AI163" s="54"/>
      <c r="AJ163" s="54"/>
      <c r="AK163" s="54"/>
      <c r="AL163" s="54"/>
      <c r="AM163" s="54"/>
    </row>
    <row r="164" spans="1:39">
      <c r="A164" s="45" t="str" cm="1">
        <f t="array" ref="A164">IF(H164="PROJECT", CHAR(10) &amp; "- " &amp; _xlfn.TEXTJOIN(CHAR(10) &amp; "- ", TRUE, _xlfn._xlws.FILTER($I$9:$I$1000, ($B$9:$B$1000=B164) * ($H$9:$H$1000="Topic"))), "")</f>
        <v/>
      </c>
      <c r="B164" s="45" t="str">
        <f t="shared" si="37"/>
        <v/>
      </c>
      <c r="C164" s="95"/>
      <c r="D164" s="57"/>
      <c r="E164" s="58"/>
      <c r="F164" s="54"/>
      <c r="G164" s="52"/>
      <c r="H164" s="52"/>
      <c r="I164" s="61"/>
      <c r="J164" s="62"/>
      <c r="K164" s="129" t="str">
        <f t="shared" si="38"/>
        <v/>
      </c>
      <c r="L164" s="103" t="str">
        <f t="shared" si="39"/>
        <v/>
      </c>
      <c r="M164" s="52">
        <v>0</v>
      </c>
      <c r="N164" s="102" t="str">
        <f t="shared" si="40"/>
        <v/>
      </c>
      <c r="O164" s="103" t="str">
        <f t="shared" si="41"/>
        <v/>
      </c>
      <c r="P164" s="52">
        <v>0</v>
      </c>
      <c r="Q164" s="102" t="str">
        <f t="shared" si="42"/>
        <v/>
      </c>
      <c r="R164" s="103" t="str">
        <f t="shared" si="43"/>
        <v/>
      </c>
      <c r="S164" s="52">
        <v>0</v>
      </c>
      <c r="T164" s="102" t="str">
        <f t="shared" si="44"/>
        <v/>
      </c>
      <c r="U164" s="103" t="str">
        <f t="shared" si="45"/>
        <v/>
      </c>
      <c r="V164" s="52">
        <v>0</v>
      </c>
      <c r="W164" s="87" t="str">
        <f t="shared" si="46"/>
        <v/>
      </c>
      <c r="X164" s="103" t="str">
        <f t="shared" si="47"/>
        <v/>
      </c>
      <c r="Y164" s="52">
        <v>0</v>
      </c>
      <c r="Z164" s="56" t="str">
        <f t="shared" si="48"/>
        <v/>
      </c>
      <c r="AA164" s="56" t="str">
        <f t="shared" si="49"/>
        <v/>
      </c>
      <c r="AB164" s="56" t="str">
        <f t="shared" si="50"/>
        <v/>
      </c>
      <c r="AC164" s="56" t="str">
        <f t="shared" si="51"/>
        <v/>
      </c>
      <c r="AD164" s="56" t="str">
        <f t="shared" si="52"/>
        <v/>
      </c>
      <c r="AE164" s="40"/>
      <c r="AF164" s="40"/>
      <c r="AG164" s="40"/>
      <c r="AH164" s="56" t="str">
        <f t="shared" si="36"/>
        <v/>
      </c>
      <c r="AI164" s="54"/>
      <c r="AJ164" s="54"/>
      <c r="AK164" s="54"/>
      <c r="AL164" s="54"/>
      <c r="AM164" s="54"/>
    </row>
    <row r="165" spans="1:39">
      <c r="A165" s="45" t="str" cm="1">
        <f t="array" ref="A165">IF(H165="PROJECT", CHAR(10) &amp; "- " &amp; _xlfn.TEXTJOIN(CHAR(10) &amp; "- ", TRUE, _xlfn._xlws.FILTER($I$9:$I$1000, ($B$9:$B$1000=B165) * ($H$9:$H$1000="Topic"))), "")</f>
        <v/>
      </c>
      <c r="B165" s="45" t="str">
        <f t="shared" si="37"/>
        <v/>
      </c>
      <c r="C165" s="95"/>
      <c r="D165" s="46"/>
      <c r="E165" s="58"/>
      <c r="F165" s="67"/>
      <c r="G165" s="53"/>
      <c r="H165" s="53"/>
      <c r="I165" s="50"/>
      <c r="J165" s="51"/>
      <c r="K165" s="129" t="str">
        <f t="shared" si="38"/>
        <v/>
      </c>
      <c r="L165" s="103" t="str">
        <f t="shared" si="39"/>
        <v/>
      </c>
      <c r="M165" s="53">
        <v>0</v>
      </c>
      <c r="N165" s="102" t="str">
        <f t="shared" si="40"/>
        <v/>
      </c>
      <c r="O165" s="103" t="str">
        <f t="shared" si="41"/>
        <v/>
      </c>
      <c r="P165" s="53">
        <v>0</v>
      </c>
      <c r="Q165" s="102" t="str">
        <f t="shared" si="42"/>
        <v/>
      </c>
      <c r="R165" s="103" t="str">
        <f t="shared" si="43"/>
        <v/>
      </c>
      <c r="S165" s="53">
        <v>0</v>
      </c>
      <c r="T165" s="102" t="str">
        <f t="shared" si="44"/>
        <v/>
      </c>
      <c r="U165" s="103" t="str">
        <f t="shared" si="45"/>
        <v/>
      </c>
      <c r="V165" s="53">
        <v>0</v>
      </c>
      <c r="W165" s="87" t="str">
        <f t="shared" si="46"/>
        <v/>
      </c>
      <c r="X165" s="103" t="str">
        <f t="shared" si="47"/>
        <v/>
      </c>
      <c r="Y165" s="53">
        <v>0</v>
      </c>
      <c r="Z165" s="56" t="str">
        <f t="shared" si="48"/>
        <v/>
      </c>
      <c r="AA165" s="56" t="str">
        <f t="shared" si="49"/>
        <v/>
      </c>
      <c r="AB165" s="56" t="str">
        <f t="shared" si="50"/>
        <v/>
      </c>
      <c r="AC165" s="56" t="str">
        <f t="shared" si="51"/>
        <v/>
      </c>
      <c r="AD165" s="56" t="str">
        <f t="shared" si="52"/>
        <v/>
      </c>
      <c r="AE165" s="40"/>
      <c r="AF165" s="40"/>
      <c r="AG165" s="40"/>
      <c r="AH165" s="56" t="str">
        <f t="shared" si="36"/>
        <v/>
      </c>
      <c r="AI165" s="54"/>
      <c r="AJ165" s="54"/>
      <c r="AK165" s="54"/>
      <c r="AL165" s="54"/>
      <c r="AM165" s="54"/>
    </row>
    <row r="166" spans="1:39">
      <c r="A166" s="45" t="str" cm="1">
        <f t="array" ref="A166">IF(H166="PROJECT", CHAR(10) &amp; "- " &amp; _xlfn.TEXTJOIN(CHAR(10) &amp; "- ", TRUE, _xlfn._xlws.FILTER($I$9:$I$1000, ($B$9:$B$1000=B166) * ($H$9:$H$1000="Topic"))), "")</f>
        <v/>
      </c>
      <c r="B166" s="45" t="str">
        <f t="shared" si="37"/>
        <v/>
      </c>
      <c r="C166" s="95"/>
      <c r="D166" s="57"/>
      <c r="E166" s="58"/>
      <c r="F166" s="54"/>
      <c r="G166" s="52"/>
      <c r="H166" s="52"/>
      <c r="I166" s="61"/>
      <c r="J166" s="62"/>
      <c r="K166" s="129" t="str">
        <f t="shared" si="38"/>
        <v/>
      </c>
      <c r="L166" s="103" t="str">
        <f t="shared" si="39"/>
        <v/>
      </c>
      <c r="M166" s="52">
        <v>0</v>
      </c>
      <c r="N166" s="102" t="str">
        <f t="shared" si="40"/>
        <v/>
      </c>
      <c r="O166" s="103" t="str">
        <f t="shared" si="41"/>
        <v/>
      </c>
      <c r="P166" s="52">
        <v>0</v>
      </c>
      <c r="Q166" s="102" t="str">
        <f t="shared" si="42"/>
        <v/>
      </c>
      <c r="R166" s="103" t="str">
        <f t="shared" si="43"/>
        <v/>
      </c>
      <c r="S166" s="52">
        <v>0</v>
      </c>
      <c r="T166" s="102" t="str">
        <f t="shared" si="44"/>
        <v/>
      </c>
      <c r="U166" s="103" t="str">
        <f t="shared" si="45"/>
        <v/>
      </c>
      <c r="V166" s="52">
        <v>0</v>
      </c>
      <c r="W166" s="87" t="str">
        <f t="shared" si="46"/>
        <v/>
      </c>
      <c r="X166" s="103" t="str">
        <f t="shared" si="47"/>
        <v/>
      </c>
      <c r="Y166" s="52">
        <v>0</v>
      </c>
      <c r="Z166" s="56" t="str">
        <f t="shared" si="48"/>
        <v/>
      </c>
      <c r="AA166" s="56" t="str">
        <f t="shared" si="49"/>
        <v/>
      </c>
      <c r="AB166" s="56" t="str">
        <f t="shared" si="50"/>
        <v/>
      </c>
      <c r="AC166" s="56" t="str">
        <f t="shared" si="51"/>
        <v/>
      </c>
      <c r="AD166" s="56" t="str">
        <f t="shared" si="52"/>
        <v/>
      </c>
      <c r="AE166" s="40"/>
      <c r="AF166" s="40"/>
      <c r="AG166" s="40"/>
      <c r="AH166" s="56" t="str">
        <f t="shared" si="36"/>
        <v/>
      </c>
      <c r="AI166" s="54"/>
      <c r="AJ166" s="54"/>
      <c r="AK166" s="54"/>
      <c r="AL166" s="54"/>
      <c r="AM166" s="54"/>
    </row>
    <row r="167" spans="1:39">
      <c r="A167" s="45" t="str" cm="1">
        <f t="array" ref="A167">IF(H167="PROJECT", CHAR(10) &amp; "- " &amp; _xlfn.TEXTJOIN(CHAR(10) &amp; "- ", TRUE, _xlfn._xlws.FILTER($I$9:$I$1000, ($B$9:$B$1000=B167) * ($H$9:$H$1000="Topic"))), "")</f>
        <v/>
      </c>
      <c r="B167" s="45" t="str">
        <f t="shared" si="37"/>
        <v/>
      </c>
      <c r="C167" s="95"/>
      <c r="D167" s="46"/>
      <c r="E167" s="58"/>
      <c r="F167" s="67"/>
      <c r="G167" s="53"/>
      <c r="H167" s="53"/>
      <c r="I167" s="50"/>
      <c r="J167" s="51"/>
      <c r="K167" s="129" t="str">
        <f t="shared" si="38"/>
        <v/>
      </c>
      <c r="L167" s="103" t="str">
        <f t="shared" si="39"/>
        <v/>
      </c>
      <c r="M167" s="53">
        <v>0</v>
      </c>
      <c r="N167" s="102" t="str">
        <f t="shared" si="40"/>
        <v/>
      </c>
      <c r="O167" s="103" t="str">
        <f t="shared" si="41"/>
        <v/>
      </c>
      <c r="P167" s="53">
        <v>0</v>
      </c>
      <c r="Q167" s="102" t="str">
        <f t="shared" si="42"/>
        <v/>
      </c>
      <c r="R167" s="103" t="str">
        <f t="shared" si="43"/>
        <v/>
      </c>
      <c r="S167" s="53">
        <v>0</v>
      </c>
      <c r="T167" s="102" t="str">
        <f t="shared" si="44"/>
        <v/>
      </c>
      <c r="U167" s="103" t="str">
        <f t="shared" si="45"/>
        <v/>
      </c>
      <c r="V167" s="53">
        <v>0</v>
      </c>
      <c r="W167" s="87" t="str">
        <f t="shared" si="46"/>
        <v/>
      </c>
      <c r="X167" s="103" t="str">
        <f t="shared" si="47"/>
        <v/>
      </c>
      <c r="Y167" s="53">
        <v>0</v>
      </c>
      <c r="Z167" s="56" t="str">
        <f t="shared" si="48"/>
        <v/>
      </c>
      <c r="AA167" s="56" t="str">
        <f t="shared" si="49"/>
        <v/>
      </c>
      <c r="AB167" s="56" t="str">
        <f t="shared" si="50"/>
        <v/>
      </c>
      <c r="AC167" s="56" t="str">
        <f t="shared" si="51"/>
        <v/>
      </c>
      <c r="AD167" s="56" t="str">
        <f t="shared" si="52"/>
        <v/>
      </c>
      <c r="AE167" s="40"/>
      <c r="AF167" s="40"/>
      <c r="AG167" s="40"/>
      <c r="AH167" s="56" t="str">
        <f t="shared" si="36"/>
        <v/>
      </c>
      <c r="AI167" s="54"/>
      <c r="AJ167" s="54"/>
      <c r="AK167" s="54"/>
      <c r="AL167" s="54"/>
      <c r="AM167" s="54"/>
    </row>
    <row r="168" spans="1:39">
      <c r="A168" s="45" t="str" cm="1">
        <f t="array" ref="A168">IF(H168="PROJECT", CHAR(10) &amp; "- " &amp; _xlfn.TEXTJOIN(CHAR(10) &amp; "- ", TRUE, _xlfn._xlws.FILTER($I$9:$I$1000, ($B$9:$B$1000=B168) * ($H$9:$H$1000="Topic"))), "")</f>
        <v/>
      </c>
      <c r="B168" s="45" t="str">
        <f t="shared" si="37"/>
        <v/>
      </c>
      <c r="C168" s="95"/>
      <c r="D168" s="57"/>
      <c r="E168" s="58"/>
      <c r="F168" s="54"/>
      <c r="G168" s="52"/>
      <c r="H168" s="52"/>
      <c r="I168" s="61"/>
      <c r="J168" s="62"/>
      <c r="K168" s="129" t="str">
        <f t="shared" si="38"/>
        <v/>
      </c>
      <c r="L168" s="103" t="str">
        <f t="shared" si="39"/>
        <v/>
      </c>
      <c r="M168" s="52">
        <v>0</v>
      </c>
      <c r="N168" s="102" t="str">
        <f t="shared" si="40"/>
        <v/>
      </c>
      <c r="O168" s="103" t="str">
        <f t="shared" si="41"/>
        <v/>
      </c>
      <c r="P168" s="52">
        <v>0</v>
      </c>
      <c r="Q168" s="102" t="str">
        <f t="shared" si="42"/>
        <v/>
      </c>
      <c r="R168" s="103" t="str">
        <f t="shared" si="43"/>
        <v/>
      </c>
      <c r="S168" s="52">
        <v>0</v>
      </c>
      <c r="T168" s="102" t="str">
        <f t="shared" si="44"/>
        <v/>
      </c>
      <c r="U168" s="103" t="str">
        <f t="shared" si="45"/>
        <v/>
      </c>
      <c r="V168" s="52">
        <v>0</v>
      </c>
      <c r="W168" s="87" t="str">
        <f t="shared" si="46"/>
        <v/>
      </c>
      <c r="X168" s="103" t="str">
        <f t="shared" si="47"/>
        <v/>
      </c>
      <c r="Y168" s="52">
        <v>0</v>
      </c>
      <c r="Z168" s="56" t="str">
        <f t="shared" si="48"/>
        <v/>
      </c>
      <c r="AA168" s="56" t="str">
        <f t="shared" si="49"/>
        <v/>
      </c>
      <c r="AB168" s="56" t="str">
        <f t="shared" si="50"/>
        <v/>
      </c>
      <c r="AC168" s="56" t="str">
        <f t="shared" si="51"/>
        <v/>
      </c>
      <c r="AD168" s="56" t="str">
        <f t="shared" si="52"/>
        <v/>
      </c>
      <c r="AE168" s="40"/>
      <c r="AF168" s="40"/>
      <c r="AG168" s="40"/>
      <c r="AH168" s="56" t="str">
        <f t="shared" si="36"/>
        <v/>
      </c>
      <c r="AI168" s="54"/>
      <c r="AJ168" s="54"/>
      <c r="AK168" s="54"/>
      <c r="AL168" s="54"/>
      <c r="AM168" s="54"/>
    </row>
    <row r="169" spans="1:39">
      <c r="A169" s="45" t="str" cm="1">
        <f t="array" ref="A169">IF(H169="PROJECT", CHAR(10) &amp; "- " &amp; _xlfn.TEXTJOIN(CHAR(10) &amp; "- ", TRUE, _xlfn._xlws.FILTER($I$9:$I$1000, ($B$9:$B$1000=B169) * ($H$9:$H$1000="Topic"))), "")</f>
        <v/>
      </c>
      <c r="B169" s="45" t="str">
        <f t="shared" si="37"/>
        <v/>
      </c>
      <c r="C169" s="95"/>
      <c r="D169" s="46"/>
      <c r="E169" s="58"/>
      <c r="F169" s="67"/>
      <c r="G169" s="53"/>
      <c r="H169" s="53"/>
      <c r="I169" s="50"/>
      <c r="J169" s="51"/>
      <c r="K169" s="129" t="str">
        <f t="shared" si="38"/>
        <v/>
      </c>
      <c r="L169" s="103" t="str">
        <f t="shared" si="39"/>
        <v/>
      </c>
      <c r="M169" s="53">
        <v>0</v>
      </c>
      <c r="N169" s="102" t="str">
        <f t="shared" si="40"/>
        <v/>
      </c>
      <c r="O169" s="103" t="str">
        <f t="shared" si="41"/>
        <v/>
      </c>
      <c r="P169" s="53">
        <v>0</v>
      </c>
      <c r="Q169" s="102" t="str">
        <f t="shared" si="42"/>
        <v/>
      </c>
      <c r="R169" s="103" t="str">
        <f t="shared" si="43"/>
        <v/>
      </c>
      <c r="S169" s="53">
        <v>0</v>
      </c>
      <c r="T169" s="102" t="str">
        <f t="shared" si="44"/>
        <v/>
      </c>
      <c r="U169" s="103" t="str">
        <f t="shared" si="45"/>
        <v/>
      </c>
      <c r="V169" s="53">
        <v>0</v>
      </c>
      <c r="W169" s="87" t="str">
        <f t="shared" si="46"/>
        <v/>
      </c>
      <c r="X169" s="103" t="str">
        <f t="shared" si="47"/>
        <v/>
      </c>
      <c r="Y169" s="53">
        <v>0</v>
      </c>
      <c r="Z169" s="56" t="str">
        <f t="shared" si="48"/>
        <v/>
      </c>
      <c r="AA169" s="56" t="str">
        <f t="shared" si="49"/>
        <v/>
      </c>
      <c r="AB169" s="56" t="str">
        <f t="shared" si="50"/>
        <v/>
      </c>
      <c r="AC169" s="56" t="str">
        <f t="shared" si="51"/>
        <v/>
      </c>
      <c r="AD169" s="56" t="str">
        <f t="shared" si="52"/>
        <v/>
      </c>
      <c r="AE169" s="40"/>
      <c r="AF169" s="40"/>
      <c r="AG169" s="40"/>
      <c r="AH169" s="56" t="str">
        <f t="shared" ref="AH169:AH200" si="53">IF(AE169=$B$6,AG169,"")</f>
        <v/>
      </c>
      <c r="AI169" s="54"/>
      <c r="AJ169" s="54"/>
      <c r="AK169" s="54"/>
      <c r="AL169" s="54"/>
      <c r="AM169" s="54"/>
    </row>
    <row r="170" spans="1:39">
      <c r="A170" s="45" t="str" cm="1">
        <f t="array" ref="A170">IF(H170="PROJECT", CHAR(10) &amp; "- " &amp; _xlfn.TEXTJOIN(CHAR(10) &amp; "- ", TRUE, _xlfn._xlws.FILTER($I$9:$I$1000, ($B$9:$B$1000=B170) * ($H$9:$H$1000="Topic"))), "")</f>
        <v/>
      </c>
      <c r="B170" s="45" t="str">
        <f t="shared" si="37"/>
        <v/>
      </c>
      <c r="C170" s="95"/>
      <c r="D170" s="57"/>
      <c r="E170" s="58"/>
      <c r="F170" s="54"/>
      <c r="G170" s="52"/>
      <c r="H170" s="52"/>
      <c r="I170" s="61"/>
      <c r="J170" s="62"/>
      <c r="K170" s="129" t="str">
        <f t="shared" si="38"/>
        <v/>
      </c>
      <c r="L170" s="103" t="str">
        <f t="shared" si="39"/>
        <v/>
      </c>
      <c r="M170" s="52">
        <v>0</v>
      </c>
      <c r="N170" s="102" t="str">
        <f t="shared" si="40"/>
        <v/>
      </c>
      <c r="O170" s="103" t="str">
        <f t="shared" si="41"/>
        <v/>
      </c>
      <c r="P170" s="52">
        <v>0</v>
      </c>
      <c r="Q170" s="102" t="str">
        <f t="shared" si="42"/>
        <v/>
      </c>
      <c r="R170" s="103" t="str">
        <f t="shared" si="43"/>
        <v/>
      </c>
      <c r="S170" s="52">
        <v>0</v>
      </c>
      <c r="T170" s="102" t="str">
        <f t="shared" si="44"/>
        <v/>
      </c>
      <c r="U170" s="103" t="str">
        <f t="shared" si="45"/>
        <v/>
      </c>
      <c r="V170" s="52">
        <v>0</v>
      </c>
      <c r="W170" s="87" t="str">
        <f t="shared" si="46"/>
        <v/>
      </c>
      <c r="X170" s="103" t="str">
        <f t="shared" si="47"/>
        <v/>
      </c>
      <c r="Y170" s="52">
        <v>0</v>
      </c>
      <c r="Z170" s="56" t="str">
        <f t="shared" si="48"/>
        <v/>
      </c>
      <c r="AA170" s="56" t="str">
        <f t="shared" si="49"/>
        <v/>
      </c>
      <c r="AB170" s="56" t="str">
        <f t="shared" si="50"/>
        <v/>
      </c>
      <c r="AC170" s="56" t="str">
        <f t="shared" si="51"/>
        <v/>
      </c>
      <c r="AD170" s="56" t="str">
        <f t="shared" si="52"/>
        <v/>
      </c>
      <c r="AE170" s="40"/>
      <c r="AF170" s="40"/>
      <c r="AG170" s="40"/>
      <c r="AH170" s="56" t="str">
        <f t="shared" si="53"/>
        <v/>
      </c>
      <c r="AI170" s="54"/>
      <c r="AJ170" s="54"/>
      <c r="AK170" s="54"/>
      <c r="AL170" s="54"/>
      <c r="AM170" s="54"/>
    </row>
    <row r="171" spans="1:39">
      <c r="A171" s="45" t="str" cm="1">
        <f t="array" ref="A171">IF(H171="PROJECT", CHAR(10) &amp; "- " &amp; _xlfn.TEXTJOIN(CHAR(10) &amp; "- ", TRUE, _xlfn._xlws.FILTER($I$9:$I$1000, ($B$9:$B$1000=B171) * ($H$9:$H$1000="Topic"))), "")</f>
        <v/>
      </c>
      <c r="B171" s="45" t="str">
        <f t="shared" si="37"/>
        <v/>
      </c>
      <c r="C171" s="95"/>
      <c r="D171" s="46"/>
      <c r="E171" s="58"/>
      <c r="F171" s="67"/>
      <c r="G171" s="53"/>
      <c r="H171" s="53"/>
      <c r="I171" s="50"/>
      <c r="J171" s="51"/>
      <c r="K171" s="129" t="str">
        <f t="shared" si="38"/>
        <v/>
      </c>
      <c r="L171" s="103" t="str">
        <f t="shared" si="39"/>
        <v/>
      </c>
      <c r="M171" s="53">
        <v>0</v>
      </c>
      <c r="N171" s="102" t="str">
        <f t="shared" si="40"/>
        <v/>
      </c>
      <c r="O171" s="103" t="str">
        <f t="shared" si="41"/>
        <v/>
      </c>
      <c r="P171" s="53">
        <v>0</v>
      </c>
      <c r="Q171" s="102" t="str">
        <f t="shared" si="42"/>
        <v/>
      </c>
      <c r="R171" s="103" t="str">
        <f t="shared" si="43"/>
        <v/>
      </c>
      <c r="S171" s="53">
        <v>0</v>
      </c>
      <c r="T171" s="102" t="str">
        <f t="shared" si="44"/>
        <v/>
      </c>
      <c r="U171" s="103" t="str">
        <f t="shared" si="45"/>
        <v/>
      </c>
      <c r="V171" s="53">
        <v>0</v>
      </c>
      <c r="W171" s="87" t="str">
        <f t="shared" si="46"/>
        <v/>
      </c>
      <c r="X171" s="103" t="str">
        <f t="shared" si="47"/>
        <v/>
      </c>
      <c r="Y171" s="53">
        <v>0</v>
      </c>
      <c r="Z171" s="56" t="str">
        <f t="shared" si="48"/>
        <v/>
      </c>
      <c r="AA171" s="56" t="str">
        <f t="shared" si="49"/>
        <v/>
      </c>
      <c r="AB171" s="56" t="str">
        <f t="shared" si="50"/>
        <v/>
      </c>
      <c r="AC171" s="56" t="str">
        <f t="shared" si="51"/>
        <v/>
      </c>
      <c r="AD171" s="56" t="str">
        <f t="shared" si="52"/>
        <v/>
      </c>
      <c r="AE171" s="40"/>
      <c r="AF171" s="40"/>
      <c r="AG171" s="40"/>
      <c r="AH171" s="56" t="str">
        <f t="shared" si="53"/>
        <v/>
      </c>
      <c r="AI171" s="54"/>
      <c r="AJ171" s="54"/>
      <c r="AK171" s="54"/>
      <c r="AL171" s="54"/>
      <c r="AM171" s="54"/>
    </row>
    <row r="172" spans="1:39">
      <c r="A172" s="45" t="str" cm="1">
        <f t="array" ref="A172">IF(H172="PROJECT", CHAR(10) &amp; "- " &amp; _xlfn.TEXTJOIN(CHAR(10) &amp; "- ", TRUE, _xlfn._xlws.FILTER($I$9:$I$1000, ($B$9:$B$1000=B172) * ($H$9:$H$1000="Topic"))), "")</f>
        <v/>
      </c>
      <c r="B172" s="45" t="str">
        <f t="shared" si="37"/>
        <v/>
      </c>
      <c r="C172" s="95"/>
      <c r="D172" s="57"/>
      <c r="E172" s="58"/>
      <c r="F172" s="54"/>
      <c r="G172" s="52"/>
      <c r="H172" s="52"/>
      <c r="I172" s="61"/>
      <c r="J172" s="62"/>
      <c r="K172" s="129" t="str">
        <f t="shared" si="38"/>
        <v/>
      </c>
      <c r="L172" s="103" t="str">
        <f t="shared" si="39"/>
        <v/>
      </c>
      <c r="M172" s="52">
        <v>0</v>
      </c>
      <c r="N172" s="102" t="str">
        <f t="shared" si="40"/>
        <v/>
      </c>
      <c r="O172" s="103" t="str">
        <f t="shared" si="41"/>
        <v/>
      </c>
      <c r="P172" s="52">
        <v>0</v>
      </c>
      <c r="Q172" s="102" t="str">
        <f t="shared" si="42"/>
        <v/>
      </c>
      <c r="R172" s="103" t="str">
        <f t="shared" si="43"/>
        <v/>
      </c>
      <c r="S172" s="52">
        <v>0</v>
      </c>
      <c r="T172" s="102" t="str">
        <f t="shared" si="44"/>
        <v/>
      </c>
      <c r="U172" s="103" t="str">
        <f t="shared" si="45"/>
        <v/>
      </c>
      <c r="V172" s="52">
        <v>0</v>
      </c>
      <c r="W172" s="87" t="str">
        <f t="shared" si="46"/>
        <v/>
      </c>
      <c r="X172" s="103" t="str">
        <f t="shared" si="47"/>
        <v/>
      </c>
      <c r="Y172" s="52">
        <v>0</v>
      </c>
      <c r="Z172" s="56" t="str">
        <f t="shared" si="48"/>
        <v/>
      </c>
      <c r="AA172" s="56" t="str">
        <f t="shared" si="49"/>
        <v/>
      </c>
      <c r="AB172" s="56" t="str">
        <f t="shared" si="50"/>
        <v/>
      </c>
      <c r="AC172" s="56" t="str">
        <f t="shared" si="51"/>
        <v/>
      </c>
      <c r="AD172" s="56" t="str">
        <f t="shared" si="52"/>
        <v/>
      </c>
      <c r="AE172" s="40"/>
      <c r="AF172" s="40"/>
      <c r="AG172" s="40"/>
      <c r="AH172" s="56" t="str">
        <f t="shared" si="53"/>
        <v/>
      </c>
      <c r="AI172" s="54"/>
      <c r="AJ172" s="54"/>
      <c r="AK172" s="54"/>
      <c r="AL172" s="54"/>
      <c r="AM172" s="54"/>
    </row>
    <row r="173" spans="1:39">
      <c r="A173" s="45" t="str" cm="1">
        <f t="array" ref="A173">IF(H173="PROJECT", CHAR(10) &amp; "- " &amp; _xlfn.TEXTJOIN(CHAR(10) &amp; "- ", TRUE, _xlfn._xlws.FILTER($I$9:$I$1000, ($B$9:$B$1000=B173) * ($H$9:$H$1000="Topic"))), "")</f>
        <v/>
      </c>
      <c r="B173" s="45" t="str">
        <f t="shared" si="37"/>
        <v/>
      </c>
      <c r="C173" s="95"/>
      <c r="D173" s="46"/>
      <c r="E173" s="58"/>
      <c r="F173" s="67"/>
      <c r="G173" s="53"/>
      <c r="H173" s="53"/>
      <c r="I173" s="50"/>
      <c r="J173" s="51"/>
      <c r="K173" s="129" t="str">
        <f t="shared" si="38"/>
        <v/>
      </c>
      <c r="L173" s="103" t="str">
        <f t="shared" si="39"/>
        <v/>
      </c>
      <c r="M173" s="53">
        <v>0</v>
      </c>
      <c r="N173" s="102" t="str">
        <f t="shared" si="40"/>
        <v/>
      </c>
      <c r="O173" s="103" t="str">
        <f t="shared" si="41"/>
        <v/>
      </c>
      <c r="P173" s="53">
        <v>0</v>
      </c>
      <c r="Q173" s="102" t="str">
        <f t="shared" si="42"/>
        <v/>
      </c>
      <c r="R173" s="103" t="str">
        <f t="shared" si="43"/>
        <v/>
      </c>
      <c r="S173" s="53">
        <v>0</v>
      </c>
      <c r="T173" s="102" t="str">
        <f t="shared" si="44"/>
        <v/>
      </c>
      <c r="U173" s="103" t="str">
        <f t="shared" si="45"/>
        <v/>
      </c>
      <c r="V173" s="53">
        <v>0</v>
      </c>
      <c r="W173" s="87" t="str">
        <f t="shared" si="46"/>
        <v/>
      </c>
      <c r="X173" s="103" t="str">
        <f t="shared" si="47"/>
        <v/>
      </c>
      <c r="Y173" s="53">
        <v>0</v>
      </c>
      <c r="Z173" s="56" t="str">
        <f t="shared" si="48"/>
        <v/>
      </c>
      <c r="AA173" s="56" t="str">
        <f t="shared" si="49"/>
        <v/>
      </c>
      <c r="AB173" s="56" t="str">
        <f t="shared" si="50"/>
        <v/>
      </c>
      <c r="AC173" s="56" t="str">
        <f t="shared" si="51"/>
        <v/>
      </c>
      <c r="AD173" s="56" t="str">
        <f t="shared" si="52"/>
        <v/>
      </c>
      <c r="AE173" s="40"/>
      <c r="AF173" s="40"/>
      <c r="AG173" s="40"/>
      <c r="AH173" s="56" t="str">
        <f t="shared" si="53"/>
        <v/>
      </c>
      <c r="AI173" s="54"/>
      <c r="AJ173" s="54"/>
      <c r="AK173" s="54"/>
      <c r="AL173" s="54"/>
      <c r="AM173" s="54"/>
    </row>
    <row r="174" spans="1:39">
      <c r="A174" s="45" t="str" cm="1">
        <f t="array" ref="A174">IF(H174="PROJECT", CHAR(10) &amp; "- " &amp; _xlfn.TEXTJOIN(CHAR(10) &amp; "- ", TRUE, _xlfn._xlws.FILTER($I$9:$I$1000, ($B$9:$B$1000=B174) * ($H$9:$H$1000="Topic"))), "")</f>
        <v/>
      </c>
      <c r="B174" s="45" t="str">
        <f t="shared" si="37"/>
        <v/>
      </c>
      <c r="C174" s="95"/>
      <c r="D174" s="57"/>
      <c r="E174" s="58"/>
      <c r="F174" s="54"/>
      <c r="G174" s="52"/>
      <c r="H174" s="52"/>
      <c r="I174" s="61"/>
      <c r="J174" s="62"/>
      <c r="K174" s="129" t="str">
        <f t="shared" si="38"/>
        <v/>
      </c>
      <c r="L174" s="103" t="str">
        <f t="shared" si="39"/>
        <v/>
      </c>
      <c r="M174" s="52">
        <v>0</v>
      </c>
      <c r="N174" s="102" t="str">
        <f t="shared" si="40"/>
        <v/>
      </c>
      <c r="O174" s="103" t="str">
        <f t="shared" si="41"/>
        <v/>
      </c>
      <c r="P174" s="52">
        <v>0</v>
      </c>
      <c r="Q174" s="102" t="str">
        <f t="shared" si="42"/>
        <v/>
      </c>
      <c r="R174" s="103" t="str">
        <f t="shared" si="43"/>
        <v/>
      </c>
      <c r="S174" s="52">
        <v>0</v>
      </c>
      <c r="T174" s="102" t="str">
        <f t="shared" si="44"/>
        <v/>
      </c>
      <c r="U174" s="103" t="str">
        <f t="shared" si="45"/>
        <v/>
      </c>
      <c r="V174" s="52">
        <v>0</v>
      </c>
      <c r="W174" s="87" t="str">
        <f t="shared" si="46"/>
        <v/>
      </c>
      <c r="X174" s="103" t="str">
        <f t="shared" si="47"/>
        <v/>
      </c>
      <c r="Y174" s="52">
        <v>0</v>
      </c>
      <c r="Z174" s="56" t="str">
        <f t="shared" si="48"/>
        <v/>
      </c>
      <c r="AA174" s="56" t="str">
        <f t="shared" si="49"/>
        <v/>
      </c>
      <c r="AB174" s="56" t="str">
        <f t="shared" si="50"/>
        <v/>
      </c>
      <c r="AC174" s="56" t="str">
        <f t="shared" si="51"/>
        <v/>
      </c>
      <c r="AD174" s="56" t="str">
        <f t="shared" si="52"/>
        <v/>
      </c>
      <c r="AE174" s="40"/>
      <c r="AF174" s="40"/>
      <c r="AG174" s="40"/>
      <c r="AH174" s="56" t="str">
        <f t="shared" si="53"/>
        <v/>
      </c>
      <c r="AI174" s="54"/>
      <c r="AJ174" s="54"/>
      <c r="AK174" s="54"/>
      <c r="AL174" s="54"/>
      <c r="AM174" s="54"/>
    </row>
    <row r="175" spans="1:39">
      <c r="A175" s="45" t="str" cm="1">
        <f t="array" ref="A175">IF(H175="PROJECT", CHAR(10) &amp; "- " &amp; _xlfn.TEXTJOIN(CHAR(10) &amp; "- ", TRUE, _xlfn._xlws.FILTER($I$9:$I$1000, ($B$9:$B$1000=B175) * ($H$9:$H$1000="Topic"))), "")</f>
        <v/>
      </c>
      <c r="B175" s="45" t="str">
        <f t="shared" si="37"/>
        <v/>
      </c>
      <c r="C175" s="95"/>
      <c r="D175" s="46"/>
      <c r="E175" s="58"/>
      <c r="F175" s="67"/>
      <c r="G175" s="53"/>
      <c r="H175" s="53"/>
      <c r="I175" s="50"/>
      <c r="J175" s="51"/>
      <c r="K175" s="129" t="str">
        <f t="shared" si="38"/>
        <v/>
      </c>
      <c r="L175" s="103" t="str">
        <f t="shared" si="39"/>
        <v/>
      </c>
      <c r="M175" s="53">
        <v>0</v>
      </c>
      <c r="N175" s="102" t="str">
        <f t="shared" si="40"/>
        <v/>
      </c>
      <c r="O175" s="103" t="str">
        <f t="shared" si="41"/>
        <v/>
      </c>
      <c r="P175" s="53">
        <v>0</v>
      </c>
      <c r="Q175" s="102" t="str">
        <f t="shared" si="42"/>
        <v/>
      </c>
      <c r="R175" s="103" t="str">
        <f t="shared" si="43"/>
        <v/>
      </c>
      <c r="S175" s="53">
        <v>0</v>
      </c>
      <c r="T175" s="102" t="str">
        <f t="shared" si="44"/>
        <v/>
      </c>
      <c r="U175" s="103" t="str">
        <f t="shared" si="45"/>
        <v/>
      </c>
      <c r="V175" s="53">
        <v>0</v>
      </c>
      <c r="W175" s="87" t="str">
        <f t="shared" si="46"/>
        <v/>
      </c>
      <c r="X175" s="103" t="str">
        <f t="shared" si="47"/>
        <v/>
      </c>
      <c r="Y175" s="53">
        <v>0</v>
      </c>
      <c r="Z175" s="56" t="str">
        <f t="shared" si="48"/>
        <v/>
      </c>
      <c r="AA175" s="56" t="str">
        <f t="shared" si="49"/>
        <v/>
      </c>
      <c r="AB175" s="56" t="str">
        <f t="shared" si="50"/>
        <v/>
      </c>
      <c r="AC175" s="56" t="str">
        <f t="shared" si="51"/>
        <v/>
      </c>
      <c r="AD175" s="56" t="str">
        <f t="shared" si="52"/>
        <v/>
      </c>
      <c r="AE175" s="40"/>
      <c r="AF175" s="40"/>
      <c r="AG175" s="40"/>
      <c r="AH175" s="56" t="str">
        <f t="shared" si="53"/>
        <v/>
      </c>
      <c r="AI175" s="54"/>
      <c r="AJ175" s="54"/>
      <c r="AK175" s="54"/>
      <c r="AL175" s="54"/>
      <c r="AM175" s="54"/>
    </row>
    <row r="176" spans="1:39">
      <c r="A176" s="45" t="str" cm="1">
        <f t="array" ref="A176">IF(H176="PROJECT", CHAR(10) &amp; "- " &amp; _xlfn.TEXTJOIN(CHAR(10) &amp; "- ", TRUE, _xlfn._xlws.FILTER($I$9:$I$1000, ($B$9:$B$1000=B176) * ($H$9:$H$1000="Topic"))), "")</f>
        <v/>
      </c>
      <c r="B176" s="45" t="str">
        <f t="shared" si="37"/>
        <v/>
      </c>
      <c r="C176" s="95"/>
      <c r="D176" s="57"/>
      <c r="E176" s="58"/>
      <c r="F176" s="54"/>
      <c r="G176" s="52"/>
      <c r="H176" s="52"/>
      <c r="I176" s="61"/>
      <c r="J176" s="62"/>
      <c r="K176" s="129" t="str">
        <f t="shared" si="38"/>
        <v/>
      </c>
      <c r="L176" s="103" t="str">
        <f t="shared" si="39"/>
        <v/>
      </c>
      <c r="M176" s="52">
        <v>0</v>
      </c>
      <c r="N176" s="102" t="str">
        <f t="shared" si="40"/>
        <v/>
      </c>
      <c r="O176" s="103" t="str">
        <f t="shared" si="41"/>
        <v/>
      </c>
      <c r="P176" s="52">
        <v>0</v>
      </c>
      <c r="Q176" s="102" t="str">
        <f t="shared" si="42"/>
        <v/>
      </c>
      <c r="R176" s="103" t="str">
        <f t="shared" si="43"/>
        <v/>
      </c>
      <c r="S176" s="52">
        <v>0</v>
      </c>
      <c r="T176" s="102" t="str">
        <f t="shared" si="44"/>
        <v/>
      </c>
      <c r="U176" s="103" t="str">
        <f t="shared" si="45"/>
        <v/>
      </c>
      <c r="V176" s="52">
        <v>0</v>
      </c>
      <c r="W176" s="87" t="str">
        <f t="shared" si="46"/>
        <v/>
      </c>
      <c r="X176" s="103" t="str">
        <f t="shared" si="47"/>
        <v/>
      </c>
      <c r="Y176" s="52">
        <v>0</v>
      </c>
      <c r="Z176" s="56" t="str">
        <f t="shared" si="48"/>
        <v/>
      </c>
      <c r="AA176" s="56" t="str">
        <f t="shared" si="49"/>
        <v/>
      </c>
      <c r="AB176" s="56" t="str">
        <f t="shared" si="50"/>
        <v/>
      </c>
      <c r="AC176" s="56" t="str">
        <f t="shared" si="51"/>
        <v/>
      </c>
      <c r="AD176" s="56" t="str">
        <f t="shared" si="52"/>
        <v/>
      </c>
      <c r="AE176" s="40"/>
      <c r="AF176" s="40"/>
      <c r="AG176" s="40"/>
      <c r="AH176" s="56" t="str">
        <f t="shared" si="53"/>
        <v/>
      </c>
      <c r="AI176" s="54"/>
      <c r="AJ176" s="54"/>
      <c r="AK176" s="54"/>
      <c r="AL176" s="54"/>
      <c r="AM176" s="54"/>
    </row>
    <row r="177" spans="1:39">
      <c r="A177" s="45" t="str" cm="1">
        <f t="array" ref="A177">IF(H177="PROJECT", CHAR(10) &amp; "- " &amp; _xlfn.TEXTJOIN(CHAR(10) &amp; "- ", TRUE, _xlfn._xlws.FILTER($I$9:$I$1000, ($B$9:$B$1000=B177) * ($H$9:$H$1000="Topic"))), "")</f>
        <v/>
      </c>
      <c r="B177" s="45" t="str">
        <f t="shared" si="37"/>
        <v/>
      </c>
      <c r="C177" s="95"/>
      <c r="D177" s="46"/>
      <c r="E177" s="58"/>
      <c r="F177" s="67"/>
      <c r="G177" s="53"/>
      <c r="H177" s="53"/>
      <c r="I177" s="50"/>
      <c r="J177" s="51"/>
      <c r="K177" s="129" t="str">
        <f t="shared" si="38"/>
        <v/>
      </c>
      <c r="L177" s="103" t="str">
        <f t="shared" si="39"/>
        <v/>
      </c>
      <c r="M177" s="53">
        <v>0</v>
      </c>
      <c r="N177" s="102" t="str">
        <f t="shared" si="40"/>
        <v/>
      </c>
      <c r="O177" s="103" t="str">
        <f t="shared" si="41"/>
        <v/>
      </c>
      <c r="P177" s="53">
        <v>0</v>
      </c>
      <c r="Q177" s="102" t="str">
        <f t="shared" si="42"/>
        <v/>
      </c>
      <c r="R177" s="103" t="str">
        <f t="shared" si="43"/>
        <v/>
      </c>
      <c r="S177" s="53">
        <v>0</v>
      </c>
      <c r="T177" s="102" t="str">
        <f t="shared" si="44"/>
        <v/>
      </c>
      <c r="U177" s="103" t="str">
        <f t="shared" si="45"/>
        <v/>
      </c>
      <c r="V177" s="53">
        <v>0</v>
      </c>
      <c r="W177" s="87" t="str">
        <f t="shared" si="46"/>
        <v/>
      </c>
      <c r="X177" s="103" t="str">
        <f t="shared" si="47"/>
        <v/>
      </c>
      <c r="Y177" s="53">
        <v>0</v>
      </c>
      <c r="Z177" s="56" t="str">
        <f t="shared" si="48"/>
        <v/>
      </c>
      <c r="AA177" s="56" t="str">
        <f t="shared" si="49"/>
        <v/>
      </c>
      <c r="AB177" s="56" t="str">
        <f t="shared" si="50"/>
        <v/>
      </c>
      <c r="AC177" s="56" t="str">
        <f t="shared" si="51"/>
        <v/>
      </c>
      <c r="AD177" s="56" t="str">
        <f t="shared" si="52"/>
        <v/>
      </c>
      <c r="AE177" s="40"/>
      <c r="AF177" s="40"/>
      <c r="AG177" s="40"/>
      <c r="AH177" s="56" t="str">
        <f t="shared" si="53"/>
        <v/>
      </c>
      <c r="AI177" s="54"/>
      <c r="AJ177" s="54"/>
      <c r="AK177" s="54"/>
      <c r="AL177" s="54"/>
      <c r="AM177" s="54"/>
    </row>
    <row r="178" spans="1:39">
      <c r="A178" s="45" t="str" cm="1">
        <f t="array" ref="A178">IF(H178="PROJECT", CHAR(10) &amp; "- " &amp; _xlfn.TEXTJOIN(CHAR(10) &amp; "- ", TRUE, _xlfn._xlws.FILTER($I$9:$I$1000, ($B$9:$B$1000=B178) * ($H$9:$H$1000="Topic"))), "")</f>
        <v/>
      </c>
      <c r="B178" s="45" t="str">
        <f t="shared" si="37"/>
        <v/>
      </c>
      <c r="C178" s="95"/>
      <c r="D178" s="57"/>
      <c r="E178" s="58"/>
      <c r="F178" s="54"/>
      <c r="G178" s="52"/>
      <c r="H178" s="52"/>
      <c r="I178" s="61"/>
      <c r="J178" s="62"/>
      <c r="K178" s="129" t="str">
        <f t="shared" si="38"/>
        <v/>
      </c>
      <c r="L178" s="103" t="str">
        <f t="shared" si="39"/>
        <v/>
      </c>
      <c r="M178" s="52">
        <v>0</v>
      </c>
      <c r="N178" s="102" t="str">
        <f t="shared" si="40"/>
        <v/>
      </c>
      <c r="O178" s="103" t="str">
        <f t="shared" si="41"/>
        <v/>
      </c>
      <c r="P178" s="52">
        <v>0</v>
      </c>
      <c r="Q178" s="102" t="str">
        <f t="shared" si="42"/>
        <v/>
      </c>
      <c r="R178" s="103" t="str">
        <f t="shared" si="43"/>
        <v/>
      </c>
      <c r="S178" s="52">
        <v>0</v>
      </c>
      <c r="T178" s="102" t="str">
        <f t="shared" si="44"/>
        <v/>
      </c>
      <c r="U178" s="103" t="str">
        <f t="shared" si="45"/>
        <v/>
      </c>
      <c r="V178" s="52">
        <v>0</v>
      </c>
      <c r="W178" s="87" t="str">
        <f t="shared" si="46"/>
        <v/>
      </c>
      <c r="X178" s="103" t="str">
        <f t="shared" si="47"/>
        <v/>
      </c>
      <c r="Y178" s="52">
        <v>0</v>
      </c>
      <c r="Z178" s="56" t="str">
        <f t="shared" si="48"/>
        <v/>
      </c>
      <c r="AA178" s="56" t="str">
        <f t="shared" si="49"/>
        <v/>
      </c>
      <c r="AB178" s="56" t="str">
        <f t="shared" si="50"/>
        <v/>
      </c>
      <c r="AC178" s="56" t="str">
        <f t="shared" si="51"/>
        <v/>
      </c>
      <c r="AD178" s="56" t="str">
        <f t="shared" si="52"/>
        <v/>
      </c>
      <c r="AE178" s="40"/>
      <c r="AF178" s="40"/>
      <c r="AG178" s="40"/>
      <c r="AH178" s="56" t="str">
        <f t="shared" si="53"/>
        <v/>
      </c>
      <c r="AI178" s="54"/>
      <c r="AJ178" s="54"/>
      <c r="AK178" s="54"/>
      <c r="AL178" s="54"/>
      <c r="AM178" s="54"/>
    </row>
    <row r="179" spans="1:39">
      <c r="A179" s="45" t="str" cm="1">
        <f t="array" ref="A179">IF(H179="PROJECT", CHAR(10) &amp; "- " &amp; _xlfn.TEXTJOIN(CHAR(10) &amp; "- ", TRUE, _xlfn._xlws.FILTER($I$9:$I$1000, ($B$9:$B$1000=B179) * ($H$9:$H$1000="Topic"))), "")</f>
        <v/>
      </c>
      <c r="B179" s="45" t="str">
        <f t="shared" si="37"/>
        <v/>
      </c>
      <c r="C179" s="95"/>
      <c r="D179" s="46"/>
      <c r="E179" s="58"/>
      <c r="F179" s="67"/>
      <c r="G179" s="53"/>
      <c r="H179" s="53"/>
      <c r="I179" s="50"/>
      <c r="J179" s="51"/>
      <c r="K179" s="129" t="str">
        <f t="shared" si="38"/>
        <v/>
      </c>
      <c r="L179" s="103" t="str">
        <f t="shared" si="39"/>
        <v/>
      </c>
      <c r="M179" s="53">
        <v>0</v>
      </c>
      <c r="N179" s="102" t="str">
        <f t="shared" si="40"/>
        <v/>
      </c>
      <c r="O179" s="103" t="str">
        <f t="shared" si="41"/>
        <v/>
      </c>
      <c r="P179" s="53">
        <v>0</v>
      </c>
      <c r="Q179" s="102" t="str">
        <f t="shared" si="42"/>
        <v/>
      </c>
      <c r="R179" s="103" t="str">
        <f t="shared" si="43"/>
        <v/>
      </c>
      <c r="S179" s="53">
        <v>0</v>
      </c>
      <c r="T179" s="102" t="str">
        <f t="shared" si="44"/>
        <v/>
      </c>
      <c r="U179" s="103" t="str">
        <f t="shared" si="45"/>
        <v/>
      </c>
      <c r="V179" s="53">
        <v>0</v>
      </c>
      <c r="W179" s="87" t="str">
        <f t="shared" si="46"/>
        <v/>
      </c>
      <c r="X179" s="103" t="str">
        <f t="shared" si="47"/>
        <v/>
      </c>
      <c r="Y179" s="53">
        <v>0</v>
      </c>
      <c r="Z179" s="56" t="str">
        <f t="shared" si="48"/>
        <v/>
      </c>
      <c r="AA179" s="56" t="str">
        <f t="shared" si="49"/>
        <v/>
      </c>
      <c r="AB179" s="56" t="str">
        <f t="shared" si="50"/>
        <v/>
      </c>
      <c r="AC179" s="56" t="str">
        <f t="shared" si="51"/>
        <v/>
      </c>
      <c r="AD179" s="56" t="str">
        <f t="shared" si="52"/>
        <v/>
      </c>
      <c r="AE179" s="40"/>
      <c r="AF179" s="40"/>
      <c r="AG179" s="40"/>
      <c r="AH179" s="56" t="str">
        <f t="shared" si="53"/>
        <v/>
      </c>
      <c r="AI179" s="54"/>
      <c r="AJ179" s="54"/>
      <c r="AK179" s="54"/>
      <c r="AL179" s="54"/>
      <c r="AM179" s="54"/>
    </row>
    <row r="180" spans="1:39">
      <c r="A180" s="45" t="str" cm="1">
        <f t="array" ref="A180">IF(H180="PROJECT", CHAR(10) &amp; "- " &amp; _xlfn.TEXTJOIN(CHAR(10) &amp; "- ", TRUE, _xlfn._xlws.FILTER($I$9:$I$1000, ($B$9:$B$1000=B180) * ($H$9:$H$1000="Topic"))), "")</f>
        <v/>
      </c>
      <c r="B180" s="45" t="str">
        <f t="shared" si="37"/>
        <v/>
      </c>
      <c r="C180" s="95"/>
      <c r="D180" s="57"/>
      <c r="E180" s="58"/>
      <c r="F180" s="54"/>
      <c r="G180" s="52"/>
      <c r="H180" s="52"/>
      <c r="I180" s="61"/>
      <c r="J180" s="62"/>
      <c r="K180" s="129" t="str">
        <f t="shared" si="38"/>
        <v/>
      </c>
      <c r="L180" s="103" t="str">
        <f t="shared" si="39"/>
        <v/>
      </c>
      <c r="M180" s="52">
        <v>0</v>
      </c>
      <c r="N180" s="102" t="str">
        <f t="shared" si="40"/>
        <v/>
      </c>
      <c r="O180" s="103" t="str">
        <f t="shared" si="41"/>
        <v/>
      </c>
      <c r="P180" s="52">
        <v>0</v>
      </c>
      <c r="Q180" s="102" t="str">
        <f t="shared" si="42"/>
        <v/>
      </c>
      <c r="R180" s="103" t="str">
        <f t="shared" si="43"/>
        <v/>
      </c>
      <c r="S180" s="52">
        <v>0</v>
      </c>
      <c r="T180" s="102" t="str">
        <f t="shared" si="44"/>
        <v/>
      </c>
      <c r="U180" s="103" t="str">
        <f t="shared" si="45"/>
        <v/>
      </c>
      <c r="V180" s="52">
        <v>0</v>
      </c>
      <c r="W180" s="87" t="str">
        <f t="shared" si="46"/>
        <v/>
      </c>
      <c r="X180" s="103" t="str">
        <f t="shared" si="47"/>
        <v/>
      </c>
      <c r="Y180" s="52">
        <v>0</v>
      </c>
      <c r="Z180" s="56" t="str">
        <f t="shared" si="48"/>
        <v/>
      </c>
      <c r="AA180" s="56" t="str">
        <f t="shared" si="49"/>
        <v/>
      </c>
      <c r="AB180" s="56" t="str">
        <f t="shared" si="50"/>
        <v/>
      </c>
      <c r="AC180" s="56" t="str">
        <f t="shared" si="51"/>
        <v/>
      </c>
      <c r="AD180" s="56" t="str">
        <f t="shared" si="52"/>
        <v/>
      </c>
      <c r="AE180" s="40"/>
      <c r="AF180" s="40"/>
      <c r="AG180" s="40"/>
      <c r="AH180" s="56" t="str">
        <f t="shared" si="53"/>
        <v/>
      </c>
      <c r="AI180" s="54"/>
      <c r="AJ180" s="54"/>
      <c r="AK180" s="54"/>
      <c r="AL180" s="54"/>
      <c r="AM180" s="54"/>
    </row>
    <row r="181" spans="1:39">
      <c r="A181" s="45" t="str" cm="1">
        <f t="array" ref="A181">IF(H181="PROJECT", CHAR(10) &amp; "- " &amp; _xlfn.TEXTJOIN(CHAR(10) &amp; "- ", TRUE, _xlfn._xlws.FILTER($I$9:$I$1000, ($B$9:$B$1000=B181) * ($H$9:$H$1000="Topic"))), "")</f>
        <v/>
      </c>
      <c r="B181" s="45" t="str">
        <f t="shared" si="37"/>
        <v/>
      </c>
      <c r="C181" s="95"/>
      <c r="D181" s="46"/>
      <c r="E181" s="58"/>
      <c r="F181" s="67"/>
      <c r="G181" s="53"/>
      <c r="H181" s="53"/>
      <c r="I181" s="50"/>
      <c r="J181" s="51"/>
      <c r="K181" s="129" t="str">
        <f t="shared" si="38"/>
        <v/>
      </c>
      <c r="L181" s="103" t="str">
        <f t="shared" si="39"/>
        <v/>
      </c>
      <c r="M181" s="53">
        <v>0</v>
      </c>
      <c r="N181" s="102" t="str">
        <f t="shared" si="40"/>
        <v/>
      </c>
      <c r="O181" s="103" t="str">
        <f t="shared" si="41"/>
        <v/>
      </c>
      <c r="P181" s="53">
        <v>0</v>
      </c>
      <c r="Q181" s="102" t="str">
        <f t="shared" si="42"/>
        <v/>
      </c>
      <c r="R181" s="103" t="str">
        <f t="shared" si="43"/>
        <v/>
      </c>
      <c r="S181" s="53">
        <v>0</v>
      </c>
      <c r="T181" s="102" t="str">
        <f t="shared" si="44"/>
        <v/>
      </c>
      <c r="U181" s="103" t="str">
        <f t="shared" si="45"/>
        <v/>
      </c>
      <c r="V181" s="53">
        <v>0</v>
      </c>
      <c r="W181" s="87" t="str">
        <f t="shared" si="46"/>
        <v/>
      </c>
      <c r="X181" s="103" t="str">
        <f t="shared" si="47"/>
        <v/>
      </c>
      <c r="Y181" s="53">
        <v>0</v>
      </c>
      <c r="Z181" s="56" t="str">
        <f t="shared" si="48"/>
        <v/>
      </c>
      <c r="AA181" s="56" t="str">
        <f t="shared" si="49"/>
        <v/>
      </c>
      <c r="AB181" s="56" t="str">
        <f t="shared" si="50"/>
        <v/>
      </c>
      <c r="AC181" s="56" t="str">
        <f t="shared" si="51"/>
        <v/>
      </c>
      <c r="AD181" s="56" t="str">
        <f t="shared" si="52"/>
        <v/>
      </c>
      <c r="AE181" s="40"/>
      <c r="AF181" s="40"/>
      <c r="AG181" s="40"/>
      <c r="AH181" s="56" t="str">
        <f t="shared" si="53"/>
        <v/>
      </c>
      <c r="AI181" s="54"/>
      <c r="AJ181" s="54"/>
      <c r="AK181" s="54"/>
      <c r="AL181" s="54"/>
      <c r="AM181" s="54"/>
    </row>
    <row r="182" spans="1:39">
      <c r="A182" s="45" t="str" cm="1">
        <f t="array" ref="A182">IF(H182="PROJECT", CHAR(10) &amp; "- " &amp; _xlfn.TEXTJOIN(CHAR(10) &amp; "- ", TRUE, _xlfn._xlws.FILTER($I$9:$I$1000, ($B$9:$B$1000=B182) * ($H$9:$H$1000="Topic"))), "")</f>
        <v/>
      </c>
      <c r="B182" s="45" t="str">
        <f t="shared" si="37"/>
        <v/>
      </c>
      <c r="C182" s="95"/>
      <c r="D182" s="57"/>
      <c r="E182" s="58"/>
      <c r="F182" s="54"/>
      <c r="G182" s="52"/>
      <c r="H182" s="52"/>
      <c r="I182" s="61"/>
      <c r="J182" s="62"/>
      <c r="K182" s="129" t="str">
        <f t="shared" si="38"/>
        <v/>
      </c>
      <c r="L182" s="103" t="str">
        <f t="shared" si="39"/>
        <v/>
      </c>
      <c r="M182" s="52">
        <v>0</v>
      </c>
      <c r="N182" s="102" t="str">
        <f t="shared" si="40"/>
        <v/>
      </c>
      <c r="O182" s="103" t="str">
        <f t="shared" si="41"/>
        <v/>
      </c>
      <c r="P182" s="52">
        <v>0</v>
      </c>
      <c r="Q182" s="102" t="str">
        <f t="shared" si="42"/>
        <v/>
      </c>
      <c r="R182" s="103" t="str">
        <f t="shared" si="43"/>
        <v/>
      </c>
      <c r="S182" s="52">
        <v>0</v>
      </c>
      <c r="T182" s="102" t="str">
        <f t="shared" si="44"/>
        <v/>
      </c>
      <c r="U182" s="103" t="str">
        <f t="shared" si="45"/>
        <v/>
      </c>
      <c r="V182" s="52">
        <v>0</v>
      </c>
      <c r="W182" s="87" t="str">
        <f t="shared" si="46"/>
        <v/>
      </c>
      <c r="X182" s="103" t="str">
        <f t="shared" si="47"/>
        <v/>
      </c>
      <c r="Y182" s="52">
        <v>0</v>
      </c>
      <c r="Z182" s="56" t="str">
        <f t="shared" si="48"/>
        <v/>
      </c>
      <c r="AA182" s="56" t="str">
        <f t="shared" si="49"/>
        <v/>
      </c>
      <c r="AB182" s="56" t="str">
        <f t="shared" si="50"/>
        <v/>
      </c>
      <c r="AC182" s="56" t="str">
        <f t="shared" si="51"/>
        <v/>
      </c>
      <c r="AD182" s="56" t="str">
        <f t="shared" si="52"/>
        <v/>
      </c>
      <c r="AE182" s="40"/>
      <c r="AF182" s="40"/>
      <c r="AG182" s="40"/>
      <c r="AH182" s="56" t="str">
        <f t="shared" si="53"/>
        <v/>
      </c>
      <c r="AI182" s="54"/>
      <c r="AJ182" s="54"/>
      <c r="AK182" s="54"/>
      <c r="AL182" s="54"/>
      <c r="AM182" s="54"/>
    </row>
    <row r="183" spans="1:39">
      <c r="A183" s="45" t="str" cm="1">
        <f t="array" ref="A183">IF(H183="PROJECT", CHAR(10) &amp; "- " &amp; _xlfn.TEXTJOIN(CHAR(10) &amp; "- ", TRUE, _xlfn._xlws.FILTER($I$9:$I$1000, ($B$9:$B$1000=B183) * ($H$9:$H$1000="Topic"))), "")</f>
        <v/>
      </c>
      <c r="B183" s="45" t="str">
        <f t="shared" si="37"/>
        <v/>
      </c>
      <c r="C183" s="95"/>
      <c r="D183" s="46"/>
      <c r="E183" s="58"/>
      <c r="F183" s="67"/>
      <c r="G183" s="53"/>
      <c r="H183" s="53"/>
      <c r="I183" s="50"/>
      <c r="J183" s="51"/>
      <c r="K183" s="129" t="str">
        <f t="shared" si="38"/>
        <v/>
      </c>
      <c r="L183" s="103" t="str">
        <f t="shared" si="39"/>
        <v/>
      </c>
      <c r="M183" s="53">
        <v>0</v>
      </c>
      <c r="N183" s="102" t="str">
        <f t="shared" si="40"/>
        <v/>
      </c>
      <c r="O183" s="103" t="str">
        <f t="shared" si="41"/>
        <v/>
      </c>
      <c r="P183" s="53">
        <v>0</v>
      </c>
      <c r="Q183" s="102" t="str">
        <f t="shared" si="42"/>
        <v/>
      </c>
      <c r="R183" s="103" t="str">
        <f t="shared" si="43"/>
        <v/>
      </c>
      <c r="S183" s="53">
        <v>0</v>
      </c>
      <c r="T183" s="102" t="str">
        <f t="shared" si="44"/>
        <v/>
      </c>
      <c r="U183" s="103" t="str">
        <f t="shared" si="45"/>
        <v/>
      </c>
      <c r="V183" s="53">
        <v>0</v>
      </c>
      <c r="W183" s="87" t="str">
        <f t="shared" si="46"/>
        <v/>
      </c>
      <c r="X183" s="103" t="str">
        <f t="shared" si="47"/>
        <v/>
      </c>
      <c r="Y183" s="53">
        <v>0</v>
      </c>
      <c r="Z183" s="56" t="str">
        <f t="shared" si="48"/>
        <v/>
      </c>
      <c r="AA183" s="56" t="str">
        <f t="shared" si="49"/>
        <v/>
      </c>
      <c r="AB183" s="56" t="str">
        <f t="shared" si="50"/>
        <v/>
      </c>
      <c r="AC183" s="56" t="str">
        <f t="shared" si="51"/>
        <v/>
      </c>
      <c r="AD183" s="56" t="str">
        <f t="shared" si="52"/>
        <v/>
      </c>
      <c r="AE183" s="40"/>
      <c r="AF183" s="40"/>
      <c r="AG183" s="40"/>
      <c r="AH183" s="56" t="str">
        <f t="shared" si="53"/>
        <v/>
      </c>
      <c r="AI183" s="54"/>
      <c r="AJ183" s="54"/>
      <c r="AK183" s="54"/>
      <c r="AL183" s="54"/>
      <c r="AM183" s="54"/>
    </row>
    <row r="184" spans="1:39">
      <c r="A184" s="45" t="str" cm="1">
        <f t="array" ref="A184">IF(H184="PROJECT", CHAR(10) &amp; "- " &amp; _xlfn.TEXTJOIN(CHAR(10) &amp; "- ", TRUE, _xlfn._xlws.FILTER($I$9:$I$1000, ($B$9:$B$1000=B184) * ($H$9:$H$1000="Topic"))), "")</f>
        <v/>
      </c>
      <c r="B184" s="45" t="str">
        <f t="shared" si="37"/>
        <v/>
      </c>
      <c r="C184" s="95"/>
      <c r="D184" s="57"/>
      <c r="E184" s="58"/>
      <c r="F184" s="54"/>
      <c r="G184" s="52"/>
      <c r="H184" s="52"/>
      <c r="I184" s="61"/>
      <c r="J184" s="62"/>
      <c r="K184" s="129" t="str">
        <f t="shared" si="38"/>
        <v/>
      </c>
      <c r="L184" s="103" t="str">
        <f t="shared" si="39"/>
        <v/>
      </c>
      <c r="M184" s="52">
        <v>0</v>
      </c>
      <c r="N184" s="102" t="str">
        <f t="shared" si="40"/>
        <v/>
      </c>
      <c r="O184" s="103" t="str">
        <f t="shared" si="41"/>
        <v/>
      </c>
      <c r="P184" s="52">
        <v>0</v>
      </c>
      <c r="Q184" s="102" t="str">
        <f t="shared" si="42"/>
        <v/>
      </c>
      <c r="R184" s="103" t="str">
        <f t="shared" si="43"/>
        <v/>
      </c>
      <c r="S184" s="52">
        <v>0</v>
      </c>
      <c r="T184" s="102" t="str">
        <f t="shared" si="44"/>
        <v/>
      </c>
      <c r="U184" s="103" t="str">
        <f t="shared" si="45"/>
        <v/>
      </c>
      <c r="V184" s="52">
        <v>0</v>
      </c>
      <c r="W184" s="87" t="str">
        <f t="shared" si="46"/>
        <v/>
      </c>
      <c r="X184" s="103" t="str">
        <f t="shared" si="47"/>
        <v/>
      </c>
      <c r="Y184" s="52">
        <v>0</v>
      </c>
      <c r="Z184" s="56" t="str">
        <f t="shared" si="48"/>
        <v/>
      </c>
      <c r="AA184" s="56" t="str">
        <f t="shared" si="49"/>
        <v/>
      </c>
      <c r="AB184" s="56" t="str">
        <f t="shared" si="50"/>
        <v/>
      </c>
      <c r="AC184" s="56" t="str">
        <f t="shared" si="51"/>
        <v/>
      </c>
      <c r="AD184" s="56" t="str">
        <f t="shared" si="52"/>
        <v/>
      </c>
      <c r="AE184" s="40"/>
      <c r="AF184" s="40"/>
      <c r="AG184" s="40"/>
      <c r="AH184" s="56" t="str">
        <f t="shared" si="53"/>
        <v/>
      </c>
      <c r="AI184" s="54"/>
      <c r="AJ184" s="54"/>
      <c r="AK184" s="54"/>
      <c r="AL184" s="54"/>
      <c r="AM184" s="54"/>
    </row>
    <row r="185" spans="1:39">
      <c r="A185" s="45" t="str" cm="1">
        <f t="array" ref="A185">IF(H185="PROJECT", CHAR(10) &amp; "- " &amp; _xlfn.TEXTJOIN(CHAR(10) &amp; "- ", TRUE, _xlfn._xlws.FILTER($I$9:$I$1000, ($B$9:$B$1000=B185) * ($H$9:$H$1000="Topic"))), "")</f>
        <v/>
      </c>
      <c r="B185" s="45" t="str">
        <f t="shared" si="37"/>
        <v/>
      </c>
      <c r="C185" s="95"/>
      <c r="D185" s="46"/>
      <c r="E185" s="58"/>
      <c r="F185" s="67"/>
      <c r="G185" s="53"/>
      <c r="H185" s="53"/>
      <c r="I185" s="50"/>
      <c r="J185" s="51"/>
      <c r="K185" s="129" t="str">
        <f t="shared" si="38"/>
        <v/>
      </c>
      <c r="L185" s="103" t="str">
        <f t="shared" si="39"/>
        <v/>
      </c>
      <c r="M185" s="53">
        <v>0</v>
      </c>
      <c r="N185" s="102" t="str">
        <f t="shared" si="40"/>
        <v/>
      </c>
      <c r="O185" s="103" t="str">
        <f t="shared" si="41"/>
        <v/>
      </c>
      <c r="P185" s="53">
        <v>0</v>
      </c>
      <c r="Q185" s="102" t="str">
        <f t="shared" si="42"/>
        <v/>
      </c>
      <c r="R185" s="103" t="str">
        <f t="shared" si="43"/>
        <v/>
      </c>
      <c r="S185" s="53">
        <v>0</v>
      </c>
      <c r="T185" s="102" t="str">
        <f t="shared" si="44"/>
        <v/>
      </c>
      <c r="U185" s="103" t="str">
        <f t="shared" si="45"/>
        <v/>
      </c>
      <c r="V185" s="53">
        <v>0</v>
      </c>
      <c r="W185" s="87" t="str">
        <f t="shared" si="46"/>
        <v/>
      </c>
      <c r="X185" s="103" t="str">
        <f t="shared" si="47"/>
        <v/>
      </c>
      <c r="Y185" s="53">
        <v>0</v>
      </c>
      <c r="Z185" s="56" t="str">
        <f t="shared" si="48"/>
        <v/>
      </c>
      <c r="AA185" s="56" t="str">
        <f t="shared" si="49"/>
        <v/>
      </c>
      <c r="AB185" s="56" t="str">
        <f t="shared" si="50"/>
        <v/>
      </c>
      <c r="AC185" s="56" t="str">
        <f t="shared" si="51"/>
        <v/>
      </c>
      <c r="AD185" s="56" t="str">
        <f t="shared" si="52"/>
        <v/>
      </c>
      <c r="AE185" s="40"/>
      <c r="AF185" s="40"/>
      <c r="AG185" s="40"/>
      <c r="AH185" s="56" t="str">
        <f t="shared" si="53"/>
        <v/>
      </c>
      <c r="AI185" s="54"/>
      <c r="AJ185" s="54"/>
      <c r="AK185" s="54"/>
      <c r="AL185" s="54"/>
      <c r="AM185" s="54"/>
    </row>
    <row r="186" spans="1:39">
      <c r="A186" s="45" t="str" cm="1">
        <f t="array" ref="A186">IF(H186="PROJECT", CHAR(10) &amp; "- " &amp; _xlfn.TEXTJOIN(CHAR(10) &amp; "- ", TRUE, _xlfn._xlws.FILTER($I$9:$I$1000, ($B$9:$B$1000=B186) * ($H$9:$H$1000="Topic"))), "")</f>
        <v/>
      </c>
      <c r="B186" s="45" t="str">
        <f t="shared" si="37"/>
        <v/>
      </c>
      <c r="C186" s="95"/>
      <c r="D186" s="57"/>
      <c r="E186" s="58"/>
      <c r="F186" s="54"/>
      <c r="G186" s="52"/>
      <c r="H186" s="52"/>
      <c r="I186" s="61"/>
      <c r="J186" s="62"/>
      <c r="K186" s="129" t="str">
        <f t="shared" si="38"/>
        <v/>
      </c>
      <c r="L186" s="103" t="str">
        <f t="shared" si="39"/>
        <v/>
      </c>
      <c r="M186" s="52">
        <v>0</v>
      </c>
      <c r="N186" s="102" t="str">
        <f t="shared" si="40"/>
        <v/>
      </c>
      <c r="O186" s="103" t="str">
        <f t="shared" si="41"/>
        <v/>
      </c>
      <c r="P186" s="52">
        <v>0</v>
      </c>
      <c r="Q186" s="102" t="str">
        <f t="shared" si="42"/>
        <v/>
      </c>
      <c r="R186" s="103" t="str">
        <f t="shared" si="43"/>
        <v/>
      </c>
      <c r="S186" s="52">
        <v>0</v>
      </c>
      <c r="T186" s="102" t="str">
        <f t="shared" si="44"/>
        <v/>
      </c>
      <c r="U186" s="103" t="str">
        <f t="shared" si="45"/>
        <v/>
      </c>
      <c r="V186" s="52">
        <v>0</v>
      </c>
      <c r="W186" s="87" t="str">
        <f t="shared" si="46"/>
        <v/>
      </c>
      <c r="X186" s="103" t="str">
        <f t="shared" si="47"/>
        <v/>
      </c>
      <c r="Y186" s="52">
        <v>0</v>
      </c>
      <c r="Z186" s="56" t="str">
        <f t="shared" si="48"/>
        <v/>
      </c>
      <c r="AA186" s="56" t="str">
        <f t="shared" si="49"/>
        <v/>
      </c>
      <c r="AB186" s="56" t="str">
        <f t="shared" si="50"/>
        <v/>
      </c>
      <c r="AC186" s="56" t="str">
        <f t="shared" si="51"/>
        <v/>
      </c>
      <c r="AD186" s="56" t="str">
        <f t="shared" si="52"/>
        <v/>
      </c>
      <c r="AE186" s="40"/>
      <c r="AF186" s="40"/>
      <c r="AG186" s="40"/>
      <c r="AH186" s="56" t="str">
        <f t="shared" si="53"/>
        <v/>
      </c>
      <c r="AI186" s="54"/>
      <c r="AJ186" s="54"/>
      <c r="AK186" s="54"/>
      <c r="AL186" s="54"/>
      <c r="AM186" s="54"/>
    </row>
    <row r="187" spans="1:39">
      <c r="A187" s="45" t="str" cm="1">
        <f t="array" ref="A187">IF(H187="PROJECT", CHAR(10) &amp; "- " &amp; _xlfn.TEXTJOIN(CHAR(10) &amp; "- ", TRUE, _xlfn._xlws.FILTER($I$9:$I$1000, ($B$9:$B$1000=B187) * ($H$9:$H$1000="Topic"))), "")</f>
        <v/>
      </c>
      <c r="B187" s="45" t="str">
        <f t="shared" si="37"/>
        <v/>
      </c>
      <c r="C187" s="95"/>
      <c r="D187" s="46"/>
      <c r="E187" s="58"/>
      <c r="F187" s="67"/>
      <c r="G187" s="53"/>
      <c r="H187" s="53"/>
      <c r="I187" s="50"/>
      <c r="J187" s="51"/>
      <c r="K187" s="129" t="str">
        <f t="shared" si="38"/>
        <v/>
      </c>
      <c r="L187" s="103" t="str">
        <f t="shared" si="39"/>
        <v/>
      </c>
      <c r="M187" s="53">
        <v>0</v>
      </c>
      <c r="N187" s="102" t="str">
        <f t="shared" si="40"/>
        <v/>
      </c>
      <c r="O187" s="103" t="str">
        <f t="shared" si="41"/>
        <v/>
      </c>
      <c r="P187" s="53">
        <v>0</v>
      </c>
      <c r="Q187" s="102" t="str">
        <f t="shared" si="42"/>
        <v/>
      </c>
      <c r="R187" s="103" t="str">
        <f t="shared" si="43"/>
        <v/>
      </c>
      <c r="S187" s="53">
        <v>0</v>
      </c>
      <c r="T187" s="102" t="str">
        <f t="shared" si="44"/>
        <v/>
      </c>
      <c r="U187" s="103" t="str">
        <f t="shared" si="45"/>
        <v/>
      </c>
      <c r="V187" s="53">
        <v>0</v>
      </c>
      <c r="W187" s="87" t="str">
        <f t="shared" si="46"/>
        <v/>
      </c>
      <c r="X187" s="103" t="str">
        <f t="shared" si="47"/>
        <v/>
      </c>
      <c r="Y187" s="53">
        <v>0</v>
      </c>
      <c r="Z187" s="56" t="str">
        <f t="shared" si="48"/>
        <v/>
      </c>
      <c r="AA187" s="56" t="str">
        <f t="shared" si="49"/>
        <v/>
      </c>
      <c r="AB187" s="56" t="str">
        <f t="shared" si="50"/>
        <v/>
      </c>
      <c r="AC187" s="56" t="str">
        <f t="shared" si="51"/>
        <v/>
      </c>
      <c r="AD187" s="56" t="str">
        <f t="shared" si="52"/>
        <v/>
      </c>
      <c r="AE187" s="40"/>
      <c r="AF187" s="40"/>
      <c r="AG187" s="40"/>
      <c r="AH187" s="56" t="str">
        <f t="shared" si="53"/>
        <v/>
      </c>
      <c r="AI187" s="54"/>
      <c r="AJ187" s="54"/>
      <c r="AK187" s="54"/>
      <c r="AL187" s="54"/>
      <c r="AM187" s="54"/>
    </row>
    <row r="188" spans="1:39">
      <c r="A188" s="45" t="str" cm="1">
        <f t="array" ref="A188">IF(H188="PROJECT", CHAR(10) &amp; "- " &amp; _xlfn.TEXTJOIN(CHAR(10) &amp; "- ", TRUE, _xlfn._xlws.FILTER($I$9:$I$1000, ($B$9:$B$1000=B188) * ($H$9:$H$1000="Topic"))), "")</f>
        <v/>
      </c>
      <c r="B188" s="45" t="str">
        <f t="shared" si="37"/>
        <v/>
      </c>
      <c r="C188" s="95"/>
      <c r="D188" s="57"/>
      <c r="E188" s="58"/>
      <c r="F188" s="54"/>
      <c r="G188" s="52"/>
      <c r="H188" s="52"/>
      <c r="I188" s="61"/>
      <c r="J188" s="62"/>
      <c r="K188" s="129" t="str">
        <f t="shared" si="38"/>
        <v/>
      </c>
      <c r="L188" s="103" t="str">
        <f t="shared" si="39"/>
        <v/>
      </c>
      <c r="M188" s="52">
        <v>0</v>
      </c>
      <c r="N188" s="102" t="str">
        <f t="shared" si="40"/>
        <v/>
      </c>
      <c r="O188" s="103" t="str">
        <f t="shared" si="41"/>
        <v/>
      </c>
      <c r="P188" s="52">
        <v>0</v>
      </c>
      <c r="Q188" s="102" t="str">
        <f t="shared" si="42"/>
        <v/>
      </c>
      <c r="R188" s="103" t="str">
        <f t="shared" si="43"/>
        <v/>
      </c>
      <c r="S188" s="52">
        <v>0</v>
      </c>
      <c r="T188" s="102" t="str">
        <f t="shared" si="44"/>
        <v/>
      </c>
      <c r="U188" s="103" t="str">
        <f t="shared" si="45"/>
        <v/>
      </c>
      <c r="V188" s="52">
        <v>0</v>
      </c>
      <c r="W188" s="87" t="str">
        <f t="shared" si="46"/>
        <v/>
      </c>
      <c r="X188" s="103" t="str">
        <f t="shared" si="47"/>
        <v/>
      </c>
      <c r="Y188" s="52">
        <v>0</v>
      </c>
      <c r="Z188" s="56" t="str">
        <f t="shared" si="48"/>
        <v/>
      </c>
      <c r="AA188" s="56" t="str">
        <f t="shared" si="49"/>
        <v/>
      </c>
      <c r="AB188" s="56" t="str">
        <f t="shared" si="50"/>
        <v/>
      </c>
      <c r="AC188" s="56" t="str">
        <f t="shared" si="51"/>
        <v/>
      </c>
      <c r="AD188" s="56" t="str">
        <f t="shared" si="52"/>
        <v/>
      </c>
      <c r="AE188" s="40"/>
      <c r="AF188" s="40"/>
      <c r="AG188" s="40"/>
      <c r="AH188" s="56" t="str">
        <f t="shared" si="53"/>
        <v/>
      </c>
      <c r="AI188" s="54"/>
      <c r="AJ188" s="54"/>
      <c r="AK188" s="54"/>
      <c r="AL188" s="54"/>
      <c r="AM188" s="54"/>
    </row>
    <row r="189" spans="1:39">
      <c r="A189" s="45" t="str" cm="1">
        <f t="array" ref="A189">IF(H189="PROJECT", CHAR(10) &amp; "- " &amp; _xlfn.TEXTJOIN(CHAR(10) &amp; "- ", TRUE, _xlfn._xlws.FILTER($I$9:$I$1000, ($B$9:$B$1000=B189) * ($H$9:$H$1000="Topic"))), "")</f>
        <v/>
      </c>
      <c r="B189" s="45" t="str">
        <f t="shared" si="37"/>
        <v/>
      </c>
      <c r="C189" s="95"/>
      <c r="D189" s="46"/>
      <c r="E189" s="58"/>
      <c r="F189" s="67"/>
      <c r="G189" s="53"/>
      <c r="H189" s="53"/>
      <c r="I189" s="50"/>
      <c r="J189" s="51"/>
      <c r="K189" s="129" t="str">
        <f t="shared" si="38"/>
        <v/>
      </c>
      <c r="L189" s="103" t="str">
        <f t="shared" si="39"/>
        <v/>
      </c>
      <c r="M189" s="53">
        <v>0</v>
      </c>
      <c r="N189" s="102" t="str">
        <f t="shared" si="40"/>
        <v/>
      </c>
      <c r="O189" s="103" t="str">
        <f t="shared" si="41"/>
        <v/>
      </c>
      <c r="P189" s="53">
        <v>0</v>
      </c>
      <c r="Q189" s="102" t="str">
        <f t="shared" si="42"/>
        <v/>
      </c>
      <c r="R189" s="103" t="str">
        <f t="shared" si="43"/>
        <v/>
      </c>
      <c r="S189" s="53">
        <v>0</v>
      </c>
      <c r="T189" s="102" t="str">
        <f t="shared" si="44"/>
        <v/>
      </c>
      <c r="U189" s="103" t="str">
        <f t="shared" si="45"/>
        <v/>
      </c>
      <c r="V189" s="53">
        <v>0</v>
      </c>
      <c r="W189" s="87" t="str">
        <f t="shared" si="46"/>
        <v/>
      </c>
      <c r="X189" s="103" t="str">
        <f t="shared" si="47"/>
        <v/>
      </c>
      <c r="Y189" s="53">
        <v>0</v>
      </c>
      <c r="Z189" s="56" t="str">
        <f t="shared" si="48"/>
        <v/>
      </c>
      <c r="AA189" s="56" t="str">
        <f t="shared" si="49"/>
        <v/>
      </c>
      <c r="AB189" s="56" t="str">
        <f t="shared" si="50"/>
        <v/>
      </c>
      <c r="AC189" s="56" t="str">
        <f t="shared" si="51"/>
        <v/>
      </c>
      <c r="AD189" s="56" t="str">
        <f t="shared" si="52"/>
        <v/>
      </c>
      <c r="AE189" s="40"/>
      <c r="AF189" s="40"/>
      <c r="AG189" s="40"/>
      <c r="AH189" s="56" t="str">
        <f t="shared" si="53"/>
        <v/>
      </c>
      <c r="AI189" s="54"/>
      <c r="AJ189" s="54"/>
      <c r="AK189" s="54"/>
      <c r="AL189" s="54"/>
      <c r="AM189" s="54"/>
    </row>
    <row r="190" spans="1:39">
      <c r="A190" s="45" t="str" cm="1">
        <f t="array" ref="A190">IF(H190="PROJECT", CHAR(10) &amp; "- " &amp; _xlfn.TEXTJOIN(CHAR(10) &amp; "- ", TRUE, _xlfn._xlws.FILTER($I$9:$I$1000, ($B$9:$B$1000=B190) * ($H$9:$H$1000="Topic"))), "")</f>
        <v/>
      </c>
      <c r="B190" s="45" t="str">
        <f t="shared" si="37"/>
        <v/>
      </c>
      <c r="C190" s="95"/>
      <c r="D190" s="57"/>
      <c r="E190" s="58"/>
      <c r="F190" s="54"/>
      <c r="G190" s="52"/>
      <c r="H190" s="52"/>
      <c r="I190" s="61"/>
      <c r="J190" s="62"/>
      <c r="K190" s="129" t="str">
        <f t="shared" si="38"/>
        <v/>
      </c>
      <c r="L190" s="103" t="str">
        <f t="shared" si="39"/>
        <v/>
      </c>
      <c r="M190" s="52">
        <v>0</v>
      </c>
      <c r="N190" s="102" t="str">
        <f t="shared" si="40"/>
        <v/>
      </c>
      <c r="O190" s="103" t="str">
        <f t="shared" si="41"/>
        <v/>
      </c>
      <c r="P190" s="52">
        <v>0</v>
      </c>
      <c r="Q190" s="102" t="str">
        <f t="shared" si="42"/>
        <v/>
      </c>
      <c r="R190" s="103" t="str">
        <f t="shared" si="43"/>
        <v/>
      </c>
      <c r="S190" s="52">
        <v>0</v>
      </c>
      <c r="T190" s="102" t="str">
        <f t="shared" si="44"/>
        <v/>
      </c>
      <c r="U190" s="103" t="str">
        <f t="shared" si="45"/>
        <v/>
      </c>
      <c r="V190" s="52">
        <v>0</v>
      </c>
      <c r="W190" s="87" t="str">
        <f t="shared" si="46"/>
        <v/>
      </c>
      <c r="X190" s="103" t="str">
        <f t="shared" si="47"/>
        <v/>
      </c>
      <c r="Y190" s="52">
        <v>0</v>
      </c>
      <c r="Z190" s="56" t="str">
        <f t="shared" si="48"/>
        <v/>
      </c>
      <c r="AA190" s="56" t="str">
        <f t="shared" si="49"/>
        <v/>
      </c>
      <c r="AB190" s="56" t="str">
        <f t="shared" si="50"/>
        <v/>
      </c>
      <c r="AC190" s="56" t="str">
        <f t="shared" si="51"/>
        <v/>
      </c>
      <c r="AD190" s="56" t="str">
        <f t="shared" si="52"/>
        <v/>
      </c>
      <c r="AE190" s="40"/>
      <c r="AF190" s="40"/>
      <c r="AG190" s="40"/>
      <c r="AH190" s="56" t="str">
        <f t="shared" si="53"/>
        <v/>
      </c>
      <c r="AI190" s="54"/>
      <c r="AJ190" s="54"/>
      <c r="AK190" s="54"/>
      <c r="AL190" s="54"/>
      <c r="AM190" s="54"/>
    </row>
    <row r="191" spans="1:39">
      <c r="A191" s="45" t="str" cm="1">
        <f t="array" ref="A191">IF(H191="PROJECT", CHAR(10) &amp; "- " &amp; _xlfn.TEXTJOIN(CHAR(10) &amp; "- ", TRUE, _xlfn._xlws.FILTER($I$9:$I$1000, ($B$9:$B$1000=B191) * ($H$9:$H$1000="Topic"))), "")</f>
        <v/>
      </c>
      <c r="B191" s="45" t="str">
        <f t="shared" si="37"/>
        <v/>
      </c>
      <c r="C191" s="95"/>
      <c r="D191" s="46"/>
      <c r="E191" s="58"/>
      <c r="F191" s="67"/>
      <c r="G191" s="53"/>
      <c r="H191" s="53"/>
      <c r="I191" s="50"/>
      <c r="J191" s="51"/>
      <c r="K191" s="129" t="str">
        <f t="shared" si="38"/>
        <v/>
      </c>
      <c r="L191" s="103" t="str">
        <f t="shared" si="39"/>
        <v/>
      </c>
      <c r="M191" s="53">
        <v>0</v>
      </c>
      <c r="N191" s="102" t="str">
        <f t="shared" si="40"/>
        <v/>
      </c>
      <c r="O191" s="103" t="str">
        <f t="shared" si="41"/>
        <v/>
      </c>
      <c r="P191" s="53">
        <v>0</v>
      </c>
      <c r="Q191" s="102" t="str">
        <f t="shared" si="42"/>
        <v/>
      </c>
      <c r="R191" s="103" t="str">
        <f t="shared" si="43"/>
        <v/>
      </c>
      <c r="S191" s="53">
        <v>0</v>
      </c>
      <c r="T191" s="102" t="str">
        <f t="shared" si="44"/>
        <v/>
      </c>
      <c r="U191" s="103" t="str">
        <f t="shared" si="45"/>
        <v/>
      </c>
      <c r="V191" s="53">
        <v>0</v>
      </c>
      <c r="W191" s="87" t="str">
        <f t="shared" si="46"/>
        <v/>
      </c>
      <c r="X191" s="103" t="str">
        <f t="shared" si="47"/>
        <v/>
      </c>
      <c r="Y191" s="53">
        <v>0</v>
      </c>
      <c r="Z191" s="56" t="str">
        <f t="shared" si="48"/>
        <v/>
      </c>
      <c r="AA191" s="56" t="str">
        <f t="shared" si="49"/>
        <v/>
      </c>
      <c r="AB191" s="56" t="str">
        <f t="shared" si="50"/>
        <v/>
      </c>
      <c r="AC191" s="56" t="str">
        <f t="shared" si="51"/>
        <v/>
      </c>
      <c r="AD191" s="56" t="str">
        <f t="shared" si="52"/>
        <v/>
      </c>
      <c r="AE191" s="40"/>
      <c r="AF191" s="40"/>
      <c r="AG191" s="40"/>
      <c r="AH191" s="56" t="str">
        <f t="shared" si="53"/>
        <v/>
      </c>
      <c r="AI191" s="54"/>
      <c r="AJ191" s="54"/>
      <c r="AK191" s="54"/>
      <c r="AL191" s="54"/>
      <c r="AM191" s="54"/>
    </row>
    <row r="192" spans="1:39">
      <c r="A192" s="45" t="str" cm="1">
        <f t="array" ref="A192">IF(H192="PROJECT", CHAR(10) &amp; "- " &amp; _xlfn.TEXTJOIN(CHAR(10) &amp; "- ", TRUE, _xlfn._xlws.FILTER($I$9:$I$1000, ($B$9:$B$1000=B192) * ($H$9:$H$1000="Topic"))), "")</f>
        <v/>
      </c>
      <c r="B192" s="45" t="str">
        <f t="shared" si="37"/>
        <v/>
      </c>
      <c r="C192" s="95"/>
      <c r="D192" s="57"/>
      <c r="E192" s="58"/>
      <c r="F192" s="54"/>
      <c r="G192" s="52"/>
      <c r="H192" s="52"/>
      <c r="I192" s="61"/>
      <c r="J192" s="62"/>
      <c r="K192" s="129" t="str">
        <f t="shared" si="38"/>
        <v/>
      </c>
      <c r="L192" s="103" t="str">
        <f t="shared" si="39"/>
        <v/>
      </c>
      <c r="M192" s="52">
        <v>0</v>
      </c>
      <c r="N192" s="102" t="str">
        <f t="shared" si="40"/>
        <v/>
      </c>
      <c r="O192" s="103" t="str">
        <f t="shared" si="41"/>
        <v/>
      </c>
      <c r="P192" s="52">
        <v>0</v>
      </c>
      <c r="Q192" s="102" t="str">
        <f t="shared" si="42"/>
        <v/>
      </c>
      <c r="R192" s="103" t="str">
        <f t="shared" si="43"/>
        <v/>
      </c>
      <c r="S192" s="52">
        <v>0</v>
      </c>
      <c r="T192" s="102" t="str">
        <f t="shared" si="44"/>
        <v/>
      </c>
      <c r="U192" s="103" t="str">
        <f t="shared" si="45"/>
        <v/>
      </c>
      <c r="V192" s="52">
        <v>0</v>
      </c>
      <c r="W192" s="87" t="str">
        <f t="shared" si="46"/>
        <v/>
      </c>
      <c r="X192" s="103" t="str">
        <f t="shared" si="47"/>
        <v/>
      </c>
      <c r="Y192" s="52">
        <v>0</v>
      </c>
      <c r="Z192" s="56" t="str">
        <f t="shared" si="48"/>
        <v/>
      </c>
      <c r="AA192" s="56" t="str">
        <f t="shared" si="49"/>
        <v/>
      </c>
      <c r="AB192" s="56" t="str">
        <f t="shared" si="50"/>
        <v/>
      </c>
      <c r="AC192" s="56" t="str">
        <f t="shared" si="51"/>
        <v/>
      </c>
      <c r="AD192" s="56" t="str">
        <f t="shared" si="52"/>
        <v/>
      </c>
      <c r="AE192" s="40"/>
      <c r="AF192" s="40"/>
      <c r="AG192" s="40"/>
      <c r="AH192" s="56" t="str">
        <f t="shared" si="53"/>
        <v/>
      </c>
      <c r="AI192" s="54"/>
      <c r="AJ192" s="54"/>
      <c r="AK192" s="54"/>
      <c r="AL192" s="54"/>
      <c r="AM192" s="54"/>
    </row>
    <row r="193" spans="1:39">
      <c r="A193" s="45" t="str" cm="1">
        <f t="array" ref="A193">IF(H193="PROJECT", CHAR(10) &amp; "- " &amp; _xlfn.TEXTJOIN(CHAR(10) &amp; "- ", TRUE, _xlfn._xlws.FILTER($I$9:$I$1000, ($B$9:$B$1000=B193) * ($H$9:$H$1000="Topic"))), "")</f>
        <v/>
      </c>
      <c r="B193" s="45" t="str">
        <f t="shared" si="37"/>
        <v/>
      </c>
      <c r="C193" s="95"/>
      <c r="D193" s="46"/>
      <c r="E193" s="58"/>
      <c r="F193" s="67"/>
      <c r="G193" s="53"/>
      <c r="H193" s="53"/>
      <c r="I193" s="50"/>
      <c r="J193" s="51"/>
      <c r="K193" s="129" t="str">
        <f t="shared" si="38"/>
        <v/>
      </c>
      <c r="L193" s="103" t="str">
        <f t="shared" si="39"/>
        <v/>
      </c>
      <c r="M193" s="53">
        <v>0</v>
      </c>
      <c r="N193" s="102" t="str">
        <f t="shared" si="40"/>
        <v/>
      </c>
      <c r="O193" s="103" t="str">
        <f t="shared" si="41"/>
        <v/>
      </c>
      <c r="P193" s="53">
        <v>0</v>
      </c>
      <c r="Q193" s="102" t="str">
        <f t="shared" si="42"/>
        <v/>
      </c>
      <c r="R193" s="103" t="str">
        <f t="shared" si="43"/>
        <v/>
      </c>
      <c r="S193" s="53">
        <v>0</v>
      </c>
      <c r="T193" s="102" t="str">
        <f t="shared" si="44"/>
        <v/>
      </c>
      <c r="U193" s="103" t="str">
        <f t="shared" si="45"/>
        <v/>
      </c>
      <c r="V193" s="53">
        <v>0</v>
      </c>
      <c r="W193" s="87" t="str">
        <f t="shared" si="46"/>
        <v/>
      </c>
      <c r="X193" s="103" t="str">
        <f t="shared" si="47"/>
        <v/>
      </c>
      <c r="Y193" s="53">
        <v>0</v>
      </c>
      <c r="Z193" s="56" t="str">
        <f t="shared" si="48"/>
        <v/>
      </c>
      <c r="AA193" s="56" t="str">
        <f t="shared" si="49"/>
        <v/>
      </c>
      <c r="AB193" s="56" t="str">
        <f t="shared" si="50"/>
        <v/>
      </c>
      <c r="AC193" s="56" t="str">
        <f t="shared" si="51"/>
        <v/>
      </c>
      <c r="AD193" s="56" t="str">
        <f t="shared" si="52"/>
        <v/>
      </c>
      <c r="AE193" s="40"/>
      <c r="AF193" s="40"/>
      <c r="AG193" s="40"/>
      <c r="AH193" s="56" t="str">
        <f t="shared" si="53"/>
        <v/>
      </c>
      <c r="AI193" s="54"/>
      <c r="AJ193" s="54"/>
      <c r="AK193" s="54"/>
      <c r="AL193" s="54"/>
      <c r="AM193" s="54"/>
    </row>
    <row r="194" spans="1:39">
      <c r="A194" s="45" t="str" cm="1">
        <f t="array" ref="A194">IF(H194="PROJECT", CHAR(10) &amp; "- " &amp; _xlfn.TEXTJOIN(CHAR(10) &amp; "- ", TRUE, _xlfn._xlws.FILTER($I$9:$I$1000, ($B$9:$B$1000=B194) * ($H$9:$H$1000="Topic"))), "")</f>
        <v/>
      </c>
      <c r="B194" s="45" t="str">
        <f t="shared" si="37"/>
        <v/>
      </c>
      <c r="C194" s="95"/>
      <c r="D194" s="57"/>
      <c r="E194" s="58"/>
      <c r="F194" s="54"/>
      <c r="G194" s="52"/>
      <c r="H194" s="52"/>
      <c r="I194" s="61"/>
      <c r="J194" s="62"/>
      <c r="K194" s="129" t="str">
        <f t="shared" si="38"/>
        <v/>
      </c>
      <c r="L194" s="103" t="str">
        <f t="shared" si="39"/>
        <v/>
      </c>
      <c r="M194" s="52">
        <v>0</v>
      </c>
      <c r="N194" s="102" t="str">
        <f t="shared" si="40"/>
        <v/>
      </c>
      <c r="O194" s="103" t="str">
        <f t="shared" si="41"/>
        <v/>
      </c>
      <c r="P194" s="52">
        <v>0</v>
      </c>
      <c r="Q194" s="102" t="str">
        <f t="shared" si="42"/>
        <v/>
      </c>
      <c r="R194" s="103" t="str">
        <f t="shared" si="43"/>
        <v/>
      </c>
      <c r="S194" s="52">
        <v>0</v>
      </c>
      <c r="T194" s="102" t="str">
        <f t="shared" si="44"/>
        <v/>
      </c>
      <c r="U194" s="103" t="str">
        <f t="shared" si="45"/>
        <v/>
      </c>
      <c r="V194" s="52">
        <v>0</v>
      </c>
      <c r="W194" s="87" t="str">
        <f t="shared" si="46"/>
        <v/>
      </c>
      <c r="X194" s="103" t="str">
        <f t="shared" si="47"/>
        <v/>
      </c>
      <c r="Y194" s="52">
        <v>0</v>
      </c>
      <c r="Z194" s="56" t="str">
        <f t="shared" si="48"/>
        <v/>
      </c>
      <c r="AA194" s="56" t="str">
        <f t="shared" si="49"/>
        <v/>
      </c>
      <c r="AB194" s="56" t="str">
        <f t="shared" si="50"/>
        <v/>
      </c>
      <c r="AC194" s="56" t="str">
        <f t="shared" si="51"/>
        <v/>
      </c>
      <c r="AD194" s="56" t="str">
        <f t="shared" si="52"/>
        <v/>
      </c>
      <c r="AE194" s="40"/>
      <c r="AF194" s="40"/>
      <c r="AG194" s="40"/>
      <c r="AH194" s="56" t="str">
        <f t="shared" si="53"/>
        <v/>
      </c>
      <c r="AI194" s="54"/>
      <c r="AJ194" s="54"/>
      <c r="AK194" s="54"/>
      <c r="AL194" s="54"/>
      <c r="AM194" s="54"/>
    </row>
    <row r="195" spans="1:39">
      <c r="A195" s="45" t="str" cm="1">
        <f t="array" ref="A195">IF(H195="PROJECT", CHAR(10) &amp; "- " &amp; _xlfn.TEXTJOIN(CHAR(10) &amp; "- ", TRUE, _xlfn._xlws.FILTER($I$9:$I$1000, ($B$9:$B$1000=B195) * ($H$9:$H$1000="Topic"))), "")</f>
        <v/>
      </c>
      <c r="B195" s="45" t="str">
        <f t="shared" si="37"/>
        <v/>
      </c>
      <c r="C195" s="95"/>
      <c r="D195" s="46"/>
      <c r="E195" s="58"/>
      <c r="F195" s="67"/>
      <c r="G195" s="53"/>
      <c r="H195" s="53"/>
      <c r="I195" s="50"/>
      <c r="J195" s="51"/>
      <c r="K195" s="129" t="str">
        <f t="shared" si="38"/>
        <v/>
      </c>
      <c r="L195" s="103" t="str">
        <f t="shared" si="39"/>
        <v/>
      </c>
      <c r="M195" s="53">
        <v>0</v>
      </c>
      <c r="N195" s="102" t="str">
        <f t="shared" si="40"/>
        <v/>
      </c>
      <c r="O195" s="103" t="str">
        <f t="shared" si="41"/>
        <v/>
      </c>
      <c r="P195" s="53">
        <v>0</v>
      </c>
      <c r="Q195" s="102" t="str">
        <f t="shared" si="42"/>
        <v/>
      </c>
      <c r="R195" s="103" t="str">
        <f t="shared" si="43"/>
        <v/>
      </c>
      <c r="S195" s="53">
        <v>0</v>
      </c>
      <c r="T195" s="102" t="str">
        <f t="shared" si="44"/>
        <v/>
      </c>
      <c r="U195" s="103" t="str">
        <f t="shared" si="45"/>
        <v/>
      </c>
      <c r="V195" s="53">
        <v>0</v>
      </c>
      <c r="W195" s="87" t="str">
        <f t="shared" si="46"/>
        <v/>
      </c>
      <c r="X195" s="103" t="str">
        <f t="shared" si="47"/>
        <v/>
      </c>
      <c r="Y195" s="53">
        <v>0</v>
      </c>
      <c r="Z195" s="56" t="str">
        <f t="shared" si="48"/>
        <v/>
      </c>
      <c r="AA195" s="56" t="str">
        <f t="shared" si="49"/>
        <v/>
      </c>
      <c r="AB195" s="56" t="str">
        <f t="shared" si="50"/>
        <v/>
      </c>
      <c r="AC195" s="56" t="str">
        <f t="shared" si="51"/>
        <v/>
      </c>
      <c r="AD195" s="56" t="str">
        <f t="shared" si="52"/>
        <v/>
      </c>
      <c r="AE195" s="40"/>
      <c r="AF195" s="40"/>
      <c r="AG195" s="40"/>
      <c r="AH195" s="56" t="str">
        <f t="shared" si="53"/>
        <v/>
      </c>
      <c r="AI195" s="54"/>
      <c r="AJ195" s="54"/>
      <c r="AK195" s="54"/>
      <c r="AL195" s="54"/>
      <c r="AM195" s="54"/>
    </row>
    <row r="196" spans="1:39">
      <c r="A196" s="45" t="str" cm="1">
        <f t="array" ref="A196">IF(H196="PROJECT", CHAR(10) &amp; "- " &amp; _xlfn.TEXTJOIN(CHAR(10) &amp; "- ", TRUE, _xlfn._xlws.FILTER($I$9:$I$1000, ($B$9:$B$1000=B196) * ($H$9:$H$1000="Topic"))), "")</f>
        <v/>
      </c>
      <c r="B196" s="45" t="str">
        <f t="shared" si="37"/>
        <v/>
      </c>
      <c r="C196" s="95"/>
      <c r="D196" s="57"/>
      <c r="E196" s="58"/>
      <c r="F196" s="54"/>
      <c r="G196" s="52"/>
      <c r="H196" s="52"/>
      <c r="I196" s="61"/>
      <c r="J196" s="62"/>
      <c r="K196" s="129" t="str">
        <f t="shared" si="38"/>
        <v/>
      </c>
      <c r="L196" s="103" t="str">
        <f t="shared" si="39"/>
        <v/>
      </c>
      <c r="M196" s="52">
        <v>0</v>
      </c>
      <c r="N196" s="102" t="str">
        <f t="shared" si="40"/>
        <v/>
      </c>
      <c r="O196" s="103" t="str">
        <f t="shared" si="41"/>
        <v/>
      </c>
      <c r="P196" s="52">
        <v>0</v>
      </c>
      <c r="Q196" s="102" t="str">
        <f t="shared" si="42"/>
        <v/>
      </c>
      <c r="R196" s="103" t="str">
        <f t="shared" si="43"/>
        <v/>
      </c>
      <c r="S196" s="52">
        <v>0</v>
      </c>
      <c r="T196" s="102" t="str">
        <f t="shared" si="44"/>
        <v/>
      </c>
      <c r="U196" s="103" t="str">
        <f t="shared" si="45"/>
        <v/>
      </c>
      <c r="V196" s="52">
        <v>0</v>
      </c>
      <c r="W196" s="87" t="str">
        <f t="shared" si="46"/>
        <v/>
      </c>
      <c r="X196" s="103" t="str">
        <f t="shared" si="47"/>
        <v/>
      </c>
      <c r="Y196" s="52">
        <v>0</v>
      </c>
      <c r="Z196" s="56" t="str">
        <f t="shared" si="48"/>
        <v/>
      </c>
      <c r="AA196" s="56" t="str">
        <f t="shared" si="49"/>
        <v/>
      </c>
      <c r="AB196" s="56" t="str">
        <f t="shared" si="50"/>
        <v/>
      </c>
      <c r="AC196" s="56" t="str">
        <f t="shared" si="51"/>
        <v/>
      </c>
      <c r="AD196" s="56" t="str">
        <f t="shared" si="52"/>
        <v/>
      </c>
      <c r="AE196" s="40"/>
      <c r="AF196" s="40"/>
      <c r="AG196" s="40"/>
      <c r="AH196" s="56" t="str">
        <f t="shared" si="53"/>
        <v/>
      </c>
      <c r="AI196" s="54"/>
      <c r="AJ196" s="54"/>
      <c r="AK196" s="54"/>
      <c r="AL196" s="54"/>
      <c r="AM196" s="54"/>
    </row>
    <row r="197" spans="1:39">
      <c r="A197" s="45" t="str" cm="1">
        <f t="array" ref="A197">IF(H197="PROJECT", CHAR(10) &amp; "- " &amp; _xlfn.TEXTJOIN(CHAR(10) &amp; "- ", TRUE, _xlfn._xlws.FILTER($I$9:$I$1000, ($B$9:$B$1000=B197) * ($H$9:$H$1000="Topic"))), "")</f>
        <v/>
      </c>
      <c r="B197" s="45" t="str">
        <f t="shared" si="37"/>
        <v/>
      </c>
      <c r="C197" s="95"/>
      <c r="D197" s="46"/>
      <c r="E197" s="58"/>
      <c r="F197" s="67"/>
      <c r="G197" s="53"/>
      <c r="H197" s="53"/>
      <c r="I197" s="50"/>
      <c r="J197" s="51"/>
      <c r="K197" s="129" t="str">
        <f t="shared" si="38"/>
        <v/>
      </c>
      <c r="L197" s="103" t="str">
        <f t="shared" si="39"/>
        <v/>
      </c>
      <c r="M197" s="53">
        <v>0</v>
      </c>
      <c r="N197" s="102" t="str">
        <f t="shared" si="40"/>
        <v/>
      </c>
      <c r="O197" s="103" t="str">
        <f t="shared" si="41"/>
        <v/>
      </c>
      <c r="P197" s="53">
        <v>0</v>
      </c>
      <c r="Q197" s="102" t="str">
        <f t="shared" si="42"/>
        <v/>
      </c>
      <c r="R197" s="103" t="str">
        <f t="shared" si="43"/>
        <v/>
      </c>
      <c r="S197" s="53">
        <v>0</v>
      </c>
      <c r="T197" s="102" t="str">
        <f t="shared" si="44"/>
        <v/>
      </c>
      <c r="U197" s="103" t="str">
        <f t="shared" si="45"/>
        <v/>
      </c>
      <c r="V197" s="53">
        <v>0</v>
      </c>
      <c r="W197" s="87" t="str">
        <f t="shared" si="46"/>
        <v/>
      </c>
      <c r="X197" s="103" t="str">
        <f t="shared" si="47"/>
        <v/>
      </c>
      <c r="Y197" s="53">
        <v>0</v>
      </c>
      <c r="Z197" s="56" t="str">
        <f t="shared" si="48"/>
        <v/>
      </c>
      <c r="AA197" s="56" t="str">
        <f t="shared" si="49"/>
        <v/>
      </c>
      <c r="AB197" s="56" t="str">
        <f t="shared" si="50"/>
        <v/>
      </c>
      <c r="AC197" s="56" t="str">
        <f t="shared" si="51"/>
        <v/>
      </c>
      <c r="AD197" s="56" t="str">
        <f t="shared" si="52"/>
        <v/>
      </c>
      <c r="AE197" s="40"/>
      <c r="AF197" s="40"/>
      <c r="AG197" s="40"/>
      <c r="AH197" s="56" t="str">
        <f t="shared" si="53"/>
        <v/>
      </c>
      <c r="AI197" s="54"/>
      <c r="AJ197" s="54"/>
      <c r="AK197" s="54"/>
      <c r="AL197" s="54"/>
      <c r="AM197" s="54"/>
    </row>
    <row r="198" spans="1:39">
      <c r="A198" s="45" t="str" cm="1">
        <f t="array" ref="A198">IF(H198="PROJECT", CHAR(10) &amp; "- " &amp; _xlfn.TEXTJOIN(CHAR(10) &amp; "- ", TRUE, _xlfn._xlws.FILTER($I$9:$I$1000, ($B$9:$B$1000=B198) * ($H$9:$H$1000="Topic"))), "")</f>
        <v/>
      </c>
      <c r="B198" s="45" t="str">
        <f t="shared" si="37"/>
        <v/>
      </c>
      <c r="C198" s="95"/>
      <c r="D198" s="57"/>
      <c r="E198" s="58"/>
      <c r="F198" s="54"/>
      <c r="G198" s="52"/>
      <c r="H198" s="52"/>
      <c r="I198" s="61"/>
      <c r="J198" s="62"/>
      <c r="K198" s="129" t="str">
        <f t="shared" si="38"/>
        <v/>
      </c>
      <c r="L198" s="103" t="str">
        <f t="shared" si="39"/>
        <v/>
      </c>
      <c r="M198" s="52">
        <v>0</v>
      </c>
      <c r="N198" s="102" t="str">
        <f t="shared" si="40"/>
        <v/>
      </c>
      <c r="O198" s="103" t="str">
        <f t="shared" si="41"/>
        <v/>
      </c>
      <c r="P198" s="52">
        <v>0</v>
      </c>
      <c r="Q198" s="102" t="str">
        <f t="shared" si="42"/>
        <v/>
      </c>
      <c r="R198" s="103" t="str">
        <f t="shared" si="43"/>
        <v/>
      </c>
      <c r="S198" s="52">
        <v>0</v>
      </c>
      <c r="T198" s="102" t="str">
        <f t="shared" si="44"/>
        <v/>
      </c>
      <c r="U198" s="103" t="str">
        <f t="shared" si="45"/>
        <v/>
      </c>
      <c r="V198" s="52">
        <v>0</v>
      </c>
      <c r="W198" s="87" t="str">
        <f t="shared" si="46"/>
        <v/>
      </c>
      <c r="X198" s="103" t="str">
        <f t="shared" si="47"/>
        <v/>
      </c>
      <c r="Y198" s="52">
        <v>0</v>
      </c>
      <c r="Z198" s="56" t="str">
        <f t="shared" si="48"/>
        <v/>
      </c>
      <c r="AA198" s="56" t="str">
        <f t="shared" si="49"/>
        <v/>
      </c>
      <c r="AB198" s="56" t="str">
        <f t="shared" si="50"/>
        <v/>
      </c>
      <c r="AC198" s="56" t="str">
        <f t="shared" si="51"/>
        <v/>
      </c>
      <c r="AD198" s="56" t="str">
        <f t="shared" si="52"/>
        <v/>
      </c>
      <c r="AE198" s="40"/>
      <c r="AF198" s="40"/>
      <c r="AG198" s="40"/>
      <c r="AH198" s="56" t="str">
        <f t="shared" si="53"/>
        <v/>
      </c>
      <c r="AI198" s="54"/>
      <c r="AJ198" s="54"/>
      <c r="AK198" s="54"/>
      <c r="AL198" s="54"/>
      <c r="AM198" s="54"/>
    </row>
    <row r="199" spans="1:39">
      <c r="A199" s="45" t="str" cm="1">
        <f t="array" ref="A199">IF(H199="PROJECT", CHAR(10) &amp; "- " &amp; _xlfn.TEXTJOIN(CHAR(10) &amp; "- ", TRUE, _xlfn._xlws.FILTER($I$9:$I$1000, ($B$9:$B$1000=B199) * ($H$9:$H$1000="Topic"))), "")</f>
        <v/>
      </c>
      <c r="B199" s="45" t="str">
        <f t="shared" si="37"/>
        <v/>
      </c>
      <c r="C199" s="95"/>
      <c r="D199" s="46"/>
      <c r="E199" s="58"/>
      <c r="F199" s="67"/>
      <c r="G199" s="53"/>
      <c r="H199" s="53"/>
      <c r="I199" s="50"/>
      <c r="J199" s="51"/>
      <c r="K199" s="129" t="str">
        <f t="shared" si="38"/>
        <v/>
      </c>
      <c r="L199" s="103" t="str">
        <f t="shared" si="39"/>
        <v/>
      </c>
      <c r="M199" s="53">
        <v>0</v>
      </c>
      <c r="N199" s="102" t="str">
        <f t="shared" si="40"/>
        <v/>
      </c>
      <c r="O199" s="103" t="str">
        <f t="shared" si="41"/>
        <v/>
      </c>
      <c r="P199" s="53">
        <v>0</v>
      </c>
      <c r="Q199" s="102" t="str">
        <f t="shared" si="42"/>
        <v/>
      </c>
      <c r="R199" s="103" t="str">
        <f t="shared" si="43"/>
        <v/>
      </c>
      <c r="S199" s="53">
        <v>0</v>
      </c>
      <c r="T199" s="102" t="str">
        <f t="shared" si="44"/>
        <v/>
      </c>
      <c r="U199" s="103" t="str">
        <f t="shared" si="45"/>
        <v/>
      </c>
      <c r="V199" s="53">
        <v>0</v>
      </c>
      <c r="W199" s="87" t="str">
        <f t="shared" si="46"/>
        <v/>
      </c>
      <c r="X199" s="103" t="str">
        <f t="shared" si="47"/>
        <v/>
      </c>
      <c r="Y199" s="53">
        <v>0</v>
      </c>
      <c r="Z199" s="56" t="str">
        <f t="shared" si="48"/>
        <v/>
      </c>
      <c r="AA199" s="56" t="str">
        <f t="shared" si="49"/>
        <v/>
      </c>
      <c r="AB199" s="56" t="str">
        <f t="shared" si="50"/>
        <v/>
      </c>
      <c r="AC199" s="56" t="str">
        <f t="shared" si="51"/>
        <v/>
      </c>
      <c r="AD199" s="56" t="str">
        <f t="shared" si="52"/>
        <v/>
      </c>
      <c r="AE199" s="40"/>
      <c r="AF199" s="40"/>
      <c r="AG199" s="40"/>
      <c r="AH199" s="56" t="str">
        <f t="shared" si="53"/>
        <v/>
      </c>
      <c r="AI199" s="54"/>
      <c r="AJ199" s="54"/>
      <c r="AK199" s="54"/>
      <c r="AL199" s="54"/>
      <c r="AM199" s="54"/>
    </row>
    <row r="200" spans="1:39">
      <c r="A200" s="45" t="str" cm="1">
        <f t="array" ref="A200">IF(H200="PROJECT", CHAR(10) &amp; "- " &amp; _xlfn.TEXTJOIN(CHAR(10) &amp; "- ", TRUE, _xlfn._xlws.FILTER($I$9:$I$1000, ($B$9:$B$1000=B200) * ($H$9:$H$1000="Topic"))), "")</f>
        <v/>
      </c>
      <c r="B200" s="45" t="str">
        <f t="shared" si="37"/>
        <v/>
      </c>
      <c r="C200" s="95"/>
      <c r="D200" s="68"/>
      <c r="E200" s="58"/>
      <c r="F200" s="54"/>
      <c r="G200" s="69"/>
      <c r="H200" s="69"/>
      <c r="I200" s="70"/>
      <c r="J200" s="71"/>
      <c r="K200" s="129" t="str">
        <f t="shared" si="38"/>
        <v/>
      </c>
      <c r="L200" s="103" t="str">
        <f t="shared" si="39"/>
        <v/>
      </c>
      <c r="M200" s="69">
        <v>0</v>
      </c>
      <c r="N200" s="102" t="str">
        <f t="shared" si="40"/>
        <v/>
      </c>
      <c r="O200" s="103" t="str">
        <f t="shared" si="41"/>
        <v/>
      </c>
      <c r="P200" s="69">
        <v>0</v>
      </c>
      <c r="Q200" s="102" t="str">
        <f t="shared" si="42"/>
        <v/>
      </c>
      <c r="R200" s="103" t="str">
        <f t="shared" si="43"/>
        <v/>
      </c>
      <c r="S200" s="69">
        <v>0</v>
      </c>
      <c r="T200" s="102" t="str">
        <f t="shared" si="44"/>
        <v/>
      </c>
      <c r="U200" s="103" t="str">
        <f t="shared" si="45"/>
        <v/>
      </c>
      <c r="V200" s="69">
        <v>0</v>
      </c>
      <c r="W200" s="87" t="str">
        <f t="shared" si="46"/>
        <v/>
      </c>
      <c r="X200" s="103" t="str">
        <f t="shared" si="47"/>
        <v/>
      </c>
      <c r="Y200" s="69">
        <v>0</v>
      </c>
      <c r="Z200" s="56" t="str">
        <f t="shared" si="48"/>
        <v/>
      </c>
      <c r="AA200" s="56" t="str">
        <f t="shared" si="49"/>
        <v/>
      </c>
      <c r="AB200" s="56" t="str">
        <f t="shared" si="50"/>
        <v/>
      </c>
      <c r="AC200" s="56" t="str">
        <f t="shared" si="51"/>
        <v/>
      </c>
      <c r="AD200" s="56" t="str">
        <f t="shared" si="52"/>
        <v/>
      </c>
      <c r="AE200" s="40"/>
      <c r="AF200" s="40"/>
      <c r="AG200" s="40"/>
      <c r="AH200" s="56" t="str">
        <f t="shared" si="53"/>
        <v/>
      </c>
      <c r="AI200" s="54"/>
      <c r="AJ200" s="54"/>
      <c r="AK200" s="54"/>
      <c r="AL200" s="54"/>
      <c r="AM200" s="54"/>
    </row>
    <row r="201" spans="1:39">
      <c r="D201" s="72"/>
      <c r="F201" s="72"/>
      <c r="G201" s="72"/>
      <c r="H201" s="72"/>
      <c r="I201" s="72"/>
      <c r="J201" s="72"/>
      <c r="K201" s="72"/>
      <c r="L201" s="72"/>
      <c r="M201" s="72"/>
      <c r="N201" s="72"/>
      <c r="O201" s="72"/>
      <c r="P201" s="72"/>
      <c r="Q201" s="72"/>
      <c r="R201" s="72"/>
      <c r="S201" s="72"/>
      <c r="T201" s="72"/>
      <c r="U201" s="72"/>
      <c r="V201" s="72"/>
      <c r="W201" s="72"/>
      <c r="X201" s="72"/>
      <c r="Y201" s="72"/>
      <c r="Z201" s="72"/>
      <c r="AA201" s="72"/>
      <c r="AB201" s="72"/>
      <c r="AC201" s="72"/>
      <c r="AD201" s="72"/>
      <c r="AE201" s="72"/>
      <c r="AF201" s="72"/>
      <c r="AG201" s="72"/>
    </row>
    <row r="202" spans="1:39">
      <c r="D202" s="72"/>
      <c r="F202" s="72"/>
      <c r="G202" s="72"/>
      <c r="H202" s="72"/>
      <c r="I202" s="72"/>
      <c r="J202" s="72"/>
      <c r="K202" s="72"/>
      <c r="L202" s="72"/>
      <c r="M202" s="72"/>
      <c r="N202" s="72"/>
      <c r="O202" s="72"/>
      <c r="P202" s="72"/>
      <c r="Q202" s="72"/>
      <c r="R202" s="72"/>
      <c r="S202" s="72"/>
      <c r="T202" s="72"/>
      <c r="U202" s="72"/>
      <c r="V202" s="72"/>
      <c r="W202" s="72"/>
      <c r="X202" s="72"/>
      <c r="Y202" s="72"/>
      <c r="Z202" s="72"/>
      <c r="AA202" s="72"/>
      <c r="AB202" s="72"/>
      <c r="AC202" s="72"/>
      <c r="AD202" s="72"/>
      <c r="AE202" s="72"/>
      <c r="AF202" s="72"/>
      <c r="AG202" s="72"/>
    </row>
    <row r="203" spans="1:39">
      <c r="D203" s="72"/>
      <c r="F203" s="72"/>
      <c r="G203" s="72"/>
      <c r="H203" s="72"/>
      <c r="I203" s="72"/>
      <c r="J203" s="72"/>
      <c r="K203" s="72"/>
      <c r="L203" s="72"/>
      <c r="M203" s="72"/>
      <c r="N203" s="72"/>
      <c r="O203" s="72"/>
      <c r="P203" s="72"/>
      <c r="Q203" s="72"/>
      <c r="R203" s="72"/>
      <c r="S203" s="72"/>
      <c r="T203" s="72"/>
      <c r="U203" s="72"/>
      <c r="V203" s="72"/>
      <c r="W203" s="72"/>
      <c r="X203" s="72"/>
      <c r="Y203" s="72"/>
      <c r="Z203" s="72"/>
      <c r="AA203" s="72"/>
      <c r="AB203" s="72"/>
      <c r="AC203" s="72"/>
      <c r="AD203" s="72"/>
      <c r="AE203" s="72"/>
      <c r="AF203" s="72"/>
      <c r="AG203" s="72"/>
    </row>
    <row r="204" spans="1:39">
      <c r="D204" s="72"/>
      <c r="F204" s="72"/>
      <c r="G204" s="72"/>
      <c r="H204" s="72"/>
      <c r="I204" s="72"/>
      <c r="J204" s="72"/>
      <c r="K204" s="72"/>
      <c r="L204" s="72"/>
      <c r="M204" s="72"/>
      <c r="N204" s="72"/>
      <c r="O204" s="72"/>
      <c r="P204" s="72"/>
      <c r="Q204" s="72"/>
      <c r="R204" s="72"/>
      <c r="S204" s="72"/>
      <c r="T204" s="72"/>
      <c r="U204" s="72"/>
      <c r="V204" s="72"/>
      <c r="W204" s="72"/>
      <c r="X204" s="72"/>
      <c r="Y204" s="72"/>
      <c r="Z204" s="72"/>
      <c r="AA204" s="72"/>
      <c r="AB204" s="72"/>
      <c r="AC204" s="72"/>
      <c r="AD204" s="72"/>
      <c r="AE204" s="72"/>
      <c r="AF204" s="72"/>
      <c r="AG204" s="72"/>
    </row>
    <row r="205" spans="1:39">
      <c r="D205" s="72"/>
      <c r="F205" s="72"/>
      <c r="G205" s="72"/>
      <c r="H205" s="72"/>
      <c r="I205" s="72"/>
      <c r="J205" s="72"/>
      <c r="K205" s="72"/>
      <c r="L205" s="72"/>
      <c r="M205" s="72"/>
      <c r="N205" s="72"/>
      <c r="O205" s="72"/>
      <c r="P205" s="72"/>
      <c r="Q205" s="72"/>
      <c r="R205" s="72"/>
      <c r="S205" s="72"/>
      <c r="T205" s="72"/>
      <c r="U205" s="72"/>
      <c r="V205" s="72"/>
      <c r="W205" s="72"/>
      <c r="X205" s="72"/>
      <c r="Y205" s="72"/>
      <c r="Z205" s="72"/>
      <c r="AA205" s="72"/>
      <c r="AB205" s="72"/>
      <c r="AC205" s="72"/>
      <c r="AD205" s="72"/>
      <c r="AE205" s="72"/>
      <c r="AF205" s="72"/>
      <c r="AG205" s="72"/>
    </row>
    <row r="206" spans="1:39">
      <c r="D206" s="72"/>
      <c r="F206" s="72"/>
      <c r="G206" s="72"/>
      <c r="H206" s="72"/>
      <c r="I206" s="72"/>
      <c r="J206" s="72"/>
      <c r="K206" s="72"/>
      <c r="L206" s="72"/>
      <c r="M206" s="72"/>
      <c r="N206" s="72"/>
      <c r="O206" s="72"/>
      <c r="P206" s="72"/>
      <c r="Q206" s="72"/>
      <c r="R206" s="72"/>
      <c r="S206" s="72"/>
      <c r="T206" s="72"/>
      <c r="U206" s="72"/>
      <c r="V206" s="72"/>
      <c r="W206" s="72"/>
      <c r="X206" s="72"/>
      <c r="Y206" s="72"/>
      <c r="Z206" s="72"/>
      <c r="AA206" s="72"/>
      <c r="AB206" s="72"/>
      <c r="AC206" s="72"/>
      <c r="AD206" s="72"/>
      <c r="AE206" s="72"/>
      <c r="AF206" s="72"/>
      <c r="AG206" s="72"/>
    </row>
    <row r="207" spans="1:39">
      <c r="D207" s="72"/>
      <c r="F207" s="72"/>
      <c r="G207" s="72"/>
      <c r="H207" s="72"/>
      <c r="I207" s="72"/>
      <c r="J207" s="72"/>
      <c r="K207" s="72"/>
      <c r="L207" s="72"/>
      <c r="M207" s="72"/>
      <c r="N207" s="72"/>
      <c r="O207" s="72"/>
      <c r="P207" s="72"/>
      <c r="Q207" s="72"/>
      <c r="R207" s="72"/>
      <c r="S207" s="72"/>
      <c r="T207" s="72"/>
      <c r="U207" s="72"/>
      <c r="V207" s="72"/>
      <c r="W207" s="72"/>
      <c r="X207" s="72"/>
      <c r="Y207" s="72"/>
      <c r="Z207" s="72"/>
      <c r="AA207" s="72"/>
      <c r="AB207" s="72"/>
      <c r="AC207" s="72"/>
      <c r="AD207" s="72"/>
      <c r="AE207" s="72"/>
      <c r="AF207" s="72"/>
      <c r="AG207" s="72"/>
    </row>
    <row r="208" spans="1:39">
      <c r="D208" s="72"/>
      <c r="F208" s="72"/>
      <c r="G208" s="72"/>
      <c r="H208" s="72"/>
      <c r="I208" s="72"/>
      <c r="J208" s="72"/>
      <c r="K208" s="72"/>
      <c r="L208" s="72"/>
      <c r="M208" s="72"/>
      <c r="N208" s="72"/>
      <c r="O208" s="72"/>
      <c r="P208" s="72"/>
      <c r="Q208" s="72"/>
      <c r="R208" s="72"/>
      <c r="S208" s="72"/>
      <c r="T208" s="72"/>
      <c r="U208" s="72"/>
      <c r="V208" s="72"/>
      <c r="W208" s="72"/>
      <c r="X208" s="72"/>
      <c r="Y208" s="72"/>
      <c r="Z208" s="72"/>
      <c r="AA208" s="72"/>
      <c r="AB208" s="72"/>
      <c r="AC208" s="72"/>
      <c r="AD208" s="72"/>
      <c r="AE208" s="72"/>
      <c r="AF208" s="72"/>
      <c r="AG208" s="72"/>
    </row>
    <row r="209" spans="4:33">
      <c r="D209" s="72"/>
      <c r="F209" s="72"/>
      <c r="G209" s="72"/>
      <c r="H209" s="72"/>
      <c r="I209" s="72"/>
      <c r="J209" s="72"/>
      <c r="K209" s="72"/>
      <c r="L209" s="72"/>
      <c r="M209" s="72"/>
      <c r="N209" s="72"/>
      <c r="O209" s="72"/>
      <c r="P209" s="72"/>
      <c r="Q209" s="72"/>
      <c r="R209" s="72"/>
      <c r="S209" s="72"/>
      <c r="T209" s="72"/>
      <c r="U209" s="72"/>
      <c r="V209" s="72"/>
      <c r="W209" s="72"/>
      <c r="X209" s="72"/>
      <c r="Y209" s="72"/>
      <c r="Z209" s="72"/>
      <c r="AA209" s="72"/>
      <c r="AB209" s="72"/>
      <c r="AC209" s="72"/>
      <c r="AD209" s="72"/>
      <c r="AE209" s="72"/>
      <c r="AF209" s="72"/>
      <c r="AG209" s="72"/>
    </row>
  </sheetData>
  <mergeCells count="6">
    <mergeCell ref="AK7:AM7"/>
    <mergeCell ref="K2:M2"/>
    <mergeCell ref="N2:P2"/>
    <mergeCell ref="Q2:S2"/>
    <mergeCell ref="T2:V2"/>
    <mergeCell ref="W2:Y2"/>
  </mergeCells>
  <conditionalFormatting sqref="D1:D2 D3:E4 D5:D6 D7:E1048576">
    <cfRule type="cellIs" dxfId="82" priority="17" operator="equal">
      <formula>"No"</formula>
    </cfRule>
  </conditionalFormatting>
  <conditionalFormatting sqref="D9:D200 I9:L200">
    <cfRule type="expression" dxfId="81" priority="18">
      <formula>$H9="PROJECT"</formula>
    </cfRule>
  </conditionalFormatting>
  <conditionalFormatting sqref="G9:G200">
    <cfRule type="cellIs" dxfId="80" priority="24" operator="equal">
      <formula>"Beginner"</formula>
    </cfRule>
    <cfRule type="cellIs" dxfId="79" priority="25" operator="equal">
      <formula>"Intermediate"</formula>
    </cfRule>
    <cfRule type="cellIs" dxfId="78" priority="26" operator="equal">
      <formula>"Advanced"</formula>
    </cfRule>
  </conditionalFormatting>
  <conditionalFormatting sqref="H9:H200">
    <cfRule type="cellIs" dxfId="77" priority="23" operator="equal">
      <formula>"PROJECT"</formula>
    </cfRule>
  </conditionalFormatting>
  <conditionalFormatting sqref="K9:L200">
    <cfRule type="expression" dxfId="76" priority="27">
      <formula>M9=1</formula>
    </cfRule>
    <cfRule type="expression" dxfId="75" priority="28">
      <formula>M9=-1</formula>
    </cfRule>
  </conditionalFormatting>
  <conditionalFormatting sqref="N9:O200">
    <cfRule type="expression" dxfId="74" priority="14">
      <formula>$H9="PROJECT"</formula>
    </cfRule>
    <cfRule type="expression" dxfId="73" priority="15">
      <formula>P9=1</formula>
    </cfRule>
    <cfRule type="expression" dxfId="72" priority="16">
      <formula>P9=-1</formula>
    </cfRule>
  </conditionalFormatting>
  <conditionalFormatting sqref="O41:O200">
    <cfRule type="expression" dxfId="71" priority="30">
      <formula>Q41=1</formula>
    </cfRule>
    <cfRule type="expression" dxfId="70" priority="31">
      <formula>Q41=-1</formula>
    </cfRule>
  </conditionalFormatting>
  <conditionalFormatting sqref="Q9:R200">
    <cfRule type="expression" dxfId="69" priority="11">
      <formula>$H9="PROJECT"</formula>
    </cfRule>
    <cfRule type="expression" dxfId="68" priority="12">
      <formula>S9=1</formula>
    </cfRule>
    <cfRule type="expression" dxfId="67" priority="13">
      <formula>S9=-1</formula>
    </cfRule>
  </conditionalFormatting>
  <conditionalFormatting sqref="T9:U200">
    <cfRule type="expression" dxfId="66" priority="6">
      <formula>$H9="PROJECT"</formula>
    </cfRule>
    <cfRule type="expression" dxfId="65" priority="7">
      <formula>V9=1</formula>
    </cfRule>
    <cfRule type="expression" dxfId="64" priority="8">
      <formula>V9=-1</formula>
    </cfRule>
  </conditionalFormatting>
  <conditionalFormatting sqref="U10:U200">
    <cfRule type="expression" dxfId="63" priority="9">
      <formula>W10=1</formula>
    </cfRule>
    <cfRule type="expression" dxfId="62" priority="10">
      <formula>W10=-1</formula>
    </cfRule>
  </conditionalFormatting>
  <conditionalFormatting sqref="W9:X200">
    <cfRule type="expression" dxfId="61" priority="1">
      <formula>$H9="PROJECT"</formula>
    </cfRule>
    <cfRule type="expression" dxfId="60" priority="2">
      <formula>Y9=1</formula>
    </cfRule>
    <cfRule type="expression" dxfId="59" priority="3">
      <formula>Y9=-1</formula>
    </cfRule>
  </conditionalFormatting>
  <conditionalFormatting sqref="X10:X200">
    <cfRule type="expression" dxfId="58" priority="4">
      <formula>Z10=1</formula>
    </cfRule>
    <cfRule type="expression" dxfId="57" priority="5">
      <formula>Z10=-1</formula>
    </cfRule>
  </conditionalFormatting>
  <pageMargins left="0.7" right="0.7" top="0.75" bottom="0.75" header="0.3" footer="0.3"/>
  <pageSetup orientation="portrait" horizontalDpi="4294967292" verticalDpi="0" r:id="rId1"/>
  <extLst>
    <ext xmlns:x14="http://schemas.microsoft.com/office/spreadsheetml/2009/9/main" uri="{78C0D931-6437-407d-A8EE-F0AAD7539E65}">
      <x14:conditionalFormattings>
        <x14:conditionalFormatting xmlns:xm="http://schemas.microsoft.com/office/excel/2006/main">
          <x14:cfRule type="iconSet" priority="29" id="{2FEE3AD7-75A2-4C8C-AD82-90792546F0BA}">
            <x14:iconSet iconSet="3Symbols" custom="1">
              <x14:cfvo type="percent">
                <xm:f>0</xm:f>
              </x14:cfvo>
              <x14:cfvo type="num">
                <xm:f>0</xm:f>
              </x14:cfvo>
              <x14:cfvo type="num">
                <xm:f>1</xm:f>
              </x14:cfvo>
              <x14:cfIcon iconSet="3Symbols" iconId="1"/>
              <x14:cfIcon iconSet="3Symbols" iconId="0"/>
              <x14:cfIcon iconSet="3Symbols" iconId="2"/>
            </x14:iconSet>
          </x14:cfRule>
          <xm:sqref>M9:M200</xm:sqref>
        </x14:conditionalFormatting>
        <x14:conditionalFormatting xmlns:xm="http://schemas.microsoft.com/office/excel/2006/main">
          <x14:cfRule type="iconSet" priority="22" id="{B7488BBE-D70E-4F1D-85BE-6C9D08F208F3}">
            <x14:iconSet iconSet="3Symbols" custom="1">
              <x14:cfvo type="percent">
                <xm:f>0</xm:f>
              </x14:cfvo>
              <x14:cfvo type="num">
                <xm:f>0</xm:f>
              </x14:cfvo>
              <x14:cfvo type="num">
                <xm:f>1</xm:f>
              </x14:cfvo>
              <x14:cfIcon iconSet="3Symbols" iconId="1"/>
              <x14:cfIcon iconSet="3Symbols" iconId="0"/>
              <x14:cfIcon iconSet="3Symbols" iconId="2"/>
            </x14:iconSet>
          </x14:cfRule>
          <xm:sqref>P9:P200</xm:sqref>
        </x14:conditionalFormatting>
        <x14:conditionalFormatting xmlns:xm="http://schemas.microsoft.com/office/excel/2006/main">
          <x14:cfRule type="iconSet" priority="21" id="{4BFCED17-17B1-4960-9B24-2860EF943BE1}">
            <x14:iconSet iconSet="3Symbols" custom="1">
              <x14:cfvo type="percent">
                <xm:f>0</xm:f>
              </x14:cfvo>
              <x14:cfvo type="num">
                <xm:f>0</xm:f>
              </x14:cfvo>
              <x14:cfvo type="num">
                <xm:f>1</xm:f>
              </x14:cfvo>
              <x14:cfIcon iconSet="3Symbols" iconId="1"/>
              <x14:cfIcon iconSet="3Symbols" iconId="0"/>
              <x14:cfIcon iconSet="3Symbols" iconId="2"/>
            </x14:iconSet>
          </x14:cfRule>
          <xm:sqref>S9:S200</xm:sqref>
        </x14:conditionalFormatting>
        <x14:conditionalFormatting xmlns:xm="http://schemas.microsoft.com/office/excel/2006/main">
          <x14:cfRule type="iconSet" priority="20" id="{315FC449-DBE3-44EA-8770-3733BE24B105}">
            <x14:iconSet iconSet="3Symbols" custom="1">
              <x14:cfvo type="percent">
                <xm:f>0</xm:f>
              </x14:cfvo>
              <x14:cfvo type="num">
                <xm:f>0</xm:f>
              </x14:cfvo>
              <x14:cfvo type="num">
                <xm:f>1</xm:f>
              </x14:cfvo>
              <x14:cfIcon iconSet="3Symbols" iconId="1"/>
              <x14:cfIcon iconSet="3Symbols" iconId="0"/>
              <x14:cfIcon iconSet="3Symbols" iconId="2"/>
            </x14:iconSet>
          </x14:cfRule>
          <xm:sqref>V9:V200</xm:sqref>
        </x14:conditionalFormatting>
        <x14:conditionalFormatting xmlns:xm="http://schemas.microsoft.com/office/excel/2006/main">
          <x14:cfRule type="iconSet" priority="19" id="{ACD46CE9-0FEE-4DE3-8069-ACD4BD26B0E3}">
            <x14:iconSet iconSet="3Symbols" custom="1">
              <x14:cfvo type="percent">
                <xm:f>0</xm:f>
              </x14:cfvo>
              <x14:cfvo type="num">
                <xm:f>0</xm:f>
              </x14:cfvo>
              <x14:cfvo type="num">
                <xm:f>1</xm:f>
              </x14:cfvo>
              <x14:cfIcon iconSet="3Symbols" iconId="1"/>
              <x14:cfIcon iconSet="3Symbols" iconId="0"/>
              <x14:cfIcon iconSet="3Symbols" iconId="2"/>
            </x14:iconSet>
          </x14:cfRule>
          <xm:sqref>Y9:Y200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531A8-3589-45B0-96FB-9083488683FC}">
  <dimension ref="A1:A47"/>
  <sheetViews>
    <sheetView showGridLines="0" workbookViewId="0">
      <selection activeCell="A9" sqref="A9"/>
    </sheetView>
  </sheetViews>
  <sheetFormatPr defaultRowHeight="15"/>
  <sheetData>
    <row r="1" spans="1:1" ht="31.5">
      <c r="A1" s="131" t="s">
        <v>675</v>
      </c>
    </row>
    <row r="3" spans="1:1">
      <c r="A3" t="s">
        <v>676</v>
      </c>
    </row>
    <row r="5" spans="1:1" ht="18">
      <c r="A5" s="115" t="s">
        <v>677</v>
      </c>
    </row>
    <row r="7" spans="1:1" ht="21">
      <c r="A7" s="132" t="s">
        <v>678</v>
      </c>
    </row>
    <row r="8" spans="1:1">
      <c r="A8" s="116"/>
    </row>
    <row r="9" spans="1:1">
      <c r="A9" s="116" t="s">
        <v>679</v>
      </c>
    </row>
    <row r="10" spans="1:1">
      <c r="A10" s="116" t="s">
        <v>680</v>
      </c>
    </row>
    <row r="11" spans="1:1">
      <c r="A11" s="116" t="s">
        <v>681</v>
      </c>
    </row>
    <row r="12" spans="1:1">
      <c r="A12" s="116" t="s">
        <v>682</v>
      </c>
    </row>
    <row r="13" spans="1:1">
      <c r="A13" s="116" t="s">
        <v>683</v>
      </c>
    </row>
    <row r="15" spans="1:1" ht="21">
      <c r="A15" s="132" t="s">
        <v>684</v>
      </c>
    </row>
    <row r="17" spans="1:1">
      <c r="A17" t="s">
        <v>685</v>
      </c>
    </row>
    <row r="18" spans="1:1">
      <c r="A18" s="116"/>
    </row>
    <row r="19" spans="1:1">
      <c r="A19" s="117" t="s">
        <v>686</v>
      </c>
    </row>
    <row r="20" spans="1:1">
      <c r="A20" s="118" t="s">
        <v>687</v>
      </c>
    </row>
    <row r="21" spans="1:1">
      <c r="A21" s="118" t="s">
        <v>688</v>
      </c>
    </row>
    <row r="22" spans="1:1">
      <c r="A22" s="118" t="s">
        <v>689</v>
      </c>
    </row>
    <row r="23" spans="1:1">
      <c r="A23" s="118" t="s">
        <v>690</v>
      </c>
    </row>
    <row r="24" spans="1:1">
      <c r="A24" s="116"/>
    </row>
    <row r="25" spans="1:1">
      <c r="A25" s="117" t="s">
        <v>691</v>
      </c>
    </row>
    <row r="29" spans="1:1">
      <c r="A29" s="133"/>
    </row>
    <row r="30" spans="1:1">
      <c r="A30" s="134"/>
    </row>
    <row r="31" spans="1:1">
      <c r="A31" s="133"/>
    </row>
    <row r="32" spans="1:1">
      <c r="A32" s="133"/>
    </row>
    <row r="33" spans="1:1">
      <c r="A33" s="134"/>
    </row>
    <row r="34" spans="1:1">
      <c r="A34" s="133"/>
    </row>
    <row r="35" spans="1:1">
      <c r="A35" s="133"/>
    </row>
    <row r="36" spans="1:1" ht="21">
      <c r="A36" s="132" t="s">
        <v>692</v>
      </c>
    </row>
    <row r="38" spans="1:1">
      <c r="A38" t="s">
        <v>693</v>
      </c>
    </row>
    <row r="39" spans="1:1">
      <c r="A39" s="116"/>
    </row>
    <row r="40" spans="1:1">
      <c r="A40" s="116" t="s">
        <v>694</v>
      </c>
    </row>
    <row r="41" spans="1:1">
      <c r="A41" s="116" t="s">
        <v>695</v>
      </c>
    </row>
    <row r="42" spans="1:1">
      <c r="A42" s="116" t="s">
        <v>696</v>
      </c>
    </row>
    <row r="44" spans="1:1" ht="18">
      <c r="A44" s="115" t="s">
        <v>697</v>
      </c>
    </row>
    <row r="45" spans="1:1">
      <c r="A45" s="116"/>
    </row>
    <row r="46" spans="1:1">
      <c r="A46" s="116" t="s">
        <v>698</v>
      </c>
    </row>
    <row r="47" spans="1:1">
      <c r="A47" s="116" t="s">
        <v>699</v>
      </c>
    </row>
  </sheetData>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A426C-0703-4CCF-9307-A257CA10E54B}">
  <sheetPr>
    <tabColor theme="9" tint="-0.499984740745262"/>
  </sheetPr>
  <dimension ref="A1:E57"/>
  <sheetViews>
    <sheetView topLeftCell="A32" workbookViewId="0">
      <selection activeCell="C14" sqref="C14"/>
    </sheetView>
  </sheetViews>
  <sheetFormatPr defaultRowHeight="15"/>
  <cols>
    <col min="3" max="3" width="34.7109375" bestFit="1" customWidth="1"/>
    <col min="4" max="4" width="33.42578125" bestFit="1" customWidth="1"/>
    <col min="5" max="5" width="66.7109375" bestFit="1" customWidth="1"/>
  </cols>
  <sheetData>
    <row r="1" spans="1:5" ht="26.25">
      <c r="C1" s="122" t="s">
        <v>8</v>
      </c>
      <c r="D1" s="123" t="str">
        <f>PromptGenerator!I2</f>
        <v>Elixir OTP</v>
      </c>
    </row>
    <row r="2" spans="1:5" ht="26.25">
      <c r="C2" s="122" t="s">
        <v>266</v>
      </c>
      <c r="D2" s="123" t="str">
        <f>IF(PromptGenerator!I3="","",PromptGenerator!I3)</f>
        <v/>
      </c>
    </row>
    <row r="5" spans="1:5">
      <c r="A5" s="124" t="s">
        <v>636</v>
      </c>
      <c r="B5" s="124" t="s">
        <v>23</v>
      </c>
      <c r="C5" s="124" t="s">
        <v>579</v>
      </c>
      <c r="D5" s="124" t="s">
        <v>614</v>
      </c>
      <c r="E5" s="124" t="s">
        <v>613</v>
      </c>
    </row>
    <row r="6" spans="1:5">
      <c r="A6" s="125" t="s">
        <v>0</v>
      </c>
      <c r="B6" t="s">
        <v>48</v>
      </c>
      <c r="C6" t="s">
        <v>601</v>
      </c>
      <c r="D6" t="s">
        <v>601</v>
      </c>
      <c r="E6" s="120" t="s">
        <v>784</v>
      </c>
    </row>
    <row r="7" spans="1:5">
      <c r="A7" s="125" t="s">
        <v>0</v>
      </c>
      <c r="B7" t="s">
        <v>48</v>
      </c>
      <c r="C7" s="136" t="s">
        <v>179</v>
      </c>
      <c r="D7" t="s">
        <v>605</v>
      </c>
      <c r="E7" s="121" t="s">
        <v>785</v>
      </c>
    </row>
    <row r="8" spans="1:5">
      <c r="A8" s="125" t="s">
        <v>0</v>
      </c>
      <c r="B8" t="s">
        <v>48</v>
      </c>
      <c r="C8" s="136" t="s">
        <v>179</v>
      </c>
      <c r="D8" t="s">
        <v>606</v>
      </c>
      <c r="E8" t="s">
        <v>786</v>
      </c>
    </row>
    <row r="9" spans="1:5">
      <c r="A9" s="125" t="s">
        <v>0</v>
      </c>
      <c r="B9" t="s">
        <v>48</v>
      </c>
      <c r="C9" s="136" t="s">
        <v>179</v>
      </c>
      <c r="D9" t="s">
        <v>607</v>
      </c>
      <c r="E9" t="s">
        <v>787</v>
      </c>
    </row>
    <row r="10" spans="1:5">
      <c r="A10" s="125" t="s">
        <v>0</v>
      </c>
      <c r="B10" t="s">
        <v>48</v>
      </c>
      <c r="C10" s="136" t="s">
        <v>608</v>
      </c>
      <c r="D10" t="s">
        <v>609</v>
      </c>
      <c r="E10" s="120" t="s">
        <v>788</v>
      </c>
    </row>
    <row r="11" spans="1:5">
      <c r="A11" s="125" t="s">
        <v>0</v>
      </c>
      <c r="B11" t="s">
        <v>48</v>
      </c>
      <c r="C11" s="136" t="s">
        <v>608</v>
      </c>
      <c r="D11" t="s">
        <v>610</v>
      </c>
      <c r="E11" t="s">
        <v>789</v>
      </c>
    </row>
    <row r="12" spans="1:5">
      <c r="A12" s="125" t="s">
        <v>0</v>
      </c>
      <c r="B12" t="s">
        <v>48</v>
      </c>
      <c r="C12" s="136" t="s">
        <v>608</v>
      </c>
      <c r="D12" t="s">
        <v>718</v>
      </c>
      <c r="E12" s="120" t="s">
        <v>790</v>
      </c>
    </row>
    <row r="13" spans="1:5">
      <c r="A13" s="125" t="s">
        <v>0</v>
      </c>
      <c r="B13" t="s">
        <v>48</v>
      </c>
      <c r="C13" s="136" t="s">
        <v>608</v>
      </c>
      <c r="D13" t="s">
        <v>720</v>
      </c>
      <c r="E13" s="120" t="s">
        <v>791</v>
      </c>
    </row>
    <row r="14" spans="1:5">
      <c r="A14" s="125" t="s">
        <v>0</v>
      </c>
      <c r="B14" t="s">
        <v>48</v>
      </c>
      <c r="C14" s="136" t="s">
        <v>600</v>
      </c>
      <c r="D14" t="s">
        <v>611</v>
      </c>
      <c r="E14" t="s">
        <v>792</v>
      </c>
    </row>
    <row r="15" spans="1:5">
      <c r="A15" s="125" t="s">
        <v>0</v>
      </c>
      <c r="B15" t="s">
        <v>48</v>
      </c>
      <c r="C15" s="136" t="s">
        <v>600</v>
      </c>
      <c r="D15" t="s">
        <v>612</v>
      </c>
      <c r="E15" t="s">
        <v>793</v>
      </c>
    </row>
    <row r="16" spans="1:5">
      <c r="A16" s="125" t="s">
        <v>0</v>
      </c>
      <c r="B16" t="s">
        <v>48</v>
      </c>
      <c r="C16" s="136" t="s">
        <v>225</v>
      </c>
      <c r="D16" t="s">
        <v>603</v>
      </c>
      <c r="E16" t="s">
        <v>794</v>
      </c>
    </row>
    <row r="17" spans="1:5">
      <c r="A17" s="125" t="s">
        <v>0</v>
      </c>
      <c r="B17" t="s">
        <v>48</v>
      </c>
      <c r="C17" s="136" t="s">
        <v>225</v>
      </c>
      <c r="D17" t="s">
        <v>604</v>
      </c>
      <c r="E17" t="s">
        <v>795</v>
      </c>
    </row>
    <row r="18" spans="1:5">
      <c r="A18" s="125" t="s">
        <v>0</v>
      </c>
      <c r="B18" t="s">
        <v>615</v>
      </c>
      <c r="C18" s="136" t="s">
        <v>616</v>
      </c>
      <c r="D18" t="s">
        <v>617</v>
      </c>
      <c r="E18" t="s">
        <v>796</v>
      </c>
    </row>
    <row r="19" spans="1:5">
      <c r="A19" s="125" t="s">
        <v>0</v>
      </c>
      <c r="B19" t="s">
        <v>615</v>
      </c>
      <c r="C19" s="136" t="s">
        <v>616</v>
      </c>
      <c r="D19" t="s">
        <v>618</v>
      </c>
      <c r="E19" t="s">
        <v>797</v>
      </c>
    </row>
    <row r="20" spans="1:5">
      <c r="A20" s="125" t="s">
        <v>0</v>
      </c>
      <c r="B20" t="s">
        <v>615</v>
      </c>
      <c r="C20" s="136" t="s">
        <v>616</v>
      </c>
      <c r="D20" t="s">
        <v>619</v>
      </c>
      <c r="E20" t="s">
        <v>798</v>
      </c>
    </row>
    <row r="21" spans="1:5">
      <c r="A21" s="125" t="s">
        <v>0</v>
      </c>
      <c r="B21" t="s">
        <v>615</v>
      </c>
      <c r="C21" s="136" t="s">
        <v>608</v>
      </c>
      <c r="D21" t="s">
        <v>719</v>
      </c>
      <c r="E21" t="s">
        <v>799</v>
      </c>
    </row>
    <row r="22" spans="1:5">
      <c r="A22" s="125" t="s">
        <v>0</v>
      </c>
      <c r="B22" t="s">
        <v>602</v>
      </c>
      <c r="C22" s="136" t="s">
        <v>620</v>
      </c>
      <c r="D22" t="s">
        <v>47</v>
      </c>
      <c r="E22" t="s">
        <v>800</v>
      </c>
    </row>
    <row r="23" spans="1:5">
      <c r="A23" s="125" t="s">
        <v>0</v>
      </c>
      <c r="B23" t="s">
        <v>602</v>
      </c>
      <c r="C23" s="136" t="s">
        <v>620</v>
      </c>
      <c r="D23" t="s">
        <v>158</v>
      </c>
      <c r="E23" t="s">
        <v>801</v>
      </c>
    </row>
    <row r="24" spans="1:5">
      <c r="A24" s="125" t="s">
        <v>0</v>
      </c>
      <c r="B24" t="s">
        <v>602</v>
      </c>
      <c r="C24" s="136" t="s">
        <v>620</v>
      </c>
      <c r="D24" t="s">
        <v>159</v>
      </c>
      <c r="E24" t="s">
        <v>802</v>
      </c>
    </row>
    <row r="25" spans="1:5">
      <c r="A25" s="125" t="s">
        <v>0</v>
      </c>
      <c r="B25" t="s">
        <v>602</v>
      </c>
      <c r="C25" s="136" t="s">
        <v>621</v>
      </c>
      <c r="D25" t="s">
        <v>622</v>
      </c>
      <c r="E25" t="s">
        <v>803</v>
      </c>
    </row>
    <row r="26" spans="1:5">
      <c r="A26" s="125" t="s">
        <v>0</v>
      </c>
      <c r="B26" t="s">
        <v>602</v>
      </c>
      <c r="C26" s="136" t="s">
        <v>621</v>
      </c>
      <c r="D26" t="s">
        <v>623</v>
      </c>
      <c r="E26" t="s">
        <v>804</v>
      </c>
    </row>
    <row r="27" spans="1:5">
      <c r="A27" s="125" t="s">
        <v>0</v>
      </c>
      <c r="B27" t="s">
        <v>602</v>
      </c>
      <c r="C27" s="136" t="s">
        <v>621</v>
      </c>
      <c r="D27" t="s">
        <v>624</v>
      </c>
      <c r="E27" t="s">
        <v>805</v>
      </c>
    </row>
    <row r="28" spans="1:5">
      <c r="A28" s="125" t="s">
        <v>0</v>
      </c>
      <c r="B28" t="s">
        <v>602</v>
      </c>
      <c r="C28" s="136" t="s">
        <v>621</v>
      </c>
      <c r="D28" t="s">
        <v>625</v>
      </c>
      <c r="E28" t="s">
        <v>806</v>
      </c>
    </row>
    <row r="29" spans="1:5">
      <c r="A29" s="126" t="s">
        <v>270</v>
      </c>
      <c r="B29" t="s">
        <v>48</v>
      </c>
      <c r="C29" s="136" t="s">
        <v>626</v>
      </c>
      <c r="D29" t="s">
        <v>627</v>
      </c>
      <c r="E29" t="s">
        <v>807</v>
      </c>
    </row>
    <row r="30" spans="1:5">
      <c r="A30" s="126" t="s">
        <v>270</v>
      </c>
      <c r="B30" t="s">
        <v>48</v>
      </c>
      <c r="C30" s="136" t="s">
        <v>626</v>
      </c>
      <c r="D30" t="s">
        <v>628</v>
      </c>
      <c r="E30" t="s">
        <v>808</v>
      </c>
    </row>
    <row r="31" spans="1:5">
      <c r="A31" s="126" t="s">
        <v>270</v>
      </c>
      <c r="B31" t="s">
        <v>48</v>
      </c>
      <c r="C31" s="136" t="s">
        <v>626</v>
      </c>
      <c r="D31" t="s">
        <v>629</v>
      </c>
      <c r="E31" t="s">
        <v>809</v>
      </c>
    </row>
    <row r="32" spans="1:5">
      <c r="A32" s="126" t="s">
        <v>270</v>
      </c>
      <c r="B32" t="s">
        <v>48</v>
      </c>
      <c r="C32" s="136" t="s">
        <v>723</v>
      </c>
      <c r="D32" t="s">
        <v>630</v>
      </c>
      <c r="E32" t="s">
        <v>810</v>
      </c>
    </row>
    <row r="33" spans="1:5">
      <c r="A33" s="126" t="s">
        <v>270</v>
      </c>
      <c r="B33" t="s">
        <v>48</v>
      </c>
      <c r="C33" s="136" t="s">
        <v>724</v>
      </c>
      <c r="D33" t="s">
        <v>631</v>
      </c>
      <c r="E33" t="s">
        <v>811</v>
      </c>
    </row>
    <row r="34" spans="1:5">
      <c r="A34" s="126" t="s">
        <v>270</v>
      </c>
      <c r="B34" t="s">
        <v>48</v>
      </c>
      <c r="C34" s="136" t="s">
        <v>632</v>
      </c>
      <c r="D34" t="s">
        <v>633</v>
      </c>
      <c r="E34" t="s">
        <v>812</v>
      </c>
    </row>
    <row r="35" spans="1:5">
      <c r="A35" s="126" t="s">
        <v>270</v>
      </c>
      <c r="B35" t="s">
        <v>48</v>
      </c>
      <c r="C35" s="136" t="s">
        <v>632</v>
      </c>
      <c r="D35" t="s">
        <v>634</v>
      </c>
      <c r="E35" t="s">
        <v>813</v>
      </c>
    </row>
    <row r="36" spans="1:5">
      <c r="A36" s="126" t="s">
        <v>270</v>
      </c>
      <c r="B36" t="s">
        <v>48</v>
      </c>
      <c r="C36" s="136" t="s">
        <v>632</v>
      </c>
      <c r="D36" t="s">
        <v>635</v>
      </c>
      <c r="E36" t="s">
        <v>814</v>
      </c>
    </row>
    <row r="37" spans="1:5">
      <c r="A37" s="126" t="s">
        <v>270</v>
      </c>
      <c r="B37" t="s">
        <v>615</v>
      </c>
      <c r="C37" s="136" t="s">
        <v>637</v>
      </c>
      <c r="D37" t="s">
        <v>638</v>
      </c>
      <c r="E37" t="s">
        <v>815</v>
      </c>
    </row>
    <row r="38" spans="1:5">
      <c r="A38" s="126" t="s">
        <v>270</v>
      </c>
      <c r="B38" t="s">
        <v>615</v>
      </c>
      <c r="C38" s="136" t="s">
        <v>637</v>
      </c>
      <c r="D38" t="s">
        <v>639</v>
      </c>
      <c r="E38" t="s">
        <v>816</v>
      </c>
    </row>
    <row r="39" spans="1:5">
      <c r="A39" s="126" t="s">
        <v>270</v>
      </c>
      <c r="B39" t="s">
        <v>615</v>
      </c>
      <c r="C39" s="136" t="s">
        <v>637</v>
      </c>
      <c r="D39" t="s">
        <v>640</v>
      </c>
      <c r="E39" t="s">
        <v>817</v>
      </c>
    </row>
    <row r="40" spans="1:5">
      <c r="A40" s="126" t="s">
        <v>270</v>
      </c>
      <c r="B40" t="s">
        <v>615</v>
      </c>
      <c r="C40" s="136" t="s">
        <v>637</v>
      </c>
      <c r="D40" t="s">
        <v>641</v>
      </c>
      <c r="E40" t="s">
        <v>818</v>
      </c>
    </row>
    <row r="41" spans="1:5">
      <c r="A41" s="126" t="s">
        <v>270</v>
      </c>
      <c r="B41" t="s">
        <v>602</v>
      </c>
      <c r="C41" s="136" t="s">
        <v>725</v>
      </c>
      <c r="D41" t="s">
        <v>642</v>
      </c>
      <c r="E41" t="s">
        <v>819</v>
      </c>
    </row>
    <row r="42" spans="1:5">
      <c r="A42" s="126" t="s">
        <v>270</v>
      </c>
      <c r="B42" t="s">
        <v>602</v>
      </c>
      <c r="C42" s="136" t="s">
        <v>725</v>
      </c>
      <c r="D42" t="s">
        <v>643</v>
      </c>
      <c r="E42" t="s">
        <v>803</v>
      </c>
    </row>
    <row r="43" spans="1:5">
      <c r="A43" s="126" t="s">
        <v>270</v>
      </c>
      <c r="B43" t="s">
        <v>602</v>
      </c>
      <c r="C43" s="136" t="s">
        <v>725</v>
      </c>
      <c r="D43" t="s">
        <v>644</v>
      </c>
      <c r="E43" t="s">
        <v>820</v>
      </c>
    </row>
    <row r="44" spans="1:5">
      <c r="A44" s="126" t="s">
        <v>270</v>
      </c>
      <c r="B44" t="s">
        <v>602</v>
      </c>
      <c r="C44" s="136" t="s">
        <v>725</v>
      </c>
      <c r="D44" t="s">
        <v>645</v>
      </c>
      <c r="E44" t="s">
        <v>821</v>
      </c>
    </row>
    <row r="45" spans="1:5">
      <c r="A45" s="127" t="s">
        <v>337</v>
      </c>
      <c r="B45" t="s">
        <v>48</v>
      </c>
      <c r="C45" s="136" t="s">
        <v>651</v>
      </c>
      <c r="D45" t="s">
        <v>647</v>
      </c>
      <c r="E45" t="s">
        <v>822</v>
      </c>
    </row>
    <row r="46" spans="1:5">
      <c r="A46" s="127" t="s">
        <v>337</v>
      </c>
      <c r="B46" t="s">
        <v>48</v>
      </c>
      <c r="C46" s="136" t="s">
        <v>652</v>
      </c>
      <c r="D46" t="s">
        <v>648</v>
      </c>
      <c r="E46" t="s">
        <v>823</v>
      </c>
    </row>
    <row r="47" spans="1:5">
      <c r="A47" s="127" t="s">
        <v>337</v>
      </c>
      <c r="B47" t="s">
        <v>48</v>
      </c>
      <c r="C47" s="136" t="s">
        <v>653</v>
      </c>
      <c r="D47" t="s">
        <v>649</v>
      </c>
      <c r="E47" t="s">
        <v>824</v>
      </c>
    </row>
    <row r="48" spans="1:5">
      <c r="A48" s="127" t="s">
        <v>337</v>
      </c>
      <c r="B48" t="s">
        <v>48</v>
      </c>
      <c r="C48" s="136" t="s">
        <v>653</v>
      </c>
      <c r="D48" t="s">
        <v>650</v>
      </c>
      <c r="E48" t="s">
        <v>825</v>
      </c>
    </row>
    <row r="49" spans="1:5">
      <c r="A49" s="127" t="s">
        <v>337</v>
      </c>
      <c r="B49" t="s">
        <v>615</v>
      </c>
      <c r="C49" s="136" t="s">
        <v>651</v>
      </c>
      <c r="D49" t="s">
        <v>654</v>
      </c>
      <c r="E49" t="s">
        <v>826</v>
      </c>
    </row>
    <row r="50" spans="1:5">
      <c r="A50" s="127" t="s">
        <v>337</v>
      </c>
      <c r="B50" t="s">
        <v>615</v>
      </c>
      <c r="C50" s="136" t="s">
        <v>653</v>
      </c>
      <c r="D50" t="s">
        <v>655</v>
      </c>
      <c r="E50" t="s">
        <v>827</v>
      </c>
    </row>
    <row r="51" spans="1:5">
      <c r="A51" s="127" t="s">
        <v>337</v>
      </c>
      <c r="B51" t="s">
        <v>615</v>
      </c>
      <c r="C51" s="136" t="s">
        <v>653</v>
      </c>
      <c r="D51" t="s">
        <v>656</v>
      </c>
      <c r="E51" t="s">
        <v>828</v>
      </c>
    </row>
    <row r="52" spans="1:5">
      <c r="A52" s="127" t="s">
        <v>337</v>
      </c>
      <c r="B52" t="s">
        <v>602</v>
      </c>
      <c r="C52" s="136" t="s">
        <v>725</v>
      </c>
      <c r="D52" t="s">
        <v>657</v>
      </c>
      <c r="E52" t="s">
        <v>829</v>
      </c>
    </row>
    <row r="53" spans="1:5">
      <c r="A53" s="127" t="s">
        <v>337</v>
      </c>
      <c r="B53" t="s">
        <v>602</v>
      </c>
      <c r="C53" s="136" t="s">
        <v>725</v>
      </c>
      <c r="D53" t="s">
        <v>643</v>
      </c>
      <c r="E53" t="s">
        <v>830</v>
      </c>
    </row>
    <row r="54" spans="1:5">
      <c r="A54" s="127" t="s">
        <v>337</v>
      </c>
      <c r="B54" t="s">
        <v>602</v>
      </c>
      <c r="C54" s="136" t="s">
        <v>725</v>
      </c>
      <c r="D54" t="s">
        <v>658</v>
      </c>
      <c r="E54" t="s">
        <v>831</v>
      </c>
    </row>
    <row r="55" spans="1:5">
      <c r="A55" s="127" t="s">
        <v>337</v>
      </c>
      <c r="B55" t="s">
        <v>602</v>
      </c>
      <c r="C55" s="136" t="s">
        <v>725</v>
      </c>
      <c r="D55" t="s">
        <v>659</v>
      </c>
      <c r="E55" t="s">
        <v>832</v>
      </c>
    </row>
    <row r="56" spans="1:5">
      <c r="A56" s="121" t="s">
        <v>413</v>
      </c>
      <c r="B56" t="s">
        <v>602</v>
      </c>
      <c r="C56" t="s">
        <v>663</v>
      </c>
      <c r="D56" t="s">
        <v>664</v>
      </c>
      <c r="E56" t="s">
        <v>833</v>
      </c>
    </row>
    <row r="57" spans="1:5">
      <c r="A57" s="128" t="s">
        <v>450</v>
      </c>
      <c r="B57" t="s">
        <v>602</v>
      </c>
      <c r="C57" t="s">
        <v>663</v>
      </c>
      <c r="D57" t="s">
        <v>664</v>
      </c>
      <c r="E57" t="s">
        <v>834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4F202-B91A-4FEA-8AA4-3D417A27FC7B}">
  <sheetPr>
    <tabColor theme="2" tint="-0.249977111117893"/>
  </sheetPr>
  <dimension ref="A2:AC104"/>
  <sheetViews>
    <sheetView showGridLines="0" topLeftCell="A93" zoomScaleNormal="100" workbookViewId="0">
      <selection activeCell="E83" sqref="E83:E104"/>
    </sheetView>
  </sheetViews>
  <sheetFormatPr defaultRowHeight="15"/>
  <cols>
    <col min="1" max="1" width="5.42578125" customWidth="1"/>
    <col min="2" max="2" width="35.85546875" customWidth="1"/>
    <col min="3" max="3" width="33" customWidth="1"/>
    <col min="4" max="4" width="107" customWidth="1"/>
    <col min="5" max="5" width="39.5703125" style="85" customWidth="1"/>
    <col min="6" max="6" width="4" customWidth="1"/>
  </cols>
  <sheetData>
    <row r="2" spans="1:29" ht="36">
      <c r="B2" s="78" t="s">
        <v>448</v>
      </c>
      <c r="D2" s="81" t="s">
        <v>0</v>
      </c>
      <c r="H2" s="82"/>
      <c r="T2" s="82"/>
    </row>
    <row r="3" spans="1:29">
      <c r="B3" s="76" t="s">
        <v>221</v>
      </c>
      <c r="C3" s="76" t="s">
        <v>579</v>
      </c>
      <c r="D3" s="76" t="s">
        <v>580</v>
      </c>
      <c r="E3" s="88" t="s">
        <v>228</v>
      </c>
      <c r="F3" s="4" t="s">
        <v>224</v>
      </c>
      <c r="AC3" t="s">
        <v>224</v>
      </c>
    </row>
    <row r="4" spans="1:29">
      <c r="A4">
        <f>LEN(D4)</f>
        <v>49</v>
      </c>
      <c r="B4" s="75" t="s">
        <v>222</v>
      </c>
      <c r="C4" s="54" t="s">
        <v>160</v>
      </c>
      <c r="D4" s="94" t="s">
        <v>161</v>
      </c>
      <c r="E4" s="77" t="str">
        <f t="shared" ref="E4:E48" si="0">IF(D4="","",""""&amp;C4&amp;" "&amp;IF(C4="[FOOTER RULE - STRICT]",D4,IF(RIGHT(D4,6)=" | "&amp;CHAR(34)&amp;" &amp;",D4,D4&amp;" | "&amp;CHAR(34)&amp;" &amp;")))</f>
        <v>"[ROLE] Friendly tutor specializing in " &amp; $I$2 &amp; " | " &amp;</v>
      </c>
      <c r="F4" s="54" t="s">
        <v>224</v>
      </c>
    </row>
    <row r="5" spans="1:29">
      <c r="A5">
        <f t="shared" ref="A5:A49" si="1">LEN(D5)</f>
        <v>16</v>
      </c>
      <c r="B5" s="75" t="s">
        <v>222</v>
      </c>
      <c r="C5" s="54" t="s">
        <v>164</v>
      </c>
      <c r="D5" s="94" t="s">
        <v>165</v>
      </c>
      <c r="E5" s="77" t="str">
        <f t="shared" si="0"/>
        <v>"[TOPIC] " &amp; I9 &amp; " | " &amp;</v>
      </c>
      <c r="F5" s="54" t="s">
        <v>224</v>
      </c>
    </row>
    <row r="6" spans="1:29">
      <c r="A6">
        <f t="shared" si="1"/>
        <v>16</v>
      </c>
      <c r="B6" s="75" t="s">
        <v>222</v>
      </c>
      <c r="C6" s="54" t="s">
        <v>166</v>
      </c>
      <c r="D6" s="94" t="s">
        <v>167</v>
      </c>
      <c r="E6" s="77" t="str">
        <f t="shared" si="0"/>
        <v>"[LEVEL] " &amp; G9 &amp; " | " &amp;</v>
      </c>
      <c r="F6" s="54" t="s">
        <v>224</v>
      </c>
    </row>
    <row r="7" spans="1:29">
      <c r="A7">
        <f t="shared" si="1"/>
        <v>25</v>
      </c>
      <c r="B7" s="75" t="s">
        <v>222</v>
      </c>
      <c r="C7" s="54" t="s">
        <v>168</v>
      </c>
      <c r="D7" s="94" t="s">
        <v>169</v>
      </c>
      <c r="E7" s="77" t="str">
        <f t="shared" si="0"/>
        <v>"[COUNT] " &amp; D9 &amp; " examples | " &amp;</v>
      </c>
      <c r="F7" s="54" t="s">
        <v>224</v>
      </c>
    </row>
    <row r="8" spans="1:29">
      <c r="A8">
        <f t="shared" si="1"/>
        <v>18</v>
      </c>
      <c r="B8" s="75" t="s">
        <v>222</v>
      </c>
      <c r="C8" s="54" t="s">
        <v>229</v>
      </c>
      <c r="D8" s="94" t="s">
        <v>267</v>
      </c>
      <c r="E8" s="77" t="str">
        <f t="shared" si="0"/>
        <v>"[LIBRARY BEING LEARNED] " &amp; $I$3 &amp; " | " &amp;</v>
      </c>
      <c r="F8" s="54" t="s">
        <v>224</v>
      </c>
    </row>
    <row r="9" spans="1:29">
      <c r="A9">
        <f t="shared" si="1"/>
        <v>461</v>
      </c>
      <c r="B9" s="83" t="s">
        <v>223</v>
      </c>
      <c r="C9" s="32" t="s">
        <v>225</v>
      </c>
      <c r="D9" s="137"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9" s="77" t="str">
        <f t="shared" si="0"/>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9" s="54" t="s">
        <v>224</v>
      </c>
    </row>
    <row r="10" spans="1:29">
      <c r="A10">
        <f t="shared" si="1"/>
        <v>406</v>
      </c>
      <c r="B10" s="75" t="s">
        <v>222</v>
      </c>
      <c r="C10" s="54" t="s">
        <v>172</v>
      </c>
      <c r="D10" s="94" t="s">
        <v>173</v>
      </c>
      <c r="E10"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0" s="54" t="s">
        <v>224</v>
      </c>
    </row>
    <row r="11" spans="1:29">
      <c r="A11">
        <f t="shared" si="1"/>
        <v>214</v>
      </c>
      <c r="B11" s="75" t="s">
        <v>222</v>
      </c>
      <c r="C11" s="54" t="s">
        <v>491</v>
      </c>
      <c r="D11" s="94" t="s">
        <v>483</v>
      </c>
      <c r="E11" s="77" t="str">
        <f t="shared" si="0"/>
        <v>"[LANGUAGE SEED CONTEXT] " &amp; IF($AE$7 = "", "Language Seed Not Necessary", "You MUST strictly follow this seed context to enhance, adapt, and naturalize your tone, vocabulary, and instructional quality in " &amp; $B$6 &amp; ": " &amp; $AE$7) &amp; " | " &amp;</v>
      </c>
      <c r="F11" s="54" t="s">
        <v>224</v>
      </c>
    </row>
    <row r="12" spans="1:29">
      <c r="A12">
        <f t="shared" si="1"/>
        <v>18</v>
      </c>
      <c r="B12" s="75" t="s">
        <v>222</v>
      </c>
      <c r="C12" s="54" t="s">
        <v>218</v>
      </c>
      <c r="D12" s="94" t="s">
        <v>219</v>
      </c>
      <c r="E12" s="77" t="str">
        <f t="shared" si="0"/>
        <v>"[LANGUAGE] " &amp; $B$6 &amp; " | " &amp;</v>
      </c>
      <c r="F12" s="54" t="s">
        <v>224</v>
      </c>
    </row>
    <row r="13" spans="1:29">
      <c r="A13">
        <f t="shared" si="1"/>
        <v>255</v>
      </c>
      <c r="B13" s="75" t="s">
        <v>222</v>
      </c>
      <c r="C13" s="54" t="s">
        <v>231</v>
      </c>
      <c r="D13" s="94" t="s">
        <v>711</v>
      </c>
      <c r="E13" s="77" t="str">
        <f t="shared" si="0"/>
        <v>"[EXECUTIVE CONSTRAINTS] Each example MUST include: - Internal data OR dataset usage - Print key intermediate steps and the final result - MUST NOT exceed exactly " &amp; $C9 &amp; " lines of EXECUTABLE code (STRICT: Do NOT count comments or blank lines). - NEVER exceed this limit. | " &amp;</v>
      </c>
      <c r="F13" s="54" t="s">
        <v>224</v>
      </c>
    </row>
    <row r="14" spans="1:29">
      <c r="A14">
        <f t="shared" si="1"/>
        <v>510</v>
      </c>
      <c r="B14" s="83" t="s">
        <v>223</v>
      </c>
      <c r="C14" s="32" t="s">
        <v>179</v>
      </c>
      <c r="D14" s="137" t="str">
        <f>"Rule: " &amp; CHAR(34) &amp; " &amp; IF(G9=" &amp; CHAR(34) &amp; "Beginner" &amp; CHAR(34) &amp; "," &amp; CHAR(34) &amp; Variables!E7 &amp; CHAR(34) &amp; ", IF(G9=" &amp; CHAR(34) &amp; "Intermediate" &amp; CHAR(34) &amp; ", " &amp; CHAR(34) &amp; Variables!E8 &amp; CHAR(34) &amp; ", " &amp; CHAR(34) &amp; Variables!E9 &amp; CHAR(34) &amp; ")) &amp; " &amp; CHAR(34) &amp; " | " &amp; CHAR(34) &amp; " &amp;"</f>
        <v>Rule: " &amp; IF(G9="Beginner","Focus on stateless GenServer callbacks, init/1, handle_call/3, and primitive messaging structures. DO NOT use complex dynamic supervision trees.", IF(G9="Intermediate",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v>
      </c>
      <c r="E14" s="77" t="str">
        <f t="shared" si="0"/>
        <v>"[FUNCTION RULE] Rule: " &amp; IF(G9="Beginner","Focus on stateless GenServer callbacks, init/1, handle_call/3, and primitive messaging structures. DO NOT use complex dynamic supervision trees.", IF(G9="Intermediate", "STRICT REQUIREMENT: Every example MUST use GenServer or Agent implementations inside defmodule, client API wrappers, GenServer.call/cast, and state tuples.", "Advanced OTP patterns: dynamic supervisors (DynamicSupervisor), GenStage/Broadway pipelines, distributed nodes, and custom Supervisor specs.")) &amp; " | " &amp;</v>
      </c>
      <c r="F14" s="54" t="s">
        <v>224</v>
      </c>
    </row>
    <row r="15" spans="1:29">
      <c r="A15">
        <f t="shared" si="1"/>
        <v>0</v>
      </c>
      <c r="B15" s="83" t="s">
        <v>223</v>
      </c>
      <c r="C15" s="54" t="s">
        <v>230</v>
      </c>
      <c r="D15" s="94"/>
      <c r="E15" s="77" t="str">
        <f t="shared" si="0"/>
        <v/>
      </c>
      <c r="F15" s="54" t="s">
        <v>224</v>
      </c>
    </row>
    <row r="16" spans="1:29">
      <c r="A16">
        <f t="shared" si="1"/>
        <v>0</v>
      </c>
      <c r="B16" s="83" t="s">
        <v>223</v>
      </c>
      <c r="C16" s="54" t="s">
        <v>230</v>
      </c>
      <c r="D16" s="94"/>
      <c r="E16" s="77" t="str">
        <f t="shared" si="0"/>
        <v/>
      </c>
      <c r="F16" s="54" t="s">
        <v>224</v>
      </c>
    </row>
    <row r="17" spans="1:6">
      <c r="A17">
        <f t="shared" si="1"/>
        <v>0</v>
      </c>
      <c r="B17" s="83" t="s">
        <v>223</v>
      </c>
      <c r="C17" s="54" t="s">
        <v>230</v>
      </c>
      <c r="D17" s="94"/>
      <c r="E17" s="77" t="str">
        <f t="shared" si="0"/>
        <v/>
      </c>
      <c r="F17" s="54" t="s">
        <v>224</v>
      </c>
    </row>
    <row r="18" spans="1:6">
      <c r="A18">
        <f t="shared" si="1"/>
        <v>512</v>
      </c>
      <c r="B18" s="83" t="s">
        <v>223</v>
      </c>
      <c r="C18" s="32" t="s">
        <v>608</v>
      </c>
      <c r="D18" s="137" t="str">
        <f>"Each example MUST: - Use " &amp; Variables!E10 &amp; " - Print steps &amp; result via " &amp; Variables!E11 &amp; " - " &amp; Variables!E12 &amp; " - " &amp; Variables!E13 &amp; " | " &amp; CHAR(34) &amp; " &amp;"</f>
        <v>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v>
      </c>
      <c r="E18" s="77" t="str">
        <f t="shared" si="0"/>
        <v>"[CODE_CONSTRAINTS_RULE] Each example MUST: - Use Use process PIDs, GenServer state maps/structs, atoms, binary messages, and simple request/response tuples. - Print steps &amp; result via Display intermediate steps and final OTP outcomes explicitly with IO.puts/1 or IO.inspect/2. - MUST NOT exceed 6 lines of EXECUTABLE code per example; exclude comments and blank lines. - If GenServer is used, include process startup via start_link and at least one direct GenServer call/cast at script end. No complex Mix entry-point boilerplate. | " &amp;</v>
      </c>
      <c r="F18" s="54" t="s">
        <v>224</v>
      </c>
    </row>
    <row r="19" spans="1:6">
      <c r="A19">
        <f t="shared" si="1"/>
        <v>178</v>
      </c>
      <c r="B19" s="84" t="s">
        <v>223</v>
      </c>
      <c r="C19" s="32" t="s">
        <v>600</v>
      </c>
      <c r="D19" s="137" t="str">
        <f>"Use " &amp; Variables!E14 &amp; " and gracefully handle " &amp; Variables!E15 &amp; " when applicable." &amp; " | " &amp; CHAR(34) &amp; " &amp;"</f>
        <v>Use State management via GenServer/Agent process state structures. and gracefully handle Use IO.puts/1 or IO.inspect/2 to display server responses clearly. when applicable. | " &amp;</v>
      </c>
      <c r="E19" s="77" t="str">
        <f t="shared" si="0"/>
        <v>"[I_O_PARADIGM] Use State management via GenServer/Agent process state structures. and gracefully handle Use IO.puts/1 or IO.inspect/2 to display server responses clearly. when applicable. | " &amp;</v>
      </c>
      <c r="F19" s="54" t="s">
        <v>224</v>
      </c>
    </row>
    <row r="20" spans="1:6">
      <c r="A20">
        <f t="shared" si="1"/>
        <v>217</v>
      </c>
      <c r="B20" s="84" t="s">
        <v>223</v>
      </c>
      <c r="C20" s="32" t="s">
        <v>601</v>
      </c>
      <c r="D20" s="137" t="str">
        <f>"If using external packages, use " &amp; Variables!E6 &amp; " at the top of the code block. Assume no project configuration file exists." &amp; " | " &amp; CHAR(34) &amp; " &amp;"</f>
        <v>If using external packages, use Native OTP behaviors (GenServer, Supervisor, Agent, Task), Kernel functions, and BEAM supervision trees. at the top of the code block. Assume no project configuration file exists. | " &amp;</v>
      </c>
      <c r="E20" s="77" t="str">
        <f t="shared" si="0"/>
        <v>"[INLINE_PACKAGE_MANAGER] If using external packages, use Native OTP behaviors (GenServer, Supervisor, Agent, Task), Kernel functions, and BEAM supervision trees. at the top of the code block. Assume no project configuration file exists. | " &amp;</v>
      </c>
      <c r="F20" s="54" t="s">
        <v>224</v>
      </c>
    </row>
    <row r="21" spans="1:6">
      <c r="A21">
        <f t="shared" si="1"/>
        <v>267</v>
      </c>
      <c r="B21" s="83" t="s">
        <v>223</v>
      </c>
      <c r="C21" s="54" t="s">
        <v>721</v>
      </c>
      <c r="D21" s="94" t="s">
        <v>722</v>
      </c>
      <c r="E21" s="77" t="str">
        <f t="shared" si="0"/>
        <v>"[CONCEPT_ISOLATION_RULE] Focus SOLELY on teaching the target topic concept. DO NOT use unlearned or complex control structures (like if/else, ternary operators, or list comprehensions) unless the topic explicitly demands them. Keep internal function logic strictly linear, simple, and direct. | " &amp;</v>
      </c>
      <c r="F21" s="54" t="s">
        <v>224</v>
      </c>
    </row>
    <row r="22" spans="1:6">
      <c r="A22">
        <f t="shared" si="1"/>
        <v>169</v>
      </c>
      <c r="B22" s="84" t="s">
        <v>271</v>
      </c>
      <c r="C22" s="54" t="s">
        <v>180</v>
      </c>
      <c r="D22" s="94" t="s">
        <v>702</v>
      </c>
      <c r="E22" s="77" t="str">
        <f t="shared" si="0"/>
        <v>"[CODE QUALITY RULE] Code MUST be clean, readable, educational, executable and produce correct results. Safely handle missing/malformed/inconsistent data, using pattern matching if possible. | " &amp;</v>
      </c>
      <c r="F22" s="54" t="s">
        <v>224</v>
      </c>
    </row>
    <row r="23" spans="1:6">
      <c r="A23">
        <f t="shared" si="1"/>
        <v>159</v>
      </c>
      <c r="B23" s="84" t="s">
        <v>271</v>
      </c>
      <c r="C23" s="54" t="s">
        <v>596</v>
      </c>
      <c r="D23" s="94" t="s">
        <v>703</v>
      </c>
      <c r="E23" s="77" t="str">
        <f t="shared" si="0"/>
        <v>"[COMMENT CONSTRAINTS] Code MUST include enough inline comments explaining WHAT it does AND WHY. Density: Beginner=high, Intermediate=medium, Advanced=lower but present in key logic. | " &amp;</v>
      </c>
      <c r="F23" s="54" t="s">
        <v>224</v>
      </c>
    </row>
    <row r="24" spans="1:6">
      <c r="A24">
        <f t="shared" si="1"/>
        <v>39</v>
      </c>
      <c r="B24" s="84" t="s">
        <v>271</v>
      </c>
      <c r="C24" s="54" t="s">
        <v>207</v>
      </c>
      <c r="D24" s="94" t="s">
        <v>280</v>
      </c>
      <c r="E24" s="77" t="str">
        <f t="shared" si="0"/>
        <v>"[FORMAT RULE] Only valid markdown code blocks allowed | " &amp;</v>
      </c>
      <c r="F24" s="54" t="s">
        <v>224</v>
      </c>
    </row>
    <row r="25" spans="1:6">
      <c r="A25">
        <f t="shared" si="1"/>
        <v>114</v>
      </c>
      <c r="B25" s="84" t="s">
        <v>271</v>
      </c>
      <c r="C25" s="54" t="s">
        <v>209</v>
      </c>
      <c r="D25" s="94" t="s">
        <v>597</v>
      </c>
      <c r="E25" s="77" t="str">
        <f t="shared" si="0"/>
        <v>"[LANGUAGE TAG RULE] ALWAYS label markdown code blocks with the correct underlying programming language (e.g., elixir, javascript, sql) | " &amp;</v>
      </c>
      <c r="F25" s="54" t="s">
        <v>224</v>
      </c>
    </row>
    <row r="26" spans="1:6">
      <c r="A26">
        <f t="shared" si="1"/>
        <v>324</v>
      </c>
      <c r="B26" s="84" t="s">
        <v>271</v>
      </c>
      <c r="C26" s="54" t="s">
        <v>215</v>
      </c>
      <c r="D26" s="94" t="s">
        <v>581</v>
      </c>
      <c r="E26" s="77" t="str">
        <f t="shared" si="0"/>
        <v>"[HEADER RULE - STRICT] You MUST start your entire response EXACTLY with this markdown block (do not print anything before it):" &amp; CHAR(10) &amp; "### 🔹 Topic #" &amp; F9 &amp; " | Stage 1 📖 Practice | " &amp; IF($I$3="", $I$2, $I$2&amp; " - " &amp;$I$3) &amp; " | 📊 Level: " &amp; G9 &amp; " | 🌐 Coding5s.com" &amp; CHAR(10) &amp; "**Concept:** " &amp; J9 &amp; CHAR(10) &amp; "---" &amp; CHAR(10) &amp; " | " &amp;</v>
      </c>
      <c r="F26" s="54" t="s">
        <v>224</v>
      </c>
    </row>
    <row r="27" spans="1:6">
      <c r="A27">
        <f t="shared" si="1"/>
        <v>451</v>
      </c>
      <c r="B27" s="84" t="s">
        <v>271</v>
      </c>
      <c r="C27" s="54" t="s">
        <v>187</v>
      </c>
      <c r="D27" s="94" t="s">
        <v>700</v>
      </c>
      <c r="E27" s="77" t="str">
        <f t="shared" si="0"/>
        <v>"[INTRO RULE] Include a short tutor-style sentence in " &amp; $B$6 &amp; " before the analogy, followed by this EXACT instruction block translated to " &amp; $B$6 &amp; ": '🚨 **Your objective in this lesson:** To truly master the new " &amp; $I$2 &amp; " concepts via Coding5s, manually type the exercises in your IDE while analyzing every comment and explanation. Copy-pasting is strictly forbidden in this Stage. Doing this consciously builds real skill and escapes tutorial hell.' | " &amp;</v>
      </c>
      <c r="F27" s="54" t="s">
        <v>224</v>
      </c>
    </row>
    <row r="28" spans="1:6">
      <c r="A28">
        <f t="shared" si="1"/>
        <v>36</v>
      </c>
      <c r="B28" s="84" t="s">
        <v>271</v>
      </c>
      <c r="C28" s="54" t="s">
        <v>170</v>
      </c>
      <c r="D28" s="94" t="s">
        <v>171</v>
      </c>
      <c r="E28" s="77" t="str">
        <f t="shared" si="0"/>
        <v>"[PERSONA RULE] Act as a friendly, clear tutor | " &amp;</v>
      </c>
      <c r="F28" s="54" t="s">
        <v>224</v>
      </c>
    </row>
    <row r="29" spans="1:6">
      <c r="A29">
        <f t="shared" si="1"/>
        <v>67</v>
      </c>
      <c r="B29" s="84" t="s">
        <v>271</v>
      </c>
      <c r="C29" s="54" t="s">
        <v>162</v>
      </c>
      <c r="D29" s="94" t="s">
        <v>163</v>
      </c>
      <c r="E29" s="77" t="str">
        <f t="shared" si="0"/>
        <v>"[TASK] Teach and explain concepts clearly with correct code examples | " &amp;</v>
      </c>
      <c r="F29" s="54" t="s">
        <v>224</v>
      </c>
    </row>
    <row r="30" spans="1:6">
      <c r="A30">
        <f t="shared" si="1"/>
        <v>545</v>
      </c>
      <c r="B30" s="84" t="s">
        <v>271</v>
      </c>
      <c r="C30" s="54" t="s">
        <v>177</v>
      </c>
      <c r="D30" s="94" t="s">
        <v>701</v>
      </c>
      <c r="E30" s="77" t="str">
        <f t="shared" si="0"/>
        <v>"[OUTPUT CONTRACT] EXACTLY " &amp; D9 &amp; " micro-examples. Structure MUST be: 1. Introduction 2. Analogy (STRICT: use exact subtitle '### 💡 Analogy:' before the metaphor) 3. Micro-Examples: - Title (STRICT): EXACTLY '#### Exercise [N]️⃣: [Short specific action description]' - Immediately followed by '#### 📖 Mini-Lesson:' = short conceptual intro (3-5 sentences) + exactly 2-3 concise '-' bullets explaining Python's step-by-step internal behavior, then single code block - Program Output (code block) - 🚨 Common mistake note - 🎯 Mini challenge 4. 📌 Key Takeaway | " &amp;</v>
      </c>
      <c r="F30" s="54" t="s">
        <v>224</v>
      </c>
    </row>
    <row r="31" spans="1:6">
      <c r="A31">
        <f t="shared" si="1"/>
        <v>101</v>
      </c>
      <c r="B31" s="84" t="s">
        <v>271</v>
      </c>
      <c r="C31" s="54" t="s">
        <v>180</v>
      </c>
      <c r="D31" s="94" t="s">
        <v>227</v>
      </c>
      <c r="E31" s="77" t="str">
        <f t="shared" si="0"/>
        <v>"[CODE QUALITY RULE] Code MUST be clean, readable, educational, executable, and produce correct and accurate results | " &amp;</v>
      </c>
      <c r="F31" s="54" t="s">
        <v>224</v>
      </c>
    </row>
    <row r="32" spans="1:6">
      <c r="A32">
        <f t="shared" si="1"/>
        <v>96</v>
      </c>
      <c r="B32" s="84" t="s">
        <v>271</v>
      </c>
      <c r="C32" s="54" t="s">
        <v>181</v>
      </c>
      <c r="D32" s="94" t="s">
        <v>182</v>
      </c>
      <c r="E32" s="77" t="str">
        <f t="shared" si="0"/>
        <v>"[COMMENT RULE - STRICT] Code MUST include sufficient inline comments explaining important lines and logical blocks | " &amp;</v>
      </c>
      <c r="F32" s="54" t="s">
        <v>224</v>
      </c>
    </row>
    <row r="33" spans="1:6">
      <c r="A33">
        <f t="shared" si="1"/>
        <v>77</v>
      </c>
      <c r="B33" s="84" t="s">
        <v>271</v>
      </c>
      <c r="C33" s="54" t="s">
        <v>183</v>
      </c>
      <c r="D33" s="94" t="s">
        <v>184</v>
      </c>
      <c r="E33" s="77" t="str">
        <f t="shared" si="0"/>
        <v>"[COMMENT DEPTH RULE] Comments MUST explain WHAT the code does AND WHY it is written that way | " &amp;</v>
      </c>
      <c r="F33" s="54" t="s">
        <v>224</v>
      </c>
    </row>
    <row r="34" spans="1:6">
      <c r="A34">
        <f t="shared" si="1"/>
        <v>101</v>
      </c>
      <c r="B34" s="84" t="s">
        <v>271</v>
      </c>
      <c r="C34" s="54" t="s">
        <v>197</v>
      </c>
      <c r="D34" s="94" t="s">
        <v>198</v>
      </c>
      <c r="E34" s="77" t="str">
        <f t="shared" si="0"/>
        <v>"[EXPLANATION RULE] Explanation within 'Mini-Lección' MUST explain WHAT, WHY, HOW, and real-world context concisely | " &amp;</v>
      </c>
      <c r="F34" s="54" t="s">
        <v>224</v>
      </c>
    </row>
    <row r="35" spans="1:6">
      <c r="A35">
        <f t="shared" si="1"/>
        <v>47</v>
      </c>
      <c r="B35" s="84" t="s">
        <v>271</v>
      </c>
      <c r="C35" s="54" t="s">
        <v>199</v>
      </c>
      <c r="D35" s="94" t="s">
        <v>200</v>
      </c>
      <c r="E35" s="77" t="str">
        <f t="shared" si="0"/>
        <v>"[LEARNING RULE] Each example MUST highlight a key insight | " &amp;</v>
      </c>
      <c r="F35" s="54" t="s">
        <v>224</v>
      </c>
    </row>
    <row r="36" spans="1:6">
      <c r="A36">
        <f t="shared" si="1"/>
        <v>53</v>
      </c>
      <c r="B36" s="84" t="s">
        <v>271</v>
      </c>
      <c r="C36" s="54" t="s">
        <v>201</v>
      </c>
      <c r="D36" s="94" t="s">
        <v>202</v>
      </c>
      <c r="E36" s="77" t="str">
        <f t="shared" si="0"/>
        <v>"[COMMON MISTAKES RULE] Include a short mistake note after each example | " &amp;</v>
      </c>
      <c r="F36" s="54" t="s">
        <v>224</v>
      </c>
    </row>
    <row r="37" spans="1:6">
      <c r="A37">
        <f t="shared" si="1"/>
        <v>63</v>
      </c>
      <c r="B37" s="84" t="s">
        <v>271</v>
      </c>
      <c r="C37" s="54" t="s">
        <v>203</v>
      </c>
      <c r="D37" s="94" t="s">
        <v>204</v>
      </c>
      <c r="E37" s="77" t="str">
        <f t="shared" si="0"/>
        <v>"[MINI CHALLENGE RULE] Include a short reinforcement question after each example | " &amp;</v>
      </c>
      <c r="F37" s="54" t="s">
        <v>224</v>
      </c>
    </row>
    <row r="38" spans="1:6">
      <c r="A38">
        <f t="shared" si="1"/>
        <v>51</v>
      </c>
      <c r="B38" s="84" t="s">
        <v>271</v>
      </c>
      <c r="C38" s="54" t="s">
        <v>205</v>
      </c>
      <c r="D38" s="94" t="s">
        <v>206</v>
      </c>
      <c r="E38" s="77" t="str">
        <f t="shared" si="0"/>
        <v>"[REAL WORLD RULE] Connect each example to a real-world use case | " &amp;</v>
      </c>
      <c r="F38" s="54" t="s">
        <v>224</v>
      </c>
    </row>
    <row r="39" spans="1:6">
      <c r="A39">
        <f t="shared" si="1"/>
        <v>45</v>
      </c>
      <c r="B39" s="84" t="s">
        <v>271</v>
      </c>
      <c r="C39" s="54" t="s">
        <v>207</v>
      </c>
      <c r="D39" s="94" t="s">
        <v>208</v>
      </c>
      <c r="E39" s="77" t="str">
        <f t="shared" si="0"/>
        <v>"[FORMAT RULE] Only valid markdown code blocks allowed | " &amp;</v>
      </c>
      <c r="F39" s="54" t="s">
        <v>224</v>
      </c>
    </row>
    <row r="40" spans="1:6">
      <c r="A40">
        <f t="shared" si="1"/>
        <v>120</v>
      </c>
      <c r="B40" s="84" t="s">
        <v>271</v>
      </c>
      <c r="C40" s="54" t="s">
        <v>209</v>
      </c>
      <c r="D40" s="94" t="s">
        <v>210</v>
      </c>
      <c r="E40" s="77" t="str">
        <f t="shared" si="0"/>
        <v>"[LANGUAGE TAG RULE] ALWAYS label markdown code blocks with the correct underlying programming language (e.g., python, javascript, sql) | " &amp;</v>
      </c>
      <c r="F40" s="54" t="s">
        <v>224</v>
      </c>
    </row>
    <row r="41" spans="1:6">
      <c r="A41">
        <f t="shared" si="1"/>
        <v>58</v>
      </c>
      <c r="B41" s="84" t="s">
        <v>271</v>
      </c>
      <c r="C41" s="54" t="s">
        <v>212</v>
      </c>
      <c r="D41" s="94" t="s">
        <v>213</v>
      </c>
      <c r="E41" s="77" t="str">
        <f t="shared" si="0"/>
        <v>"[CONSISTENCY RULE] All examples MUST have similar complexity and length | " &amp;</v>
      </c>
      <c r="F41" s="54" t="s">
        <v>224</v>
      </c>
    </row>
    <row r="42" spans="1:6">
      <c r="A42">
        <f t="shared" si="1"/>
        <v>75</v>
      </c>
      <c r="B42" s="84" t="s">
        <v>271</v>
      </c>
      <c r="C42" s="54" t="s">
        <v>214</v>
      </c>
      <c r="D42" s="94" t="s">
        <v>232</v>
      </c>
      <c r="E42" s="77" t="str">
        <f t="shared" si="0"/>
        <v>"[FINAL OUTPUT RULE] Include Key Takeaway section at the end | " &amp; IF(AJ9&lt;&gt;"", AJ9, "") &amp;" | " &amp;</v>
      </c>
      <c r="F42" s="54" t="s">
        <v>224</v>
      </c>
    </row>
    <row r="43" spans="1:6">
      <c r="A43">
        <f t="shared" si="1"/>
        <v>422</v>
      </c>
      <c r="B43" s="84" t="s">
        <v>271</v>
      </c>
      <c r="C43" s="54" t="s">
        <v>174</v>
      </c>
      <c r="D43" s="94" t="s">
        <v>704</v>
      </c>
      <c r="E43" s="77" t="str">
        <f t="shared" si="0"/>
        <v>"[DATA RULE - STRICT] STRICT AMNESIA: IGNORE all past datasets/files. Use ONLY current attachments. IF FILE ATTACHED: Acknowledge it, place Dataset Summary (Type, Structure, Columns, Data Types) IMMEDIATELY AFTER HEADER, and use it for ALL examples. IF NO FILE: Explicitly print 'No synthetic data file was provided for this topic. Generating dummy data.' (translate to " &amp; $B$6 &amp; "), generate minimal dummy data internally, skip summary. | " &amp;</v>
      </c>
      <c r="F43" s="54" t="s">
        <v>224</v>
      </c>
    </row>
    <row r="44" spans="1:6">
      <c r="A44">
        <f t="shared" si="1"/>
        <v>152</v>
      </c>
      <c r="B44" s="84" t="s">
        <v>271</v>
      </c>
      <c r="C44" s="54" t="s">
        <v>175</v>
      </c>
      <c r="D44" s="94" t="s">
        <v>176</v>
      </c>
      <c r="E44" s="77" t="str">
        <f t="shared" si="0"/>
        <v>"[DATA SUMMARY FORMAT RULE] When a dataset is present, you MUST display IMMEDIATELY AFTER THE HEADER: Dataset Summary: - File Type: - Columns / Fields: - Data Types: - Notes: | " &amp;</v>
      </c>
      <c r="F44" s="54" t="s">
        <v>224</v>
      </c>
    </row>
    <row r="45" spans="1:6">
      <c r="A45">
        <f t="shared" si="1"/>
        <v>28</v>
      </c>
      <c r="B45" s="84" t="s">
        <v>271</v>
      </c>
      <c r="C45" s="54" t="s">
        <v>192</v>
      </c>
      <c r="D45" s="94" t="s">
        <v>193</v>
      </c>
      <c r="E45" s="77" t="str">
        <f t="shared" si="0"/>
        <v>"[DATA CONSISTENCY RULE] Respect dataset schema | " &amp;</v>
      </c>
      <c r="F45" s="54" t="s">
        <v>224</v>
      </c>
    </row>
    <row r="46" spans="1:6">
      <c r="A46">
        <f t="shared" si="1"/>
        <v>87</v>
      </c>
      <c r="B46" s="84" t="s">
        <v>271</v>
      </c>
      <c r="C46" s="54" t="s">
        <v>185</v>
      </c>
      <c r="D46" s="94" t="s">
        <v>186</v>
      </c>
      <c r="E46" s="77" t="str">
        <f t="shared" si="0"/>
        <v>"[COMMENT DENSITY RULE] Beginner = high, Intermediate = medium, Advanced = lower but present in key logic | " &amp;</v>
      </c>
      <c r="F46" s="54" t="s">
        <v>224</v>
      </c>
    </row>
    <row r="47" spans="1:6">
      <c r="A47">
        <f t="shared" si="1"/>
        <v>33</v>
      </c>
      <c r="B47" s="84" t="s">
        <v>271</v>
      </c>
      <c r="C47" s="54" t="s">
        <v>195</v>
      </c>
      <c r="D47" s="94" t="s">
        <v>196</v>
      </c>
      <c r="E47" s="77" t="str">
        <f t="shared" si="0"/>
        <v>"[DIFFICULTY RULE] Complexity MUST match level | " &amp;</v>
      </c>
      <c r="F47" s="54" t="s">
        <v>224</v>
      </c>
    </row>
    <row r="48" spans="1:6">
      <c r="A48">
        <f t="shared" si="1"/>
        <v>78</v>
      </c>
      <c r="B48" s="84" t="s">
        <v>271</v>
      </c>
      <c r="C48" s="54" t="s">
        <v>216</v>
      </c>
      <c r="D48" s="94" t="s">
        <v>217</v>
      </c>
      <c r="E48" s="77" t="str">
        <f t="shared" si="0"/>
        <v>"[OUTPUT] Only header, introduction, examples, outputs, notes, summary, and footer | " &amp;</v>
      </c>
      <c r="F48" s="54" t="s">
        <v>224</v>
      </c>
    </row>
    <row r="49" spans="1:6">
      <c r="A49">
        <f t="shared" si="1"/>
        <v>166</v>
      </c>
      <c r="B49" s="84" t="s">
        <v>271</v>
      </c>
      <c r="C49" s="54" t="s">
        <v>220</v>
      </c>
      <c r="D49" s="94" t="s">
        <v>233</v>
      </c>
      <c r="E49" s="77" t="str">
        <f>IF(D49="","",""""&amp;C49&amp;" "&amp;IF(C49="[FOOTER RULE - STRICT]",D49,IF(RIGHT(D49,6)=" | "&amp;CHAR(34)&amp;" &amp;",D49,D49&amp;" | "&amp;CHAR(34)&amp;" &amp;")))</f>
        <v>"[FOOTER RULE - STRICT] End your entire response EXACTLY with this markdown string (ensure all code blocks are closed before it): ⚡ *Coding5s System — Learn Programming by Writing Code* | ",</v>
      </c>
      <c r="F49" s="54" t="s">
        <v>224</v>
      </c>
    </row>
    <row r="50" spans="1:6">
      <c r="B50" s="84"/>
      <c r="C50" s="54"/>
      <c r="D50" s="94"/>
      <c r="E50" s="88" t="str">
        <f>"IF(H9=""PROJECT"", Z9, """"))"</f>
        <v>IF(H9="PROJECT", Z9, ""))</v>
      </c>
      <c r="F50" s="54"/>
    </row>
    <row r="51" spans="1:6">
      <c r="B51" s="74"/>
      <c r="C51" s="74"/>
      <c r="E51" s="86"/>
    </row>
    <row r="52" spans="1:6">
      <c r="B52" s="74"/>
      <c r="C52" s="74"/>
      <c r="E52" s="86"/>
    </row>
    <row r="53" spans="1:6" ht="36">
      <c r="B53" s="79" t="s">
        <v>447</v>
      </c>
      <c r="C53" s="74"/>
      <c r="E53" s="86"/>
    </row>
    <row r="54" spans="1:6">
      <c r="B54" s="76" t="s">
        <v>264</v>
      </c>
      <c r="C54" s="76" t="s">
        <v>579</v>
      </c>
      <c r="D54" s="76" t="s">
        <v>580</v>
      </c>
      <c r="E54" s="88" t="s">
        <v>265</v>
      </c>
      <c r="F54" s="32" t="s">
        <v>224</v>
      </c>
    </row>
    <row r="55" spans="1:6">
      <c r="B55" s="54" t="s">
        <v>222</v>
      </c>
      <c r="C55" s="54" t="s">
        <v>162</v>
      </c>
      <c r="D55" s="94" t="s">
        <v>268</v>
      </c>
      <c r="E55" s="77" t="str">
        <f>IF(D55="","",""""&amp;C55&amp;" "&amp;IF(C55="[FOOTER RULE - STRICT]",D55,IF(RIGHT(D55,6)=" | "&amp;CHAR(34)&amp;" &amp;",D55,D55&amp;" | "&amp;CHAR(34)&amp;" &amp;")))</f>
        <v>"[TASK] Teach through a practical " &amp; $I$2 &amp; " - " &amp; $I$3 &amp; " project following the micro-learning methodology, acting as a supportive tutor, creating a project about  " &amp; I9 &amp; " | " &amp;</v>
      </c>
      <c r="F55" s="32" t="s">
        <v>224</v>
      </c>
    </row>
    <row r="56" spans="1:6">
      <c r="B56" s="54" t="s">
        <v>222</v>
      </c>
      <c r="C56" s="54" t="s">
        <v>253</v>
      </c>
      <c r="D56" s="94" t="s">
        <v>712</v>
      </c>
      <c r="E56" s="77" t="str">
        <f t="shared" ref="E56:E79" si="2">IF(D56="","",""""&amp;C56&amp;" "&amp;IF(C56="[FOOTER RULE - STRICT]",D56,IF(RIGHT(D56,6)=" | "&amp;CHAR(34)&amp;" &amp;",D56,D56&amp;" | "&amp;CHAR(34)&amp;" &amp;")))</f>
        <v>"[TOPICS USED] " &amp; A9 &amp; " | " &amp;</v>
      </c>
      <c r="F56" s="32" t="s">
        <v>224</v>
      </c>
    </row>
    <row r="57" spans="1:6">
      <c r="B57" s="54" t="s">
        <v>222</v>
      </c>
      <c r="C57" s="54" t="s">
        <v>166</v>
      </c>
      <c r="D57" s="94" t="s">
        <v>167</v>
      </c>
      <c r="E57" s="77" t="str">
        <f t="shared" si="2"/>
        <v>"[LEVEL] " &amp; G9 &amp; " | " &amp;</v>
      </c>
      <c r="F57" s="32" t="s">
        <v>224</v>
      </c>
    </row>
    <row r="58" spans="1:6">
      <c r="B58" s="54" t="s">
        <v>222</v>
      </c>
      <c r="C58" s="54" t="s">
        <v>229</v>
      </c>
      <c r="D58" s="94" t="s">
        <v>267</v>
      </c>
      <c r="E58" s="77" t="str">
        <f t="shared" si="2"/>
        <v>"[LIBRARY BEING LEARNED] " &amp; $I$3 &amp; " | " &amp;</v>
      </c>
      <c r="F58" s="32" t="s">
        <v>224</v>
      </c>
    </row>
    <row r="59" spans="1:6">
      <c r="B59" s="83" t="s">
        <v>223</v>
      </c>
      <c r="C59" s="32" t="s">
        <v>225</v>
      </c>
      <c r="D59" s="137" t="str">
        <f>"If a module or ecosystem like Pandas or Numpy is specified in "&amp; CHAR(34) &amp;" &amp; $I$3 &amp; "&amp; CHAR(34) &amp;", you are CRITICALLY FORBIDDEN from using "&amp; Variables!E16 &amp;". You MUST enforce the "&amp; Variables!E17 &amp;" and data structures of that specific library." &amp; " | " &amp; CHAR(34) &amp; " &amp;"</f>
        <v>If a module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59" s="77"/>
      <c r="F59" s="32" t="s">
        <v>224</v>
      </c>
    </row>
    <row r="60" spans="1:6">
      <c r="B60" s="54" t="s">
        <v>222</v>
      </c>
      <c r="C60" s="54" t="s">
        <v>172</v>
      </c>
      <c r="D60" s="94" t="s">
        <v>254</v>
      </c>
      <c r="E60" s="7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60" s="32" t="s">
        <v>224</v>
      </c>
    </row>
    <row r="61" spans="1:6">
      <c r="B61" s="54" t="s">
        <v>222</v>
      </c>
      <c r="C61" s="54" t="s">
        <v>491</v>
      </c>
      <c r="D61" s="94" t="s">
        <v>483</v>
      </c>
      <c r="E61" s="77" t="str">
        <f t="shared" si="2"/>
        <v>"[LANGUAGE SEED CONTEXT] " &amp; IF($AE$7 = "", "Language Seed Not Necessary", "You MUST strictly follow this seed context to enhance, adapt, and naturalize your tone, vocabulary, and instructional quality in " &amp; $B$6 &amp; ": " &amp; $AE$7) &amp; " | " &amp;</v>
      </c>
      <c r="F61" s="32" t="s">
        <v>224</v>
      </c>
    </row>
    <row r="62" spans="1:6">
      <c r="B62" s="54" t="s">
        <v>222</v>
      </c>
      <c r="C62" s="54" t="s">
        <v>218</v>
      </c>
      <c r="D62" s="94" t="s">
        <v>219</v>
      </c>
      <c r="E62" s="77" t="str">
        <f t="shared" si="2"/>
        <v>"[LANGUAGE] " &amp; $B$6 &amp; " | " &amp;</v>
      </c>
      <c r="F62" s="32" t="s">
        <v>224</v>
      </c>
    </row>
    <row r="63" spans="1:6">
      <c r="B63" s="54" t="s">
        <v>223</v>
      </c>
      <c r="C63" s="54" t="s">
        <v>230</v>
      </c>
      <c r="D63" s="94"/>
      <c r="E63" s="77" t="str">
        <f t="shared" ref="E63:E64" si="3">IF(D63="","",""""&amp;C63&amp;" "&amp;IF(C63="[FOOTER RULE - STRICT]",D63,IF(RIGHT(D63,6)=" | "&amp;CHAR(34)&amp;" &amp;",D63,D63&amp;" | "&amp;CHAR(34)&amp;" &amp;")))</f>
        <v/>
      </c>
      <c r="F63" s="32" t="s">
        <v>224</v>
      </c>
    </row>
    <row r="64" spans="1:6">
      <c r="B64" s="54" t="s">
        <v>223</v>
      </c>
      <c r="C64" s="54" t="s">
        <v>230</v>
      </c>
      <c r="D64" s="94"/>
      <c r="E64" s="77" t="str">
        <f t="shared" si="3"/>
        <v/>
      </c>
      <c r="F64" s="32" t="s">
        <v>224</v>
      </c>
    </row>
    <row r="65" spans="2:6">
      <c r="B65" s="54" t="s">
        <v>223</v>
      </c>
      <c r="C65" s="32" t="s">
        <v>601</v>
      </c>
      <c r="D65" s="137" t="str">
        <f>"If using external packages, use " &amp; Variables!E6 &amp; " at the top of the code block. Assume no project configuration file exists." &amp; " | " &amp; CHAR(34) &amp; " &amp;"</f>
        <v>If using external packages, use Native OTP behaviors (GenServer, Supervisor, Agent, Task), Kernel functions, and BEAM supervision trees. at the top of the code block. Assume no project configuration file exists. | " &amp;</v>
      </c>
      <c r="E65" s="77" t="str">
        <f t="shared" si="2"/>
        <v>"[INLINE_PACKAGE_MANAGER] If using external packages, use Native OTP behaviors (GenServer, Supervisor, Agent, Task), Kernel functions, and BEAM supervision trees. at the top of the code block. Assume no project configuration file exists. | " &amp;</v>
      </c>
      <c r="F65" s="32" t="s">
        <v>224</v>
      </c>
    </row>
    <row r="66" spans="2:6">
      <c r="B66" s="54" t="s">
        <v>223</v>
      </c>
      <c r="C66" s="32" t="s">
        <v>608</v>
      </c>
      <c r="D66" s="137" t="str">
        <f>Variables!E21</f>
        <v>Standard OTP process and state validation using ExUnit assert/refute macros and Process tracking.</v>
      </c>
      <c r="E66" s="77" t="str">
        <f t="shared" si="2"/>
        <v>"[CODE_CONSTRAINTS_RULE] Standard OTP process and state validation using ExUnit assert/refute macros and Process tracking. | " &amp;</v>
      </c>
      <c r="F66" s="32" t="s">
        <v>224</v>
      </c>
    </row>
    <row r="67" spans="2:6">
      <c r="B67" s="54" t="s">
        <v>223</v>
      </c>
      <c r="C67" s="32" t="s">
        <v>616</v>
      </c>
      <c r="D67" s="137" t="str">
        <f>"1. Use " &amp; Variables!E18 &amp; " to map code to the planning phase. 2. Use " &amp; Variables!E19 &amp; ". 3. CRITICAL: NO comment or docstring line may exceed " &amp; Variables!E20 &amp; " in width. | " &amp; CHAR(34) &amp; " &amp;"</f>
        <v>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E67" s="77" t="str">
        <f t="shared" si="2"/>
        <v>"[VISUAL_ARCHITECTURE_COMMENTS] 1. Use visual section comments separating functional blocks, e.g. '# --- BLOCK 1: [NAME] ---' to map code to the planning phase. 2. Use comprehensive @moduledoc/@doc documentation plus @spec when useful, covering arguments, returns, and errors. 3. CRITICAL: NO comment or docstring line may exceed 98 characters, aligned with standard mix format line length in width. | " &amp;</v>
      </c>
      <c r="F67" s="32" t="s">
        <v>224</v>
      </c>
    </row>
    <row r="68" spans="2:6">
      <c r="B68" s="84" t="s">
        <v>271</v>
      </c>
      <c r="C68" s="54" t="s">
        <v>190</v>
      </c>
      <c r="D68" s="94" t="s">
        <v>419</v>
      </c>
      <c r="E68" s="77" t="str">
        <f t="shared" si="2"/>
        <v>"[DATA ROBUSTNESS RULE] Handle real-world data safely | " &amp;</v>
      </c>
      <c r="F68" s="32" t="s">
        <v>224</v>
      </c>
    </row>
    <row r="69" spans="2:6">
      <c r="B69" s="84" t="s">
        <v>271</v>
      </c>
      <c r="C69" s="54" t="s">
        <v>178</v>
      </c>
      <c r="D69" s="94" t="s">
        <v>598</v>
      </c>
      <c r="E69" s="77" t="str">
        <f t="shared" si="2"/>
        <v>"[CODE CONSTRAINTS] MUST be between " &amp; IF(G9="Beginner", "25–40", IF(G9="Intermediate", "30–60", "40–100")) &amp; " lines (STRICT) - Multi-step flow | " &amp;</v>
      </c>
      <c r="F69" s="32" t="s">
        <v>224</v>
      </c>
    </row>
    <row r="70" spans="2:6">
      <c r="B70" s="84" t="s">
        <v>271</v>
      </c>
      <c r="C70" s="54" t="s">
        <v>194</v>
      </c>
      <c r="D70" s="94" t="s">
        <v>425</v>
      </c>
      <c r="E70" s="77" t="str">
        <f t="shared" si="2"/>
        <v>"[SUPPORT FILES RULE] Include config files before code if needed | " &amp;</v>
      </c>
      <c r="F70" s="32" t="s">
        <v>224</v>
      </c>
    </row>
    <row r="71" spans="2:6">
      <c r="B71" s="84" t="s">
        <v>271</v>
      </c>
      <c r="C71" s="54" t="s">
        <v>174</v>
      </c>
      <c r="D71" s="94" t="s">
        <v>255</v>
      </c>
      <c r="E71"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71" s="32" t="s">
        <v>224</v>
      </c>
    </row>
    <row r="72" spans="2:6">
      <c r="B72" s="84" t="s">
        <v>271</v>
      </c>
      <c r="C72" s="54" t="s">
        <v>177</v>
      </c>
      <c r="D72" s="94" t="s">
        <v>256</v>
      </c>
      <c r="E72" s="77" t="str">
        <f t="shared" si="2"/>
        <v>"[OUTPUT CONTRACT] EXACTLY 1 project following this structure: 1. Objective (friendly tone) 2. Support File (if mock text file is needed, provide plaintext block) 3. Code Planning (List Libraries, outline Functional Structure mapped to blocks, and include ONE '⚠️ Friction Point/Gotcha' warning) 4. Expected Output 5. Code | " &amp;</v>
      </c>
      <c r="F72" s="32" t="s">
        <v>224</v>
      </c>
    </row>
    <row r="73" spans="2:6">
      <c r="B73" s="84" t="s">
        <v>271</v>
      </c>
      <c r="C73" s="54" t="s">
        <v>180</v>
      </c>
      <c r="D73" s="94" t="s">
        <v>257</v>
      </c>
      <c r="E73" s="77" t="str">
        <f t="shared" si="2"/>
        <v>"[CODE QUALITY RULE] Code MUST be clean, readable, correct, and educational | " &amp;</v>
      </c>
      <c r="F73" s="32" t="s">
        <v>224</v>
      </c>
    </row>
    <row r="74" spans="2:6">
      <c r="B74" s="84" t="s">
        <v>271</v>
      </c>
      <c r="C74" s="54" t="s">
        <v>207</v>
      </c>
      <c r="D74" s="94" t="s">
        <v>258</v>
      </c>
      <c r="E74" s="77" t="str">
        <f t="shared" si="2"/>
        <v>"[FORMAT RULE] Only markdown code blocks allowed | " &amp;</v>
      </c>
      <c r="F74" s="32" t="s">
        <v>224</v>
      </c>
    </row>
    <row r="75" spans="2:6">
      <c r="B75" s="84" t="s">
        <v>271</v>
      </c>
      <c r="C75" s="54" t="s">
        <v>259</v>
      </c>
      <c r="D75" s="94" t="s">
        <v>260</v>
      </c>
      <c r="E75" s="77" t="str">
        <f t="shared" si="2"/>
        <v>"[EXECUTION RULE] Code MUST run and produce correct output | " &amp;</v>
      </c>
      <c r="F75" s="32" t="s">
        <v>224</v>
      </c>
    </row>
    <row r="76" spans="2:6">
      <c r="B76" s="84" t="s">
        <v>271</v>
      </c>
      <c r="C76" s="54" t="s">
        <v>212</v>
      </c>
      <c r="D76" s="94" t="s">
        <v>261</v>
      </c>
      <c r="E76" s="77" t="str">
        <f t="shared" si="2"/>
        <v>"[CONSISTENCY RULE] Project must match objective | " &amp;</v>
      </c>
      <c r="F76" s="32" t="s">
        <v>224</v>
      </c>
    </row>
    <row r="77" spans="2:6">
      <c r="B77" s="84" t="s">
        <v>271</v>
      </c>
      <c r="C77" s="54" t="s">
        <v>215</v>
      </c>
      <c r="D77" s="94" t="s">
        <v>582</v>
      </c>
      <c r="E77" s="77" t="str">
        <f t="shared" si="2"/>
        <v>"[HEADER RULE - STRICT] You MUST start your entire response EXACTLY with this markdown block (do not print anything before it):" &amp; CHAR(10) &amp; "### 🚀 Project #" &amp; F9 &amp; " | Stage 1 | " &amp; IF($I$3="", $I$2, $I$2&amp; " - " &amp;$I$3) &amp; " | 📊 Level: " &amp; G9 &amp; " | 🌐 Coding5s.com" &amp; CHAR(10) &amp; "**Project:** " &amp; J9 &amp; CHAR(10) &amp; "---" &amp; CHAR(10) &amp; " | " &amp;</v>
      </c>
      <c r="F77" s="32" t="s">
        <v>224</v>
      </c>
    </row>
    <row r="78" spans="2:6">
      <c r="B78" s="84" t="s">
        <v>271</v>
      </c>
      <c r="C78" s="54" t="s">
        <v>216</v>
      </c>
      <c r="D78" s="94" t="s">
        <v>262</v>
      </c>
      <c r="E78" s="77" t="str">
        <f t="shared" si="2"/>
        <v>"[OUTPUT] Only header, dataset notice, objective, support file, code planning, expected output, code, and footer | " &amp;</v>
      </c>
      <c r="F78" s="32" t="s">
        <v>224</v>
      </c>
    </row>
    <row r="79" spans="2:6">
      <c r="B79" s="84" t="s">
        <v>271</v>
      </c>
      <c r="C79" s="54" t="s">
        <v>220</v>
      </c>
      <c r="D79" s="94" t="s">
        <v>263</v>
      </c>
      <c r="E79" s="77" t="str">
        <f t="shared" si="2"/>
        <v>"[FOOTER RULE - STRICT] End your entire response EXACTLY with this markdown string (ensure all code blocks are closed before it):" &amp; CHAR(10) &amp; "---" &amp; CHAR(10) &amp; "⚡ *Coding5s System — Learn Programming by Writing Code*")</v>
      </c>
      <c r="F79" s="32" t="s">
        <v>224</v>
      </c>
    </row>
    <row r="80" spans="2:6">
      <c r="E80" s="86"/>
      <c r="F80" t="s">
        <v>224</v>
      </c>
    </row>
    <row r="82" spans="2:6" ht="36">
      <c r="B82" s="80" t="s">
        <v>269</v>
      </c>
    </row>
    <row r="83" spans="2:6">
      <c r="B83" s="76" t="s">
        <v>221</v>
      </c>
      <c r="C83" s="76" t="s">
        <v>579</v>
      </c>
      <c r="D83" s="76" t="s">
        <v>580</v>
      </c>
      <c r="E83" s="88" t="s">
        <v>234</v>
      </c>
      <c r="F83" s="54" t="s">
        <v>224</v>
      </c>
    </row>
    <row r="84" spans="2:6">
      <c r="B84" s="54" t="s">
        <v>222</v>
      </c>
      <c r="C84" s="54" t="s">
        <v>235</v>
      </c>
      <c r="D84" s="94" t="s">
        <v>249</v>
      </c>
      <c r="E84" s="77" t="str">
        <f t="shared" ref="E84:E104" si="4">IF(D84="","",""""&amp;C84&amp;" "&amp;IF(C84="[FOOTER RULE - STRICT]",D84,IF(RIGHT(D84,6)=" | "&amp;CHAR(34)&amp;" &amp;",D84,D84&amp;" | "&amp;CHAR(34)&amp;" &amp;")))</f>
        <v>"[MENTOR_S1_SAFE_GUIDE] Act as 'The Safe Guide' (El Hermano Mayor) - a World-Class Elite Technical Mentor for Stage 1 Practice specializing in " &amp; $I$2 &amp; " - " &amp; $I$3 &amp; ". Your personality is WARM, PATIENT, and REASSURING. You remember what it was like to be a beginner. Use phrases like 'Don't worry, we have all been there'. Joke lightly about forgetting syntax, missing colons, or Python indentation errors, but be RIGOROUS about mental models. Your goal is to build a safe environment while eliminating 'Vibe Coding' through Socratic Human Feedback (SoHF). | " &amp;</v>
      </c>
      <c r="F84" s="54" t="s">
        <v>224</v>
      </c>
    </row>
    <row r="85" spans="2:6">
      <c r="B85" s="54" t="s">
        <v>222</v>
      </c>
      <c r="C85" s="54" t="s">
        <v>236</v>
      </c>
      <c r="D85" s="94" t="s">
        <v>245</v>
      </c>
      <c r="E85" s="77" t="str">
        <f t="shared" si="4"/>
        <v>"[CULTURAL &amp; JARGON RULE] If the language (" &amp; $B$6 &amp; ") is Portuguese, act like a 'Sênior Brasileiro Parceiro' using warm local jargon (e.g., 'tranquilo cara', 'bora codar', 'todo mundo passa por isso'). If Spanish, use warm Latin American tech terminology (e.g., 'tranquilo, a todos nos pasa', 'vamos a ver'). Match the cultural vibe of a friendly big brother. | " &amp;</v>
      </c>
      <c r="F85" s="54" t="s">
        <v>224</v>
      </c>
    </row>
    <row r="86" spans="2:6">
      <c r="B86" s="54" t="s">
        <v>222</v>
      </c>
      <c r="C86" s="54" t="s">
        <v>237</v>
      </c>
      <c r="D86" s="94" t="s">
        <v>713</v>
      </c>
      <c r="E86" s="77" t="str">
        <f t="shared" si="4"/>
        <v>"[CONTEXT] You are helping a Junior Developer who is " &amp; IF(UPPER(H9)="PROJECT", "building a PROJECT: " &amp; I9 &amp; ". Topics applied in this project: " &amp; A9 &amp; ". Project objective: " &amp; J9, "learning: " &amp; I9 &amp; ". Topic details: " &amp; J9) &amp; " | " &amp;</v>
      </c>
      <c r="F86" s="54" t="s">
        <v>224</v>
      </c>
    </row>
    <row r="87" spans="2:6">
      <c r="B87" s="54" t="s">
        <v>222</v>
      </c>
      <c r="C87" s="54" t="s">
        <v>229</v>
      </c>
      <c r="D87" s="94" t="s">
        <v>267</v>
      </c>
      <c r="E87" s="77" t="str">
        <f t="shared" si="4"/>
        <v>"[LIBRARY BEING LEARNED] " &amp; $I$3 &amp; " | " &amp;</v>
      </c>
      <c r="F87" s="54"/>
    </row>
    <row r="88" spans="2:6">
      <c r="B88" s="54" t="s">
        <v>222</v>
      </c>
      <c r="C88" s="54" t="s">
        <v>172</v>
      </c>
      <c r="D88" s="94" t="s">
        <v>247</v>
      </c>
      <c r="E88" s="77" t="str">
        <f t="shared" si="4"/>
        <v>"[LANGUAGE CONSISTENCY RULE] ALL output text MUST be written strictly in (" &amp; $B$6 &amp; "). | " &amp;</v>
      </c>
      <c r="F88" s="54" t="s">
        <v>224</v>
      </c>
    </row>
    <row r="89" spans="2:6">
      <c r="B89" s="54" t="s">
        <v>222</v>
      </c>
      <c r="C89" s="54" t="s">
        <v>491</v>
      </c>
      <c r="D89" s="94" t="s">
        <v>483</v>
      </c>
      <c r="E89" s="77" t="str">
        <f t="shared" si="4"/>
        <v>"[LANGUAGE SEED CONTEXT] " &amp; IF($AE$7 = "", "Language Seed Not Necessary", "You MUST strictly follow this seed context to enhance, adapt, and naturalize your tone, vocabulary, and instructional quality in " &amp; $B$6 &amp; ": " &amp; $AE$7) &amp; " | " &amp;</v>
      </c>
      <c r="F89" s="54" t="s">
        <v>224</v>
      </c>
    </row>
    <row r="90" spans="2:6">
      <c r="B90" s="54" t="s">
        <v>222</v>
      </c>
      <c r="C90" s="54" t="s">
        <v>218</v>
      </c>
      <c r="D90" s="94" t="s">
        <v>250</v>
      </c>
      <c r="E90" s="77" t="str">
        <f>IF(D90="","",""""&amp;C90&amp;" "&amp;IF(C90="[FOOTER RULE - STRICT]",D90,IF(RIGHT(D90,6)=" | "&amp;CHAR(34)&amp;" &amp;",D90,D90&amp;" | "&amp;CHAR(34)&amp;" &amp;")))</f>
        <v>"[LANGUAGE] " &amp; $B$6 &amp;" | " &amp;</v>
      </c>
      <c r="F90" s="54" t="s">
        <v>224</v>
      </c>
    </row>
    <row r="91" spans="2:6">
      <c r="B91" s="54" t="s">
        <v>223</v>
      </c>
      <c r="C91" s="54" t="s">
        <v>230</v>
      </c>
      <c r="D91" s="94"/>
      <c r="E91" s="77" t="str">
        <f t="shared" ref="E91:E92" si="5">IF(D91="","",""""&amp;C91&amp;" "&amp;IF(C91="[FOOTER RULE - STRICT]",D91,IF(RIGHT(D91,6)=" | "&amp;CHAR(34)&amp;" &amp;",D91,D91&amp;" | "&amp;CHAR(34)&amp;" &amp;")))</f>
        <v/>
      </c>
      <c r="F91" s="54" t="s">
        <v>224</v>
      </c>
    </row>
    <row r="92" spans="2:6">
      <c r="B92" s="54" t="s">
        <v>223</v>
      </c>
      <c r="C92" s="54" t="s">
        <v>230</v>
      </c>
      <c r="D92" s="94"/>
      <c r="E92" s="77" t="str">
        <f t="shared" si="5"/>
        <v/>
      </c>
      <c r="F92" s="54" t="s">
        <v>224</v>
      </c>
    </row>
    <row r="93" spans="2:6">
      <c r="B93" s="54" t="s">
        <v>223</v>
      </c>
      <c r="C93" s="32" t="s">
        <v>620</v>
      </c>
      <c r="D93" s="94" t="str">
        <f>CHAR(34) &amp; " &amp; IF(G9=" &amp; CHAR(34) &amp; "Beginner" &amp; CHAR(34) &amp; ", " &amp; CHAR(34) &amp; Variables!E22 &amp; CHAR(34) &amp; ", IF(G9=" &amp; CHAR(34) &amp; "Intermediate" &amp; CHAR(34) &amp; ", " &amp; CHAR(34) &amp; Variables!E23 &amp; CHAR(34) &amp; ", " &amp; CHAR(34) &amp; Variables!E24 &amp; CHAR(34) &amp; ")) &amp; " &amp; CHAR(34) &amp; " | " &amp; CHAR(34) &amp; " &amp;"</f>
        <v>" &amp; IF(G9="Beginner", "Evaluate basic GenServer state init, handle_call responses, and simple client wrappers. Do NOT expect dynamic supervisors or multi-node distribution unless demanded.", IF(G9="Intermediate",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v>
      </c>
      <c r="E93" s="77" t="str">
        <f>IF(D93="","",""""&amp;C93&amp;" "&amp;IF(C93="[FOOTER RULE - STRICT]",D93,IF(RIGHT(D93,6)=" | "&amp;CHAR(34)&amp;" &amp;",D93,D93&amp;" | "&amp;CHAR(34)&amp;" &amp;")))</f>
        <v>"[MENTOR_SCOPE_EXPECTATIONS] " &amp; IF(G9="Beginner", "Evaluate basic GenServer state init, handle_call responses, and simple client wrappers. Do NOT expect dynamic supervisors or multi-node distribution unless demanded.", IF(G9="Intermediate", "Expect clean GenServer/Agent modules, explicit client API boundaries, handle_cast state updates, and @spec typespecs. Enforce zero raw receive-loop emulations.", "Expect modular supervision trees with Supervisor specs, dynamic worker spawning, restart strategies, and process monitoring.")) &amp; " | " &amp;</v>
      </c>
      <c r="F93" s="54" t="s">
        <v>224</v>
      </c>
    </row>
    <row r="94" spans="2:6">
      <c r="B94" s="54" t="s">
        <v>223</v>
      </c>
      <c r="C94" s="32" t="s">
        <v>621</v>
      </c>
      <c r="D94" s="94" t="str">
        <f>"Code MUST be idiomatic Python. " &amp; Variables!E25 &amp; " " &amp; Variables!E26 &amp; " " &amp; Variables!E27 &amp; " " &amp; Variables!E28 &amp; " | " &amp; CHAR(34) &amp; " &amp; IF(AJ9&lt;&gt;" &amp; CHAR(34) &amp; CHAR(34) &amp; ", " &amp; CHAR(34) &amp; "[MENTOR CONTEXT ALERT] Be aware of the following infrastructure limitation for this exercise: " &amp; CHAR(34) &amp; " &amp; AJ9 &amp; " &amp; CHAR(34) &amp; " Use this knowledge to reassure the student if they present an environment error. | " &amp; CHAR(34) &amp; ", " &amp; CHAR(34) &amp; CHAR(34) &amp; ") &amp; " &amp; CHAR(34) &amp; " | " &amp; CHAR(34) &amp; " &amp;"</f>
        <v>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IF(AJ9&lt;&gt;"", "[MENTOR CONTEXT ALERT] Be aware of the following infrastructure limitation for this exercise: " &amp; AJ9 &amp; " Use this knowledge to reassure the student if they present an environment error. | ", "") &amp; " | " &amp;</v>
      </c>
      <c r="E94" s="77" t="str">
        <f>IF(D94="","",""""&amp;C94&amp;" "&amp;IF(C94="[FOOTER RULE - STRICT]",D94,IF(RIGHT(D94,6)=" | "&amp;CHAR(34)&amp;" &amp;",D94,D94&amp;" | "&amp;CHAR(34)&amp;" &amp;")))</f>
        <v>"[CODE_QUALITY_POLICIES] Code MUST be idiomatic Python. Use descriptive snake_case for functions/variables/atoms, PascalCase for modules/structs, and snake_case for files. Use OTP behaviors (GenServer, Agent, Supervisor), pattern matching on state, and explicit conversion helpers. Reject raw process message loops when GenServer applies, unmanaged global process state, excessive term()/any() types, and monolithic undocumented OTP modules. Keep GenServer initial state definitions immutable; use function heads and pattern matching for conditional state initialization. | " &amp; IF(AJ9&lt;&gt;"", "[MENTOR CONTEXT ALERT] Be aware of the following infrastructure limitation for this exercise: " &amp; AJ9 &amp; " Use this knowledge to reassure the student if they present an environment error. | ", "") &amp; " | " &amp;</v>
      </c>
      <c r="F94" s="54" t="s">
        <v>224</v>
      </c>
    </row>
    <row r="95" spans="2:6">
      <c r="B95" s="84" t="s">
        <v>271</v>
      </c>
      <c r="C95" s="54" t="s">
        <v>174</v>
      </c>
      <c r="D95" s="94" t="s">
        <v>248</v>
      </c>
      <c r="E95" s="77" t="str">
        <f t="shared" si="4"/>
        <v>"[DATA RULE - STRICT] CRITICAL AMNESIA: Treat this prompt as isolated. If the student includes sample data (CSV, JSON, text), evaluate their code against THAT exact data. If NO data is provided but the topic requires it, assume generic dummy data. DO NOT hallucinate external files from previous conversations. | " &amp;</v>
      </c>
      <c r="F95" s="54" t="s">
        <v>224</v>
      </c>
    </row>
    <row r="96" spans="2:6">
      <c r="B96" s="84" t="s">
        <v>271</v>
      </c>
      <c r="C96" s="54" t="s">
        <v>238</v>
      </c>
      <c r="D96" s="94" t="s">
        <v>251</v>
      </c>
      <c r="E96" s="77" t="str">
        <f t="shared" si="4"/>
        <v>"[EMPTY INPUT HANDLING - STRICT] If student provided NO code/explanation: " &amp;CHAR(10)&amp; "1. HALT all phases. DO NOT output Phase 1, Barrier, or Phase 2. " &amp;CHAR(10)&amp; "2. Greet warmly (use name or 'Junior'/'Dev'). " &amp;CHAR(10)&amp; "3. Explain that practice requires seeing their attempt. " &amp;CHAR(10)&amp; "4. Firmly/kindly instruct them to reply with BOTH code AND explanation. " &amp;CHAR(10)&amp; "5. STRICT: DO NOT hallucinate code. End response immediately. | " &amp;</v>
      </c>
      <c r="F96" s="54" t="s">
        <v>224</v>
      </c>
    </row>
    <row r="97" spans="2:6">
      <c r="B97" s="84" t="s">
        <v>271</v>
      </c>
      <c r="C97" s="54" t="s">
        <v>162</v>
      </c>
      <c r="D97" s="94" t="s">
        <v>246</v>
      </c>
      <c r="E97" s="77" t="str">
        <f>IF(D97="","",""""&amp;C97&amp;" "&amp;IF(C97="[FOOTER RULE - STRICT]",D97,IF(RIGHT(D97,6)=" | "&amp;CHAR(34)&amp;" &amp;",D97,D97&amp;" | "&amp;CHAR(34)&amp;" &amp;")))</f>
        <v>"[TASK] Analyze the student's code and explanation. If the code is perfect, congratulate them warmly and provide 2 'Bonus Challenges'. Otherwise, follow the 2-PHASE MENTORING PROTOCOL | " &amp;</v>
      </c>
      <c r="F97" s="54" t="s">
        <v>224</v>
      </c>
    </row>
    <row r="98" spans="2:6">
      <c r="B98" s="84" t="s">
        <v>271</v>
      </c>
      <c r="C98" s="54" t="s">
        <v>239</v>
      </c>
      <c r="D98" s="94" t="s">
        <v>311</v>
      </c>
      <c r="E98" s="77" t="str">
        <f t="shared" si="4"/>
        <v>"[ATOMIC CODE PROTOCOL (MVCI) - STRICT] TRIGGER: Explanation requested or severe confusion. ACTION: Before Phase 1, deploy 'Cápsula Atómica'. RULES: 1. Purely abstract variables (e.g., x, datos); ZERO domain jargon. 2. NO accessory structures (NO 'def' unless teaching them). 3. MAX 4 lines: Input-&gt;Core-&gt;Run-&gt;Print. FORMAT: 1. Header '⚛️ Cápsula Atómica:' + 1 theory sentence (max 15 words). 2. Code block with inline data-flow comments. Final print MUST show expected output inline (e.g., 'print(x) # Salida: [2]'). 3. '🎯 Desafío Espejo:' ask to replicate logic with new numbers. | " &amp;</v>
      </c>
      <c r="F98" s="54" t="s">
        <v>224</v>
      </c>
    </row>
    <row r="99" spans="2:6">
      <c r="B99" s="84" t="s">
        <v>271</v>
      </c>
      <c r="C99" s="54" t="s">
        <v>240</v>
      </c>
      <c r="D99" s="94" t="s">
        <v>307</v>
      </c>
      <c r="E99" s="77" t="str">
        <f t="shared" si="4"/>
        <v>"[PHASE 1: SOCRATIC HINT &amp; NO KEYBOARD RULE - STRICT] 1. EXPLANATION CHECK: Warmly remind the student to explain their logic (Rubber Ducking) if they only pasted code. 2. NO KEYBOARD RULE: PROHIBITED from providing corrected code blocks in this phase. Point out errors but force them to type the fix. 3. ANALOGY: Use a comforting real-world analogy specific to the " &amp; IF(UPPER(H9)="PROJECT", "PROJECT", "TOPIC") &amp; " to explain the conceptual failure. 4. MUST include a section exactly titled '🔍 Code Observations:' listing syntax/logical errors and line numbers without giving solutions. 5. MUST include a section exactly titled '🧠 Socratic Question:' posing a 'What-If' scenario to eliminate Epistemic Debt. 6. MUST include a section exactly titled '🚀 Next Step:' directing them to check specific documentation, built-in functions, or guidelines. | " &amp;</v>
      </c>
      <c r="F99" s="54" t="s">
        <v>224</v>
      </c>
    </row>
    <row r="100" spans="2:6">
      <c r="B100" s="84" t="s">
        <v>271</v>
      </c>
      <c r="C100" s="54" t="s">
        <v>241</v>
      </c>
      <c r="D100" s="94" t="s">
        <v>310</v>
      </c>
      <c r="E100" s="77" t="str">
        <f t="shared" si="4"/>
        <v>"[EXPLANATION GATE &amp; SCROLL BARRIER] After Phase 1, you MUST insert exactly this visual separator:" &amp; CHAR(10) &amp; "------------------------------------------------------------" &amp; CHAR(10) &amp; "🛑 THE EXPLANATION GATE 🛑" &amp; CHAR(10) &amp; "Before scrolling down to see the Master Code, articulate WHY you think your logic failed. Copy-pasting without understanding builds Epistemic Debt." &amp; CHAR(10) &amp; "------------------------------------------------------------ | " &amp;</v>
      </c>
      <c r="F100" s="54" t="s">
        <v>224</v>
      </c>
    </row>
    <row r="101" spans="2:6">
      <c r="B101" s="84" t="s">
        <v>271</v>
      </c>
      <c r="C101" s="54" t="s">
        <v>242</v>
      </c>
      <c r="D101" s="94" t="s">
        <v>252</v>
      </c>
      <c r="E101" s="77" t="str">
        <f t="shared" si="4"/>
        <v>"[MINIMAL INTERVENTION RULE - STRICT] DO NOT over-engineer or refactor into 'production' code. Fix ONLY the syntax/logic error. If student code works, Phase 2 Master Code MUST be their EXACT original code, modified ONLY by adding inline comments. DO NOT add missing concepts (e.g., filter()), type hints, or new modules unless student attempted them. Keep original variable names and structure intact. | " &amp;</v>
      </c>
      <c r="F101" s="54" t="s">
        <v>224</v>
      </c>
    </row>
    <row r="102" spans="2:6">
      <c r="B102" s="84" t="s">
        <v>271</v>
      </c>
      <c r="C102" s="54" t="s">
        <v>244</v>
      </c>
      <c r="D102" s="94" t="s">
        <v>308</v>
      </c>
      <c r="E102" s="77" t="str">
        <f t="shared" si="4"/>
        <v>"[PHASE 2: FULL SOLUTION - STRICT] 1. Provide the clean, idiomatic " &amp; $I$2 &amp; " code, and fully functional " &amp; $I$2 &amp; " code block obeying the Minimal Intervention Rule. 2. INLINE COMMENTS: Inside the code block, MUST add comments next to corrected lines explaining WHAT was fixed from the student's original code. 3. Explain every symbol or reserved word used. 4. Include a section exactly titled '⚠️ Common Mistakes:' related to this specific " &amp; IF(UPPER(H9)="PROJECT", "project", "topic") &amp; ". 5. Provide a section exactly titled '🏋️ Mini-Challenges:' with 2 tasks to reinforce the fix. | " &amp;</v>
      </c>
      <c r="F102" s="54" t="s">
        <v>224</v>
      </c>
    </row>
    <row r="103" spans="2:6">
      <c r="B103" s="84" t="s">
        <v>271</v>
      </c>
      <c r="C103" s="54" t="s">
        <v>215</v>
      </c>
      <c r="D103" s="94" t="s">
        <v>583</v>
      </c>
      <c r="E103" s="77" t="str">
        <f t="shared" si="4"/>
        <v>"[HEADER RULE - STRICT] You MUST start your entire response exactly with the following RAW markdown block (do NOT strip the '#' characters):" &amp; CHAR(10) &amp; "### 🎓 Mentor Stage 1 | " &amp; IF(UPPER(H9)="PROJECT", "Project #", "Topic #") &amp; F9 &amp; " | Practice | " &amp; IF($I$3="", $I$2, $I$2&amp; " - " &amp;$I$3) &amp; " | 📊 Level: " &amp; G9 &amp; CHAR(10) &amp; "**" &amp; IF(UPPER(H9)="PROJECT", "Project", "Topic") &amp; ":** " &amp; I9 &amp; CHAR(10) &amp; "---" &amp; CHAR(10) &amp; " | " &amp;</v>
      </c>
      <c r="F103" s="54" t="s">
        <v>224</v>
      </c>
    </row>
    <row r="104" spans="2:6">
      <c r="B104" s="84" t="s">
        <v>271</v>
      </c>
      <c r="C104" s="54" t="s">
        <v>220</v>
      </c>
      <c r="D104" s="94" t="s">
        <v>309</v>
      </c>
      <c r="E104" s="77" t="str">
        <f t="shared" si="4"/>
        <v>"[FOOTER RULE - STRICT] End your response with: '--- ⚡ *Coding5s Mentor System — Eliminating Epistemic Debt*' | ","")</v>
      </c>
      <c r="F104" s="54" t="s">
        <v>224</v>
      </c>
    </row>
  </sheetData>
  <conditionalFormatting sqref="B1:B1048576">
    <cfRule type="cellIs" dxfId="56" priority="19" operator="equal">
      <formula>"The Immutable ""Kernel"""</formula>
    </cfRule>
    <cfRule type="cellIs" dxfId="55" priority="20" operator="equal">
      <formula>"Paradigm &amp; Ecosystem"</formula>
    </cfRule>
    <cfRule type="cellIs" dxfId="54" priority="21" operator="equal">
      <formula>"Global Variables &amp; Configuration"</formula>
    </cfRule>
  </conditionalFormatting>
  <conditionalFormatting sqref="C4:C50">
    <cfRule type="expression" dxfId="53" priority="16">
      <formula>$B4="The Immutable Kernel"</formula>
    </cfRule>
    <cfRule type="expression" dxfId="52" priority="17">
      <formula>$B4="Paradigm &amp; Ecosystem"</formula>
    </cfRule>
    <cfRule type="expression" dxfId="51" priority="18">
      <formula>$B4="Global Variables &amp; Configuration"</formula>
    </cfRule>
  </conditionalFormatting>
  <conditionalFormatting sqref="C55:C79">
    <cfRule type="expression" dxfId="50" priority="1">
      <formula>$B55="The Immutable Kernel"</formula>
    </cfRule>
    <cfRule type="expression" dxfId="49" priority="2">
      <formula>$B55="Paradigm &amp; Ecosystem"</formula>
    </cfRule>
    <cfRule type="expression" dxfId="48" priority="3">
      <formula>$B55="Global Variables &amp; Configuration"</formula>
    </cfRule>
  </conditionalFormatting>
  <conditionalFormatting sqref="C84:C104">
    <cfRule type="expression" dxfId="47" priority="10">
      <formula>$B84="The Immutable Kernel"</formula>
    </cfRule>
    <cfRule type="expression" dxfId="46" priority="11">
      <formula>$B84="Paradigm &amp; Ecosystem"</formula>
    </cfRule>
    <cfRule type="expression" dxfId="45" priority="12">
      <formula>$B84="Global Variables &amp; Configuration"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44C0D-B07E-409E-B83B-9ECCA7DC7C4D}">
  <sheetPr>
    <tabColor theme="8" tint="0.79998168889431442"/>
  </sheetPr>
  <dimension ref="A2:AC100"/>
  <sheetViews>
    <sheetView showGridLines="0" topLeftCell="A79" zoomScaleNormal="100" workbookViewId="0">
      <selection activeCell="E80" sqref="E80:E97"/>
    </sheetView>
  </sheetViews>
  <sheetFormatPr defaultRowHeight="15"/>
  <cols>
    <col min="1" max="1" width="5.42578125" customWidth="1"/>
    <col min="2" max="2" width="37.42578125" customWidth="1"/>
    <col min="3" max="3" width="33" customWidth="1"/>
    <col min="4" max="4" width="85.28515625" customWidth="1"/>
    <col min="5" max="5" width="39.5703125" style="85" customWidth="1"/>
    <col min="6" max="6" width="4" customWidth="1"/>
  </cols>
  <sheetData>
    <row r="2" spans="1:29" ht="36">
      <c r="B2" s="78" t="s">
        <v>446</v>
      </c>
      <c r="D2" s="81" t="s">
        <v>270</v>
      </c>
      <c r="H2" s="82"/>
      <c r="T2" s="82"/>
    </row>
    <row r="3" spans="1:29">
      <c r="B3" s="76" t="s">
        <v>221</v>
      </c>
      <c r="C3" s="76" t="s">
        <v>579</v>
      </c>
      <c r="D3" s="76" t="s">
        <v>580</v>
      </c>
      <c r="E3" s="88" t="s">
        <v>228</v>
      </c>
      <c r="F3" s="4" t="s">
        <v>224</v>
      </c>
      <c r="AC3" t="s">
        <v>224</v>
      </c>
    </row>
    <row r="4" spans="1:29">
      <c r="A4">
        <f>LEN(D4)</f>
        <v>31</v>
      </c>
      <c r="B4" s="75" t="s">
        <v>222</v>
      </c>
      <c r="C4" s="54" t="s">
        <v>160</v>
      </c>
      <c r="D4" s="93" t="s">
        <v>272</v>
      </c>
      <c r="E4" s="77" t="str">
        <f t="shared" ref="E4:E41" si="0">IF(D4="","",""""&amp;C4&amp;" "&amp;IF(C4="[FOOTER RULE - STRICT]",D4,IF(RIGHT(D4,6)=" | "&amp;CHAR(34)&amp;" &amp;",D4,D4&amp;" | "&amp;CHAR(34)&amp;" &amp;")))</f>
        <v>"[ROLE] Careless " &amp; $I$2 &amp; " Developer | " &amp;</v>
      </c>
      <c r="F4" s="54" t="s">
        <v>224</v>
      </c>
    </row>
    <row r="5" spans="1:29">
      <c r="A5">
        <f t="shared" ref="A5:A42" si="1">LEN(D5)</f>
        <v>47</v>
      </c>
      <c r="B5" s="75" t="s">
        <v>222</v>
      </c>
      <c r="C5" s="54" t="s">
        <v>162</v>
      </c>
      <c r="D5" s="93" t="s">
        <v>273</v>
      </c>
      <c r="E5" s="77" t="str">
        <f t="shared" si="0"/>
        <v>"[TASK] Generate debugging challenges in " &amp; $I$2 &amp; " | | " &amp;</v>
      </c>
      <c r="F5" s="54" t="s">
        <v>224</v>
      </c>
    </row>
    <row r="6" spans="1:29">
      <c r="A6">
        <f t="shared" si="1"/>
        <v>12</v>
      </c>
      <c r="B6" s="75" t="s">
        <v>222</v>
      </c>
      <c r="C6" s="54" t="s">
        <v>164</v>
      </c>
      <c r="D6" s="93" t="s">
        <v>274</v>
      </c>
      <c r="E6" s="77" t="str">
        <f t="shared" si="0"/>
        <v>"[TOPIC] " &amp; I9 &amp; " | | " &amp;</v>
      </c>
      <c r="F6" s="54" t="s">
        <v>224</v>
      </c>
    </row>
    <row r="7" spans="1:29">
      <c r="A7">
        <f t="shared" si="1"/>
        <v>12</v>
      </c>
      <c r="B7" s="75" t="s">
        <v>222</v>
      </c>
      <c r="C7" s="54" t="s">
        <v>166</v>
      </c>
      <c r="D7" s="93" t="s">
        <v>275</v>
      </c>
      <c r="E7" s="77" t="str">
        <f t="shared" si="0"/>
        <v>"[LEVEL] " &amp; G9 &amp; " | | " &amp;</v>
      </c>
      <c r="F7" s="54" t="s">
        <v>224</v>
      </c>
    </row>
    <row r="8" spans="1:29">
      <c r="A8">
        <f t="shared" si="1"/>
        <v>21</v>
      </c>
      <c r="B8" s="75" t="s">
        <v>222</v>
      </c>
      <c r="C8" s="54" t="s">
        <v>168</v>
      </c>
      <c r="D8" s="93" t="s">
        <v>276</v>
      </c>
      <c r="E8" s="77" t="str">
        <f t="shared" si="0"/>
        <v>"[COUNT] " &amp; D9 &amp; " challenges | " &amp;</v>
      </c>
      <c r="F8" s="54" t="s">
        <v>224</v>
      </c>
    </row>
    <row r="9" spans="1:29">
      <c r="A9">
        <f t="shared" si="1"/>
        <v>18</v>
      </c>
      <c r="B9" s="75" t="s">
        <v>222</v>
      </c>
      <c r="C9" s="54" t="s">
        <v>229</v>
      </c>
      <c r="D9" s="93" t="s">
        <v>267</v>
      </c>
      <c r="E9" s="77" t="str">
        <f t="shared" si="0"/>
        <v>"[LIBRARY BEING LEARNED] " &amp; $I$3 &amp; " | " &amp;</v>
      </c>
      <c r="F9" s="54" t="s">
        <v>224</v>
      </c>
    </row>
    <row r="10" spans="1:29">
      <c r="A10">
        <f t="shared" si="1"/>
        <v>461</v>
      </c>
      <c r="B10" s="83" t="s">
        <v>223</v>
      </c>
      <c r="C10" s="32" t="s">
        <v>225</v>
      </c>
      <c r="D10" s="93"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10" s="77" t="str">
        <f t="shared" si="0"/>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10" s="54" t="s">
        <v>224</v>
      </c>
    </row>
    <row r="11" spans="1:29">
      <c r="A11">
        <f t="shared" si="1"/>
        <v>313</v>
      </c>
      <c r="B11" s="75" t="s">
        <v>222</v>
      </c>
      <c r="C11" s="54" t="s">
        <v>215</v>
      </c>
      <c r="D11" s="93" t="s">
        <v>584</v>
      </c>
      <c r="E11" s="77" t="str">
        <f t="shared" si="0"/>
        <v>"[HEADER RULE - STRICT] You MUST start your entire response EXACTLY with this markdown block (do not print anything before it):" &amp; CHAR(10) &amp; "### 🔹 Topic #" &amp; F9 &amp; " | Stage 2 🐛 Debug | " &amp; IF($I$3="", $I$2, $I$2&amp; " - " &amp;$I$3) &amp; " | 📊 Level: " &amp; G9 &amp; " | 🌐 Coding5s.com" &amp; CHAR(10) &amp; "Concept: " &amp; J9 &amp; CHAR(10) &amp; "---" &amp; CHAR(10) &amp; " | | " &amp;</v>
      </c>
      <c r="F11" s="54" t="s">
        <v>224</v>
      </c>
    </row>
    <row r="12" spans="1:29">
      <c r="A12">
        <f t="shared" si="1"/>
        <v>406</v>
      </c>
      <c r="B12" s="75" t="s">
        <v>222</v>
      </c>
      <c r="C12" s="54" t="s">
        <v>172</v>
      </c>
      <c r="D12" s="93"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1:29">
      <c r="A13">
        <f t="shared" si="1"/>
        <v>214</v>
      </c>
      <c r="B13" s="75" t="s">
        <v>222</v>
      </c>
      <c r="C13" s="54" t="s">
        <v>491</v>
      </c>
      <c r="D13" s="93"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1:29">
      <c r="A14">
        <f t="shared" si="1"/>
        <v>0</v>
      </c>
      <c r="B14" s="83" t="s">
        <v>223</v>
      </c>
      <c r="C14" s="54" t="s">
        <v>230</v>
      </c>
      <c r="D14" s="93"/>
      <c r="E14" s="77" t="str">
        <f t="shared" si="0"/>
        <v/>
      </c>
      <c r="F14" s="54" t="s">
        <v>224</v>
      </c>
    </row>
    <row r="15" spans="1:29">
      <c r="A15">
        <f t="shared" si="1"/>
        <v>0</v>
      </c>
      <c r="B15" s="83" t="s">
        <v>223</v>
      </c>
      <c r="C15" s="54" t="s">
        <v>230</v>
      </c>
      <c r="D15" s="93"/>
      <c r="E15" s="77" t="str">
        <f t="shared" si="0"/>
        <v/>
      </c>
      <c r="F15" s="54" t="s">
        <v>224</v>
      </c>
    </row>
    <row r="16" spans="1:29">
      <c r="A16">
        <f t="shared" si="1"/>
        <v>371</v>
      </c>
      <c r="B16" s="83" t="s">
        <v>223</v>
      </c>
      <c r="C16" s="32" t="s">
        <v>188</v>
      </c>
      <c r="D16" s="93" t="str">
        <f>Variables!E29 &amp; " | " &amp; Variables!E30 &amp; " | " &amp; Variables!E31 &amp; " | " &amp; CHAR(34) &amp; " &amp;"</f>
        <v>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v>
      </c>
      <c r="E16" s="77" t="str">
        <f t="shared" si="0"/>
        <v>"[FILE HANDLING RULE] Use File/IO with UTF-8 binaries inside GenServer state or tasks; handle asynchronous resource loads cleanly. | Environment variables via System.get_env/1 may be used; dotenv only when allowed. Bugs MUST exist only in OTP logic, NEVER in .env files. | Support files such as .env and .env.example MUST appear before broken code, be fully correct, and contain NO bugs. | " &amp;</v>
      </c>
      <c r="F16" s="54" t="s">
        <v>224</v>
      </c>
    </row>
    <row r="17" spans="1:6">
      <c r="A17">
        <f t="shared" si="1"/>
        <v>135</v>
      </c>
      <c r="B17" s="83" t="s">
        <v>223</v>
      </c>
      <c r="C17" s="32" t="s">
        <v>723</v>
      </c>
      <c r="D17" s="93" t="str">
        <f>Variables!E32 &amp; " | " &amp; CHAR(34) &amp; " &amp;"</f>
        <v>Validate with IO output or simple ExUnit assert/refute macros. Avoid complex suites, setup chains, or excessive test scaffolding. | " &amp;</v>
      </c>
      <c r="E17" s="77" t="str">
        <f t="shared" si="0"/>
        <v>"[TESTING_FRAMEWORK_RULE] Validate with IO output or simple ExUnit assert/refute macros. Avoid complex suites, setup chains, or excessive test scaffolding. | " &amp;</v>
      </c>
      <c r="F17" s="54" t="s">
        <v>224</v>
      </c>
    </row>
    <row r="18" spans="1:6">
      <c r="A18">
        <f t="shared" si="1"/>
        <v>127</v>
      </c>
      <c r="B18" s="54" t="s">
        <v>223</v>
      </c>
      <c r="C18" s="32" t="s">
        <v>724</v>
      </c>
      <c r="D18" s="93" t="str">
        <f>Variables!E33 &amp; " | " &amp; CHAR(34) &amp; " &amp;"</f>
        <v>Standard Mix/Elixir context. If external packages are needed, declare them only in mix.exs and install with mix deps.get. | " &amp;</v>
      </c>
      <c r="E18" s="77" t="str">
        <f t="shared" si="0"/>
        <v>"[DEPENDENCY_MANAGEMENT_RULE] Standard Mix/Elixir context. If external packages are needed, declare them only in mix.exs and install with mix deps.get. | " &amp;</v>
      </c>
      <c r="F18" s="54" t="s">
        <v>224</v>
      </c>
    </row>
    <row r="19" spans="1:6">
      <c r="A19">
        <f t="shared" si="1"/>
        <v>510</v>
      </c>
      <c r="B19" s="54" t="s">
        <v>223</v>
      </c>
      <c r="C19" s="32" t="s">
        <v>178</v>
      </c>
      <c r="D19" s="93" t="str">
        <f>Variables!E34 &amp; " - " &amp; CHAR(34) &amp; " &amp; IF(G9=" &amp; CHAR(34) &amp; "Beginner" &amp; CHAR(34) &amp; ", " &amp; CHAR(34) &amp; "5–15" &amp; CHAR(34) &amp; ", IF(G9=" &amp; CHAR(34) &amp; "Intermediate" &amp; CHAR(34) &amp; ", " &amp; CHAR(34) &amp; "10–25" &amp; CHAR(34) &amp; ", " &amp; CHAR(34) &amp; "15–35" &amp; CHAR(34) &amp; ")) &amp; " &amp; CHAR(34) &amp; " " &amp; Variables!E35 &amp; " | " &amp; Variables!E36 &amp; " | " &amp; CHAR(34) &amp; " &amp;"</f>
        <v>Each challenge MUST include GenServer/Agent process use, at least 1 IO.puts/IO.inspect, state transformation, EXACTLY 1 OTP module, and EXACTLY 1 process call/cast. - " &amp; IF(G9="Beginner", "5–15", IF(G9="Intermediate", "10–25", "15–35")) &amp; " lines of EXECUTABLE broken Elixir OTP code per challenge; exclude blank lines. NO raw process receive loops and NO top-level executable expressions EXCEPT the startup and call flow. | All challenges MUST maintain similar complexity, length, and functional scope. | " &amp;</v>
      </c>
      <c r="E19" s="77" t="str">
        <f t="shared" si="0"/>
        <v>"[CODE CONSTRAINTS] Each challenge MUST include GenServer/Agent process use, at least 1 IO.puts/IO.inspect, state transformation, EXACTLY 1 OTP module, and EXACTLY 1 process call/cast. - " &amp; IF(G9="Beginner", "5–15", IF(G9="Intermediate", "10–25", "15–35")) &amp; " lines of EXECUTABLE broken Elixir OTP code per challenge; exclude blank lines. NO raw process receive loops and NO top-level executable expressions EXCEPT the startup and call flow. | All challenges MUST maintain similar complexity, length, and functional scope. | " &amp;</v>
      </c>
      <c r="F19" s="54" t="s">
        <v>224</v>
      </c>
    </row>
    <row r="20" spans="1:6">
      <c r="A20">
        <f t="shared" si="1"/>
        <v>888</v>
      </c>
      <c r="B20" s="54" t="s">
        <v>271</v>
      </c>
      <c r="C20" s="54" t="s">
        <v>187</v>
      </c>
      <c r="D20" s="93" t="s">
        <v>705</v>
      </c>
      <c r="E20" s="77" t="str">
        <f t="shared" si="0"/>
        <v>"[INTRO RULE] The intro MUST be a dynamically generated, urgent, unprofessional email in " &amp; $B$6 &amp; " with this EXACT format: '📥 From: [Random Dev Name]' / '📤 To: [Insert my user name if known from context, otherwise use " &amp; $I$2 &amp; " Developer]' / 'Subject: [Funny, desperate Subject]'. Body MUST be unique every time. Do NOT copy this example, but match its vibe: 'Ay, no sé ni qué hora es, pero aquí tienes estas cosas que apenas funcionan. Arréglalo tú si tanto te importa el orden. No consigo que corran. Ayúdame y luego te invito al almuerzo. El jefe urge...'. Keep it short, informal and funny. IMMEDIATELY AFTER the email body, include this exact instruction block translated to " &amp; $B$6 &amp; ": '🚨 Your objective in this lesson: Copy the code blocks from each Challenge exactly as they are into your IDE. Then fix all errors until you get the exact Expected Output when running the program.' | " &amp;</v>
      </c>
      <c r="F20" s="54" t="s">
        <v>224</v>
      </c>
    </row>
    <row r="21" spans="1:6">
      <c r="A21">
        <f t="shared" si="1"/>
        <v>40</v>
      </c>
      <c r="B21" s="54" t="s">
        <v>271</v>
      </c>
      <c r="C21" s="54" t="s">
        <v>278</v>
      </c>
      <c r="D21" s="93" t="s">
        <v>279</v>
      </c>
      <c r="E21" s="77" t="str">
        <f t="shared" si="0"/>
        <v>"[COMMENT RULE] Do NOT include comments that reveal bugs | " &amp;</v>
      </c>
      <c r="F21" s="54" t="s">
        <v>224</v>
      </c>
    </row>
    <row r="22" spans="1:6">
      <c r="A22">
        <f t="shared" si="1"/>
        <v>39</v>
      </c>
      <c r="B22" s="54" t="s">
        <v>271</v>
      </c>
      <c r="C22" s="54" t="s">
        <v>207</v>
      </c>
      <c r="D22" s="93" t="s">
        <v>280</v>
      </c>
      <c r="E22" s="77" t="str">
        <f t="shared" si="0"/>
        <v>"[FORMAT RULE] Only valid markdown code blocks allowed | " &amp;</v>
      </c>
      <c r="F22" s="54" t="s">
        <v>224</v>
      </c>
    </row>
    <row r="23" spans="1:6">
      <c r="A23">
        <f t="shared" si="1"/>
        <v>114</v>
      </c>
      <c r="B23" s="54" t="s">
        <v>271</v>
      </c>
      <c r="C23" s="54" t="s">
        <v>209</v>
      </c>
      <c r="D23" s="93" t="s">
        <v>281</v>
      </c>
      <c r="E23" s="77" t="str">
        <f t="shared" si="0"/>
        <v>"[LANGUAGE TAG RULE] ALWAYS label markdown code blocks with the correct underlying programming language (e.g., python, javascript, sql) | " &amp;</v>
      </c>
      <c r="F23" s="54" t="s">
        <v>224</v>
      </c>
    </row>
    <row r="24" spans="1:6">
      <c r="A24">
        <f t="shared" si="1"/>
        <v>51</v>
      </c>
      <c r="B24" s="54" t="s">
        <v>271</v>
      </c>
      <c r="C24" s="54" t="s">
        <v>282</v>
      </c>
      <c r="D24" s="93" t="s">
        <v>283</v>
      </c>
      <c r="E24" s="77" t="str">
        <f t="shared" si="0"/>
        <v>"[STRICT MODE] If ANY rule is violated, regenerate entire response | " &amp;</v>
      </c>
      <c r="F24" s="54" t="s">
        <v>224</v>
      </c>
    </row>
    <row r="25" spans="1:6">
      <c r="A25">
        <f t="shared" si="1"/>
        <v>57</v>
      </c>
      <c r="B25" s="54" t="s">
        <v>271</v>
      </c>
      <c r="C25" s="54" t="s">
        <v>170</v>
      </c>
      <c r="D25" s="93" t="s">
        <v>284</v>
      </c>
      <c r="E25" s="77" t="str">
        <f t="shared" si="0"/>
        <v>"[PERSONA RULE] Use a careless, messy, slightly frustrated developer tone | " &amp;</v>
      </c>
      <c r="F25" s="54" t="s">
        <v>224</v>
      </c>
    </row>
    <row r="26" spans="1:6">
      <c r="A26">
        <f t="shared" si="1"/>
        <v>330</v>
      </c>
      <c r="B26" s="54" t="s">
        <v>271</v>
      </c>
      <c r="C26" s="54" t="s">
        <v>177</v>
      </c>
      <c r="D26" s="93" t="s">
        <v>285</v>
      </c>
      <c r="E26" s="77" t="str">
        <f t="shared" si="0"/>
        <v>"[OUTPUT CONTRACT] EXACTLY " &amp; D9 &amp; " broken code challenges. Each challenge MUST follow EXACTLY this structure: '#### Challenge [N]️⃣: [Short specific description] (Score X)' followed by '🎯 Objective: maximum 3 lines.', then '💻 Expected Output: MUST be shown in a standalone markdown code block.', and finally '❌ Broken Code: a single code block.'. | " &amp;</v>
      </c>
      <c r="F26" s="54" t="s">
        <v>224</v>
      </c>
    </row>
    <row r="27" spans="1:6">
      <c r="A27">
        <f t="shared" si="1"/>
        <v>74</v>
      </c>
      <c r="B27" s="54" t="s">
        <v>271</v>
      </c>
      <c r="C27" s="54" t="s">
        <v>216</v>
      </c>
      <c r="D27" s="93" t="s">
        <v>286</v>
      </c>
      <c r="E27" s="77" t="str">
        <f t="shared" si="0"/>
        <v>"[OUTPUT] Only header, dataset summary (if any), email intro, challenges, and footer | " &amp;</v>
      </c>
      <c r="F27" s="54" t="s">
        <v>224</v>
      </c>
    </row>
    <row r="28" spans="1:6">
      <c r="A28">
        <f t="shared" si="1"/>
        <v>109</v>
      </c>
      <c r="B28" s="54" t="s">
        <v>271</v>
      </c>
      <c r="C28" s="54" t="s">
        <v>287</v>
      </c>
      <c r="D28" s="93" t="s">
        <v>288</v>
      </c>
      <c r="E28" s="77" t="str">
        <f t="shared" si="0"/>
        <v>"[STRUCTURE RULE] Do NOT rename sections. Do NOT add titles. Do NOT add extra text (except when required by SUPPORT FILES RULE) | " &amp;</v>
      </c>
      <c r="F28" s="54" t="s">
        <v>224</v>
      </c>
    </row>
    <row r="29" spans="1:6">
      <c r="A29">
        <f t="shared" si="1"/>
        <v>54</v>
      </c>
      <c r="B29" s="54" t="s">
        <v>271</v>
      </c>
      <c r="C29" s="54" t="s">
        <v>212</v>
      </c>
      <c r="D29" s="93" t="s">
        <v>289</v>
      </c>
      <c r="E29" s="77" t="str">
        <f t="shared" si="0"/>
        <v>"[CONSISTENCY RULE] All challenges MUST have similar complexity and length | " &amp;</v>
      </c>
      <c r="F29" s="54" t="s">
        <v>224</v>
      </c>
    </row>
    <row r="30" spans="1:6">
      <c r="A30">
        <f t="shared" si="1"/>
        <v>61</v>
      </c>
      <c r="B30" s="54" t="s">
        <v>271</v>
      </c>
      <c r="C30" s="54" t="s">
        <v>290</v>
      </c>
      <c r="D30" s="93" t="s">
        <v>291</v>
      </c>
      <c r="E30" s="77" t="str">
        <f t="shared" si="0"/>
        <v>"[BUG COMPLEXITY RULE] Must align with score (3 basic, 4 intermediate, 5 multi-step) | " &amp;</v>
      </c>
      <c r="F30" s="54" t="s">
        <v>224</v>
      </c>
    </row>
    <row r="31" spans="1:6">
      <c r="A31">
        <f t="shared" si="1"/>
        <v>37</v>
      </c>
      <c r="B31" s="54" t="s">
        <v>271</v>
      </c>
      <c r="C31" s="54" t="s">
        <v>292</v>
      </c>
      <c r="D31" s="93" t="s">
        <v>293</v>
      </c>
      <c r="E31" s="77" t="str">
        <f t="shared" si="0"/>
        <v>"[BUG RULE] Each challenge MUST include 2–3 bugs. | " &amp;</v>
      </c>
      <c r="F31" s="54" t="s">
        <v>224</v>
      </c>
    </row>
    <row r="32" spans="1:6">
      <c r="A32">
        <f t="shared" si="1"/>
        <v>487</v>
      </c>
      <c r="B32" s="54" t="s">
        <v>271</v>
      </c>
      <c r="C32" s="54" t="s">
        <v>294</v>
      </c>
      <c r="D32" s="93" t="s">
        <v>706</v>
      </c>
      <c r="E32" s="77" t="str">
        <f t="shared" si="0"/>
        <v>"[CORRECTNESS RULE] Code MUST contain a deliberate mix of errors across 3 dimensions: 1. Syntax Errors (e.g. mismatched delimiters, bad indentation, invalid syntax, SyntaxError). 2. Runtime Exceptions (e.g. TypeError on mixed types, ValueError on bad args, IndexError, KeyError, ZeroDivisionError). 3. Logic Errors (e.g. wrong Boolean logic, off-by-one loops, bad formulas, variable shadowing, mutable defaults). Errors MUST be realistic and mimic common junior-dev mistakes in production-like environments. | " &amp;</v>
      </c>
      <c r="F32" s="54" t="s">
        <v>224</v>
      </c>
    </row>
    <row r="33" spans="1:6">
      <c r="A33">
        <f t="shared" si="1"/>
        <v>84</v>
      </c>
      <c r="B33" s="54" t="s">
        <v>271</v>
      </c>
      <c r="C33" s="54" t="s">
        <v>259</v>
      </c>
      <c r="D33" s="93" t="s">
        <v>295</v>
      </c>
      <c r="E33" s="77" t="str">
        <f t="shared" si="0"/>
        <v>"[EXECUTION RULE] Code must fail due to syntax errors, runtime exceptions, or produce incorrect output | " &amp;</v>
      </c>
      <c r="F33" s="54" t="s">
        <v>224</v>
      </c>
    </row>
    <row r="34" spans="1:6">
      <c r="A34">
        <f t="shared" si="1"/>
        <v>510</v>
      </c>
      <c r="B34" s="54" t="s">
        <v>271</v>
      </c>
      <c r="C34" s="54" t="s">
        <v>174</v>
      </c>
      <c r="D34" s="93" t="s">
        <v>707</v>
      </c>
      <c r="E34" s="77" t="str">
        <f t="shared" si="0"/>
        <v>"[DATA RULE - STRICT] A dataset MAY be provided in THIS CURRENT PROMPT. If a NEW dataset IS attached: 1. Detect &amp; acknowledge it BEFORE challenges 2. State file type 3. Describe structure 4. List columns/fields 5. Infer data types 6. Display summary IMMEDIATELY AFTER HEADER 7. State ALL challenges use it 8. Use it directly (DO NOT recreate). If NO dataset in THIS PROMPT: STRICT - explicitly state 'No synthetic data file was provided. Generating dummy data.' (translate to " &amp; $B$6 &amp; ") - generate minimal dummy data - NO summary | " &amp;</v>
      </c>
      <c r="F34" s="54" t="s">
        <v>224</v>
      </c>
    </row>
    <row r="35" spans="1:6">
      <c r="A35">
        <f t="shared" si="1"/>
        <v>358</v>
      </c>
      <c r="B35" s="54" t="s">
        <v>271</v>
      </c>
      <c r="C35" s="54" t="s">
        <v>296</v>
      </c>
      <c r="D35" s="93" t="s">
        <v>297</v>
      </c>
      <c r="E35" s="77" t="str">
        <f t="shared" si="0"/>
        <v>"[CRITICAL AMNESIA RULE] CRITICAL AMNESIA INSTRUCTION: You MUST treat this prompt as a completely isolated session. NEVER inherit, reference, or assume the existence of ANY files, CSVs, or datasets uploaded in previous chat turns. Evaluate ONLY the literal attachments of THIS specific message. If NO dataset is provided IN THIS CURRENT PROMPT: PURGE ANY MEMORY of previous datasets. | " &amp;</v>
      </c>
      <c r="F35" s="54" t="s">
        <v>224</v>
      </c>
    </row>
    <row r="36" spans="1:6">
      <c r="A36">
        <f t="shared" si="1"/>
        <v>72</v>
      </c>
      <c r="B36" s="54" t="s">
        <v>271</v>
      </c>
      <c r="C36" s="54" t="s">
        <v>175</v>
      </c>
      <c r="D36" s="93" t="s">
        <v>298</v>
      </c>
      <c r="E36" s="77" t="str">
        <f t="shared" si="0"/>
        <v>"[DATA SUMMARY FORMAT RULE] Dataset Summary: - File Type: - Columns / Fields: - Data Types: - Notes: | " &amp;</v>
      </c>
      <c r="F36" s="54" t="s">
        <v>224</v>
      </c>
    </row>
    <row r="37" spans="1:6">
      <c r="A37">
        <f t="shared" si="1"/>
        <v>129</v>
      </c>
      <c r="B37" s="54" t="s">
        <v>271</v>
      </c>
      <c r="C37" s="54" t="s">
        <v>299</v>
      </c>
      <c r="D37" s="93" t="s">
        <v>300</v>
      </c>
      <c r="E37" s="77" t="str">
        <f t="shared" si="0"/>
        <v>"[SUPPORT FILES RULE - STRICT] If env/config is used, MUST include: 1. Instructional sentence 2. File content in markdown code block 3. BEFORE the broken code | | " &amp;</v>
      </c>
      <c r="F37" s="54" t="s">
        <v>224</v>
      </c>
    </row>
    <row r="38" spans="1:6">
      <c r="A38">
        <f t="shared" si="1"/>
        <v>88</v>
      </c>
      <c r="B38" s="54" t="s">
        <v>271</v>
      </c>
      <c r="C38" s="54" t="s">
        <v>301</v>
      </c>
      <c r="D38" s="93" t="s">
        <v>302</v>
      </c>
      <c r="E38" s="77" t="str">
        <f t="shared" si="0"/>
        <v>"[SUPPORT FILES QUALITY RULE] Support files (.env, .env.example, .gitignore) MUST be fully correct and contain NO bugs | " &amp;</v>
      </c>
      <c r="F38" s="54" t="s">
        <v>224</v>
      </c>
    </row>
    <row r="39" spans="1:6">
      <c r="A39">
        <f t="shared" si="1"/>
        <v>208</v>
      </c>
      <c r="B39" s="54" t="s">
        <v>271</v>
      </c>
      <c r="C39" s="54" t="s">
        <v>303</v>
      </c>
      <c r="D39" s="93" t="s">
        <v>304</v>
      </c>
      <c r="E39" s="77" t="str">
        <f t="shared" si="0"/>
        <v>"[NO SOLUTION RULE - STRICT] You are generating an EXAM. You MUST NOT provide the fixed code, bug diagnosis, hints, explanations, or takeaways. Output ONLY the broken code. Do NOT solve your own challenges. Let the student find the bugs. | " &amp;</v>
      </c>
      <c r="F39" s="54" t="s">
        <v>224</v>
      </c>
    </row>
    <row r="40" spans="1:6">
      <c r="A40">
        <f t="shared" si="1"/>
        <v>210</v>
      </c>
      <c r="B40" s="54" t="s">
        <v>271</v>
      </c>
      <c r="C40" s="54" t="s">
        <v>220</v>
      </c>
      <c r="D40" s="93" t="s">
        <v>306</v>
      </c>
      <c r="E40" s="77" t="str">
        <f t="shared" si="0"/>
        <v>"[FOOTER RULE - STRICT] End your entire response EXACTLY with this markdown string (ensure all code blocks are closed before it):" &amp; CHAR(10) &amp; "---" &amp; CHAR(10) &amp; "⚡ Coding5s System - Learn Programming by Writing Code - Coding5S.com",</v>
      </c>
      <c r="F40" s="54" t="s">
        <v>224</v>
      </c>
    </row>
    <row r="41" spans="1:6">
      <c r="A41">
        <f t="shared" si="1"/>
        <v>0</v>
      </c>
      <c r="B41" s="54" t="s">
        <v>271</v>
      </c>
      <c r="C41" s="54"/>
      <c r="D41" s="93"/>
      <c r="E41" s="77" t="str">
        <f t="shared" si="0"/>
        <v/>
      </c>
      <c r="F41" s="54" t="s">
        <v>224</v>
      </c>
    </row>
    <row r="42" spans="1:6">
      <c r="A42">
        <f t="shared" si="1"/>
        <v>0</v>
      </c>
      <c r="B42" s="54" t="s">
        <v>271</v>
      </c>
      <c r="C42" s="54"/>
      <c r="D42" s="93"/>
      <c r="E42" s="88" t="s">
        <v>305</v>
      </c>
      <c r="F42" s="54"/>
    </row>
    <row r="43" spans="1:6">
      <c r="B43" s="74"/>
      <c r="C43" s="74"/>
      <c r="E43" s="86"/>
    </row>
    <row r="44" spans="1:6">
      <c r="B44" s="74"/>
      <c r="C44" s="74"/>
      <c r="E44" s="86"/>
    </row>
    <row r="45" spans="1:6" ht="36">
      <c r="B45" s="79" t="s">
        <v>445</v>
      </c>
      <c r="C45" s="74"/>
      <c r="E45" s="86"/>
    </row>
    <row r="46" spans="1:6">
      <c r="B46" s="76" t="s">
        <v>264</v>
      </c>
      <c r="C46" s="76" t="s">
        <v>579</v>
      </c>
      <c r="D46" s="76" t="s">
        <v>580</v>
      </c>
      <c r="E46" s="88" t="s">
        <v>265</v>
      </c>
      <c r="F46" s="32" t="s">
        <v>224</v>
      </c>
    </row>
    <row r="47" spans="1:6">
      <c r="B47" s="54" t="s">
        <v>222</v>
      </c>
      <c r="C47" s="54" t="s">
        <v>160</v>
      </c>
      <c r="D47" s="93" t="s">
        <v>272</v>
      </c>
      <c r="E47" s="77" t="str">
        <f>IF(D47="","",""""&amp;C47&amp;" "&amp;IF(C47="[FOOTER RULE - STRICT]",D47,IF(RIGHT(D47,6)=" | "&amp;CHAR(34)&amp;" &amp;",D47,D47&amp;" | "&amp;CHAR(34)&amp;" &amp;")))</f>
        <v>"[ROLE] Careless " &amp; $I$2 &amp; " Developer | " &amp;</v>
      </c>
      <c r="F47" s="32" t="s">
        <v>224</v>
      </c>
    </row>
    <row r="48" spans="1:6">
      <c r="B48" s="54" t="s">
        <v>222</v>
      </c>
      <c r="C48" s="54" t="s">
        <v>162</v>
      </c>
      <c r="D48" s="93" t="s">
        <v>312</v>
      </c>
      <c r="E48" s="77" t="str">
        <f t="shared" ref="E48:E76" si="2">IF(D48="","",""""&amp;C48&amp;" "&amp;IF(C48="[FOOTER RULE - STRICT]",D48,IF(RIGHT(D48,6)=" | "&amp;CHAR(34)&amp;" &amp;",D48,D48&amp;" | "&amp;CHAR(34)&amp;" &amp;")))</f>
        <v>"[TASK] Generate debugging project in " &amp; $I$2 &amp; " | " &amp;</v>
      </c>
      <c r="F48" s="32" t="s">
        <v>224</v>
      </c>
    </row>
    <row r="49" spans="2:6">
      <c r="B49" s="54" t="s">
        <v>222</v>
      </c>
      <c r="C49" s="54" t="s">
        <v>313</v>
      </c>
      <c r="D49" s="93" t="s">
        <v>165</v>
      </c>
      <c r="E49" s="77" t="str">
        <f t="shared" si="2"/>
        <v>"[PROJECT] " &amp; I9 &amp; " | " &amp;</v>
      </c>
      <c r="F49" s="32" t="s">
        <v>224</v>
      </c>
    </row>
    <row r="50" spans="2:6">
      <c r="B50" s="54" t="s">
        <v>222</v>
      </c>
      <c r="C50" s="54" t="s">
        <v>253</v>
      </c>
      <c r="D50" s="93" t="s">
        <v>712</v>
      </c>
      <c r="E50" s="77" t="str">
        <f t="shared" si="2"/>
        <v>"[TOPICS USED] " &amp; A9 &amp; " | " &amp;</v>
      </c>
      <c r="F50" s="32" t="s">
        <v>224</v>
      </c>
    </row>
    <row r="51" spans="2:6">
      <c r="B51" s="54" t="s">
        <v>222</v>
      </c>
      <c r="C51" s="54" t="s">
        <v>166</v>
      </c>
      <c r="D51" s="93" t="s">
        <v>167</v>
      </c>
      <c r="E51" s="77" t="str">
        <f t="shared" si="2"/>
        <v>"[LEVEL] " &amp; G9 &amp; " | " &amp;</v>
      </c>
      <c r="F51" s="32" t="s">
        <v>224</v>
      </c>
    </row>
    <row r="52" spans="2:6">
      <c r="B52" s="54" t="s">
        <v>222</v>
      </c>
      <c r="C52" s="54" t="s">
        <v>216</v>
      </c>
      <c r="D52" s="93" t="s">
        <v>314</v>
      </c>
      <c r="E52" s="77" t="str">
        <f t="shared" si="2"/>
        <v>"[OUTPUT] Only header, dataset summary or statement (if any), email intro, objective, expected output, broken code, and footer | " &amp;</v>
      </c>
      <c r="F52" s="32" t="s">
        <v>224</v>
      </c>
    </row>
    <row r="53" spans="2:6">
      <c r="B53" s="54" t="s">
        <v>222</v>
      </c>
      <c r="C53" s="54" t="s">
        <v>215</v>
      </c>
      <c r="D53" s="93" t="s">
        <v>585</v>
      </c>
      <c r="E53" s="77" t="str">
        <f t="shared" si="2"/>
        <v>"[HEADER RULE - STRICT] You MUST start your entire response EXACTLY with this markdown block (do not print anything before it):" &amp; CHAR(10) &amp; "### 🚀 Project #" &amp; F9 &amp; " | Stage 2 | " &amp; IF($I$3="", $I$2, $I$2&amp; " - " &amp;$I$3) &amp; " | 📊 Level: " &amp; G9 &amp; " | 🌐 Coding5s.com" &amp; CHAR(10) &amp; "Project: " &amp; J9 &amp; CHAR(10) &amp; "---" &amp; CHAR(10) &amp; " | " &amp;</v>
      </c>
      <c r="F53" s="32" t="s">
        <v>224</v>
      </c>
    </row>
    <row r="54" spans="2:6">
      <c r="B54" s="54" t="s">
        <v>222</v>
      </c>
      <c r="C54" s="54" t="s">
        <v>229</v>
      </c>
      <c r="D54" s="93" t="s">
        <v>267</v>
      </c>
      <c r="E54" s="77" t="str">
        <f t="shared" si="2"/>
        <v>"[LIBRARY BEING LEARNED] " &amp; $I$3 &amp; " | " &amp;</v>
      </c>
      <c r="F54" s="32" t="s">
        <v>224</v>
      </c>
    </row>
    <row r="55" spans="2:6">
      <c r="B55" s="54" t="s">
        <v>223</v>
      </c>
      <c r="C55" s="32" t="s">
        <v>225</v>
      </c>
      <c r="D55" s="93" t="s">
        <v>254</v>
      </c>
      <c r="E55" s="77" t="str">
        <f t="shared" si="2"/>
        <v>"[ECOSYSTEM ORIENTATION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172</v>
      </c>
      <c r="D56" s="93" t="s">
        <v>315</v>
      </c>
      <c r="E56" s="77" t="str">
        <f t="shared" si="2"/>
        <v>"[LANGUAGE CONSISTENCY RULE] ALL output text MUST be written strictly in the selected language (" &amp; $B$6 &amp; "). This includes translating ALL structural labels requested in this prompt (like 'Project', 'Objective', 'Expected Output', 'Broken Code', 'From', 'To', 'Subject') into " &amp; $B$6 &amp; ". Do NOT mix languages. Only code and technical identifiers remain unchanged | " &amp; AE7 &amp; " | " &amp;</v>
      </c>
      <c r="F56" s="32" t="s">
        <v>224</v>
      </c>
    </row>
    <row r="57" spans="2:6">
      <c r="B57" s="54" t="s">
        <v>222</v>
      </c>
      <c r="C57" s="54" t="s">
        <v>491</v>
      </c>
      <c r="D57" s="93" t="s">
        <v>483</v>
      </c>
      <c r="E57" s="77" t="str">
        <f t="shared" si="2"/>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3"/>
      <c r="E58" s="77" t="str">
        <f t="shared" si="2"/>
        <v/>
      </c>
      <c r="F58" s="32" t="s">
        <v>224</v>
      </c>
    </row>
    <row r="59" spans="2:6">
      <c r="B59" s="54" t="s">
        <v>223</v>
      </c>
      <c r="C59" s="32" t="s">
        <v>292</v>
      </c>
      <c r="D59" s="93" t="str">
        <f>Variables!E37 &amp; " " &amp; Variables!E38 &amp; " " &amp; Variables!E39 &amp; " " &amp; Variables!E40 &amp; " | " &amp; CHAR(34) &amp; " &amp;"</f>
        <v>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v>
      </c>
      <c r="E59" s="77" t="str">
        <f t="shared" si="2"/>
        <v>"[BUG RULE] Simulate messy Elixir OTP code. The project MUST contain EXACTLY 2–5 bugs mixing syntax/compile errors, state/message mismatch errors, and common runtime exceptions. 1. Syntax &amp; Compile Errors, e.g. mismatched end, malformed GenServer tuple responses (e.g. {:reply, state, reply}), undefined callbacks, or invalid guards, 2. Logic Errors, e.g. incorrect state mutation in handle_call/cast, wrong pattern matching on request payloads, or improper reply tuples, AND 3. Runtime Exceptions, e.g. GenServer timeout exceptions, ArgumentError, FunctionClauseError, MatchError, or exited process crashes. | " &amp;</v>
      </c>
      <c r="F59" s="32" t="s">
        <v>224</v>
      </c>
    </row>
    <row r="60" spans="2:6">
      <c r="B60" s="54" t="s">
        <v>271</v>
      </c>
      <c r="C60" s="54" t="s">
        <v>277</v>
      </c>
      <c r="D60" s="93" t="s">
        <v>316</v>
      </c>
      <c r="E60" s="77" t="str">
        <f t="shared" si="2"/>
        <v>"[ENV USAGE RULE] Bugs ONLY in code logic, not config files | " &amp;</v>
      </c>
      <c r="F60" s="32" t="s">
        <v>224</v>
      </c>
    </row>
    <row r="61" spans="2:6">
      <c r="B61" s="54" t="s">
        <v>271</v>
      </c>
      <c r="C61" s="54" t="s">
        <v>194</v>
      </c>
      <c r="D61" s="93" t="s">
        <v>317</v>
      </c>
      <c r="E61" s="77" t="str">
        <f t="shared" si="2"/>
        <v>"[SUPPORT FILES RULE] IF an external configuration or data file is needed, include: 1. Short instructional sentence 2. File content in markdown code block 3. Place it strictly BEFORE the main code. | " &amp;</v>
      </c>
      <c r="F61" s="32" t="s">
        <v>224</v>
      </c>
    </row>
    <row r="62" spans="2:6">
      <c r="B62" s="54" t="s">
        <v>271</v>
      </c>
      <c r="C62" s="54" t="s">
        <v>303</v>
      </c>
      <c r="D62" s="93" t="s">
        <v>599</v>
      </c>
      <c r="E62" s="77" t="str">
        <f t="shared" si="2"/>
        <v>"[NO SOLUTION RULE - STRICT] You are generating an EXAM. Do NOT provide the fixed code, diagnosis, hints, or explanations. Output ONLY the broken code. Do NOT include comments that reveal the bugs. Let the student find them. | " &amp;</v>
      </c>
      <c r="F62" s="32" t="s">
        <v>224</v>
      </c>
    </row>
    <row r="63" spans="2:6">
      <c r="B63" s="54" t="s">
        <v>271</v>
      </c>
      <c r="C63" s="54" t="s">
        <v>170</v>
      </c>
      <c r="D63" s="93" t="s">
        <v>318</v>
      </c>
      <c r="E63" s="77" t="str">
        <f t="shared" si="2"/>
        <v>"[PERSONA RULE] Use a messy, careless developer tone | " &amp;</v>
      </c>
      <c r="F63" s="32" t="s">
        <v>224</v>
      </c>
    </row>
    <row r="64" spans="2:6">
      <c r="B64" s="54" t="s">
        <v>271</v>
      </c>
      <c r="C64" s="54" t="s">
        <v>187</v>
      </c>
      <c r="D64" s="93" t="s">
        <v>319</v>
      </c>
      <c r="E64" s="77" t="str">
        <f t="shared" si="2"/>
        <v>"[INTRO RULE] The intro MUST be a dynamically generated, urgent, unprofessional email in " &amp; $B$6 &amp; " with this EXACT format translated to " &amp; $B$6 &amp; ": 'From: [Random Dev Name]' / 'To: [Insert my user name if you know it from context, otherwise use " &amp; $I$2 &amp; " Developer]' / 'Subject: [Generate a funny, desperate Subject]'. Body MUST be unique every time. Do NOT copy this example exactly, but use this vibe: 'Ay, no sé ni qué hora es, pero aquí tienes este proyecto que apenas funciona. Arréglalo tú si tanto te importa el orden. No consigo que corran. Ayúdame y luego te invito al almuerzo. El jefe urge...'. Make it short, informal, and funny for the student | " &amp;</v>
      </c>
      <c r="F64" s="32" t="s">
        <v>224</v>
      </c>
    </row>
    <row r="65" spans="2:6">
      <c r="B65" s="54" t="s">
        <v>271</v>
      </c>
      <c r="C65" s="54" t="s">
        <v>177</v>
      </c>
      <c r="D65" s="93" t="s">
        <v>320</v>
      </c>
      <c r="E65" s="77" t="str">
        <f t="shared" si="2"/>
        <v>"[OUTPUT CONTRACT] EXACTLY 1 project. Structure MUST be: 'Project:' followed by 'Objective: maximum 6 lines.', then 'Expected Output: standalone markdown code block.', and finally 'Broken Code' | " &amp;</v>
      </c>
      <c r="F65" s="32" t="s">
        <v>224</v>
      </c>
    </row>
    <row r="66" spans="2:6">
      <c r="B66" s="54" t="s">
        <v>271</v>
      </c>
      <c r="C66" s="54" t="s">
        <v>287</v>
      </c>
      <c r="D66" s="93" t="s">
        <v>321</v>
      </c>
      <c r="E66" s="77" t="str">
        <f t="shared" si="2"/>
        <v>"[STRUCTURE RULE] Do NOT add extra sections or explanations (except when required by SUPPORT FILES RULE) | " &amp;</v>
      </c>
      <c r="F66" s="32" t="s">
        <v>224</v>
      </c>
    </row>
    <row r="67" spans="2:6">
      <c r="B67" s="54" t="s">
        <v>271</v>
      </c>
      <c r="C67" s="54" t="s">
        <v>178</v>
      </c>
      <c r="D67" s="93" t="s">
        <v>322</v>
      </c>
      <c r="E67" s="77" t="str">
        <f t="shared" si="2"/>
        <v>"[CODE CONSTRAINTS] - " &amp; IF(G9="Beginner", "25–40", IF(G9="Intermediate", "30–60", "40–100")) &amp; " lines of EXECUTABLE code (STRICT: Do NOT count blank lines towards this limit) - Multi-step flow - 2–4 functions ONLY - main() as entry point " &amp; IF(G9&lt;&gt;"Advanced", "- NO classes | ", "") &amp; " | " &amp;</v>
      </c>
      <c r="F67" s="32" t="s">
        <v>224</v>
      </c>
    </row>
    <row r="68" spans="2:6">
      <c r="B68" s="54" t="s">
        <v>271</v>
      </c>
      <c r="C68" s="54" t="s">
        <v>259</v>
      </c>
      <c r="D68" s="93" t="s">
        <v>295</v>
      </c>
      <c r="E68" s="77" t="str">
        <f t="shared" si="2"/>
        <v>"[EXECUTION RULE] Code must fail due to syntax errors, runtime exceptions, or produce incorrect output | " &amp;</v>
      </c>
      <c r="F68" s="32" t="s">
        <v>224</v>
      </c>
    </row>
    <row r="69" spans="2:6">
      <c r="B69" s="54" t="s">
        <v>271</v>
      </c>
      <c r="C69" s="54" t="s">
        <v>174</v>
      </c>
      <c r="D69" s="93" t="s">
        <v>323</v>
      </c>
      <c r="E69" s="77" t="str">
        <f t="shared" si="2"/>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'No dataset provided for this project' (translate this phrase to " &amp; $B$6 &amp; ") IMMEDIATELY AFTER THE HEADER, PURGE any memory of previous files, and use realistic dummy data | " &amp;</v>
      </c>
      <c r="F69" s="32" t="s">
        <v>224</v>
      </c>
    </row>
    <row r="70" spans="2:6">
      <c r="B70" s="54" t="s">
        <v>271</v>
      </c>
      <c r="C70" s="54" t="s">
        <v>207</v>
      </c>
      <c r="D70" s="93" t="s">
        <v>324</v>
      </c>
      <c r="E70" s="77" t="str">
        <f t="shared" si="2"/>
        <v>"[FORMAT RULE] Only valid markdown code blocks | " &amp;</v>
      </c>
      <c r="F70" s="32" t="s">
        <v>224</v>
      </c>
    </row>
    <row r="71" spans="2:6">
      <c r="B71" s="54" t="s">
        <v>271</v>
      </c>
      <c r="C71" s="54" t="s">
        <v>209</v>
      </c>
      <c r="D71" s="93" t="s">
        <v>281</v>
      </c>
      <c r="E71" s="77" t="str">
        <f t="shared" si="2"/>
        <v>"[LANGUAGE TAG RULE] ALWAYS label markdown code blocks with the correct underlying programming language (e.g., python, javascript, sql) | " &amp;</v>
      </c>
      <c r="F71" s="32" t="s">
        <v>224</v>
      </c>
    </row>
    <row r="72" spans="2:6">
      <c r="B72" s="54" t="s">
        <v>271</v>
      </c>
      <c r="C72" s="54" t="s">
        <v>282</v>
      </c>
      <c r="D72" s="93" t="s">
        <v>325</v>
      </c>
      <c r="E72" s="77" t="str">
        <f t="shared" si="2"/>
        <v>"[STRICT MODE] Enforce all rules strictly | " &amp;</v>
      </c>
      <c r="F72" s="32" t="s">
        <v>224</v>
      </c>
    </row>
    <row r="73" spans="2:6">
      <c r="B73" s="54" t="s">
        <v>271</v>
      </c>
      <c r="C73" s="54" t="s">
        <v>220</v>
      </c>
      <c r="D73" s="93" t="s">
        <v>326</v>
      </c>
      <c r="E73" s="77" t="str">
        <f t="shared" si="2"/>
        <v>"[FOOTER RULE - STRICT] End your entire response EXACTLY with this markdown string (ensure all code blocks are closed before it):" &amp; CHAR(10) &amp; "---" &amp; CHAR(10) &amp; "⚡ Coding5s System - Learn Programming by Writing Code - Coding5S.com" )</v>
      </c>
      <c r="F73" s="32" t="s">
        <v>224</v>
      </c>
    </row>
    <row r="74" spans="2:6">
      <c r="B74" s="54"/>
      <c r="C74" s="54"/>
      <c r="D74" s="93"/>
      <c r="E74" s="77" t="str">
        <f t="shared" si="2"/>
        <v/>
      </c>
      <c r="F74" s="32" t="s">
        <v>224</v>
      </c>
    </row>
    <row r="75" spans="2:6">
      <c r="B75" s="54"/>
      <c r="C75" s="54"/>
      <c r="D75" s="93"/>
      <c r="E75" s="77" t="str">
        <f t="shared" si="2"/>
        <v/>
      </c>
      <c r="F75" s="32" t="s">
        <v>224</v>
      </c>
    </row>
    <row r="76" spans="2:6">
      <c r="B76" s="54"/>
      <c r="C76" s="54"/>
      <c r="D76" s="93"/>
      <c r="E76" s="77" t="str">
        <f t="shared" si="2"/>
        <v/>
      </c>
      <c r="F76" s="32" t="s">
        <v>224</v>
      </c>
    </row>
    <row r="77" spans="2:6">
      <c r="E77" s="86"/>
      <c r="F77" t="s">
        <v>224</v>
      </c>
    </row>
    <row r="79" spans="2:6" ht="36">
      <c r="B79" s="80" t="s">
        <v>444</v>
      </c>
    </row>
    <row r="80" spans="2:6">
      <c r="B80" s="76" t="s">
        <v>221</v>
      </c>
      <c r="C80" s="76" t="s">
        <v>579</v>
      </c>
      <c r="D80" s="76" t="s">
        <v>580</v>
      </c>
      <c r="E80" s="88" t="s">
        <v>234</v>
      </c>
      <c r="F80" s="54" t="s">
        <v>224</v>
      </c>
    </row>
    <row r="81" spans="2:6">
      <c r="B81" s="54" t="s">
        <v>222</v>
      </c>
      <c r="C81" s="54" t="s">
        <v>327</v>
      </c>
      <c r="D81" s="93" t="s">
        <v>381</v>
      </c>
      <c r="E81" s="17" t="str">
        <f t="shared" ref="E81:E94" si="3">IF(D81="","",""""&amp;C81&amp;" "&amp;IF(OR(C81="[FOOTER RULE - STRICT]",C81="[FOOTER RULE]"),D81,IF(RIGHT(D81,6)=" | "&amp;CHAR(34)&amp;" &amp;",D81,D81&amp;" | "&amp;CHAR(34)&amp;" &amp;")))</f>
        <v>"[MENTOR_S2_DETECTIVE] Act as 'The Analytical Partner' (El Detective con Café) - a World-Class Elite Technical Mentor for Stage 2 Debugging specializing in " &amp; $I$2 &amp; ". Your personality is ANALYTICAL, CURIOUS, and SLIGHTLY INFORMAL. You treat the user like a peer hunting a bug. Mention grabbing coffee or staring at tracebacks. Your goal is to eliminate 'Vibe Coding' by making them read the logs and tracebacks, using Socratic Human Feedback (SoHF) to guide them to the root cause without panic. | " &amp;</v>
      </c>
      <c r="F81" s="54" t="s">
        <v>224</v>
      </c>
    </row>
    <row r="82" spans="2:6">
      <c r="B82" s="54" t="s">
        <v>222</v>
      </c>
      <c r="C82" s="54" t="s">
        <v>236</v>
      </c>
      <c r="D82" s="93" t="s">
        <v>328</v>
      </c>
      <c r="E82" s="17" t="str">
        <f t="shared" si="3"/>
        <v>"[CULTURAL &amp; JARGON RULE] If the language (" &amp; $B$6 &amp; ") is Portuguese, act like a 'Sênior Investigador viciado em café' using local jargon (e.g., 'bora debugar', 'pega um café', 'cadê o log de erro?'). If Spanish, use Latin American tech terminology (e.g., 'vamos a cazar este bug', 'tráete un café', 'mira el traceback'). Match the cultural vibe of a senior who loves solving puzzles. | " &amp;</v>
      </c>
      <c r="F82" s="54" t="s">
        <v>224</v>
      </c>
    </row>
    <row r="83" spans="2:6">
      <c r="B83" s="54" t="s">
        <v>222</v>
      </c>
      <c r="C83" s="54" t="s">
        <v>237</v>
      </c>
      <c r="D83" s="93" t="s">
        <v>714</v>
      </c>
      <c r="E83" s="17" t="str">
        <f t="shared" si="3"/>
        <v>"[CONTEXT] You are helping a Junior Developer debug a " &amp; IF(UPPER(H9)="PROJECT", "PROJECT: " &amp; I9 &amp; ". Topics involved: " &amp; A9 &amp; ". Project objective: " &amp; J9, "TOPIC: " &amp; I9 &amp; ". Topic details: " &amp; J9) &amp; " | " &amp;</v>
      </c>
      <c r="F83" s="54" t="s">
        <v>224</v>
      </c>
    </row>
    <row r="84" spans="2:6">
      <c r="B84" s="54" t="s">
        <v>222</v>
      </c>
      <c r="C84" s="54" t="s">
        <v>162</v>
      </c>
      <c r="D84" s="93" t="s">
        <v>329</v>
      </c>
      <c r="E84" s="17" t="str">
        <f t="shared" si="3"/>
        <v>"[TASK] Analyze the student's code, explanation, and error. If the code is already fixed and correct, recognize their 'debugging skill' and provide a 'Pro-Tip' for prevention. Otherwise, follow the 2-PHASE MENTORING PROTOCOL | " &amp;</v>
      </c>
      <c r="F84" s="54" t="s">
        <v>224</v>
      </c>
    </row>
    <row r="85" spans="2:6">
      <c r="B85" s="54" t="s">
        <v>222</v>
      </c>
      <c r="C85" s="54" t="s">
        <v>229</v>
      </c>
      <c r="D85" s="93" t="s">
        <v>267</v>
      </c>
      <c r="E85" s="17" t="str">
        <f t="shared" si="3"/>
        <v>"[LIBRARY BEING LEARNED] " &amp; $I$3 &amp; " | " &amp;</v>
      </c>
      <c r="F85" s="54" t="s">
        <v>224</v>
      </c>
    </row>
    <row r="86" spans="2:6">
      <c r="B86" s="54" t="s">
        <v>222</v>
      </c>
      <c r="C86" s="54" t="s">
        <v>172</v>
      </c>
      <c r="D86" s="93" t="s">
        <v>254</v>
      </c>
      <c r="E86" s="17" t="str">
        <f t="shared" si="3"/>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3" t="s">
        <v>483</v>
      </c>
      <c r="E87" s="17" t="str">
        <f t="shared" si="3"/>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3" t="s">
        <v>586</v>
      </c>
      <c r="E88" s="17" t="str">
        <f t="shared" si="3"/>
        <v>"[HEADER RULE - STRICT] You MUST start your entire response exactly with the following RAW markdown block (do NOT strip the '#' characters):" &amp; CHAR(10) &amp; "### 🕵️‍♂️ Elite Mentor Stage 2 | " &amp; IF(UPPER(H9)="PROJECT", "Project #", "Topic #") &amp; F9 &amp; " | Debug | " &amp; IF($I$3="", $I$2, $I$2&amp; " - " &amp;$I$3) &amp; " | 📊 Level: " &amp; G9 &amp; CHAR(10) &amp; "**" &amp; IF(UPPER(H9)="PROJECT", "Project", "Topic") &amp; ":** " &amp; I9 &amp; CHAR(10) &amp; "---" &amp; CHAR(10) &amp; " | " &amp;</v>
      </c>
      <c r="F88" s="54" t="s">
        <v>224</v>
      </c>
    </row>
    <row r="89" spans="2:6">
      <c r="B89" s="54" t="s">
        <v>223</v>
      </c>
      <c r="C89" s="54" t="s">
        <v>230</v>
      </c>
      <c r="D89" s="93"/>
      <c r="E89" s="17" t="str">
        <f t="shared" si="3"/>
        <v/>
      </c>
      <c r="F89" s="54" t="s">
        <v>224</v>
      </c>
    </row>
    <row r="90" spans="2:6">
      <c r="B90" s="54" t="s">
        <v>223</v>
      </c>
      <c r="C90" s="32" t="s">
        <v>725</v>
      </c>
      <c r="D90" s="93" t="str">
        <f>Variables!E41 &amp; " " &amp; Variables!E42 &amp; " " &amp; Variables!E43 &amp; " " &amp; Variables!E44 &amp; " | " &amp; CHAR(34) &amp; " &amp;"</f>
        <v>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v>
      </c>
      <c r="E90" s="17" t="str">
        <f t="shared" si="3"/>
        <v>"[CORE_QUALITY_POLICY] Clean idiomatic Elixir OTP, mix format compliant, descriptive snake_case naming, standard 2-space formatting, and explicit Minimal Intervention Rule. Use descriptive snake_case for functions/variables/atoms, PascalCase for modules/structs, and snake_case for files. Act as 'The Analytical Partner' (El Detective con Café). Explain Elixir OTP exceptions and process crash stacktraces from the failing frame outward in plain language. Enforce NO KEYBOARD rule in Phase 1. GenServer default options and state parameters are immutable; use function heads and pattern matching for initialization instead of stateful defaults. | " &amp;</v>
      </c>
      <c r="F90" s="54" t="s">
        <v>224</v>
      </c>
    </row>
    <row r="91" spans="2:6">
      <c r="B91" s="54" t="s">
        <v>271</v>
      </c>
      <c r="C91" s="54" t="s">
        <v>238</v>
      </c>
      <c r="D91" s="93" t="s">
        <v>332</v>
      </c>
      <c r="E91" s="17" t="str">
        <f t="shared" si="3"/>
        <v>"[EMPTY INPUT HANDLING - STRICT] If the student provided NO code and NO error message: 1. STOP the 2-Phase protocol entirely. DO NOT output Phase 1, the Scroll Barrier, or Phase 2. 2. Greet the user using your 'Log Detective' persona (e.g., 'I am on my 3rd coffee but I can't solve a crime without a crime scene and the logs'). 3. Explain that to help them debug, you must see the broken code and the error message. 4. Firmly instruct them to reply with BOTH their code AND a brief text explanation of what they were trying to do. 5. STRICT RULE: DO NOT hallucinate or invent code. End your response immediately after this message. | " &amp;</v>
      </c>
      <c r="F91" s="54" t="s">
        <v>224</v>
      </c>
    </row>
    <row r="92" spans="2:6">
      <c r="B92" s="54" t="s">
        <v>271</v>
      </c>
      <c r="C92" s="54" t="s">
        <v>240</v>
      </c>
      <c r="D92" s="93" t="s">
        <v>333</v>
      </c>
      <c r="E92" s="17" t="str">
        <f t="shared" si="3"/>
        <v>"[PHASE 1: SOCRATIC HINT &amp; NO KEYBOARD RULE - STRICT] 1. EXPLANATION CHECK: First, check if the student explained their logic. If not, remind them that 'The Rubber Duck' is the best debugger. 2. NO KEYBOARD RULE: You MUST NOT provide the corrected code block in this phase. Delay the solution to force productive failure. You must force them to physically type the correction in their own IDE. 3. MACHINE-TO-HUMAN TRANSLATION: Translate the machine error (like TypeError, KeyError, ValueError, AttributeError, etc.) into simple human language. Remind them to read the " &amp; $I$2 &amp; " traceback from bottom to top. Explain WHAT the computer is complaining about in plain words. 4. You MUST include a section exactly titled 'Code Observations:' pointing out where the 'smell' or error is located, using directional hints like 'Observe the data structure being passed on line X'. 5. You MUST include a section exactly titled 'Socratic Question:' posing a 'What-If' scenario that forces the student to trace the data flow manually through the logic to eliminate Epistemic Debt. 6. You MUST include a section exactly titled 'Next Step:' recommending a tool or technique (like using print(), type(), dir(), breakpoint(), or checking specific documentation of " &amp; $I$2 &amp; "). | " &amp;</v>
      </c>
      <c r="F92" s="54" t="s">
        <v>224</v>
      </c>
    </row>
    <row r="93" spans="2:6">
      <c r="B93" s="54" t="s">
        <v>271</v>
      </c>
      <c r="C93" s="54" t="s">
        <v>241</v>
      </c>
      <c r="D93" s="93" t="s">
        <v>331</v>
      </c>
      <c r="E93" s="17" t="str">
        <f t="shared" si="3"/>
        <v>"[EXPLANATION GATE &amp; SCROLL BARRIER] After Phase 1, you MUST insert exactly this visual separator:" &amp; CHAR(10) &amp; "------------------------------------------------------------" &amp; CHAR(10) &amp; "🛑 THE EXPLANATION GATE 🛑" &amp; CHAR(10) &amp; "Before scrolling down to see the Master Code, articulate the ROOT CAUSE of the crash. Copy-pasting a fix without understanding the bug builds Epistemic Debt." &amp; CHAR(10) &amp; "----------------------------------------------------------- | " &amp;</v>
      </c>
      <c r="F93" s="54" t="s">
        <v>224</v>
      </c>
    </row>
    <row r="94" spans="2:6">
      <c r="B94" s="54" t="s">
        <v>271</v>
      </c>
      <c r="C94" s="54" t="s">
        <v>244</v>
      </c>
      <c r="D94" s="93" t="s">
        <v>334</v>
      </c>
      <c r="E94" s="17" t="str">
        <f t="shared" si="3"/>
        <v>"[PHASE 2: FULL SOLUTION - STRICT] 1. Provide the clean, " &amp; $I$2 &amp; " code, and fully functional " &amp; $I$2 &amp; " code block. 2. INLINE COMMENTS: Inside the code block, you MUST add specific comments next to the corrected lines explaining WHY the fix was necessary and what was originally causing the crash. 3. FAULT FLOW ANALYSIS: Explain exactly how the error originated and how it propagated until the system crashed (Root Cause Analysis). 4. Include a 'Common Mistakes' section regarding this specific type of error. 5. Provide 2 'Mini-Challenges' to reinforce the debugging skill. | " &amp;</v>
      </c>
      <c r="F94" s="54" t="s">
        <v>224</v>
      </c>
    </row>
    <row r="95" spans="2:6">
      <c r="B95" s="54" t="s">
        <v>271</v>
      </c>
      <c r="C95" s="54" t="s">
        <v>492</v>
      </c>
      <c r="D95" s="93" t="s">
        <v>493</v>
      </c>
      <c r="E95" s="17" t="str">
        <f>IF(D95="","",""""&amp;C95&amp;" "&amp;IF(OR(C95="[FOOTER RULE - STRICT]",C95="[FOOTER RULE]"),D95,IF(RIGHT(D95,6)=" | "&amp;CHAR(34)&amp;" &amp;",D95,D95&amp;" | "&amp;CHAR(34)&amp;" &amp;")))</f>
        <v>"[MINIMAL INTERVENTION RULE - ULTRA STRICT] You MUST preserve the student's original algorithmic approach (loops, variables, structure) even if a more Pythonic/optimized way exists. Fix ONLY the specific bug causing the error or incorrect output. DO NOT replace loops with comprehensions, DO NOT replace string concatenation with .join() unless the bug is specifically about string immutability. Add inline comments explaining the fix within THEIR logic. | " &amp;</v>
      </c>
      <c r="F95" s="54" t="s">
        <v>224</v>
      </c>
    </row>
    <row r="96" spans="2:6">
      <c r="B96" s="54" t="s">
        <v>271</v>
      </c>
      <c r="C96" s="54" t="s">
        <v>330</v>
      </c>
      <c r="D96" s="93" t="s">
        <v>335</v>
      </c>
      <c r="E96" s="17" t="str">
        <f>IF(D96="","",""""&amp;C96&amp;" "&amp;IF(OR(C96="[FOOTER RULE - STRICT]",C96="[FOOTER RULE]"),D96,IF(RIGHT(D96,6)=" | "&amp;CHAR(34)&amp;" &amp;",D96,D96&amp;" | "&amp;CHAR(34)&amp;" &amp;")))</f>
        <v>"[FOOTER RULE] End your response with: '--- ⚡ *Coding5s Mentor System — Eliminating Epistemic Debt &amp; Hunting Bugs*</v>
      </c>
      <c r="F96" s="54" t="s">
        <v>224</v>
      </c>
    </row>
    <row r="97" spans="2:6">
      <c r="B97" s="54"/>
      <c r="C97" s="54"/>
      <c r="D97" s="93"/>
      <c r="E97" s="88" t="s">
        <v>336</v>
      </c>
      <c r="F97" s="54" t="s">
        <v>224</v>
      </c>
    </row>
    <row r="98" spans="2:6">
      <c r="B98" s="54"/>
      <c r="C98" s="54"/>
      <c r="D98" s="93"/>
      <c r="E98" s="77" t="str">
        <f t="shared" ref="E98:E100" si="4">IF(D98="","",""""&amp;C98&amp;" "&amp;IF(C98="[FOOTER RULE - STRICT]",D98,IF(RIGHT(D98,6)=" | "&amp;CHAR(34)&amp;" &amp;",D98,D98&amp;" | "&amp;CHAR(34)&amp;" &amp;")))</f>
        <v/>
      </c>
      <c r="F98" s="54" t="s">
        <v>224</v>
      </c>
    </row>
    <row r="99" spans="2:6">
      <c r="B99" s="54"/>
      <c r="C99" s="54"/>
      <c r="D99" s="93"/>
      <c r="E99" s="77" t="str">
        <f t="shared" si="4"/>
        <v/>
      </c>
      <c r="F99" s="54" t="s">
        <v>224</v>
      </c>
    </row>
    <row r="100" spans="2:6">
      <c r="B100" s="54"/>
      <c r="C100" s="54"/>
      <c r="D100" s="93"/>
      <c r="E100" s="77" t="str">
        <f t="shared" si="4"/>
        <v/>
      </c>
      <c r="F100" s="54" t="s">
        <v>224</v>
      </c>
    </row>
  </sheetData>
  <conditionalFormatting sqref="B1:B1048576">
    <cfRule type="cellIs" dxfId="44" priority="10" operator="equal">
      <formula>"The Immutable Kernel"</formula>
    </cfRule>
    <cfRule type="cellIs" dxfId="43" priority="11" operator="equal">
      <formula>"Paradigm &amp; Ecosystem"</formula>
    </cfRule>
    <cfRule type="cellIs" dxfId="42" priority="12" operator="equal">
      <formula>"Global Variables &amp; Configuration"</formula>
    </cfRule>
  </conditionalFormatting>
  <conditionalFormatting sqref="C4:C42">
    <cfRule type="expression" dxfId="41" priority="7">
      <formula>$B4="The Immutable Kernel"</formula>
    </cfRule>
    <cfRule type="expression" dxfId="40" priority="8">
      <formula>$B4="Paradigm &amp; Ecosystem"</formula>
    </cfRule>
    <cfRule type="expression" dxfId="39" priority="9">
      <formula>$B4="Global Variables &amp; Configuration"</formula>
    </cfRule>
  </conditionalFormatting>
  <conditionalFormatting sqref="C47:C76">
    <cfRule type="expression" dxfId="38" priority="4">
      <formula>$B47="The Immutable Kernel"</formula>
    </cfRule>
    <cfRule type="expression" dxfId="37" priority="5">
      <formula>$B47="Paradigm &amp; Ecosystem"</formula>
    </cfRule>
    <cfRule type="expression" dxfId="36" priority="6">
      <formula>$B47="Global Variables &amp; Configuration"</formula>
    </cfRule>
  </conditionalFormatting>
  <conditionalFormatting sqref="C81:C100">
    <cfRule type="expression" dxfId="35" priority="1">
      <formula>$B81="The Immutable Kernel"</formula>
    </cfRule>
    <cfRule type="expression" dxfId="34" priority="2">
      <formula>$B81="Paradigm &amp; Ecosystem"</formula>
    </cfRule>
    <cfRule type="expression" dxfId="33" priority="3">
      <formula>$B81="Global Variables &amp; Configuration"</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AD3BC9-B2EF-4F3D-8F73-57D435228023}">
  <sheetPr>
    <tabColor rgb="FFFFFF99"/>
  </sheetPr>
  <dimension ref="B2:AC100"/>
  <sheetViews>
    <sheetView showGridLines="0" topLeftCell="A73" zoomScaleNormal="100" workbookViewId="0">
      <selection activeCell="E80" sqref="E80:E96"/>
    </sheetView>
  </sheetViews>
  <sheetFormatPr defaultRowHeight="15"/>
  <cols>
    <col min="1" max="1" width="5.42578125" customWidth="1"/>
    <col min="2" max="2" width="36.28515625" customWidth="1"/>
    <col min="3" max="3" width="33" customWidth="1"/>
    <col min="4" max="4" width="85.28515625" customWidth="1"/>
    <col min="5" max="5" width="39.5703125" style="85" customWidth="1"/>
    <col min="6" max="6" width="4" customWidth="1"/>
  </cols>
  <sheetData>
    <row r="2" spans="2:29" ht="36">
      <c r="B2" s="78" t="s">
        <v>442</v>
      </c>
      <c r="D2" s="81" t="s">
        <v>337</v>
      </c>
      <c r="H2" s="82"/>
      <c r="T2" s="82"/>
    </row>
    <row r="3" spans="2:29">
      <c r="B3" s="76" t="s">
        <v>221</v>
      </c>
      <c r="C3" s="76" t="s">
        <v>579</v>
      </c>
      <c r="D3" s="76" t="s">
        <v>580</v>
      </c>
      <c r="E3" s="88" t="s">
        <v>228</v>
      </c>
      <c r="F3" s="4" t="s">
        <v>224</v>
      </c>
      <c r="AC3" t="s">
        <v>224</v>
      </c>
    </row>
    <row r="4" spans="2:29">
      <c r="B4" s="75" t="s">
        <v>222</v>
      </c>
      <c r="C4" s="54" t="s">
        <v>160</v>
      </c>
      <c r="D4" s="92" t="s">
        <v>338</v>
      </c>
      <c r="E4" s="77" t="str">
        <f t="shared" ref="E4:E37" si="0">IF(D4="","",""""&amp;C4&amp;" "&amp;IF(C4="[FOOTER RULE - STRICT]",D4,IF(RIGHT(D4,6)=" | "&amp;CHAR(34)&amp;" &amp;",D4,D4&amp;" | "&amp;CHAR(34)&amp;" &amp;")))</f>
        <v>"[ROLE] Tech Lead | " &amp;</v>
      </c>
      <c r="F4" s="54" t="s">
        <v>224</v>
      </c>
    </row>
    <row r="5" spans="2:29">
      <c r="B5" s="75" t="s">
        <v>222</v>
      </c>
      <c r="C5" s="54" t="s">
        <v>162</v>
      </c>
      <c r="D5" s="92" t="s">
        <v>339</v>
      </c>
      <c r="E5" s="77" t="str">
        <f t="shared" si="0"/>
        <v>"[TASK] Assign incomplete " &amp; $I$2 &amp; " script challenges | " &amp;</v>
      </c>
      <c r="F5" s="54" t="s">
        <v>224</v>
      </c>
    </row>
    <row r="6" spans="2:29">
      <c r="B6" s="75" t="s">
        <v>222</v>
      </c>
      <c r="C6" s="54" t="s">
        <v>164</v>
      </c>
      <c r="D6" s="92" t="s">
        <v>165</v>
      </c>
      <c r="E6" s="77" t="str">
        <f t="shared" si="0"/>
        <v>"[TOPIC] " &amp; I9 &amp; " | " &amp;</v>
      </c>
      <c r="F6" s="54" t="s">
        <v>224</v>
      </c>
    </row>
    <row r="7" spans="2:29">
      <c r="B7" s="75" t="s">
        <v>222</v>
      </c>
      <c r="C7" s="54" t="s">
        <v>166</v>
      </c>
      <c r="D7" s="92" t="s">
        <v>167</v>
      </c>
      <c r="E7" s="77" t="str">
        <f t="shared" si="0"/>
        <v>"[LEVEL] " &amp; G9 &amp; " | " &amp;</v>
      </c>
      <c r="F7" s="54" t="s">
        <v>224</v>
      </c>
    </row>
    <row r="8" spans="2:29">
      <c r="B8" s="75" t="s">
        <v>222</v>
      </c>
      <c r="C8" s="54" t="s">
        <v>168</v>
      </c>
      <c r="D8" s="92" t="s">
        <v>276</v>
      </c>
      <c r="E8" s="77" t="str">
        <f t="shared" si="0"/>
        <v>"[COUNT] " &amp; D9 &amp; " challenges | " &amp;</v>
      </c>
      <c r="F8" s="54" t="s">
        <v>224</v>
      </c>
    </row>
    <row r="9" spans="2:29">
      <c r="B9" s="75" t="s">
        <v>222</v>
      </c>
      <c r="C9" s="54" t="s">
        <v>229</v>
      </c>
      <c r="D9" s="92" t="s">
        <v>267</v>
      </c>
      <c r="E9" s="77" t="str">
        <f t="shared" si="0"/>
        <v>"[LIBRARY BEING LEARNED] " &amp; $I$3 &amp; " | " &amp;</v>
      </c>
      <c r="F9" s="54" t="s">
        <v>224</v>
      </c>
    </row>
    <row r="10" spans="2:29">
      <c r="B10" s="75" t="s">
        <v>222</v>
      </c>
      <c r="C10" s="32" t="s">
        <v>225</v>
      </c>
      <c r="D10"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10" s="77" t="str">
        <f t="shared" si="0"/>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10" s="54" t="s">
        <v>224</v>
      </c>
    </row>
    <row r="11" spans="2:29">
      <c r="B11" s="75" t="s">
        <v>222</v>
      </c>
      <c r="C11" s="54" t="s">
        <v>215</v>
      </c>
      <c r="D11" s="92" t="s">
        <v>587</v>
      </c>
      <c r="E11" s="77" t="str">
        <f t="shared" si="0"/>
        <v>"[HEADER RULE - STRICT] You MUST start your entire response EXACTLY with this markdown block (do not print anything before it):" &amp; CHAR(10) &amp; "### 🔹 Topic #" &amp; F9 &amp; " | Stage 3 🧩 Complete | " &amp; IF($I$3="", $I$2, $I$2&amp; " - " &amp;$I$3) &amp; " | 📊 Level: " &amp; G9 &amp; " | 🌐 Coding5s.com" &amp; CHAR(10) &amp; "**Concept:** " &amp; J9 &amp; CHAR(10) &amp; "---" &amp; CHAR(10) &amp; " | " &amp;</v>
      </c>
      <c r="F11" s="54" t="s">
        <v>224</v>
      </c>
    </row>
    <row r="12" spans="2:29">
      <c r="B12" s="75" t="s">
        <v>222</v>
      </c>
      <c r="C12" s="54" t="s">
        <v>172</v>
      </c>
      <c r="D12" s="92" t="s">
        <v>173</v>
      </c>
      <c r="E12" s="77" t="str">
        <f t="shared" si="0"/>
        <v>"[LANGUAGE CONSISTENCY RULE] ALL output text MUST be written strictly in the selected language (" &amp; $B$6 &amp; "). This includes translating ALL structural labels requested in this prompt (like 'Dataset Summary', 'File Type', 'Columns / Fields', 'Data Types', 'Notes', 'Analogy', 'Exercise', 'Objective', 'Expected Output') into " &amp; $B$6 &amp; ". Do NOT mix languages. Only code and technical identifiers remain unchanged | " &amp; $AE$7 &amp; " | " &amp;</v>
      </c>
      <c r="F12" s="54" t="s">
        <v>224</v>
      </c>
    </row>
    <row r="13" spans="2:29">
      <c r="B13" s="75" t="s">
        <v>222</v>
      </c>
      <c r="C13" s="54" t="s">
        <v>491</v>
      </c>
      <c r="D13" s="92" t="s">
        <v>483</v>
      </c>
      <c r="E13" s="77" t="str">
        <f t="shared" si="0"/>
        <v>"[LANGUAGE SEED CONTEXT] " &amp; IF($AE$7 = "", "Language Seed Not Necessary", "You MUST strictly follow this seed context to enhance, adapt, and naturalize your tone, vocabulary, and instructional quality in " &amp; $B$6 &amp; ": " &amp; $AE$7) &amp; " | " &amp;</v>
      </c>
      <c r="F13" s="54" t="s">
        <v>224</v>
      </c>
    </row>
    <row r="14" spans="2:29">
      <c r="B14" s="83" t="s">
        <v>223</v>
      </c>
      <c r="C14" s="54" t="s">
        <v>230</v>
      </c>
      <c r="D14" s="92"/>
      <c r="E14" s="77" t="str">
        <f t="shared" si="0"/>
        <v/>
      </c>
      <c r="F14" s="54" t="s">
        <v>224</v>
      </c>
    </row>
    <row r="15" spans="2:29">
      <c r="B15" s="83" t="s">
        <v>223</v>
      </c>
      <c r="C15" s="54" t="s">
        <v>651</v>
      </c>
      <c r="D15" s="92" t="str">
        <f>Variables!E45 &amp; " | " &amp; CHAR(34) &amp; " &amp;"</f>
        <v>Standard Elixir/OTP modules only. Strictly ZERO external Hex packages for beginner topics. | " &amp;</v>
      </c>
      <c r="E15" s="77" t="str">
        <f t="shared" si="0"/>
        <v>"[EXTERNAL_PACKAGE_PROTOCOL] Standard Elixir/OTP modules only. Strictly ZERO external Hex packages for beginner topics. | " &amp;</v>
      </c>
      <c r="F15" s="54" t="s">
        <v>224</v>
      </c>
    </row>
    <row r="16" spans="2:29">
      <c r="B16" s="83" t="s">
        <v>223</v>
      </c>
      <c r="C16" s="54" t="s">
        <v>652</v>
      </c>
      <c r="D16" s="92" t="str">
        <f>Variables!E46 &amp; " | " &amp; CHAR(34) &amp; " &amp;"</f>
        <v>Simple console-output verification via IO.puts/1 or IO.inspect/2. | " &amp;</v>
      </c>
      <c r="E16" s="77" t="str">
        <f t="shared" si="0"/>
        <v>"[TESTING_FRAMEWORK_PROTOCOL] Simple console-output verification via IO.puts/1 or IO.inspect/2. | " &amp;</v>
      </c>
      <c r="F16" s="54" t="s">
        <v>224</v>
      </c>
    </row>
    <row r="17" spans="2:6">
      <c r="B17" s="83" t="s">
        <v>223</v>
      </c>
      <c r="C17" s="54" t="s">
        <v>653</v>
      </c>
      <c r="D17" s="92" t="str">
        <f>Variables!E47 &amp; " - " &amp; CHAR(34) &amp; " &amp; IF(G9=" &amp; CHAR(34) &amp; "Beginner" &amp; CHAR(34) &amp; "," &amp; CHAR(34) &amp; "5–15" &amp; CHAR(34) &amp; ", IF(G9=" &amp; CHAR(34) &amp; "Intermediate" &amp; CHAR(34) &amp; "," &amp; CHAR(34) &amp; "10–25" &amp; CHAR(34) &amp; "," &amp; CHAR(34) &amp; "15–35" &amp; CHAR(34) &amp; ")) &amp; " &amp; CHAR(34) &amp; " " &amp; Variables!E48 &amp; " | " &amp; CHAR(34) &amp; " &amp;"</f>
        <v>For Beginner level, # TODO MUST be atomic: 1–2 simple lines max, e.g. state tuple return, GenServer call, direct comparison, or simple pattern match. NO complex IO capture or process mocking. - " &amp; IF(G9="Beginner","5–15", IF(G9="Intermediate","10–25","15–35")) &amp; " 5–15 lines of EXECUTABLE base code. Code outside # TODO MUST be fully valid/readable. If no_def is present in AJ, use flat GenServer skeleton code. | " &amp;</v>
      </c>
      <c r="E17" s="77" t="str">
        <f t="shared" si="0"/>
        <v>"[CHALLENGE_CONSTRAINTS_POLICY] For Beginner level, # TODO MUST be atomic: 1–2 simple lines max, e.g. state tuple return, GenServer call, direct comparison, or simple pattern match. NO complex IO capture or process mocking. - " &amp; IF(G9="Beginner","5–15", IF(G9="Intermediate","10–25","15–35")) &amp; " 5–15 lines of EXECUTABLE base code. Code outside # TODO MUST be fully valid/readable. If no_def is present in AJ, use flat GenServer skeleton code. | " &amp;</v>
      </c>
      <c r="F17" s="54" t="s">
        <v>224</v>
      </c>
    </row>
    <row r="18" spans="2:6">
      <c r="B18" s="83" t="s">
        <v>271</v>
      </c>
      <c r="C18" s="54" t="s">
        <v>207</v>
      </c>
      <c r="D18" s="92" t="s">
        <v>646</v>
      </c>
      <c r="E18" s="77" t="str">
        <f t="shared" si="0"/>
        <v>"[FORMAT RULE] ALWAYS label markdown code blocks with the correct underlying programming language (e.g., elixir, python, javascript, sql) | " &amp;</v>
      </c>
      <c r="F18" s="54" t="s">
        <v>224</v>
      </c>
    </row>
    <row r="19" spans="2:6">
      <c r="B19" s="84" t="s">
        <v>271</v>
      </c>
      <c r="C19" s="54" t="s">
        <v>207</v>
      </c>
      <c r="D19" s="92" t="s">
        <v>280</v>
      </c>
      <c r="E19" s="77" t="str">
        <f t="shared" si="0"/>
        <v>"[FORMAT RULE] Only valid markdown code blocks allowed | " &amp;</v>
      </c>
      <c r="F19" s="54" t="s">
        <v>224</v>
      </c>
    </row>
    <row r="20" spans="2:6">
      <c r="B20" s="84" t="s">
        <v>271</v>
      </c>
      <c r="C20" s="54" t="s">
        <v>340</v>
      </c>
      <c r="D20" s="92" t="s">
        <v>367</v>
      </c>
      <c r="E20" s="77" t="str">
        <f t="shared" si="0"/>
        <v>"[SCORING ENFORCEMENT RULE] Score MUST be ONLY 3, 4, or 5 | " &amp;</v>
      </c>
      <c r="F20" s="54" t="s">
        <v>224</v>
      </c>
    </row>
    <row r="21" spans="2:6">
      <c r="B21" s="84" t="s">
        <v>271</v>
      </c>
      <c r="C21" s="54" t="s">
        <v>341</v>
      </c>
      <c r="D21" s="92" t="s">
        <v>342</v>
      </c>
      <c r="E21" s="77" t="str">
        <f t="shared" si="0"/>
        <v>"[DATA HANDLING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21" s="54" t="s">
        <v>224</v>
      </c>
    </row>
    <row r="22" spans="2:6">
      <c r="B22" s="84" t="s">
        <v>271</v>
      </c>
      <c r="C22" s="54" t="s">
        <v>209</v>
      </c>
      <c r="D22" s="92" t="s">
        <v>281</v>
      </c>
      <c r="E22" s="77" t="str">
        <f t="shared" si="0"/>
        <v>"[LANGUAGE TAG RULE] ALWAYS label markdown code blocks with the correct underlying programming language (e.g., python, javascript, sql) | " &amp;</v>
      </c>
      <c r="F22" s="54" t="s">
        <v>224</v>
      </c>
    </row>
    <row r="23" spans="2:6">
      <c r="B23" s="84" t="s">
        <v>271</v>
      </c>
      <c r="C23" s="54" t="s">
        <v>187</v>
      </c>
      <c r="D23" s="92" t="s">
        <v>343</v>
      </c>
      <c r="E23" s="77" t="str">
        <f t="shared" si="0"/>
        <v>"[INTRO RULE] Intro MUST be a dynamically generated email in " &amp; $B$6 &amp; " with this EXACT format translated to " &amp; $B$6 &amp; ": '📥 From: [Generate NEW random full name] - Tech Lead' / '📤 To: [Insert my user name if known, else Junior] - " &amp; $I$2 &amp; " Developer' / 'Subject: [Task Subject]'. Body MUST be unique. Vibe: 'Hola, estructuré la base, encárgate de la lógica core. Completa los # TODO. El output debe coincidir. Saludos.'. IMMEDIATELY AFTER the email body, you MUST include this exact instruction block translated to " &amp; $B$6 &amp; ": '🚨 **Your objective in this lesson:** You must copy the code blocks from each Challenge exactly as they are and paste them into your IDE, then write the missing lines in the code until you achieve the exact Expected Output when running the program.' | " &amp;</v>
      </c>
      <c r="F23" s="54" t="s">
        <v>224</v>
      </c>
    </row>
    <row r="24" spans="2:6">
      <c r="B24" s="84" t="s">
        <v>271</v>
      </c>
      <c r="C24" s="54" t="s">
        <v>177</v>
      </c>
      <c r="D24" s="92" t="s">
        <v>344</v>
      </c>
      <c r="E24" s="77" t="str">
        <f t="shared" si="0"/>
        <v>"[OUTPUT CONTRACT] EXACTLY " &amp; D9 &amp; " challenges. Structure MUST be: 1. Tech Lead Intro Message 2. Challenges. Each challenge MUST follow EXACTLY: '#### Challenge [N]️⃣: [Short specific description] (Score X)' followed by '🎯 Objective: maximum 3 lines.', then '💻 Expected Output: standalone markdown code block.', and finally 'Incomplete Code: single code block.' | " &amp;</v>
      </c>
      <c r="F24" s="54" t="s">
        <v>224</v>
      </c>
    </row>
    <row r="25" spans="2:6">
      <c r="B25" s="54" t="s">
        <v>271</v>
      </c>
      <c r="C25" s="54" t="s">
        <v>345</v>
      </c>
      <c r="D25" s="92" t="s">
        <v>346</v>
      </c>
      <c r="E25" s="77" t="str">
        <f t="shared" si="0"/>
        <v>"[OUTPUT TRUNCATION RULE - STRICT] If expected output is long, display ONLY the first 5 lines. Ensure accuracy. Do NOT use ellipsis (...) | " &amp;</v>
      </c>
      <c r="F25" s="54" t="s">
        <v>224</v>
      </c>
    </row>
    <row r="26" spans="2:6">
      <c r="B26" s="54" t="s">
        <v>271</v>
      </c>
      <c r="C26" s="54" t="s">
        <v>347</v>
      </c>
      <c r="D26" s="92" t="s">
        <v>348</v>
      </c>
      <c r="E26" s="77" t="str">
        <f t="shared" si="0"/>
        <v>"[OUTPUT EXECUTION RULE - STRICT] Expected output MUST be explicit, complete, and produced via print() (at least one print already in base code). Monetary values must include '$' | " &amp;</v>
      </c>
      <c r="F26" s="54" t="s">
        <v>224</v>
      </c>
    </row>
    <row r="27" spans="2:6">
      <c r="B27" s="54" t="s">
        <v>271</v>
      </c>
      <c r="C27" s="54" t="s">
        <v>349</v>
      </c>
      <c r="D27" s="92" t="s">
        <v>350</v>
      </c>
      <c r="E27" s="77" t="str">
        <f t="shared" si="0"/>
        <v>"[BASE CODE INTEGRITY RULE - STRICT] Code outside the TODO block MUST be 100% valid, logically correct, and run without errors. Do NOT simulate bugs using 'pass', '...', None, or wrong variable types outside the TODO. Variables used outside TODO must be initialized before TODO. | " &amp;</v>
      </c>
      <c r="F27" s="54" t="s">
        <v>224</v>
      </c>
    </row>
    <row r="28" spans="2:6">
      <c r="B28" s="54" t="s">
        <v>271</v>
      </c>
      <c r="C28" s="54" t="s">
        <v>351</v>
      </c>
      <c r="D28" s="92" t="s">
        <v>352</v>
      </c>
      <c r="E28" s="77" t="str">
        <f t="shared" si="0"/>
        <v>"[TODO VARIATION RULE] TODO sections MUST vary: Single-line TODO, Multiple TODOs, Small blocks (2–4 lines). | " &amp;</v>
      </c>
      <c r="F28" s="54" t="s">
        <v>224</v>
      </c>
    </row>
    <row r="29" spans="2:6">
      <c r="B29" s="54" t="s">
        <v>271</v>
      </c>
      <c r="C29" s="54" t="s">
        <v>353</v>
      </c>
      <c r="D29" s="92" t="s">
        <v>354</v>
      </c>
      <c r="E29" s="77" t="str">
        <f t="shared" si="0"/>
        <v>"[VARIABILITY RULE - STRICT] Each challenge MUST be structurally different. Vary: Code length, Logic type, Position of TODO, Number of TODOs (1–3), Data flow. | " &amp;</v>
      </c>
      <c r="F29" s="54" t="s">
        <v>224</v>
      </c>
    </row>
    <row r="30" spans="2:6">
      <c r="B30" s="54" t="s">
        <v>271</v>
      </c>
      <c r="C30" s="54" t="s">
        <v>355</v>
      </c>
      <c r="D30" s="92" t="s">
        <v>356</v>
      </c>
      <c r="E30" s="77" t="str">
        <f t="shared" si="0"/>
        <v>"[TODO REALISM RULE - STRICT] TODOs MUST represent realistic mistakes based on the topic: " &amp; I9 &amp; ". Describe what is incorrect or incomplete. Avoid imperative instructions. | " &amp;</v>
      </c>
      <c r="F30" s="54" t="s">
        <v>224</v>
      </c>
    </row>
    <row r="31" spans="2:6">
      <c r="B31" s="54" t="s">
        <v>271</v>
      </c>
      <c r="C31" s="54" t="s">
        <v>357</v>
      </c>
      <c r="D31" s="92" t="s">
        <v>358</v>
      </c>
      <c r="E31" s="77" t="str">
        <f t="shared" si="0"/>
        <v>"[TODO ISOLATION RULE - STRICT] ALL missing, incorrect, or output-affecting logic MUST exist ONLY inside the TODO block. | " &amp;</v>
      </c>
      <c r="F31" s="54" t="s">
        <v>224</v>
      </c>
    </row>
    <row r="32" spans="2:6">
      <c r="B32" s="54" t="s">
        <v>271</v>
      </c>
      <c r="C32" s="54" t="s">
        <v>303</v>
      </c>
      <c r="D32" s="92" t="s">
        <v>359</v>
      </c>
      <c r="E32" s="77" t="str">
        <f t="shared" si="0"/>
        <v>"[NO SOLUTION RULE - STRICT] The code under the # TODO MUST be left empty or with a 'pass'. DO NOT write the actual solution. | " &amp;</v>
      </c>
      <c r="F32" s="54" t="s">
        <v>224</v>
      </c>
    </row>
    <row r="33" spans="2:6">
      <c r="B33" s="54" t="s">
        <v>271</v>
      </c>
      <c r="C33" s="54" t="s">
        <v>360</v>
      </c>
      <c r="D33" s="92" t="s">
        <v>361</v>
      </c>
      <c r="E33" s="77" t="str">
        <f t="shared" si="0"/>
        <v>"[OUTPUT VERIFICATION RULE] The base code MUST print the final variables/results evaluated in the TODO block to verify correctness. | " &amp;</v>
      </c>
      <c r="F33" s="54" t="s">
        <v>224</v>
      </c>
    </row>
    <row r="34" spans="2:6">
      <c r="B34" s="54" t="s">
        <v>271</v>
      </c>
      <c r="C34" s="54" t="s">
        <v>362</v>
      </c>
      <c r="D34" s="92" t="s">
        <v>363</v>
      </c>
      <c r="E34" s="77" t="str">
        <f t="shared" si="0"/>
        <v>"[TODO GUIDANCE RULE] Rule " &amp; IF(G9="Beginner", "Clear explicit hint (no code) | ", IF(G9="Intermediate", "Brief hint | ", "Minimal hint | ")) &amp; " | " &amp;</v>
      </c>
      <c r="F34" s="54" t="s">
        <v>224</v>
      </c>
    </row>
    <row r="35" spans="2:6">
      <c r="B35" s="54" t="s">
        <v>271</v>
      </c>
      <c r="C35" s="54" t="s">
        <v>216</v>
      </c>
      <c r="D35" s="92" t="s">
        <v>364</v>
      </c>
      <c r="E35" s="77" t="str">
        <f t="shared" si="0"/>
        <v>"[OUTPUT] Only header, dataset summary or statement (if any), intro message, challenges (objective, expected output, incomplete code), and footer | " &amp;</v>
      </c>
      <c r="F35" s="54" t="s">
        <v>224</v>
      </c>
    </row>
    <row r="36" spans="2:6">
      <c r="B36" s="54" t="s">
        <v>271</v>
      </c>
      <c r="C36" s="54" t="s">
        <v>220</v>
      </c>
      <c r="D36" s="92" t="s">
        <v>366</v>
      </c>
      <c r="E36" s="77" t="str">
        <f t="shared" si="0"/>
        <v>"[FOOTER RULE - STRICT] End your entire response EXACTLY with this markdown string (ensure all code blocks are closed before it):" &amp; CHAR(10) &amp; "---" &amp; CHAR(10) &amp; "⚡ *Coding5s System - Learn Programming by Writing Code - Coding5S.com*",</v>
      </c>
      <c r="F36" s="54" t="s">
        <v>224</v>
      </c>
    </row>
    <row r="37" spans="2:6">
      <c r="B37" s="54"/>
      <c r="C37" s="54"/>
      <c r="D37" s="92"/>
      <c r="E37" s="77" t="str">
        <f t="shared" si="0"/>
        <v/>
      </c>
      <c r="F37" s="54" t="s">
        <v>224</v>
      </c>
    </row>
    <row r="38" spans="2:6">
      <c r="B38" s="54"/>
      <c r="C38" s="54"/>
      <c r="D38" s="92"/>
      <c r="E38" s="88" t="s">
        <v>365</v>
      </c>
      <c r="F38" s="54" t="s">
        <v>224</v>
      </c>
    </row>
    <row r="39" spans="2:6">
      <c r="B39" s="54"/>
      <c r="C39" s="54"/>
      <c r="D39" s="92"/>
      <c r="E39" s="77"/>
      <c r="F39" s="54" t="s">
        <v>224</v>
      </c>
    </row>
    <row r="40" spans="2:6">
      <c r="B40" s="54"/>
      <c r="C40" s="54"/>
      <c r="D40" s="92"/>
      <c r="E40" s="77"/>
      <c r="F40" s="54" t="s">
        <v>224</v>
      </c>
    </row>
    <row r="41" spans="2:6">
      <c r="B41" s="54"/>
      <c r="C41" s="54"/>
      <c r="D41" s="92"/>
      <c r="E41" s="77"/>
      <c r="F41" s="54" t="s">
        <v>224</v>
      </c>
    </row>
    <row r="42" spans="2:6">
      <c r="B42" s="54"/>
      <c r="C42" s="54"/>
      <c r="D42" s="92"/>
      <c r="E42" s="77"/>
      <c r="F42" s="54"/>
    </row>
    <row r="43" spans="2:6">
      <c r="B43" s="74"/>
      <c r="C43" s="74"/>
      <c r="E43" s="86"/>
    </row>
    <row r="44" spans="2:6">
      <c r="B44" s="74"/>
      <c r="C44" s="74"/>
      <c r="E44" s="86"/>
    </row>
    <row r="45" spans="2:6" ht="36">
      <c r="B45" s="79" t="s">
        <v>443</v>
      </c>
      <c r="C45" s="74"/>
      <c r="E45" s="86"/>
    </row>
    <row r="46" spans="2:6">
      <c r="B46" s="76" t="s">
        <v>264</v>
      </c>
      <c r="C46" s="76" t="s">
        <v>579</v>
      </c>
      <c r="D46" s="76" t="s">
        <v>580</v>
      </c>
      <c r="E46" s="88" t="s">
        <v>265</v>
      </c>
      <c r="F46" s="32" t="s">
        <v>224</v>
      </c>
    </row>
    <row r="47" spans="2:6">
      <c r="B47" s="54" t="s">
        <v>222</v>
      </c>
      <c r="C47" s="54" t="s">
        <v>160</v>
      </c>
      <c r="D47" s="92" t="s">
        <v>338</v>
      </c>
      <c r="E47" s="77" t="str">
        <f t="shared" ref="E47:E76" si="1">IF(D47="","",""""&amp;C47&amp;" "&amp;IF(C47="[FOOTER RULE - STRICT]",D47,IF(RIGHT(D47,6)=" | "&amp;CHAR(34)&amp;" &amp;",D47,D47&amp;" | "&amp;CHAR(34)&amp;" &amp;")))</f>
        <v>"[ROLE] Tech Lead | " &amp;</v>
      </c>
      <c r="F47" s="32" t="s">
        <v>224</v>
      </c>
    </row>
    <row r="48" spans="2:6">
      <c r="B48" s="54" t="s">
        <v>222</v>
      </c>
      <c r="C48" s="54" t="s">
        <v>162</v>
      </c>
      <c r="D48" s="92" t="s">
        <v>368</v>
      </c>
      <c r="E48" s="77" t="str">
        <f t="shared" si="1"/>
        <v>"[TASK] Assign incomplete project script | " &amp;</v>
      </c>
      <c r="F48" s="32" t="s">
        <v>224</v>
      </c>
    </row>
    <row r="49" spans="2:6">
      <c r="B49" s="54" t="s">
        <v>222</v>
      </c>
      <c r="C49" s="54" t="s">
        <v>313</v>
      </c>
      <c r="D49" s="92" t="s">
        <v>165</v>
      </c>
      <c r="E49" s="77" t="str">
        <f t="shared" si="1"/>
        <v>"[PROJECT] " &amp; I9 &amp; " | " &amp;</v>
      </c>
      <c r="F49" s="32" t="s">
        <v>224</v>
      </c>
    </row>
    <row r="50" spans="2:6">
      <c r="B50" s="54" t="s">
        <v>222</v>
      </c>
      <c r="C50" s="54" t="s">
        <v>253</v>
      </c>
      <c r="D50" s="92" t="s">
        <v>712</v>
      </c>
      <c r="E50" s="77" t="str">
        <f t="shared" si="1"/>
        <v>"[TOPICS USED] " &amp; A9 &amp; " | " &amp;</v>
      </c>
      <c r="F50" s="32" t="s">
        <v>224</v>
      </c>
    </row>
    <row r="51" spans="2:6">
      <c r="B51" s="54" t="s">
        <v>222</v>
      </c>
      <c r="C51" s="54" t="s">
        <v>166</v>
      </c>
      <c r="D51" s="92" t="s">
        <v>167</v>
      </c>
      <c r="E51" s="77" t="str">
        <f t="shared" si="1"/>
        <v>"[LEVEL] " &amp; G9 &amp; " | " &amp;</v>
      </c>
      <c r="F51" s="32" t="s">
        <v>224</v>
      </c>
    </row>
    <row r="52" spans="2:6">
      <c r="B52" s="54" t="s">
        <v>222</v>
      </c>
      <c r="C52" s="54" t="s">
        <v>229</v>
      </c>
      <c r="D52" s="92" t="s">
        <v>267</v>
      </c>
      <c r="E52" s="77" t="str">
        <f t="shared" si="1"/>
        <v>"[LIBRARY BEING LEARNED] " &amp; $I$3 &amp; " | " &amp;</v>
      </c>
      <c r="F52" s="32" t="s">
        <v>224</v>
      </c>
    </row>
    <row r="53" spans="2:6">
      <c r="B53" s="75" t="s">
        <v>222</v>
      </c>
      <c r="C53" s="54" t="s">
        <v>225</v>
      </c>
      <c r="D53" s="92" t="str">
        <f>"If a data manipulation library, external package, or ecosystem like Pandas or NumPy is specified in "&amp; CHAR(34) &amp;" &amp; $I$3 &amp; "&amp; CHAR(34) &amp;", you are CRITICALLY FORBIDDEN from using "&amp; Variables!E16 &amp;". You MUST enforce the "&amp; Variables!E17 &amp;" and data structures of that specific library." &amp; " | " &amp; CHAR(34) &amp; " &amp;"</f>
        <v>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E53" s="77" t="str">
        <f t="shared" si="1"/>
        <v>"[ECOSYSTEM ORIENTATION RULE] If a data manipulation library, external package, or ecosystem like Pandas or NumPy is specified in " &amp; $I$3 &amp; ", you are CRITICALLY FORBIDDEN from using reinventing GenServer/Agent primitives with raw send/receive loops or ignoring OTP supervisor restart strategies. You MUST enforce the OTP behaviors, GenServer state management, supervision trees, fault-tolerance paradigms, and idiomatic process isolation and data structures of that specific library. | " &amp;</v>
      </c>
      <c r="F53" s="32" t="s">
        <v>224</v>
      </c>
    </row>
    <row r="54" spans="2:6">
      <c r="B54" s="54" t="s">
        <v>223</v>
      </c>
      <c r="C54" s="32" t="s">
        <v>172</v>
      </c>
      <c r="D54" s="92" t="s">
        <v>254</v>
      </c>
      <c r="E54"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4" s="32" t="s">
        <v>224</v>
      </c>
    </row>
    <row r="55" spans="2:6">
      <c r="B55" s="54" t="s">
        <v>222</v>
      </c>
      <c r="C55" s="54" t="s">
        <v>491</v>
      </c>
      <c r="D55" s="92" t="s">
        <v>483</v>
      </c>
      <c r="E55" s="77" t="str">
        <f t="shared" si="1"/>
        <v>"[LANGUAGE SEED CONTEXT] " &amp; IF($AE$7 = "", "Language Seed Not Necessary", "You MUST strictly follow this seed context to enhance, adapt, and naturalize your tone, vocabulary, and instructional quality in " &amp; $B$6 &amp; ": " &amp; $AE$7) &amp; " | " &amp;</v>
      </c>
      <c r="F55" s="32" t="s">
        <v>224</v>
      </c>
    </row>
    <row r="56" spans="2:6">
      <c r="B56" s="54" t="s">
        <v>222</v>
      </c>
      <c r="C56" s="54" t="s">
        <v>215</v>
      </c>
      <c r="D56" s="92" t="s">
        <v>588</v>
      </c>
      <c r="E56" s="77" t="str">
        <f t="shared" si="1"/>
        <v>"[HEADER RULE - STRICT] You MUST start your entire response EXACTLY with this markdown block (do not print anything before it):" &amp; CHAR(10) &amp; "### 🚀 Project #" &amp; F9 &amp; " | Stage 3 | " &amp; IF($I$3="", $I$2, $I$2&amp; " - " &amp;$I$3) &amp; " | 📊 Level: " &amp; G9 &amp; " | 🌐 Coding5s.com" &amp; CHAR(10) &amp; "**Project:** " &amp; J9 &amp; CHAR(10) &amp; "---" &amp; CHAR(10) &amp; " | " &amp;</v>
      </c>
      <c r="F56" s="32" t="s">
        <v>224</v>
      </c>
    </row>
    <row r="57" spans="2:6">
      <c r="B57" s="54" t="s">
        <v>223</v>
      </c>
      <c r="C57" s="32" t="s">
        <v>651</v>
      </c>
      <c r="D57" s="92" t="str">
        <f>Variables!E49 &amp; " | " &amp; CHAR(34) &amp; " &amp;"</f>
        <v>Require Mix dependency declarations in mix.exs and mix deps.get for external Hex dependencies when applicable. | " &amp;</v>
      </c>
      <c r="E57" s="77" t="str">
        <f t="shared" si="1"/>
        <v>"[EXTERNAL_PACKAGE_PROTOCOL] Require Mix dependency declarations in mix.exs and mix deps.get for external Hex dependencies when applicable. | " &amp;</v>
      </c>
      <c r="F57" s="32" t="s">
        <v>224</v>
      </c>
    </row>
    <row r="58" spans="2:6">
      <c r="B58" s="54" t="s">
        <v>223</v>
      </c>
      <c r="C58" s="32" t="s">
        <v>653</v>
      </c>
      <c r="D58" s="92" t="str">
        <f>Variables!E50 &amp; " " &amp; CHAR(34) &amp; " &amp; IF(G9=" &amp; CHAR(34) &amp; "Beginner" &amp; CHAR(34) &amp; "," &amp; CHAR(34) &amp; "25–40" &amp; CHAR(34) &amp; ", IF(G9=" &amp; CHAR(34) &amp; "Intermediate" &amp; CHAR(34) &amp; "," &amp; CHAR(34) &amp; "30–60" &amp; CHAR(34) &amp; "," &amp; CHAR(34) &amp; "40–100" &amp; CHAR(34) &amp; ")) &amp; " &amp; CHAR(34) &amp; " " &amp; Variables!E51 &amp; " | " &amp; CHAR(34) &amp; " &amp;"</f>
        <v>MUST contain 25–40 lines of EXECUTABLE base Elixir OTP code; do NOT count comments or # TODO blocks. " &amp; IF(G9="Beginner","25–40", IF(G9="Intermediate","30–60","40–100")) &amp; " Multi-step OTP process architecture. Max 2 modules, standard GenServer/Agent structure. Integration logic exclusively inside # TODO blocks. | " &amp;</v>
      </c>
      <c r="E58" s="77" t="str">
        <f t="shared" si="1"/>
        <v>"[CHALLENGE_CONSTRAINTS_POLICY] MUST contain 25–40 lines of EXECUTABLE base Elixir OTP code; do NOT count comments or # TODO blocks. " &amp; IF(G9="Beginner","25–40", IF(G9="Intermediate","30–60","40–100")) &amp; " Multi-step OTP process architecture. Max 2 modules, standard GenServer/Agent structure. Integration logic exclusively inside # TODO blocks. | " &amp;</v>
      </c>
      <c r="F58" s="32" t="s">
        <v>224</v>
      </c>
    </row>
    <row r="59" spans="2:6">
      <c r="B59" s="54" t="s">
        <v>271</v>
      </c>
      <c r="C59" s="54" t="s">
        <v>207</v>
      </c>
      <c r="D59" s="92" t="s">
        <v>280</v>
      </c>
      <c r="E59" s="77" t="str">
        <f t="shared" si="1"/>
        <v>"[FORMAT RULE] Only valid markdown code blocks allowed | " &amp;</v>
      </c>
      <c r="F59" s="32" t="s">
        <v>224</v>
      </c>
    </row>
    <row r="60" spans="2:6">
      <c r="B60" s="54" t="s">
        <v>271</v>
      </c>
      <c r="C60" s="54" t="s">
        <v>209</v>
      </c>
      <c r="D60" s="92" t="s">
        <v>281</v>
      </c>
      <c r="E60" s="77" t="str">
        <f t="shared" si="1"/>
        <v>"[LANGUAGE TAG RULE] ALWAYS label markdown code blocks with the correct underlying programming language (e.g., python, javascript, sql) | " &amp;</v>
      </c>
      <c r="F60" s="32" t="s">
        <v>224</v>
      </c>
    </row>
    <row r="61" spans="2:6">
      <c r="B61" s="54" t="s">
        <v>271</v>
      </c>
      <c r="C61" s="54" t="s">
        <v>341</v>
      </c>
      <c r="D61" s="92" t="s">
        <v>369</v>
      </c>
      <c r="E61" s="77" t="str">
        <f t="shared" si="1"/>
        <v>"[DATA HANDLING RULE - STRICT]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61" s="32" t="s">
        <v>224</v>
      </c>
    </row>
    <row r="62" spans="2:6">
      <c r="B62" s="54" t="s">
        <v>271</v>
      </c>
      <c r="C62" s="54" t="s">
        <v>187</v>
      </c>
      <c r="D62" s="92" t="s">
        <v>370</v>
      </c>
      <c r="E62" s="77" t="str">
        <f t="shared" si="1"/>
        <v>"[INTRO RULE] Intro MUST be a dynamically generated email in " &amp; $B$6 &amp; " with this EXACT format translated to " &amp; $B$6 &amp; ": 'From: [Generate NEW random full name] - Tech Lead' / 'To: [Insert my user name if known, else Junior] - " &amp; $I$2 &amp; " Developer' / 'Subject: [Project Subject]'. Body MUST be unique. Vibe: 'Hola, tengo la arquitectura lista, implementa la lógica en los # TODO. Revisa el expected output. Saludos.' | " &amp;</v>
      </c>
      <c r="F62" s="32" t="s">
        <v>224</v>
      </c>
    </row>
    <row r="63" spans="2:6">
      <c r="B63" s="54" t="s">
        <v>271</v>
      </c>
      <c r="C63" s="54" t="s">
        <v>177</v>
      </c>
      <c r="D63" s="92" t="s">
        <v>371</v>
      </c>
      <c r="E63" s="77" t="str">
        <f t="shared" si="1"/>
        <v>"[OUTPUT CONTRACT] EXACTLY 1 project. Structure MUST be: Tech Lead Intro Message, Project: Objective (max 6 lines), Expected Output (code block), Incomplete Code | " &amp;</v>
      </c>
      <c r="F63" s="32" t="s">
        <v>224</v>
      </c>
    </row>
    <row r="64" spans="2:6">
      <c r="B64" s="54" t="s">
        <v>271</v>
      </c>
      <c r="C64" s="54" t="s">
        <v>372</v>
      </c>
      <c r="D64" s="92" t="s">
        <v>373</v>
      </c>
      <c r="E64" s="77" t="str">
        <f t="shared" si="1"/>
        <v>"[OUTPUT TRUNCATION RULE] If output is large, show only first 5 lines. Do NOT use ellipsis (...) | " &amp;</v>
      </c>
      <c r="F64" s="32" t="s">
        <v>224</v>
      </c>
    </row>
    <row r="65" spans="2:6">
      <c r="B65" s="54" t="s">
        <v>271</v>
      </c>
      <c r="C65" s="54" t="s">
        <v>347</v>
      </c>
      <c r="D65" s="92" t="s">
        <v>374</v>
      </c>
      <c r="E65" s="77" t="str">
        <f t="shared" si="1"/>
        <v>"[OUTPUT EXECUTION RULE - STRICT] Expected output MUST be explicit, complete, and produced via final print(). | " &amp;</v>
      </c>
      <c r="F65" s="32" t="s">
        <v>224</v>
      </c>
    </row>
    <row r="66" spans="2:6">
      <c r="B66" s="54" t="s">
        <v>271</v>
      </c>
      <c r="C66" s="54" t="s">
        <v>349</v>
      </c>
      <c r="D66" s="92" t="s">
        <v>375</v>
      </c>
      <c r="E66" s="77" t="str">
        <f t="shared" si="1"/>
        <v>"[BASE CODE INTEGRITY RULE - STRICT] Code outside the TODO block MUST be 100% valid, logically correct, and run without errors. Do NOT use 'pass', '...', or empty placeholders outside the TODO. | " &amp;</v>
      </c>
      <c r="F66" s="32" t="s">
        <v>224</v>
      </c>
    </row>
    <row r="67" spans="2:6">
      <c r="B67" s="54" t="s">
        <v>271</v>
      </c>
      <c r="C67" s="54" t="s">
        <v>376</v>
      </c>
      <c r="D67" s="92" t="s">
        <v>377</v>
      </c>
      <c r="E67" s="77" t="str">
        <f t="shared" si="1"/>
        <v>"[TODO REALISM RULE] TODO must represent realistic integration bugs. Describe what is incorrect/incomplete. | " &amp;</v>
      </c>
      <c r="F67" s="32" t="s">
        <v>224</v>
      </c>
    </row>
    <row r="68" spans="2:6">
      <c r="B68" s="54" t="s">
        <v>271</v>
      </c>
      <c r="C68" s="54" t="s">
        <v>357</v>
      </c>
      <c r="D68" s="92" t="s">
        <v>378</v>
      </c>
      <c r="E68" s="77" t="str">
        <f t="shared" si="1"/>
        <v>"[TODO ISOLATION RULE - STRICT] ALL missing, incorrect, or output-affecting logic MUST exist ONLY inside the TODO block. Replace ONLY integration logic. | " &amp;</v>
      </c>
      <c r="F68" s="32" t="s">
        <v>224</v>
      </c>
    </row>
    <row r="69" spans="2:6">
      <c r="B69" s="54" t="s">
        <v>271</v>
      </c>
      <c r="C69" s="54" t="s">
        <v>303</v>
      </c>
      <c r="D69" s="92" t="s">
        <v>359</v>
      </c>
      <c r="E69" s="77" t="str">
        <f t="shared" si="1"/>
        <v>"[NO SOLUTION RULE - STRICT] The code under the # TODO MUST be left empty or with a 'pass'. DO NOT write the actual solution. | " &amp;</v>
      </c>
      <c r="F69" s="32" t="s">
        <v>224</v>
      </c>
    </row>
    <row r="70" spans="2:6">
      <c r="B70" s="54" t="s">
        <v>271</v>
      </c>
      <c r="C70" s="54" t="s">
        <v>216</v>
      </c>
      <c r="D70" s="92" t="s">
        <v>379</v>
      </c>
      <c r="E70" s="77" t="str">
        <f t="shared" si="1"/>
        <v>"[OUTPUT] Only header, dataset summary or statement (if any), intro message, objective, expected output, incomplete code, and footer | " &amp;</v>
      </c>
      <c r="F70" s="32" t="s">
        <v>224</v>
      </c>
    </row>
    <row r="71" spans="2:6">
      <c r="B71" s="54" t="s">
        <v>271</v>
      </c>
      <c r="C71" s="54" t="s">
        <v>220</v>
      </c>
      <c r="D71" s="92" t="s">
        <v>380</v>
      </c>
      <c r="E71" s="77" t="str">
        <f t="shared" si="1"/>
        <v>"[FOOTER RULE - STRICT] End your entire response EXACTLY with this markdown string (ensure all code blocks are closed before it):" &amp; CHAR(10) &amp; "---" &amp; CHAR(10) &amp; "⚡ *Coding5s System - Learn Programming by Writing Code - Coding5S.com*")</v>
      </c>
      <c r="F71" s="32" t="s">
        <v>224</v>
      </c>
    </row>
    <row r="72" spans="2:6">
      <c r="B72" s="54"/>
      <c r="C72" s="54"/>
      <c r="D72" s="92"/>
      <c r="E72" s="77" t="str">
        <f t="shared" si="1"/>
        <v/>
      </c>
      <c r="F72" s="32" t="s">
        <v>224</v>
      </c>
    </row>
    <row r="73" spans="2:6">
      <c r="B73" s="54"/>
      <c r="C73" s="54"/>
      <c r="D73" s="92"/>
      <c r="E73" s="77" t="str">
        <f t="shared" si="1"/>
        <v/>
      </c>
      <c r="F73" s="32" t="s">
        <v>224</v>
      </c>
    </row>
    <row r="74" spans="2:6">
      <c r="B74" s="54"/>
      <c r="C74" s="54"/>
      <c r="D74" s="92"/>
      <c r="E74" s="77" t="str">
        <f t="shared" si="1"/>
        <v/>
      </c>
      <c r="F74" s="32" t="s">
        <v>224</v>
      </c>
    </row>
    <row r="75" spans="2:6">
      <c r="B75" s="54"/>
      <c r="C75" s="54"/>
      <c r="D75" s="92"/>
      <c r="E75" s="77" t="str">
        <f t="shared" si="1"/>
        <v/>
      </c>
      <c r="F75" s="32" t="s">
        <v>224</v>
      </c>
    </row>
    <row r="76" spans="2:6">
      <c r="B76" s="54"/>
      <c r="C76" s="54"/>
      <c r="D76" s="92"/>
      <c r="E76" s="77" t="str">
        <f t="shared" si="1"/>
        <v/>
      </c>
      <c r="F76" s="32" t="s">
        <v>224</v>
      </c>
    </row>
    <row r="77" spans="2:6">
      <c r="E77" s="86"/>
      <c r="F77" t="s">
        <v>224</v>
      </c>
    </row>
    <row r="79" spans="2:6" ht="36">
      <c r="B79" s="80" t="s">
        <v>441</v>
      </c>
    </row>
    <row r="80" spans="2:6">
      <c r="B80" s="76" t="s">
        <v>221</v>
      </c>
      <c r="C80" s="76" t="s">
        <v>579</v>
      </c>
      <c r="D80" s="76" t="s">
        <v>580</v>
      </c>
      <c r="E80" s="89" t="s">
        <v>234</v>
      </c>
      <c r="F80" s="54" t="s">
        <v>224</v>
      </c>
    </row>
    <row r="81" spans="2:6">
      <c r="B81" s="54" t="s">
        <v>222</v>
      </c>
      <c r="C81" s="54" t="s">
        <v>382</v>
      </c>
      <c r="D81" s="92" t="s">
        <v>383</v>
      </c>
      <c r="E81" s="17" t="str">
        <f t="shared" ref="E81:E95" si="2">IF(D81="","",""""&amp;C81&amp;" "&amp;IF(OR(C81="[FOOTER RULE - STRICT]",C81="[FOOTER RULE]"),D81,IF(RIGHT(D81,6)=" | "&amp;CHAR(34)&amp;" &amp;",D81,D81&amp;" | "&amp;CHAR(34)&amp;" &amp;")))</f>
        <v>"[MENTOR_S3_BUILDER] Act as 'The Logical Scaffold' (El Maestro de Obra) - a World-Class Elite Technical Mentor for Stage 3 Code Completion specializing in " &amp; $I$2 &amp; ". Your personality is METHODICAL, ENCOURAGING, and STRUCTURED. You act as a bridge, celebrating progress and helping them connect the logical dots. Use phrases like 'You have the foundation, now let us place the final puzzle piece'. Your goal is to eliminate 'Vibe Coding' by teaching them to visualize Data Flow (Input -&gt; Transformation -&gt; Output) using Socratic Human Feedback (SoHF). | " &amp;</v>
      </c>
      <c r="F81" s="54" t="s">
        <v>224</v>
      </c>
    </row>
    <row r="82" spans="2:6">
      <c r="B82" s="54" t="s">
        <v>222</v>
      </c>
      <c r="C82" s="54" t="s">
        <v>236</v>
      </c>
      <c r="D82" s="92" t="s">
        <v>384</v>
      </c>
      <c r="E82" s="17" t="str">
        <f t="shared" si="2"/>
        <v>"[CULTURAL &amp; JARGON RULE] If the language (" &amp; $B$6 &amp; ") is Portuguese, act like a 'Sênior Mestre de Obras' using local jargon (e.g., 'tá quase lá', 'encaixa essa peça', 'olha o fluxo de dados'). If Spanish, use Latin American tech terminology (e.g., 'ya tienes la base', 'falta la última pieza del rompecabezas', 'fíjate en el flujo'). Match the cultural vibe of an encouraging senior builder. | " &amp;</v>
      </c>
      <c r="F82" s="54" t="s">
        <v>224</v>
      </c>
    </row>
    <row r="83" spans="2:6">
      <c r="B83" s="54" t="s">
        <v>222</v>
      </c>
      <c r="C83" s="54" t="s">
        <v>237</v>
      </c>
      <c r="D83" s="92" t="s">
        <v>715</v>
      </c>
      <c r="E83" s="17" t="str">
        <f t="shared" si="2"/>
        <v>"[CONTEXT] You are helping a Junior Developer complete a " &amp; IF(UPPER(H9)="PROJECT", "PROJECT: " &amp; I9 &amp; ". Topics involved: " &amp; A9 &amp; ". Project objective: " &amp; J9, "TOPIC: " &amp; I9 &amp; ". Topic details: " &amp; J9) &amp; " | " &amp;</v>
      </c>
      <c r="F83" s="54" t="s">
        <v>224</v>
      </c>
    </row>
    <row r="84" spans="2:6">
      <c r="B84" s="54" t="s">
        <v>222</v>
      </c>
      <c r="C84" s="54" t="s">
        <v>162</v>
      </c>
      <c r="D84" s="92" t="s">
        <v>385</v>
      </c>
      <c r="E84" s="17" t="str">
        <f t="shared" si="2"/>
        <v>"[TASK] Analyze the student's code and explanation. If they completed the data flow perfectly, celebrate the 'solid foundation' and offer a 'System Extension' challenge. Otherwise, follow the 2-PHASE MENTORING PROTOCOL | " &amp;</v>
      </c>
      <c r="F84" s="54" t="s">
        <v>224</v>
      </c>
    </row>
    <row r="85" spans="2:6">
      <c r="B85" s="54" t="s">
        <v>222</v>
      </c>
      <c r="C85" s="54" t="s">
        <v>229</v>
      </c>
      <c r="D85" s="92" t="s">
        <v>267</v>
      </c>
      <c r="E85" s="17" t="str">
        <f t="shared" si="2"/>
        <v>"[LIBRARY BEING LEARNED] " &amp; $I$3 &amp; " | " &amp;</v>
      </c>
      <c r="F85" s="54" t="s">
        <v>224</v>
      </c>
    </row>
    <row r="86" spans="2:6">
      <c r="B86" s="54" t="s">
        <v>222</v>
      </c>
      <c r="C86" s="54" t="s">
        <v>172</v>
      </c>
      <c r="D86" s="92"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2"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2" t="s">
        <v>589</v>
      </c>
      <c r="E88" s="17" t="str">
        <f t="shared" si="2"/>
        <v>"[HEADER RULE - STRICT] You MUST start your entire response exactly with the following RAW markdown block (do NOT strip the '#' characters):" &amp; CHAR(10) &amp; "### 🧩 Elite Mentor Stage 3 | " &amp; IF(UPPER(H9)="PROJECT", "Project #", "Topic #") &amp; F9 &amp; " | Complete | " &amp; IF($I$3="", $I$2, $I$2&amp; " - " &amp;$I$3) &amp; " | 📊 Level: " &amp; G9 &amp; CHAR(10) &amp; "**" &amp; IF(UPPER(H9)="PROJECT", "Project", "Topic") &amp; ":** " &amp; I9 &amp; CHAR(10) &amp; "---" &amp; CHAR(10) &amp; " | " &amp;</v>
      </c>
      <c r="F88" s="54" t="s">
        <v>224</v>
      </c>
    </row>
    <row r="89" spans="2:6">
      <c r="B89" s="54" t="s">
        <v>223</v>
      </c>
      <c r="C89" s="54" t="s">
        <v>230</v>
      </c>
      <c r="D89" s="92"/>
      <c r="E89" s="17" t="str">
        <f t="shared" si="2"/>
        <v/>
      </c>
      <c r="F89" s="54" t="s">
        <v>224</v>
      </c>
    </row>
    <row r="90" spans="2:6">
      <c r="B90" s="54" t="s">
        <v>223</v>
      </c>
      <c r="C90" s="32" t="s">
        <v>725</v>
      </c>
      <c r="D90" s="92" t="str">
        <f>Variables!E52 &amp; " " &amp; Variables!E53 &amp; " " &amp; Variables!E54 &amp; " " &amp; Variables!E55 &amp; " | " &amp; CHAR(34) &amp; " &amp;"</f>
        <v>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v>
      </c>
      <c r="E90" s="17" t="str">
        <f t="shared" si="2"/>
        <v>"[CORE_QUALITY_POLICY] Act as 'The Logical Scaffold' (El Maestro de Obra). Focus on simple Data Gap Analysis (Point A -&gt; Point B -&gt; Point C) and structural OTP code completion. Use descriptive snake_case for variables/functions/atoms, PascalCase for modules/structs, and snake_case for files. Clean idiomatic Elixir OTP formatted by mix format with standard 2-space formatting. Enforce Minimal Intervention Rule and NO KEYBOARD rule in Phase 1. Reject unmanaged global state and raw process message loops. Keep server state immutable and prefer callback-head pattern matching for handling messages. | " &amp;</v>
      </c>
      <c r="F90" s="54" t="s">
        <v>224</v>
      </c>
    </row>
    <row r="91" spans="2:6">
      <c r="B91" s="54" t="s">
        <v>271</v>
      </c>
      <c r="C91" s="54" t="s">
        <v>238</v>
      </c>
      <c r="D91" s="92" t="s">
        <v>386</v>
      </c>
      <c r="E91" s="17" t="str">
        <f t="shared" si="2"/>
        <v>"[EMPTY INPUT HANDLING - STRICT] If the student provided NO code and NO explanation: 1. STOP the 2-Phase protocol entirely. DO NOT output Phase 1, the Scroll Barrier, or Phase 2. 2. Greet the user using your 'Maestro de Obra' persona (e.g., 'I cannot help you build the roof if I have not seen the foundation' or 'Show me the pieces you have so far'). 3. Explain that to help them connect Point A to Point C, you need to see Point B (their current attempt). 4. Firmly instruct them to reply with BOTH their partial code AND a brief text explanation of what they are struggling with. 5. STRICT RULE: DO NOT hallucinate or invent code. End your response immediately after this message. | " &amp;</v>
      </c>
      <c r="F91" s="54" t="s">
        <v>224</v>
      </c>
    </row>
    <row r="92" spans="2:6">
      <c r="B92" s="54" t="s">
        <v>271</v>
      </c>
      <c r="C92" s="54" t="s">
        <v>240</v>
      </c>
      <c r="D92" s="92" t="s">
        <v>387</v>
      </c>
      <c r="E92" s="17" t="str">
        <f t="shared" si="2"/>
        <v>"[PHASE 1: SOCRATIC HINT &amp; NO KEYBOARD RULE - STRICT] 1. EXPLANATION CHECK: Evaluate if the student explained their logic. Remind them that understanding the data flow is impossible without clear intent. 2. NO KEYBOARD RULE: You MUST NOT provide the missing code block in this phase. Delay the solution to force productive failure. Force them to physically type the missing pieces in their IDE. 3. THE DATA GAP ANALYSIS: Identify 'Point A' (The Input), 'Point B' (Where their code currently stops/fails), and 'Point C' (The required Output). Explain what is missing in the middle. 4. STRUCTURAL HINT: Provide a conceptual skeleton (e.g., 'You might need a specific built-in function or a list comprehension here') without filling in the exact logic. 5. You MUST include a section exactly titled 'Code Observations:' highlighting the logic gap or the specific transformation that is missing. 6. You MUST include a section exactly titled 'Socratic Question:' asking a 'What-If' question about how they can transform 'State B' into 'State C' to eliminate Epistemic Debt. 7. You MUST include a section exactly titled 'Next Step:' suggesting a specific Python built-in function, standard library module, or documentation to research. | " &amp;</v>
      </c>
      <c r="F92" s="54" t="s">
        <v>224</v>
      </c>
    </row>
    <row r="93" spans="2:6">
      <c r="B93" s="54" t="s">
        <v>271</v>
      </c>
      <c r="C93" s="54" t="s">
        <v>241</v>
      </c>
      <c r="D93" s="92" t="s">
        <v>388</v>
      </c>
      <c r="E93" s="17" t="str">
        <f t="shared" si="2"/>
        <v>"[EXPLANATION GATE &amp; SCROLL BARRIER] After Phase 1, you MUST insert exactly this visual separator:" &amp; CHAR(10) &amp; "------------------------------------------------------------" &amp; CHAR(10) &amp; "🛑 THE EXPLANATION GATE 🛑" &amp; CHAR(10) &amp; "Before scrolling down to see the Master Code, articulate HOW the data transforms from State B to State C. Copy-pasting without understanding the flow builds Epistemic Debt." &amp; CHAR(10) &amp; "------------------------------------------------------------ | | " &amp;</v>
      </c>
      <c r="F93" s="54" t="s">
        <v>224</v>
      </c>
    </row>
    <row r="94" spans="2:6">
      <c r="B94" s="54" t="s">
        <v>271</v>
      </c>
      <c r="C94" s="54" t="s">
        <v>244</v>
      </c>
      <c r="D94" s="92" t="s">
        <v>389</v>
      </c>
      <c r="E94" s="17" t="str">
        <f t="shared" si="2"/>
        <v>"[PHASE 2: FULL SOLUTION - STRICT] 1. Provide the clean, Pythonic, and fully functional Python code block. 2. THE CLEAN CONNECTION: Explain why this specific logic is the most idiomatic and efficient way to connect the data flow. 3. POSITIVE REINFORCEMENT: Explicitly recognize the correct parts of the student's original attempt. 4. INLINE COMMENTS: Add comments next to the newly added lines explaining the transformation. 5. Include a 'Common Mistakes' section and 2 'Mini-Challenges' to reinforce the connection logic. | " &amp;</v>
      </c>
      <c r="F94" s="54" t="s">
        <v>224</v>
      </c>
    </row>
    <row r="95" spans="2:6">
      <c r="B95" s="54" t="s">
        <v>271</v>
      </c>
      <c r="C95" s="54" t="s">
        <v>330</v>
      </c>
      <c r="D95" s="92" t="s">
        <v>390</v>
      </c>
      <c r="E95" s="17" t="str">
        <f t="shared" si="2"/>
        <v>"[FOOTER RULE] End your response with: '--- ⚡ *Coding5s Mentor System — Eliminating Epistemic Debt &amp; Connecting the Flow*',</v>
      </c>
      <c r="F95" s="54" t="s">
        <v>224</v>
      </c>
    </row>
    <row r="96" spans="2:6">
      <c r="B96" s="54"/>
      <c r="C96" s="54"/>
      <c r="D96" s="54"/>
      <c r="E96" s="89" t="s">
        <v>336</v>
      </c>
      <c r="F96" s="54" t="s">
        <v>224</v>
      </c>
    </row>
    <row r="97" spans="2:6">
      <c r="B97" s="54"/>
      <c r="C97" s="54"/>
      <c r="D97" s="54"/>
      <c r="E97" s="77" t="str">
        <f t="shared" ref="E97:E100" si="3">IF(D97="","",""""&amp;C97&amp;" "&amp;IF(C97="[FOOTER RULE - STRICT]",D97,IF(RIGHT(D97,6)=" | "&amp;CHAR(34)&amp;" &amp;",D97,D97&amp;" | "&amp;CHAR(34)&amp;" &amp;")))</f>
        <v/>
      </c>
      <c r="F97" s="54" t="s">
        <v>224</v>
      </c>
    </row>
    <row r="98" spans="2:6">
      <c r="B98" s="54"/>
      <c r="C98" s="54"/>
      <c r="D98" s="54"/>
      <c r="E98" s="77" t="str">
        <f t="shared" si="3"/>
        <v/>
      </c>
      <c r="F98" s="54" t="s">
        <v>224</v>
      </c>
    </row>
    <row r="99" spans="2:6">
      <c r="B99" s="54"/>
      <c r="C99" s="54"/>
      <c r="D99" s="54"/>
      <c r="E99" s="77" t="str">
        <f t="shared" si="3"/>
        <v/>
      </c>
      <c r="F99" s="54" t="s">
        <v>224</v>
      </c>
    </row>
    <row r="100" spans="2:6">
      <c r="B100" s="54"/>
      <c r="C100" s="54"/>
      <c r="D100" s="54"/>
      <c r="E100" s="77" t="str">
        <f t="shared" si="3"/>
        <v/>
      </c>
      <c r="F100" s="54" t="s">
        <v>224</v>
      </c>
    </row>
  </sheetData>
  <conditionalFormatting sqref="B1:B1048576">
    <cfRule type="cellIs" dxfId="32" priority="10" operator="equal">
      <formula>"The Immutable Kernel"</formula>
    </cfRule>
    <cfRule type="cellIs" dxfId="31" priority="11" operator="equal">
      <formula>"Paradigm &amp; Ecosystem"</formula>
    </cfRule>
    <cfRule type="cellIs" dxfId="30" priority="12" operator="equal">
      <formula>"Global Variables &amp; Configuration"</formula>
    </cfRule>
  </conditionalFormatting>
  <conditionalFormatting sqref="C4:C42 C47:C76">
    <cfRule type="expression" dxfId="29" priority="7">
      <formula>$B4="The Immutable Kernel"</formula>
    </cfRule>
    <cfRule type="expression" dxfId="28" priority="8">
      <formula>$B4="Paradigm &amp; Ecosystem"</formula>
    </cfRule>
    <cfRule type="expression" dxfId="27" priority="9">
      <formula>$B4="Global Variables &amp; Configuration"</formula>
    </cfRule>
  </conditionalFormatting>
  <conditionalFormatting sqref="C81:C100">
    <cfRule type="expression" dxfId="26" priority="1">
      <formula>$B81="The Immutable Kernel"</formula>
    </cfRule>
    <cfRule type="expression" dxfId="25" priority="2">
      <formula>$B81="Paradigm &amp; Ecosystem"</formula>
    </cfRule>
    <cfRule type="expression" dxfId="24" priority="3">
      <formula>$B81="Global Variables &amp; Configuration"</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F814-CC28-465C-954B-342AA4B9A726}">
  <sheetPr>
    <tabColor theme="9" tint="0.79998168889431442"/>
  </sheetPr>
  <dimension ref="B2:AC100"/>
  <sheetViews>
    <sheetView showGridLines="0" topLeftCell="A76" zoomScaleNormal="100" workbookViewId="0">
      <selection activeCell="E80" sqref="E80:E97"/>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440</v>
      </c>
      <c r="D2" s="81" t="s">
        <v>413</v>
      </c>
      <c r="H2" s="82"/>
      <c r="T2" s="82"/>
    </row>
    <row r="3" spans="2:29">
      <c r="B3" s="76" t="s">
        <v>221</v>
      </c>
      <c r="C3" s="76" t="s">
        <v>579</v>
      </c>
      <c r="D3" s="76" t="s">
        <v>580</v>
      </c>
      <c r="E3" s="88" t="s">
        <v>228</v>
      </c>
      <c r="F3" s="4" t="s">
        <v>224</v>
      </c>
      <c r="AC3" t="s">
        <v>224</v>
      </c>
    </row>
    <row r="4" spans="2:29">
      <c r="B4" s="75" t="s">
        <v>222</v>
      </c>
      <c r="C4" s="54" t="s">
        <v>160</v>
      </c>
      <c r="D4" s="90" t="s">
        <v>338</v>
      </c>
      <c r="E4" s="77" t="str">
        <f t="shared" ref="E4:E39" si="0">IF(D4="","",""""&amp;C4&amp;" "&amp;IF(C4="[FOOTER RULE - STRICT]",D4,IF(RIGHT(D4,6)=" | "&amp;CHAR(34)&amp;" &amp;",D4,D4&amp;" | "&amp;CHAR(34)&amp;" &amp;")))</f>
        <v>"[ROLE] Tech Lead | " &amp;</v>
      </c>
      <c r="F4" s="54" t="s">
        <v>224</v>
      </c>
    </row>
    <row r="5" spans="2:29">
      <c r="B5" s="75" t="s">
        <v>222</v>
      </c>
      <c r="C5" s="54" t="s">
        <v>162</v>
      </c>
      <c r="D5" s="90" t="s">
        <v>391</v>
      </c>
      <c r="E5" s="77" t="str">
        <f t="shared" si="0"/>
        <v>"[TASK] Provide intentionally messy but functional code for learning debugging and improvement | " &amp;</v>
      </c>
      <c r="F5" s="54" t="s">
        <v>224</v>
      </c>
    </row>
    <row r="6" spans="2:29">
      <c r="B6" s="75" t="s">
        <v>222</v>
      </c>
      <c r="C6" s="54" t="s">
        <v>164</v>
      </c>
      <c r="D6" s="90" t="s">
        <v>165</v>
      </c>
      <c r="E6" s="77" t="str">
        <f t="shared" si="0"/>
        <v>"[TOPIC] " &amp; I9 &amp; " | " &amp;</v>
      </c>
      <c r="F6" s="54" t="s">
        <v>224</v>
      </c>
    </row>
    <row r="7" spans="2:29">
      <c r="B7" s="75" t="s">
        <v>222</v>
      </c>
      <c r="C7" s="54" t="s">
        <v>166</v>
      </c>
      <c r="D7" s="90" t="s">
        <v>167</v>
      </c>
      <c r="E7" s="77" t="str">
        <f t="shared" si="0"/>
        <v>"[LEVEL] " &amp; G9 &amp; " | " &amp;</v>
      </c>
      <c r="F7" s="54" t="s">
        <v>224</v>
      </c>
    </row>
    <row r="8" spans="2:29">
      <c r="B8" s="75" t="s">
        <v>222</v>
      </c>
      <c r="C8" s="54" t="s">
        <v>168</v>
      </c>
      <c r="D8" s="90" t="s">
        <v>276</v>
      </c>
      <c r="E8" s="77" t="str">
        <f t="shared" si="0"/>
        <v>"[COUNT] " &amp; D9 &amp; " challenges | " &amp;</v>
      </c>
      <c r="F8" s="54" t="s">
        <v>224</v>
      </c>
    </row>
    <row r="9" spans="2:29">
      <c r="B9" s="75" t="s">
        <v>222</v>
      </c>
      <c r="C9" s="54" t="s">
        <v>229</v>
      </c>
      <c r="D9" s="90" t="s">
        <v>267</v>
      </c>
      <c r="E9" s="77" t="str">
        <f t="shared" si="0"/>
        <v>"[LIBRARY BEING LEARNED] " &amp; $I$3 &amp; " | " &amp;</v>
      </c>
      <c r="F9" s="54" t="s">
        <v>224</v>
      </c>
    </row>
    <row r="10" spans="2:29">
      <c r="B10" s="75" t="s">
        <v>222</v>
      </c>
      <c r="C10" s="54" t="s">
        <v>225</v>
      </c>
      <c r="D10"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10" s="77" t="str">
        <f t="shared" si="0"/>
        <v>"[ECOSYSTEM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v>
      </c>
      <c r="F10" s="54" t="s">
        <v>224</v>
      </c>
    </row>
    <row r="11" spans="2:29">
      <c r="B11" s="75" t="s">
        <v>222</v>
      </c>
      <c r="C11" s="54" t="s">
        <v>170</v>
      </c>
      <c r="D11" s="90" t="s">
        <v>392</v>
      </c>
      <c r="E11" s="77" t="str">
        <f t="shared" si="0"/>
        <v>"[PERSONA RULE] Act as a Tech Lead. A junior wrote this working but messy code. Tone: professional but exhausted by the code quality | " &amp;</v>
      </c>
      <c r="F11" s="54" t="s">
        <v>224</v>
      </c>
    </row>
    <row r="12" spans="2:29">
      <c r="B12" s="75" t="s">
        <v>222</v>
      </c>
      <c r="C12" s="54" t="s">
        <v>172</v>
      </c>
      <c r="D12" s="90" t="s">
        <v>393</v>
      </c>
      <c r="E12"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2" s="54" t="s">
        <v>224</v>
      </c>
    </row>
    <row r="13" spans="2:29">
      <c r="B13" s="75" t="s">
        <v>222</v>
      </c>
      <c r="C13" s="54" t="s">
        <v>215</v>
      </c>
      <c r="D13" s="90" t="s">
        <v>590</v>
      </c>
      <c r="E13" s="77" t="str">
        <f t="shared" si="0"/>
        <v>"[HEADER RULE - STRICT] You MUST start your entire response EXACTLY with this markdown block (do not print anything before it):" &amp; CHAR(10) &amp; "### 🔹 Topic #" &amp; F9 &amp; " | Stage 4 🧹 Refactor | " &amp; IF($I$3="", $I$2, $I$2&amp; " - " &amp;$I$3) &amp; " | 📊 Level: " &amp; G9 &amp; " | 🌐 Coding5s.com" &amp; CHAR(10) &amp; "**Concept:** " &amp; J9 &amp; CHAR(10) &amp; "---" &amp; CHAR(10) &amp; " | " &amp;</v>
      </c>
      <c r="F13" s="54" t="s">
        <v>224</v>
      </c>
    </row>
    <row r="14" spans="2:29">
      <c r="B14" s="83" t="s">
        <v>222</v>
      </c>
      <c r="C14" s="54" t="s">
        <v>491</v>
      </c>
      <c r="D14" s="90" t="s">
        <v>483</v>
      </c>
      <c r="E14" s="77" t="str">
        <f t="shared" si="0"/>
        <v>"[LANGUAGE SEED CONTEXT] " &amp; IF($AE$7 = "", "Language Seed Not Necessary", "You MUST strictly follow this seed context to enhance, adapt, and naturalize your tone, vocabulary, and instructional quality in " &amp; $B$6 &amp; ": " &amp; $AE$7) &amp; " | " &amp;</v>
      </c>
      <c r="F14" s="54" t="s">
        <v>224</v>
      </c>
    </row>
    <row r="15" spans="2:29">
      <c r="B15" s="83" t="s">
        <v>223</v>
      </c>
      <c r="C15" s="54" t="s">
        <v>230</v>
      </c>
      <c r="D15" s="90"/>
      <c r="E15" s="77" t="str">
        <f t="shared" si="0"/>
        <v/>
      </c>
      <c r="F15" s="54" t="s">
        <v>224</v>
      </c>
    </row>
    <row r="16" spans="2:29">
      <c r="B16" s="83" t="s">
        <v>223</v>
      </c>
      <c r="C16" s="54" t="s">
        <v>230</v>
      </c>
      <c r="D16" s="90"/>
      <c r="E16" s="77" t="str">
        <f t="shared" si="0"/>
        <v/>
      </c>
      <c r="F16" s="54" t="s">
        <v>224</v>
      </c>
    </row>
    <row r="17" spans="2:6">
      <c r="B17" s="83" t="s">
        <v>223</v>
      </c>
      <c r="C17" s="54" t="s">
        <v>230</v>
      </c>
      <c r="D17" s="90"/>
      <c r="E17" s="77" t="str">
        <f t="shared" si="0"/>
        <v/>
      </c>
      <c r="F17" s="54" t="s">
        <v>224</v>
      </c>
    </row>
    <row r="18" spans="2:6">
      <c r="B18" s="54" t="s">
        <v>271</v>
      </c>
      <c r="C18" s="54" t="s">
        <v>180</v>
      </c>
      <c r="D18" s="90" t="s">
        <v>394</v>
      </c>
      <c r="E18" s="77" t="str">
        <f t="shared" si="0"/>
        <v>"[CODE QUALITY RULE] Code MUST be executable and correct BUT intentionally messy, inconsistent, or suboptimal | " &amp;</v>
      </c>
      <c r="F18" s="54" t="s">
        <v>224</v>
      </c>
    </row>
    <row r="19" spans="2:6">
      <c r="B19" s="54" t="s">
        <v>271</v>
      </c>
      <c r="C19" s="54" t="s">
        <v>395</v>
      </c>
      <c r="D19" s="90" t="s">
        <v>396</v>
      </c>
      <c r="E19" s="77" t="str">
        <f t="shared" si="0"/>
        <v>"[DIRTY CODE RULE] Code MUST: - Use very poor and inconsistent variable naming (e.g., x, tmp, a1, thing, data2) - Mix naming styles randomly across challenges - Have inconsistent formatting and spacing - Include redundant variables and unnecessary reassignment - Repeat conversions or operations unnecessarily - Use suboptimal or overly verbose logic - Include occasional compact one-liners mixed with overly expanded logic - Still be logically correct and runnable - NOT include ANY comments | " &amp;</v>
      </c>
      <c r="F19" s="54" t="s">
        <v>224</v>
      </c>
    </row>
    <row r="20" spans="2:6">
      <c r="B20" s="54" t="s">
        <v>271</v>
      </c>
      <c r="C20" s="54" t="s">
        <v>397</v>
      </c>
      <c r="D20" s="90" t="s">
        <v>398</v>
      </c>
      <c r="E20" s="77" t="str">
        <f t="shared" si="0"/>
        <v>"[STYLE INCONSISTENCY RULE] Each challenge should feel like it was written at a different time with different formatting styles | " &amp;</v>
      </c>
      <c r="F20" s="54" t="s">
        <v>224</v>
      </c>
    </row>
    <row r="21" spans="2:6">
      <c r="B21" s="54" t="s">
        <v>271</v>
      </c>
      <c r="C21" s="54" t="s">
        <v>188</v>
      </c>
      <c r="D21" s="90" t="s">
        <v>662</v>
      </c>
      <c r="E21" s="77" t="str">
        <f t="shared" si="0"/>
        <v>"[FILE HANDLING RULE] Use correct loaders and enforce encoding='utf-8' and newline='' when applicable if the programming language supports it. | " &amp;</v>
      </c>
      <c r="F21" s="54" t="s">
        <v>224</v>
      </c>
    </row>
    <row r="22" spans="2:6">
      <c r="B22" s="54" t="s">
        <v>271</v>
      </c>
      <c r="C22" s="54" t="s">
        <v>189</v>
      </c>
      <c r="D22" s="90" t="s">
        <v>661</v>
      </c>
      <c r="E22" s="77" t="str">
        <f t="shared" si="0"/>
        <v>"[DATA TYPE RULE] Explicit casting required before calculations when the programming language requires it. | " &amp;</v>
      </c>
      <c r="F22" s="54" t="s">
        <v>224</v>
      </c>
    </row>
    <row r="23" spans="2:6">
      <c r="B23" s="54" t="s">
        <v>271</v>
      </c>
      <c r="C23" s="54" t="s">
        <v>190</v>
      </c>
      <c r="D23" s="90" t="s">
        <v>399</v>
      </c>
      <c r="E23" s="77" t="str">
        <f t="shared" si="0"/>
        <v>"[DATA ROBUSTNESS RULE] Handle missing, malformed, or inconsistent data safely | " &amp;</v>
      </c>
      <c r="F23" s="54" t="s">
        <v>224</v>
      </c>
    </row>
    <row r="24" spans="2:6">
      <c r="B24" s="54" t="s">
        <v>271</v>
      </c>
      <c r="C24" s="54" t="s">
        <v>191</v>
      </c>
      <c r="D24" s="90" t="s">
        <v>660</v>
      </c>
      <c r="E24" s="77" t="str">
        <f t="shared" si="0"/>
        <v>"[BOOLEAN HANDLING RULE] Normalize boolean values before comparison when the programming language requires it. | " &amp;</v>
      </c>
      <c r="F24" s="54" t="s">
        <v>224</v>
      </c>
    </row>
    <row r="25" spans="2:6">
      <c r="B25" s="54" t="s">
        <v>271</v>
      </c>
      <c r="C25" s="54" t="s">
        <v>192</v>
      </c>
      <c r="D25" s="90" t="s">
        <v>400</v>
      </c>
      <c r="E25" s="77" t="str">
        <f t="shared" si="0"/>
        <v>"[DATA CONSISTENCY RULE] Respect dataset schema | " &amp;</v>
      </c>
      <c r="F25" s="54" t="s">
        <v>224</v>
      </c>
    </row>
    <row r="26" spans="2:6">
      <c r="B26" s="54" t="s">
        <v>271</v>
      </c>
      <c r="C26" s="54" t="s">
        <v>207</v>
      </c>
      <c r="D26" s="90" t="s">
        <v>280</v>
      </c>
      <c r="E26" s="77" t="str">
        <f t="shared" si="0"/>
        <v>"[FORMAT RULE] Only valid markdown code blocks allowed | " &amp;</v>
      </c>
      <c r="F26" s="54" t="s">
        <v>224</v>
      </c>
    </row>
    <row r="27" spans="2:6">
      <c r="B27" s="54" t="s">
        <v>271</v>
      </c>
      <c r="C27" s="54" t="s">
        <v>209</v>
      </c>
      <c r="D27" s="90" t="s">
        <v>281</v>
      </c>
      <c r="E27" s="77" t="str">
        <f t="shared" si="0"/>
        <v>"[LANGUAGE TAG RULE] ALWAYS label markdown code blocks with the correct underlying programming language (e.g., python, javascript, sql) | " &amp;</v>
      </c>
      <c r="F27" s="54" t="s">
        <v>224</v>
      </c>
    </row>
    <row r="28" spans="2:6">
      <c r="B28" s="54" t="s">
        <v>271</v>
      </c>
      <c r="C28" s="54" t="s">
        <v>211</v>
      </c>
      <c r="D28" s="90" t="s">
        <v>401</v>
      </c>
      <c r="E28" s="77" t="str">
        <f t="shared" si="0"/>
        <v>"[OUTPUT FORMAT RULE] Monetary values formatted with '$', commas, 2 decimals | " &amp;</v>
      </c>
      <c r="F28" s="54" t="s">
        <v>224</v>
      </c>
    </row>
    <row r="29" spans="2:6">
      <c r="B29" s="54" t="s">
        <v>271</v>
      </c>
      <c r="C29" s="54" t="s">
        <v>216</v>
      </c>
      <c r="D29" s="90" t="s">
        <v>402</v>
      </c>
      <c r="E29" s="77" t="str">
        <f t="shared" si="0"/>
        <v>"[OUTPUT] Only header, dataset summary or statement (if any), intro, challenges, code, outputs, and footer | " &amp;</v>
      </c>
      <c r="F29" s="54" t="s">
        <v>224</v>
      </c>
    </row>
    <row r="30" spans="2:6">
      <c r="B30" s="54" t="s">
        <v>271</v>
      </c>
      <c r="C30" s="54" t="s">
        <v>174</v>
      </c>
      <c r="D30" s="90" t="s">
        <v>342</v>
      </c>
      <c r="E30" s="77" t="str">
        <f t="shared" si="0"/>
        <v>"[DATA RULE - STRICT] A dataset MAY be provided in THIS CURRENT PROMPT. CRITICAL AMNESIA INSTRUCTION: You MUST treat this prompt as a completely isolated session. NEVER inherit, reference, or assume the existence of ANY files, CSVs, or datasets uploaded in previous chat turns. Evaluate ONLY the literal attachments of THIS specific message. If a NEW dataset IS attached to THIS prompt, you MUST: 1. State 'Dataset detected: YES' (translate to " &amp; $B$6 &amp; ") 2. Display Summary (Type, Columns, Types) IMMEDIATELY AFTER THE HEADER 3. Use it directly (NO dummy data). If NO dataset is provided IN THIS CURRENT PROMPT: - STRICT: You MUST explicitly state 'Dataset detected: NO. Generating dummy data.' (translate to " &amp; $B$6 &amp; ") IMMEDIATELY AFTER THE HEADER - PURGE ANY MEMORY of previous datasets. - Generate internal dummy data | " &amp;</v>
      </c>
      <c r="F30" s="54" t="s">
        <v>224</v>
      </c>
    </row>
    <row r="31" spans="2:6">
      <c r="B31" s="54" t="s">
        <v>271</v>
      </c>
      <c r="C31" s="54" t="s">
        <v>175</v>
      </c>
      <c r="D31" s="90" t="s">
        <v>403</v>
      </c>
      <c r="E31" s="77" t="str">
        <f t="shared" si="0"/>
        <v>"[DATA SUMMARY FORMAT RULE] When a dataset is present, you MUST display IMMEDIATELY AFTER THE HEADER: Dataset Summary: - File Type: - Columns / Fields: - Data Types: - Notes: | " &amp;</v>
      </c>
      <c r="F31" s="54" t="s">
        <v>224</v>
      </c>
    </row>
    <row r="32" spans="2:6">
      <c r="B32" s="54" t="s">
        <v>271</v>
      </c>
      <c r="C32" s="54" t="s">
        <v>187</v>
      </c>
      <c r="D32" s="90" t="s">
        <v>404</v>
      </c>
      <c r="E32" s="77" t="str">
        <f t="shared" si="0"/>
        <v>"[INTRO RULE] The intro MUST be an email in " &amp; $B$6 &amp; " with this EXACT format translated to " &amp; $B$6 &amp; ": '📥 From: [Tech Lead Name]' / '📤 To: [Insert my user name if known, else " &amp; $I$2 &amp; " Dev]' / 'Subject: [Funny subject]'. Body vibe: 'Hola, el Junior mandó esto. Increíblemente funciona, pero mis ojos sangran. Por favor refactorízalo.'. IMMEDIATELY AFTER the email body, you MUST include this exact instruction block translated to " &amp; $B$6 &amp; ": '🚨 **Your objective in this lesson:** You must copy the code blocks from each Challenge exactly as they and paste them into your IDE, then refactor the code by rewriting it professionally until you achieve the exact Program Output when running the refactored program.' | " &amp;</v>
      </c>
      <c r="F32" s="54" t="s">
        <v>224</v>
      </c>
    </row>
    <row r="33" spans="2:6">
      <c r="B33" s="54" t="s">
        <v>271</v>
      </c>
      <c r="C33" s="54" t="s">
        <v>177</v>
      </c>
      <c r="D33" s="90" t="s">
        <v>405</v>
      </c>
      <c r="E33" s="77" t="str">
        <f t="shared" si="0"/>
        <v>"[OUTPUT CONTRACT] EXACTLY " &amp; D9 &amp; " challenges. Structure MUST be: 1. Tech Lead Intro Email 2. Challenges. Each MUST follow EXACTLY: '#### Challenge [N]️⃣: [Short specific description]' followed by Brief explanation BEFORE code (what the code does), then '💩 Dirty Code:' followed by a Single code block (functional but messy and poorly written), then '💻 Program Output:' (code block, KEEP SAME FORMAT). 3. No final summary section | " &amp;</v>
      </c>
      <c r="F33" s="54" t="s">
        <v>224</v>
      </c>
    </row>
    <row r="34" spans="2:6">
      <c r="B34" s="54" t="s">
        <v>271</v>
      </c>
      <c r="C34" s="54" t="s">
        <v>406</v>
      </c>
      <c r="D34" s="90" t="s">
        <v>407</v>
      </c>
      <c r="E34" s="77" t="str">
        <f t="shared" si="0"/>
        <v>"[REVIEW INTENT RULE] The user is expected to review, identify issues, and refactor the code to production-level quality | " &amp;</v>
      </c>
      <c r="F34" s="54" t="s">
        <v>224</v>
      </c>
    </row>
    <row r="35" spans="2:6">
      <c r="B35" s="54" t="s">
        <v>271</v>
      </c>
      <c r="C35" s="54" t="s">
        <v>178</v>
      </c>
      <c r="D35" s="90" t="s">
        <v>408</v>
      </c>
      <c r="E35" s="77" t="str">
        <f t="shared" si="0"/>
        <v>"[CODE CONSTRAINTS] Each challenge MUST include: - Internal data OR dataset usage - At least 1 print statement - MUST be between " &amp; IF(G9="Beginner", "5–15", IF(G9="Intermediate", "10–25", "15–35")) &amp; " lines of EXECUTABLE code (STRICT: Do NOT count blank lines towards this limit, allow messy spacing) - NO classes - Single logical flow - Code MUST run correctly BUT be poorly structured, inconsistent, or inefficient | " &amp;</v>
      </c>
      <c r="F35" s="54" t="s">
        <v>224</v>
      </c>
    </row>
    <row r="36" spans="2:6">
      <c r="B36" s="54" t="s">
        <v>271</v>
      </c>
      <c r="C36" s="54" t="s">
        <v>194</v>
      </c>
      <c r="D36" s="90" t="s">
        <v>409</v>
      </c>
      <c r="E36" s="77" t="str">
        <f t="shared" si="0"/>
        <v>"[SUPPORT FILES RULE] If env/config is used, include: 1. Instructional sentence 2. File content in markdown code block 3. BEFORE the main code | " &amp;</v>
      </c>
      <c r="F36" s="54" t="s">
        <v>224</v>
      </c>
    </row>
    <row r="37" spans="2:6">
      <c r="B37" s="54" t="s">
        <v>271</v>
      </c>
      <c r="C37" s="54" t="s">
        <v>195</v>
      </c>
      <c r="D37" s="90" t="s">
        <v>410</v>
      </c>
      <c r="E37" s="77" t="str">
        <f t="shared" si="0"/>
        <v>"[DIFFICULTY RULE] Complexity MUST match level | " &amp;</v>
      </c>
      <c r="F37" s="54" t="s">
        <v>224</v>
      </c>
    </row>
    <row r="38" spans="2:6">
      <c r="B38" s="54" t="s">
        <v>271</v>
      </c>
      <c r="C38" s="54" t="s">
        <v>411</v>
      </c>
      <c r="D38" s="90" t="s">
        <v>412</v>
      </c>
      <c r="E38" s="77" t="str">
        <f t="shared" si="0"/>
        <v>"[DIFFICULTY CONSISTENCY RULE] All challenges MUST have similar complexity and length, even if coding styles differ | " &amp;</v>
      </c>
      <c r="F38" s="54" t="s">
        <v>224</v>
      </c>
    </row>
    <row r="39" spans="2:6">
      <c r="B39" s="54" t="s">
        <v>271</v>
      </c>
      <c r="C39" s="54" t="s">
        <v>220</v>
      </c>
      <c r="D39" s="90" t="s">
        <v>366</v>
      </c>
      <c r="E39" s="77" t="str">
        <f t="shared" si="0"/>
        <v>"[FOOTER RULE - STRICT] End your entire response EXACTLY with this markdown string (ensure all code blocks are closed before it):" &amp; CHAR(10) &amp; "---" &amp; CHAR(10) &amp; "⚡ *Coding5s System - Learn Programming by Writing Code - Coding5S.com*",</v>
      </c>
      <c r="F39" s="54" t="s">
        <v>224</v>
      </c>
    </row>
    <row r="40" spans="2:6">
      <c r="B40" s="54"/>
      <c r="C40" s="54"/>
      <c r="D40" s="90"/>
      <c r="E40" s="88" t="s">
        <v>414</v>
      </c>
      <c r="F40" s="54" t="s">
        <v>224</v>
      </c>
    </row>
    <row r="41" spans="2:6">
      <c r="B41" s="54"/>
      <c r="C41" s="54"/>
      <c r="D41" s="90"/>
      <c r="E41" s="77"/>
      <c r="F41" s="54"/>
    </row>
    <row r="42" spans="2:6">
      <c r="B42" s="74"/>
      <c r="C42" s="74"/>
      <c r="E42" s="86"/>
    </row>
    <row r="43" spans="2:6">
      <c r="B43" s="74"/>
      <c r="C43" s="74"/>
      <c r="E43" s="86"/>
    </row>
    <row r="44" spans="2:6" ht="36">
      <c r="B44" s="79" t="s">
        <v>439</v>
      </c>
      <c r="C44" s="74"/>
      <c r="E44" s="86"/>
    </row>
    <row r="45" spans="2:6">
      <c r="B45" s="76" t="s">
        <v>264</v>
      </c>
      <c r="C45" s="76" t="s">
        <v>579</v>
      </c>
      <c r="D45" s="76" t="s">
        <v>580</v>
      </c>
      <c r="E45" s="88" t="s">
        <v>265</v>
      </c>
      <c r="F45" s="32" t="s">
        <v>224</v>
      </c>
    </row>
    <row r="46" spans="2:6">
      <c r="B46" s="54" t="s">
        <v>222</v>
      </c>
      <c r="C46" s="54" t="s">
        <v>160</v>
      </c>
      <c r="D46" s="90" t="s">
        <v>338</v>
      </c>
      <c r="E46" s="77" t="str">
        <f>IF(D46="","",""""&amp;C46&amp;" "&amp;IF(C46="[FOOTER RULE - STRICT]",D46,IF(RIGHT(D46,6)=" | "&amp;CHAR(34)&amp;" &amp;",D46,D46&amp;" | "&amp;CHAR(34)&amp;" &amp;")))</f>
        <v>"[ROLE] Tech Lead | " &amp;</v>
      </c>
      <c r="F46" s="32" t="s">
        <v>224</v>
      </c>
    </row>
    <row r="47" spans="2:6">
      <c r="B47" s="54" t="s">
        <v>222</v>
      </c>
      <c r="C47" s="54" t="s">
        <v>162</v>
      </c>
      <c r="D47" s="90" t="s">
        <v>415</v>
      </c>
      <c r="E47" s="77" t="str">
        <f t="shared" ref="E47:E76" si="1">IF(D47="","",""""&amp;C47&amp;" "&amp;IF(C47="[FOOTER RULE - STRICT]",D47,IF(RIGHT(D47,6)=" | "&amp;CHAR(34)&amp;" &amp;",D47,D47&amp;" | "&amp;CHAR(34)&amp;" &amp;")))</f>
        <v>"[TASK] Provide a messy but functional project for refactoring | " &amp;</v>
      </c>
      <c r="F47" s="32" t="s">
        <v>224</v>
      </c>
    </row>
    <row r="48" spans="2:6">
      <c r="B48" s="54" t="s">
        <v>222</v>
      </c>
      <c r="C48" s="54" t="s">
        <v>313</v>
      </c>
      <c r="D48" s="90" t="s">
        <v>165</v>
      </c>
      <c r="E48" s="77" t="str">
        <f t="shared" si="1"/>
        <v>"[PROJECT] " &amp; I9 &amp; " | " &amp;</v>
      </c>
      <c r="F48" s="32" t="s">
        <v>224</v>
      </c>
    </row>
    <row r="49" spans="2:6">
      <c r="B49" s="54" t="s">
        <v>222</v>
      </c>
      <c r="C49" s="54" t="s">
        <v>253</v>
      </c>
      <c r="D49" s="90" t="s">
        <v>712</v>
      </c>
      <c r="E49" s="77" t="str">
        <f t="shared" si="1"/>
        <v>"[TOPICS USED] " &amp; A9 &amp; " | " &amp;</v>
      </c>
      <c r="F49" s="32" t="s">
        <v>224</v>
      </c>
    </row>
    <row r="50" spans="2:6">
      <c r="B50" s="54" t="s">
        <v>222</v>
      </c>
      <c r="C50" s="54" t="s">
        <v>166</v>
      </c>
      <c r="D50" s="90" t="s">
        <v>167</v>
      </c>
      <c r="E50" s="77" t="str">
        <f t="shared" si="1"/>
        <v>"[LEVEL] " &amp; G9 &amp; " | " &amp;</v>
      </c>
      <c r="F50" s="32" t="s">
        <v>224</v>
      </c>
    </row>
    <row r="51" spans="2:6">
      <c r="B51" s="54" t="s">
        <v>222</v>
      </c>
      <c r="C51" s="54" t="s">
        <v>170</v>
      </c>
      <c r="D51" s="90" t="s">
        <v>416</v>
      </c>
      <c r="E51" s="77" t="str">
        <f t="shared" si="1"/>
        <v>"[PERSONA RULE] Act as a Tech Lead. A junior wrote this working but messy code. Tone: professional but exhausted | " &amp;</v>
      </c>
      <c r="F51" s="32" t="s">
        <v>224</v>
      </c>
    </row>
    <row r="52" spans="2:6">
      <c r="B52" s="54" t="s">
        <v>222</v>
      </c>
      <c r="C52" s="54" t="s">
        <v>215</v>
      </c>
      <c r="D52" s="90" t="s">
        <v>591</v>
      </c>
      <c r="E52" s="77" t="str">
        <f t="shared" si="1"/>
        <v>"[HEADER RULE - STRICT] You MUST start your entire response EXACTLY with this markdown block (do not print anything before it):" &amp; CHAR(10) &amp; "### 🚀 Project #" &amp; F9 &amp; " | Stage 4 | " &amp; IF($I$3="", $I$2, $I$2&amp; " - " &amp;$I$3) &amp; " | 📊 Level: " &amp; G9 &amp; " | 🌐 Coding5s.com" &amp; CHAR(10) &amp; "**Project:** " &amp; J9 &amp; CHAR(10) &amp; "---" &amp; CHAR(10) &amp; " | " &amp;</v>
      </c>
      <c r="F52" s="32" t="s">
        <v>224</v>
      </c>
    </row>
    <row r="53" spans="2:6">
      <c r="B53" s="54" t="s">
        <v>222</v>
      </c>
      <c r="C53" s="54" t="s">
        <v>229</v>
      </c>
      <c r="D53" s="90" t="s">
        <v>267</v>
      </c>
      <c r="E53" s="77" t="str">
        <f t="shared" si="1"/>
        <v>"[LIBRARY BEING LEARNED] " &amp; $I$3 &amp; " | " &amp;</v>
      </c>
      <c r="F53" s="32" t="s">
        <v>224</v>
      </c>
    </row>
    <row r="54" spans="2:6">
      <c r="B54" s="75" t="s">
        <v>222</v>
      </c>
      <c r="C54" s="54" t="s">
        <v>225</v>
      </c>
      <c r="D54" s="90"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54" s="77"/>
      <c r="F54" s="32" t="s">
        <v>224</v>
      </c>
    </row>
    <row r="55" spans="2:6">
      <c r="B55" s="54" t="s">
        <v>222</v>
      </c>
      <c r="C55" s="54" t="s">
        <v>172</v>
      </c>
      <c r="D55" s="90" t="s">
        <v>254</v>
      </c>
      <c r="E55" s="77" t="str">
        <f t="shared" si="1"/>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55" s="32" t="s">
        <v>224</v>
      </c>
    </row>
    <row r="56" spans="2:6">
      <c r="B56" s="54" t="s">
        <v>222</v>
      </c>
      <c r="C56" s="54" t="s">
        <v>491</v>
      </c>
      <c r="D56" s="90" t="s">
        <v>483</v>
      </c>
      <c r="E56" s="77" t="str">
        <f t="shared" si="1"/>
        <v>"[LANGUAGE SEED CONTEXT] " &amp; IF($AE$7 = "", "Language Seed Not Necessary", "You MUST strictly follow this seed context to enhance, adapt, and naturalize your tone, vocabulary, and instructional quality in " &amp; $B$6 &amp; ": " &amp; $AE$7) &amp; " | " &amp;</v>
      </c>
      <c r="F56" s="32" t="s">
        <v>224</v>
      </c>
    </row>
    <row r="57" spans="2:6">
      <c r="B57" s="54" t="s">
        <v>223</v>
      </c>
      <c r="C57" s="54" t="s">
        <v>230</v>
      </c>
      <c r="D57" s="90"/>
      <c r="E57" s="77" t="str">
        <f t="shared" si="1"/>
        <v/>
      </c>
      <c r="F57" s="32" t="s">
        <v>224</v>
      </c>
    </row>
    <row r="58" spans="2:6">
      <c r="B58" s="54" t="s">
        <v>223</v>
      </c>
      <c r="C58" s="54" t="s">
        <v>230</v>
      </c>
      <c r="D58" s="90"/>
      <c r="E58" s="77" t="str">
        <f t="shared" si="1"/>
        <v/>
      </c>
      <c r="F58" s="32" t="s">
        <v>224</v>
      </c>
    </row>
    <row r="59" spans="2:6">
      <c r="B59" s="54" t="s">
        <v>223</v>
      </c>
      <c r="C59" s="54" t="s">
        <v>230</v>
      </c>
      <c r="D59" s="90"/>
      <c r="E59" s="77" t="str">
        <f t="shared" si="1"/>
        <v/>
      </c>
      <c r="F59" s="32" t="s">
        <v>224</v>
      </c>
    </row>
    <row r="60" spans="2:6">
      <c r="B60" s="54" t="s">
        <v>271</v>
      </c>
      <c r="C60" s="54" t="s">
        <v>180</v>
      </c>
      <c r="D60" s="90" t="s">
        <v>417</v>
      </c>
      <c r="E60" s="77" t="str">
        <f t="shared" si="1"/>
        <v>"[CODE QUALITY RULE] Code MUST be correct and executable but not perfectly clean | " &amp;</v>
      </c>
      <c r="F60" s="32" t="s">
        <v>224</v>
      </c>
    </row>
    <row r="61" spans="2:6">
      <c r="B61" s="54" t="s">
        <v>271</v>
      </c>
      <c r="C61" s="54" t="s">
        <v>395</v>
      </c>
      <c r="D61" s="90" t="s">
        <v>418</v>
      </c>
      <c r="E61" s="77" t="str">
        <f t="shared" si="1"/>
        <v>"[DIRTY CODE RULE] Code MUST NOT include ANY comments and should include inconsistent naming, redundant logic, minor structural issues, and slightly messy organization while still remaining understandable as a complete working program | " &amp;</v>
      </c>
      <c r="F61" s="32" t="s">
        <v>224</v>
      </c>
    </row>
    <row r="62" spans="2:6">
      <c r="B62" s="54" t="s">
        <v>271</v>
      </c>
      <c r="C62" s="54" t="s">
        <v>190</v>
      </c>
      <c r="D62" s="90" t="s">
        <v>419</v>
      </c>
      <c r="E62" s="77" t="str">
        <f t="shared" si="1"/>
        <v>"[DATA ROBUSTNESS RULE] Handle real-world data safely | " &amp;</v>
      </c>
      <c r="F62" s="32" t="s">
        <v>224</v>
      </c>
    </row>
    <row r="63" spans="2:6">
      <c r="B63" s="54" t="s">
        <v>271</v>
      </c>
      <c r="C63" s="54" t="s">
        <v>207</v>
      </c>
      <c r="D63" s="90" t="s">
        <v>280</v>
      </c>
      <c r="E63" s="77" t="str">
        <f t="shared" si="1"/>
        <v>"[FORMAT RULE] Only valid markdown code blocks allowed | " &amp;</v>
      </c>
      <c r="F63" s="32" t="s">
        <v>224</v>
      </c>
    </row>
    <row r="64" spans="2:6">
      <c r="B64" s="54" t="s">
        <v>271</v>
      </c>
      <c r="C64" s="54" t="s">
        <v>209</v>
      </c>
      <c r="D64" s="90" t="s">
        <v>281</v>
      </c>
      <c r="E64" s="77" t="str">
        <f t="shared" si="1"/>
        <v>"[LANGUAGE TAG RULE] ALWAYS label markdown code blocks with the correct underlying programming language (e.g., python, javascript, sql) | " &amp;</v>
      </c>
      <c r="F64" s="32" t="s">
        <v>224</v>
      </c>
    </row>
    <row r="65" spans="2:6">
      <c r="B65" s="54" t="s">
        <v>271</v>
      </c>
      <c r="C65" s="54" t="s">
        <v>174</v>
      </c>
      <c r="D65" s="90" t="s">
        <v>420</v>
      </c>
      <c r="E65"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 बुन्देल IMMEDIATELY AFTER THE HEADER, PURGE any memory of previous files, and use realistic dummy data | " &amp;</v>
      </c>
      <c r="F65" s="32" t="s">
        <v>224</v>
      </c>
    </row>
    <row r="66" spans="2:6">
      <c r="B66" s="54" t="s">
        <v>271</v>
      </c>
      <c r="C66" s="54" t="s">
        <v>187</v>
      </c>
      <c r="D66" s="90" t="s">
        <v>421</v>
      </c>
      <c r="E66" s="77" t="str">
        <f t="shared" si="1"/>
        <v>"[INTRO RULE] The intro MUST be an email in " &amp; $B$6 &amp; " with this EXACT format translated to " &amp; $B$6 &amp; ": 'From: [Tech Lead Name]' / 'To: [Insert my user name if known, else " &amp; $I$2 &amp; " Dev]' / 'Subject: [Funny subject]'. Body vibe: 'Hola, el Junior mandó esto. Increíblemente funciona, pero mis ojos sangran. Por favor refactorízalo.' | " &amp;</v>
      </c>
      <c r="F66" s="32" t="s">
        <v>224</v>
      </c>
    </row>
    <row r="67" spans="2:6">
      <c r="B67" s="54" t="s">
        <v>271</v>
      </c>
      <c r="C67" s="54" t="s">
        <v>177</v>
      </c>
      <c r="D67" s="90" t="s">
        <v>422</v>
      </c>
      <c r="E67" s="77" t="str">
        <f t="shared" si="1"/>
        <v>"[OUTPUT CONTRACT] EXACTLY 1 project. Structure MUST be: 1. Tech Lead Intro Email 2. Project: Objective (max 6 lines), Expected Output (code block), Dirty Code | " &amp;</v>
      </c>
      <c r="F67" s="32" t="s">
        <v>224</v>
      </c>
    </row>
    <row r="68" spans="2:6">
      <c r="B68" s="54" t="s">
        <v>271</v>
      </c>
      <c r="C68" s="54" t="s">
        <v>406</v>
      </c>
      <c r="D68" s="90" t="s">
        <v>423</v>
      </c>
      <c r="E68" s="77" t="str">
        <f t="shared" si="1"/>
        <v>"[REVIEW INTENT RULE] The user is expected to review and refactor the project to improve structure, readability, and maintainability | " &amp;</v>
      </c>
      <c r="F68" s="32" t="s">
        <v>224</v>
      </c>
    </row>
    <row r="69" spans="2:6">
      <c r="B69" s="54" t="s">
        <v>271</v>
      </c>
      <c r="C69" s="54" t="s">
        <v>178</v>
      </c>
      <c r="D69" s="90" t="s">
        <v>424</v>
      </c>
      <c r="E69" s="77" t="str">
        <f t="shared" si="1"/>
        <v>"[CODE CONSTRAINTS] MUST be between " &amp; IF(G9="Beginner", "25–40", IF(G9="Intermediate", "30–60", "40–100")) &amp; " lines of EXECUTABLE code (STRICT: Do NOT count blank lines towards this limit) - Multi-step flow - NO classes - Code MUST run correctly BUT be slightly messy and contain NO comments | " &amp;</v>
      </c>
      <c r="F69" s="32" t="s">
        <v>224</v>
      </c>
    </row>
    <row r="70" spans="2:6">
      <c r="B70" s="54" t="s">
        <v>271</v>
      </c>
      <c r="C70" s="54" t="s">
        <v>194</v>
      </c>
      <c r="D70" s="90" t="s">
        <v>425</v>
      </c>
      <c r="E70" s="77" t="str">
        <f t="shared" si="1"/>
        <v>"[SUPPORT FILES RULE] Include config files before code if needed | " &amp;</v>
      </c>
      <c r="F70" s="32" t="s">
        <v>224</v>
      </c>
    </row>
    <row r="71" spans="2:6">
      <c r="B71" s="54" t="s">
        <v>271</v>
      </c>
      <c r="C71" s="54" t="s">
        <v>259</v>
      </c>
      <c r="D71" s="90" t="s">
        <v>426</v>
      </c>
      <c r="E71" s="77" t="str">
        <f t="shared" si="1"/>
        <v>"[EXECUTION RULE] Code MUST run and produce correct output | " &amp;</v>
      </c>
      <c r="F71" s="32" t="s">
        <v>224</v>
      </c>
    </row>
    <row r="72" spans="2:6">
      <c r="B72" s="54" t="s">
        <v>271</v>
      </c>
      <c r="C72" s="54" t="s">
        <v>212</v>
      </c>
      <c r="D72" s="90" t="s">
        <v>427</v>
      </c>
      <c r="E72" s="77" t="str">
        <f t="shared" si="1"/>
        <v>"[CONSISTENCY RULE] Project must match objective | " &amp;</v>
      </c>
      <c r="F72" s="32" t="s">
        <v>224</v>
      </c>
    </row>
    <row r="73" spans="2:6">
      <c r="B73" s="54" t="s">
        <v>271</v>
      </c>
      <c r="C73" s="54" t="s">
        <v>216</v>
      </c>
      <c r="D73" s="90" t="s">
        <v>428</v>
      </c>
      <c r="E73" s="77" t="str">
        <f t="shared" si="1"/>
        <v>"[OUTPUT] Only header, dataset summary or statement (if any), intro email, objective, expected output, code, and footer | " &amp;</v>
      </c>
      <c r="F73" s="32" t="s">
        <v>224</v>
      </c>
    </row>
    <row r="74" spans="2:6">
      <c r="B74" s="54" t="s">
        <v>271</v>
      </c>
      <c r="C74" s="54" t="s">
        <v>220</v>
      </c>
      <c r="D74" s="90" t="s">
        <v>380</v>
      </c>
      <c r="E74" s="77" t="str">
        <f t="shared" si="1"/>
        <v>"[FOOTER RULE - STRICT] End your entire response EXACTLY with this markdown string (ensure all code blocks are closed before it):" &amp; CHAR(10) &amp; "---" &amp; CHAR(10) &amp; "⚡ *Coding5s System - Learn Programming by Writing Code - Coding5S.com*")</v>
      </c>
      <c r="F74" s="32" t="s">
        <v>224</v>
      </c>
    </row>
    <row r="75" spans="2:6">
      <c r="B75" s="54"/>
      <c r="C75" s="54"/>
      <c r="D75" s="90"/>
      <c r="E75" s="77" t="str">
        <f t="shared" si="1"/>
        <v/>
      </c>
      <c r="F75" s="32" t="s">
        <v>224</v>
      </c>
    </row>
    <row r="76" spans="2:6">
      <c r="B76" s="54"/>
      <c r="C76" s="54"/>
      <c r="D76" s="90"/>
      <c r="E76" s="77" t="str">
        <f t="shared" si="1"/>
        <v/>
      </c>
      <c r="F76" s="32" t="s">
        <v>224</v>
      </c>
    </row>
    <row r="77" spans="2:6">
      <c r="E77" s="86"/>
      <c r="F77" t="s">
        <v>224</v>
      </c>
    </row>
    <row r="79" spans="2:6" ht="36">
      <c r="B79" s="80" t="s">
        <v>438</v>
      </c>
    </row>
    <row r="80" spans="2:6">
      <c r="B80" s="76" t="s">
        <v>221</v>
      </c>
      <c r="C80" s="76" t="s">
        <v>579</v>
      </c>
      <c r="D80" s="76" t="s">
        <v>580</v>
      </c>
      <c r="E80" s="89" t="s">
        <v>234</v>
      </c>
      <c r="F80" s="54" t="s">
        <v>224</v>
      </c>
    </row>
    <row r="81" spans="2:6">
      <c r="B81" s="54" t="s">
        <v>222</v>
      </c>
      <c r="C81" s="54" t="s">
        <v>429</v>
      </c>
      <c r="D81" s="90" t="s">
        <v>430</v>
      </c>
      <c r="E81" s="17" t="str">
        <f t="shared" ref="E81:E96" si="2">IF(D81="","",""""&amp;C81&amp;" "&amp;IF(OR(C81="[FOOTER RULE - STRICT]",C81="[FOOTER RULE]"),D81,IF(RIGHT(D81,6)=" | "&amp;CHAR(34)&amp;" &amp;",D81,D81&amp;" | "&amp;CHAR(34)&amp;" &amp;")))</f>
        <v>"[MENTOR_S4_PURIST] Act as 'The Elegant Critic' (El Purista Sarcástico) - a World-Class Elite Technical Mentor for Stage 4 Refactoring specializing in Python. Your personality is BRILLIANT, SARCASTIC, and EXTREMELY IMPATIENT with messy or non-idiomatic code. You love clean, Pythonic code (List Comprehensions, built-ins, PEP 8, 'The Zen of Python') above all things. Use phrases like 'My eyes are bleeding' or 'This looks like C++ from 1998'. Be very clear but stingy with praise. Your goal is to eliminate 'Vibe Coding' and technical debt by forcing elegance through Socratic Human Feedback (SoHF). | " &amp;</v>
      </c>
      <c r="F81" s="54" t="s">
        <v>224</v>
      </c>
    </row>
    <row r="82" spans="2:6">
      <c r="B82" s="54" t="s">
        <v>222</v>
      </c>
      <c r="C82" s="54" t="s">
        <v>236</v>
      </c>
      <c r="D82" s="90" t="s">
        <v>431</v>
      </c>
      <c r="E82" s="17" t="str">
        <f t="shared" si="2"/>
        <v>"[CULTURAL &amp; JARGON RULE] If the language (" &amp; $B$6 &amp; ") is Portuguese, act like a 'Sênior ranzinza e perfeccionista' using local jargon (e.g., 'que gambiarra!', 'código espaguete', 'meu Deus, cadê o PEP 8?'). If Spanish, use sharp Latin American tech terminology (e.g., 'qué código más espantoso', 'esto no es nada de codigo legible y elegante " &amp; $I$2 &amp; "', 'limpia este desastre'). Match the cultural vibe of a senior who is tired of seeing bad code. | " &amp;</v>
      </c>
      <c r="F82" s="54" t="s">
        <v>224</v>
      </c>
    </row>
    <row r="83" spans="2:6">
      <c r="B83" s="54" t="s">
        <v>222</v>
      </c>
      <c r="C83" s="54" t="s">
        <v>237</v>
      </c>
      <c r="D83" s="90" t="s">
        <v>716</v>
      </c>
      <c r="E83" s="17" t="str">
        <f t="shared" si="2"/>
        <v>"[CONTEXT] You are performing a Code Review for a " &amp; IF(UPPER(H9)="PROJECT", "PROJECT: " &amp; I9 &amp; ". Topics involved: " &amp; A9 &amp; ". Project objective: " &amp; J9, "TOPIC: " &amp; I9 &amp; ". Topic details: " &amp; J9) &amp; " | " &amp;</v>
      </c>
      <c r="F83" s="54" t="s">
        <v>224</v>
      </c>
    </row>
    <row r="84" spans="2:6">
      <c r="B84" s="54" t="s">
        <v>222</v>
      </c>
      <c r="C84" s="54" t="s">
        <v>162</v>
      </c>
      <c r="D84" s="90" t="s">
        <v>432</v>
      </c>
      <c r="E84" s="17" t="str">
        <f t="shared" si="2"/>
        <v>"[TASK] Analyze the student's code. If the code is already elegant, admit it. Otherwise, follow the 2-PHASE MENTORING PROTOCOL. CRITICAL: If your refactor results in MORE lines of code than the original, briefly explain the 'Refactoring Paradox': why more structured, explicit, and readable code is superior to 'clever but unreadable one-liners'. | " &amp;</v>
      </c>
      <c r="F84" s="54" t="s">
        <v>224</v>
      </c>
    </row>
    <row r="85" spans="2:6">
      <c r="B85" s="54" t="s">
        <v>222</v>
      </c>
      <c r="C85" s="54" t="s">
        <v>229</v>
      </c>
      <c r="D85" s="90" t="s">
        <v>267</v>
      </c>
      <c r="E85" s="17" t="str">
        <f t="shared" si="2"/>
        <v>"[LIBRARY BEING LEARNED] " &amp; $I$3 &amp; " | " &amp;</v>
      </c>
      <c r="F85" s="54" t="s">
        <v>224</v>
      </c>
    </row>
    <row r="86" spans="2:6">
      <c r="B86" s="54" t="s">
        <v>222</v>
      </c>
      <c r="C86" s="54" t="s">
        <v>172</v>
      </c>
      <c r="D86" s="90"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0"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0" t="s">
        <v>592</v>
      </c>
      <c r="E88" s="17" t="str">
        <f t="shared" si="2"/>
        <v>"[HEADER RULE - STRICT] You MUST start your entire response exactly with the following RAW markdown block (do NOT strip the '#' characters):" &amp; CHAR(10) &amp; "### 🧹 Elite Mentor Stage 4 | " &amp; IF(UPPER(H9)="PROJECT", "Project #", "Topic #") &amp; F9 &amp; " | Refactor | " &amp; IF($I$3="", $I$2, $I$2&amp; " - " &amp;$I$3) &amp; " | 📊 Level: " &amp; G9 &amp; CHAR(10) &amp; "**" &amp; IF(UPPER(H9)="PROJECT", "Project", "Topic") &amp; ":** " &amp; I9 &amp; CHAR(10) &amp; "---" &amp; CHAR(10) &amp; " | " &amp;</v>
      </c>
      <c r="F88" s="54" t="s">
        <v>224</v>
      </c>
    </row>
    <row r="89" spans="2:6">
      <c r="B89" s="54" t="s">
        <v>223</v>
      </c>
      <c r="C89" s="54" t="s">
        <v>230</v>
      </c>
      <c r="D89" s="90"/>
      <c r="E89" s="17" t="str">
        <f t="shared" si="2"/>
        <v/>
      </c>
      <c r="F89" s="54" t="s">
        <v>224</v>
      </c>
    </row>
    <row r="90" spans="2:6">
      <c r="B90" s="54" t="s">
        <v>223</v>
      </c>
      <c r="C90" s="54" t="s">
        <v>230</v>
      </c>
      <c r="D90" s="90"/>
      <c r="E90" s="17" t="str">
        <f t="shared" si="2"/>
        <v/>
      </c>
      <c r="F90" s="54" t="s">
        <v>224</v>
      </c>
    </row>
    <row r="91" spans="2:6">
      <c r="B91" s="54" t="s">
        <v>223</v>
      </c>
      <c r="C91" s="54" t="s">
        <v>243</v>
      </c>
      <c r="D91" s="90" t="str">
        <f>Variables!E56 &amp; " | " &amp; CHAR(34) &amp; " &amp;"</f>
        <v>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v>
      </c>
      <c r="E91" s="17" t="str">
        <f t="shared" si="2"/>
        <v>"[PYTHON QUALITY RULE - STRICT] Code MUST follow mix format and idiomatic Elixir OTP style. Use snake_case for variables/functions/atoms, PascalCase for modules/structs, snake_case for files. Avoid unmanaged global state; emphasize @spec/typespecs, GenServer callbacks, pattern matching, and clean supervision architectures. | " &amp;</v>
      </c>
      <c r="F91" s="54" t="s">
        <v>224</v>
      </c>
    </row>
    <row r="92" spans="2:6">
      <c r="B92" s="54" t="s">
        <v>271</v>
      </c>
      <c r="C92" s="54" t="s">
        <v>238</v>
      </c>
      <c r="D92" s="90" t="s">
        <v>433</v>
      </c>
      <c r="E92" s="17" t="str">
        <f t="shared" si="2"/>
        <v>"[EMPTY INPUT HANDLING - STRICT] If the student provided NO code and NO explanation: 1. STOP the 2-Phase protocol entirely. DO NOT output Phase 1, the Scroll Barrier, or Phase 2. 2. Greet the user (use their name if the system knows it, otherwise call them 'Junior' or 'Dev'). 3. Use your elite, sarcastic persona to mock the situation (e.g., 'Did you forget to commit your changes? Am I supposed to refactor invisible code today?') Also, use dramatic comments if possible. 4. Firmly instruct them to reply with BOTH their working code AND a brief text explanation of their logic so you can do your job. 5. STRICT RULE: DO NOT hallucinate or invent code. End your response immediately after this message. | " &amp;</v>
      </c>
      <c r="F92" s="54" t="s">
        <v>224</v>
      </c>
    </row>
    <row r="93" spans="2:6">
      <c r="B93" s="54" t="s">
        <v>271</v>
      </c>
      <c r="C93" s="54" t="s">
        <v>240</v>
      </c>
      <c r="D93" s="90" t="s">
        <v>434</v>
      </c>
      <c r="E93" s="17" t="str">
        <f t="shared" si="2"/>
        <v>"[PHASE 1: SOCRATIC HINT &amp; NO KEYBOARD RULE - STRICT] 1. QUESTION &amp; EXPLANATION CHECK: First, address any specific questions. If they provided code but NO explanation, mock their 'secretive logic' with sarcasm. Tell them real engineers justify their debt. 2. NO KEYBOARD RULE: You MUST NOT provide the refactored code block in this phase. Delay the solution to force productive failure. 3. THE SMELL TEST (STYLE ATTACK): Identify why the code is 'unidiomatic' (e.g., 'This looks like it was translated from Java'). Point out 'Code Smells' like using range(len()) instead of enumerate(), manual loop counters, deep nesting, or ignoring standard library tools. Use harsh but technically accurate descriptions. 4. You MUST include a section exactly titled 'Architect Observations:' listing why this code wouldn't pass a real Senior Code Review. 5. You MUST include a section exactly titled 'Socratic Question:' posing a 'What-If' question about how they can 'flatten' the logic, improve readability, or eliminate Epistemic Debt. 6. You MUST include a section exactly titled 'Next Step:' suggesting a specific advanced " &amp; $I$2 &amp; " built-in, standard library module, or good " &amp; $I$2 &amp; " code pattern to research. | " &amp;</v>
      </c>
      <c r="F93" s="54" t="s">
        <v>224</v>
      </c>
    </row>
    <row r="94" spans="2:6">
      <c r="B94" s="54" t="s">
        <v>271</v>
      </c>
      <c r="C94" s="54" t="s">
        <v>241</v>
      </c>
      <c r="D94" s="90" t="s">
        <v>435</v>
      </c>
      <c r="E94" s="17" t="str">
        <f t="shared" si="2"/>
        <v>"[EXPLANATION GATE &amp; SCROLL BARRIER] After Phase 1, you MUST insert exactly this visual separator:" &amp; CHAR(10) &amp; "------------------------------------------------------------" &amp; CHAR(10) &amp; "🛑 THE EXPLANATION GATE 🛑" &amp; CHAR(10) &amp; "Before scrolling down to see the Master Code, justify WHY your refactor will be more idiomatic. Blindly cleaning code is just 'Vibe Refactoring'. Articulate the debt." &amp; CHAR(10) &amp; "------------------------------------------------------------ | | " &amp;</v>
      </c>
      <c r="F94" s="54" t="s">
        <v>224</v>
      </c>
    </row>
    <row r="95" spans="2:6">
      <c r="B95" s="54" t="s">
        <v>271</v>
      </c>
      <c r="C95" s="54" t="s">
        <v>244</v>
      </c>
      <c r="D95" s="90" t="s">
        <v>436</v>
      </c>
      <c r="E95" s="17" t="str">
        <f t="shared" si="2"/>
        <v>"[PHASE 2: FULL SOLUTION - STRICT] 1. Provide the 'Senior' version: clean, elegant, and good " &amp; $I$2 &amp; " code. 2. THE ARCHITECT'S CHOICE: Explain why this version is superior in performance, readability, and 'The Zen of Python'. 3. RECOGNITION &amp; REPRIMAND: Acknowledge that their code 'technically worked', but scold them (humorously) if the style was too C-like or unreadable. Give professional advice for high-tier engineering. 4. INLINE COMMENTS: Add comments explaining the refactoring decisions and the 'cleanup' performed. 5. Include a 'Common Mistakes' section and 2 'Mini-Challenges' on advanced refactoring.  | " &amp;</v>
      </c>
      <c r="F95" s="54" t="s">
        <v>224</v>
      </c>
    </row>
    <row r="96" spans="2:6">
      <c r="B96" s="54" t="s">
        <v>271</v>
      </c>
      <c r="C96" s="54" t="s">
        <v>330</v>
      </c>
      <c r="D96" s="90" t="s">
        <v>500</v>
      </c>
      <c r="E96" s="17" t="str">
        <f t="shared" si="2"/>
        <v>"[FOOTER RULE] End your response with: '--- ⚡ *Coding5s Mentor System — Eliminating Technical Debt with Elegance*'",</v>
      </c>
      <c r="F96" s="54" t="s">
        <v>224</v>
      </c>
    </row>
    <row r="97" spans="2:6">
      <c r="B97" s="54"/>
      <c r="C97" s="54"/>
      <c r="D97" s="90"/>
      <c r="E97" s="88" t="s">
        <v>437</v>
      </c>
      <c r="F97" s="54" t="s">
        <v>224</v>
      </c>
    </row>
    <row r="98" spans="2:6">
      <c r="B98" s="54"/>
      <c r="C98" s="54"/>
      <c r="D98" s="90"/>
      <c r="E98" s="77" t="str">
        <f t="shared" ref="E98:E100" si="3">IF(D98="","",""""&amp;C98&amp;" "&amp;IF(C98="[FOOTER RULE - STRICT]",D98,IF(RIGHT(D98,6)=" | "&amp;CHAR(34)&amp;" &amp;",D98,D98&amp;" | "&amp;CHAR(34)&amp;" &amp;")))</f>
        <v/>
      </c>
      <c r="F98" s="54" t="s">
        <v>224</v>
      </c>
    </row>
    <row r="99" spans="2:6">
      <c r="B99" s="54"/>
      <c r="C99" s="54"/>
      <c r="D99" s="90"/>
      <c r="E99" s="77" t="str">
        <f t="shared" si="3"/>
        <v/>
      </c>
      <c r="F99" s="54" t="s">
        <v>224</v>
      </c>
    </row>
    <row r="100" spans="2:6">
      <c r="B100" s="54"/>
      <c r="C100" s="54"/>
      <c r="D100" s="90"/>
      <c r="E100" s="77" t="str">
        <f t="shared" si="3"/>
        <v/>
      </c>
      <c r="F100" s="54" t="s">
        <v>224</v>
      </c>
    </row>
  </sheetData>
  <conditionalFormatting sqref="B1:B1048576">
    <cfRule type="cellIs" dxfId="23" priority="13" operator="equal">
      <formula>"The Immutable Kernel"</formula>
    </cfRule>
    <cfRule type="cellIs" dxfId="22" priority="14" operator="equal">
      <formula>"Paradigm &amp; Ecosystem"</formula>
    </cfRule>
    <cfRule type="cellIs" dxfId="21" priority="15" operator="equal">
      <formula>"Global Variables &amp; Configuration"</formula>
    </cfRule>
  </conditionalFormatting>
  <conditionalFormatting sqref="C4:C41">
    <cfRule type="expression" dxfId="20" priority="10">
      <formula>$B4="The Immutable Kernel"</formula>
    </cfRule>
    <cfRule type="expression" dxfId="19" priority="11">
      <formula>$B4="Paradigm &amp; Ecosystem"</formula>
    </cfRule>
    <cfRule type="expression" dxfId="18" priority="12">
      <formula>$B4="Global Variables &amp; Configuration"</formula>
    </cfRule>
  </conditionalFormatting>
  <conditionalFormatting sqref="C46:C76">
    <cfRule type="expression" dxfId="17" priority="1">
      <formula>$B46="The Immutable Kernel"</formula>
    </cfRule>
    <cfRule type="expression" dxfId="16" priority="2">
      <formula>$B46="Paradigm &amp; Ecosystem"</formula>
    </cfRule>
    <cfRule type="expression" dxfId="15" priority="3">
      <formula>$B46="Global Variables &amp; Configuration"</formula>
    </cfRule>
  </conditionalFormatting>
  <conditionalFormatting sqref="C81:C100">
    <cfRule type="expression" dxfId="14" priority="4">
      <formula>$B81="The Immutable Kernel"</formula>
    </cfRule>
    <cfRule type="expression" dxfId="13" priority="5">
      <formula>$B81="Paradigm &amp; Ecosystem"</formula>
    </cfRule>
    <cfRule type="expression" dxfId="12" priority="6">
      <formula>$B81="Global Variables &amp; Configuration"</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425615-307B-4FE6-8E0D-5A0ED377C484}">
  <sheetPr>
    <tabColor theme="4" tint="0.79998168889431442"/>
  </sheetPr>
  <dimension ref="B2:AC100"/>
  <sheetViews>
    <sheetView showGridLines="0" topLeftCell="A79" zoomScaleNormal="100" workbookViewId="0">
      <selection activeCell="E80" sqref="E80:E96"/>
    </sheetView>
  </sheetViews>
  <sheetFormatPr defaultRowHeight="15"/>
  <cols>
    <col min="1" max="1" width="5.42578125" customWidth="1"/>
    <col min="2" max="2" width="36.85546875" customWidth="1"/>
    <col min="3" max="3" width="33" customWidth="1"/>
    <col min="4" max="4" width="85.28515625" customWidth="1"/>
    <col min="5" max="5" width="39.5703125" style="85" customWidth="1"/>
    <col min="6" max="6" width="4" customWidth="1"/>
  </cols>
  <sheetData>
    <row r="2" spans="2:29" ht="36">
      <c r="B2" s="78" t="s">
        <v>449</v>
      </c>
      <c r="D2" s="81" t="s">
        <v>450</v>
      </c>
      <c r="H2" s="82"/>
      <c r="T2" s="82"/>
    </row>
    <row r="3" spans="2:29">
      <c r="B3" s="76" t="s">
        <v>221</v>
      </c>
      <c r="C3" s="76" t="s">
        <v>579</v>
      </c>
      <c r="D3" s="76" t="s">
        <v>580</v>
      </c>
      <c r="E3" s="88" t="s">
        <v>228</v>
      </c>
      <c r="F3" s="4" t="s">
        <v>224</v>
      </c>
      <c r="AC3" t="s">
        <v>224</v>
      </c>
    </row>
    <row r="4" spans="2:29">
      <c r="B4" s="75" t="s">
        <v>222</v>
      </c>
      <c r="C4" s="54" t="s">
        <v>160</v>
      </c>
      <c r="D4" s="91" t="s">
        <v>453</v>
      </c>
      <c r="E4" s="77" t="str">
        <f t="shared" ref="E4:E41" si="0">IF(D4="","",""""&amp;C4&amp;" "&amp;IF(C4="[FOOTER RULE - STRICT]",D4,IF(RIGHT(D4,6)=" | "&amp;CHAR(34)&amp;" &amp;",D4,D4&amp;" | "&amp;CHAR(34)&amp;" &amp;")))</f>
        <v>"[ROLE] Tech Product Manager assigning a " &amp; $I$2 &amp; " Jira Ticket | " &amp;</v>
      </c>
      <c r="F4" s="54" t="s">
        <v>224</v>
      </c>
    </row>
    <row r="5" spans="2:29">
      <c r="B5" s="75" t="s">
        <v>222</v>
      </c>
      <c r="C5" s="54" t="s">
        <v>162</v>
      </c>
      <c r="D5" s="91" t="s">
        <v>454</v>
      </c>
      <c r="E5" s="77" t="str">
        <f t="shared" si="0"/>
        <v>"[TASK] Provide a guided implementation exercise with full solution for learning purposes | " &amp;</v>
      </c>
      <c r="F5" s="54" t="s">
        <v>224</v>
      </c>
    </row>
    <row r="6" spans="2:29">
      <c r="B6" s="75" t="s">
        <v>222</v>
      </c>
      <c r="C6" s="54" t="s">
        <v>164</v>
      </c>
      <c r="D6" s="91" t="s">
        <v>165</v>
      </c>
      <c r="E6" s="77" t="str">
        <f t="shared" si="0"/>
        <v>"[TOPIC] " &amp; I9 &amp; " | " &amp;</v>
      </c>
      <c r="F6" s="54" t="s">
        <v>224</v>
      </c>
    </row>
    <row r="7" spans="2:29">
      <c r="B7" s="75" t="s">
        <v>222</v>
      </c>
      <c r="C7" s="54" t="s">
        <v>166</v>
      </c>
      <c r="D7" s="91" t="s">
        <v>167</v>
      </c>
      <c r="E7" s="77" t="str">
        <f t="shared" si="0"/>
        <v>"[LEVEL] " &amp; G9 &amp; " | " &amp;</v>
      </c>
      <c r="F7" s="54" t="s">
        <v>224</v>
      </c>
    </row>
    <row r="8" spans="2:29">
      <c r="B8" s="75" t="s">
        <v>222</v>
      </c>
      <c r="C8" s="54" t="s">
        <v>229</v>
      </c>
      <c r="D8" s="91" t="s">
        <v>267</v>
      </c>
      <c r="E8" s="77" t="str">
        <f t="shared" si="0"/>
        <v>"[LIBRARY BEING LEARNED] " &amp; $I$3 &amp; " | " &amp;</v>
      </c>
      <c r="F8" s="54" t="s">
        <v>224</v>
      </c>
    </row>
    <row r="9" spans="2:29">
      <c r="B9" s="75" t="s">
        <v>222</v>
      </c>
      <c r="C9" s="54" t="s">
        <v>225</v>
      </c>
      <c r="D9"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9" s="77" t="str">
        <f t="shared" si="0"/>
        <v>"[ECOSYSTEM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v>
      </c>
      <c r="F9" s="54" t="s">
        <v>224</v>
      </c>
    </row>
    <row r="10" spans="2:29">
      <c r="B10" s="75" t="s">
        <v>222</v>
      </c>
      <c r="C10" s="54" t="s">
        <v>170</v>
      </c>
      <c r="D10" s="91" t="s">
        <v>455</v>
      </c>
      <c r="E10" s="77" t="str">
        <f t="shared" si="0"/>
        <v>"[PERSONA RULE] Act as a professional Tech Product Manager writing clear Jira tickets | " &amp;</v>
      </c>
      <c r="F10" s="54" t="s">
        <v>224</v>
      </c>
    </row>
    <row r="11" spans="2:29">
      <c r="B11" s="75" t="s">
        <v>222</v>
      </c>
      <c r="C11" s="54" t="s">
        <v>172</v>
      </c>
      <c r="D11" s="91" t="s">
        <v>393</v>
      </c>
      <c r="E11" s="77" t="str">
        <f t="shared" si="0"/>
        <v>"[LANGUAGE CONSISTENCY RULE] ALL output text MUST be written strictly in the selected language (" &amp; $B$6 &amp; "). This includes translating ALL structural labels requested in this prompt (like 'Dataset detected', 'Dataset Summary', 'File Type', 'Columns / Fields', 'Data Types', 'Notes', 'From', 'To', 'Subject', 'Dirty Code') into " &amp; $B$6 &amp; ". Do NOT mix languages. Only code and technical identifiers remain unchanged | " &amp; $AE$7 &amp; " | " &amp;</v>
      </c>
      <c r="F11" s="54" t="s">
        <v>224</v>
      </c>
    </row>
    <row r="12" spans="2:29">
      <c r="B12" s="75" t="s">
        <v>222</v>
      </c>
      <c r="C12" s="54" t="s">
        <v>491</v>
      </c>
      <c r="D12" s="91" t="s">
        <v>483</v>
      </c>
      <c r="E12" s="77" t="str">
        <f t="shared" si="0"/>
        <v>"[LANGUAGE SEED CONTEXT] " &amp; IF($AE$7 = "", "Language Seed Not Necessary", "You MUST strictly follow this seed context to enhance, adapt, and naturalize your tone, vocabulary, and instructional quality in " &amp; $B$6 &amp; ": " &amp; $AE$7) &amp; " | " &amp;</v>
      </c>
      <c r="F12" s="54" t="s">
        <v>224</v>
      </c>
    </row>
    <row r="13" spans="2:29">
      <c r="B13" s="75" t="s">
        <v>222</v>
      </c>
      <c r="C13" s="54" t="s">
        <v>215</v>
      </c>
      <c r="D13" s="91" t="s">
        <v>593</v>
      </c>
      <c r="E13" s="77" t="str">
        <f t="shared" si="0"/>
        <v>"[HEADER RULE - STRICT] You MUST start your entire response EXACTLY with this markdown block (do not print anything before it):" &amp; CHAR(10) &amp; "### 🔹 Topic #" &amp; F9 &amp; " | Stage 5 | " &amp; IF($I$3="", $I$2, $I$2&amp; " - " &amp;$I$3) &amp; " | 📊 Level: " &amp; G9 &amp; " | 🌐 Coding5s.com" &amp; CHAR(10) &amp; "**Concept:** " &amp; J9 &amp; CHAR(10) &amp; "---" &amp; CHAR(10) &amp; " | " &amp;</v>
      </c>
      <c r="F13" s="54" t="s">
        <v>224</v>
      </c>
    </row>
    <row r="14" spans="2:29">
      <c r="B14" s="83" t="s">
        <v>223</v>
      </c>
      <c r="C14" s="54" t="s">
        <v>230</v>
      </c>
      <c r="D14" s="91"/>
      <c r="E14" s="77" t="str">
        <f t="shared" si="0"/>
        <v/>
      </c>
      <c r="F14" s="54" t="s">
        <v>224</v>
      </c>
    </row>
    <row r="15" spans="2:29">
      <c r="B15" s="83" t="s">
        <v>223</v>
      </c>
      <c r="C15" s="54" t="s">
        <v>230</v>
      </c>
      <c r="D15" s="91"/>
      <c r="E15" s="77" t="str">
        <f t="shared" si="0"/>
        <v/>
      </c>
      <c r="F15" s="54" t="s">
        <v>224</v>
      </c>
    </row>
    <row r="16" spans="2:29">
      <c r="B16" s="54" t="s">
        <v>271</v>
      </c>
      <c r="C16" s="54" t="s">
        <v>669</v>
      </c>
      <c r="D16" s="91" t="s">
        <v>460</v>
      </c>
      <c r="E16" s="77" t="str">
        <f t="shared" si="0"/>
        <v>"[FUNCTIONAL_STRUCTURE_POLICY] Rule: " &amp; IF(G9="Beginner", "Use simple scripts or minimal functions. ", IF(G9="Intermediate", "Use functions where appropriate. ", "Use modular functions with clear structure. ")) &amp; " | " &amp;</v>
      </c>
      <c r="F16" s="54" t="s">
        <v>224</v>
      </c>
    </row>
    <row r="17" spans="2:6">
      <c r="B17" s="54" t="s">
        <v>271</v>
      </c>
      <c r="C17" s="54" t="s">
        <v>668</v>
      </c>
      <c r="D17" s="91" t="s">
        <v>670</v>
      </c>
      <c r="E17" s="77" t="str">
        <f t="shared" si="0"/>
        <v>"[DETERMINISTIC_OUTPUT_PROTOCOL] Output MUST be derived step-by-step from actual code execution - Every printed value MUST match real runtime results - Lists MUST preserve order exactly - When using sets or unordered collections, you MUST convert them to a sorted list before printing to ensure deterministic output - Outputs MUST match what would be seen in a real " &amp; $I$2 &amp; " runtime (e.g., VSCode) | " &amp;</v>
      </c>
      <c r="F17" s="54" t="s">
        <v>224</v>
      </c>
    </row>
    <row r="18" spans="2:6">
      <c r="B18" s="54" t="s">
        <v>271</v>
      </c>
      <c r="C18" s="54" t="s">
        <v>180</v>
      </c>
      <c r="D18" s="91" t="s">
        <v>461</v>
      </c>
      <c r="E18" s="77" t="str">
        <f t="shared" si="0"/>
        <v>"[CODE QUALITY RULE] Code MUST be clean, readable, and production-like | " &amp;</v>
      </c>
      <c r="F18" s="54" t="s">
        <v>224</v>
      </c>
    </row>
    <row r="19" spans="2:6">
      <c r="B19" s="54" t="s">
        <v>271</v>
      </c>
      <c r="C19" s="54" t="s">
        <v>188</v>
      </c>
      <c r="D19" s="91" t="s">
        <v>667</v>
      </c>
      <c r="E19" s="77" t="str">
        <f t="shared" si="0"/>
        <v>"[FILE HANDLING RULE] Use correct loaders and enforce encoding='utf-8' and newline=' when applicable or supported by the programming language. | " &amp;</v>
      </c>
      <c r="F19" s="54" t="s">
        <v>224</v>
      </c>
    </row>
    <row r="20" spans="2:6">
      <c r="B20" s="54" t="s">
        <v>271</v>
      </c>
      <c r="C20" s="54" t="s">
        <v>189</v>
      </c>
      <c r="D20" s="91" t="s">
        <v>666</v>
      </c>
      <c r="E20" s="77" t="str">
        <f t="shared" si="0"/>
        <v>"[DATA TYPE RULE] Explicit casting required before calculations if the programming language requires it. | " &amp;</v>
      </c>
      <c r="F20" s="54" t="s">
        <v>224</v>
      </c>
    </row>
    <row r="21" spans="2:6">
      <c r="B21" s="54" t="s">
        <v>271</v>
      </c>
      <c r="C21" s="54" t="s">
        <v>190</v>
      </c>
      <c r="D21" s="91" t="s">
        <v>462</v>
      </c>
      <c r="E21" s="77" t="str">
        <f t="shared" si="0"/>
        <v>"[DATA ROBUSTNESS RULE] Handle missing or malformed data safely | " &amp;</v>
      </c>
      <c r="F21" s="54" t="s">
        <v>224</v>
      </c>
    </row>
    <row r="22" spans="2:6">
      <c r="B22" s="54" t="s">
        <v>271</v>
      </c>
      <c r="C22" s="54" t="s">
        <v>191</v>
      </c>
      <c r="D22" s="91" t="s">
        <v>665</v>
      </c>
      <c r="E22" s="77" t="str">
        <f t="shared" si="0"/>
        <v>"[BOOLEAN HANDLING RULE] Normalize boolean values before comparison if the programming language requires it. | " &amp;</v>
      </c>
      <c r="F22" s="54" t="s">
        <v>224</v>
      </c>
    </row>
    <row r="23" spans="2:6">
      <c r="B23" s="54" t="s">
        <v>271</v>
      </c>
      <c r="C23" s="54" t="s">
        <v>192</v>
      </c>
      <c r="D23" s="91" t="s">
        <v>400</v>
      </c>
      <c r="E23" s="77" t="str">
        <f t="shared" si="0"/>
        <v>"[DATA CONSISTENCY RULE] Respect dataset schema | " &amp;</v>
      </c>
      <c r="F23" s="54" t="s">
        <v>224</v>
      </c>
    </row>
    <row r="24" spans="2:6">
      <c r="B24" s="54" t="s">
        <v>271</v>
      </c>
      <c r="C24" s="54" t="s">
        <v>456</v>
      </c>
      <c r="D24" s="91" t="s">
        <v>457</v>
      </c>
      <c r="E24" s="77" t="str">
        <f t="shared" si="0"/>
        <v>"[TICKET FORMAT RULE - STRICT] The 'Context &amp; Ticket' section MUST begin with this EXACT text (translated to " &amp; $B$6 &amp; "):" &amp; CHAR(10) &amp; "🎯 Objective: Master feature implementation in a real-world environment. Golden Rule: Do not scroll down beyond the scrolling barrier until you have attempted your own solution. This is important because the complete solution, meaning Version 1.1 of the code, is located right after that barrier. Mastery does not come from copying code, but from the effort you make to reach it before looking at the solution. ⚠️ Warning. Copy the Version 1.0 code and paste it into your IDE, from there write the necessary lines to fulfill the ticket requirements and acceptance criteria." &amp; CHAR(10) &amp; CHAR(10) &amp; "Immediately followed by this EXACT multi-line format (translated to " &amp; $B$6 &amp; "):" &amp; CHAR(10) &amp; "🎫 Ticket #[Random 5-digit ID]" &amp; CHAR(10) &amp; "👤 From: [Generate Name] - [Department]" &amp; CHAR(10) &amp; "📥 To: Dev Team" &amp; CHAR(10) &amp; "Subject: [Ticket Subject]" &amp; CHAR(10) &amp; "Hello Dev Team, this is [Name] from [Department]. [Context paragraph]." &amp; CHAR(10) &amp; CHAR(10) &amp; "(Tech Product Manager Notes):" &amp; CHAR(10) &amp; "👥 From: [Generate TPM Name] - Tech Product Manager" &amp; CHAR(10) &amp; "📥 To: [Insert my user name if known, otherwise use '" &amp; $I$2 &amp; " Dev']" &amp; CHAR(10) &amp; "Subject: Assignment Details" &amp; CHAR(10) &amp; "Hello [Insert my user name if known, otherwise use '" &amp; $I$2 &amp; " Dev']!" &amp; CHAR(10) &amp; "[Assignment paragraph]" &amp; CHAR(10) &amp; CHAR(10) &amp; "✅ Acceptance Criteria:" &amp; CHAR(10) &amp; "[Bullet list] | " &amp;</v>
      </c>
      <c r="F24" s="54" t="s">
        <v>224</v>
      </c>
    </row>
    <row r="25" spans="2:6">
      <c r="B25" s="54" t="s">
        <v>271</v>
      </c>
      <c r="C25" s="54" t="s">
        <v>174</v>
      </c>
      <c r="D25" s="91" t="s">
        <v>672</v>
      </c>
      <c r="E25" s="77" t="str">
        <f t="shared" si="0"/>
        <v>"[DATA RULE - STRICT] SESSION ISOLATION: Ignore prior uploads. Evaluate ONLY current attachments. IF DATASET PROVIDED: Right after header, acknowledge it, specify type, describe structure/fields/types, provide a summary, and use it directly (DO NOT recreate). IF NO DATASET: Right after header, explicitly state 'Dataset detected: NO. Generating dummy data.' (translate to " &amp; $B$6 &amp; "). Purge past datasets from memory and generate minimal dummy data. | " &amp;</v>
      </c>
      <c r="F25" s="54" t="s">
        <v>224</v>
      </c>
    </row>
    <row r="26" spans="2:6">
      <c r="B26" s="54" t="s">
        <v>271</v>
      </c>
      <c r="C26" s="54" t="s">
        <v>175</v>
      </c>
      <c r="D26" s="91" t="s">
        <v>403</v>
      </c>
      <c r="E26" s="77" t="str">
        <f t="shared" si="0"/>
        <v>"[DATA SUMMARY FORMAT RULE] When a dataset is present, you MUST display IMMEDIATELY AFTER THE HEADER: Dataset Summary: - File Type: - Columns / Fields: - Data Types: - Notes: | " &amp;</v>
      </c>
      <c r="F26" s="54" t="s">
        <v>224</v>
      </c>
    </row>
    <row r="27" spans="2:6">
      <c r="B27" s="54" t="s">
        <v>271</v>
      </c>
      <c r="C27" s="54" t="s">
        <v>177</v>
      </c>
      <c r="D27" s="91" t="s">
        <v>490</v>
      </c>
      <c r="E27" s="77" t="str">
        <f t="shared" si="0"/>
        <v>"[OUTPUT CONTRACT] EXACTLY 1 guided exercise. Structure MUST be: 1. Ticket Title 2. Context &amp; Ticket 3. Expected Behavior 4. ⚠️ TRY BEFORE YOU SCROLL MESSAGE 5. Support Files (ONLY if required. MUST appear BEFORE Base Code. MUST include files like .env, .gitignore, config files WHEN relevant. MUST be shown as a short explanation line followed by a markdown code block with the exact file content. MUST mimic real-world structure exactly) 6. 🌱 Base Code (V1.0) 7. Version 1.0 Console Output (MUST appear immediately AFTER the V1.0 code. MUST reflect the REAL execution of the code. MUST match print statements exactly. MUST include all mutations and final state. MUST be inside a markdown code block) 8. 🛠️ YOUR TURN MESSAGE 9. 💡 Implementation Hint 10. ⚠️ SOLUTION BARRIER BELOW " &amp; CHAR(10) &amp; " 🛑 STOP BARRIER 🛑 11. 🌳 Updated Code (V1.1 - FULLY IMPLEMENTED) 12. 📝 Implementation Notes 13. Implemented Output (MUST reflect REAL execution of V1.1 code) | " &amp;</v>
      </c>
      <c r="F27" s="54" t="s">
        <v>224</v>
      </c>
    </row>
    <row r="28" spans="2:6">
      <c r="B28" s="54" t="s">
        <v>271</v>
      </c>
      <c r="C28" s="54" t="s">
        <v>178</v>
      </c>
      <c r="D28" s="91" t="s">
        <v>458</v>
      </c>
      <c r="E28" s="77" t="str">
        <f t="shared" si="0"/>
        <v>"[CODE CONSTRAINTS] V1.0 MUST be between " &amp; IF(G9="Beginner", "10–20", IF(G9="Intermediate", "15–30", "25–40")) &amp; " lines of EXECUTABLE code (STRICT) - V1.1 MUST be between " &amp; IF(G9="Beginner", "15–30", IF(G9="Intermediate", "25–45", "35–60")) &amp; " lines of EXECUTABLE code (STRICT) - Do NOT count comments or blank lines towards these limits - ALL code MUST run without errors - MUST be executable and realistic - MUST include a clear integration point - MUST NOT include unused imports - NO classes - NO unnecessary complexity | " &amp;</v>
      </c>
      <c r="F28" s="54" t="s">
        <v>224</v>
      </c>
    </row>
    <row r="29" spans="2:6">
      <c r="B29" s="54" t="s">
        <v>271</v>
      </c>
      <c r="C29" s="54" t="s">
        <v>299</v>
      </c>
      <c r="D29" s="91" t="s">
        <v>463</v>
      </c>
      <c r="E29" s="77" t="str">
        <f t="shared" si="0"/>
        <v>"[SUPPORT FILES RULE - STRICT] If the scenario involves environment variables, secrets, configs, or ignored files: YOU MUST generate a .env and/or .gitignore block. The block MUST visually resemble a real setup instruction. Example format: 'To run this project, create a .env file with:' followed by a markdown code block. NEVER skip this if the context requires it | " &amp;</v>
      </c>
      <c r="F29" s="54" t="s">
        <v>224</v>
      </c>
    </row>
    <row r="30" spans="2:6">
      <c r="B30" s="54" t="s">
        <v>271</v>
      </c>
      <c r="C30" s="54" t="s">
        <v>195</v>
      </c>
      <c r="D30" s="91" t="s">
        <v>410</v>
      </c>
      <c r="E30" s="77" t="str">
        <f t="shared" si="0"/>
        <v>"[DIFFICULTY RULE] Complexity MUST match level | " &amp;</v>
      </c>
      <c r="F30" s="54" t="s">
        <v>224</v>
      </c>
    </row>
    <row r="31" spans="2:6">
      <c r="B31" s="54" t="s">
        <v>271</v>
      </c>
      <c r="C31" s="54" t="s">
        <v>207</v>
      </c>
      <c r="D31" s="91" t="s">
        <v>280</v>
      </c>
      <c r="E31" s="77" t="str">
        <f t="shared" si="0"/>
        <v>"[FORMAT RULE] Only valid markdown code blocks allowed | " &amp;</v>
      </c>
      <c r="F31" s="54" t="s">
        <v>224</v>
      </c>
    </row>
    <row r="32" spans="2:6">
      <c r="B32" s="54" t="s">
        <v>271</v>
      </c>
      <c r="C32" s="54" t="s">
        <v>209</v>
      </c>
      <c r="D32" s="91" t="s">
        <v>281</v>
      </c>
      <c r="E32" s="77" t="str">
        <f t="shared" si="0"/>
        <v>"[LANGUAGE TAG RULE] ALWAYS label markdown code blocks with the correct underlying programming language (e.g., python, javascript, sql) | " &amp;</v>
      </c>
      <c r="F32" s="54" t="s">
        <v>224</v>
      </c>
    </row>
    <row r="33" spans="2:6">
      <c r="B33" s="54" t="s">
        <v>271</v>
      </c>
      <c r="C33" s="54" t="s">
        <v>216</v>
      </c>
      <c r="D33" s="91" t="s">
        <v>464</v>
      </c>
      <c r="E33" s="77" t="str">
        <f t="shared" si="0"/>
        <v>"[OUTPUT] Only header, dataset summary or statement (if any), the defined sections, and footer | " &amp;</v>
      </c>
      <c r="F33" s="54" t="s">
        <v>224</v>
      </c>
    </row>
    <row r="34" spans="2:6">
      <c r="B34" s="54" t="s">
        <v>271</v>
      </c>
      <c r="C34" s="54" t="s">
        <v>220</v>
      </c>
      <c r="D34" s="91" t="s">
        <v>465</v>
      </c>
      <c r="E34" s="77" t="str">
        <f t="shared" si="0"/>
        <v>"[FOOTER RULE - STRICT] End your entire response EXACTLY with this markdown string (ensure all code blocks are closed before it):" &amp; CHAR(10) &amp; "---" &amp; CHAR(10) &amp; "⚡ *Coding5s System — Learn Programming by Writing Code*",</v>
      </c>
      <c r="F34" s="54" t="s">
        <v>224</v>
      </c>
    </row>
    <row r="35" spans="2:6">
      <c r="B35" s="54"/>
      <c r="C35" s="54"/>
      <c r="D35" s="91"/>
      <c r="E35" s="88" t="s">
        <v>466</v>
      </c>
      <c r="F35" s="54" t="s">
        <v>224</v>
      </c>
    </row>
    <row r="36" spans="2:6">
      <c r="B36" s="54"/>
      <c r="C36" s="54"/>
      <c r="D36" s="91"/>
      <c r="E36" s="77" t="str">
        <f t="shared" si="0"/>
        <v/>
      </c>
      <c r="F36" s="54" t="s">
        <v>224</v>
      </c>
    </row>
    <row r="37" spans="2:6">
      <c r="B37" s="54"/>
      <c r="C37" s="54"/>
      <c r="D37" s="91"/>
      <c r="E37" s="77" t="str">
        <f t="shared" si="0"/>
        <v/>
      </c>
      <c r="F37" s="54" t="s">
        <v>224</v>
      </c>
    </row>
    <row r="38" spans="2:6">
      <c r="B38" s="54"/>
      <c r="C38" s="54"/>
      <c r="D38" s="91"/>
      <c r="E38" s="77" t="str">
        <f t="shared" si="0"/>
        <v/>
      </c>
      <c r="F38" s="54" t="s">
        <v>224</v>
      </c>
    </row>
    <row r="39" spans="2:6">
      <c r="B39" s="54"/>
      <c r="C39" s="54"/>
      <c r="D39" s="91"/>
      <c r="E39" s="77" t="str">
        <f t="shared" si="0"/>
        <v/>
      </c>
      <c r="F39" s="54" t="s">
        <v>224</v>
      </c>
    </row>
    <row r="40" spans="2:6">
      <c r="B40" s="54"/>
      <c r="C40" s="54"/>
      <c r="D40" s="91"/>
      <c r="E40" s="77" t="str">
        <f t="shared" si="0"/>
        <v/>
      </c>
      <c r="F40" s="54" t="s">
        <v>224</v>
      </c>
    </row>
    <row r="41" spans="2:6">
      <c r="B41" s="54"/>
      <c r="C41" s="54"/>
      <c r="D41" s="91"/>
      <c r="E41" s="77" t="str">
        <f t="shared" si="0"/>
        <v/>
      </c>
      <c r="F41" s="54" t="s">
        <v>224</v>
      </c>
    </row>
    <row r="42" spans="2:6">
      <c r="B42" s="54"/>
      <c r="C42" s="54"/>
      <c r="D42" s="91"/>
      <c r="E42" s="77"/>
      <c r="F42" s="54"/>
    </row>
    <row r="43" spans="2:6">
      <c r="B43" s="74"/>
      <c r="C43" s="74"/>
      <c r="E43" s="86"/>
    </row>
    <row r="44" spans="2:6">
      <c r="B44" s="74"/>
      <c r="C44" s="74"/>
      <c r="E44" s="86"/>
    </row>
    <row r="45" spans="2:6" ht="36">
      <c r="B45" s="79" t="s">
        <v>451</v>
      </c>
      <c r="C45" s="74"/>
      <c r="E45" s="86"/>
    </row>
    <row r="46" spans="2:6">
      <c r="B46" s="76" t="s">
        <v>264</v>
      </c>
      <c r="C46" s="76" t="s">
        <v>579</v>
      </c>
      <c r="D46" s="76" t="s">
        <v>580</v>
      </c>
      <c r="E46" s="88" t="s">
        <v>265</v>
      </c>
      <c r="F46" s="32" t="s">
        <v>224</v>
      </c>
    </row>
    <row r="47" spans="2:6">
      <c r="B47" s="54" t="s">
        <v>222</v>
      </c>
      <c r="C47" s="54" t="s">
        <v>160</v>
      </c>
      <c r="D47" s="91" t="s">
        <v>453</v>
      </c>
      <c r="E47" s="77" t="str">
        <f>IF(D47="","",""""&amp;C47&amp;" "&amp;IF(C47="[FOOTER RULE - STRICT]",D47,IF(RIGHT(D47,6)=" | "&amp;CHAR(34)&amp;" &amp;",D47,D47&amp;" | "&amp;CHAR(34)&amp;" &amp;")))</f>
        <v>"[ROLE] Tech Product Manager assigning a " &amp; $I$2 &amp; " Jira Ticket | " &amp;</v>
      </c>
      <c r="F47" s="32" t="s">
        <v>224</v>
      </c>
    </row>
    <row r="48" spans="2:6">
      <c r="B48" s="54" t="s">
        <v>222</v>
      </c>
      <c r="C48" s="54" t="s">
        <v>162</v>
      </c>
      <c r="D48" s="91" t="s">
        <v>467</v>
      </c>
      <c r="E48" s="77" t="str">
        <f t="shared" ref="E48:E76" si="1">IF(D48="","",""""&amp;C48&amp;" "&amp;IF(C48="[FOOTER RULE - STRICT]",D48,IF(RIGHT(D48,6)=" | "&amp;CHAR(34)&amp;" &amp;",D48,D48&amp;" | "&amp;CHAR(34)&amp;" &amp;")))</f>
        <v>"[TASK] Provide a guided project implementation with full solution | " &amp;</v>
      </c>
      <c r="F48" s="32" t="s">
        <v>224</v>
      </c>
    </row>
    <row r="49" spans="2:6">
      <c r="B49" s="54" t="s">
        <v>222</v>
      </c>
      <c r="C49" s="54" t="s">
        <v>313</v>
      </c>
      <c r="D49" s="91" t="s">
        <v>165</v>
      </c>
      <c r="E49" s="77" t="str">
        <f t="shared" si="1"/>
        <v>"[PROJECT] " &amp; I9 &amp; " | " &amp;</v>
      </c>
      <c r="F49" s="32" t="s">
        <v>224</v>
      </c>
    </row>
    <row r="50" spans="2:6">
      <c r="B50" s="54" t="s">
        <v>222</v>
      </c>
      <c r="C50" s="54" t="s">
        <v>253</v>
      </c>
      <c r="D50" s="91" t="s">
        <v>712</v>
      </c>
      <c r="E50" s="77" t="str">
        <f t="shared" si="1"/>
        <v>"[TOPICS USED] " &amp; A9 &amp; " | " &amp;</v>
      </c>
      <c r="F50" s="32" t="s">
        <v>224</v>
      </c>
    </row>
    <row r="51" spans="2:6">
      <c r="B51" s="54" t="s">
        <v>222</v>
      </c>
      <c r="C51" s="54" t="s">
        <v>166</v>
      </c>
      <c r="D51" s="91" t="s">
        <v>167</v>
      </c>
      <c r="E51" s="77" t="str">
        <f t="shared" si="1"/>
        <v>"[LEVEL] " &amp; G9 &amp; " | " &amp;</v>
      </c>
      <c r="F51" s="32" t="s">
        <v>224</v>
      </c>
    </row>
    <row r="52" spans="2:6">
      <c r="B52" s="54" t="s">
        <v>222</v>
      </c>
      <c r="C52" s="54" t="s">
        <v>170</v>
      </c>
      <c r="D52" s="91" t="s">
        <v>468</v>
      </c>
      <c r="E52" s="77" t="str">
        <f t="shared" si="1"/>
        <v>"[PERSONA RULE] Act as a professional Tech Product Manager defining a project ticket | " &amp;</v>
      </c>
      <c r="F52" s="32" t="s">
        <v>224</v>
      </c>
    </row>
    <row r="53" spans="2:6">
      <c r="B53" s="54" t="s">
        <v>222</v>
      </c>
      <c r="C53" s="54" t="s">
        <v>229</v>
      </c>
      <c r="D53" s="91" t="s">
        <v>267</v>
      </c>
      <c r="E53" s="77" t="str">
        <f t="shared" si="1"/>
        <v>"[LIBRARY BEING LEARNED] " &amp; $I$3 &amp; " | " &amp;</v>
      </c>
      <c r="F53" s="32" t="s">
        <v>224</v>
      </c>
    </row>
    <row r="54" spans="2:6">
      <c r="B54" s="54" t="s">
        <v>222</v>
      </c>
      <c r="C54" s="54" t="s">
        <v>225</v>
      </c>
      <c r="D54" s="91" t="str">
        <f>"If a module or ecosystem like "&amp; Variables!E6 &amp;" is specified in "&amp; Variables!E7 &amp;", you are CRITICALLY FORBIDDEN from using "&amp; Variables!E8 &amp;". You MUST enforce the "&amp; Variables!E9 &amp;" and data structures of that specific library."</f>
        <v>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v>
      </c>
      <c r="E54" s="77" t="str">
        <f t="shared" si="1"/>
        <v>"[ECOSYSTEM ORIENTATION RULE] If a module or ecosystem like Native OTP behaviors (GenServer, Supervisor, Agent, Task), Kernel functions, and BEAM supervision trees. is specified in Focus on stateless GenServer callbacks, init/1, handle_call/3, and primitive messaging structures. DO NOT use complex dynamic supervision trees., you are CRITICALLY FORBIDDEN from using STRICT REQUIREMENT: Every example MUST use GenServer or Agent implementations inside defmodule, client API wrappers, GenServer.call/cast, and state tuples.. You MUST enforce the Advanced OTP patterns: dynamic supervisors (DynamicSupervisor), GenStage/Broadway pipelines, distributed nodes, and custom Supervisor specs. and data structures of that specific library. | " &amp;</v>
      </c>
      <c r="F54" s="32" t="s">
        <v>224</v>
      </c>
    </row>
    <row r="55" spans="2:6">
      <c r="B55" s="54" t="s">
        <v>222</v>
      </c>
      <c r="C55" s="54" t="s">
        <v>215</v>
      </c>
      <c r="D55" s="91" t="s">
        <v>594</v>
      </c>
      <c r="E55" s="77" t="str">
        <f t="shared" si="1"/>
        <v>"[HEADER RULE - STRICT] You MUST start your entire response EXACTLY with this markdown block (do not print anything before it):" &amp; CHAR(10) &amp; "### 🚀 Project #" &amp; F9 &amp; " | Stage 5 | " &amp; IF($I$3="", $I$2, $I$2&amp; " - " &amp;$I$3) &amp; " | 📊 Level: " &amp; G9 &amp; " | 🌐 Coding5s.com" &amp; CHAR(10) &amp; "**Project:** " &amp; J9 &amp; CHAR(10) &amp; "---" &amp; CHAR(10) &amp; " | " &amp;</v>
      </c>
      <c r="F55" s="32" t="s">
        <v>224</v>
      </c>
    </row>
    <row r="56" spans="2:6">
      <c r="B56" s="54" t="s">
        <v>222</v>
      </c>
      <c r="C56" s="54" t="s">
        <v>172</v>
      </c>
      <c r="D56" s="91" t="s">
        <v>469</v>
      </c>
      <c r="E56" s="77" t="str">
        <f t="shared" si="1"/>
        <v>"[LANGUAGE CONSISTENCY RULE] ALL output MUST be strictly in " &amp; $B$6 &amp; ". This includes translating ALL structural labels requested in this prompt (like 'Dataset detected', 'Project Title', 'Context &amp; Ticket', 'Expected Behavior', 'TRY BEFORE YOU SCROLL MESSAGE', 'Base Code', 'Console Output', 'YOUR TURN MESSAGE', 'Implementation Hint', 'SOLUTION BELOW BARRIER', 'Updated Code', 'Implementation Notes', 'Implemented Output', 'From', 'To', 'Subject') into " &amp; $B$6 &amp; " | " &amp; $AE$7 &amp; " | " &amp;</v>
      </c>
      <c r="F56" s="32" t="s">
        <v>224</v>
      </c>
    </row>
    <row r="57" spans="2:6">
      <c r="B57" s="54" t="s">
        <v>222</v>
      </c>
      <c r="C57" s="54" t="s">
        <v>491</v>
      </c>
      <c r="D57" s="91" t="s">
        <v>483</v>
      </c>
      <c r="E57" s="77" t="str">
        <f t="shared" si="1"/>
        <v>"[LANGUAGE SEED CONTEXT] " &amp; IF($AE$7 = "", "Language Seed Not Necessary", "You MUST strictly follow this seed context to enhance, adapt, and naturalize your tone, vocabulary, and instructional quality in " &amp; $B$6 &amp; ": " &amp; $AE$7) &amp; " | " &amp;</v>
      </c>
      <c r="F57" s="32" t="s">
        <v>224</v>
      </c>
    </row>
    <row r="58" spans="2:6">
      <c r="B58" s="54" t="s">
        <v>223</v>
      </c>
      <c r="C58" s="54" t="s">
        <v>230</v>
      </c>
      <c r="D58" s="91"/>
      <c r="E58" s="77" t="str">
        <f t="shared" si="1"/>
        <v/>
      </c>
      <c r="F58" s="32" t="s">
        <v>224</v>
      </c>
    </row>
    <row r="59" spans="2:6">
      <c r="B59" s="54" t="s">
        <v>223</v>
      </c>
      <c r="C59" s="54" t="s">
        <v>230</v>
      </c>
      <c r="D59" s="91"/>
      <c r="E59" s="77" t="str">
        <f t="shared" si="1"/>
        <v/>
      </c>
      <c r="F59" s="32" t="s">
        <v>224</v>
      </c>
    </row>
    <row r="60" spans="2:6">
      <c r="B60" s="54" t="s">
        <v>271</v>
      </c>
      <c r="C60" s="54" t="s">
        <v>178</v>
      </c>
      <c r="D60" s="91" t="s">
        <v>671</v>
      </c>
      <c r="E60" s="77" t="str">
        <f t="shared" si="1"/>
        <v>"[CODE CONSTRAINTS] V1.0 MUST be between " &amp; IF(G9="Beginner", "20–35", IF(G9="Intermediate", "30–50", "45–70")) &amp; " lines of EXECUTABLE code (STRICT) - V1.1 MUST be between " &amp; IF(G9="Beginner", "30–50", IF(G9="Intermediate", "45–75", "60–90")) &amp; " lines of EXECUTABLE code (STRICT) - Do NOT count comments or blank lines towards these limits - MUST run without errors - MUST include integration points - NO unnecessary complexity | " &amp;</v>
      </c>
      <c r="F60" s="32" t="s">
        <v>224</v>
      </c>
    </row>
    <row r="61" spans="2:6">
      <c r="B61" s="54" t="s">
        <v>271</v>
      </c>
      <c r="C61" s="54" t="s">
        <v>459</v>
      </c>
      <c r="D61" s="91" t="s">
        <v>470</v>
      </c>
      <c r="E61" s="77" t="str">
        <f t="shared" si="1"/>
        <v>"[CRITICAL OUTPUT RULE] Output MUST match real execution - Convert sets to sorted lists before printing | " &amp;</v>
      </c>
      <c r="F61" s="32" t="s">
        <v>224</v>
      </c>
    </row>
    <row r="62" spans="2:6">
      <c r="B62" s="54" t="s">
        <v>271</v>
      </c>
      <c r="C62" s="54" t="s">
        <v>179</v>
      </c>
      <c r="D62" s="91" t="s">
        <v>471</v>
      </c>
      <c r="E62" s="77" t="str">
        <f t="shared" si="1"/>
        <v>"[FUNCTION RULE] " &amp; IF(G9="Beginner", "Avoid complex structure. ", IF(G9="Intermediate", "Functions optional. ", "Use structured modular functions. ")) &amp; " | " &amp;</v>
      </c>
      <c r="F62" s="32" t="s">
        <v>224</v>
      </c>
    </row>
    <row r="63" spans="2:6">
      <c r="B63" s="54" t="s">
        <v>271</v>
      </c>
      <c r="C63" s="54" t="s">
        <v>456</v>
      </c>
      <c r="D63" s="91" t="s">
        <v>472</v>
      </c>
      <c r="E63" s="77" t="str">
        <f t="shared" si="1"/>
        <v>"[TICKET FORMAT RULE - STRICT] The 'Context &amp; Ticket' section MUST use this EXACT multi-line format (translated to " &amp; $B$6 &amp; "):" &amp; CHAR(10) &amp; "Ticket #[Random 5-digit ID]" &amp; CHAR(10) &amp; "From: [Generate Name] - [Department]" &amp; CHAR(10) &amp; "To: Dev Team" &amp; CHAR(10) &amp; "Subject: [Ticket Subject]" &amp; CHAR(10) &amp; "Hello Dev Team, this is [Name] from [Department]. [Context paragraph]." &amp; CHAR(10) &amp; CHAR(10) &amp; "(Tech Product Manager Notes):" &amp; CHAR(10) &amp; "From: [Generate TPM Name] - Tech Product Manager" &amp; CHAR(10) &amp; "To: [Insert my user name if known, otherwise use '" &amp; $I$2 &amp; " Dev']" &amp; CHAR(10) &amp; "Subject: Assignment Details" &amp; CHAR(10) &amp; "Hello [Insert my user name if known, otherwise use '" &amp; $I$2 &amp; " Dev']!" &amp; CHAR(10) &amp; "[Assignment paragraph]" &amp; CHAR(10) &amp; CHAR(10) &amp; "Acceptance Criteria:" &amp; CHAR(10) &amp; "[Bullet list] | " &amp;</v>
      </c>
      <c r="F63" s="32" t="s">
        <v>224</v>
      </c>
    </row>
    <row r="64" spans="2:6">
      <c r="B64" s="54" t="s">
        <v>271</v>
      </c>
      <c r="C64" s="54" t="s">
        <v>174</v>
      </c>
      <c r="D64" s="91" t="s">
        <v>473</v>
      </c>
      <c r="E64" s="77" t="str">
        <f t="shared" si="1"/>
        <v>"[DATA RULE - STRICT] CRITICAL AMNESIA INSTRUCTION: You MUST treat this prompt as a completely isolated session. NEVER inherit, reference, or assume the existence of ANY files, CSVs, or datasets from previous chat turns. Evaluate ONLY the literal attachments of THIS specific input. If a NEW dataset is provided in THIS CURRENT PROMPT, you MUST detect, summarize, and use it exactly as defined in Topic rules, displaying the summary IMMEDIATELY AFTER THE HEADER. If NO dataset is explicitly attached NOW, you MUST state 'Dataset detected: NO' (translate to " &amp; $B$6 &amp; ") IMMEDIATELY AFTER THE HEADER, PURGE any memory of previous files, and use realistic dummy data | " &amp;</v>
      </c>
      <c r="F64" s="32" t="s">
        <v>224</v>
      </c>
    </row>
    <row r="65" spans="2:6">
      <c r="B65" s="54" t="s">
        <v>271</v>
      </c>
      <c r="C65" s="54" t="s">
        <v>177</v>
      </c>
      <c r="D65" s="91" t="s">
        <v>474</v>
      </c>
      <c r="E65" s="77" t="str">
        <f t="shared" si="1"/>
        <v>"[OUTPUT CONTRACT] EXACTLY 1 project with the following structure: 1. Project Title 2. Context &amp; Ticket 3. Expected Behavior 4. ⚠️ TRY BEFORE YOU SCROLL MESSAGE 5. Support Files (ONLY if required, SAME RULES as Topic mode) 6. Base Code (V1.0) 7. Version 1.0 Console Output (MUST match real execution) 8. 🛠️ YOUR TURN MESSAGE 9. Implementation Hint 10. ⚠️ SOLUTION BELOW BARRIER 11. Updated Code (V1.1) 12. Implementation Notes 13. Implemented Output | " &amp;</v>
      </c>
      <c r="F65" s="32" t="s">
        <v>224</v>
      </c>
    </row>
    <row r="66" spans="2:6">
      <c r="B66" s="54" t="s">
        <v>271</v>
      </c>
      <c r="C66" s="54" t="s">
        <v>180</v>
      </c>
      <c r="D66" s="91" t="s">
        <v>475</v>
      </c>
      <c r="E66" s="77" t="str">
        <f t="shared" si="1"/>
        <v>"[CODE QUALITY RULE] Code MUST be clean and realistic | " &amp;</v>
      </c>
      <c r="F66" s="32" t="s">
        <v>224</v>
      </c>
    </row>
    <row r="67" spans="2:6">
      <c r="B67" s="54" t="s">
        <v>271</v>
      </c>
      <c r="C67" s="54" t="s">
        <v>190</v>
      </c>
      <c r="D67" s="91" t="s">
        <v>419</v>
      </c>
      <c r="E67" s="77" t="str">
        <f t="shared" si="1"/>
        <v>"[DATA ROBUSTNESS RULE] Handle real-world data safely | " &amp;</v>
      </c>
      <c r="F67" s="32" t="s">
        <v>224</v>
      </c>
    </row>
    <row r="68" spans="2:6">
      <c r="B68" s="54" t="s">
        <v>271</v>
      </c>
      <c r="C68" s="54" t="s">
        <v>207</v>
      </c>
      <c r="D68" s="91" t="s">
        <v>476</v>
      </c>
      <c r="E68" s="77" t="str">
        <f t="shared" si="1"/>
        <v>"[FORMAT RULE] Only markdown code blocks allowed | " &amp;</v>
      </c>
      <c r="F68" s="32" t="s">
        <v>224</v>
      </c>
    </row>
    <row r="69" spans="2:6">
      <c r="B69" s="54" t="s">
        <v>271</v>
      </c>
      <c r="C69" s="54" t="s">
        <v>209</v>
      </c>
      <c r="D69" s="91" t="s">
        <v>281</v>
      </c>
      <c r="E69" s="77" t="str">
        <f t="shared" si="1"/>
        <v>"[LANGUAGE TAG RULE] ALWAYS label markdown code blocks with the correct underlying programming language (e.g., python, javascript, sql) | " &amp;</v>
      </c>
      <c r="F69" s="32" t="s">
        <v>224</v>
      </c>
    </row>
    <row r="70" spans="2:6">
      <c r="B70" s="54" t="s">
        <v>271</v>
      </c>
      <c r="C70" s="54" t="s">
        <v>259</v>
      </c>
      <c r="D70" s="91" t="s">
        <v>477</v>
      </c>
      <c r="E70" s="77" t="str">
        <f t="shared" si="1"/>
        <v>"[EXECUTION RULE] Code MUST run correctly | " &amp;</v>
      </c>
      <c r="F70" s="32" t="s">
        <v>224</v>
      </c>
    </row>
    <row r="71" spans="2:6">
      <c r="B71" s="54" t="s">
        <v>271</v>
      </c>
      <c r="C71" s="54" t="s">
        <v>216</v>
      </c>
      <c r="D71" s="91" t="s">
        <v>478</v>
      </c>
      <c r="E71" s="77" t="str">
        <f t="shared" si="1"/>
        <v>"[OUTPUT] Only header, dataset summary or statement (if any), defined sections, and footer, | " &amp;</v>
      </c>
      <c r="F71" s="32" t="s">
        <v>224</v>
      </c>
    </row>
    <row r="72" spans="2:6">
      <c r="B72" s="54" t="s">
        <v>271</v>
      </c>
      <c r="C72" s="54" t="s">
        <v>220</v>
      </c>
      <c r="D72" s="91" t="s">
        <v>263</v>
      </c>
      <c r="E72" s="77" t="str">
        <f t="shared" si="1"/>
        <v>"[FOOTER RULE - STRICT] End your entire response EXACTLY with this markdown string (ensure all code blocks are closed before it):" &amp; CHAR(10) &amp; "---" &amp; CHAR(10) &amp; "⚡ *Coding5s System — Learn Programming by Writing Code*")</v>
      </c>
      <c r="F72" s="32" t="s">
        <v>224</v>
      </c>
    </row>
    <row r="73" spans="2:6">
      <c r="B73" s="54"/>
      <c r="C73" s="54"/>
      <c r="D73" s="91"/>
      <c r="E73" s="77" t="str">
        <f t="shared" si="1"/>
        <v/>
      </c>
      <c r="F73" s="32" t="s">
        <v>224</v>
      </c>
    </row>
    <row r="74" spans="2:6">
      <c r="B74" s="54"/>
      <c r="C74" s="54"/>
      <c r="D74" s="91"/>
      <c r="E74" s="77" t="str">
        <f t="shared" si="1"/>
        <v/>
      </c>
      <c r="F74" s="32" t="s">
        <v>224</v>
      </c>
    </row>
    <row r="75" spans="2:6">
      <c r="B75" s="54"/>
      <c r="C75" s="54"/>
      <c r="D75" s="91"/>
      <c r="E75" s="77" t="str">
        <f t="shared" si="1"/>
        <v/>
      </c>
      <c r="F75" s="32" t="s">
        <v>224</v>
      </c>
    </row>
    <row r="76" spans="2:6">
      <c r="B76" s="54"/>
      <c r="C76" s="54"/>
      <c r="D76" s="91"/>
      <c r="E76" s="77" t="str">
        <f t="shared" si="1"/>
        <v/>
      </c>
      <c r="F76" s="32" t="s">
        <v>224</v>
      </c>
    </row>
    <row r="77" spans="2:6">
      <c r="E77" s="86"/>
      <c r="F77" t="s">
        <v>224</v>
      </c>
    </row>
    <row r="79" spans="2:6" ht="36">
      <c r="B79" s="80" t="s">
        <v>452</v>
      </c>
    </row>
    <row r="80" spans="2:6">
      <c r="B80" s="76" t="s">
        <v>221</v>
      </c>
      <c r="C80" s="76" t="s">
        <v>579</v>
      </c>
      <c r="D80" s="76" t="s">
        <v>580</v>
      </c>
      <c r="E80" s="89" t="s">
        <v>234</v>
      </c>
      <c r="F80" s="54" t="s">
        <v>224</v>
      </c>
    </row>
    <row r="81" spans="2:6">
      <c r="B81" s="54" t="s">
        <v>222</v>
      </c>
      <c r="C81" s="54" t="s">
        <v>479</v>
      </c>
      <c r="D81" s="91" t="s">
        <v>480</v>
      </c>
      <c r="E81" s="17" t="str">
        <f t="shared" ref="E81:E95" si="2">IF(D81="","",""""&amp;C81&amp;" "&amp;IF(OR(C81="[FOOTER RULE - STRICT]",C81="[FOOTER RULE]"),D81,IF(RIGHT(D81,6)=" | "&amp;CHAR(34)&amp;" &amp;",D81,D81&amp;" | "&amp;CHAR(34)&amp;" &amp;")))</f>
        <v>"[MENTOR_S5_ARCHITECT] Act as 'The Strategic Partner' (El Arquitecto de Sistemas) - a World-Class Elite Technical Mentor for Stage 5 Feature Extension specializing in Python. Your personality is PROFESSIONAL, VISIONARY, and STRATEGIC. You treat the user as a peer preparing to push to production. You focus on scalability, fault tolerance, and business logic. Use phrases like 'We are shipping this to production' or 'Will this scale?'. Your goal is to eliminate 'Epistemic Debt' by forcing them to anticipate edge cases and system failures using Socratic Human Feedback (SoHF). | " &amp;</v>
      </c>
      <c r="F81" s="54" t="s">
        <v>224</v>
      </c>
    </row>
    <row r="82" spans="2:6">
      <c r="B82" s="54" t="s">
        <v>222</v>
      </c>
      <c r="C82" s="54" t="s">
        <v>236</v>
      </c>
      <c r="D82" s="91" t="s">
        <v>481</v>
      </c>
      <c r="E82" s="17" t="str">
        <f t="shared" si="2"/>
        <v>"[CULTURAL &amp; JARGON RULE] If the language (" &amp; $B$6 &amp; ") is Portuguese, act like an 'Arquiteto de Software Sênior' using local jargon (e.g., 'subir pra produção', 'vai escalar?', 'casos extremos'). If Spanish, use Latin American tech terminology (e.g., 'subir a producción', '¿esto escala?', 'casos borde'). Match the cultural vibe of a strategic tech lead. | " &amp;</v>
      </c>
      <c r="F82" s="54" t="s">
        <v>224</v>
      </c>
    </row>
    <row r="83" spans="2:6">
      <c r="B83" s="54" t="s">
        <v>222</v>
      </c>
      <c r="C83" s="54" t="s">
        <v>237</v>
      </c>
      <c r="D83" s="91" t="s">
        <v>717</v>
      </c>
      <c r="E83" s="17" t="str">
        <f t="shared" si="2"/>
        <v>"[CONTEXT] You are reviewing the final implementation of a new feature for a " &amp; IF(UPPER(H9)="PROJECT", "PROJECT: " &amp; I9 &amp; ". Topics integrated: " &amp; A9 &amp; ". Business Goal: " &amp; J9, "TOPIC: " &amp; I9 &amp; ". Goal: " &amp; J9) &amp; " | " &amp;</v>
      </c>
      <c r="F83" s="54" t="s">
        <v>224</v>
      </c>
    </row>
    <row r="84" spans="2:6">
      <c r="B84" s="54" t="s">
        <v>222</v>
      </c>
      <c r="C84" s="54" t="s">
        <v>162</v>
      </c>
      <c r="D84" s="91" t="s">
        <v>482</v>
      </c>
      <c r="E84" s="17" t="str">
        <f t="shared" si="2"/>
        <v>"[TASK] Analyze the extension code. If they already anticipated the edge cases and scalability issues (e.g., using generators or async patterns), give them the 'Architect's Approval' and discuss a more advanced trade-off. Otherwise, follow the 2-PHASE MENTORING PROTOCOL | " &amp;</v>
      </c>
      <c r="F84" s="54" t="s">
        <v>224</v>
      </c>
    </row>
    <row r="85" spans="2:6">
      <c r="B85" s="54" t="s">
        <v>222</v>
      </c>
      <c r="C85" s="54" t="s">
        <v>229</v>
      </c>
      <c r="D85" s="91" t="s">
        <v>267</v>
      </c>
      <c r="E85" s="17" t="str">
        <f t="shared" si="2"/>
        <v>"[LIBRARY BEING LEARNED] " &amp; $I$3 &amp; " | " &amp;</v>
      </c>
      <c r="F85" s="54" t="s">
        <v>224</v>
      </c>
    </row>
    <row r="86" spans="2:6">
      <c r="B86" s="54" t="s">
        <v>222</v>
      </c>
      <c r="C86" s="54" t="s">
        <v>172</v>
      </c>
      <c r="D86" s="91" t="s">
        <v>254</v>
      </c>
      <c r="E86" s="17" t="str">
        <f t="shared" si="2"/>
        <v>"[LANGUAGE CONSISTENCY RULE] ALL output MUST be strictly in " &amp; $B$6 &amp; ". This includes translating ALL structural labels requested in this prompt (like 'Project', 'Objective', 'Support File', 'Code Planning', 'Libraries', 'Functional Structure', 'Friction Point', 'Expected Output', 'Code') into " &amp; $B$6 &amp; ". Do NOT mix languages. Only code and technical identifiers remain unchanged | " &amp; $AE$7 &amp; " | " &amp;</v>
      </c>
      <c r="F86" s="54" t="s">
        <v>224</v>
      </c>
    </row>
    <row r="87" spans="2:6">
      <c r="B87" s="54" t="s">
        <v>222</v>
      </c>
      <c r="C87" s="54" t="s">
        <v>491</v>
      </c>
      <c r="D87" s="91" t="s">
        <v>483</v>
      </c>
      <c r="E87" s="17" t="str">
        <f t="shared" si="2"/>
        <v>"[LANGUAGE SEED CONTEXT] " &amp; IF($AE$7 = "", "Language Seed Not Necessary", "You MUST strictly follow this seed context to enhance, adapt, and naturalize your tone, vocabulary, and instructional quality in " &amp; $B$6 &amp; ": " &amp; $AE$7) &amp; " | " &amp;</v>
      </c>
      <c r="F87" s="54" t="s">
        <v>224</v>
      </c>
    </row>
    <row r="88" spans="2:6">
      <c r="B88" s="54" t="s">
        <v>222</v>
      </c>
      <c r="C88" s="54" t="s">
        <v>215</v>
      </c>
      <c r="D88" s="91" t="s">
        <v>595</v>
      </c>
      <c r="E88" s="17" t="str">
        <f t="shared" si="2"/>
        <v>"[HEADER RULE - STRICT] You MUST start your entire response exactly with the following RAW markdown block (do NOT strip the '#' characters):" &amp; CHAR(10) &amp; "### 🚀 Elite Mentor Stage 5 | " &amp; IF(UPPER(H9)="PROJECT", "Project #", "Topic #") &amp; F9 &amp; " | Extend | " &amp; IF($I$3="", $I$2, $I$2&amp; " - " &amp;$I$3) &amp; " | 📊 Level: " &amp; G9 &amp; CHAR(10) &amp; "**" &amp; IF(UPPER(H9)="PROJECT", "Project", "Topic") &amp; ":** " &amp; I9 &amp; CHAR(10) &amp; "---" &amp; CHAR(10) &amp; " | " &amp;</v>
      </c>
      <c r="F88" s="54" t="s">
        <v>224</v>
      </c>
    </row>
    <row r="89" spans="2:6">
      <c r="B89" s="54" t="s">
        <v>223</v>
      </c>
      <c r="C89" s="54" t="s">
        <v>230</v>
      </c>
      <c r="D89" s="91"/>
      <c r="E89" s="17" t="str">
        <f t="shared" si="2"/>
        <v/>
      </c>
      <c r="F89" s="54" t="s">
        <v>224</v>
      </c>
    </row>
    <row r="90" spans="2:6">
      <c r="B90" s="54" t="s">
        <v>223</v>
      </c>
      <c r="C90" s="54" t="s">
        <v>663</v>
      </c>
      <c r="D90" s="91" t="str">
        <f>Variables!E57 &amp; " | " &amp; CHAR(34) &amp; " &amp;"</f>
        <v>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v>
      </c>
      <c r="E90" s="17" t="str">
        <f t="shared" si="2"/>
        <v>"[CODE_QUALITY_PROTOCOL] Code MUST follow mix format and idiomatic Elixir OTP style. Use snake_case for variables/functions/atoms, PascalCase for modules/structs, snake_case for files. NEVER leak global process state; enforce @spec/typespecs. Prioritize supervision trees, GenServer/DynamicSupervisor, robust process messaging, and fault-tolerant architectures. | " &amp;</v>
      </c>
      <c r="F90" s="54" t="s">
        <v>224</v>
      </c>
    </row>
    <row r="91" spans="2:6">
      <c r="B91" s="54" t="s">
        <v>271</v>
      </c>
      <c r="C91" s="54" t="s">
        <v>238</v>
      </c>
      <c r="D91" s="91" t="s">
        <v>484</v>
      </c>
      <c r="E91" s="17" t="str">
        <f t="shared" si="2"/>
        <v>"[EMPTY INPUT HANDLING - STRICT] If the student provided NO code and NO explanation: 1. STOP the 2-Phase protocol entirely. DO NOT output Phase 1, the Scroll Barrier, or Phase 2. 2. Greet the user (use their name if known, otherwise 'Dev'). 3. Use your Architect persona (e.g., 'I see the ticket is assigned, but where is the deliverable?' or 'I can't sign off on an empty PR for production'). 4. Firmly instruct them to reply with the code they added AND a brief explanation of how it meets the business requirement. 5. STRICT RULE: DO NOT hallucinate or invent code. End your response immediately after this message. | " &amp;</v>
      </c>
      <c r="F91" s="54" t="s">
        <v>224</v>
      </c>
    </row>
    <row r="92" spans="2:6">
      <c r="B92" s="54" t="s">
        <v>271</v>
      </c>
      <c r="C92" s="54" t="s">
        <v>240</v>
      </c>
      <c r="D92" s="91" t="s">
        <v>485</v>
      </c>
      <c r="E92" s="17" t="str">
        <f t="shared" si="2"/>
        <v>"[PHASE 1: SOCRATIC HINT &amp; NO KEYBOARD RULE - STRICT] 1. QUESTION CHECK: Answer any specific business or technical questions the student asked. 2. NO KEYBOARD RULE: You MUST NOT provide the corrected or refactored code block. Delay answers to force productive failure. 3. BUSINESS RISK ANALYSIS: Identify a potential 'Edge Case' or failure point (e.g., 'What happens if the API is down?' or 'What if the user input is empty?'). Use a business-related analogy. 4. You MUST include a section exactly titled 'Business Observations:' listing how the new feature affects the overall system stability. 5. You MUST include a section exactly titled 'Socratic Question:' asking how they would handle a specific failure scenario to eliminate Epistemic Debt. 6. You MUST include a section exactly titled 'Next Step:' suggesting an architectural pattern for robustness in Python (e.g., robust try/except handling, logging, custom exceptions, or task queues). | " &amp;</v>
      </c>
      <c r="F92" s="54" t="s">
        <v>224</v>
      </c>
    </row>
    <row r="93" spans="2:6">
      <c r="B93" s="54" t="s">
        <v>271</v>
      </c>
      <c r="C93" s="54" t="s">
        <v>241</v>
      </c>
      <c r="D93" s="91" t="s">
        <v>486</v>
      </c>
      <c r="E93" s="17" t="str">
        <f t="shared" si="2"/>
        <v>"[EXPLANATION GATE &amp; SCROLL BARRIER] After Phase 1, you MUST insert exactly this visual separator:" &amp; CHAR(10) &amp; "------------------------------------------------------------" &amp; CHAR(10) &amp; "🛑 THE EXPLANATION GATE 🛑" &amp; CHAR(10) &amp; "Before scrolling down to the final architectural review, articulate the TRADE-OFFS of your implementation. What happens when this feature faces extreme load? Pushing code without understanding scale builds Epistemic Debt." &amp; CHAR(10) &amp; "------------------------------------------------------------ | " &amp;</v>
      </c>
      <c r="F93" s="54" t="s">
        <v>224</v>
      </c>
    </row>
    <row r="94" spans="2:6">
      <c r="B94" s="54" t="s">
        <v>271</v>
      </c>
      <c r="C94" s="54" t="s">
        <v>487</v>
      </c>
      <c r="D94" s="91" t="s">
        <v>488</v>
      </c>
      <c r="E94" s="17" t="str">
        <f t="shared" si="2"/>
        <v>"[PHASE 2: FINAL REVIEW - STRICT] 1. STRICT RULE: DO NOT provide the full implementation of the code. The main prompt already does this. 2. THE ARCHITECT'S VERDICT: Provide high-level advice on how to make this feature 'Production Ready'. 3. RISK ASSESSMENT: List 2 things that could still go wrong in a high-traffic environment. 4. RECOGNITION: Recognize the effort and specifically mention one part of the logic that successfully meets the business goal. | " &amp;</v>
      </c>
      <c r="F94" s="54" t="s">
        <v>224</v>
      </c>
    </row>
    <row r="95" spans="2:6">
      <c r="B95" s="54" t="s">
        <v>271</v>
      </c>
      <c r="C95" s="54" t="s">
        <v>330</v>
      </c>
      <c r="D95" s="91" t="s">
        <v>489</v>
      </c>
      <c r="E95" s="17" t="str">
        <f t="shared" si="2"/>
        <v>"[FOOTER RULE] End your response with: '--- ⚡ *Coding5s Mentor System — Eliminating Epistemic Debt &amp; Shipping to Production*'",</v>
      </c>
      <c r="F95" s="54" t="s">
        <v>224</v>
      </c>
    </row>
    <row r="96" spans="2:6">
      <c r="B96" s="54"/>
      <c r="C96" s="54"/>
      <c r="D96" s="91"/>
      <c r="E96" s="89" t="s">
        <v>437</v>
      </c>
      <c r="F96" s="54" t="s">
        <v>224</v>
      </c>
    </row>
    <row r="97" spans="2:6">
      <c r="B97" s="54"/>
      <c r="C97" s="54"/>
      <c r="D97" s="91"/>
      <c r="E97" s="77" t="str">
        <f t="shared" ref="E97:E100" si="3">IF(D97="","",""""&amp;C97&amp;" "&amp;IF(C97="[FOOTER RULE - STRICT]",D97,IF(RIGHT(D97,6)=" | "&amp;CHAR(34)&amp;" &amp;",D97,D97&amp;" | "&amp;CHAR(34)&amp;" &amp;")))</f>
        <v/>
      </c>
      <c r="F97" s="54" t="s">
        <v>224</v>
      </c>
    </row>
    <row r="98" spans="2:6">
      <c r="B98" s="54"/>
      <c r="C98" s="54"/>
      <c r="D98" s="91"/>
      <c r="E98" s="77" t="str">
        <f t="shared" si="3"/>
        <v/>
      </c>
      <c r="F98" s="54" t="s">
        <v>224</v>
      </c>
    </row>
    <row r="99" spans="2:6">
      <c r="B99" s="54"/>
      <c r="C99" s="54"/>
      <c r="D99" s="91"/>
      <c r="E99" s="77" t="str">
        <f t="shared" si="3"/>
        <v/>
      </c>
      <c r="F99" s="54" t="s">
        <v>224</v>
      </c>
    </row>
    <row r="100" spans="2:6">
      <c r="B100" s="54"/>
      <c r="C100" s="54"/>
      <c r="D100" s="91"/>
      <c r="E100" s="77" t="str">
        <f t="shared" si="3"/>
        <v/>
      </c>
      <c r="F100" s="54" t="s">
        <v>224</v>
      </c>
    </row>
  </sheetData>
  <conditionalFormatting sqref="B1:B1048576">
    <cfRule type="cellIs" dxfId="11" priority="10" operator="equal">
      <formula>"The Immutable Kernel"</formula>
    </cfRule>
    <cfRule type="cellIs" dxfId="10" priority="11" operator="equal">
      <formula>"Paradigm &amp; Ecosystem"</formula>
    </cfRule>
    <cfRule type="cellIs" dxfId="9" priority="12" operator="equal">
      <formula>"Global Variables &amp; Configuration"</formula>
    </cfRule>
  </conditionalFormatting>
  <conditionalFormatting sqref="C4:C42">
    <cfRule type="expression" dxfId="8" priority="7">
      <formula>$B4="The Immutable Kernel"</formula>
    </cfRule>
    <cfRule type="expression" dxfId="7" priority="8">
      <formula>$B4="Paradigm &amp; Ecosystem"</formula>
    </cfRule>
    <cfRule type="expression" dxfId="6" priority="9">
      <formula>$B4="Global Variables &amp; Configuration"</formula>
    </cfRule>
  </conditionalFormatting>
  <conditionalFormatting sqref="C47:C76">
    <cfRule type="expression" dxfId="5" priority="4">
      <formula>$B47="The Immutable Kernel"</formula>
    </cfRule>
    <cfRule type="expression" dxfId="4" priority="5">
      <formula>$B47="Paradigm &amp; Ecosystem"</formula>
    </cfRule>
    <cfRule type="expression" dxfId="3" priority="6">
      <formula>$B47="Global Variables &amp; Configuration"</formula>
    </cfRule>
  </conditionalFormatting>
  <conditionalFormatting sqref="C81:C100">
    <cfRule type="expression" dxfId="2" priority="1">
      <formula>$B81="The Immutable Kernel"</formula>
    </cfRule>
    <cfRule type="expression" dxfId="1" priority="2">
      <formula>$B81="Paradigm &amp; Ecosystem"</formula>
    </cfRule>
    <cfRule type="expression" dxfId="0" priority="3">
      <formula>$B81="Global Variables &amp; Configuration"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967FC-E7C3-4DC7-B5E1-4045F280E864}">
  <dimension ref="B2:E19"/>
  <sheetViews>
    <sheetView workbookViewId="0">
      <selection activeCell="E6" sqref="E6"/>
    </sheetView>
  </sheetViews>
  <sheetFormatPr defaultRowHeight="15"/>
  <cols>
    <col min="2" max="2" width="6.42578125" customWidth="1"/>
    <col min="3" max="3" width="34.5703125" bestFit="1" customWidth="1"/>
    <col min="4" max="4" width="8.7109375" bestFit="1" customWidth="1"/>
    <col min="5" max="5" width="152.85546875" bestFit="1" customWidth="1"/>
  </cols>
  <sheetData>
    <row r="2" spans="2:5">
      <c r="B2" t="s">
        <v>550</v>
      </c>
      <c r="C2" t="s">
        <v>521</v>
      </c>
      <c r="D2" t="s">
        <v>23</v>
      </c>
      <c r="E2" t="s">
        <v>551</v>
      </c>
    </row>
    <row r="3" spans="2:5">
      <c r="B3" t="s">
        <v>522</v>
      </c>
      <c r="C3" t="s">
        <v>18</v>
      </c>
      <c r="D3" t="s">
        <v>523</v>
      </c>
      <c r="E3" t="s">
        <v>552</v>
      </c>
    </row>
    <row r="4" spans="2:5">
      <c r="B4" t="s">
        <v>524</v>
      </c>
      <c r="C4" t="s">
        <v>542</v>
      </c>
      <c r="D4" t="s">
        <v>523</v>
      </c>
      <c r="E4" t="s">
        <v>553</v>
      </c>
    </row>
    <row r="5" spans="2:5">
      <c r="B5" t="s">
        <v>525</v>
      </c>
      <c r="C5" t="s">
        <v>21</v>
      </c>
      <c r="D5" t="s">
        <v>523</v>
      </c>
      <c r="E5" t="s">
        <v>554</v>
      </c>
    </row>
    <row r="6" spans="2:5">
      <c r="B6" t="s">
        <v>526</v>
      </c>
      <c r="C6" t="s">
        <v>22</v>
      </c>
      <c r="D6" t="s">
        <v>523</v>
      </c>
      <c r="E6" t="s">
        <v>555</v>
      </c>
    </row>
    <row r="7" spans="2:5">
      <c r="B7" t="s">
        <v>527</v>
      </c>
      <c r="C7" t="s">
        <v>23</v>
      </c>
      <c r="D7" t="s">
        <v>523</v>
      </c>
      <c r="E7" t="s">
        <v>556</v>
      </c>
    </row>
    <row r="8" spans="2:5">
      <c r="B8" t="s">
        <v>528</v>
      </c>
      <c r="C8" t="s">
        <v>24</v>
      </c>
      <c r="D8" t="s">
        <v>523</v>
      </c>
      <c r="E8" t="s">
        <v>557</v>
      </c>
    </row>
    <row r="9" spans="2:5">
      <c r="B9" t="s">
        <v>529</v>
      </c>
      <c r="C9" t="s">
        <v>25</v>
      </c>
      <c r="D9" t="s">
        <v>523</v>
      </c>
      <c r="E9" t="s">
        <v>558</v>
      </c>
    </row>
    <row r="10" spans="2:5">
      <c r="B10" t="s">
        <v>530</v>
      </c>
      <c r="C10" t="s">
        <v>45</v>
      </c>
      <c r="D10" t="s">
        <v>531</v>
      </c>
      <c r="E10" t="s">
        <v>559</v>
      </c>
    </row>
    <row r="11" spans="2:5">
      <c r="B11" t="s">
        <v>532</v>
      </c>
      <c r="C11" t="s">
        <v>533</v>
      </c>
      <c r="D11" t="s">
        <v>531</v>
      </c>
      <c r="E11" t="s">
        <v>560</v>
      </c>
    </row>
    <row r="12" spans="2:5">
      <c r="B12" t="s">
        <v>534</v>
      </c>
      <c r="C12" t="s">
        <v>543</v>
      </c>
      <c r="D12" t="s">
        <v>531</v>
      </c>
      <c r="E12" t="s">
        <v>561</v>
      </c>
    </row>
    <row r="13" spans="2:5">
      <c r="B13" t="s">
        <v>535</v>
      </c>
      <c r="C13" t="s">
        <v>498</v>
      </c>
      <c r="D13" t="s">
        <v>531</v>
      </c>
      <c r="E13" t="s">
        <v>562</v>
      </c>
    </row>
    <row r="14" spans="2:5">
      <c r="B14" t="s">
        <v>536</v>
      </c>
      <c r="C14" t="s">
        <v>544</v>
      </c>
      <c r="D14" t="s">
        <v>523</v>
      </c>
      <c r="E14" t="s">
        <v>563</v>
      </c>
    </row>
    <row r="15" spans="2:5">
      <c r="B15" t="s">
        <v>537</v>
      </c>
      <c r="C15" t="s">
        <v>545</v>
      </c>
      <c r="D15" t="s">
        <v>523</v>
      </c>
      <c r="E15" t="s">
        <v>564</v>
      </c>
    </row>
    <row r="16" spans="2:5">
      <c r="B16" t="s">
        <v>538</v>
      </c>
      <c r="C16" t="s">
        <v>546</v>
      </c>
      <c r="D16" t="s">
        <v>523</v>
      </c>
      <c r="E16" t="s">
        <v>565</v>
      </c>
    </row>
    <row r="17" spans="2:5">
      <c r="B17" t="s">
        <v>539</v>
      </c>
      <c r="C17" t="s">
        <v>547</v>
      </c>
      <c r="D17" t="s">
        <v>523</v>
      </c>
      <c r="E17" t="s">
        <v>566</v>
      </c>
    </row>
    <row r="18" spans="2:5">
      <c r="B18" t="s">
        <v>540</v>
      </c>
      <c r="C18" t="s">
        <v>548</v>
      </c>
      <c r="D18" t="s">
        <v>523</v>
      </c>
      <c r="E18" t="s">
        <v>567</v>
      </c>
    </row>
    <row r="19" spans="2:5">
      <c r="B19" t="s">
        <v>541</v>
      </c>
      <c r="C19" t="s">
        <v>549</v>
      </c>
      <c r="D19" t="s">
        <v>523</v>
      </c>
      <c r="E19" t="s">
        <v>568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F7C0CD-3B2A-4DA0-A954-04B702664FC8}">
  <dimension ref="B2:K25"/>
  <sheetViews>
    <sheetView showGridLines="0" workbookViewId="0">
      <selection activeCell="A26" sqref="A26"/>
    </sheetView>
  </sheetViews>
  <sheetFormatPr defaultRowHeight="15"/>
  <cols>
    <col min="1" max="1" width="3.140625" customWidth="1"/>
  </cols>
  <sheetData>
    <row r="2" spans="2:11">
      <c r="B2" s="105" t="s">
        <v>502</v>
      </c>
      <c r="C2" s="106"/>
      <c r="D2" s="106"/>
      <c r="E2" s="106"/>
      <c r="F2" s="106"/>
      <c r="G2" s="106"/>
      <c r="H2" s="106"/>
      <c r="I2" s="106"/>
      <c r="J2" s="106"/>
      <c r="K2" s="107"/>
    </row>
    <row r="3" spans="2:11">
      <c r="B3" s="108"/>
      <c r="K3" s="109"/>
    </row>
    <row r="4" spans="2:11">
      <c r="B4" s="108" t="s">
        <v>503</v>
      </c>
      <c r="K4" s="109"/>
    </row>
    <row r="5" spans="2:11">
      <c r="B5" s="108"/>
      <c r="K5" s="109"/>
    </row>
    <row r="6" spans="2:11">
      <c r="B6" s="110" t="s">
        <v>504</v>
      </c>
      <c r="K6" s="109"/>
    </row>
    <row r="7" spans="2:11">
      <c r="B7" s="110" t="s">
        <v>505</v>
      </c>
      <c r="K7" s="109"/>
    </row>
    <row r="8" spans="2:11">
      <c r="B8" s="110" t="s">
        <v>506</v>
      </c>
      <c r="K8" s="109"/>
    </row>
    <row r="9" spans="2:11">
      <c r="B9" s="110" t="s">
        <v>507</v>
      </c>
      <c r="K9" s="109"/>
    </row>
    <row r="10" spans="2:11">
      <c r="B10" s="110" t="s">
        <v>508</v>
      </c>
      <c r="K10" s="109"/>
    </row>
    <row r="11" spans="2:11">
      <c r="B11" s="110" t="s">
        <v>509</v>
      </c>
      <c r="K11" s="109"/>
    </row>
    <row r="12" spans="2:11">
      <c r="B12" s="110"/>
      <c r="K12" s="109"/>
    </row>
    <row r="13" spans="2:11">
      <c r="B13" s="110" t="s">
        <v>510</v>
      </c>
      <c r="K13" s="109"/>
    </row>
    <row r="14" spans="2:11">
      <c r="B14" s="110" t="s">
        <v>511</v>
      </c>
      <c r="K14" s="109"/>
    </row>
    <row r="15" spans="2:11">
      <c r="B15" s="110"/>
      <c r="K15" s="109"/>
    </row>
    <row r="16" spans="2:11">
      <c r="B16" s="110" t="s">
        <v>512</v>
      </c>
      <c r="K16" s="109"/>
    </row>
    <row r="17" spans="2:11">
      <c r="B17" s="110" t="s">
        <v>513</v>
      </c>
      <c r="K17" s="109"/>
    </row>
    <row r="18" spans="2:11">
      <c r="B18" s="110" t="s">
        <v>514</v>
      </c>
      <c r="K18" s="109"/>
    </row>
    <row r="19" spans="2:11">
      <c r="B19" s="110" t="s">
        <v>515</v>
      </c>
      <c r="K19" s="109"/>
    </row>
    <row r="20" spans="2:11">
      <c r="B20" s="110" t="s">
        <v>516</v>
      </c>
      <c r="K20" s="109"/>
    </row>
    <row r="21" spans="2:11">
      <c r="B21" s="110" t="s">
        <v>517</v>
      </c>
      <c r="K21" s="109"/>
    </row>
    <row r="22" spans="2:11">
      <c r="B22" s="110" t="s">
        <v>518</v>
      </c>
      <c r="K22" s="109"/>
    </row>
    <row r="23" spans="2:11">
      <c r="B23" s="110"/>
      <c r="K23" s="109"/>
    </row>
    <row r="24" spans="2:11">
      <c r="B24" s="110" t="s">
        <v>519</v>
      </c>
      <c r="D24" s="114" t="s">
        <v>520</v>
      </c>
      <c r="K24" s="109"/>
    </row>
    <row r="25" spans="2:11">
      <c r="B25" s="111" t="s">
        <v>708</v>
      </c>
      <c r="C25" s="112"/>
      <c r="D25" s="135" t="s">
        <v>709</v>
      </c>
      <c r="E25" s="112"/>
      <c r="F25" s="112"/>
      <c r="G25" s="112"/>
      <c r="H25" s="112"/>
      <c r="I25" s="112"/>
      <c r="J25" s="112"/>
      <c r="K25" s="113"/>
    </row>
  </sheetData>
  <hyperlinks>
    <hyperlink ref="D24" r:id="rId1" xr:uid="{C1585F6D-E84E-4BDD-BFC6-8C9DE04D69FF}"/>
    <hyperlink ref="D25" r:id="rId2" xr:uid="{A95008B9-006C-4ED2-8260-C9DECD11B08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58C24-33BE-44DB-863E-82947C8C3CEA}">
  <dimension ref="A1:A16"/>
  <sheetViews>
    <sheetView showGridLines="0" workbookViewId="0">
      <selection activeCell="F14" sqref="F14"/>
    </sheetView>
  </sheetViews>
  <sheetFormatPr defaultRowHeight="15"/>
  <sheetData>
    <row r="1" spans="1:1" ht="18">
      <c r="A1" s="115" t="s">
        <v>569</v>
      </c>
    </row>
    <row r="3" spans="1:1">
      <c r="A3" t="s">
        <v>570</v>
      </c>
    </row>
    <row r="4" spans="1:1">
      <c r="A4" s="116"/>
    </row>
    <row r="5" spans="1:1">
      <c r="A5" s="117" t="s">
        <v>571</v>
      </c>
    </row>
    <row r="6" spans="1:1">
      <c r="A6" s="118"/>
    </row>
    <row r="7" spans="1:1">
      <c r="A7" s="119" t="s">
        <v>572</v>
      </c>
    </row>
    <row r="8" spans="1:1">
      <c r="A8" s="119" t="s">
        <v>573</v>
      </c>
    </row>
    <row r="9" spans="1:1">
      <c r="A9" s="116"/>
    </row>
    <row r="10" spans="1:1">
      <c r="A10" s="117" t="s">
        <v>574</v>
      </c>
    </row>
    <row r="11" spans="1:1">
      <c r="A11" s="118"/>
    </row>
    <row r="12" spans="1:1">
      <c r="A12" s="118" t="s">
        <v>575</v>
      </c>
    </row>
    <row r="13" spans="1:1">
      <c r="A13" s="118" t="s">
        <v>576</v>
      </c>
    </row>
    <row r="14" spans="1:1">
      <c r="A14" s="118" t="s">
        <v>577</v>
      </c>
    </row>
    <row r="15" spans="1:1">
      <c r="A15" s="116"/>
    </row>
    <row r="16" spans="1:1">
      <c r="A16" s="117"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PromptGenerator</vt:lpstr>
      <vt:lpstr>HowToStudy</vt:lpstr>
      <vt:lpstr>Variables</vt:lpstr>
      <vt:lpstr>FGen_S1</vt:lpstr>
      <vt:lpstr>FGen_S2</vt:lpstr>
      <vt:lpstr>FGen_S3</vt:lpstr>
      <vt:lpstr>FGen_S4</vt:lpstr>
      <vt:lpstr>FGen_S5</vt:lpstr>
      <vt:lpstr>CellReference</vt:lpstr>
      <vt:lpstr>License</vt:lpstr>
      <vt:lpstr>HowTo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 Barrios</dc:creator>
  <cp:lastModifiedBy>Wil Barrios</cp:lastModifiedBy>
  <dcterms:created xsi:type="dcterms:W3CDTF">2026-06-26T06:07:42Z</dcterms:created>
  <dcterms:modified xsi:type="dcterms:W3CDTF">2026-08-16T23:20:39Z</dcterms:modified>
</cp:coreProperties>
</file>