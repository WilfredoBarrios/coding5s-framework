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elixir\"/>
    </mc:Choice>
  </mc:AlternateContent>
  <xr:revisionPtr revIDLastSave="0" documentId="13_ncr:1_{D03A6DF1-D331-46E0-AB07-5FE1F247C82F}"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580" yWindow="975" windowWidth="26115" windowHeight="1492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37" i="1" l="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5" i="1"/>
  <c r="AD17" i="1"/>
  <c r="AD18" i="1"/>
  <c r="AD19" i="1"/>
  <c r="AD20" i="1"/>
  <c r="AD21" i="1"/>
  <c r="AD22" i="1"/>
  <c r="AD23" i="1"/>
  <c r="AD25" i="1"/>
  <c r="AD26" i="1"/>
  <c r="AD27" i="1"/>
  <c r="AD28" i="1"/>
  <c r="AD29" i="1"/>
  <c r="AD30" i="1"/>
  <c r="AD31" i="1"/>
  <c r="AD33" i="1"/>
  <c r="AD34" i="1"/>
  <c r="AD35"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5" i="1"/>
  <c r="AC17" i="1"/>
  <c r="AC18" i="1"/>
  <c r="AC19" i="1"/>
  <c r="AC20" i="1"/>
  <c r="AC21" i="1"/>
  <c r="AC22" i="1"/>
  <c r="AC23" i="1"/>
  <c r="AC25" i="1"/>
  <c r="AC26" i="1"/>
  <c r="AC27" i="1"/>
  <c r="AC28" i="1"/>
  <c r="AC29" i="1"/>
  <c r="AC30" i="1"/>
  <c r="AC31" i="1"/>
  <c r="AC33" i="1"/>
  <c r="AC34" i="1"/>
  <c r="AC35"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5" i="1"/>
  <c r="AB17" i="1"/>
  <c r="AB18" i="1"/>
  <c r="AB19" i="1"/>
  <c r="AB20" i="1"/>
  <c r="AB21" i="1"/>
  <c r="AB22" i="1"/>
  <c r="AB23" i="1"/>
  <c r="AB25" i="1"/>
  <c r="AB26" i="1"/>
  <c r="AB27" i="1"/>
  <c r="AB28" i="1"/>
  <c r="AB29" i="1"/>
  <c r="AB30" i="1"/>
  <c r="AB31" i="1"/>
  <c r="AB33" i="1"/>
  <c r="AB34" i="1"/>
  <c r="AB35"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4" i="1"/>
  <c r="AA15" i="1"/>
  <c r="AA17" i="1"/>
  <c r="AA18" i="1"/>
  <c r="AA19" i="1"/>
  <c r="AA20" i="1"/>
  <c r="AA21" i="1"/>
  <c r="AA22" i="1"/>
  <c r="AA23" i="1"/>
  <c r="AA25" i="1"/>
  <c r="AA26" i="1"/>
  <c r="AA27" i="1"/>
  <c r="AA28" i="1"/>
  <c r="AA29" i="1"/>
  <c r="AA30" i="1"/>
  <c r="AA31" i="1"/>
  <c r="AA33" i="1"/>
  <c r="AA34" i="1"/>
  <c r="AA35"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10" i="1"/>
  <c r="Z11" i="1"/>
  <c r="Z12" i="1"/>
  <c r="Z13" i="1"/>
  <c r="Z14" i="1"/>
  <c r="Z15" i="1"/>
  <c r="Z17" i="1"/>
  <c r="Z18" i="1"/>
  <c r="Z19" i="1"/>
  <c r="Z20" i="1"/>
  <c r="Z21" i="1"/>
  <c r="Z22" i="1"/>
  <c r="Z23" i="1"/>
  <c r="Z25" i="1"/>
  <c r="Z26" i="1"/>
  <c r="Z27" i="1"/>
  <c r="Z28" i="1"/>
  <c r="Z29" i="1"/>
  <c r="Z30" i="1"/>
  <c r="Z31" i="1"/>
  <c r="Z33" i="1"/>
  <c r="Z34" i="1"/>
  <c r="Z35"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E54" i="16"/>
  <c r="E55" i="16"/>
  <c r="E56" i="16"/>
  <c r="E59" i="16"/>
  <c r="E60" i="16"/>
  <c r="E61" i="16"/>
  <c r="E62" i="16"/>
  <c r="E63" i="16"/>
  <c r="E64" i="16"/>
  <c r="E65" i="16"/>
  <c r="E66" i="16"/>
  <c r="E67" i="16"/>
  <c r="E68" i="16"/>
  <c r="E69" i="16"/>
  <c r="E70" i="16"/>
  <c r="E71" i="16"/>
  <c r="E72" i="16"/>
  <c r="E73" i="16"/>
  <c r="E74" i="16"/>
  <c r="E75" i="16"/>
  <c r="E76" i="16"/>
  <c r="D53" i="16"/>
  <c r="E53" i="16" s="1"/>
  <c r="D9" i="2"/>
  <c r="D10" i="15"/>
  <c r="D10" i="16"/>
  <c r="D18" i="15"/>
  <c r="D17" i="15"/>
  <c r="D16" i="15"/>
  <c r="D19" i="15"/>
  <c r="D94" i="2"/>
  <c r="D93" i="2"/>
  <c r="D66" i="2"/>
  <c r="D67" i="2"/>
  <c r="D65" i="2"/>
  <c r="D59" i="2"/>
  <c r="D19" i="2"/>
  <c r="D20" i="2"/>
  <c r="D18"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E58" i="16" s="1"/>
  <c r="D57" i="16"/>
  <c r="E57" i="16" s="1"/>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X10" i="1" l="1"/>
  <c r="X22" i="1"/>
  <c r="X34" i="1"/>
  <c r="W10" i="1"/>
  <c r="W22" i="1"/>
  <c r="W35" i="1"/>
  <c r="U11" i="1"/>
  <c r="U23" i="1"/>
  <c r="U35" i="1"/>
  <c r="T11" i="1"/>
  <c r="T23" i="1"/>
  <c r="R13" i="1"/>
  <c r="R25" i="1"/>
  <c r="Q13" i="1"/>
  <c r="Q25" i="1"/>
  <c r="O13" i="1"/>
  <c r="O25" i="1"/>
  <c r="N13" i="1"/>
  <c r="N25" i="1"/>
  <c r="L13" i="1"/>
  <c r="K25" i="1"/>
  <c r="X11" i="1"/>
  <c r="X23" i="1"/>
  <c r="X35" i="1"/>
  <c r="W11" i="1"/>
  <c r="W23" i="1"/>
  <c r="U12" i="1"/>
  <c r="U24" i="1"/>
  <c r="U36" i="1"/>
  <c r="AC24" i="1"/>
  <c r="T24" i="1" s="1"/>
  <c r="AC36" i="1"/>
  <c r="T36" i="1" s="1"/>
  <c r="T12" i="1"/>
  <c r="R14" i="1"/>
  <c r="R26" i="1"/>
  <c r="Q14" i="1"/>
  <c r="Q26" i="1"/>
  <c r="O14" i="1"/>
  <c r="O26" i="1"/>
  <c r="N14" i="1"/>
  <c r="N26" i="1"/>
  <c r="L14" i="1"/>
  <c r="L26" i="1"/>
  <c r="K14" i="1"/>
  <c r="K26" i="1"/>
  <c r="X12" i="1"/>
  <c r="X24" i="1"/>
  <c r="X36" i="1"/>
  <c r="AD24" i="1"/>
  <c r="W24" i="1" s="1"/>
  <c r="AD36" i="1"/>
  <c r="W36" i="1" s="1"/>
  <c r="W12" i="1"/>
  <c r="U13" i="1"/>
  <c r="U25" i="1"/>
  <c r="T13" i="1"/>
  <c r="T25" i="1"/>
  <c r="R15" i="1"/>
  <c r="R27" i="1"/>
  <c r="Q15" i="1"/>
  <c r="Q27" i="1"/>
  <c r="O15" i="1"/>
  <c r="O27" i="1"/>
  <c r="N15" i="1"/>
  <c r="N27" i="1"/>
  <c r="L15" i="1"/>
  <c r="L27" i="1"/>
  <c r="K15" i="1"/>
  <c r="K27" i="1"/>
  <c r="X13" i="1"/>
  <c r="X25" i="1"/>
  <c r="W13" i="1"/>
  <c r="W25" i="1"/>
  <c r="U14" i="1"/>
  <c r="U26" i="1"/>
  <c r="T14" i="1"/>
  <c r="T26" i="1"/>
  <c r="R16" i="1"/>
  <c r="R28" i="1"/>
  <c r="AB16" i="1"/>
  <c r="Q16" i="1" s="1"/>
  <c r="Q28" i="1"/>
  <c r="O16" i="1"/>
  <c r="O28" i="1"/>
  <c r="AA16" i="1"/>
  <c r="N16" i="1" s="1"/>
  <c r="N28" i="1"/>
  <c r="L16" i="1"/>
  <c r="L28" i="1"/>
  <c r="Z16" i="1"/>
  <c r="K16" i="1" s="1"/>
  <c r="K28" i="1"/>
  <c r="Z32" i="1"/>
  <c r="K32" i="1" s="1"/>
  <c r="L21" i="1"/>
  <c r="K33" i="1"/>
  <c r="X14" i="1"/>
  <c r="X26" i="1"/>
  <c r="W14" i="1"/>
  <c r="W26" i="1"/>
  <c r="U15" i="1"/>
  <c r="U27" i="1"/>
  <c r="T15" i="1"/>
  <c r="T27" i="1"/>
  <c r="R17" i="1"/>
  <c r="R29" i="1"/>
  <c r="Q17" i="1"/>
  <c r="Q29" i="1"/>
  <c r="O17" i="1"/>
  <c r="O29" i="1"/>
  <c r="N17" i="1"/>
  <c r="N29" i="1"/>
  <c r="L17" i="1"/>
  <c r="L29" i="1"/>
  <c r="K17" i="1"/>
  <c r="K29" i="1"/>
  <c r="N33" i="1"/>
  <c r="K34" i="1"/>
  <c r="X15" i="1"/>
  <c r="X27" i="1"/>
  <c r="W15" i="1"/>
  <c r="W27" i="1"/>
  <c r="U16" i="1"/>
  <c r="U28" i="1"/>
  <c r="AC16" i="1"/>
  <c r="T16" i="1" s="1"/>
  <c r="T28" i="1"/>
  <c r="R18" i="1"/>
  <c r="R30" i="1"/>
  <c r="Q18" i="1"/>
  <c r="Q30" i="1"/>
  <c r="O18" i="1"/>
  <c r="O30" i="1"/>
  <c r="N18" i="1"/>
  <c r="N30" i="1"/>
  <c r="L18" i="1"/>
  <c r="L30" i="1"/>
  <c r="K18" i="1"/>
  <c r="K30" i="1"/>
  <c r="K31" i="1"/>
  <c r="K11" i="1"/>
  <c r="X16" i="1"/>
  <c r="X28" i="1"/>
  <c r="AD16" i="1"/>
  <c r="W16" i="1" s="1"/>
  <c r="W28" i="1"/>
  <c r="U17" i="1"/>
  <c r="U29" i="1"/>
  <c r="T17" i="1"/>
  <c r="T29" i="1"/>
  <c r="R19" i="1"/>
  <c r="R31" i="1"/>
  <c r="Q19" i="1"/>
  <c r="Q31" i="1"/>
  <c r="O19" i="1"/>
  <c r="O31" i="1"/>
  <c r="N19" i="1"/>
  <c r="N31" i="1"/>
  <c r="L19" i="1"/>
  <c r="L31" i="1"/>
  <c r="K19" i="1"/>
  <c r="N9" i="1"/>
  <c r="K9" i="1"/>
  <c r="X17" i="1"/>
  <c r="X29" i="1"/>
  <c r="W17" i="1"/>
  <c r="W29" i="1"/>
  <c r="U18" i="1"/>
  <c r="U30" i="1"/>
  <c r="T18" i="1"/>
  <c r="T30" i="1"/>
  <c r="R20" i="1"/>
  <c r="R32" i="1"/>
  <c r="AB32" i="1"/>
  <c r="Q32" i="1" s="1"/>
  <c r="Q20" i="1"/>
  <c r="O20" i="1"/>
  <c r="O32" i="1"/>
  <c r="AA32" i="1"/>
  <c r="N32" i="1" s="1"/>
  <c r="N20" i="1"/>
  <c r="L20" i="1"/>
  <c r="L32" i="1"/>
  <c r="K20" i="1"/>
  <c r="L9" i="1"/>
  <c r="X18" i="1"/>
  <c r="X30" i="1"/>
  <c r="W18" i="1"/>
  <c r="W30" i="1"/>
  <c r="U19" i="1"/>
  <c r="U31" i="1"/>
  <c r="T19" i="1"/>
  <c r="T31" i="1"/>
  <c r="T9" i="1"/>
  <c r="R21" i="1"/>
  <c r="R33" i="1"/>
  <c r="R9" i="1"/>
  <c r="Q21" i="1"/>
  <c r="Q33" i="1"/>
  <c r="Q9" i="1"/>
  <c r="O21" i="1"/>
  <c r="O33" i="1"/>
  <c r="O9" i="1"/>
  <c r="N21" i="1"/>
  <c r="L33" i="1"/>
  <c r="K21" i="1"/>
  <c r="K22" i="1"/>
  <c r="K23" i="1"/>
  <c r="X19" i="1"/>
  <c r="X31" i="1"/>
  <c r="W19" i="1"/>
  <c r="W31" i="1"/>
  <c r="U20" i="1"/>
  <c r="U32" i="1"/>
  <c r="AC32" i="1"/>
  <c r="T32" i="1" s="1"/>
  <c r="T20" i="1"/>
  <c r="T33" i="1"/>
  <c r="R10" i="1"/>
  <c r="R22" i="1"/>
  <c r="R34" i="1"/>
  <c r="Q10" i="1"/>
  <c r="Q22" i="1"/>
  <c r="Q34" i="1"/>
  <c r="O10" i="1"/>
  <c r="O22" i="1"/>
  <c r="O34" i="1"/>
  <c r="N10" i="1"/>
  <c r="N22" i="1"/>
  <c r="N34" i="1"/>
  <c r="L10" i="1"/>
  <c r="L22" i="1"/>
  <c r="L34" i="1"/>
  <c r="K10" i="1"/>
  <c r="K35" i="1"/>
  <c r="K13" i="1"/>
  <c r="X20" i="1"/>
  <c r="X32" i="1"/>
  <c r="AD32" i="1"/>
  <c r="W32" i="1" s="1"/>
  <c r="W20" i="1"/>
  <c r="W33" i="1"/>
  <c r="W9" i="1"/>
  <c r="U21" i="1"/>
  <c r="U33" i="1"/>
  <c r="U9" i="1"/>
  <c r="T21" i="1"/>
  <c r="T34" i="1"/>
  <c r="R11" i="1"/>
  <c r="R23" i="1"/>
  <c r="R35" i="1"/>
  <c r="Q11" i="1"/>
  <c r="Q23" i="1"/>
  <c r="Q35" i="1"/>
  <c r="O11" i="1"/>
  <c r="O23" i="1"/>
  <c r="O35" i="1"/>
  <c r="N11" i="1"/>
  <c r="N23" i="1"/>
  <c r="N35" i="1"/>
  <c r="L11" i="1"/>
  <c r="L23" i="1"/>
  <c r="L35" i="1"/>
  <c r="X21" i="1"/>
  <c r="X33" i="1"/>
  <c r="X9" i="1"/>
  <c r="W21" i="1"/>
  <c r="W34" i="1"/>
  <c r="U10" i="1"/>
  <c r="U22" i="1"/>
  <c r="U34" i="1"/>
  <c r="T10" i="1"/>
  <c r="T22" i="1"/>
  <c r="T35" i="1"/>
  <c r="R12" i="1"/>
  <c r="R24" i="1"/>
  <c r="R36" i="1"/>
  <c r="AB24" i="1"/>
  <c r="Q24" i="1" s="1"/>
  <c r="AB36" i="1"/>
  <c r="Q36" i="1" s="1"/>
  <c r="Q12" i="1"/>
  <c r="O12" i="1"/>
  <c r="O24" i="1"/>
  <c r="O36" i="1"/>
  <c r="AA24" i="1"/>
  <c r="N24" i="1" s="1"/>
  <c r="AA36" i="1"/>
  <c r="N36" i="1" s="1"/>
  <c r="N12" i="1"/>
  <c r="L12" i="1"/>
  <c r="L24" i="1"/>
  <c r="L36" i="1"/>
  <c r="Z24" i="1"/>
  <c r="K24" i="1" s="1"/>
  <c r="Z36" i="1"/>
  <c r="K36" i="1" s="1"/>
  <c r="K12" i="1"/>
  <c r="L25" i="1"/>
  <c r="L1" i="1"/>
  <c r="B50" i="1"/>
  <c r="B51" i="1" s="1"/>
  <c r="B52" i="1" s="1"/>
  <c r="B53" i="1" s="1"/>
  <c r="B54" i="1" s="1"/>
  <c r="B55" i="1" s="1"/>
  <c r="B56" i="1" s="1"/>
  <c r="B57" i="1" l="1"/>
  <c r="B58" i="1" s="1"/>
  <c r="B59" i="1" s="1"/>
  <c r="B60" i="1" s="1"/>
  <c r="B61" i="1" s="1"/>
  <c r="B62" i="1" s="1"/>
  <c r="B63" i="1" s="1"/>
  <c r="B64" i="1" s="1"/>
  <c r="A17" i="1" a="1"/>
  <c r="A17" i="1" s="1"/>
  <c r="A35" i="1" a="1"/>
  <c r="A35" i="1" s="1"/>
  <c r="A26" i="1" a="1"/>
  <c r="A26" i="1" s="1"/>
  <c r="A34" i="1" a="1"/>
  <c r="A34" i="1" s="1"/>
  <c r="A25" i="1" a="1"/>
  <c r="A25" i="1" s="1"/>
  <c r="A50" i="1" a="1"/>
  <c r="A50" i="1" s="1"/>
  <c r="A42" i="1" a="1"/>
  <c r="A42" i="1" s="1"/>
  <c r="A47" i="1" a="1"/>
  <c r="A47" i="1" s="1"/>
  <c r="A55" i="1" a="1"/>
  <c r="A55" i="1" s="1"/>
  <c r="A66" i="1" a="1"/>
  <c r="A66" i="1" s="1"/>
  <c r="A85" i="1" a="1"/>
  <c r="A85"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36" i="1" s="1" a="1"/>
  <c r="A36" i="1" s="1"/>
  <c r="A96" i="1" a="1"/>
  <c r="A96" i="1" s="1"/>
  <c r="A113" i="1" a="1"/>
  <c r="A113" i="1" s="1"/>
  <c r="A117" i="1" l="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<sst xmlns="http://schemas.openxmlformats.org/spreadsheetml/2006/main" count="2463" uniqueCount="835">
  <si>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</si>
  <si>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</si>
  <si>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</si>
  <si>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</si>
  <si>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</si>
  <si>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</si>
  <si>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</si>
  <si>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</si>
  <si>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</si>
  <si>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</si>
  <si>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</si>
  <si>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</si>
  <si>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</si>
  <si>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</si>
  <si>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</si>
  <si>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</si>
  <si>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</si>
  <si>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</si>
  <si>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</si>
  <si>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</si>
  <si>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</si>
  <si>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</si>
  <si>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</si>
  <si>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</si>
  <si>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</si>
  <si>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</si>
  <si>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</si>
  <si>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</si>
  <si>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</si>
  <si>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</si>
  <si>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</si>
  <si>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</si>
  <si>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</si>
  <si>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</si>
  <si>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</si>
  <si>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</si>
  <si>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</si>
  <si>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</si>
  <si>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</si>
  <si>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</si>
  <si>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</si>
  <si>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</si>
  <si>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</si>
  <si>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</si>
  <si>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</si>
  <si>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</si>
  <si>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</si>
  <si>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</si>
  <si>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</si>
  <si>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</si>
  <si>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</si>
  <si>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</si>
  <si>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</si>
  <si>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</si>
  <si>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</si>
  <si>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</si>
  <si>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</si>
  <si>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</si>
  <si>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</si>
  <si>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</si>
  <si>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</si>
  <si>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</si>
  <si>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</si>
  <si>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</si>
  <si>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</si>
  <si>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</si>
  <si>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</si>
  <si>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</si>
  <si>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</si>
  <si>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</si>
  <si>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</si>
  <si>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</si>
  <si>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</si>
  <si>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</si>
  <si>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</si>
  <si>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</si>
  <si>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</si>
  <si>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</si>
  <si>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</si>
  <si>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</si>
  <si>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</si>
  <si>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</si>
  <si>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</si>
  <si>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</si>
  <si>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</si>
  <si>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</si>
  <si>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</si>
  <si>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</si>
  <si>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</si>
  <si>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</si>
  <si>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</si>
  <si>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</si>
  <si>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</si>
  <si>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</si>
  <si>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</si>
  <si>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</si>
  <si>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</si>
  <si>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</si>
  <si>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</si>
  <si>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</si>
  <si>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</si>
  <si>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</si>
  <si>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</si>
  <si>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</si>
  <si>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</si>
  <si>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</si>
  <si>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</si>
  <si>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</si>
  <si>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</si>
  <si>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</si>
  <si>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</si>
  <si>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</si>
  <si>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</si>
  <si>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</si>
  <si>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</si>
  <si>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</si>
  <si>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</si>
  <si>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</si>
  <si>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</si>
  <si>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</si>
  <si>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</si>
  <si>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</si>
  <si>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</si>
  <si>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</si>
  <si>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</si>
  <si>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</si>
  <si>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</si>
  <si>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</si>
  <si>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</si>
  <si>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</si>
  <si>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</si>
  <si>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</si>
  <si>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</si>
  <si>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</si>
  <si>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</si>
  <si>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</si>
  <si>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</si>
  <si>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</si>
  <si>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</si>
  <si>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</si>
  <si>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</si>
  <si>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</si>
  <si>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</si>
  <si>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</si>
  <si>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</si>
  <si>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</si>
  <si>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</si>
  <si>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</si>
  <si>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</si>
  <si>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</si>
  <si>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</si>
  <si>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</si>
  <si>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</si>
  <si>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</si>
  <si>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</si>
  <si>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</si>
  <si>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</si>
  <si>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</si>
  <si>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</si>
  <si>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</si>
  <si>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</si>
  <si>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</si>
  <si>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</si>
  <si>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</si>
  <si>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</si>
  <si>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</si>
  <si>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</si>
  <si>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</si>
  <si>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</si>
  <si>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</si>
  <si>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</si>
  <si>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</si>
  <si>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</si>
  <si>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</si>
  <si>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</si>
  <si>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</si>
  <si>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</si>
  <si>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</si>
  <si>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</si>
  <si>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</si>
  <si>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</si>
  <si>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</si>
  <si>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</si>
  <si>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</si>
  <si>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</si>
  <si>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</si>
  <si>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</si>
  <si>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</si>
  <si>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</si>
  <si>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</si>
  <si>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</si>
  <si>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</si>
  <si>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</si>
  <si>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</si>
  <si>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</si>
  <si>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</si>
  <si>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</si>
  <si>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</si>
  <si>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</si>
  <si>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</si>
  <si>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</si>
  <si>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</si>
  <si>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</si>
  <si>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</si>
  <si>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</si>
  <si>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</si>
  <si>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</si>
  <si>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</si>
  <si>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</si>
  <si>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</si>
  <si>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</si>
  <si>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</si>
  <si>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</si>
  <si>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</si>
  <si>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</si>
  <si>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</si>
  <si>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</si>
  <si>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</si>
  <si>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</si>
  <si>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</si>
  <si>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</si>
  <si>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</si>
  <si>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</si>
  <si>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</si>
  <si>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</si>
  <si>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</si>
  <si>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</si>
  <si>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</si>
  <si>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</si>
  <si>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</si>
  <si>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</si>
  <si>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</si>
  <si>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</si>
  <si>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</si>
  <si>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</si>
  <si>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</si>
  <si>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</si>
  <si>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</si>
  <si>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</si>
  <si>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</si>
  <si>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</si>
  <si>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</si>
  <si>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</si>
  <si>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</si>
  <si>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</si>
  <si>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</si>
  <si>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</si>
  <si>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</si>
  <si>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</si>
  <si>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</si>
  <si>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</si>
  <si>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</si>
  <si>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</si>
  <si>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</si>
  <si>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</si>
  <si>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</si>
  <si>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</si>
  <si>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</si>
  <si>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</si>
  <si>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</si>
  <si>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</si>
  <si>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</si>
  <si>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</si>
  <si>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</si>
  <si>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</si>
  <si>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</si>
  <si>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</si>
  <si>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</si>
  <si>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</si>
  <si>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</si>
  <si>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</si>
  <si>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</si>
  <si>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</si>
  <si>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</si>
  <si>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</si>
  <si>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</si>
  <si>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</si>
  <si>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</si>
  <si>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</si>
  <si>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</si>
  <si>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</si>
  <si>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</si>
  <si>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</si>
  <si>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</si>
  <si>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</si>
  <si>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</si>
  <si>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</si>
  <si>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</si>
  <si>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</si>
  <si>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</si>
  <si>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</si>
  <si>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</si>
  <si>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</si>
  <si>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</si>
  <si>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</si>
  <si>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</si>
  <si>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</si>
  <si>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</si>
  <si>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</si>
  <si>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</si>
  <si>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</si>
  <si>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</si>
  <si>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</si>
  <si>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</si>
  <si>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</si>
  <si>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</si>
  <si>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</si>
  <si>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</si>
  <si>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</si>
  <si>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</si>
  <si>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</si>
  <si>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</si>
  <si>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</si>
  <si>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</si>
  <si>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</si>
  <si>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</si>
  <si>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</si>
  <si>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</si>
  <si>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</si>
  <si>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</si>
  <si>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</si>
  <si>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</si>
  <si>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</si>
  <si>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</si>
  <si>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</si>
  <si>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</si>
  <si>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</si>
  <si>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</si>
  <si>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</si>
  <si>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</si>
  <si>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</si>
  <si>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</si>
  <si>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</si>
  <si>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</si>
  <si>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</si>
  <si>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</si>
  <si>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</si>
  <si>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</si>
  <si>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</si>
  <si>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</si>
  <si>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</si>
  <si>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</si>
  <si>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</si>
  <si>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</si>
  <si>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</si>
  <si>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</si>
  <si>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</si>
  <si>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</si>
  <si>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</si>
  <si>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</si>
  <si>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</si>
  <si>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</si>
  <si>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</si>
  <si>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</si>
  <si>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</si>
  <si>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</si>
  <si>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</si>
  <si>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</si>
  <si>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</si>
  <si>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</si>
  <si>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</si>
  <si>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</si>
  <si>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</si>
  <si>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</si>
  <si>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</si>
  <si>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</si>
  <si>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</si>
  <si>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</si>
  <si>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</si>
  <si>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</si>
  <si>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</si>
  <si>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</si>
  <si>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</si>
  <si>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</si>
  <si>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</si>
  <si>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</si>
  <si>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</si>
  <si>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</si>
  <si>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</si>
  <si>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</si>
  <si>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</si>
  <si>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</si>
  <si>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</si>
  <si>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</si>
  <si>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</si>
  <si>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</si>
  <si>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</si>
  <si>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</si>
  <si>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</si>
  <si>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</si>
  <si>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</si>
  <si>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</si>
  <si>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</si>
  <si>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</si>
  <si>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</si>
  <si>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</si>
  <si>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</si>
  <si>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</si>
  <si>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</si>
  <si>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</si>
  <si>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</si>
  <si>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</si>
  <si>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</si>
  <si>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</si>
  <si>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</si>
  <si>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</si>
  <si>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</si>
  <si>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</si>
  <si>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</si>
  <si>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</si>
  <si>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</si>
  <si>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</si>
  <si>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</si>
  <si>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</si>
  <si>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</si>
  <si>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</si>
  <si>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</si>
  <si>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</si>
  <si>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</si>
  <si>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</si>
  <si>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</si>
  <si>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</si>
  <si>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</si>
  <si>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</si>
  <si>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</si>
  <si>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</si>
  <si>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</si>
  <si>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</si>
  <si>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</si>
  <si>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</si>
  <si>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</si>
  <si>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</si>
  <si>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</si>
  <si>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</si>
  <si>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</si>
  <si>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</si>
  <si>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</si>
  <si>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</si>
  <si>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</si>
  <si>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</si>
  <si>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</si>
  <si>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</si>
  <si>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</si>
  <si>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</si>
  <si>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</si>
  <si>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</si>
  <si>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</si>
  <si>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</si>
  <si>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</si>
  <si>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</si>
  <si>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</si>
  <si>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</si>
  <si>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</si>
  <si>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</si>
  <si>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</si>
  <si>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</si>
  <si>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</si>
  <si>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</si>
  <si>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</si>
  <si>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</si>
  <si>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</si>
  <si>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</si>
  <si>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</si>
  <si>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</si>
  <si>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</si>
  <si>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</si>
  <si>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</si>
  <si>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</si>
  <si>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</si>
  <si>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</si>
  <si>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</si>
  <si>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</si>
  <si>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</si>
  <si>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</si>
  <si>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</si>
  <si>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</si>
  <si>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</si>
  <si>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</si>
  <si>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</si>
  <si>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</si>
  <si>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</si>
  <si>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</si>
  <si>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</si>
  <si>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</si>
  <si>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</si>
  <si>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</si>
  <si>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</si>
  <si>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</si>
  <si>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</si>
  <si>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</si>
  <si>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</si>
  <si>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</si>
  <si>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</si>
  <si>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</si>
  <si>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</si>
  <si>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</si>
  <si>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</si>
  <si>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</si>
  <si>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</si>
  <si>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</si>
  <si>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</si>
  <si>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</si>
  <si>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</si>
  <si>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</si>
  <si>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</si>
  <si>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</si>
  <si>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</si>
  <si>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</si>
  <si>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</si>
  <si>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</si>
  <si>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</si>
  <si>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</si>
  <si>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</si>
  <si>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</si>
  <si>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</si>
  <si>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</si>
  <si>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</si>
  <si>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</si>
  <si>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</si>
  <si>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</si>
  <si>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</si>
  <si>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</si>
  <si>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</si>
  <si>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</si>
  <si>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</si>
  <si>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</si>
  <si>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</si>
  <si>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</si>
  <si>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</si>
  <si>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</si>
  <si>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</si>
  <si>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</si>
  <si>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</si>
  <si>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</si>
  <si>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</si>
  <si>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</si>
  <si>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</si>
  <si>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</si>
  <si>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</si>
  <si>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</si>
  <si>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</si>
  <si>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</si>
  <si>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</si>
  <si>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</si>
  <si>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</si>
  <si>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</si>
  <si>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</si>
  <si>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</si>
  <si>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</si>
  <si>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</si>
  <si>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</si>
  <si>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</si>
  <si>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</si>
  <si>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</si>
  <si>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</si>
  <si>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</si>
  <si>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</si>
  <si>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</si>
  <si>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</si>
  <si>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</si>
  <si>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</si>
  <si>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</si>
  <si>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</si>
  <si>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</si>
  <si>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</si>
  <si>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</si>
  <si>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</si>
  <si>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</si>
  <si>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</si>
  <si>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</si>
  <si>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</si>
  <si>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</si>
  <si>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</si>
  <si>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</si>
  <si>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</si>
  <si>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</si>
  <si>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</si>
  <si>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</si>
  <si>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</si>
  <si>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</si>
  <si>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</si>
  <si>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</si>
  <si>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</si>
  <si>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</si>
  <si>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</si>
  <si>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</si>
  <si>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</si>
  <si>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</si>
  <si>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</si>
  <si>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</si>
  <si>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</si>
  <si>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</si>
  <si>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</si>
  <si>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</si>
  <si>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</si>
  <si>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</si>
  <si>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</si>
  <si>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</si>
  <si>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</si>
  <si>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</si>
  <si>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</si>
  <si>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</si>
  <si>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</si>
  <si>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</si>
  <si>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</si>
  <si>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</si>
  <si>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</si>
  <si>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</si>
  <si>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</si>
  <si>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</si>
  <si>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</si>
  <si>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</si>
  <si>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</si>
  <si>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</si>
  <si>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</si>
  <si>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</si>
  <si>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</si>
  <si>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</si>
  <si>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</si>
  <si>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</si>
  <si>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</si>
  <si>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</si>
  <si>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</si>
  <si>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</si>
  <si>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</si>
  <si>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</si>
  <si>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</si>
  <si>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</si>
  <si>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</si>
  <si>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</si>
  <si>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</si>
  <si>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</si>
  <si>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</si>
  <si>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</si>
  <si>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</si>
  <si>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</si>
  <si>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</si>
  <si>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</si>
  <si>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</si>
  <si>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</si>
  <si>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</si>
  <si>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</si>
  <si>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</si>
  <si>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</si>
  <si>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</si>
  <si>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</si>
  <si>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</si>
  <si>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</si>
  <si>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</si>
  <si>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</si>
  <si>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</si>
  <si>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</si>
  <si>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</si>
  <si>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</si>
  <si>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</si>
  <si>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</si>
  <si>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</si>
  <si>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</si>
  <si>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</si>
  <si>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</si>
  <si>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</si>
  <si>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</si>
  <si>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</si>
  <si>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</si>
  <si>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</si>
  <si>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</si>
  <si>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</si>
  <si>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</si>
  <si>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</si>
  <si>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</si>
  <si>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</si>
  <si>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</si>
  <si>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</si>
  <si>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</si>
  <si>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</si>
  <si>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</si>
  <si>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</si>
  <si>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</si>
  <si>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</si>
  <si>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</si>
  <si>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</si>
  <si>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</si>
  <si>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</si>
  <si>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</si>
  <si>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</si>
  <si>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</si>
  <si>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</si>
  <si>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</si>
  <si>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</si>
  <si>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</si>
  <si>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</si>
  <si>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</si>
  <si>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</si>
  <si>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</si>
  <si>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</si>
  <si>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</si>
  <si>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</si>
  <si>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</si>
  <si>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</si>
  <si>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</si>
  <si>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</si>
  <si>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</si>
  <si>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</si>
  <si>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</si>
  <si>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</si>
  <si>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</si>
  <si>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</si>
  <si>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</si>
  <si>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</si>
  <si>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</si>
  <si>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</si>
  <si>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</si>
  <si>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</si>
  <si>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</si>
  <si>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</si>
  <si>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</si>
  <si>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</si>
  <si>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</si>
  <si>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[EXECUTION_CALL_RULE]</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</si>
  <si>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</si>
  <si>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</si>
  <si>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[TESTING_FRAMEWORK_RULE]</t>
  </si>
  <si>
    <t>[DEPENDENCY_MANAGEMENT_RULE]</t>
  </si>
  <si>
    <t>[CORE_QUALITY_POLICY]</t>
  </si>
  <si>
    <t>Elixir OTP</t>
  </si>
  <si>
    <t>Implement concurrency and manual state management using spawn/1, send/2, receive, and manual recursion state.</t>
  </si>
  <si>
    <t>Concurrency Refresher &amp; Manual State (spawn/1, send/2, receive, manual recursion state)</t>
  </si>
  <si>
    <t>Manage manual monitoring and exits using Process.link/1, Process.monitor/1, and Process.flag/2 with :trap_exit.</t>
  </si>
  <si>
    <t>Manual Monitoring &amp; Exits (Process.link/1, Process.monitor/1, Process.flag/2 with :trap_exit)</t>
  </si>
  <si>
    <t>Create OTP behaviours and implement inversion of control utilizing @behaviour, @callback, behaviour modules, and callback-driven architecture.</t>
  </si>
  <si>
    <t>OTP Behaviours &amp; Inversion of Control (@behaviour, @callback, behaviour modules, callback-driven architecture)</t>
  </si>
  <si>
    <t>Implement encapsulated state with Agents using Agent.start_link/2, Agent.get/3, Agent.update/3, and Agent.cast/2.</t>
  </si>
  <si>
    <t>Encapsulated State with Agents (Agent.start_link/2, Agent.get/3, Agent.update/3, Agent.cast/2)</t>
  </si>
  <si>
    <t>Construct GenServer core structures and synchronous flows using use GenServer, init/1, GenServer.call/3, and handle_call/3.</t>
  </si>
  <si>
    <t>GenServer Core &amp; Synchronous Flow (use GenServer, init/1, GenServer.call/3, handle_call/3)</t>
  </si>
  <si>
    <t>Implement asynchronous flow and deferred initialization using GenServer.cast/2, handle_cast/2, and handle_continue/2 for non-blocking init.</t>
  </si>
  <si>
    <t>Asynchronous Flow &amp; Deferred Init (GenServer.cast/2, handle_cast/2, handle_continue/2 for non-blocking init)</t>
  </si>
  <si>
    <t>Manage internal events, tickers, and lifecycle using send/2 to self, Process.send_after/3 for periodic work, handle_info/2, terminate/2, and Timeouts.</t>
  </si>
  <si>
    <t>Internal Events, Tickers &amp; Lifecycle (send/2 to self, Process.send_after/3 for periodic work, handle_info/2, terminate/2, Timeouts)</t>
  </si>
  <si>
    <t>N/A</t>
  </si>
  <si>
    <t>Build an interactive encapsulated state system utilizing spawn/1, send/2, receive, Agents, and GenServer core callbacks.</t>
  </si>
  <si>
    <t>PROJECT: Basic OTP State Manager</t>
  </si>
  <si>
    <t>Design state modeling patterns using Maps as state, Structs as state, nested state transitions, and process ownership design.</t>
  </si>
  <si>
    <t>State Modeling Patterns (Maps as state, Structs as state, nested state transitions, process ownership design)</t>
  </si>
  <si>
    <t>Implement local registration and global basics using Local name: atom, Process.whereis/1, Process.register/2, and the :global module.</t>
  </si>
  <si>
    <t>Local Registration &amp; Global Basics (Local name: atom, Process.whereis/1, Process.register/2, :global module)</t>
  </si>
  <si>
    <t>Implement dynamic naming with The Registry Module using Registry.start_link/1, Registry.lookup/2, and {:via, Registry, ...} dynamic routing.</t>
  </si>
  <si>
    <t>The Registry Module &amp; Dynamic Naming (Registry.start_link/1, Registry.lookup/2, {:via, Registry, ...} dynamic routing)</t>
  </si>
  <si>
    <t>Define Supervisor core and child specifications using use Supervisor, init/1, child_spec/1, shutdown timeouts vs :brutal_kill, and process ownership.</t>
  </si>
  <si>
    <t>Supervisor Core &amp; Child Specifications (use Supervisor, init/1, child_spec/1, shutdown timeouts vs :brutal_kill, process ownership)</t>
  </si>
  <si>
    <t>Configure Supervisor strategies and tuning using :one_for_one, :one_for_all, :rest_for_one, and max_restarts/max_seconds.</t>
  </si>
  <si>
    <t>Supervisor Strategies &amp; Tuning (:one_for_one, :one_for_all, :rest_for_one, max_restarts/max_seconds)</t>
  </si>
  <si>
    <t>Architect Supervision trees and dynamic supervisors using parent-child cascades, DynamicSupervisor, start_child/2, and failure domains.</t>
  </si>
  <si>
    <t>Supervision Trees &amp; Dynamic Supervisors (Architecting parent-child cascades, DynamicSupervisor, start_child/2, failure domains)</t>
  </si>
  <si>
    <t>Execute asynchronous tasks and bounded concurrency using Task.async/1, Task.await/2, Task.yield/2, and Task.async_stream/3 for safe massive processing.</t>
  </si>
  <si>
    <t>Asynchronous Tasks &amp; Bounded Concurrency (Task.async/1, Task.await/2, Task.yield/2, Task.async_stream/3 for safe massive processing)</t>
  </si>
  <si>
    <t>Develop a fault-tolerant job processing system utilizing DynamicSupervisor, Registry, and Task.async_stream/3.</t>
  </si>
  <si>
    <t>PROJECT: Resilient Job Processor</t>
  </si>
  <si>
    <t>Manage unlinked tasks and task supervision using Task.start/1, Task.Supervisor, and Task.Supervisor.async_nolink/2.</t>
  </si>
  <si>
    <t>Unlinked Tasks &amp; Task Supervision (Task.start/1, Task.Supervisor, Task.Supervisor.async_nolink/2)</t>
  </si>
  <si>
    <t>Execute ETS core operations using :ets.new, :ets.insert, :ets.lookup, and :ets.delete.</t>
  </si>
  <si>
    <t>ETS Core Operations (:ets.new, :ets.insert, :ets.lookup, :ets.delete)</t>
  </si>
  <si>
    <t>Configure ETS ownership and advanced patterns utilizing Table types, heir configuration, :read_concurrency / :write_concurrency optimizations, and ETS vs GenServer selection.</t>
  </si>
  <si>
    <t>ETS Ownership &amp; Advanced Patterns (Table types, heir configuration, :read_concurrency / :write_concurrency optimizations, ETS vs GenServer selection)</t>
  </si>
  <si>
    <t>Define Application behavior and environment using use Application, start/2, Config scripts, and Application.get_env/3.</t>
  </si>
  <si>
    <t>Application Behavior &amp; Environment (use Application, start/2, Config scripts, Application.get_env/3)</t>
  </si>
  <si>
    <t>Implement complex initialization and releases using start_phases, mix release, runtime.exs, and connecting to running nodes.</t>
  </si>
  <si>
    <t>Complex Initialization &amp; Releases (start_phases, mix release, runtime.exs, connecting to running nodes)</t>
  </si>
  <si>
    <t>Execute Node operations and RPC using Node.self/0, Node.connect/1, :rpc.call/4, and :rpc.multicall/3.</t>
  </si>
  <si>
    <t>Node Operations &amp; RPC (Node.self/0, Node.connect/1, :rpc.call/4, :rpc.multicall/3)</t>
  </si>
  <si>
    <t>Design distributed architecture and constraints using Node.monitor/2, :pg Process Groups, and handling network partitions/split-brain.</t>
  </si>
  <si>
    <t>Distributed Architecture &amp; Constraints (Node.monitor/2, :pg Process Groups, handling network partitions/split-brain)</t>
  </si>
  <si>
    <t>Construct a distributed caching application utilizing :ets operations, Application lifecycle, and :rpc node calls.</t>
  </si>
  <si>
    <t>PROJECT: Distributed ETS Cache</t>
  </si>
  <si>
    <t>Implement testing for GenServers and internal state using ExUnit with GenServer, asserting synchronous state, and assert_receive/3 for handle_info.</t>
  </si>
  <si>
    <t>Testing GenServers &amp; Internal State (ExUnit with GenServer, asserting synchronous state, assert_receive/3 for handle_info)</t>
  </si>
  <si>
    <t>Formulate testing for Supervisors and fault tolerance using Process.exit/2 simulations, asserting restart behavior, and Task.yield/2 in tests.</t>
  </si>
  <si>
    <t>Testing Supervisors &amp; Fault Tolerance (Process.exit/2 simulations, asserting restart behavior, Task.yield/2 in tests)</t>
  </si>
  <si>
    <t>Design testing for Registries and distributed systems by asserting via tuples, mocking node connections, and testing ETS table state.</t>
  </si>
  <si>
    <t>Testing Registries &amp; Distributed Systems (Asserting via tuples, mocking node connections, testing ETS table state)</t>
  </si>
  <si>
    <t>Develop a comprehensive concurrent test suite for an OTP application validating Supervisors, GenServer state, and Registry via tuples.</t>
  </si>
  <si>
    <t>PROJECT: Master OTP Test Suite</t>
  </si>
  <si>
    <t>Native OTP behaviors (GenServer, Supervisor, Agent, Task), Kernel functions, and BEAM supervision trees.</t>
  </si>
  <si>
    <t>Focus on stateless GenServer callbacks, init/1, handle_call/3, and primitive messaging structures. DO NOT use complex dynamic supervision trees.</t>
  </si>
  <si>
    <t>STRICT REQUIREMENT: Every example MUST use GenServer or Agent implementations inside defmodule, client API wrappers, GenServer.call/cast, and state tuples.</t>
  </si>
  <si>
    <t>Advanced OTP patterns: dynamic supervisors (DynamicSupervisor), GenStage/Broadway pipelines, distributed nodes, and custom Supervisor specs.</t>
  </si>
  <si>
    <t>Use process PIDs, GenServer state maps/structs, atoms, binary messages, and simple request/response tuples.</t>
  </si>
  <si>
    <t>Display intermediate steps and final OTP outcomes explicitly with IO.puts/1 or IO.inspect/2.</t>
  </si>
  <si>
    <t>MUST NOT exceed 6 lines of EXECUTABLE code per example; exclude comments and blank lines.</t>
  </si>
  <si>
    <t>If GenServer is used, include process startup via start_link and at least one direct GenServer call/cast at script end. No complex Mix entry-point boilerplate.</t>
  </si>
  <si>
    <t>State management via GenServer/Agent process state structures.</t>
  </si>
  <si>
    <t>Use IO.puts/1 or IO.inspect/2 to display server responses clearly.</t>
  </si>
  <si>
    <t>reinventing GenServer/Agent primitives with raw send/receive loops or ignoring OTP supervisor restart strategies</t>
  </si>
  <si>
    <t>OTP behaviors, GenServer state management, supervision trees, fault-tolerance paradigms, and idiomatic process isolation</t>
  </si>
  <si>
    <t>visual section comments separating functional blocks, e.g. '# --- BLOCK 1: [NAME] ---'</t>
  </si>
  <si>
    <t>comprehensive @moduledoc/@doc documentation plus @spec when useful, covering arguments, returns, and errors</t>
  </si>
  <si>
    <t>98 characters, aligned with standard mix format line length</t>
  </si>
  <si>
    <t>Standard OTP process and state validation using ExUnit assert/refute macros and Process tracking.</t>
  </si>
  <si>
    <t>Evaluate basic GenServer state init, handle_call responses, and simple client wrappers. Do NOT expect dynamic supervisors or multi-node distribution unless demanded.</t>
  </si>
  <si>
    <t>Expect clean GenServer/Agent modules, explicit client API boundaries, handle_cast state updates, and @spec typespecs. Enforce zero raw receive-loop emulations.</t>
  </si>
  <si>
    <t>Expect modular supervision trees with Supervisor specs, dynamic worker spawning, restart strategies, and process monitoring.</t>
  </si>
  <si>
    <t>Use descriptive snake_case for functions/variables/atoms, PascalCase for modules/structs, and snake_case for files.</t>
  </si>
  <si>
    <t>Use OTP behaviors (GenServer, Agent, Supervisor), pattern matching on state, and explicit conversion helpers.</t>
  </si>
  <si>
    <t>Reject raw process message loops when GenServer applies, unmanaged global process state, excessive term()/any() types, and monolithic undocumented OTP modules.</t>
  </si>
  <si>
    <t>Keep GenServer initial state definitions immutable; use function heads and pattern matching for conditional state initialization.</t>
  </si>
  <si>
    <t>Use File/IO with UTF-8 binaries inside GenServer state or tasks; handle asynchronous resource loads cleanly.</t>
  </si>
  <si>
    <t>Environment variables via System.get_env/1 may be used; dotenv only when allowed. Bugs MUST exist only in OTP logic, NEVER in .env files.</t>
  </si>
  <si>
    <t>Support files such as .env and .env.example MUST appear before broken code, be fully correct, and contain NO bugs.</t>
  </si>
  <si>
    <t>Validate with IO output or simple ExUnit assert/refute macros. Avoid complex suites, setup chains, or excessive test scaffolding.</t>
  </si>
  <si>
    <t>Standard Mix/Elixir context. If external packages are needed, declare them only in mix.exs and install with mix deps.get.</t>
  </si>
  <si>
    <t>Each challenge MUST include GenServer/Agent process use, at least 1 IO.puts/IO.inspect, state transformation, EXACTLY 1 OTP module, and EXACTLY 1 process call/cast.</t>
  </si>
  <si>
    <t>lines of EXECUTABLE broken Elixir OTP code per challenge; exclude blank lines. NO raw process receive loops and NO top-level executable expressions EXCEPT the startup and call flow.</t>
  </si>
  <si>
    <t>All challenges MUST maintain similar complexity, length, and functional scope.</t>
  </si>
  <si>
    <t>Simulate messy Elixir OTP code. The project MUST contain EXACTLY 2–5 bugs mixing syntax/compile errors, state/message mismatch errors, and common runtime exceptions.</t>
  </si>
  <si>
    <t>1. Syntax &amp; Compile Errors, e.g. mismatched end, malformed GenServer tuple responses (e.g. {:reply, state, reply}), undefined callbacks, or invalid guards,</t>
  </si>
  <si>
    <t>2. Logic Errors, e.g. incorrect state mutation in handle_call/cast, wrong pattern matching on request payloads, or improper reply tuples, AND</t>
  </si>
  <si>
    <t>3. Runtime Exceptions, e.g. GenServer timeout exceptions, ArgumentError, FunctionClauseError, MatchError, or exited process crashes.</t>
  </si>
  <si>
    <t>Clean idiomatic Elixir OTP, mix format compliant, descriptive snake_case naming, standard 2-space formatting, and explicit Minimal Intervention Rule.</t>
  </si>
  <si>
    <t>Act as 'The Analytical Partner' (El Detective con Café). Explain Elixir OTP exceptions and process crash stacktraces from the failing frame outward in plain language. Enforce NO KEYBOARD rule in Phase 1.</t>
  </si>
  <si>
    <t>GenServer default options and state parameters are immutable; use function heads and pattern matching for initialization instead of stateful defaults.</t>
  </si>
  <si>
    <t>Standard Elixir/OTP modules only. Strictly ZERO external Hex packages for beginner topics.</t>
  </si>
  <si>
    <t>Simple console-output verification via IO.puts/1 or IO.inspect/2.</t>
  </si>
  <si>
    <t>For Beginner level, # TODO MUST be atomic: 1–2 simple lines max, e.g. state tuple return, GenServer call, direct comparison, or simple pattern match. NO complex IO capture or process mocking.</t>
  </si>
  <si>
    <t>5–15 lines of EXECUTABLE base code. Code outside # TODO MUST be fully valid/readable. If no_def is present in AJ, use flat GenServer skeleton code.</t>
  </si>
  <si>
    <t>Require Mix dependency declarations in mix.exs and mix deps.get for external Hex dependencies when applicable.</t>
  </si>
  <si>
    <t>MUST contain 25–40 lines of EXECUTABLE base Elixir OTP code; do NOT count comments or # TODO blocks.</t>
  </si>
  <si>
    <t>Multi-step OTP process architecture. Max 2 modules, standard GenServer/Agent structure. Integration logic exclusively inside # TODO blocks.</t>
  </si>
  <si>
    <t>Act as 'The Logical Scaffold' (El Maestro de Obra). Focus on simple Data Gap Analysis (Point A -&gt; Point B -&gt; Point C) and structural OTP code completion.</t>
  </si>
  <si>
    <t>Use descriptive snake_case for variables/functions/atoms, PascalCase for modules/structs, and snake_case for files.</t>
  </si>
  <si>
    <t>Clean idiomatic Elixir OTP formatted by mix format with standard 2-space formatting. Enforce Minimal Intervention Rule and NO KEYBOARD rule in Phase 1.</t>
  </si>
  <si>
    <t>Reject unmanaged global state and raw process message loops. Keep server state immutable and prefer callback-head pattern matching for handling messages.</t>
  </si>
  <si>
    <t>Code MUST follow mix format and idiomatic Elixir OTP style. Use snake_case for variables/functions/atoms, PascalCase for modules/structs, snake_case for files. Avoid unmanaged global state; emphasize @spec/typespecs, GenServer callbacks, pattern matching, and clean supervision architectures.</t>
  </si>
  <si>
    <t>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t>
  </si>
  <si>
    <t>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</si>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</sst>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Elixir OTP | [TASK] Teach and explain concepts clearly with correct code examples | [TOPIC] Implement concurrency and manual state management using spawn/1, send/2, receive, and manual recursion state. | [LEVEL] Advanced | [COUNT] 4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Elixir OTP | 📊 Level: Advanced | 🌐 Coding5s.com
**Concept:** Concurrency Refresher &amp; Manual State (spawn/1, send/2, receive, manual recursion state)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15 lines of EXECUTABLE code (STRICT: Do NOT count comments or blank lines towards this limit) - NEVER exceed this limit of executable lines - Single logical flow (no unnecessary complexity) | [SYNTAX CONFIGURATION RULE] CRITICAL PROHIBITION: Do NOT use f-strings (f"...") or any advanced text formatting methods yet. Use basic print() with multiple arguments separated by commas for text labels and variables. | [FUNCTION RULE] MUST use modular functions appropriately for architecture and clarity.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724</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8</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20</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492</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672</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671</v>
      </c>
      <c r="L7" s="31" t="s">
        <v>671</v>
      </c>
      <c r="M7" s="38"/>
      <c r="N7" s="31" t="s">
        <v>671</v>
      </c>
      <c r="O7" s="31" t="s">
        <v>671</v>
      </c>
      <c r="P7" s="22"/>
      <c r="Q7" s="31" t="s">
        <v>671</v>
      </c>
      <c r="R7" s="31" t="s">
        <v>671</v>
      </c>
      <c r="S7" s="39"/>
      <c r="T7" s="31" t="s">
        <v>671</v>
      </c>
      <c r="U7" s="31" t="s">
        <v>671</v>
      </c>
      <c r="V7" s="22"/>
      <c r="W7" s="31" t="s">
        <v>671</v>
      </c>
      <c r="X7" s="31" t="s">
        <v>671</v>
      </c>
      <c r="Y7" s="39"/>
      <c r="Z7" s="31" t="s">
        <v>671</v>
      </c>
      <c r="AA7" s="31" t="s">
        <v>671</v>
      </c>
      <c r="AB7" s="31" t="s">
        <v>671</v>
      </c>
      <c r="AC7" s="31" t="s">
        <v>671</v>
      </c>
      <c r="AD7" s="31" t="s">
        <v>671</v>
      </c>
      <c r="AE7" s="35" t="str">
        <f>_xlfn.CONCAT(AH9:AH200)</f>
        <v/>
      </c>
      <c r="AF7" s="15"/>
      <c r="AG7" s="15"/>
      <c r="AH7" s="15"/>
      <c r="AI7" s="15"/>
      <c r="AJ7" s="15"/>
      <c r="AK7" s="138" t="s">
        <v>497</v>
      </c>
      <c r="AL7" s="138"/>
      <c r="AM7" s="138"/>
    </row>
    <row r="8" spans="1:39">
      <c r="A8" s="42" t="s">
        <v>19</v>
      </c>
      <c r="B8" s="43">
        <v>0</v>
      </c>
      <c r="C8" s="41" t="s">
        <v>18</v>
      </c>
      <c r="D8" s="43" t="s">
        <v>493</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494</v>
      </c>
      <c r="AF8" s="42" t="s">
        <v>495</v>
      </c>
      <c r="AG8" s="42" t="s">
        <v>496</v>
      </c>
      <c r="AH8" s="42" t="s">
        <v>42</v>
      </c>
      <c r="AI8" s="42" t="s">
        <v>43</v>
      </c>
      <c r="AJ8" s="42" t="s">
        <v>499</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15</v>
      </c>
      <c r="D9" s="46">
        <v>4</v>
      </c>
      <c r="E9" s="47" t="s">
        <v>46</v>
      </c>
      <c r="F9" s="48">
        <v>1</v>
      </c>
      <c r="G9" s="49" t="s">
        <v>159</v>
      </c>
      <c r="H9" s="49" t="s">
        <v>48</v>
      </c>
      <c r="I9" s="50" t="s">
        <v>725</v>
      </c>
      <c r="J9" s="51" t="s">
        <v>726</v>
      </c>
      <c r="K9" s="129" t="str">
        <f>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on stateless GenServer callbacks, init/1, handle_call/3, and primitive messaging structures. DO NOT use complex dynamic supervision trees.", IF(G9="Intermediate", "STRICT REQUIREMENT: Every example MUST use GenServer or Agent implementations inside defmodule, client API wrappers, GenServer.call/cast, and state tuples.", "Advanced OTP patterns: dynamic supervisors (DynamicSupervisor), GenStage/Broadway pipelines, distributed nodes, and custom Supervisor specs.")) &amp; " | " &amp;
_xlfn._LONGTEXT("[CODE_CONSTRAINTS_RULE]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 &amp;
"[I_O_PARADIGM] Use State management via GenServer/Agent process state structures. and gracefully handle Use IO.puts/1 or IO.inspect/2 to display server responses clearly. when applicable. | " &amp;
"[INLINE_PACKAGE_MANAGER] If using external packages, use Native OTP behaviors (GenServer, Supervisor, Agent, Task), Kernel functions, and BEAM supervision trees.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Elixir OTP | [TOPIC] Implement concurrency and manual state management using spawn/1, send/2, receive, and manual recursion state.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Elixir OTP | 📊 Level: Advanced | 🌐 Coding5s.com
**Concept:** Concurrency Refresher &amp; Manual State (spawn/1, send/2, receive, manual recursion state)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basic GenServer state init, handle_call responses, and simple client wrappers. Do NOT expect dynamic supervisors or multi-node distribution unless demanded.", IF(G9="Intermediate", "Expect clean GenServer/Agent modules, explicit client API boundaries, handle_cast state updates, and @spec typespecs. Enforce zero raw receive-loop emulations.", "Expect modular supervision trees with Supervisor specs, dynamic worker spawning, restart strategies, and process monitoring.")) &amp; " | " &amp;
_xlfn._LONGTEXT("[CODE_QUALITY_POLICIES]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concurrency and manual state management using spawn/1, send/2, receive, and manual recursion state.. Topic details: Concurrency Refresher &amp; Manual State (spawn/1, send/2, receive, manual recursion state)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Elixir OTP | 📊 Level: Advanced
**Topic:** Implement concurrency and manual state management using spawn/1, send/2, receive, and manual recursion state.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 &amp;
"[TESTING_FRAMEWORK_RULE] Validate with IO output or simple ExUnit assert/refute macros. Avoid complex suites, setup chains, or excessive test scaffolding. | " &amp;
"[DEPENDENCY_MANAGEMENT_RULE] Standard Mix/Elixir context. If external packages are needed, declare them only in mix.exs and install with mix deps.get. | " &amp;
"[CODE CONSTRAINTS] Each challenge MUST include GenServer/Agent process use, at least 1 IO.puts/IO.inspect, state transformation, EXACTLY 1 OTP module, and EXACTLY 1 process call/cast. - " &amp; IF(G9="Beginner", "5–15", IF(G9="Intermediate", "10–25", "15–35")) &amp; _xlfn._LONGTEXT(" lines of EXECUTABLE broken Elixir OTP code per challenge; exclude blank lines. NO raw process receive loops and NO top-level executable expressions EXCEPT the startup and call flow. | All challenges MUST maintain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Elixir OTP Developer | [TASK] Generate debugging challenges in Elixir OTP | | [TOPIC] Implement concurrency and manual state management using spawn/1, send/2, receive, and manual recursion state.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 | Stage 2 🐛 Debug | Elixir OTP | 📊 Level: Advanced | 🌐 Coding5s.com
Concept: Concurrency Refresher &amp; Manual State (spawn/1, send/2, receive, manual recursion state)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concurrency and manual state management using spawn/1, send/2, receive, and manual recursion state.. Topic details: Concurrency Refresher &amp; Manual State (spawn/1, send/2, receive, manual recursion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Elixir OTP | 📊 Level: Advanced
**Topic:** Implement concurrency and manual state management using spawn/1, send/2, receive, and manual recursion state.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Elixir/OTP modules only. Strictly ZERO external Hex packages for beginner topics. | " &amp;
"[TESTING_FRAMEWORK_PROTOCOL] Simple console-output verification via IO.puts/1 or IO.inspect/2. | " &amp;
"[CHALLENGE_CONSTRAINTS_POLICY] For Beginner level, # TODO MUST be atomic: 1–2 simple lines max, e.g. state tuple return, GenServer call, direct comparison, or simple pattern match. NO complex IO capture or process mocking. - " &amp; IF(G9="Beginner","5–15", IF(G9="Intermediate","10–25","15–35")) &amp; " 5–15 lines of EXECUTABLE base code. Code outside # TODO MUST be fully valid/readable. If no_def is present in AJ, use flat GenServer skeleton code.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Elixir OTP script challenges | [TOPIC] Implement concurrency and manual state management using spawn/1, send/2, receive, and manual recursion state.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 | Stage 3 🧩 Complete | Elixir OTP | 📊 Level: Advanced | 🌐 Coding5s.com
**Concept:** Concurrency Refresher &amp; Manual State (spawn/1, send/2, receive, manual recursion state)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concurrency and manual state management using spawn/1, send/2, receive, and manual recursion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concurrency and manual state management using spawn/1, send/2, receive, and manual recursion state.. Topic details: Concurrency Refresher &amp; Manual State (spawn/1, send/2, receive, manual recursion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Elixir OTP | 📊 Level: Advanced
**Topic:** Implement concurrency and manual state management using spawn/1, send/2, receive, and manual recursion state.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Implement concurrency and manual state management using spawn/1, send/2, receive, and manual recursion state.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Elixir OTP | 📊 Level: Advanced | 🌐 Coding5s.com
**Concept:** Concurrency Refresher &amp; Manual State (spawn/1, send/2, receive, manual recursion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concurrency and manual state management using spawn/1, send/2, receive, and manual recursion state.. Topic details: Concurrency Refresher &amp; Manual State (spawn/1, send/2, receive, manual recursion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Elixir OTP | 📊 Level: Advanced
**Topic:** Implement concurrency and manual state management using spawn/1, send/2, receive, and manual recursion state.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Elixir OTP Jira Ticket | [TASK] Provide a guided implementation exercise with full solution for learning purposes | [TOPIC] Implement concurrency and manual state management using spawn/1, send/2, receive, and manual recursion state.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Elixir OTP | 📊 Level: Advanced | 🌐 Coding5s.com
**Concept:** Concurrency Refresher &amp; Manual State (spawn/1, send/2, receive, manual recursion state)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concurrency and manual state management using spawn/1, send/2, receive, and manual recursion state.. Goal: Concurrency Refresher &amp; Manual State (spawn/1, send/2, receive, manual recursion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Elixir OTP | 📊 Level: Advanced
**Topic:** Implement concurrency and manual state management using spawn/1, send/2, receive, and manual recursion state.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OTP behaviors (GenServer, Supervisor, Agent, Task), Kernel functions, and BEAM supervision trees. at the top of the code block. Assume no project configuration file exists. | " &amp;
"[CODE_CONSTRAINTS_RULE] Standard OTP process and state validation using ExUnit assert/refute macros and Process tracking. | " &amp;
_xlfn._LONGTEXT("[VISUAL_ARCHITECTURE_COMMENTS]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Mix dependency declarations in mix.exs and mix deps.get for external Hex dependencies when applicable. | " &amp;
"[CHALLENGE_CONSTRAINTS_POLICY] MUST contain 25–40 lines of EXECUTABLE base Elixir OTP code; do NOT count comments or # TODO blocks. " &amp; IF(G9="Beginner","25–40", IF(G9="Intermediate","30–60","40–100")) &amp; " Multi-step OTP process architecture. Max 2 modules, standard GenServer/Agent structure. Integration logic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15</v>
      </c>
      <c r="D10" s="57">
        <v>4</v>
      </c>
      <c r="E10" s="58" t="s">
        <v>46</v>
      </c>
      <c r="F10" s="59">
        <v>2</v>
      </c>
      <c r="G10" s="60" t="s">
        <v>159</v>
      </c>
      <c r="H10" s="60" t="s">
        <v>48</v>
      </c>
      <c r="I10" s="61" t="s">
        <v>727</v>
      </c>
      <c r="J10" s="62" t="s">
        <v>728</v>
      </c>
      <c r="K10" s="129" t="str">
        <f t="shared" ref="K10:K73" si="2">IF(H10="Topic",
"[ROLE] Friendly tutor specializing in " &amp; $I$2 &amp; " | " &amp;
"[TOPIC] " &amp; I10 &amp; " | " &amp;
"[LEVEL] " &amp; G10 &amp; " | " &amp;
"[COUNT] " &amp; D10 &amp; " examples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on stateless GenServer callbacks, init/1, handle_call/3, and primitive messaging structures. DO NOT use complex dynamic supervision trees.", IF(G10="Intermediate", "STRICT REQUIREMENT: Every example MUST use GenServer or Agent implementations inside defmodule, client API wrappers, GenServer.call/cast, and state tuples.", "Advanced OTP patterns: dynamic supervisors (DynamicSupervisor), GenStage/Broadway pipelines, distributed nodes, and custom Supervisor specs.")) &amp; " | " &amp;
_xlfn._LONGTEXT("[CODE_CONSTRAINTS_RULE]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 &amp;
"[I_O_PARADIGM] Use State management via GenServer/Agent process state structures. and gracefully handle Use IO.puts/1 or IO.inspect/2 to display server responses clearly. when applicable. | " &amp;
"[INLINE_PACKAGE_MANAGER] If using external packages, use Native OTP behaviors (GenServer, Supervisor, Agent, Task), Kernel functions, and BEAM supervision trees.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Elixir OTP | [TOPIC] Manage manual monitoring and exits using Process.link/1, Process.monitor/1, and Process.flag/2 with :trap_exit.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Elixir OTP | 📊 Level: Advanced | 🌐 Coding5s.com
**Concept:** Manual Monitoring &amp; Exits (Process.link/1, Process.monitor/1, Process.flag/2 with :trap_exit)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basic GenServer state init, handle_call responses, and simple client wrappers. Do NOT expect dynamic supervisors or multi-node distribution unless demanded.", IF(G10="Intermediate", "Expect clean GenServer/Agent modules, explicit client API boundaries, handle_cast state updates, and @spec typespecs. Enforce zero raw receive-loop emulations.", "Expect modular supervision trees with Supervisor specs, dynamic worker spawning, restart strategies, and process monitoring.")) &amp; " | " &amp;
_xlfn._LONGTEXT("[CODE_QUALITY_POLICIES]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manual monitoring and exits using Process.link/1, Process.monitor/1, and Process.flag/2 with :trap_exit.. Topic details: Manual Monitoring &amp; Exits (Process.link/1, Process.monitor/1, Process.flag/2 with :trap_exit)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Elixir OTP | 📊 Level: Advanced
**Topic:** Manage manual monitoring and exits using Process.link/1, Process.monitor/1, and Process.flag/2 with :trap_exit.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 &amp;
"[TESTING_FRAMEWORK_RULE] Validate with IO output or simple ExUnit assert/refute macros. Avoid complex suites, setup chains, or excessive test scaffolding. | " &amp;
"[DEPENDENCY_MANAGEMENT_RULE] Standard Mix/Elixir context. If external packages are needed, declare them only in mix.exs and install with mix deps.get. | " &amp;
"[CODE CONSTRAINTS] Each challenge MUST include GenServer/Agent process use, at least 1 IO.puts/IO.inspect, state transformation, EXACTLY 1 OTP module, and EXACTLY 1 process call/cast. - " &amp; IF(G10="Beginner", "5–15", IF(G10="Intermediate", "10–25", "15–35")) &amp; _xlfn._LONGTEXT(" lines of EXECUTABLE broken Elixir OTP code per challenge; exclude blank lines. NO raw process receive loops and NO top-level executable expressions EXCEPT the startup and call flow. | All challenges MUST maintain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Elixir OTP Developer | [TASK] Generate debugging challenges in Elixir OTP | | [TOPIC] Manage manual monitoring and exits using Process.link/1, Process.monitor/1, and Process.flag/2 with :trap_exit.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 | Stage 2 🐛 Debug | Elixir OTP | 📊 Level: Advanced | 🌐 Coding5s.com
Concept: Manual Monitoring &amp; Exits (Process.link/1, Process.monitor/1, Process.flag/2 with :trap_exit)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manual monitoring and exits using Process.link/1, Process.monitor/1, and Process.flag/2 with :trap_exit.. Topic details: Manual Monitoring &amp; Exits (Process.link/1, Process.monitor/1, Process.flag/2 with :trap_exit)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Elixir OTP | 📊 Level: Advanced
**Topic:** Manage manual monitoring and exits using Process.link/1, Process.monitor/1, and Process.flag/2 with :trap_exit.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Elixir/OTP modules only. Strictly ZERO external Hex packages for beginner topics. | " &amp;
"[TESTING_FRAMEWORK_PROTOCOL] Simple console-output verification via IO.puts/1 or IO.inspect/2. | " &amp;
"[CHALLENGE_CONSTRAINTS_POLICY] For Beginner level, # TODO MUST be atomic: 1–2 simple lines max, e.g. state tuple return, GenServer call, direct comparison, or simple pattern match. NO complex IO capture or process mocking. - " &amp; IF(G10="Beginner","5–15", IF(G10="Intermediate","10–25","15–35")) &amp; " 5–15 lines of EXECUTABLE base code. Code outside # TODO MUST be fully valid/readable. If no_def is present in AJ, use flat GenServer skeleton code.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Elixir OTP script challenges | [TOPIC] Manage manual monitoring and exits using Process.link/1, Process.monitor/1, and Process.flag/2 with :trap_exit.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 | Stage 3 🧩 Complete | Elixir OTP | 📊 Level: Advanced | 🌐 Coding5s.com
**Concept:** Manual Monitoring &amp; Exits (Process.link/1, Process.monitor/1, Process.flag/2 with :trap_exit)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manual monitoring and exits using Process.link/1, Process.monitor/1, and Process.flag/2 with :trap_exit..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manual monitoring and exits using Process.link/1, Process.monitor/1, and Process.flag/2 with :trap_exit.. Topic details: Manual Monitoring &amp; Exits (Process.link/1, Process.monitor/1, Process.flag/2 with :trap_exit)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Elixir OTP | 📊 Level: Advanced
**Topic:** Manage manual monitoring and exits using Process.link/1, Process.monitor/1, and Process.flag/2 with :trap_exit.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Manage manual monitoring and exits using Process.link/1, Process.monitor/1, and Process.flag/2 with :trap_exit.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Elixir OTP | 📊 Level: Advanced | 🌐 Coding5s.com
**Concept:** Manual Monitoring &amp; Exits (Process.link/1, Process.monitor/1, Process.flag/2 with :trap_exit)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manual monitoring and exits using Process.link/1, Process.monitor/1, and Process.flag/2 with :trap_exit.. Topic details: Manual Monitoring &amp; Exits (Process.link/1, Process.monitor/1, Process.flag/2 with :trap_exit)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Elixir OTP | 📊 Level: Advanced
**Topic:** Manage manual monitoring and exits using Process.link/1, Process.monitor/1, and Process.flag/2 with :trap_exit.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Elixir OTP Jira Ticket | [TASK] Provide a guided implementation exercise with full solution for learning purposes | [TOPIC] Manage manual monitoring and exits using Process.link/1, Process.monitor/1, and Process.flag/2 with :trap_exit.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Elixir OTP | 📊 Level: Advanced | 🌐 Coding5s.com
**Concept:** Manual Monitoring &amp; Exits (Process.link/1, Process.monitor/1, Process.flag/2 with :trap_exit)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manual monitoring and exits using Process.link/1, Process.monitor/1, and Process.flag/2 with :trap_exit.. Goal: Manual Monitoring &amp; Exits (Process.link/1, Process.monitor/1, Process.flag/2 with :trap_exit)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Elixir OTP | 📊 Level: Advanced
**Topic:** Manage manual monitoring and exits using Process.link/1, Process.monitor/1, and Process.flag/2 with :trap_exit.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OTP behaviors (GenServer, Supervisor, Agent, Task), Kernel functions, and BEAM supervision trees. at the top of the code block. Assume no project configuration file exists. | " &amp;
"[CODE_CONSTRAINTS_RULE] Standard OTP process and state validation using ExUnit assert/refute macros and Process tracking. | " &amp;
_xlfn._LONGTEXT("[VISUAL_ARCHITECTURE_COMMENTS]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Mix dependency declarations in mix.exs and mix deps.get for external Hex dependencies when applicable. | " &amp;
"[CHALLENGE_CONSTRAINTS_POLICY] MUST contain 25–40 lines of EXECUTABLE base Elixir OTP code; do NOT count comments or # TODO blocks. " &amp; IF(G10="Beginner","25–40", IF(G10="Intermediate","30–60","40–100")) &amp; " Multi-step OTP process architecture. Max 2 modules, standard GenServer/Agent structure. Integration logic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20</v>
      </c>
      <c r="D11" s="46">
        <v>4</v>
      </c>
      <c r="E11" s="58" t="s">
        <v>46</v>
      </c>
      <c r="F11" s="48">
        <v>3</v>
      </c>
      <c r="G11" s="49" t="s">
        <v>159</v>
      </c>
      <c r="H11" s="49" t="s">
        <v>48</v>
      </c>
      <c r="I11" s="50" t="s">
        <v>729</v>
      </c>
      <c r="J11" s="51" t="s">
        <v>730</v>
      </c>
      <c r="K11" s="129" t="str">
        <f t="shared" si="2"/>
        <v xml:space="preserve">[ROLE] Friendly tutor specializing in Elixir OTP | [TOPIC] Create OTP behaviours and implement inversion of control utilizing @behaviour, @callback, behaviour modules, and callback-driven architecture.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Elixir OTP | 📊 Level: Advanced | 🌐 Coding5s.com
**Concept:** OTP Behaviours &amp; Inversion of Control (@behaviour, @callback, behaviour modules, callback-driven architecture)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OTP behaviours and implement inversion of control utilizing @behaviour, @callback, behaviour modules, and callback-driven architecture.. Topic details: OTP Behaviours &amp; Inversion of Control (@behaviour, @callback, behaviour modules, callback-driven architecture)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Elixir OTP | 📊 Level: Advanced
**Topic:** Create OTP behaviours and implement inversion of control utilizing @behaviour, @callback, behaviour modules, and callback-driven architecture.
---
 | [FOOTER RULE - STRICT] End your response with: '--- ⚡ *Coding5s Mentor System — Eliminating Epistemic Debt*' | </v>
      </c>
      <c r="M11" s="52">
        <v>0</v>
      </c>
      <c r="N11" s="102" t="str">
        <f t="shared" si="4"/>
        <v>[ROLE] Careless Elixir OTP Developer | [TASK] Generate debugging challenges in Elixir OTP | | [TOPIC] Create OTP behaviours and implement inversion of control utilizing @behaviour, @callback, behaviour modules, and callback-driven architecture.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#3 | Stage 2 🐛 Debug | Elixir OTP | 📊 Level: Advanced | 🌐 Coding5s.com
Concept: OTP Behaviours &amp; Inversion of Control (@behaviour, @callback, behaviour modules, callback-driven architecture)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Elixir OTP | 📊 Level: Advanced
**Topic:** Create OTP behaviours and implement inversion of control utilizing @behaviour, @callback, behaviour modules, and callback-driven architecture.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Elixir OTP script challenges | [TOPIC] Create OTP behaviours and implement inversion of control utilizing @behaviour, @callback, behaviour modules, and callback-driven architecture.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#3 | Stage 3 🧩 Complete | Elixir OTP | 📊 Level: Advanced | 🌐 Coding5s.com
**Concept:** OTP Behaviours &amp; Inversion of Control (@behaviour, @callback, behaviour modules, callback-driven architecture)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OTP behaviours and implement inversion of control utilizing @behaviour, @callback, behaviour modules, and callback-driven architecture..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Elixir OTP | 📊 Level: Advanced
**Topic:** Create OTP behaviours and implement inversion of control utilizing @behaviour, @callback, behaviour modules, and callback-driven architecture.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Create OTP behaviours and implement inversion of control utilizing @behaviour, @callback, behaviour modules, and callback-driven architecture.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Elixir OTP | 📊 Level: Advanced | 🌐 Coding5s.com
**Concept:** OTP Behaviours &amp; Inversion of Control (@behaviour, @callback, behaviour modules, callback-driven architecture)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Elixir OTP | 📊 Level: Advanced
**Topic:** Create OTP behaviours and implement inversion of control utilizing @behaviour, @callback, behaviour modules, and callback-driven architecture.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Elixir OTP Jira Ticket | [TASK] Provide a guided implementation exercise with full solution for learning purposes | [TOPIC] Create OTP behaviours and implement inversion of control utilizing @behaviour, @callback, behaviour modules, and callback-driven architecture.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Elixir OTP | 📊 Level: Advanced | 🌐 Coding5s.com
**Concept:** OTP Behaviours &amp; Inversion of Control (@behaviour, @callback, behaviour modules, callback-driven architecture)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OTP behaviours and implement inversion of control utilizing @behaviour, @callback, behaviour modules, and callback-driven architecture.. Goal: OTP Behaviours &amp; Inversion of Control (@behaviour, @callback, behaviour modules, callback-driven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Elixir OTP | 📊 Level: Advanced
**Topic:** Create OTP behaviours and implement inversion of control utilizing @behaviour, @callback, behaviour modules, and callback-driven architecture.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15</v>
      </c>
      <c r="D12" s="57">
        <v>3</v>
      </c>
      <c r="E12" s="58" t="s">
        <v>46</v>
      </c>
      <c r="F12" s="59">
        <v>4</v>
      </c>
      <c r="G12" s="60" t="s">
        <v>159</v>
      </c>
      <c r="H12" s="60" t="s">
        <v>48</v>
      </c>
      <c r="I12" s="61" t="s">
        <v>731</v>
      </c>
      <c r="J12" s="62" t="s">
        <v>732</v>
      </c>
      <c r="K12" s="129" t="str">
        <f t="shared" si="2"/>
        <v xml:space="preserve">[ROLE] Friendly tutor specializing in Elixir OTP | [TOPIC] Implement encapsulated state with Agents using Agent.start_link/2, Agent.get/3, Agent.update/3, and Agent.cast/2.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Elixir OTP | 📊 Level: Advanced | 🌐 Coding5s.com
**Concept:** Encapsulated State with Agents (Agent.start_link/2, Agent.get/3, Agent.update/3, Agent.cast/2)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encapsulated state with Agents using Agent.start_link/2, Agent.get/3, Agent.update/3, and Agent.cast/2.. Topic details: Encapsulated State with Agents (Agent.start_link/2, Agent.get/3, Agent.update/3, Agent.cast/2)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Elixir OTP | 📊 Level: Advanced
**Topic:** Implement encapsulated state with Agents using Agent.start_link/2, Agent.get/3, Agent.update/3, and Agent.cast/2.
---
 | [FOOTER RULE - STRICT] End your response with: '--- ⚡ *Coding5s Mentor System — Eliminating Epistemic Debt*' | </v>
      </c>
      <c r="M12" s="52">
        <v>0</v>
      </c>
      <c r="N12" s="102" t="str">
        <f t="shared" si="4"/>
        <v>[ROLE] Careless Elixir OTP Developer | [TASK] Generate debugging challenges in Elixir OTP | | [TOPIC] Implement encapsulated state with Agents using Agent.start_link/2, Agent.get/3, Agent.update/3, and Agent.cast/2.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#4 | Stage 2 🐛 Debug | Elixir OTP | 📊 Level: Advanced | 🌐 Coding5s.com
Concept: Encapsulated State with Agents (Agent.start_link/2, Agent.get/3, Agent.update/3, Agent.cast/2)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encapsulated state with Agents using Agent.start_link/2, Agent.get/3, Agent.update/3, and Agent.cast/2.. Topic details: Encapsulated State with Agents (Agent.start_link/2, Agent.get/3, Agent.update/3, Agent.cast/2)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Elixir OTP | 📊 Level: Advanced
**Topic:** Implement encapsulated state with Agents using Agent.start_link/2, Agent.get/3, Agent.update/3, and Agent.cast/2.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Elixir OTP script challenges | [TOPIC] Implement encapsulated state with Agents using Agent.start_link/2, Agent.get/3, Agent.update/3, and Agent.cast/2.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#4 | Stage 3 🧩 Complete | Elixir OTP | 📊 Level: Advanced | 🌐 Coding5s.com
**Concept:** Encapsulated State with Agents (Agent.start_link/2, Agent.get/3, Agent.update/3, Agent.cast/2)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encapsulated state with Agents using Agent.start_link/2, Agent.get/3, Agent.update/3, and Agent.cast/2..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encapsulated state with Agents using Agent.start_link/2, Agent.get/3, Agent.update/3, and Agent.cast/2.. Topic details: Encapsulated State with Agents (Agent.start_link/2, Agent.get/3, Agent.update/3, Agent.cast/2)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Elixir OTP | 📊 Level: Advanced
**Topic:** Implement encapsulated state with Agents using Agent.start_link/2, Agent.get/3, Agent.update/3, and Agent.cast/2.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Implement encapsulated state with Agents using Agent.start_link/2, Agent.get/3, Agent.update/3, and Agent.cast/2.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Elixir OTP | 📊 Level: Advanced | 🌐 Coding5s.com
**Concept:** Encapsulated State with Agents (Agent.start_link/2, Agent.get/3, Agent.update/3, Agent.cast/2)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encapsulated state with Agents using Agent.start_link/2, Agent.get/3, Agent.update/3, and Agent.cast/2.. Topic details: Encapsulated State with Agents (Agent.start_link/2, Agent.get/3, Agent.update/3, Agent.cast/2)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Elixir OTP | 📊 Level: Advanced
**Topic:** Implement encapsulated state with Agents using Agent.start_link/2, Agent.get/3, Agent.update/3, and Agent.cast/2.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Elixir OTP Jira Ticket | [TASK] Provide a guided implementation exercise with full solution for learning purposes | [TOPIC] Implement encapsulated state with Agents using Agent.start_link/2, Agent.get/3, Agent.update/3, and Agent.cast/2.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Elixir OTP | 📊 Level: Advanced | 🌐 Coding5s.com
**Concept:** Encapsulated State with Agents (Agent.start_link/2, Agent.get/3, Agent.update/3, Agent.cast/2)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encapsulated state with Agents using Agent.start_link/2, Agent.get/3, Agent.update/3, and Agent.cast/2.. Goal: Encapsulated State with Agents (Agent.start_link/2, Agent.get/3, Agent.update/3, Agent.cast/2)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Elixir OTP | 📊 Level: Advanced
**Topic:** Implement encapsulated state with Agents using Agent.start_link/2, Agent.get/3, Agent.update/3, and Agent.cast/2.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25</v>
      </c>
      <c r="D13" s="46">
        <v>4</v>
      </c>
      <c r="E13" s="58" t="s">
        <v>46</v>
      </c>
      <c r="F13" s="48">
        <v>5</v>
      </c>
      <c r="G13" s="49" t="s">
        <v>159</v>
      </c>
      <c r="H13" s="49" t="s">
        <v>48</v>
      </c>
      <c r="I13" s="50" t="s">
        <v>733</v>
      </c>
      <c r="J13" s="51" t="s">
        <v>734</v>
      </c>
      <c r="K13" s="129" t="str">
        <f t="shared" si="2"/>
        <v xml:space="preserve">[ROLE] Friendly tutor specializing in Elixir OTP | [TOPIC] Construct GenServer core structures and synchronous flows using use GenServer, init/1, GenServer.call/3, and handle_call/3.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Elixir OTP | 📊 Level: Advanced | 🌐 Coding5s.com
**Concept:** GenServer Core &amp; Synchronous Flow (use GenServer, init/1, GenServer.call/3, handle_call/3)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GenServer core structures and synchronous flows using use GenServer, init/1, GenServer.call/3, and handle_call/3.. Topic details: GenServer Core &amp; Synchronous Flow (use GenServer, init/1, GenServer.call/3, handle_call/3)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Elixir OTP | 📊 Level: Advanced
**Topic:** Construct GenServer core structures and synchronous flows using use GenServer, init/1, GenServer.call/3, and handle_call/3.
---
 | [FOOTER RULE - STRICT] End your response with: '--- ⚡ *Coding5s Mentor System — Eliminating Epistemic Debt*' | </v>
      </c>
      <c r="M13" s="52">
        <v>0</v>
      </c>
      <c r="N13" s="102" t="str">
        <f t="shared" si="4"/>
        <v>[ROLE] Careless Elixir OTP Developer | [TASK] Generate debugging challenges in Elixir OTP | | [TOPIC] Construct GenServer core structures and synchronous flows using use GenServer, init/1, GenServer.call/3, and handle_call/3.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#5 | Stage 2 🐛 Debug | Elixir OTP | 📊 Level: Advanced | 🌐 Coding5s.com
Concept: GenServer Core &amp; Synchronous Flow (use GenServer, init/1, GenServer.call/3, handle_call/3)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GenServer core structures and synchronous flows using use GenServer, init/1, GenServer.call/3, and handle_call/3.. Topic details: GenServer Core &amp; Synchronous Flow (use GenServer, init/1, GenServer.call/3, handle_call/3)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Elixir OTP | 📊 Level: Advanced
**Topic:** Construct GenServer core structures and synchronous flows using use GenServer, init/1, GenServer.call/3, and handle_call/3.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Elixir OTP script challenges | [TOPIC] Construct GenServer core structures and synchronous flows using use GenServer, init/1, GenServer.call/3, and handle_call/3.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#5 | Stage 3 🧩 Complete | Elixir OTP | 📊 Level: Advanced | 🌐 Coding5s.com
**Concept:** GenServer Core &amp; Synchronous Flow (use GenServer, init/1, GenServer.call/3, handle_call/3)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GenServer core structures and synchronous flows using use GenServer, init/1, GenServer.call/3, and handle_call/3..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GenServer core structures and synchronous flows using use GenServer, init/1, GenServer.call/3, and handle_call/3.. Topic details: GenServer Core &amp; Synchronous Flow (use GenServer, init/1, GenServer.call/3, handle_call/3)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Elixir OTP | 📊 Level: Advanced
**Topic:** Construct GenServer core structures and synchronous flows using use GenServer, init/1, GenServer.call/3, and handle_call/3.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Construct GenServer core structures and synchronous flows using use GenServer, init/1, GenServer.call/3, and handle_call/3.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Elixir OTP | 📊 Level: Advanced | 🌐 Coding5s.com
**Concept:** GenServer Core &amp; Synchronous Flow (use GenServer, init/1, GenServer.call/3, handle_call/3)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Construct GenServer core structures and synchronous flows using use GenServer, init/1, GenServer.call/3, and handle_call/3.. Topic details: GenServer Core &amp; Synchronous Flow (use GenServer, init/1, GenServer.call/3, handle_call/3)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Elixir OTP | 📊 Level: Advanced
**Topic:** Construct GenServer core structures and synchronous flows using use GenServer, init/1, GenServer.call/3, and handle_call/3.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Elixir OTP Jira Ticket | [TASK] Provide a guided implementation exercise with full solution for learning purposes | [TOPIC] Construct GenServer core structures and synchronous flows using use GenServer, init/1, GenServer.call/3, and handle_call/3.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Elixir OTP | 📊 Level: Advanced | 🌐 Coding5s.com
**Concept:** GenServer Core &amp; Synchronous Flow (use GenServer, init/1, GenServer.call/3, handle_call/3)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GenServer core structures and synchronous flows using use GenServer, init/1, GenServer.call/3, and handle_call/3.. Goal: GenServer Core &amp; Synchronous Flow (use GenServer, init/1, GenServer.call/3, handle_call/3)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Elixir OTP | 📊 Level: Advanced
**Topic:** Construct GenServer core structures and synchronous flows using use GenServer, init/1, GenServer.call/3, and handle_call/3.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20</v>
      </c>
      <c r="D14" s="57">
        <v>4</v>
      </c>
      <c r="E14" s="58" t="s">
        <v>46</v>
      </c>
      <c r="F14" s="59">
        <v>6</v>
      </c>
      <c r="G14" s="60" t="s">
        <v>159</v>
      </c>
      <c r="H14" s="60" t="s">
        <v>48</v>
      </c>
      <c r="I14" s="61" t="s">
        <v>735</v>
      </c>
      <c r="J14" s="62" t="s">
        <v>736</v>
      </c>
      <c r="K14" s="129" t="str">
        <f t="shared" si="2"/>
        <v xml:space="preserve">[ROLE] Friendly tutor specializing in Elixir OTP | [TOPIC] Implement asynchronous flow and deferred initialization using GenServer.cast/2, handle_cast/2, and handle_continue/2 for non-blocking init.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Elixir OTP | 📊 Level: Advanced | 🌐 Coding5s.com
**Concept:** Asynchronous Flow &amp; Deferred Init (GenServer.cast/2, handle_cast/2, handle_continue/2 for non-blocking init)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flow and deferred initialization using GenServer.cast/2, handle_cast/2, and handle_continue/2 for non-blocking init.. Topic details: Asynchronous Flow &amp; Deferred Init (GenServer.cast/2, handle_cast/2, handle_continue/2 for non-blocking init)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Elixir OTP | 📊 Level: Advanced
**Topic:** Implement asynchronous flow and deferred initialization using GenServer.cast/2, handle_cast/2, and handle_continue/2 for non-blocking init.
---
 | [FOOTER RULE - STRICT] End your response with: '--- ⚡ *Coding5s Mentor System — Eliminating Epistemic Debt*' | </v>
      </c>
      <c r="M14" s="52">
        <v>0</v>
      </c>
      <c r="N14" s="102" t="str">
        <f t="shared" si="4"/>
        <v>[ROLE] Careless Elixir OTP Developer | [TASK] Generate debugging challenges in Elixir OTP | | [TOPIC] Implement asynchronous flow and deferred initialization using GenServer.cast/2, handle_cast/2, and handle_continue/2 for non-blocking init.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#6 | Stage 2 🐛 Debug | Elixir OTP | 📊 Level: Advanced | 🌐 Coding5s.com
Concept: Asynchronous Flow &amp; Deferred Init (GenServer.cast/2, handle_cast/2, handle_continue/2 for non-blocking init)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Elixir OTP | 📊 Level: Advanced
**Topic:** Implement asynchronous flow and deferred initialization using GenServer.cast/2, handle_cast/2, and handle_continue/2 for non-blocking init.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Elixir OTP script challenges | [TOPIC] Implement asynchronous flow and deferred initialization using GenServer.cast/2, handle_cast/2, and handle_continue/2 for non-blocking init.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#6 | Stage 3 🧩 Complete | Elixir OTP | 📊 Level: Advanced | 🌐 Coding5s.com
**Concept:** Asynchronous Flow &amp; Deferred Init (GenServer.cast/2, handle_cast/2, handle_continue/2 for non-blocking init)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flow and deferred initialization using GenServer.cast/2, handle_cast/2, and handle_continue/2 for non-blocking init..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Elixir OTP | 📊 Level: Advanced
**Topic:** Implement asynchronous flow and deferred initialization using GenServer.cast/2, handle_cast/2, and handle_continue/2 for non-blocking init.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Implement asynchronous flow and deferred initialization using GenServer.cast/2, handle_cast/2, and handle_continue/2 for non-blocking init.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Elixir OTP | 📊 Level: Advanced | 🌐 Coding5s.com
**Concept:** Asynchronous Flow &amp; Deferred Init (GenServer.cast/2, handle_cast/2, handle_continue/2 for non-blocking init)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Elixir OTP | 📊 Level: Advanced
**Topic:** Implement asynchronous flow and deferred initialization using GenServer.cast/2, handle_cast/2, and handle_continue/2 for non-blocking init.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Elixir OTP Jira Ticket | [TASK] Provide a guided implementation exercise with full solution for learning purposes | [TOPIC] Implement asynchronous flow and deferred initialization using GenServer.cast/2, handle_cast/2, and handle_continue/2 for non-blocking init.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Elixir OTP | 📊 Level: Advanced | 🌐 Coding5s.com
**Concept:** Asynchronous Flow &amp; Deferred Init (GenServer.cast/2, handle_cast/2, handle_continue/2 for non-blocking init)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flow and deferred initialization using GenServer.cast/2, handle_cast/2, and handle_continue/2 for non-blocking init.. Goal: Asynchronous Flow &amp; Deferred Init (GenServer.cast/2, handle_cast/2, handle_continue/2 for non-blocking init)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Elixir OTP | 📊 Level: Advanced
**Topic:** Implement asynchronous flow and deferred initialization using GenServer.cast/2, handle_cast/2, and handle_continue/2 for non-blocking init.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25</v>
      </c>
      <c r="D15" s="46">
        <v>5</v>
      </c>
      <c r="E15" s="58" t="s">
        <v>46</v>
      </c>
      <c r="F15" s="48">
        <v>7</v>
      </c>
      <c r="G15" s="49" t="s">
        <v>159</v>
      </c>
      <c r="H15" s="49" t="s">
        <v>48</v>
      </c>
      <c r="I15" s="50" t="s">
        <v>737</v>
      </c>
      <c r="J15" s="51" t="s">
        <v>738</v>
      </c>
      <c r="K15" s="129" t="str">
        <f t="shared" si="2"/>
        <v xml:space="preserve">[ROLE] Friendly tutor specializing in Elixir OTP | [TOPIC] Manage internal events, tickers, and lifecycle using send/2 to self, Process.send_after/3 for periodic work, handle_info/2, terminate/2, and Timeouts.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Elixir OTP | 📊 Level: Advanced | 🌐 Coding5s.com
**Concept:** Internal Events, Tickers &amp; Lifecycle (send/2 to self, Process.send_after/3 for periodic work, handle_info/2, terminate/2, Timeouts)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internal events, tickers, and lifecycle using send/2 to self, Process.send_after/3 for periodic work, handle_info/2, terminate/2, and Timeouts.. Topic details: Internal Events, Tickers &amp; Lifecycle (send/2 to self, Process.send_after/3 for periodic work, handle_info/2, terminate/2, Timeouts)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Elixir OTP | 📊 Level: Advanced
**Topic:** Manage internal events, tickers, and lifecycle using send/2 to self, Process.send_after/3 for periodic work, handle_info/2, terminate/2, and Timeouts.
---
 | [FOOTER RULE - STRICT] End your response with: '--- ⚡ *Coding5s Mentor System — Eliminating Epistemic Debt*' | </v>
      </c>
      <c r="M15" s="52">
        <v>0</v>
      </c>
      <c r="N15" s="102" t="str">
        <f t="shared" si="4"/>
        <v>[ROLE] Careless Elixir OTP Developer | [TASK] Generate debugging challenges in Elixir OTP | | [TOPIC] Manage internal events, tickers, and lifecycle using send/2 to self, Process.send_after/3 for periodic work, handle_info/2, terminate/2, and Timeouts.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#7 | Stage 2 🐛 Debug | Elixir OTP | 📊 Level: Advanced | 🌐 Coding5s.com
Concept: Internal Events, Tickers &amp; Lifecycle (send/2 to self, Process.send_after/3 for periodic work, handle_info/2, terminate/2, Timeouts)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Elixir OTP | 📊 Level: Advanced
**Topic:** Manage internal events, tickers, and lifecycle using send/2 to self, Process.send_after/3 for periodic work, handle_info/2, terminate/2, and Timeouts.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Elixir OTP script challenges | [TOPIC] Manage internal events, tickers, and lifecycle using send/2 to self, Process.send_after/3 for periodic work, handle_info/2, terminate/2, and Timeouts.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#7 | Stage 3 🧩 Complete | Elixir OTP | 📊 Level: Advanced | 🌐 Coding5s.com
**Concept:** Internal Events, Tickers &amp; Lifecycle (send/2 to self, Process.send_after/3 for periodic work, handle_info/2, terminate/2, Timeouts)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internal events, tickers, and lifecycle using send/2 to self, Process.send_after/3 for periodic work, handle_info/2, terminate/2, and Timeouts..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Elixir OTP | 📊 Level: Advanced
**Topic:** Manage internal events, tickers, and lifecycle using send/2 to self, Process.send_after/3 for periodic work, handle_info/2, terminate/2, and Timeouts.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Manage internal events, tickers, and lifecycle using send/2 to self, Process.send_after/3 for periodic work, handle_info/2, terminate/2, and Timeouts.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Elixir OTP | 📊 Level: Advanced | 🌐 Coding5s.com
**Concept:** Internal Events, Tickers &amp; Lifecycle (send/2 to self, Process.send_after/3 for periodic work, handle_info/2, terminate/2, Timeouts)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Elixir OTP | 📊 Level: Advanced
**Topic:** Manage internal events, tickers, and lifecycle using send/2 to self, Process.send_after/3 for periodic work, handle_info/2, terminate/2, and Timeouts.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Elixir OTP Jira Ticket | [TASK] Provide a guided implementation exercise with full solution for learning purposes | [TOPIC] Manage internal events, tickers, and lifecycle using send/2 to self, Process.send_after/3 for periodic work, handle_info/2, terminate/2, and Timeouts.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Elixir OTP | 📊 Level: Advanced | 🌐 Coding5s.com
**Concept:** Internal Events, Tickers &amp; Lifecycle (send/2 to self, Process.send_after/3 for periodic work, handle_info/2, terminate/2, Timeouts)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internal events, tickers, and lifecycle using send/2 to self, Process.send_after/3 for periodic work, handle_info/2, terminate/2, and Timeouts.. Goal: Internal Events, Tickers &amp; Lifecycle (send/2 to self, Process.send_after/3 for periodic work, handle_info/2, terminate/2,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Elixir OTP | 📊 Level: Advanced
**Topic:** Manage internal events, tickers, and lifecycle using send/2 to self, Process.send_after/3 for periodic work, handle_info/2, terminate/2, and Timeouts.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xml:space="preserve">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v>
      </c>
      <c r="B16" s="45">
        <f t="shared" si="1"/>
        <v>1</v>
      </c>
      <c r="C16" s="95" t="s">
        <v>739</v>
      </c>
      <c r="D16" s="57">
        <v>0</v>
      </c>
      <c r="E16" s="58" t="s">
        <v>46</v>
      </c>
      <c r="F16" s="59">
        <v>8</v>
      </c>
      <c r="G16" s="60" t="s">
        <v>159</v>
      </c>
      <c r="H16" s="60" t="s">
        <v>77</v>
      </c>
      <c r="I16" s="61" t="s">
        <v>740</v>
      </c>
      <c r="J16" s="62" t="s">
        <v>741</v>
      </c>
      <c r="K16" s="129" t="str">
        <f t="shared" si="2"/>
        <v>[TASK] Teach through a practical Elixir OTP -  project following the micro-learning methodology, acting as a supportive tutor, creating a project about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OTP | 📊 Level: Advanced | 🌐 Coding5s.com
**Project:** PROJECT: Basic OTP State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interactive encapsulated state system utilizing spawn/1, send/2, receive, Agents, and GenServer core callbacks.. Topics applied in this project: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Elixir OTP | 📊 Level: Advanced
**Project:** Build an interactive encapsulated state system utilizing spawn/1, send/2, receive, Agents, and GenServer core callbacks.
---
 | [FOOTER RULE - STRICT] End your response with: '--- ⚡ *Coding5s Mentor System — Eliminating Epistemic Debt*' | </v>
      </c>
      <c r="M16" s="52">
        <v>0</v>
      </c>
      <c r="N16" s="102" t="str">
        <f t="shared" si="4"/>
        <v>[ROLE] Careless Elixir OTP Developer | [TASK] Generate debugging project in Elixir OTP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[OUTPUT] Only header, dataset summary or statement (if any), email intro, objective, expected output, broken code, and footer | [HEADER RULE - STRICT] You MUST start your entire response EXACTLY with this markdown block (do not print anything before it):
### 🚀 Project #8 | Stage 2 | Elixir OTP | 📊 Level: Advanced | 🌐 Coding5s.com
Project: PROJECT: Basic OTP State Manager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Elixir OTP | 📊 Level: Advanced
**Project:** Build an interactive encapsulated state system utilizing spawn/1, send/2, receive, Agents, and GenServer core callbacks.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project script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OTP | 📊 Level: Advanced | 🌐 Coding5s.com
**Project:** PROJECT: Basic OTP State Manager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Elixir OTP | 📊 Level: Advanced
**Project:** Build an interactive encapsulated state system utilizing spawn/1, send/2, receive, Agents, and GenServer core callbacks.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a messy but functional project for refactoring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Tech Lead. A junior wrote this working but messy code. Tone: professional but exhausted | [HEADER RULE - STRICT] You MUST start your entire response EXACTLY with this markdown block (do not print anything before it):
### 🚀 Project #8 | Stage 4 | Elixir OTP | 📊 Level: Advanced | 🌐 Coding5s.com
**Project:** PROJECT: Basic OTP State Manager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Elixir OTP | 📊 Level: Advanced
**Project:** Build an interactive encapsulated state system utilizing spawn/1, send/2, receive, Agents, and GenServer core callbacks.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Elixir OTP Jira Ticket | [TASK] Provide a guided project implementation with full solution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#8 | Stage 5 | Elixir OTP | 📊 Level: Advanced | 🌐 Coding5s.com
**Project:** PROJECT: Basic OTP State Manager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interactive encapsulated state system utilizing spawn/1, send/2, receive, Agents, and GenServer core callbacks.. Topics integrated: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Business Goal: PROJECT: Basic OTP State 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Elixir OTP | 📊 Level: Advanced
**Project:** Build an interactive encapsulated state system utilizing spawn/1, send/2, receive, Agents, and GenServer core callbacks.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[TASK] Teach through a practical Elixir OTP -  project following the micro-learning methodology, acting as a supportive tutor, creating a project about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OTP | 📊 Level: Advanced | 🌐 Coding5s.com
**Project:** PROJECT: Basic OTP State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3"/>
        <v>[ROLE] Careless Elixir OTP Developer | [TASK] Generate debugging project in Elixir OTP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[OUTPUT] Only header, dataset summary or statement (if any), email intro, objective, expected output, broken code, and footer | [HEADER RULE - STRICT] You MUST start your entire response EXACTLY with this markdown block (do not print anything before it):
### 🚀 Project #8 | Stage 2 | Elixir OTP | 📊 Level: Advanced | 🌐 Coding5s.com
Project: PROJECT: Basic OTP State Manager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4"/>
        <v>[ROLE] Tech Lead | [TASK] Assign incomplete project script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OTP | 📊 Level: Advanced | 🌐 Coding5s.com
**Project:** PROJECT: Basic OTP State Manager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5"/>
        <v>[ROLE] Tech Lead | [TASK] Provide a messy but functional project for refactoring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Tech Lead. A junior wrote this working but messy code. Tone: professional but exhausted | [HEADER RULE - STRICT] You MUST start your entire response EXACTLY with this markdown block (do not print anything before it):
### 🚀 Project #8 | Stage 4 | Elixir OTP | 📊 Level: Advanced | 🌐 Coding5s.com
**Project:** PROJECT: Basic OTP State Manager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6"/>
        <v>[ROLE] Tech Product Manager assigning a Elixir OTP Jira Ticket | [TASK] Provide a guided project implementation with full solution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#8 | Stage 5 | Elixir OTP | 📊 Level: Advanced | 🌐 Coding5s.com
**Project:** PROJECT: Basic OTP State Manager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20</v>
      </c>
      <c r="D17" s="46">
        <v>4</v>
      </c>
      <c r="E17" s="58" t="s">
        <v>46</v>
      </c>
      <c r="F17" s="48">
        <v>9</v>
      </c>
      <c r="G17" s="49" t="s">
        <v>159</v>
      </c>
      <c r="H17" s="49" t="s">
        <v>48</v>
      </c>
      <c r="I17" s="50" t="s">
        <v>742</v>
      </c>
      <c r="J17" s="51" t="s">
        <v>743</v>
      </c>
      <c r="K17" s="129" t="str">
        <f t="shared" si="2"/>
        <v xml:space="preserve">[ROLE] Friendly tutor specializing in Elixir OTP | [TOPIC] Design state modeling patterns using Maps as state, Structs as state, nested state transitions, and process ownership design.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Elixir OTP | 📊 Level: Advanced | 🌐 Coding5s.com
**Concept:** State Modeling Patterns (Maps as state, Structs as state, nested state transitions, process ownership design)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state modeling patterns using Maps as state, Structs as state, nested state transitions, and process ownership design.. Topic details: State Modeling Patterns (Maps as state, Structs as state, nested state transitions, process ownership design)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Elixir OTP | 📊 Level: Advanced
**Topic:** Design state modeling patterns using Maps as state, Structs as state, nested state transitions, and process ownership design.
---
 | [FOOTER RULE - STRICT] End your response with: '--- ⚡ *Coding5s Mentor System — Eliminating Epistemic Debt*' | </v>
      </c>
      <c r="M17" s="53">
        <v>0</v>
      </c>
      <c r="N17" s="102" t="str">
        <f t="shared" si="4"/>
        <v>[ROLE] Careless Elixir OTP Developer | [TASK] Generate debugging challenges in Elixir OTP | | [TOPIC] Design state modeling patterns using Maps as state, Structs as state, nested state transitions, and process ownership design.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#9 | Stage 2 🐛 Debug | Elixir OTP | 📊 Level: Advanced | 🌐 Coding5s.com
Concept: State Modeling Patterns (Maps as state, Structs as state, nested state transitions, process ownership design)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Elixir OTP | 📊 Level: Advanced
**Topic:** Design state modeling patterns using Maps as state, Structs as state, nested state transitions, and process ownership design.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Elixir OTP script challenges | [TOPIC] Design state modeling patterns using Maps as state, Structs as state, nested state transitions, and process ownership design.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#9 | Stage 3 🧩 Complete | Elixir OTP | 📊 Level: Advanced | 🌐 Coding5s.com
**Concept:** State Modeling Patterns (Maps as state, Structs as state, nested state transitions, process ownership design)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state modeling patterns using Maps as state, Structs as state, nested state transitions, and process ownership design..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Elixir OTP | 📊 Level: Advanced
**Topic:** Design state modeling patterns using Maps as state, Structs as state, nested state transitions, and process ownership design.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Design state modeling patterns using Maps as state, Structs as state, nested state transitions, and process ownership design.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Elixir OTP | 📊 Level: Advanced | 🌐 Coding5s.com
**Concept:** State Modeling Patterns (Maps as state, Structs as state, nested state transitions, process ownership design)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Elixir OTP | 📊 Level: Advanced
**Topic:** Design state modeling patterns using Maps as state, Structs as state, nested state transitions, and process ownership design.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Elixir OTP Jira Ticket | [TASK] Provide a guided implementation exercise with full solution for learning purposes | [TOPIC] Design state modeling patterns using Maps as state, Structs as state, nested state transitions, and process ownership design.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Elixir OTP | 📊 Level: Advanced | 🌐 Coding5s.com
**Concept:** State Modeling Patterns (Maps as state, Structs as state, nested state transitions, process ownership design)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state modeling patterns using Maps as state, Structs as state, nested state transitions, and process ownership design.. Goal: State Modeling Patterns (Maps as state, Structs as state, nested state transitions, process ownership design)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Elixir OTP | 📊 Level: Advanced
**Topic:** Design state modeling patterns using Maps as state, Structs as state, nested state transitions, and process ownership design.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15</v>
      </c>
      <c r="D18" s="57">
        <v>3</v>
      </c>
      <c r="E18" s="58" t="s">
        <v>46</v>
      </c>
      <c r="F18" s="59">
        <v>10</v>
      </c>
      <c r="G18" s="60" t="s">
        <v>159</v>
      </c>
      <c r="H18" s="60" t="s">
        <v>48</v>
      </c>
      <c r="I18" s="61" t="s">
        <v>744</v>
      </c>
      <c r="J18" s="62" t="s">
        <v>745</v>
      </c>
      <c r="K18" s="129" t="str">
        <f t="shared" si="2"/>
        <v xml:space="preserve">[ROLE] Friendly tutor specializing in Elixir OTP | [TOPIC] Implement local registration and global basics using Local name: atom, Process.whereis/1, Process.register/2, and the :global module.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Elixir OTP | 📊 Level: Advanced | 🌐 Coding5s.com
**Concept:** Local Registration &amp; Global Basics (Local name: atom, Process.whereis/1, Process.register/2, :global module)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local registration and global basics using Local name: atom, Process.whereis/1, Process.register/2, and the :global module.. Topic details: Local Registration &amp; Global Basics (Local name: atom, Process.whereis/1, Process.register/2, :global module)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Elixir OTP | 📊 Level: Advanced
**Topic:** Implement local registration and global basics using Local name: atom, Process.whereis/1, Process.register/2, and the :global module.
---
 | [FOOTER RULE - STRICT] End your response with: '--- ⚡ *Coding5s Mentor System — Eliminating Epistemic Debt*' | </v>
      </c>
      <c r="M18" s="52">
        <v>0</v>
      </c>
      <c r="N18" s="102" t="str">
        <f t="shared" si="4"/>
        <v>[ROLE] Careless Elixir OTP Developer | [TASK] Generate debugging challenges in Elixir OTP | | [TOPIC] Implement local registration and global basics using Local name: atom, Process.whereis/1, Process.register/2, and the :global module.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#10 | Stage 2 🐛 Debug | Elixir OTP | 📊 Level: Advanced | 🌐 Coding5s.com
Concept: Local Registration &amp; Global Basics (Local name: atom, Process.whereis/1, Process.register/2, :global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local registration and global basics using Local name: atom, Process.whereis/1, Process.register/2, and the :global module.. Topic details: Local Registration &amp; Global Basics (Local name: atom, Process.whereis/1, Process.register/2, :global module)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Elixir OTP | 📊 Level: Advanced
**Topic:** Implement local registration and global basics using Local name: atom, Process.whereis/1, Process.register/2, and the :global module.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Elixir OTP script challenges | [TOPIC] Implement local registration and global basics using Local name: atom, Process.whereis/1, Process.register/2, and the :global module.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#10 | Stage 3 🧩 Complete | Elixir OTP | 📊 Level: Advanced | 🌐 Coding5s.com
**Concept:** Local Registration &amp; Global Basics (Local name: atom, Process.whereis/1, Process.register/2, :global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local registration and global basics using Local name: atom, Process.whereis/1, Process.register/2, and the :global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local registration and global basics using Local name: atom, Process.whereis/1, Process.register/2, and the :global module.. Topic details: Local Registration &amp; Global Basics (Local name: atom, Process.whereis/1, Process.register/2, :global module)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Elixir OTP | 📊 Level: Advanced
**Topic:** Implement local registration and global basics using Local name: atom, Process.whereis/1, Process.register/2, and the :global module.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Implement local registration and global basics using Local name: atom, Process.whereis/1, Process.register/2, and the :global module.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Elixir OTP | 📊 Level: Advanced | 🌐 Coding5s.com
**Concept:** Local Registration &amp; Global Basics (Local name: atom, Process.whereis/1, Process.register/2, :global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local registration and global basics using Local name: atom, Process.whereis/1, Process.register/2, and the :global module.. Topic details: Local Registration &amp; Global Basics (Local name: atom, Process.whereis/1, Process.register/2, :global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Elixir OTP | 📊 Level: Advanced
**Topic:** Implement local registration and global basics using Local name: atom, Process.whereis/1, Process.register/2, and the :global module.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Elixir OTP Jira Ticket | [TASK] Provide a guided implementation exercise with full solution for learning purposes | [TOPIC] Implement local registration and global basics using Local name: atom, Process.whereis/1, Process.register/2, and the :global module.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Elixir OTP | 📊 Level: Advanced | 🌐 Coding5s.com
**Concept:** Local Registration &amp; Global Basics (Local name: atom, Process.whereis/1, Process.register/2, :global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local registration and global basics using Local name: atom, Process.whereis/1, Process.register/2, and the :global module.. Goal: Local Registration &amp; Global Basics (Local name: atom, Process.whereis/1, Process.register/2, :global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Elixir OTP | 📊 Level: Advanced
**Topic:** Implement local registration and global basics using Local name: atom, Process.whereis/1, Process.register/2, and the :global module.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20</v>
      </c>
      <c r="D19" s="46">
        <v>4</v>
      </c>
      <c r="E19" s="58" t="s">
        <v>46</v>
      </c>
      <c r="F19" s="48">
        <v>11</v>
      </c>
      <c r="G19" s="49" t="s">
        <v>159</v>
      </c>
      <c r="H19" s="49" t="s">
        <v>48</v>
      </c>
      <c r="I19" s="50" t="s">
        <v>746</v>
      </c>
      <c r="J19" s="51" t="s">
        <v>747</v>
      </c>
      <c r="K19" s="129" t="str">
        <f t="shared" si="2"/>
        <v xml:space="preserve">[ROLE] Friendly tutor specializing in Elixir OTP | [TOPIC] Implement dynamic naming with The Registry Module using Registry.start_link/1, Registry.lookup/2, and {:via, Registry, ...} dynamic routing.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Elixir OTP | 📊 Level: Advanced | 🌐 Coding5s.com
**Concept:** The Registry Module &amp; Dynamic Naming (Registry.start_link/1, Registry.lookup/2, {:via, Registry, ...} dynamic routing)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dynamic naming with The Registry Module using Registry.start_link/1, Registry.lookup/2, and {:via, Registry, ...} dynamic routing.. Topic details: The Registry Module &amp; Dynamic Naming (Registry.start_link/1, Registry.lookup/2, {:via, Registry, ...} dynamic routing)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Elixir OTP | 📊 Level: Advanced
**Topic:** Implement dynamic naming with The Registry Module using Registry.start_link/1, Registry.lookup/2, and {:via, Registry, ...} dynamic routing.
---
 | [FOOTER RULE - STRICT] End your response with: '--- ⚡ *Coding5s Mentor System — Eliminating Epistemic Debt*' | </v>
      </c>
      <c r="M19" s="53">
        <v>0</v>
      </c>
      <c r="N19" s="102" t="str">
        <f t="shared" si="4"/>
        <v>[ROLE] Careless Elixir OTP Developer | [TASK] Generate debugging challenges in Elixir OTP | | [TOPIC] Implement dynamic naming with The Registry Module using Registry.start_link/1, Registry.lookup/2, and {:via, Registry, ...} dynamic routing.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#11 | Stage 2 🐛 Debug | Elixir OTP | 📊 Level: Advanced | 🌐 Coding5s.com
Concept: The Registry Module &amp; Dynamic Naming (Registry.start_link/1, Registry.lookup/2, {:via, Registry, ...} dynamic routing)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Elixir OTP | 📊 Level: Advanced
**Topic:** Implement dynamic naming with The Registry Module using Registry.start_link/1, Registry.lookup/2, and {:via, Registry, ...} dynamic routing.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Elixir OTP script challenges | [TOPIC] Implement dynamic naming with The Registry Module using Registry.start_link/1, Registry.lookup/2, and {:via, Registry, ...} dynamic routing.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#11 | Stage 3 🧩 Complete | Elixir OTP | 📊 Level: Advanced | 🌐 Coding5s.com
**Concept:** The Registry Module &amp; Dynamic Naming (Registry.start_link/1, Registry.lookup/2, {:via, Registry, ...} dynamic routing)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dynamic naming with The Registry Module using Registry.start_link/1, Registry.lookup/2, and {:via, Registry, ...} dynamic routing..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Elixir OTP | 📊 Level: Advanced
**Topic:** Implement dynamic naming with The Registry Module using Registry.start_link/1, Registry.lookup/2, and {:via, Registry, ...} dynamic routing.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Implement dynamic naming with The Registry Module using Registry.start_link/1, Registry.lookup/2, and {:via, Registry, ...} dynamic routing.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Elixir OTP | 📊 Level: Advanced | 🌐 Coding5s.com
**Concept:** The Registry Module &amp; Dynamic Naming (Registry.start_link/1, Registry.lookup/2, {:via, Registry, ...} dynamic routing)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Elixir OTP | 📊 Level: Advanced
**Topic:** Implement dynamic naming with The Registry Module using Registry.start_link/1, Registry.lookup/2, and {:via, Registry, ...} dynamic routing.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Elixir OTP Jira Ticket | [TASK] Provide a guided implementation exercise with full solution for learning purposes | [TOPIC] Implement dynamic naming with The Registry Module using Registry.start_link/1, Registry.lookup/2, and {:via, Registry, ...} dynamic routing.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Elixir OTP | 📊 Level: Advanced | 🌐 Coding5s.com
**Concept:** The Registry Module &amp; Dynamic Naming (Registry.start_link/1, Registry.lookup/2, {:via, Registry, ...} dynamic routing)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dynamic naming with The Registry Module using Registry.start_link/1, Registry.lookup/2, and {:via, Registry, ...} dynamic routing.. Goal: The Registry Module &amp; Dynamic Naming (Registry.start_link/1, Registry.lookup/2, {:via, Registry, ...} dynamic routing)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Elixir OTP | 📊 Level: Advanced
**Topic:** Implement dynamic naming with The Registry Module using Registry.start_link/1, Registry.lookup/2, and {:via, Registry, ...} dynamic routing.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25</v>
      </c>
      <c r="D20" s="57">
        <v>4</v>
      </c>
      <c r="E20" s="58" t="s">
        <v>46</v>
      </c>
      <c r="F20" s="59">
        <v>12</v>
      </c>
      <c r="G20" s="60" t="s">
        <v>159</v>
      </c>
      <c r="H20" s="60" t="s">
        <v>48</v>
      </c>
      <c r="I20" s="61" t="s">
        <v>748</v>
      </c>
      <c r="J20" s="62" t="s">
        <v>749</v>
      </c>
      <c r="K20" s="129" t="str">
        <f t="shared" si="2"/>
        <v xml:space="preserve">[ROLE] Friendly tutor specializing in Elixir OTP | [TOPIC] Define Supervisor core and child specifications using use Supervisor, init/1, child_spec/1, shutdown timeouts vs :brutal_kill, and process ownership.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Elixir OTP | 📊 Level: Advanced | 🌐 Coding5s.com
**Concept:** Supervisor Core &amp; Child Specifications (use Supervisor, init/1, child_spec/1, shutdown timeouts vs :brutal_kill, process ownership)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Elixir OTP | 📊 Level: Advanced
**Topic:** Define Supervisor core and child specifications using use Supervisor, init/1, child_spec/1, shutdown timeouts vs :brutal_kill, and process ownership.
---
 | [FOOTER RULE - STRICT] End your response with: '--- ⚡ *Coding5s Mentor System — Eliminating Epistemic Debt*' | </v>
      </c>
      <c r="M20" s="52">
        <v>0</v>
      </c>
      <c r="N20" s="102" t="str">
        <f t="shared" si="4"/>
        <v>[ROLE] Careless Elixir OTP Developer | [TASK] Generate debugging challenges in Elixir OTP | | [TOPIC] Define Supervisor core and child specifications using use Supervisor, init/1, child_spec/1, shutdown timeouts vs :brutal_kill, and process ownership.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#12 | Stage 2 🐛 Debug | Elixir OTP | 📊 Level: Advanced | 🌐 Coding5s.com
Concept: Supervisor Core &amp; Child Specifications (use Supervisor, init/1, child_spec/1, shutdown timeouts vs :brutal_kill, process ownership)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Elixir OTP | 📊 Level: Advanced
**Topic:** Define Supervisor core and child specifications using use Supervisor, init/1, child_spec/1, shutdown timeouts vs :brutal_kill, and process ownership.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Elixir OTP script challenges | [TOPIC] Define Supervisor core and child specifications using use Supervisor, init/1, child_spec/1, shutdown timeouts vs :brutal_kill, and process ownership.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#12 | Stage 3 🧩 Complete | Elixir OTP | 📊 Level: Advanced | 🌐 Coding5s.com
**Concept:** Supervisor Core &amp; Child Specifications (use Supervisor, init/1, child_spec/1, shutdown timeouts vs :brutal_kill, process ownership)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Supervisor core and child specifications using use Supervisor, init/1, child_spec/1, shutdown timeouts vs :brutal_kill, and process ownership..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Elixir OTP | 📊 Level: Advanced
**Topic:** Define Supervisor core and child specifications using use Supervisor, init/1, child_spec/1, shutdown timeouts vs :brutal_kill, and process ownership.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Define Supervisor core and child specifications using use Supervisor, init/1, child_spec/1, shutdown timeouts vs :brutal_kill, and process ownership.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Elixir OTP | 📊 Level: Advanced | 🌐 Coding5s.com
**Concept:** Supervisor Core &amp; Child Specifications (use Supervisor, init/1, child_spec/1, shutdown timeouts vs :brutal_kill, process ownership)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Elixir OTP | 📊 Level: Advanced
**Topic:** Define Supervisor core and child specifications using use Supervisor, init/1, child_spec/1, shutdown timeouts vs :brutal_kill, and process ownership.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Elixir OTP Jira Ticket | [TASK] Provide a guided implementation exercise with full solution for learning purposes | [TOPIC] Define Supervisor core and child specifications using use Supervisor, init/1, child_spec/1, shutdown timeouts vs :brutal_kill, and process ownership.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Elixir OTP | 📊 Level: Advanced | 🌐 Coding5s.com
**Concept:** Supervisor Core &amp; Child Specifications (use Supervisor, init/1, child_spec/1, shutdown timeouts vs :brutal_kill, process ownership)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Supervisor core and child specifications using use Supervisor, init/1, child_spec/1, shutdown timeouts vs :brutal_kill, and process ownership.. Goal: Supervisor Core &amp; Child Specifications (use Supervisor, init/1, child_spec/1, shutdown timeouts vs :brutal_kill, process ownership)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Elixir OTP | 📊 Level: Advanced
**Topic:** Define Supervisor core and child specifications using use Supervisor, init/1, child_spec/1, shutdown timeouts vs :brutal_kill, and process ownership.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20</v>
      </c>
      <c r="D21" s="46">
        <v>4</v>
      </c>
      <c r="E21" s="58" t="s">
        <v>46</v>
      </c>
      <c r="F21" s="48">
        <v>13</v>
      </c>
      <c r="G21" s="49" t="s">
        <v>159</v>
      </c>
      <c r="H21" s="49" t="s">
        <v>48</v>
      </c>
      <c r="I21" s="50" t="s">
        <v>750</v>
      </c>
      <c r="J21" s="51" t="s">
        <v>751</v>
      </c>
      <c r="K21" s="129" t="str">
        <f t="shared" si="2"/>
        <v xml:space="preserve">[ROLE] Friendly tutor specializing in Elixir OTP | [TOPIC] Configure Supervisor strategies and tuning using :one_for_one, :one_for_all, :rest_for_one, and max_restarts/max_seconds.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Elixir OTP | 📊 Level: Advanced | 🌐 Coding5s.com
**Concept:** Supervisor Strategies &amp; Tuning (:one_for_one, :one_for_all, :rest_for_one, max_restarts/max_seconds)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Supervisor strategies and tuning using :one_for_one, :one_for_all, :rest_for_one, and max_restarts/max_seconds.. Topic details: Supervisor Strategies &amp; Tuning (:one_for_one, :one_for_all, :rest_for_one, max_restarts/max_seconds)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Elixir OTP | 📊 Level: Advanced
**Topic:** Configure Supervisor strategies and tuning using :one_for_one, :one_for_all, :rest_for_one, and max_restarts/max_seconds.
---
 | [FOOTER RULE - STRICT] End your response with: '--- ⚡ *Coding5s Mentor System — Eliminating Epistemic Debt*' | </v>
      </c>
      <c r="M21" s="53">
        <v>0</v>
      </c>
      <c r="N21" s="102" t="str">
        <f t="shared" si="4"/>
        <v>[ROLE] Careless Elixir OTP Developer | [TASK] Generate debugging challenges in Elixir OTP | | [TOPIC] Configure Supervisor strategies and tuning using :one_for_one, :one_for_all, :rest_for_one, and max_restarts/max_seconds.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#13 | Stage 2 🐛 Debug | Elixir OTP | 📊 Level: Advanced | 🌐 Coding5s.com
Concept: Supervisor Strategies &amp; Tuning (:one_for_one, :one_for_all, :rest_for_one, max_restarts/max_seconds)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Supervisor strategies and tuning using :one_for_one, :one_for_all, :rest_for_one, and max_restarts/max_seconds.. Topic details: Supervisor Strategies &amp; Tuning (:one_for_one, :one_for_all, :rest_for_one, max_restarts/max_seconds)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Elixir OTP | 📊 Level: Advanced
**Topic:** Configure Supervisor strategies and tuning using :one_for_one, :one_for_all, :rest_for_one, and max_restarts/max_seconds.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Elixir OTP script challenges | [TOPIC] Configure Supervisor strategies and tuning using :one_for_one, :one_for_all, :rest_for_one, and max_restarts/max_seconds.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#13 | Stage 3 🧩 Complete | Elixir OTP | 📊 Level: Advanced | 🌐 Coding5s.com
**Concept:** Supervisor Strategies &amp; Tuning (:one_for_one, :one_for_all, :rest_for_one, max_restarts/max_seconds)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Supervisor strategies and tuning using :one_for_one, :one_for_all, :rest_for_one, and max_restarts/max_seconds..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Supervisor strategies and tuning using :one_for_one, :one_for_all, :rest_for_one, and max_restarts/max_seconds.. Topic details: Supervisor Strategies &amp; Tuning (:one_for_one, :one_for_all, :rest_for_one, max_restarts/max_seconds)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Elixir OTP | 📊 Level: Advanced
**Topic:** Configure Supervisor strategies and tuning using :one_for_one, :one_for_all, :rest_for_one, and max_restarts/max_seconds.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Configure Supervisor strategies and tuning using :one_for_one, :one_for_all, :rest_for_one, and max_restarts/max_seconds.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Elixir OTP | 📊 Level: Advanced | 🌐 Coding5s.com
**Concept:** Supervisor Strategies &amp; Tuning (:one_for_one, :one_for_all, :rest_for_one, max_restarts/max_seconds)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Configure Supervisor strategies and tuning using :one_for_one, :one_for_all, :rest_for_one, and max_restarts/max_seconds.. Topic details: Supervisor Strategies &amp; Tuning (:one_for_one, :one_for_all, :rest_for_one, max_restarts/max_seconds)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Elixir OTP | 📊 Level: Advanced
**Topic:** Configure Supervisor strategies and tuning using :one_for_one, :one_for_all, :rest_for_one, and max_restarts/max_seconds.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Elixir OTP Jira Ticket | [TASK] Provide a guided implementation exercise with full solution for learning purposes | [TOPIC] Configure Supervisor strategies and tuning using :one_for_one, :one_for_all, :rest_for_one, and max_restarts/max_seconds.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Elixir OTP | 📊 Level: Advanced | 🌐 Coding5s.com
**Concept:** Supervisor Strategies &amp; Tuning (:one_for_one, :one_for_all, :rest_for_one, max_restarts/max_seconds)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Supervisor strategies and tuning using :one_for_one, :one_for_all, :rest_for_one, and max_restarts/max_seconds.. Goal: Supervisor Strategies &amp; Tuning (:one_for_one, :one_for_all, :rest_for_one, max_restarts/max_seconds)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Elixir OTP | 📊 Level: Advanced
**Topic:** Configure Supervisor strategies and tuning using :one_for_one, :one_for_all, :rest_for_one, and max_restarts/max_seconds.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30</v>
      </c>
      <c r="D22" s="57">
        <v>5</v>
      </c>
      <c r="E22" s="58" t="s">
        <v>46</v>
      </c>
      <c r="F22" s="59">
        <v>14</v>
      </c>
      <c r="G22" s="60" t="s">
        <v>159</v>
      </c>
      <c r="H22" s="60" t="s">
        <v>48</v>
      </c>
      <c r="I22" s="61" t="s">
        <v>752</v>
      </c>
      <c r="J22" s="62" t="s">
        <v>753</v>
      </c>
      <c r="K22" s="129" t="str">
        <f t="shared" si="2"/>
        <v xml:space="preserve">[ROLE] Friendly tutor specializing in Elixir OTP | [TOPIC] Architect Supervision trees and dynamic supervisors using parent-child cascades, DynamicSupervisor, start_child/2, and failure domains.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30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Elixir OTP | 📊 Level: Advanced | 🌐 Coding5s.com
**Concept:** Supervision Trees &amp; Dynamic Supervisors (Architecting parent-child cascades, DynamicSupervisor, start_child/2, failure domains)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Supervision trees and dynamic supervisors using parent-child cascades, DynamicSupervisor, start_child/2, and failure domains.. Topic details: Supervision Trees &amp; Dynamic Supervisors (Architecting parent-child cascades, DynamicSupervisor, start_child/2, failure domains)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Elixir OTP | 📊 Level: Advanced
**Topic:** Architect Supervision trees and dynamic supervisors using parent-child cascades, DynamicSupervisor, start_child/2, and failure domains.
---
 | [FOOTER RULE - STRICT] End your response with: '--- ⚡ *Coding5s Mentor System — Eliminating Epistemic Debt*' | </v>
      </c>
      <c r="M22" s="52">
        <v>0</v>
      </c>
      <c r="N22" s="102" t="str">
        <f t="shared" si="4"/>
        <v>[ROLE] Careless Elixir OTP Developer | [TASK] Generate debugging challenges in Elixir OTP | | [TOPIC] Architect Supervision trees and dynamic supervisors using parent-child cascades, DynamicSupervisor, start_child/2, and failure domains.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#14 | Stage 2 🐛 Debug | Elixir OTP | 📊 Level: Advanced | 🌐 Coding5s.com
Concept: Supervision Trees &amp; Dynamic Supervisors (Architecting parent-child cascades, DynamicSupervisor, start_child/2, failure domains)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Elixir OTP | 📊 Level: Advanced
**Topic:** Architect Supervision trees and dynamic supervisors using parent-child cascades, DynamicSupervisor, start_child/2, and failure domains.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Elixir OTP script challenges | [TOPIC] Architect Supervision trees and dynamic supervisors using parent-child cascades, DynamicSupervisor, start_child/2, and failure domains.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#14 | Stage 3 🧩 Complete | Elixir OTP | 📊 Level: Advanced | 🌐 Coding5s.com
**Concept:** Supervision Trees &amp; Dynamic Supervisors (Architecting parent-child cascades, DynamicSupervisor, start_child/2, failure domains)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Supervision trees and dynamic supervisors using parent-child cascades, DynamicSupervisor, start_child/2, and failure domains..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Elixir OTP | 📊 Level: Advanced
**Topic:** Architect Supervision trees and dynamic supervisors using parent-child cascades, DynamicSupervisor, start_child/2, and failure domains.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Architect Supervision trees and dynamic supervisors using parent-child cascades, DynamicSupervisor, start_child/2, and failure domains.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Elixir OTP | 📊 Level: Advanced | 🌐 Coding5s.com
**Concept:** Supervision Trees &amp; Dynamic Supervisors (Architecting parent-child cascades, DynamicSupervisor, start_child/2, failure domains)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Elixir OTP | 📊 Level: Advanced
**Topic:** Architect Supervision trees and dynamic supervisors using parent-child cascades, DynamicSupervisor, start_child/2, and failure domains.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Elixir OTP Jira Ticket | [TASK] Provide a guided implementation exercise with full solution for learning purposes | [TOPIC] Architect Supervision trees and dynamic supervisors using parent-child cascades, DynamicSupervisor, start_child/2, and failure domains.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Elixir OTP | 📊 Level: Advanced | 🌐 Coding5s.com
**Concept:** Supervision Trees &amp; Dynamic Supervisors (Architecting parent-child cascades, DynamicSupervisor, start_child/2, failure domains)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Supervision trees and dynamic supervisors using parent-child cascades, DynamicSupervisor, start_child/2, and failure domains.. Goal: Supervision Trees &amp; Dynamic Supervisors (Architecting parent-child cascades, DynamicSupervisor, start_child/2, failure domains)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Elixir OTP | 📊 Level: Advanced
**Topic:** Architect Supervision trees and dynamic supervisors using parent-child cascades, DynamicSupervisor, start_child/2, and failure domains.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15</v>
      </c>
      <c r="D23" s="46">
        <v>5</v>
      </c>
      <c r="E23" s="58" t="s">
        <v>708</v>
      </c>
      <c r="F23" s="48">
        <v>15</v>
      </c>
      <c r="G23" s="49" t="s">
        <v>159</v>
      </c>
      <c r="H23" s="49" t="s">
        <v>48</v>
      </c>
      <c r="I23" s="50" t="s">
        <v>754</v>
      </c>
      <c r="J23" s="51" t="s">
        <v>755</v>
      </c>
      <c r="K23" s="129" t="str">
        <f t="shared" si="2"/>
        <v xml:space="preserve">[ROLE] Friendly tutor specializing in Elixir OTP | [TOPIC] Execute asynchronous tasks and bounded concurrency using Task.async/1, Task.await/2, Task.yield/2, and Task.async_stream/3 for safe massive processing.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Elixir OTP | 📊 Level: Advanced | 🌐 Coding5s.com
**Concept:** Asynchronous Tasks &amp; Bounded Concurrency (Task.async/1, Task.await/2, Task.yield/2, Task.async_stream/3 for safe massive processing)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asynchronous tasks and bounded concurrency using Task.async/1, Task.await/2, Task.yield/2, and Task.async_stream/3 for safe massive processing.. Topic details: Asynchronous Tasks &amp; Bounded Concurrency (Task.async/1, Task.await/2, Task.yield/2, Task.async_stream/3 for safe massive processing)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Elixir OTP | 📊 Level: Advanced
**Topic:** Execute asynchronous tasks and bounded concurrency using Task.async/1, Task.await/2, Task.yield/2, and Task.async_stream/3 for safe massive processing.
---
 | [FOOTER RULE - STRICT] End your response with: '--- ⚡ *Coding5s Mentor System — Eliminating Epistemic Debt*' | </v>
      </c>
      <c r="M23" s="53">
        <v>0</v>
      </c>
      <c r="N23" s="102" t="str">
        <f t="shared" si="4"/>
        <v>[ROLE] Careless Elixir OTP Developer | [TASK] Generate debugging challenges in Elixir OTP | | [TOPIC] Execute asynchronous tasks and bounded concurrency using Task.async/1, Task.await/2, Task.yield/2, and Task.async_stream/3 for safe massive processing.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#15 | Stage 2 🐛 Debug | Elixir OTP | 📊 Level: Advanced | 🌐 Coding5s.com
Concept: Asynchronous Tasks &amp; Bounded Concurrency (Task.async/1, Task.await/2, Task.yield/2, Task.async_stream/3 for safe massive processing)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Elixir OTP | 📊 Level: Advanced
**Topic:** Execute asynchronous tasks and bounded concurrency using Task.async/1, Task.await/2, Task.yield/2, and Task.async_stream/3 for safe massive processing.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Elixir OTP script challenges | [TOPIC] Execute asynchronous tasks and bounded concurrency using Task.async/1, Task.await/2, Task.yield/2, and Task.async_stream/3 for safe massive processing.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#15 | Stage 3 🧩 Complete | Elixir OTP | 📊 Level: Advanced | 🌐 Coding5s.com
**Concept:** Asynchronous Tasks &amp; Bounded Concurrency (Task.async/1, Task.await/2, Task.yield/2, Task.async_stream/3 for safe massive processing)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asynchronous tasks and bounded concurrency using Task.async/1, Task.await/2, Task.yield/2, and Task.async_stream/3 for safe massive processing..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Elixir OTP | 📊 Level: Advanced
**Topic:** Execute asynchronous tasks and bounded concurrency using Task.async/1, Task.await/2, Task.yield/2, and Task.async_stream/3 for safe massive processing.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Execute asynchronous tasks and bounded concurrency using Task.async/1, Task.await/2, Task.yield/2, and Task.async_stream/3 for safe massive processing.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Elixir OTP | 📊 Level: Advanced | 🌐 Coding5s.com
**Concept:** Asynchronous Tasks &amp; Bounded Concurrency (Task.async/1, Task.await/2, Task.yield/2, Task.async_stream/3 for safe massive processing)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Elixir OTP | 📊 Level: Advanced
**Topic:** Execute asynchronous tasks and bounded concurrency using Task.async/1, Task.await/2, Task.yield/2, and Task.async_stream/3 for safe massive processing.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Elixir OTP Jira Ticket | [TASK] Provide a guided implementation exercise with full solution for learning purposes | [TOPIC] Execute asynchronous tasks and bounded concurrency using Task.async/1, Task.await/2, Task.yield/2, and Task.async_stream/3 for safe massive processing.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Elixir OTP | 📊 Level: Advanced | 🌐 Coding5s.com
**Concept:** Asynchronous Tasks &amp; Bounded Concurrency (Task.async/1, Task.await/2, Task.yield/2, Task.async_stream/3 for safe massive processing)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asynchronous tasks and bounded concurrency using Task.async/1, Task.await/2, Task.yield/2, and Task.async_stream/3 for safe massive processing.. Goal: Asynchronous Tasks &amp; Bounded Concurrency (Task.async/1, Task.await/2, Task.yield/2, Task.async_stream/3 for safe massive processing)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Elixir OTP | 📊 Level: Advanced
**Topic:** Execute asynchronous tasks and bounded concurrency using Task.async/1, Task.await/2, Task.yield/2, and Task.async_stream/3 for safe massive processing.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v>
      </c>
      <c r="B24" s="45">
        <f t="shared" si="1"/>
        <v>2</v>
      </c>
      <c r="C24" s="95" t="s">
        <v>739</v>
      </c>
      <c r="D24" s="57">
        <v>0</v>
      </c>
      <c r="E24" s="58" t="s">
        <v>708</v>
      </c>
      <c r="F24" s="59">
        <v>16</v>
      </c>
      <c r="G24" s="60" t="s">
        <v>159</v>
      </c>
      <c r="H24" s="60" t="s">
        <v>77</v>
      </c>
      <c r="I24" s="61" t="s">
        <v>756</v>
      </c>
      <c r="J24" s="62" t="s">
        <v>757</v>
      </c>
      <c r="K24" s="129" t="str">
        <f t="shared" si="2"/>
        <v>[TASK] Teach through a practical Elixir OTP -  project following the micro-learning methodology, acting as a supportive tutor, creating a project about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OTP | 📊 Level: Advanced | 🌐 Coding5s.com
**Project:** PROJECT: Resilient Job Processor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fault-tolerant job processing system utilizing DynamicSupervisor, Registry, and Task.async_stream/3.. Topics applied in this project: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Elixir OTP | 📊 Level: Advanced
**Project:** Develop a fault-tolerant job processing system utilizing DynamicSupervisor, Registry, and Task.async_stream/3.
---
 | [FOOTER RULE - STRICT] End your response with: '--- ⚡ *Coding5s Mentor System — Eliminating Epistemic Debt*' | </v>
      </c>
      <c r="M24" s="52">
        <v>0</v>
      </c>
      <c r="N24" s="102" t="str">
        <f t="shared" si="4"/>
        <v>[ROLE] Careless Elixir OTP Developer | [TASK] Generate debugging project in Elixir OTP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[OUTPUT] Only header, dataset summary or statement (if any), email intro, objective, expected output, broken code, and footer | [HEADER RULE - STRICT] You MUST start your entire response EXACTLY with this markdown block (do not print anything before it):
### 🚀 Project #16 | Stage 2 | Elixir OTP | 📊 Level: Advanced | 🌐 Coding5s.com
Project: PROJECT: Resilient Job Processor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Elixir OTP | 📊 Level: Advanced
**Project:** Develop a fault-tolerant job processing system utilizing DynamicSupervisor, Registry, and Task.async_stream/3.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project script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OTP | 📊 Level: Advanced | 🌐 Coding5s.com
**Project:** PROJECT: Resilient Job Processor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Elixir OTP | 📊 Level: Advanced
**Project:** Develop a fault-tolerant job processing system utilizing DynamicSupervisor, Registry, and Task.async_stream/3.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a messy but functional project for refactoring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Tech Lead. A junior wrote this working but messy code. Tone: professional but exhausted | [HEADER RULE - STRICT] You MUST start your entire response EXACTLY with this markdown block (do not print anything before it):
### 🚀 Project #16 | Stage 4 | Elixir OTP | 📊 Level: Advanced | 🌐 Coding5s.com
**Project:** PROJECT: Resilient Job Processor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Elixir OTP | 📊 Level: Advanced
**Project:** Develop a fault-tolerant job processing system utilizing DynamicSupervisor, Registry, and Task.async_stream/3.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Elixir OTP Jira Ticket | [TASK] Provide a guided project implementation with full solution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#16 | Stage 5 | Elixir OTP | 📊 Level: Advanced | 🌐 Coding5s.com
**Project:** PROJECT: Resilient Job Processor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fault-tolerant job processing system utilizing DynamicSupervisor, Registry, and Task.async_stream/3.. Topics integrated: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Business Goal: PROJECT: Resilient Job Processor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Elixir OTP | 📊 Level: Advanced
**Project:** Develop a fault-tolerant job processing system utilizing DynamicSupervisor, Registry, and Task.async_stream/3.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[TASK] Teach through a practical Elixir OTP -  project following the micro-learning methodology, acting as a supportive tutor, creating a project about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OTP | 📊 Level: Advanced | 🌐 Coding5s.com
**Project:** PROJECT: Resilient Job Processor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3"/>
        <v>[ROLE] Careless Elixir OTP Developer | [TASK] Generate debugging project in Elixir OTP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[OUTPUT] Only header, dataset summary or statement (if any), email intro, objective, expected output, broken code, and footer | [HEADER RULE - STRICT] You MUST start your entire response EXACTLY with this markdown block (do not print anything before it):
### 🚀 Project #16 | Stage 2 | Elixir OTP | 📊 Level: Advanced | 🌐 Coding5s.com
Project: PROJECT: Resilient Job Processor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4"/>
        <v>[ROLE] Tech Lead | [TASK] Assign incomplete project script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OTP | 📊 Level: Advanced | 🌐 Coding5s.com
**Project:** PROJECT: Resilient Job Processor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5"/>
        <v>[ROLE] Tech Lead | [TASK] Provide a messy but functional project for refactoring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Tech Lead. A junior wrote this working but messy code. Tone: professional but exhausted | [HEADER RULE - STRICT] You MUST start your entire response EXACTLY with this markdown block (do not print anything before it):
### 🚀 Project #16 | Stage 4 | Elixir OTP | 📊 Level: Advanced | 🌐 Coding5s.com
**Project:** PROJECT: Resilient Job Processor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6"/>
        <v>[ROLE] Tech Product Manager assigning a Elixir OTP Jira Ticket | [TASK] Provide a guided project implementation with full solution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#16 | Stage 5 | Elixir OTP | 📊 Level: Advanced | 🌐 Coding5s.com
**Project:** PROJECT: Resilient Job Processor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18</v>
      </c>
      <c r="D25" s="46">
        <v>3</v>
      </c>
      <c r="E25" s="58" t="s">
        <v>46</v>
      </c>
      <c r="F25" s="48">
        <v>17</v>
      </c>
      <c r="G25" s="49" t="s">
        <v>159</v>
      </c>
      <c r="H25" s="49" t="s">
        <v>48</v>
      </c>
      <c r="I25" s="50" t="s">
        <v>758</v>
      </c>
      <c r="J25" s="51" t="s">
        <v>759</v>
      </c>
      <c r="K25" s="129" t="str">
        <f t="shared" si="2"/>
        <v xml:space="preserve">[ROLE] Friendly tutor specializing in Elixir OTP | [TOPIC] Manage unlinked tasks and task supervision using Task.start/1, Task.Supervisor, and Task.Supervisor.async_nolink/2.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Elixir OTP | 📊 Level: Advanced | 🌐 Coding5s.com
**Concept:** Unlinked Tasks &amp; Task Supervision (Task.start/1, Task.Supervisor, Task.Supervisor.async_nolink/2)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unlinked tasks and task supervision using Task.start/1, Task.Supervisor, and Task.Supervisor.async_nolink/2.. Topic details: Unlinked Tasks &amp; Task Supervision (Task.start/1, Task.Supervisor, Task.Supervisor.async_nolink/2)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Elixir OTP | 📊 Level: Advanced
**Topic:** Manage unlinked tasks and task supervision using Task.start/1, Task.Supervisor, and Task.Supervisor.async_nolink/2.
---
 | [FOOTER RULE - STRICT] End your response with: '--- ⚡ *Coding5s Mentor System — Eliminating Epistemic Debt*' | </v>
      </c>
      <c r="M25" s="53">
        <v>0</v>
      </c>
      <c r="N25" s="102" t="str">
        <f t="shared" si="4"/>
        <v>[ROLE] Careless Elixir OTP Developer | [TASK] Generate debugging challenges in Elixir OTP | | [TOPIC] Manage unlinked tasks and task supervision using Task.start/1, Task.Supervisor, and Task.Supervisor.async_nolink/2.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#17 | Stage 2 🐛 Debug | Elixir OTP | 📊 Level: Advanced | 🌐 Coding5s.com
Concept: Unlinked Tasks &amp; Task Supervision (Task.start/1, Task.Supervisor, Task.Supervisor.async_nolink/2)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unlinked tasks and task supervision using Task.start/1, Task.Supervisor, and Task.Supervisor.async_nolink/2.. Topic details: Unlinked Tasks &amp; Task Supervision (Task.start/1, Task.Supervisor, Task.Supervisor.async_nolink/2)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Elixir OTP | 📊 Level: Advanced
**Topic:** Manage unlinked tasks and task supervision using Task.start/1, Task.Supervisor, and Task.Supervisor.async_nolink/2.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Elixir OTP script challenges | [TOPIC] Manage unlinked tasks and task supervision using Task.start/1, Task.Supervisor, and Task.Supervisor.async_nolink/2.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#17 | Stage 3 🧩 Complete | Elixir OTP | 📊 Level: Advanced | 🌐 Coding5s.com
**Concept:** Unlinked Tasks &amp; Task Supervision (Task.start/1, Task.Supervisor, Task.Supervisor.async_nolink/2)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unlinked tasks and task supervision using Task.start/1, Task.Supervisor, and Task.Supervisor.async_nolink/2..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unlinked tasks and task supervision using Task.start/1, Task.Supervisor, and Task.Supervisor.async_nolink/2.. Topic details: Unlinked Tasks &amp; Task Supervision (Task.start/1, Task.Supervisor, Task.Supervisor.async_nolink/2)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Elixir OTP | 📊 Level: Advanced
**Topic:** Manage unlinked tasks and task supervision using Task.start/1, Task.Supervisor, and Task.Supervisor.async_nolink/2.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Manage unlinked tasks and task supervision using Task.start/1, Task.Supervisor, and Task.Supervisor.async_nolink/2.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Elixir OTP | 📊 Level: Advanced | 🌐 Coding5s.com
**Concept:** Unlinked Tasks &amp; Task Supervision (Task.start/1, Task.Supervisor, Task.Supervisor.async_nolink/2)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unlinked tasks and task supervision using Task.start/1, Task.Supervisor, and Task.Supervisor.async_nolink/2.. Topic details: Unlinked Tasks &amp; Task Supervision (Task.start/1, Task.Supervisor, Task.Supervisor.async_nolink/2)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Elixir OTP | 📊 Level: Advanced
**Topic:** Manage unlinked tasks and task supervision using Task.start/1, Task.Supervisor, and Task.Supervisor.async_nolink/2.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Elixir OTP Jira Ticket | [TASK] Provide a guided implementation exercise with full solution for learning purposes | [TOPIC] Manage unlinked tasks and task supervision using Task.start/1, Task.Supervisor, and Task.Supervisor.async_nolink/2.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Elixir OTP | 📊 Level: Advanced | 🌐 Coding5s.com
**Concept:** Unlinked Tasks &amp; Task Supervision (Task.start/1, Task.Supervisor, Task.Supervisor.async_nolink/2)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unlinked tasks and task supervision using Task.start/1, Task.Supervisor, and Task.Supervisor.async_nolink/2.. Goal: Unlinked Tasks &amp; Task Supervision (Task.start/1, Task.Supervisor, Task.Supervisor.async_nolink/2)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Elixir OTP | 📊 Level: Advanced
**Topic:** Manage unlinked tasks and task supervision using Task.start/1, Task.Supervisor, and Task.Supervisor.async_nolink/2.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12</v>
      </c>
      <c r="D26" s="57">
        <v>4</v>
      </c>
      <c r="E26" s="58" t="s">
        <v>708</v>
      </c>
      <c r="F26" s="59">
        <v>18</v>
      </c>
      <c r="G26" s="60" t="s">
        <v>159</v>
      </c>
      <c r="H26" s="60" t="s">
        <v>48</v>
      </c>
      <c r="I26" s="61" t="s">
        <v>760</v>
      </c>
      <c r="J26" s="62" t="s">
        <v>761</v>
      </c>
      <c r="K26" s="129" t="str">
        <f t="shared" si="2"/>
        <v xml:space="preserve">[ROLE] Friendly tutor specializing in Elixir OTP | [TOPIC] Execute ETS core operations using :ets.new, :ets.insert, :ets.lookup, and :ets.delete.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Elixir OTP | 📊 Level: Advanced | 🌐 Coding5s.com
**Concept:** ETS Core Operations (:ets.new, :ets.insert, :ets.lookup, :ets.delete)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ETS core operations using :ets.new, :ets.insert, :ets.lookup, and :ets.delete.. Topic details: ETS Core Operations (:ets.new, :ets.insert, :ets.lookup, :ets.delete)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Elixir OTP | 📊 Level: Advanced
**Topic:** Execute ETS core operations using :ets.new, :ets.insert, :ets.lookup, and :ets.delete.
---
 | [FOOTER RULE - STRICT] End your response with: '--- ⚡ *Coding5s Mentor System — Eliminating Epistemic Debt*' | </v>
      </c>
      <c r="M26" s="52">
        <v>0</v>
      </c>
      <c r="N26" s="102" t="str">
        <f t="shared" si="4"/>
        <v>[ROLE] Careless Elixir OTP Developer | [TASK] Generate debugging challenges in Elixir OTP | | [TOPIC] Execute ETS core operations using :ets.new, :ets.insert, :ets.lookup, and :ets.delete.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#18 | Stage 2 🐛 Debug | Elixir OTP | 📊 Level: Advanced | 🌐 Coding5s.com
Concept: ETS Core Operations (:ets.new, :ets.insert, :ets.lookup, :ets.delete)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ETS core operations using :ets.new, :ets.insert, :ets.lookup, and :ets.delete.. Topic details: ETS Core Operations (:ets.new, :ets.insert, :ets.lookup, :ets.delete)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Elixir OTP | 📊 Level: Advanced
**Topic:** Execute ETS core operations using :ets.new, :ets.insert, :ets.lookup, and :ets.delete.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Elixir OTP script challenges | [TOPIC] Execute ETS core operations using :ets.new, :ets.insert, :ets.lookup, and :ets.delete.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#18 | Stage 3 🧩 Complete | Elixir OTP | 📊 Level: Advanced | 🌐 Coding5s.com
**Concept:** ETS Core Operations (:ets.new, :ets.insert, :ets.lookup, :ets.delete)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ETS core operations using :ets.new, :ets.insert, :ets.lookup, and :ets.delete..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ETS core operations using :ets.new, :ets.insert, :ets.lookup, and :ets.delete.. Topic details: ETS Core Operations (:ets.new, :ets.insert, :ets.lookup, :ets.delete)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Elixir OTP | 📊 Level: Advanced
**Topic:** Execute ETS core operations using :ets.new, :ets.insert, :ets.lookup, and :ets.delete.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Execute ETS core operations using :ets.new, :ets.insert, :ets.lookup, and :ets.delete.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Elixir OTP | 📊 Level: Advanced | 🌐 Coding5s.com
**Concept:** ETS Core Operations (:ets.new, :ets.insert, :ets.lookup, :ets.delete)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ETS core operations using :ets.new, :ets.insert, :ets.lookup, and :ets.delete.. Topic details: ETS Core Operations (:ets.new, :ets.insert, :ets.lookup, :ets.delete)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Elixir OTP | 📊 Level: Advanced
**Topic:** Execute ETS core operations using :ets.new, :ets.insert, :ets.lookup, and :ets.delete.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Elixir OTP Jira Ticket | [TASK] Provide a guided implementation exercise with full solution for learning purposes | [TOPIC] Execute ETS core operations using :ets.new, :ets.insert, :ets.lookup, and :ets.delete.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Elixir OTP | 📊 Level: Advanced | 🌐 Coding5s.com
**Concept:** ETS Core Operations (:ets.new, :ets.insert, :ets.lookup, :ets.delete)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ETS core operations using :ets.new, :ets.insert, :ets.lookup, and :ets.delete.. Goal: ETS Core Operations (:ets.new, :ets.insert, :ets.lookup, :ets.delete)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Elixir OTP | 📊 Level: Advanced
**Topic:** Execute ETS core operations using :ets.new, :ets.insert, :ets.lookup, and :ets.delete.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20</v>
      </c>
      <c r="D27" s="46">
        <v>4</v>
      </c>
      <c r="E27" s="58" t="s">
        <v>708</v>
      </c>
      <c r="F27" s="48">
        <v>19</v>
      </c>
      <c r="G27" s="49" t="s">
        <v>159</v>
      </c>
      <c r="H27" s="49" t="s">
        <v>48</v>
      </c>
      <c r="I27" s="50" t="s">
        <v>762</v>
      </c>
      <c r="J27" s="51" t="s">
        <v>763</v>
      </c>
      <c r="K27" s="129" t="str">
        <f t="shared" si="2"/>
        <v xml:space="preserve">[ROLE] Friendly tutor specializing in Elixir OTP | [TOPIC] Configure ETS ownership and advanced patterns utilizing Table types, heir configuration, :read_concurrency / :write_concurrency optimizations, and ETS vs GenServer selection.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Elixir OTP | 📊 Level: Advanced | 🌐 Coding5s.com
**Concept:** ETS Ownership &amp; Advanced Patterns (Table types, heir configuration, :read_concurrency / :write_concurrency optimizations, ETS vs GenServer selection)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Elixir OTP | 📊 Level: Advanced
**Topic:** Configure ETS ownership and advanced patterns utilizing Table types, heir configuration, :read_concurrency / :write_concurrency optimizations, and ETS vs GenServer selection.
---
 | [FOOTER RULE - STRICT] End your response with: '--- ⚡ *Coding5s Mentor System — Eliminating Epistemic Debt*' | </v>
      </c>
      <c r="M27" s="53">
        <v>0</v>
      </c>
      <c r="N27" s="102" t="str">
        <f t="shared" si="4"/>
        <v>[ROLE] Careless Elixir OTP Developer | [TASK] Generate debugging challenges in Elixir OTP | | [TOPIC] Configure ETS ownership and advanced patterns utilizing Table types, heir configuration, :read_concurrency / :write_concurrency optimizations, and ETS vs GenServer selection.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#19 | Stage 2 🐛 Debug | Elixir OTP | 📊 Level: Advanced | 🌐 Coding5s.com
Concept: ETS Ownership &amp; Advanced Patterns (Table types, heir configuration, :read_concurrency / :write_concurrency optimizations, ETS vs GenServer selection)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Elixir OTP | 📊 Level: Advanced
**Topic:** Configure ETS ownership and advanced patterns utilizing Table types, heir configuration, :read_concurrency / :write_concurrency optimizations, and ETS vs GenServer selection.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Elixir OTP script challenges | [TOPIC] Configure ETS ownership and advanced patterns utilizing Table types, heir configuration, :read_concurrency / :write_concurrency optimizations, and ETS vs GenServer selection.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#19 | Stage 3 🧩 Complete | Elixir OTP | 📊 Level: Advanced | 🌐 Coding5s.com
**Concept:** ETS Ownership &amp; Advanced Patterns (Table types, heir configuration, :read_concurrency / :write_concurrency optimizations, ETS vs GenServer selection)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ETS ownership and advanced patterns utilizing Table types, heir configuration, :read_concurrency / :write_concurrency optimizations, and ETS vs GenServer selection..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Elixir OTP | 📊 Level: Advanced
**Topic:** Configure ETS ownership and advanced patterns utilizing Table types, heir configuration, :read_concurrency / :write_concurrency optimizations, and ETS vs GenServer selection.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Configure ETS ownership and advanced patterns utilizing Table types, heir configuration, :read_concurrency / :write_concurrency optimizations, and ETS vs GenServer selection.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Elixir OTP | 📊 Level: Advanced | 🌐 Coding5s.com
**Concept:** ETS Ownership &amp; Advanced Patterns (Table types, heir configuration, :read_concurrency / :write_concurrency optimizations, ETS vs GenServer selection)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Elixir OTP | 📊 Level: Advanced
**Topic:** Configure ETS ownership and advanced patterns utilizing Table types, heir configuration, :read_concurrency / :write_concurrency optimizations, and ETS vs GenServer selection.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Elixir OTP Jira Ticket | [TASK] Provide a guided implementation exercise with full solution for learning purposes | [TOPIC] Configure ETS ownership and advanced patterns utilizing Table types, heir configuration, :read_concurrency / :write_concurrency optimizations, and ETS vs GenServer selection.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Elixir OTP | 📊 Level: Advanced | 🌐 Coding5s.com
**Concept:** ETS Ownership &amp; Advanced Patterns (Table types, heir configuration, :read_concurrency / :write_concurrency optimizations, ETS vs GenServer selection)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ETS ownership and advanced patterns utilizing Table types, heir configuration, :read_concurrency / :write_concurrency optimizations, and ETS vs GenServer selection.. Goal: ETS Ownership &amp; Advanced Patterns (Table types, heir configuration, :read_concurrency / :write_concurrency optimizations, ETS vs GenServer selection)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Elixir OTP | 📊 Level: Advanced
**Topic:** Configure ETS ownership and advanced patterns utilizing Table types, heir configuration, :read_concurrency / :write_concurrency optimizations, and ETS vs GenServer selection.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20</v>
      </c>
      <c r="D28" s="57">
        <v>3</v>
      </c>
      <c r="E28" s="58" t="s">
        <v>46</v>
      </c>
      <c r="F28" s="59">
        <v>20</v>
      </c>
      <c r="G28" s="60" t="s">
        <v>159</v>
      </c>
      <c r="H28" s="60" t="s">
        <v>48</v>
      </c>
      <c r="I28" s="61" t="s">
        <v>764</v>
      </c>
      <c r="J28" s="62" t="s">
        <v>765</v>
      </c>
      <c r="K28" s="129" t="str">
        <f t="shared" si="2"/>
        <v xml:space="preserve">[ROLE] Friendly tutor specializing in Elixir OTP | [TOPIC] Define Application behavior and environment using use Application, start/2, Config scripts, and Application.get_env/3.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Elixir OTP | 📊 Level: Advanced | 🌐 Coding5s.com
**Concept:** Application Behavior &amp; Environment (use Application, start/2, Config scripts, Application.get_env/3)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Application behavior and environment using use Application, start/2, Config scripts, and Application.get_env/3.. Topic details: Application Behavior &amp; Environment (use Application, start/2, Config scripts, Application.get_env/3)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Elixir OTP | 📊 Level: Advanced
**Topic:** Define Application behavior and environment using use Application, start/2, Config scripts, and Application.get_env/3.
---
 | [FOOTER RULE - STRICT] End your response with: '--- ⚡ *Coding5s Mentor System — Eliminating Epistemic Debt*' | </v>
      </c>
      <c r="M28" s="52">
        <v>0</v>
      </c>
      <c r="N28" s="102" t="str">
        <f t="shared" si="4"/>
        <v>[ROLE] Careless Elixir OTP Developer | [TASK] Generate debugging challenges in Elixir OTP | | [TOPIC] Define Application behavior and environment using use Application, start/2, Config scripts, and Application.get_env/3.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#20 | Stage 2 🐛 Debug | Elixir OTP | 📊 Level: Advanced | 🌐 Coding5s.com
Concept: Application Behavior &amp; Environment (use Application, start/2, Config scripts, Application.get_env/3)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Application behavior and environment using use Application, start/2, Config scripts, and Application.get_env/3.. Topic details: Application Behavior &amp; Environment (use Application, start/2, Config scripts, Application.get_env/3)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Elixir OTP | 📊 Level: Advanced
**Topic:** Define Application behavior and environment using use Application, start/2, Config scripts, and Application.get_env/3.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Elixir OTP script challenges | [TOPIC] Define Application behavior and environment using use Application, start/2, Config scripts, and Application.get_env/3.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#20 | Stage 3 🧩 Complete | Elixir OTP | 📊 Level: Advanced | 🌐 Coding5s.com
**Concept:** Application Behavior &amp; Environment (use Application, start/2, Config scripts, Application.get_env/3)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Application behavior and environment using use Application, start/2, Config scripts, and Application.get_env/3..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Application behavior and environment using use Application, start/2, Config scripts, and Application.get_env/3.. Topic details: Application Behavior &amp; Environment (use Application, start/2, Config scripts, Application.get_env/3)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Elixir OTP | 📊 Level: Advanced
**Topic:** Define Application behavior and environment using use Application, start/2, Config scripts, and Application.get_env/3.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Define Application behavior and environment using use Application, start/2, Config scripts, and Application.get_env/3.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Elixir OTP | 📊 Level: Advanced | 🌐 Coding5s.com
**Concept:** Application Behavior &amp; Environment (use Application, start/2, Config scripts, Application.get_env/3)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Define Application behavior and environment using use Application, start/2, Config scripts, and Application.get_env/3.. Topic details: Application Behavior &amp; Environment (use Application, start/2, Config scripts, Application.get_env/3)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Elixir OTP | 📊 Level: Advanced
**Topic:** Define Application behavior and environment using use Application, start/2, Config scripts, and Application.get_env/3.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Elixir OTP Jira Ticket | [TASK] Provide a guided implementation exercise with full solution for learning purposes | [TOPIC] Define Application behavior and environment using use Application, start/2, Config scripts, and Application.get_env/3.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Elixir OTP | 📊 Level: Advanced | 🌐 Coding5s.com
**Concept:** Application Behavior &amp; Environment (use Application, start/2, Config scripts, Application.get_env/3)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Application behavior and environment using use Application, start/2, Config scripts, and Application.get_env/3.. Goal: Application Behavior &amp; Environment (use Application, start/2, Config scripts, Application.get_env/3)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Elixir OTP | 📊 Level: Advanced
**Topic:** Define Application behavior and environment using use Application, start/2, Config scripts, and Application.get_env/3.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25</v>
      </c>
      <c r="D29" s="46">
        <v>5</v>
      </c>
      <c r="E29" s="58" t="s">
        <v>46</v>
      </c>
      <c r="F29" s="48">
        <v>21</v>
      </c>
      <c r="G29" s="49" t="s">
        <v>159</v>
      </c>
      <c r="H29" s="49" t="s">
        <v>48</v>
      </c>
      <c r="I29" s="50" t="s">
        <v>766</v>
      </c>
      <c r="J29" s="51" t="s">
        <v>767</v>
      </c>
      <c r="K29" s="129" t="str">
        <f t="shared" si="2"/>
        <v xml:space="preserve">[ROLE] Friendly tutor specializing in Elixir OTP | [TOPIC] Implement complex initialization and releases using start_phases, mix release, runtime.exs, and connecting to running nodes.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Elixir OTP | 📊 Level: Advanced | 🌐 Coding5s.com
**Concept:** Complex Initialization &amp; Releases (start_phases, mix release, runtime.exs, connecting to running nodes)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complex initialization and releases using start_phases, mix release, runtime.exs, and connecting to running nodes.. Topic details: Complex Initialization &amp; Releases (start_phases, mix release, runtime.exs, connecting to running nodes)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Elixir OTP | 📊 Level: Advanced
**Topic:** Implement complex initialization and releases using start_phases, mix release, runtime.exs, and connecting to running nodes.
---
 | [FOOTER RULE - STRICT] End your response with: '--- ⚡ *Coding5s Mentor System — Eliminating Epistemic Debt*' | </v>
      </c>
      <c r="M29" s="53">
        <v>0</v>
      </c>
      <c r="N29" s="102" t="str">
        <f t="shared" si="4"/>
        <v>[ROLE] Careless Elixir OTP Developer | [TASK] Generate debugging challenges in Elixir OTP | | [TOPIC] Implement complex initialization and releases using start_phases, mix release, runtime.exs, and connecting to running nodes.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#21 | Stage 2 🐛 Debug | Elixir OTP | 📊 Level: Advanced | 🌐 Coding5s.com
Concept: Complex Initialization &amp; Releases (start_phases, mix release, runtime.exs, connecting to running nodes)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complex initialization and releases using start_phases, mix release, runtime.exs, and connecting to running nodes.. Topic details: Complex Initialization &amp; Releases (start_phases, mix release, runtime.exs, connecting to running nodes)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Elixir OTP | 📊 Level: Advanced
**Topic:** Implement complex initialization and releases using start_phases, mix release, runtime.exs, and connecting to running nodes.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Elixir OTP script challenges | [TOPIC] Implement complex initialization and releases using start_phases, mix release, runtime.exs, and connecting to running nodes.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#21 | Stage 3 🧩 Complete | Elixir OTP | 📊 Level: Advanced | 🌐 Coding5s.com
**Concept:** Complex Initialization &amp; Releases (start_phases, mix release, runtime.exs, connecting to running nodes)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complex initialization and releases using start_phases, mix release, runtime.exs, and connecting to running nodes..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complex initialization and releases using start_phases, mix release, runtime.exs, and connecting to running nodes.. Topic details: Complex Initialization &amp; Releases (start_phases, mix release, runtime.exs, connecting to running nodes)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Elixir OTP | 📊 Level: Advanced
**Topic:** Implement complex initialization and releases using start_phases, mix release, runtime.exs, and connecting to running nodes.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Implement complex initialization and releases using start_phases, mix release, runtime.exs, and connecting to running nodes.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Elixir OTP | 📊 Level: Advanced | 🌐 Coding5s.com
**Concept:** Complex Initialization &amp; Releases (start_phases, mix release, runtime.exs, connecting to running nodes)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complex initialization and releases using start_phases, mix release, runtime.exs, and connecting to running nodes.. Topic details: Complex Initialization &amp; Releases (start_phases, mix release, runtime.exs, connecting to running nodes)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Elixir OTP | 📊 Level: Advanced
**Topic:** Implement complex initialization and releases using start_phases, mix release, runtime.exs, and connecting to running nodes.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Elixir OTP Jira Ticket | [TASK] Provide a guided implementation exercise with full solution for learning purposes | [TOPIC] Implement complex initialization and releases using start_phases, mix release, runtime.exs, and connecting to running nodes.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Elixir OTP | 📊 Level: Advanced | 🌐 Coding5s.com
**Concept:** Complex Initialization &amp; Releases (start_phases, mix release, runtime.exs, connecting to running nodes)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complex initialization and releases using start_phases, mix release, runtime.exs, and connecting to running nodes.. Goal: Complex Initialization &amp; Releases (start_phases, mix release, runtime.exs, connecting to running nodes)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Elixir OTP | 📊 Level: Advanced
**Topic:** Implement complex initialization and releases using start_phases, mix release, runtime.exs, and connecting to running nodes.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15</v>
      </c>
      <c r="D30" s="57">
        <v>4</v>
      </c>
      <c r="E30" s="58" t="s">
        <v>708</v>
      </c>
      <c r="F30" s="59">
        <v>22</v>
      </c>
      <c r="G30" s="60" t="s">
        <v>159</v>
      </c>
      <c r="H30" s="60" t="s">
        <v>48</v>
      </c>
      <c r="I30" s="61" t="s">
        <v>768</v>
      </c>
      <c r="J30" s="62" t="s">
        <v>769</v>
      </c>
      <c r="K30" s="129" t="str">
        <f t="shared" si="2"/>
        <v xml:space="preserve">[ROLE] Friendly tutor specializing in Elixir OTP | [TOPIC] Execute Node operations and RPC using Node.self/0, Node.connect/1, :rpc.call/4, and :rpc.multicall/3.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Elixir OTP | 📊 Level: Advanced | 🌐 Coding5s.com
**Concept:** Node Operations &amp; RPC (Node.self/0, Node.connect/1, :rpc.call/4, :rpc.multicall/3)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Node operations and RPC using Node.self/0, Node.connect/1, :rpc.call/4, and :rpc.multicall/3.. Topic details: Node Operations &amp; RPC (Node.self/0, Node.connect/1, :rpc.call/4, :rpc.multicall/3)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Elixir OTP | 📊 Level: Advanced
**Topic:** Execute Node operations and RPC using Node.self/0, Node.connect/1, :rpc.call/4, and :rpc.multicall/3.
---
 | [FOOTER RULE - STRICT] End your response with: '--- ⚡ *Coding5s Mentor System — Eliminating Epistemic Debt*' | </v>
      </c>
      <c r="M30" s="52">
        <v>0</v>
      </c>
      <c r="N30" s="102" t="str">
        <f t="shared" si="4"/>
        <v>[ROLE] Careless Elixir OTP Developer | [TASK] Generate debugging challenges in Elixir OTP | | [TOPIC] Execute Node operations and RPC using Node.self/0, Node.connect/1, :rpc.call/4, and :rpc.multicall/3.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#22 | Stage 2 🐛 Debug | Elixir OTP | 📊 Level: Advanced | 🌐 Coding5s.com
Concept: Node Operations &amp; RPC (Node.self/0, Node.connect/1, :rpc.call/4, :rpc.multicall/3)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Node operations and RPC using Node.self/0, Node.connect/1, :rpc.call/4, and :rpc.multicall/3.. Topic details: Node Operations &amp; RPC (Node.self/0, Node.connect/1, :rpc.call/4, :rpc.multicall/3)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Elixir OTP | 📊 Level: Advanced
**Topic:** Execute Node operations and RPC using Node.self/0, Node.connect/1, :rpc.call/4, and :rpc.multicall/3.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Elixir OTP script challenges | [TOPIC] Execute Node operations and RPC using Node.self/0, Node.connect/1, :rpc.call/4, and :rpc.multicall/3.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#22 | Stage 3 🧩 Complete | Elixir OTP | 📊 Level: Advanced | 🌐 Coding5s.com
**Concept:** Node Operations &amp; RPC (Node.self/0, Node.connect/1, :rpc.call/4, :rpc.multicall/3)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Node operations and RPC using Node.self/0, Node.connect/1, :rpc.call/4, and :rpc.multicall/3..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Node operations and RPC using Node.self/0, Node.connect/1, :rpc.call/4, and :rpc.multicall/3.. Topic details: Node Operations &amp; RPC (Node.self/0, Node.connect/1, :rpc.call/4, :rpc.multicall/3)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Elixir OTP | 📊 Level: Advanced
**Topic:** Execute Node operations and RPC using Node.self/0, Node.connect/1, :rpc.call/4, and :rpc.multicall/3.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Execute Node operations and RPC using Node.self/0, Node.connect/1, :rpc.call/4, and :rpc.multicall/3.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Elixir OTP | 📊 Level: Advanced | 🌐 Coding5s.com
**Concept:** Node Operations &amp; RPC (Node.self/0, Node.connect/1, :rpc.call/4, :rpc.multicall/3)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Node operations and RPC using Node.self/0, Node.connect/1, :rpc.call/4, and :rpc.multicall/3.. Topic details: Node Operations &amp; RPC (Node.self/0, Node.connect/1, :rpc.call/4, :rpc.multicall/3)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Elixir OTP | 📊 Level: Advanced
**Topic:** Execute Node operations and RPC using Node.self/0, Node.connect/1, :rpc.call/4, and :rpc.multicall/3.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Elixir OTP Jira Ticket | [TASK] Provide a guided implementation exercise with full solution for learning purposes | [TOPIC] Execute Node operations and RPC using Node.self/0, Node.connect/1, :rpc.call/4, and :rpc.multicall/3.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Elixir OTP | 📊 Level: Advanced | 🌐 Coding5s.com
**Concept:** Node Operations &amp; RPC (Node.self/0, Node.connect/1, :rpc.call/4, :rpc.multicall/3)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Node operations and RPC using Node.self/0, Node.connect/1, :rpc.call/4, and :rpc.multicall/3.. Goal: Node Operations &amp; RPC (Node.self/0, Node.connect/1, :rpc.call/4, :rpc.multicall/3)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Elixir OTP | 📊 Level: Advanced
**Topic:** Execute Node operations and RPC using Node.self/0, Node.connect/1, :rpc.call/4, and :rpc.multicall/3.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25</v>
      </c>
      <c r="D31" s="46">
        <v>5</v>
      </c>
      <c r="E31" s="58" t="s">
        <v>708</v>
      </c>
      <c r="F31" s="48">
        <v>23</v>
      </c>
      <c r="G31" s="49" t="s">
        <v>159</v>
      </c>
      <c r="H31" s="49" t="s">
        <v>48</v>
      </c>
      <c r="I31" s="50" t="s">
        <v>770</v>
      </c>
      <c r="J31" s="51" t="s">
        <v>771</v>
      </c>
      <c r="K31" s="129" t="str">
        <f t="shared" si="2"/>
        <v xml:space="preserve">[ROLE] Friendly tutor specializing in Elixir OTP | [TOPIC] Design distributed architecture and constraints using Node.monitor/2, :pg Process Groups, and handling network partitions/split-brain.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Elixir OTP | 📊 Level: Advanced | 🌐 Coding5s.com
**Concept:** Distributed Architecture &amp; Constraints (Node.monitor/2, :pg Process Groups, handling network partitions/split-brain)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distributed architecture and constraints using Node.monitor/2, :pg Process Groups, and handling network partitions/split-brain.. Topic details: Distributed Architecture &amp; Constraints (Node.monitor/2, :pg Process Groups, handling network partitions/split-brain)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Elixir OTP | 📊 Level: Advanced
**Topic:** Design distributed architecture and constraints using Node.monitor/2, :pg Process Groups, and handling network partitions/split-brain.
---
 | [FOOTER RULE - STRICT] End your response with: '--- ⚡ *Coding5s Mentor System — Eliminating Epistemic Debt*' | </v>
      </c>
      <c r="M31" s="53">
        <v>0</v>
      </c>
      <c r="N31" s="102" t="str">
        <f t="shared" si="4"/>
        <v>[ROLE] Careless Elixir OTP Developer | [TASK] Generate debugging challenges in Elixir OTP | | [TOPIC] Design distributed architecture and constraints using Node.monitor/2, :pg Process Groups, and handling network partitions/split-brain.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#23 | Stage 2 🐛 Debug | Elixir OTP | 📊 Level: Advanced | 🌐 Coding5s.com
Concept: Distributed Architecture &amp; Constraints (Node.monitor/2, :pg Process Groups, handling network partitions/split-brain)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Elixir OTP | 📊 Level: Advanced
**Topic:** Design distributed architecture and constraints using Node.monitor/2, :pg Process Groups, and handling network partitions/split-brain.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Elixir OTP script challenges | [TOPIC] Design distributed architecture and constraints using Node.monitor/2, :pg Process Groups, and handling network partitions/split-brain.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#23 | Stage 3 🧩 Complete | Elixir OTP | 📊 Level: Advanced | 🌐 Coding5s.com
**Concept:** Distributed Architecture &amp; Constraints (Node.monitor/2, :pg Process Groups, handling network partitions/split-brain)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distributed architecture and constraints using Node.monitor/2, :pg Process Groups, and handling network partitions/split-brain..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Elixir OTP | 📊 Level: Advanced
**Topic:** Design distributed architecture and constraints using Node.monitor/2, :pg Process Groups, and handling network partitions/split-brain.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Design distributed architecture and constraints using Node.monitor/2, :pg Process Groups, and handling network partitions/split-brain.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Elixir OTP | 📊 Level: Advanced | 🌐 Coding5s.com
**Concept:** Distributed Architecture &amp; Constraints (Node.monitor/2, :pg Process Groups, handling network partitions/split-brain)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Elixir OTP | 📊 Level: Advanced
**Topic:** Design distributed architecture and constraints using Node.monitor/2, :pg Process Groups, and handling network partitions/split-brain.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Elixir OTP Jira Ticket | [TASK] Provide a guided implementation exercise with full solution for learning purposes | [TOPIC] Design distributed architecture and constraints using Node.monitor/2, :pg Process Groups, and handling network partitions/split-brain.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Elixir OTP | 📊 Level: Advanced | 🌐 Coding5s.com
**Concept:** Distributed Architecture &amp; Constraints (Node.monitor/2, :pg Process Groups, handling network partitions/split-brain)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distributed architecture and constraints using Node.monitor/2, :pg Process Groups, and handling network partitions/split-brain.. Goal: Distributed Architecture &amp; Constraints (Node.monitor/2, :pg Process Groups, handling network partitions/split-brain)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Elixir OTP | 📊 Level: Advanced
**Topic:** Design distributed architecture and constraints using Node.monitor/2, :pg Process Groups, and handling network partitions/split-brain.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v>
      </c>
      <c r="B32" s="45">
        <f t="shared" si="1"/>
        <v>3</v>
      </c>
      <c r="C32" s="95" t="s">
        <v>739</v>
      </c>
      <c r="D32" s="57">
        <v>0</v>
      </c>
      <c r="E32" s="58" t="s">
        <v>708</v>
      </c>
      <c r="F32" s="59">
        <v>24</v>
      </c>
      <c r="G32" s="60" t="s">
        <v>159</v>
      </c>
      <c r="H32" s="60" t="s">
        <v>77</v>
      </c>
      <c r="I32" s="61" t="s">
        <v>772</v>
      </c>
      <c r="J32" s="62" t="s">
        <v>773</v>
      </c>
      <c r="K32" s="129" t="str">
        <f t="shared" si="2"/>
        <v>[TASK] Teach through a practical Elixir OTP -  project following the micro-learning methodology, acting as a supportive tutor, creating a project about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Elixir OTP | 📊 Level: Advanced | 🌐 Coding5s.com
**Project:** PROJECT: Distributed ETS Cache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distributed caching application utilizing :ets operations, Application lifecycle, and :rpc node calls.. Topics applied in this project: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Elixir OTP | 📊 Level: Advanced
**Project:** Construct a distributed caching application utilizing :ets operations, Application lifecycle, and :rpc node calls.
---
 | [FOOTER RULE - STRICT] End your response with: '--- ⚡ *Coding5s Mentor System — Eliminating Epistemic Debt*' | </v>
      </c>
      <c r="M32" s="52">
        <v>0</v>
      </c>
      <c r="N32" s="102" t="str">
        <f t="shared" si="4"/>
        <v>[ROLE] Careless Elixir OTP Developer | [TASK] Generate debugging project in Elixir OTP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[OUTPUT] Only header, dataset summary or statement (if any), email intro, objective, expected output, broken code, and footer | [HEADER RULE - STRICT] You MUST start your entire response EXACTLY with this markdown block (do not print anything before it):
### 🚀 Project #24 | Stage 2 | Elixir OTP | 📊 Level: Advanced | 🌐 Coding5s.com
Project: PROJECT: Distributed ETS Cache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Elixir OTP | 📊 Level: Advanced
**Project:** Construct a distributed caching application utilizing :ets operations, Application lifecycle, and :rpc node calls.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project script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Elixir OTP | 📊 Level: Advanced | 🌐 Coding5s.com
**Project:** PROJECT: Distributed ETS Cache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Elixir OTP | 📊 Level: Advanced
**Project:** Construct a distributed caching application utilizing :ets operations, Application lifecycle, and :rpc node calls.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a messy but functional project for refactoring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Tech Lead. A junior wrote this working but messy code. Tone: professional but exhausted | [HEADER RULE - STRICT] You MUST start your entire response EXACTLY with this markdown block (do not print anything before it):
### 🚀 Project #24 | Stage 4 | Elixir OTP | 📊 Level: Advanced | 🌐 Coding5s.com
**Project:** PROJECT: Distributed ETS Cache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Elixir OTP | 📊 Level: Advanced
**Project:** Construct a distributed caching application utilizing :ets operations, Application lifecycle, and :rpc node calls.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Elixir OTP Jira Ticket | [TASK] Provide a guided project implementation with full solution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#24 | Stage 5 | Elixir OTP | 📊 Level: Advanced | 🌐 Coding5s.com
**Project:** PROJECT: Distributed ETS Cache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distributed caching application utilizing :ets operations, Application lifecycle, and :rpc node calls.. Topics integrated: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Business Goal: PROJECT: Distributed ETS Cache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Elixir OTP | 📊 Level: Advanced
**Project:** Construct a distributed caching application utilizing :ets operations, Application lifecycle, and :rpc node calls.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[TASK] Teach through a practical Elixir OTP -  project following the micro-learning methodology, acting as a supportive tutor, creating a project about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Elixir OTP | 📊 Level: Advanced | 🌐 Coding5s.com
**Project:** PROJECT: Distributed ETS Cache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3"/>
        <v>[ROLE] Careless Elixir OTP Developer | [TASK] Generate debugging project in Elixir OTP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[OUTPUT] Only header, dataset summary or statement (if any), email intro, objective, expected output, broken code, and footer | [HEADER RULE - STRICT] You MUST start your entire response EXACTLY with this markdown block (do not print anything before it):
### 🚀 Project #24 | Stage 2 | Elixir OTP | 📊 Level: Advanced | 🌐 Coding5s.com
Project: PROJECT: Distributed ETS Cache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4"/>
        <v>[ROLE] Tech Lead | [TASK] Assign incomplete project script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Elixir OTP | 📊 Level: Advanced | 🌐 Coding5s.com
**Project:** PROJECT: Distributed ETS Cache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5"/>
        <v>[ROLE] Tech Lead | [TASK] Provide a messy but functional project for refactoring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Tech Lead. A junior wrote this working but messy code. Tone: professional but exhausted | [HEADER RULE - STRICT] You MUST start your entire response EXACTLY with this markdown block (do not print anything before it):
### 🚀 Project #24 | Stage 4 | Elixir OTP | 📊 Level: Advanced | 🌐 Coding5s.com
**Project:** PROJECT: Distributed ETS Cache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6"/>
        <v>[ROLE] Tech Product Manager assigning a Elixir OTP Jira Ticket | [TASK] Provide a guided project implementation with full solution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#24 | Stage 5 | Elixir OTP | 📊 Level: Advanced | 🌐 Coding5s.com
**Project:** PROJECT: Distributed ETS Cache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
        <v>4</v>
      </c>
      <c r="C33" s="95">
        <v>25</v>
      </c>
      <c r="D33" s="46">
        <v>4</v>
      </c>
      <c r="E33" s="58" t="s">
        <v>46</v>
      </c>
      <c r="F33" s="48">
        <v>25</v>
      </c>
      <c r="G33" s="49" t="s">
        <v>159</v>
      </c>
      <c r="H33" s="49" t="s">
        <v>48</v>
      </c>
      <c r="I33" s="50" t="s">
        <v>774</v>
      </c>
      <c r="J33" s="51" t="s">
        <v>775</v>
      </c>
      <c r="K33" s="129" t="str">
        <f t="shared" si="2"/>
        <v xml:space="preserve">[ROLE] Friendly tutor specializing in Elixir OTP | [TOPIC] Implement testing for GenServers and internal state using ExUnit with GenServer, asserting synchronous state, and assert_receive/3 for handle_info.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Elixir OTP | 📊 Level: Advanced | 🌐 Coding5s.com
**Concept:** Testing GenServers &amp; Internal State (ExUnit with GenServer, asserting synchronous state, assert_receive/3 for handle_info)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Elixir OTP | 📊 Level: Advanced
**Topic:** Implement testing for GenServers and internal state using ExUnit with GenServer, asserting synchronous state, and assert_receive/3 for handle_info.
---
 | [FOOTER RULE - STRICT] End your response with: '--- ⚡ *Coding5s Mentor System — Eliminating Epistemic Debt*' | </v>
      </c>
      <c r="M33" s="53">
        <v>0</v>
      </c>
      <c r="N33" s="102" t="str">
        <f t="shared" si="4"/>
        <v>[ROLE] Careless Elixir OTP Developer | [TASK] Generate debugging challenges in Elixir OTP | | [TOPIC] Implement testing for GenServers and internal state using ExUnit with GenServer, asserting synchronous state, and assert_receive/3 for handle_info.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#25 | Stage 2 🐛 Debug | Elixir OTP | 📊 Level: Advanced | 🌐 Coding5s.com
Concept: Testing GenServers &amp; Internal State (ExUnit with GenServer, asserting synchronous state, assert_receive/3 for handle_info)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Elixir OTP | 📊 Level: Advanced
**Topic:** Implement testing for GenServers and internal state using ExUnit with GenServer, asserting synchronous state, and assert_receive/3 for handle_info.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Elixir OTP script challenges | [TOPIC] Implement testing for GenServers and internal state using ExUnit with GenServer, asserting synchronous state, and assert_receive/3 for handle_info.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#25 | Stage 3 🧩 Complete | Elixir OTP | 📊 Level: Advanced | 🌐 Coding5s.com
**Concept:** Testing GenServers &amp; Internal State (ExUnit with GenServer, asserting synchronous state, assert_receive/3 for handle_info)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testing for GenServers and internal state using ExUnit with GenServer, asserting synchronous state, and assert_receive/3 for handle_info..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Elixir OTP | 📊 Level: Advanced
**Topic:** Implement testing for GenServers and internal state using ExUnit with GenServer, asserting synchronous state, and assert_receive/3 for handle_info.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intentionally messy but functional code for learning debugging and improvement | [TOPIC] Implement testing for GenServers and internal state using ExUnit with GenServer, asserting synchronous state, and assert_receive/3 for handle_info.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Elixir OTP | 📊 Level: Advanced | 🌐 Coding5s.com
**Concept:** Testing GenServers &amp; Internal State (ExUnit with GenServer, asserting synchronous state, assert_receive/3 for handle_info)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Elixir OTP | 📊 Level: Advanced
**Topic:** Implement testing for GenServers and internal state using ExUnit with GenServer, asserting synchronous state, and assert_receive/3 for handle_info.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Elixir OTP Jira Ticket | [TASK] Provide a guided implementation exercise with full solution for learning purposes | [TOPIC] Implement testing for GenServers and internal state using ExUnit with GenServer, asserting synchronous state, and assert_receive/3 for handle_info.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Elixir OTP | 📊 Level: Advanced | 🌐 Coding5s.com
**Concept:** Testing GenServers &amp; Internal State (ExUnit with GenServer, asserting synchronous state, assert_receive/3 for handle_info)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testing for GenServers and internal state using ExUnit with GenServer, asserting synchronous state, and assert_receive/3 for handle_info.. Goal: Testing GenServers &amp; Internal State (ExUnit with GenServer, asserting synchronous state, assert_receive/3 for handle_info)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Elixir OTP | 📊 Level: Advanced
**Topic:** Implement testing for GenServers and internal state using ExUnit with GenServer, asserting synchronous state, and assert_receive/3 for handle_info.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
      </c>
      <c r="AA33" s="56" t="str">
        <f t="shared" si="13"/>
        <v/>
      </c>
      <c r="AB33" s="56" t="str">
        <f t="shared" si="14"/>
        <v/>
      </c>
      <c r="AC33" s="56" t="str">
        <f t="shared" si="15"/>
        <v/>
      </c>
      <c r="AD33" s="56" t="str">
        <f t="shared" si="16"/>
        <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25</v>
      </c>
      <c r="D34" s="57">
        <v>4</v>
      </c>
      <c r="E34" s="58" t="s">
        <v>46</v>
      </c>
      <c r="F34" s="59">
        <v>26</v>
      </c>
      <c r="G34" s="60" t="s">
        <v>159</v>
      </c>
      <c r="H34" s="60" t="s">
        <v>48</v>
      </c>
      <c r="I34" s="61" t="s">
        <v>776</v>
      </c>
      <c r="J34" s="62" t="s">
        <v>777</v>
      </c>
      <c r="K34" s="129" t="str">
        <f t="shared" si="2"/>
        <v xml:space="preserve">[ROLE] Friendly tutor specializing in Elixir OTP | [TOPIC] Formulate testing for Supervisors and fault tolerance using Process.exit/2 simulations, asserting restart behavior, and Task.yield/2 in tests.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Elixir OTP | 📊 Level: Advanced | 🌐 Coding5s.com
**Concept:** Testing Supervisors &amp; Fault Tolerance (Process.exit/2 simulations, asserting restart behavior, Task.yield/2 in tests)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Formulate testing for Supervisors and fault tolerance using Process.exit/2 simulations, asserting restart behavior, and Task.yield/2 in tests.. Topic details: Testing Supervisors &amp; Fault Tolerance (Process.exit/2 simulations, asserting restart behavior, Task.yield/2 in tests)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Elixir OTP | 📊 Level: Advanced
**Topic:** Formulate testing for Supervisors and fault tolerance using Process.exit/2 simulations, asserting restart behavior, and Task.yield/2 in tests.
---
 | [FOOTER RULE - STRICT] End your response with: '--- ⚡ *Coding5s Mentor System — Eliminating Epistemic Debt*' | </v>
      </c>
      <c r="M34" s="52">
        <v>0</v>
      </c>
      <c r="N34" s="102" t="str">
        <f t="shared" si="4"/>
        <v>[ROLE] Careless Elixir OTP Developer | [TASK] Generate debugging challenges in Elixir OTP | | [TOPIC] Formulate testing for Supervisors and fault tolerance using Process.exit/2 simulations, asserting restart behavior, and Task.yield/2 in tests.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#26 | Stage 2 🐛 Debug | Elixir OTP | 📊 Level: Advanced | 🌐 Coding5s.com
Concept: Testing Supervisors &amp; Fault Tolerance (Process.exit/2 simulations, asserting restart behavior, Task.yield/2 in tests)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Elixir OTP | 📊 Level: Advanced
**Topic:** Formulate testing for Supervisors and fault tolerance using Process.exit/2 simulations, asserting restart behavior, and Task.yield/2 in tests.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Elixir OTP script challenges | [TOPIC] Formulate testing for Supervisors and fault tolerance using Process.exit/2 simulations, asserting restart behavior, and Task.yield/2 in tests.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#26 | Stage 3 🧩 Complete | Elixir OTP | 📊 Level: Advanced | 🌐 Coding5s.com
**Concept:** Testing Supervisors &amp; Fault Tolerance (Process.exit/2 simulations, asserting restart behavior, Task.yield/2 in tests)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Formulate testing for Supervisors and fault tolerance using Process.exit/2 simulations, asserting restart behavior, and Task.yield/2 in tests..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Elixir OTP | 📊 Level: Advanced
**Topic:** Formulate testing for Supervisors and fault tolerance using Process.exit/2 simulations, asserting restart behavior, and Task.yield/2 in tests.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intentionally messy but functional code for learning debugging and improvement | [TOPIC] Formulate testing for Supervisors and fault tolerance using Process.exit/2 simulations, asserting restart behavior, and Task.yield/2 in tests.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Elixir OTP | 📊 Level: Advanced | 🌐 Coding5s.com
**Concept:** Testing Supervisors &amp; Fault Tolerance (Process.exit/2 simulations, asserting restart behavior, Task.yield/2 in tests)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Elixir OTP | 📊 Level: Advanced
**Topic:** Formulate testing for Supervisors and fault tolerance using Process.exit/2 simulations, asserting restart behavior, and Task.yield/2 in tests.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Elixir OTP Jira Ticket | [TASK] Provide a guided implementation exercise with full solution for learning purposes | [TOPIC] Formulate testing for Supervisors and fault tolerance using Process.exit/2 simulations, asserting restart behavior, and Task.yield/2 in tests.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Elixir OTP | 📊 Level: Advanced | 🌐 Coding5s.com
**Concept:** Testing Supervisors &amp; Fault Tolerance (Process.exit/2 simulations, asserting restart behavior, Task.yield/2 in tests)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Formulate testing for Supervisors and fault tolerance using Process.exit/2 simulations, asserting restart behavior, and Task.yield/2 in tests.. Goal: Testing Supervisors &amp; Fault Tolerance (Process.exit/2 simulations, asserting restart behavior, Task.yield/2 in tests)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Elixir OTP | 📊 Level: Advanced
**Topic:** Formulate testing for Supervisors and fault tolerance using Process.exit/2 simulations, asserting restart behavior, and Task.yield/2 in tests.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25</v>
      </c>
      <c r="D35" s="46">
        <v>4</v>
      </c>
      <c r="E35" s="58" t="s">
        <v>708</v>
      </c>
      <c r="F35" s="48">
        <v>27</v>
      </c>
      <c r="G35" s="49" t="s">
        <v>159</v>
      </c>
      <c r="H35" s="49" t="s">
        <v>48</v>
      </c>
      <c r="I35" s="50" t="s">
        <v>778</v>
      </c>
      <c r="J35" s="51" t="s">
        <v>779</v>
      </c>
      <c r="K35" s="129" t="str">
        <f t="shared" si="2"/>
        <v xml:space="preserve">[ROLE] Friendly tutor specializing in Elixir OTP | [TOPIC] Design testing for Registries and distributed systems by asserting via tuples, mocking node connections, and testing ETS table state.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Elixir OTP | 📊 Level: Advanced | 🌐 Coding5s.com
**Concept:** Testing Registries &amp; Distributed Systems (Asserting via tuples, mocking node connections, testing ETS table state)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testing for Registries and distributed systems by asserting via tuples, mocking node connections, and testing ETS table state.. Topic details: Testing Registries &amp; Distributed Systems (Asserting via tuples, mocking node connections, testing ETS table state)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Elixir OTP | 📊 Level: Advanced
**Topic:** Design testing for Registries and distributed systems by asserting via tuples, mocking node connections, and testing ETS table state.
---
 | [FOOTER RULE - STRICT] End your response with: '--- ⚡ *Coding5s Mentor System — Eliminating Epistemic Debt*' | </v>
      </c>
      <c r="M35" s="53">
        <v>0</v>
      </c>
      <c r="N35" s="102" t="str">
        <f t="shared" si="4"/>
        <v>[ROLE] Careless Elixir OTP Developer | [TASK] Generate debugging challenges in Elixir OTP | | [TOPIC] Design testing for Registries and distributed systems by asserting via tuples, mocking node connections, and testing ETS table state.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#27 | Stage 2 🐛 Debug | Elixir OTP | 📊 Level: Advanced | 🌐 Coding5s.com
Concept: Testing Registries &amp; Distributed Systems (Asserting via tuples, mocking node connections, testing ETS table state)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Elixir OTP | 📊 Level: Advanced
**Topic:** Design testing for Registries and distributed systems by asserting via tuples, mocking node connections, and testing ETS table state.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Elixir OTP script challenges | [TOPIC] Design testing for Registries and distributed systems by asserting via tuples, mocking node connections, and testing ETS table state.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#27 | Stage 3 🧩 Complete | Elixir OTP | 📊 Level: Advanced | 🌐 Coding5s.com
**Concept:** Testing Registries &amp; Distributed Systems (Asserting via tuples, mocking node connections, testing ETS table state)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testing for Registries and distributed systems by asserting via tuples, mocking node connections, and testing ETS table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Elixir OTP | 📊 Level: Advanced
**Topic:** Design testing for Registries and distributed systems by asserting via tuples, mocking node connections, and testing ETS table state.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Design testing for Registries and distributed systems by asserting via tuples, mocking node connections, and testing ETS table state.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Elixir OTP | 📊 Level: Advanced | 🌐 Coding5s.com
**Concept:** Testing Registries &amp; Distributed Systems (Asserting via tuples, mocking node connections, testing ETS table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Elixir OTP | 📊 Level: Advanced
**Topic:** Design testing for Registries and distributed systems by asserting via tuples, mocking node connections, and testing ETS table state.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Elixir OTP Jira Ticket | [TASK] Provide a guided implementation exercise with full solution for learning purposes | [TOPIC] Design testing for Registries and distributed systems by asserting via tuples, mocking node connections, and testing ETS table state.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Elixir OTP | 📊 Level: Advanced | 🌐 Coding5s.com
**Concept:** Testing Registries &amp; Distributed Systems (Asserting via tuples, mocking node connections, testing ETS table state)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testing for Registries and distributed systems by asserting via tuples, mocking node connections, and testing ETS table state.. Goal: Testing Registries &amp; Distributed Systems (Asserting via tuples, mocking node connections, testing ETS table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Elixir OTP | 📊 Level: Advanced
**Topic:** Design testing for Registries and distributed systems by asserting via tuples, mocking node connections, and testing ETS table state.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xml:space="preserve">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v>
      </c>
      <c r="B36" s="45">
        <f t="shared" si="1"/>
        <v>4</v>
      </c>
      <c r="C36" s="95" t="s">
        <v>739</v>
      </c>
      <c r="D36" s="57">
        <v>0</v>
      </c>
      <c r="E36" s="58" t="s">
        <v>46</v>
      </c>
      <c r="F36" s="59">
        <v>28</v>
      </c>
      <c r="G36" s="60" t="s">
        <v>159</v>
      </c>
      <c r="H36" s="60" t="s">
        <v>77</v>
      </c>
      <c r="I36" s="61" t="s">
        <v>780</v>
      </c>
      <c r="J36" s="62" t="s">
        <v>781</v>
      </c>
      <c r="K36" s="129" t="str">
        <f t="shared" si="2"/>
        <v>[TASK] Teach through a practical Elixir OTP -  project following the micro-learning methodology, acting as a supportive tutor, creating a project about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#28 | Stage 1 | Elixir OTP | 📊 Level: Advanced | 🌐 Coding5s.com
**Project:** PROJECT: Master OTP Test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6" s="103" t="str">
        <f t="shared" si="3"/>
        <v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comprehensive concurrent test suite for an OTP application validating Supervisors, GenServer state, and Registry via tuples.. Topics applied in this project: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#28 | Practice | Elixir OTP | 📊 Level: Advanced
**Project:** Develop a comprehensive concurrent test suite for an OTP application validating Supervisors, GenServer state, and Registry via tuples.
---
 | [FOOTER RULE - STRICT] End your response with: '--- ⚡ *Coding5s Mentor System — Eliminating Epistemic Debt*' | </v>
      </c>
      <c r="M36" s="52">
        <v>0</v>
      </c>
      <c r="N36" s="102" t="str">
        <f t="shared" si="4"/>
        <v>[ROLE] Careless Elixir OTP Developer | [TASK] Generate debugging project in Elixir OTP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[OUTPUT] Only header, dataset summary or statement (if any), email intro, objective, expected output, broken code, and footer | [HEADER RULE - STRICT] You MUST start your entire response EXACTLY with this markdown block (do not print anything before it):
### 🚀 Project #28 | Stage 2 | Elixir OTP | 📊 Level: Advanced | 🌐 Coding5s.com
Project: PROJECT: Master OTP Test Suite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#28 | Debug | Elixir OTP | 📊 Level: Advanced
**Project:** Develop a comprehensive concurrent test suite for an OTP application validating Supervisors, GenServer state, and Registry via tuples.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project script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#28 | Stage 3 | Elixir OTP | 📊 Level: Advanced | 🌐 Coding5s.com
**Project:** PROJECT: Master OTP Test Suite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#28 | Complete | Elixir OTP | 📊 Level: Advanced
**Project:** Develop a comprehensive concurrent test suite for an OTP application validating Supervisors, GenServer state, and Registry via tuples.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a messy but functional project for refactoring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Tech Lead. A junior wrote this working but messy code. Tone: professional but exhausted | [HEADER RULE - STRICT] You MUST start your entire response EXACTLY with this markdown block (do not print anything before it):
### 🚀 Project #28 | Stage 4 | Elixir OTP | 📊 Level: Advanced | 🌐 Coding5s.com
**Project:** PROJECT: Master OTP Test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#28 | Refactor | Elixir OTP | 📊 Level: Advanced
**Project:** Develop a comprehensive concurrent test suite for an OTP application validating Supervisors, GenServer state, and Registry via tuples.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Elixir OTP Jira Ticket | [TASK] Provide a guided project implementation with full solution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#28 | Stage 5 | Elixir OTP | 📊 Level: Advanced | 🌐 Coding5s.com
**Project:** PROJECT: Master OTP Test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comprehensive concurrent test suite for an OTP application validating Supervisors, GenServer state, and Registry via tuples.. Topics integrated: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Business Goal: PROJECT: Master OTP Test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#28 | Extend | Elixir OTP | 📊 Level: Advanced
**Project:** Develop a comprehensive concurrent test suite for an OTP application validating Supervisors, GenServer state, and Registry via tuples.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[TASK] Teach through a practical Elixir OTP -  project following the micro-learning methodology, acting as a supportive tutor, creating a project about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#28 | Stage 1 | Elixir OTP | 📊 Level: Advanced | 🌐 Coding5s.com
**Project:** PROJECT: Master OTP Test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6" s="56" t="str">
        <f t="shared" si="13"/>
        <v>[ROLE] Careless Elixir OTP Developer | [TASK] Generate debugging project in Elixir OTP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[OUTPUT] Only header, dataset summary or statement (if any), email intro, objective, expected output, broken code, and footer | [HEADER RULE - STRICT] You MUST start your entire response EXACTLY with this markdown block (do not print anything before it):
### 🚀 Project #28 | Stage 2 | Elixir OTP | 📊 Level: Advanced | 🌐 Coding5s.com
Project: PROJECT: Master OTP Test Suite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6" s="56" t="str">
        <f t="shared" si="14"/>
        <v>[ROLE] Tech Lead | [TASK] Assign incomplete project script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#28 | Stage 3 | Elixir OTP | 📊 Level: Advanced | 🌐 Coding5s.com
**Project:** PROJECT: Master OTP Test Suite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6" s="56" t="str">
        <f t="shared" si="15"/>
        <v>[ROLE] Tech Lead | [TASK] Provide a messy but functional project for refactoring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Tech Lead. A junior wrote this working but messy code. Tone: professional but exhausted | [HEADER RULE - STRICT] You MUST start your entire response EXACTLY with this markdown block (do not print anything before it):
### 🚀 Project #28 | Stage 4 | Elixir OTP | 📊 Level: Advanced | 🌐 Coding5s.com
**Project:** PROJECT: Master OTP Test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6" s="56" t="str">
        <f t="shared" si="16"/>
        <v>[ROLE] Tech Product Manager assigning a Elixir OTP Jira Ticket | [TASK] Provide a guided project implementation with full solution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#28 | Stage 5 | Elixir OTP | 📊 Level: Advanced | 🌐 Coding5s.com
**Project:** PROJECT: Master OTP Test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t="str">
        <f t="shared" si="1"/>
        <v/>
      </c>
      <c r="C37" s="95"/>
      <c r="D37" s="46"/>
      <c r="E37" s="58"/>
      <c r="F37" s="48"/>
      <c r="G37" s="49"/>
      <c r="H37" s="49"/>
      <c r="I37" s="50"/>
      <c r="J37" s="51"/>
      <c r="K37" s="129" t="str">
        <f t="shared" si="2"/>
        <v/>
      </c>
      <c r="L37" s="103" t="str">
        <f t="shared" si="3"/>
        <v/>
      </c>
      <c r="M37" s="53">
        <v>0</v>
      </c>
      <c r="N37" s="102" t="str">
        <f t="shared" si="4"/>
        <v/>
      </c>
      <c r="O37" s="103" t="str">
        <f t="shared" si="5"/>
        <v/>
      </c>
      <c r="P37" s="53">
        <v>0</v>
      </c>
      <c r="Q37" s="102" t="str">
        <f t="shared" si="6"/>
        <v/>
      </c>
      <c r="R37" s="103" t="str">
        <f t="shared" si="7"/>
        <v/>
      </c>
      <c r="S37" s="53">
        <v>0</v>
      </c>
      <c r="T37" s="102" t="str">
        <f t="shared" si="8"/>
        <v/>
      </c>
      <c r="U37" s="103" t="str">
        <f t="shared" si="9"/>
        <v/>
      </c>
      <c r="V37" s="53">
        <v>0</v>
      </c>
      <c r="W37" s="87" t="str">
        <f t="shared" si="10"/>
        <v/>
      </c>
      <c r="X37" s="103" t="str">
        <f t="shared" si="11"/>
        <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t="str">
        <f t="shared" si="1"/>
        <v/>
      </c>
      <c r="C38" s="95"/>
      <c r="D38" s="57"/>
      <c r="E38" s="58"/>
      <c r="F38" s="59"/>
      <c r="G38" s="60"/>
      <c r="H38" s="60"/>
      <c r="I38" s="61"/>
      <c r="J38" s="62"/>
      <c r="K38" s="129" t="str">
        <f t="shared" si="2"/>
        <v/>
      </c>
      <c r="L38" s="103" t="str">
        <f t="shared" si="3"/>
        <v/>
      </c>
      <c r="M38" s="52">
        <v>0</v>
      </c>
      <c r="N38" s="102" t="str">
        <f t="shared" si="4"/>
        <v/>
      </c>
      <c r="O38" s="103" t="str">
        <f t="shared" si="5"/>
        <v/>
      </c>
      <c r="P38" s="52">
        <v>0</v>
      </c>
      <c r="Q38" s="102" t="str">
        <f t="shared" si="6"/>
        <v/>
      </c>
      <c r="R38" s="103" t="str">
        <f t="shared" si="7"/>
        <v/>
      </c>
      <c r="S38" s="52">
        <v>0</v>
      </c>
      <c r="T38" s="102" t="str">
        <f t="shared" si="8"/>
        <v/>
      </c>
      <c r="U38" s="103" t="str">
        <f t="shared" si="9"/>
        <v/>
      </c>
      <c r="V38" s="52">
        <v>0</v>
      </c>
      <c r="W38" s="87" t="str">
        <f t="shared" si="10"/>
        <v/>
      </c>
      <c r="X38" s="103" t="str">
        <f t="shared" si="11"/>
        <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t="str">
        <f t="shared" si="1"/>
        <v/>
      </c>
      <c r="C39" s="95"/>
      <c r="D39" s="46"/>
      <c r="E39" s="58"/>
      <c r="F39" s="48"/>
      <c r="G39" s="49"/>
      <c r="H39" s="49"/>
      <c r="I39" s="50"/>
      <c r="J39" s="51"/>
      <c r="K39" s="129" t="str">
        <f t="shared" si="2"/>
        <v/>
      </c>
      <c r="L39" s="103" t="str">
        <f t="shared" si="3"/>
        <v/>
      </c>
      <c r="M39" s="53">
        <v>0</v>
      </c>
      <c r="N39" s="102" t="str">
        <f t="shared" si="4"/>
        <v/>
      </c>
      <c r="O39" s="103" t="str">
        <f t="shared" si="5"/>
        <v/>
      </c>
      <c r="P39" s="53">
        <v>0</v>
      </c>
      <c r="Q39" s="102" t="str">
        <f t="shared" si="6"/>
        <v/>
      </c>
      <c r="R39" s="103" t="str">
        <f t="shared" si="7"/>
        <v/>
      </c>
      <c r="S39" s="53">
        <v>0</v>
      </c>
      <c r="T39" s="102" t="str">
        <f t="shared" si="8"/>
        <v/>
      </c>
      <c r="U39" s="103" t="str">
        <f t="shared" si="9"/>
        <v/>
      </c>
      <c r="V39" s="53">
        <v>0</v>
      </c>
      <c r="W39" s="87" t="str">
        <f t="shared" si="10"/>
        <v/>
      </c>
      <c r="X39" s="103" t="str">
        <f t="shared" si="11"/>
        <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t="str">
        <f t="shared" si="1"/>
        <v/>
      </c>
      <c r="C40" s="95"/>
      <c r="D40" s="57"/>
      <c r="E40" s="58"/>
      <c r="F40" s="59"/>
      <c r="G40" s="60"/>
      <c r="H40" s="60"/>
      <c r="I40" s="61"/>
      <c r="J40" s="62"/>
      <c r="K40" s="129" t="str">
        <f t="shared" si="2"/>
        <v/>
      </c>
      <c r="L40" s="103" t="str">
        <f t="shared" si="3"/>
        <v/>
      </c>
      <c r="M40" s="52">
        <v>0</v>
      </c>
      <c r="N40" s="102" t="str">
        <f t="shared" si="4"/>
        <v/>
      </c>
      <c r="O40" s="103" t="str">
        <f t="shared" si="5"/>
        <v/>
      </c>
      <c r="P40" s="52">
        <v>0</v>
      </c>
      <c r="Q40" s="102" t="str">
        <f t="shared" si="6"/>
        <v/>
      </c>
      <c r="R40" s="103" t="str">
        <f t="shared" si="7"/>
        <v/>
      </c>
      <c r="S40" s="52">
        <v>0</v>
      </c>
      <c r="T40" s="102" t="str">
        <f t="shared" si="8"/>
        <v/>
      </c>
      <c r="U40" s="103" t="str">
        <f t="shared" si="9"/>
        <v/>
      </c>
      <c r="V40" s="52">
        <v>0</v>
      </c>
      <c r="W40" s="87" t="str">
        <f t="shared" si="10"/>
        <v/>
      </c>
      <c r="X40" s="103" t="str">
        <f t="shared" si="11"/>
        <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t="str">
        <f t="shared" si="1"/>
        <v/>
      </c>
      <c r="C41" s="95"/>
      <c r="D41" s="46"/>
      <c r="E41" s="58"/>
      <c r="F41" s="48"/>
      <c r="G41" s="49"/>
      <c r="H41" s="49"/>
      <c r="I41" s="50"/>
      <c r="J41" s="51"/>
      <c r="K41" s="129" t="str">
        <f t="shared" si="2"/>
        <v/>
      </c>
      <c r="L41" s="103" t="str">
        <f t="shared" si="3"/>
        <v/>
      </c>
      <c r="M41" s="53">
        <v>0</v>
      </c>
      <c r="N41" s="102" t="str">
        <f t="shared" si="4"/>
        <v/>
      </c>
      <c r="O41" s="103" t="str">
        <f t="shared" si="5"/>
        <v/>
      </c>
      <c r="P41" s="53">
        <v>0</v>
      </c>
      <c r="Q41" s="102" t="str">
        <f t="shared" si="6"/>
        <v/>
      </c>
      <c r="R41" s="103" t="str">
        <f t="shared" si="7"/>
        <v/>
      </c>
      <c r="S41" s="53">
        <v>0</v>
      </c>
      <c r="T41" s="102" t="str">
        <f t="shared" si="8"/>
        <v/>
      </c>
      <c r="U41" s="103" t="str">
        <f t="shared" si="9"/>
        <v/>
      </c>
      <c r="V41" s="53">
        <v>0</v>
      </c>
      <c r="W41" s="87" t="str">
        <f t="shared" si="10"/>
        <v/>
      </c>
      <c r="X41" s="103" t="str">
        <f t="shared" si="11"/>
        <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t="str">
        <f t="shared" si="1"/>
        <v/>
      </c>
      <c r="C42" s="95"/>
      <c r="D42" s="57"/>
      <c r="E42" s="58"/>
      <c r="F42" s="59"/>
      <c r="G42" s="60"/>
      <c r="H42" s="60"/>
      <c r="I42" s="61"/>
      <c r="J42" s="62"/>
      <c r="K42" s="129" t="str">
        <f t="shared" si="2"/>
        <v/>
      </c>
      <c r="L42" s="103" t="str">
        <f t="shared" si="3"/>
        <v/>
      </c>
      <c r="M42" s="52">
        <v>0</v>
      </c>
      <c r="N42" s="102" t="str">
        <f t="shared" si="4"/>
        <v/>
      </c>
      <c r="O42" s="103" t="str">
        <f t="shared" si="5"/>
        <v/>
      </c>
      <c r="P42" s="52">
        <v>0</v>
      </c>
      <c r="Q42" s="102" t="str">
        <f t="shared" si="6"/>
        <v/>
      </c>
      <c r="R42" s="103" t="str">
        <f t="shared" si="7"/>
        <v/>
      </c>
      <c r="S42" s="52">
        <v>0</v>
      </c>
      <c r="T42" s="102" t="str">
        <f t="shared" si="8"/>
        <v/>
      </c>
      <c r="U42" s="103" t="str">
        <f t="shared" si="9"/>
        <v/>
      </c>
      <c r="V42" s="52">
        <v>0</v>
      </c>
      <c r="W42" s="87" t="str">
        <f t="shared" si="10"/>
        <v/>
      </c>
      <c r="X42" s="103" t="str">
        <f t="shared" si="11"/>
        <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t="str">
        <f t="shared" si="1"/>
        <v/>
      </c>
      <c r="C43" s="95"/>
      <c r="D43" s="46"/>
      <c r="E43" s="58"/>
      <c r="F43" s="48"/>
      <c r="G43" s="49"/>
      <c r="H43" s="49"/>
      <c r="I43" s="50"/>
      <c r="J43" s="51"/>
      <c r="K43" s="129" t="str">
        <f t="shared" si="2"/>
        <v/>
      </c>
      <c r="L43" s="103" t="str">
        <f t="shared" si="3"/>
        <v/>
      </c>
      <c r="M43" s="53">
        <v>0</v>
      </c>
      <c r="N43" s="102" t="str">
        <f t="shared" si="4"/>
        <v/>
      </c>
      <c r="O43" s="103" t="str">
        <f t="shared" si="5"/>
        <v/>
      </c>
      <c r="P43" s="53">
        <v>0</v>
      </c>
      <c r="Q43" s="102" t="str">
        <f t="shared" si="6"/>
        <v/>
      </c>
      <c r="R43" s="103" t="str">
        <f t="shared" si="7"/>
        <v/>
      </c>
      <c r="S43" s="53">
        <v>0</v>
      </c>
      <c r="T43" s="102" t="str">
        <f t="shared" si="8"/>
        <v/>
      </c>
      <c r="U43" s="103" t="str">
        <f t="shared" si="9"/>
        <v/>
      </c>
      <c r="V43" s="53">
        <v>0</v>
      </c>
      <c r="W43" s="87" t="str">
        <f t="shared" si="10"/>
        <v/>
      </c>
      <c r="X43" s="103" t="str">
        <f t="shared" si="11"/>
        <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t="str">
        <f t="shared" si="1"/>
        <v/>
      </c>
      <c r="C44" s="95"/>
      <c r="D44" s="57"/>
      <c r="E44" s="58"/>
      <c r="F44" s="59"/>
      <c r="G44" s="60"/>
      <c r="H44" s="60"/>
      <c r="I44" s="61"/>
      <c r="J44" s="62"/>
      <c r="K44" s="129" t="str">
        <f t="shared" si="2"/>
        <v/>
      </c>
      <c r="L44" s="103" t="str">
        <f t="shared" si="3"/>
        <v/>
      </c>
      <c r="M44" s="52">
        <v>0</v>
      </c>
      <c r="N44" s="102" t="str">
        <f t="shared" si="4"/>
        <v/>
      </c>
      <c r="O44" s="103" t="str">
        <f t="shared" si="5"/>
        <v/>
      </c>
      <c r="P44" s="52">
        <v>0</v>
      </c>
      <c r="Q44" s="102" t="str">
        <f t="shared" si="6"/>
        <v/>
      </c>
      <c r="R44" s="103" t="str">
        <f t="shared" si="7"/>
        <v/>
      </c>
      <c r="S44" s="52">
        <v>0</v>
      </c>
      <c r="T44" s="102" t="str">
        <f t="shared" si="8"/>
        <v/>
      </c>
      <c r="U44" s="103" t="str">
        <f t="shared" si="9"/>
        <v/>
      </c>
      <c r="V44" s="52">
        <v>0</v>
      </c>
      <c r="W44" s="87" t="str">
        <f t="shared" si="10"/>
        <v/>
      </c>
      <c r="X44" s="103" t="str">
        <f t="shared" si="11"/>
        <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t="str">
        <f t="shared" si="1"/>
        <v/>
      </c>
      <c r="C45" s="95"/>
      <c r="D45" s="46"/>
      <c r="E45" s="58"/>
      <c r="F45" s="48"/>
      <c r="G45" s="49"/>
      <c r="H45" s="49"/>
      <c r="I45" s="50"/>
      <c r="J45" s="51"/>
      <c r="K45" s="129" t="str">
        <f t="shared" si="2"/>
        <v/>
      </c>
      <c r="L45" s="103" t="str">
        <f t="shared" si="3"/>
        <v/>
      </c>
      <c r="M45" s="53">
        <v>0</v>
      </c>
      <c r="N45" s="102" t="str">
        <f t="shared" si="4"/>
        <v/>
      </c>
      <c r="O45" s="103" t="str">
        <f t="shared" si="5"/>
        <v/>
      </c>
      <c r="P45" s="53">
        <v>0</v>
      </c>
      <c r="Q45" s="102" t="str">
        <f t="shared" si="6"/>
        <v/>
      </c>
      <c r="R45" s="103" t="str">
        <f t="shared" si="7"/>
        <v/>
      </c>
      <c r="S45" s="53">
        <v>0</v>
      </c>
      <c r="T45" s="102" t="str">
        <f t="shared" si="8"/>
        <v/>
      </c>
      <c r="U45" s="103" t="str">
        <f t="shared" si="9"/>
        <v/>
      </c>
      <c r="V45" s="53">
        <v>0</v>
      </c>
      <c r="W45" s="87" t="str">
        <f t="shared" si="10"/>
        <v/>
      </c>
      <c r="X45" s="103" t="str">
        <f t="shared" si="11"/>
        <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t="str">
        <f t="shared" si="1"/>
        <v/>
      </c>
      <c r="C46" s="95"/>
      <c r="D46" s="57"/>
      <c r="E46" s="58"/>
      <c r="F46" s="59"/>
      <c r="G46" s="60"/>
      <c r="H46" s="60"/>
      <c r="I46" s="61"/>
      <c r="J46" s="62"/>
      <c r="K46" s="129" t="str">
        <f t="shared" si="2"/>
        <v/>
      </c>
      <c r="L46" s="103" t="str">
        <f t="shared" si="3"/>
        <v/>
      </c>
      <c r="M46" s="52">
        <v>0</v>
      </c>
      <c r="N46" s="102" t="str">
        <f t="shared" si="4"/>
        <v/>
      </c>
      <c r="O46" s="103" t="str">
        <f t="shared" si="5"/>
        <v/>
      </c>
      <c r="P46" s="52">
        <v>0</v>
      </c>
      <c r="Q46" s="102" t="str">
        <f t="shared" si="6"/>
        <v/>
      </c>
      <c r="R46" s="103" t="str">
        <f t="shared" si="7"/>
        <v/>
      </c>
      <c r="S46" s="52">
        <v>0</v>
      </c>
      <c r="T46" s="102" t="str">
        <f t="shared" si="8"/>
        <v/>
      </c>
      <c r="U46" s="103" t="str">
        <f t="shared" si="9"/>
        <v/>
      </c>
      <c r="V46" s="52">
        <v>0</v>
      </c>
      <c r="W46" s="87" t="str">
        <f t="shared" si="10"/>
        <v/>
      </c>
      <c r="X46" s="103" t="str">
        <f t="shared" si="11"/>
        <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t="str">
        <f t="shared" si="1"/>
        <v/>
      </c>
      <c r="C47" s="95"/>
      <c r="D47" s="46"/>
      <c r="E47" s="58"/>
      <c r="F47" s="48"/>
      <c r="G47" s="49"/>
      <c r="H47" s="49"/>
      <c r="I47" s="50"/>
      <c r="J47" s="51"/>
      <c r="K47" s="129" t="str">
        <f t="shared" si="2"/>
        <v/>
      </c>
      <c r="L47" s="103" t="str">
        <f t="shared" si="3"/>
        <v/>
      </c>
      <c r="M47" s="53">
        <v>0</v>
      </c>
      <c r="N47" s="102" t="str">
        <f t="shared" si="4"/>
        <v/>
      </c>
      <c r="O47" s="103" t="str">
        <f t="shared" si="5"/>
        <v/>
      </c>
      <c r="P47" s="53">
        <v>0</v>
      </c>
      <c r="Q47" s="102" t="str">
        <f t="shared" si="6"/>
        <v/>
      </c>
      <c r="R47" s="103" t="str">
        <f t="shared" si="7"/>
        <v/>
      </c>
      <c r="S47" s="53">
        <v>0</v>
      </c>
      <c r="T47" s="102" t="str">
        <f t="shared" si="8"/>
        <v/>
      </c>
      <c r="U47" s="103" t="str">
        <f t="shared" si="9"/>
        <v/>
      </c>
      <c r="V47" s="53">
        <v>0</v>
      </c>
      <c r="W47" s="87" t="str">
        <f t="shared" si="10"/>
        <v/>
      </c>
      <c r="X47" s="103" t="str">
        <f t="shared" si="11"/>
        <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t="str">
        <f t="shared" si="1"/>
        <v/>
      </c>
      <c r="C48" s="95"/>
      <c r="D48" s="57"/>
      <c r="E48" s="58"/>
      <c r="F48" s="59"/>
      <c r="G48" s="60"/>
      <c r="H48" s="60"/>
      <c r="I48" s="61"/>
      <c r="J48" s="62"/>
      <c r="K48" s="129" t="str">
        <f t="shared" si="2"/>
        <v/>
      </c>
      <c r="L48" s="103" t="str">
        <f t="shared" si="3"/>
        <v/>
      </c>
      <c r="M48" s="52">
        <v>0</v>
      </c>
      <c r="N48" s="102" t="str">
        <f t="shared" si="4"/>
        <v/>
      </c>
      <c r="O48" s="103" t="str">
        <f t="shared" si="5"/>
        <v/>
      </c>
      <c r="P48" s="52">
        <v>0</v>
      </c>
      <c r="Q48" s="102" t="str">
        <f t="shared" si="6"/>
        <v/>
      </c>
      <c r="R48" s="103" t="str">
        <f t="shared" si="7"/>
        <v/>
      </c>
      <c r="S48" s="52">
        <v>0</v>
      </c>
      <c r="T48" s="102" t="str">
        <f t="shared" si="8"/>
        <v/>
      </c>
      <c r="U48" s="103" t="str">
        <f t="shared" si="9"/>
        <v/>
      </c>
      <c r="V48" s="52">
        <v>0</v>
      </c>
      <c r="W48" s="87" t="str">
        <f t="shared" si="10"/>
        <v/>
      </c>
      <c r="X48" s="103" t="str">
        <f t="shared" si="11"/>
        <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t="str">
        <f t="shared" si="1"/>
        <v/>
      </c>
      <c r="C49" s="95"/>
      <c r="D49" s="46"/>
      <c r="E49" s="58"/>
      <c r="F49" s="48"/>
      <c r="G49" s="49"/>
      <c r="H49" s="49"/>
      <c r="I49" s="50"/>
      <c r="J49" s="51"/>
      <c r="K49" s="129" t="str">
        <f t="shared" si="2"/>
        <v/>
      </c>
      <c r="L49" s="103" t="str">
        <f t="shared" si="3"/>
        <v/>
      </c>
      <c r="M49" s="53">
        <v>0</v>
      </c>
      <c r="N49" s="102" t="str">
        <f t="shared" si="4"/>
        <v/>
      </c>
      <c r="O49" s="103" t="str">
        <f t="shared" si="5"/>
        <v/>
      </c>
      <c r="P49" s="53">
        <v>0</v>
      </c>
      <c r="Q49" s="102" t="str">
        <f t="shared" si="6"/>
        <v/>
      </c>
      <c r="R49" s="103" t="str">
        <f t="shared" si="7"/>
        <v/>
      </c>
      <c r="S49" s="53">
        <v>0</v>
      </c>
      <c r="T49" s="102" t="str">
        <f t="shared" si="8"/>
        <v/>
      </c>
      <c r="U49" s="103" t="str">
        <f t="shared" si="9"/>
        <v/>
      </c>
      <c r="V49" s="53">
        <v>0</v>
      </c>
      <c r="W49" s="87" t="str">
        <f t="shared" si="10"/>
        <v/>
      </c>
      <c r="X49" s="103" t="str">
        <f t="shared" si="11"/>
        <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t="str">
        <f t="shared" si="1"/>
        <v/>
      </c>
      <c r="C50" s="95"/>
      <c r="D50" s="57"/>
      <c r="E50" s="58"/>
      <c r="F50" s="59"/>
      <c r="G50" s="60"/>
      <c r="H50" s="60"/>
      <c r="I50" s="61"/>
      <c r="J50" s="62"/>
      <c r="K50" s="129" t="str">
        <f t="shared" si="2"/>
        <v/>
      </c>
      <c r="L50" s="103" t="str">
        <f t="shared" si="3"/>
        <v/>
      </c>
      <c r="M50" s="52">
        <v>0</v>
      </c>
      <c r="N50" s="102" t="str">
        <f t="shared" si="4"/>
        <v/>
      </c>
      <c r="O50" s="103" t="str">
        <f t="shared" si="5"/>
        <v/>
      </c>
      <c r="P50" s="52">
        <v>0</v>
      </c>
      <c r="Q50" s="102" t="str">
        <f t="shared" si="6"/>
        <v/>
      </c>
      <c r="R50" s="103" t="str">
        <f t="shared" si="7"/>
        <v/>
      </c>
      <c r="S50" s="52">
        <v>0</v>
      </c>
      <c r="T50" s="102" t="str">
        <f t="shared" si="8"/>
        <v/>
      </c>
      <c r="U50" s="103" t="str">
        <f t="shared" si="9"/>
        <v/>
      </c>
      <c r="V50" s="52">
        <v>0</v>
      </c>
      <c r="W50" s="87" t="str">
        <f t="shared" si="10"/>
        <v/>
      </c>
      <c r="X50" s="103" t="str">
        <f t="shared" si="11"/>
        <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t="str">
        <f t="shared" si="1"/>
        <v/>
      </c>
      <c r="C51" s="95"/>
      <c r="D51" s="46"/>
      <c r="E51" s="58"/>
      <c r="F51" s="48"/>
      <c r="G51" s="49"/>
      <c r="H51" s="49"/>
      <c r="I51" s="50"/>
      <c r="J51" s="51"/>
      <c r="K51" s="129" t="str">
        <f t="shared" si="2"/>
        <v/>
      </c>
      <c r="L51" s="103" t="str">
        <f t="shared" si="3"/>
        <v/>
      </c>
      <c r="M51" s="53">
        <v>0</v>
      </c>
      <c r="N51" s="102" t="str">
        <f t="shared" si="4"/>
        <v/>
      </c>
      <c r="O51" s="103" t="str">
        <f t="shared" si="5"/>
        <v/>
      </c>
      <c r="P51" s="53">
        <v>0</v>
      </c>
      <c r="Q51" s="102" t="str">
        <f t="shared" si="6"/>
        <v/>
      </c>
      <c r="R51" s="103" t="str">
        <f t="shared" si="7"/>
        <v/>
      </c>
      <c r="S51" s="53">
        <v>0</v>
      </c>
      <c r="T51" s="102" t="str">
        <f t="shared" si="8"/>
        <v/>
      </c>
      <c r="U51" s="103" t="str">
        <f t="shared" si="9"/>
        <v/>
      </c>
      <c r="V51" s="53">
        <v>0</v>
      </c>
      <c r="W51" s="87" t="str">
        <f t="shared" si="10"/>
        <v/>
      </c>
      <c r="X51" s="103" t="str">
        <f t="shared" si="11"/>
        <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t="str">
        <f t="shared" si="1"/>
        <v/>
      </c>
      <c r="C52" s="95"/>
      <c r="D52" s="57"/>
      <c r="E52" s="58"/>
      <c r="F52" s="59"/>
      <c r="G52" s="60"/>
      <c r="H52" s="60"/>
      <c r="I52" s="61"/>
      <c r="J52" s="62"/>
      <c r="K52" s="129" t="str">
        <f t="shared" si="2"/>
        <v/>
      </c>
      <c r="L52" s="103" t="str">
        <f t="shared" si="3"/>
        <v/>
      </c>
      <c r="M52" s="52">
        <v>0</v>
      </c>
      <c r="N52" s="102" t="str">
        <f t="shared" si="4"/>
        <v/>
      </c>
      <c r="O52" s="103" t="str">
        <f t="shared" si="5"/>
        <v/>
      </c>
      <c r="P52" s="52">
        <v>0</v>
      </c>
      <c r="Q52" s="102" t="str">
        <f t="shared" si="6"/>
        <v/>
      </c>
      <c r="R52" s="103" t="str">
        <f t="shared" si="7"/>
        <v/>
      </c>
      <c r="S52" s="52">
        <v>0</v>
      </c>
      <c r="T52" s="102" t="str">
        <f t="shared" si="8"/>
        <v/>
      </c>
      <c r="U52" s="103" t="str">
        <f t="shared" si="9"/>
        <v/>
      </c>
      <c r="V52" s="52">
        <v>0</v>
      </c>
      <c r="W52" s="87" t="str">
        <f t="shared" si="10"/>
        <v/>
      </c>
      <c r="X52" s="103" t="str">
        <f t="shared" si="11"/>
        <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t="str">
        <f t="shared" si="1"/>
        <v/>
      </c>
      <c r="C53" s="95"/>
      <c r="D53" s="46"/>
      <c r="E53" s="58"/>
      <c r="F53" s="48"/>
      <c r="G53" s="49"/>
      <c r="H53" s="49"/>
      <c r="I53" s="50"/>
      <c r="J53" s="51"/>
      <c r="K53" s="129" t="str">
        <f t="shared" si="2"/>
        <v/>
      </c>
      <c r="L53" s="103" t="str">
        <f t="shared" si="3"/>
        <v/>
      </c>
      <c r="M53" s="53">
        <v>0</v>
      </c>
      <c r="N53" s="102" t="str">
        <f t="shared" si="4"/>
        <v/>
      </c>
      <c r="O53" s="103" t="str">
        <f t="shared" si="5"/>
        <v/>
      </c>
      <c r="P53" s="53">
        <v>0</v>
      </c>
      <c r="Q53" s="102" t="str">
        <f t="shared" si="6"/>
        <v/>
      </c>
      <c r="R53" s="103" t="str">
        <f t="shared" si="7"/>
        <v/>
      </c>
      <c r="S53" s="53">
        <v>0</v>
      </c>
      <c r="T53" s="102" t="str">
        <f t="shared" si="8"/>
        <v/>
      </c>
      <c r="U53" s="103" t="str">
        <f t="shared" si="9"/>
        <v/>
      </c>
      <c r="V53" s="53">
        <v>0</v>
      </c>
      <c r="W53" s="87" t="str">
        <f t="shared" si="10"/>
        <v/>
      </c>
      <c r="X53" s="103" t="str">
        <f t="shared" si="11"/>
        <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t="str">
        <f t="shared" si="1"/>
        <v/>
      </c>
      <c r="C54" s="95"/>
      <c r="D54" s="57"/>
      <c r="E54" s="58"/>
      <c r="F54" s="59"/>
      <c r="G54" s="60"/>
      <c r="H54" s="60"/>
      <c r="I54" s="61"/>
      <c r="J54" s="62"/>
      <c r="K54" s="129" t="str">
        <f t="shared" si="2"/>
        <v/>
      </c>
      <c r="L54" s="103" t="str">
        <f t="shared" si="3"/>
        <v/>
      </c>
      <c r="M54" s="52">
        <v>0</v>
      </c>
      <c r="N54" s="102" t="str">
        <f t="shared" si="4"/>
        <v/>
      </c>
      <c r="O54" s="103" t="str">
        <f t="shared" si="5"/>
        <v/>
      </c>
      <c r="P54" s="52">
        <v>0</v>
      </c>
      <c r="Q54" s="102" t="str">
        <f t="shared" si="6"/>
        <v/>
      </c>
      <c r="R54" s="103" t="str">
        <f t="shared" si="7"/>
        <v/>
      </c>
      <c r="S54" s="52">
        <v>0</v>
      </c>
      <c r="T54" s="102" t="str">
        <f t="shared" si="8"/>
        <v/>
      </c>
      <c r="U54" s="103" t="str">
        <f t="shared" si="9"/>
        <v/>
      </c>
      <c r="V54" s="52">
        <v>0</v>
      </c>
      <c r="W54" s="87" t="str">
        <f t="shared" si="10"/>
        <v/>
      </c>
      <c r="X54" s="103" t="str">
        <f t="shared" si="11"/>
        <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t="str">
        <f t="shared" si="1"/>
        <v/>
      </c>
      <c r="C55" s="95"/>
      <c r="D55" s="46"/>
      <c r="E55" s="58"/>
      <c r="F55" s="48"/>
      <c r="G55" s="49"/>
      <c r="H55" s="49"/>
      <c r="I55" s="50"/>
      <c r="J55" s="51"/>
      <c r="K55" s="129" t="str">
        <f t="shared" si="2"/>
        <v/>
      </c>
      <c r="L55" s="103" t="str">
        <f t="shared" si="3"/>
        <v/>
      </c>
      <c r="M55" s="53">
        <v>0</v>
      </c>
      <c r="N55" s="102" t="str">
        <f t="shared" si="4"/>
        <v/>
      </c>
      <c r="O55" s="103" t="str">
        <f t="shared" si="5"/>
        <v/>
      </c>
      <c r="P55" s="53">
        <v>0</v>
      </c>
      <c r="Q55" s="102" t="str">
        <f t="shared" si="6"/>
        <v/>
      </c>
      <c r="R55" s="103" t="str">
        <f t="shared" si="7"/>
        <v/>
      </c>
      <c r="S55" s="53">
        <v>0</v>
      </c>
      <c r="T55" s="102" t="str">
        <f t="shared" si="8"/>
        <v/>
      </c>
      <c r="U55" s="103" t="str">
        <f t="shared" si="9"/>
        <v/>
      </c>
      <c r="V55" s="53">
        <v>0</v>
      </c>
      <c r="W55" s="87" t="str">
        <f t="shared" si="10"/>
        <v/>
      </c>
      <c r="X55" s="103" t="str">
        <f t="shared" si="11"/>
        <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t="str">
        <f t="shared" si="1"/>
        <v/>
      </c>
      <c r="C56" s="95"/>
      <c r="D56" s="57"/>
      <c r="E56" s="58"/>
      <c r="F56" s="63"/>
      <c r="G56" s="60"/>
      <c r="H56" s="64"/>
      <c r="I56" s="61"/>
      <c r="J56" s="62"/>
      <c r="K56" s="129" t="str">
        <f t="shared" si="2"/>
        <v/>
      </c>
      <c r="L56" s="103" t="str">
        <f t="shared" si="3"/>
        <v/>
      </c>
      <c r="M56" s="52">
        <v>0</v>
      </c>
      <c r="N56" s="102" t="str">
        <f t="shared" si="4"/>
        <v/>
      </c>
      <c r="O56" s="103" t="str">
        <f t="shared" si="5"/>
        <v/>
      </c>
      <c r="P56" s="52">
        <v>0</v>
      </c>
      <c r="Q56" s="102" t="str">
        <f t="shared" si="6"/>
        <v/>
      </c>
      <c r="R56" s="103" t="str">
        <f t="shared" si="7"/>
        <v/>
      </c>
      <c r="S56" s="52">
        <v>0</v>
      </c>
      <c r="T56" s="102" t="str">
        <f t="shared" si="8"/>
        <v/>
      </c>
      <c r="U56" s="103" t="str">
        <f t="shared" si="9"/>
        <v/>
      </c>
      <c r="V56" s="52">
        <v>0</v>
      </c>
      <c r="W56" s="87" t="str">
        <f t="shared" si="10"/>
        <v/>
      </c>
      <c r="X56" s="103" t="str">
        <f t="shared" si="11"/>
        <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t="str">
        <f t="shared" si="1"/>
        <v/>
      </c>
      <c r="C57" s="95"/>
      <c r="D57" s="46"/>
      <c r="E57" s="58"/>
      <c r="F57" s="65"/>
      <c r="G57" s="49"/>
      <c r="H57" s="66"/>
      <c r="I57" s="50"/>
      <c r="J57" s="51"/>
      <c r="K57" s="129" t="str">
        <f t="shared" si="2"/>
        <v/>
      </c>
      <c r="L57" s="103" t="str">
        <f t="shared" si="3"/>
        <v/>
      </c>
      <c r="M57" s="53">
        <v>0</v>
      </c>
      <c r="N57" s="102" t="str">
        <f t="shared" si="4"/>
        <v/>
      </c>
      <c r="O57" s="103" t="str">
        <f t="shared" si="5"/>
        <v/>
      </c>
      <c r="P57" s="53">
        <v>0</v>
      </c>
      <c r="Q57" s="102" t="str">
        <f t="shared" si="6"/>
        <v/>
      </c>
      <c r="R57" s="103" t="str">
        <f t="shared" si="7"/>
        <v/>
      </c>
      <c r="S57" s="53">
        <v>0</v>
      </c>
      <c r="T57" s="102" t="str">
        <f t="shared" si="8"/>
        <v/>
      </c>
      <c r="U57" s="103" t="str">
        <f t="shared" si="9"/>
        <v/>
      </c>
      <c r="V57" s="53">
        <v>0</v>
      </c>
      <c r="W57" s="87" t="str">
        <f t="shared" si="10"/>
        <v/>
      </c>
      <c r="X57" s="103" t="str">
        <f t="shared" si="11"/>
        <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2"/>
        <v/>
      </c>
      <c r="L58" s="103" t="str">
        <f t="shared" si="3"/>
        <v/>
      </c>
      <c r="M58" s="52">
        <v>0</v>
      </c>
      <c r="N58" s="102" t="str">
        <f t="shared" si="4"/>
        <v/>
      </c>
      <c r="O58" s="103" t="str">
        <f t="shared" si="5"/>
        <v/>
      </c>
      <c r="P58" s="52">
        <v>0</v>
      </c>
      <c r="Q58" s="102" t="str">
        <f t="shared" si="6"/>
        <v/>
      </c>
      <c r="R58" s="103" t="str">
        <f t="shared" si="7"/>
        <v/>
      </c>
      <c r="S58" s="52">
        <v>0</v>
      </c>
      <c r="T58" s="102" t="str">
        <f t="shared" si="8"/>
        <v/>
      </c>
      <c r="U58" s="103" t="str">
        <f t="shared" si="9"/>
        <v/>
      </c>
      <c r="V58" s="52">
        <v>0</v>
      </c>
      <c r="W58" s="87" t="str">
        <f t="shared" si="10"/>
        <v/>
      </c>
      <c r="X58" s="103" t="str">
        <f t="shared" si="11"/>
        <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2"/>
        <v/>
      </c>
      <c r="L59" s="103" t="str">
        <f t="shared" si="3"/>
        <v/>
      </c>
      <c r="M59" s="53">
        <v>0</v>
      </c>
      <c r="N59" s="102" t="str">
        <f t="shared" si="4"/>
        <v/>
      </c>
      <c r="O59" s="103" t="str">
        <f t="shared" si="5"/>
        <v/>
      </c>
      <c r="P59" s="53">
        <v>0</v>
      </c>
      <c r="Q59" s="102" t="str">
        <f t="shared" si="6"/>
        <v/>
      </c>
      <c r="R59" s="103" t="str">
        <f t="shared" si="7"/>
        <v/>
      </c>
      <c r="S59" s="53">
        <v>0</v>
      </c>
      <c r="T59" s="102" t="str">
        <f t="shared" si="8"/>
        <v/>
      </c>
      <c r="U59" s="103" t="str">
        <f t="shared" si="9"/>
        <v/>
      </c>
      <c r="V59" s="53">
        <v>0</v>
      </c>
      <c r="W59" s="87" t="str">
        <f t="shared" si="10"/>
        <v/>
      </c>
      <c r="X59" s="103" t="str">
        <f t="shared" si="11"/>
        <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2"/>
        <v/>
      </c>
      <c r="L60" s="103" t="str">
        <f t="shared" si="3"/>
        <v/>
      </c>
      <c r="M60" s="52">
        <v>0</v>
      </c>
      <c r="N60" s="102" t="str">
        <f t="shared" si="4"/>
        <v/>
      </c>
      <c r="O60" s="103" t="str">
        <f t="shared" si="5"/>
        <v/>
      </c>
      <c r="P60" s="52">
        <v>0</v>
      </c>
      <c r="Q60" s="102" t="str">
        <f t="shared" si="6"/>
        <v/>
      </c>
      <c r="R60" s="103" t="str">
        <f t="shared" si="7"/>
        <v/>
      </c>
      <c r="S60" s="52">
        <v>0</v>
      </c>
      <c r="T60" s="102" t="str">
        <f t="shared" si="8"/>
        <v/>
      </c>
      <c r="U60" s="103" t="str">
        <f t="shared" si="9"/>
        <v/>
      </c>
      <c r="V60" s="52">
        <v>0</v>
      </c>
      <c r="W60" s="87" t="str">
        <f t="shared" si="10"/>
        <v/>
      </c>
      <c r="X60" s="103" t="str">
        <f t="shared" si="11"/>
        <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2"/>
        <v/>
      </c>
      <c r="L61" s="103" t="str">
        <f t="shared" si="3"/>
        <v/>
      </c>
      <c r="M61" s="53">
        <v>0</v>
      </c>
      <c r="N61" s="102" t="str">
        <f t="shared" si="4"/>
        <v/>
      </c>
      <c r="O61" s="103" t="str">
        <f t="shared" si="5"/>
        <v/>
      </c>
      <c r="P61" s="53">
        <v>0</v>
      </c>
      <c r="Q61" s="102" t="str">
        <f t="shared" si="6"/>
        <v/>
      </c>
      <c r="R61" s="103" t="str">
        <f t="shared" si="7"/>
        <v/>
      </c>
      <c r="S61" s="53">
        <v>0</v>
      </c>
      <c r="T61" s="102" t="str">
        <f t="shared" si="8"/>
        <v/>
      </c>
      <c r="U61" s="103" t="str">
        <f t="shared" si="9"/>
        <v/>
      </c>
      <c r="V61" s="53">
        <v>0</v>
      </c>
      <c r="W61" s="87" t="str">
        <f t="shared" si="10"/>
        <v/>
      </c>
      <c r="X61" s="103" t="str">
        <f t="shared" si="11"/>
        <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2"/>
        <v/>
      </c>
      <c r="L62" s="103" t="str">
        <f t="shared" si="3"/>
        <v/>
      </c>
      <c r="M62" s="52">
        <v>0</v>
      </c>
      <c r="N62" s="102" t="str">
        <f t="shared" si="4"/>
        <v/>
      </c>
      <c r="O62" s="103" t="str">
        <f t="shared" si="5"/>
        <v/>
      </c>
      <c r="P62" s="52">
        <v>0</v>
      </c>
      <c r="Q62" s="102" t="str">
        <f t="shared" si="6"/>
        <v/>
      </c>
      <c r="R62" s="103" t="str">
        <f t="shared" si="7"/>
        <v/>
      </c>
      <c r="S62" s="52">
        <v>0</v>
      </c>
      <c r="T62" s="102" t="str">
        <f t="shared" si="8"/>
        <v/>
      </c>
      <c r="U62" s="103" t="str">
        <f t="shared" si="9"/>
        <v/>
      </c>
      <c r="V62" s="52">
        <v>0</v>
      </c>
      <c r="W62" s="87" t="str">
        <f t="shared" si="10"/>
        <v/>
      </c>
      <c r="X62" s="103" t="str">
        <f t="shared" si="11"/>
        <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2"/>
        <v/>
      </c>
      <c r="L63" s="103" t="str">
        <f t="shared" si="3"/>
        <v/>
      </c>
      <c r="M63" s="53">
        <v>0</v>
      </c>
      <c r="N63" s="102" t="str">
        <f t="shared" si="4"/>
        <v/>
      </c>
      <c r="O63" s="103" t="str">
        <f t="shared" si="5"/>
        <v/>
      </c>
      <c r="P63" s="53">
        <v>0</v>
      </c>
      <c r="Q63" s="102" t="str">
        <f t="shared" si="6"/>
        <v/>
      </c>
      <c r="R63" s="103" t="str">
        <f t="shared" si="7"/>
        <v/>
      </c>
      <c r="S63" s="53">
        <v>0</v>
      </c>
      <c r="T63" s="102" t="str">
        <f t="shared" si="8"/>
        <v/>
      </c>
      <c r="U63" s="103" t="str">
        <f t="shared" si="9"/>
        <v/>
      </c>
      <c r="V63" s="53">
        <v>0</v>
      </c>
      <c r="W63" s="87" t="str">
        <f t="shared" si="10"/>
        <v/>
      </c>
      <c r="X63" s="103" t="str">
        <f t="shared" si="11"/>
        <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2"/>
        <v/>
      </c>
      <c r="L64" s="103" t="str">
        <f t="shared" si="3"/>
        <v/>
      </c>
      <c r="M64" s="52">
        <v>0</v>
      </c>
      <c r="N64" s="102" t="str">
        <f t="shared" si="4"/>
        <v/>
      </c>
      <c r="O64" s="103" t="str">
        <f t="shared" si="5"/>
        <v/>
      </c>
      <c r="P64" s="52">
        <v>0</v>
      </c>
      <c r="Q64" s="102" t="str">
        <f t="shared" si="6"/>
        <v/>
      </c>
      <c r="R64" s="103" t="str">
        <f t="shared" si="7"/>
        <v/>
      </c>
      <c r="S64" s="52">
        <v>0</v>
      </c>
      <c r="T64" s="102" t="str">
        <f t="shared" si="8"/>
        <v/>
      </c>
      <c r="U64" s="103" t="str">
        <f t="shared" si="9"/>
        <v/>
      </c>
      <c r="V64" s="52">
        <v>0</v>
      </c>
      <c r="W64" s="87" t="str">
        <f t="shared" si="10"/>
        <v/>
      </c>
      <c r="X64" s="103" t="str">
        <f t="shared" si="11"/>
        <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2"/>
        <v/>
      </c>
      <c r="L65" s="103" t="str">
        <f t="shared" si="3"/>
        <v/>
      </c>
      <c r="M65" s="53">
        <v>0</v>
      </c>
      <c r="N65" s="102" t="str">
        <f t="shared" si="4"/>
        <v/>
      </c>
      <c r="O65" s="103" t="str">
        <f t="shared" si="5"/>
        <v/>
      </c>
      <c r="P65" s="53">
        <v>0</v>
      </c>
      <c r="Q65" s="102" t="str">
        <f t="shared" si="6"/>
        <v/>
      </c>
      <c r="R65" s="103" t="str">
        <f t="shared" si="7"/>
        <v/>
      </c>
      <c r="S65" s="53">
        <v>0</v>
      </c>
      <c r="T65" s="102" t="str">
        <f t="shared" si="8"/>
        <v/>
      </c>
      <c r="U65" s="103" t="str">
        <f t="shared" si="9"/>
        <v/>
      </c>
      <c r="V65" s="53">
        <v>0</v>
      </c>
      <c r="W65" s="87" t="str">
        <f t="shared" si="10"/>
        <v/>
      </c>
      <c r="X65" s="103" t="str">
        <f t="shared" si="11"/>
        <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2"/>
        <v/>
      </c>
      <c r="L66" s="103" t="str">
        <f t="shared" si="3"/>
        <v/>
      </c>
      <c r="M66" s="52">
        <v>0</v>
      </c>
      <c r="N66" s="102" t="str">
        <f t="shared" si="4"/>
        <v/>
      </c>
      <c r="O66" s="103" t="str">
        <f t="shared" si="5"/>
        <v/>
      </c>
      <c r="P66" s="52">
        <v>0</v>
      </c>
      <c r="Q66" s="102" t="str">
        <f t="shared" si="6"/>
        <v/>
      </c>
      <c r="R66" s="103" t="str">
        <f t="shared" si="7"/>
        <v/>
      </c>
      <c r="S66" s="52">
        <v>0</v>
      </c>
      <c r="T66" s="102" t="str">
        <f t="shared" si="8"/>
        <v/>
      </c>
      <c r="U66" s="103" t="str">
        <f t="shared" si="9"/>
        <v/>
      </c>
      <c r="V66" s="52">
        <v>0</v>
      </c>
      <c r="W66" s="87" t="str">
        <f t="shared" si="10"/>
        <v/>
      </c>
      <c r="X66" s="103" t="str">
        <f t="shared" si="11"/>
        <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2"/>
        <v/>
      </c>
      <c r="L67" s="103" t="str">
        <f t="shared" si="3"/>
        <v/>
      </c>
      <c r="M67" s="53">
        <v>0</v>
      </c>
      <c r="N67" s="102" t="str">
        <f t="shared" si="4"/>
        <v/>
      </c>
      <c r="O67" s="103" t="str">
        <f t="shared" si="5"/>
        <v/>
      </c>
      <c r="P67" s="53">
        <v>0</v>
      </c>
      <c r="Q67" s="102" t="str">
        <f t="shared" si="6"/>
        <v/>
      </c>
      <c r="R67" s="103" t="str">
        <f t="shared" si="7"/>
        <v/>
      </c>
      <c r="S67" s="53">
        <v>0</v>
      </c>
      <c r="T67" s="102" t="str">
        <f t="shared" si="8"/>
        <v/>
      </c>
      <c r="U67" s="103" t="str">
        <f t="shared" si="9"/>
        <v/>
      </c>
      <c r="V67" s="53">
        <v>0</v>
      </c>
      <c r="W67" s="87" t="str">
        <f t="shared" si="10"/>
        <v/>
      </c>
      <c r="X67" s="103" t="str">
        <f t="shared" si="11"/>
        <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2"/>
        <v/>
      </c>
      <c r="L68" s="103" t="str">
        <f t="shared" si="3"/>
        <v/>
      </c>
      <c r="M68" s="52">
        <v>0</v>
      </c>
      <c r="N68" s="102" t="str">
        <f t="shared" si="4"/>
        <v/>
      </c>
      <c r="O68" s="103" t="str">
        <f t="shared" si="5"/>
        <v/>
      </c>
      <c r="P68" s="52">
        <v>0</v>
      </c>
      <c r="Q68" s="102" t="str">
        <f t="shared" si="6"/>
        <v/>
      </c>
      <c r="R68" s="103" t="str">
        <f t="shared" si="7"/>
        <v/>
      </c>
      <c r="S68" s="52">
        <v>0</v>
      </c>
      <c r="T68" s="102" t="str">
        <f t="shared" si="8"/>
        <v/>
      </c>
      <c r="U68" s="103" t="str">
        <f t="shared" si="9"/>
        <v/>
      </c>
      <c r="V68" s="52">
        <v>0</v>
      </c>
      <c r="W68" s="87" t="str">
        <f t="shared" si="10"/>
        <v/>
      </c>
      <c r="X68" s="103" t="str">
        <f t="shared" si="11"/>
        <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2"/>
        <v/>
      </c>
      <c r="L69" s="103" t="str">
        <f t="shared" si="3"/>
        <v/>
      </c>
      <c r="M69" s="53">
        <v>0</v>
      </c>
      <c r="N69" s="102" t="str">
        <f t="shared" si="4"/>
        <v/>
      </c>
      <c r="O69" s="103" t="str">
        <f t="shared" si="5"/>
        <v/>
      </c>
      <c r="P69" s="53">
        <v>0</v>
      </c>
      <c r="Q69" s="102" t="str">
        <f t="shared" si="6"/>
        <v/>
      </c>
      <c r="R69" s="103" t="str">
        <f t="shared" si="7"/>
        <v/>
      </c>
      <c r="S69" s="53">
        <v>0</v>
      </c>
      <c r="T69" s="102" t="str">
        <f t="shared" si="8"/>
        <v/>
      </c>
      <c r="U69" s="103" t="str">
        <f t="shared" si="9"/>
        <v/>
      </c>
      <c r="V69" s="53">
        <v>0</v>
      </c>
      <c r="W69" s="87" t="str">
        <f t="shared" si="10"/>
        <v/>
      </c>
      <c r="X69" s="103" t="str">
        <f t="shared" si="11"/>
        <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2"/>
        <v/>
      </c>
      <c r="L70" s="103" t="str">
        <f t="shared" si="3"/>
        <v/>
      </c>
      <c r="M70" s="52">
        <v>0</v>
      </c>
      <c r="N70" s="102" t="str">
        <f t="shared" si="4"/>
        <v/>
      </c>
      <c r="O70" s="103" t="str">
        <f t="shared" si="5"/>
        <v/>
      </c>
      <c r="P70" s="52">
        <v>0</v>
      </c>
      <c r="Q70" s="102" t="str">
        <f t="shared" si="6"/>
        <v/>
      </c>
      <c r="R70" s="103" t="str">
        <f t="shared" si="7"/>
        <v/>
      </c>
      <c r="S70" s="52">
        <v>0</v>
      </c>
      <c r="T70" s="102" t="str">
        <f t="shared" si="8"/>
        <v/>
      </c>
      <c r="U70" s="103" t="str">
        <f t="shared" si="9"/>
        <v/>
      </c>
      <c r="V70" s="52">
        <v>0</v>
      </c>
      <c r="W70" s="87" t="str">
        <f t="shared" si="10"/>
        <v/>
      </c>
      <c r="X70" s="103" t="str">
        <f t="shared" si="11"/>
        <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2"/>
        <v/>
      </c>
      <c r="L71" s="103" t="str">
        <f t="shared" si="3"/>
        <v/>
      </c>
      <c r="M71" s="53">
        <v>0</v>
      </c>
      <c r="N71" s="102" t="str">
        <f t="shared" si="4"/>
        <v/>
      </c>
      <c r="O71" s="103" t="str">
        <f t="shared" si="5"/>
        <v/>
      </c>
      <c r="P71" s="53">
        <v>0</v>
      </c>
      <c r="Q71" s="102" t="str">
        <f t="shared" si="6"/>
        <v/>
      </c>
      <c r="R71" s="103" t="str">
        <f t="shared" si="7"/>
        <v/>
      </c>
      <c r="S71" s="53">
        <v>0</v>
      </c>
      <c r="T71" s="102" t="str">
        <f t="shared" si="8"/>
        <v/>
      </c>
      <c r="U71" s="103" t="str">
        <f t="shared" si="9"/>
        <v/>
      </c>
      <c r="V71" s="53">
        <v>0</v>
      </c>
      <c r="W71" s="87" t="str">
        <f t="shared" si="10"/>
        <v/>
      </c>
      <c r="X71" s="103" t="str">
        <f t="shared" si="11"/>
        <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2"/>
        <v/>
      </c>
      <c r="L72" s="103" t="str">
        <f t="shared" si="3"/>
        <v/>
      </c>
      <c r="M72" s="52">
        <v>0</v>
      </c>
      <c r="N72" s="102" t="str">
        <f t="shared" si="4"/>
        <v/>
      </c>
      <c r="O72" s="103" t="str">
        <f t="shared" si="5"/>
        <v/>
      </c>
      <c r="P72" s="52">
        <v>0</v>
      </c>
      <c r="Q72" s="102" t="str">
        <f t="shared" si="6"/>
        <v/>
      </c>
      <c r="R72" s="103" t="str">
        <f t="shared" si="7"/>
        <v/>
      </c>
      <c r="S72" s="52">
        <v>0</v>
      </c>
      <c r="T72" s="102" t="str">
        <f t="shared" si="8"/>
        <v/>
      </c>
      <c r="U72" s="103" t="str">
        <f t="shared" si="9"/>
        <v/>
      </c>
      <c r="V72" s="52">
        <v>0</v>
      </c>
      <c r="W72" s="87" t="str">
        <f t="shared" si="10"/>
        <v/>
      </c>
      <c r="X72" s="103" t="str">
        <f t="shared" si="11"/>
        <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si="2"/>
        <v/>
      </c>
      <c r="L73" s="103" t="str">
        <f t="shared" si="3"/>
        <v/>
      </c>
      <c r="M73" s="53">
        <v>0</v>
      </c>
      <c r="N73" s="102" t="str">
        <f t="shared" si="4"/>
        <v/>
      </c>
      <c r="O73" s="103" t="str">
        <f t="shared" si="5"/>
        <v/>
      </c>
      <c r="P73" s="53">
        <v>0</v>
      </c>
      <c r="Q73" s="102" t="str">
        <f t="shared" si="6"/>
        <v/>
      </c>
      <c r="R73" s="103" t="str">
        <f t="shared" si="7"/>
        <v/>
      </c>
      <c r="S73" s="53">
        <v>0</v>
      </c>
      <c r="T73" s="102" t="str">
        <f t="shared" si="8"/>
        <v/>
      </c>
      <c r="U73" s="103" t="str">
        <f t="shared" si="9"/>
        <v/>
      </c>
      <c r="V73" s="53">
        <v>0</v>
      </c>
      <c r="W73" s="87" t="str">
        <f t="shared" si="10"/>
        <v/>
      </c>
      <c r="X73" s="103" t="str">
        <f t="shared" si="11"/>
        <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ref="K74:K137" si="20">IF(H74="Topic",
"[ROLE] Friendly tutor specializing in " &amp; $I$2 &amp; " | " &amp;
"[TOPIC] " &amp; I74 &amp; " | " &amp;
"[LEVEL] " &amp; G74 &amp; " | " &amp;
"[COUNT] " &amp; D74 &amp; " examples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on stateless GenServer callbacks, init/1, handle_call/3, and primitive messaging structures. DO NOT use complex dynamic supervision trees.", IF(G74="Intermediate", "STRICT REQUIREMENT: Every example MUST use GenServer or Agent implementations inside defmodule, client API wrappers, GenServer.call/cast, and state tuples.", "Advanced OTP patterns: dynamic supervisors (DynamicSupervisor), GenStage/Broadway pipelines, distributed nodes, and custom Supervisor specs.")) &amp; " | " &amp;
_xlfn._LONGTEXT("[CODE_CONSTRAINTS_RULE]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 &amp;
"[I_O_PARADIGM] Use State management via GenServer/Agent process state structures. and gracefully handle Use IO.puts/1 or IO.inspect/2 to display server responses clearly. when applicable. | " &amp;
"[INLINE_PACKAGE_MANAGER] If using external packages, use Native OTP behaviors (GenServer, Supervisor, Agent, Task), Kernel functions, and BEAM supervision trees.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basic GenServer state init, handle_call responses, and simple client wrappers. Do NOT expect dynamic supervisors or multi-node distribution unless demanded.", IF(G74="Intermediate", "Expect clean GenServer/Agent modules, explicit client API boundaries, handle_cast state updates, and @spec typespecs. Enforce zero raw receive-loop emulations.", "Expect modular supervision trees with Supervisor specs, dynamic worker spawning, restart strategies, and process monitoring.")) &amp; " | " &amp;
_xlfn._LONGTEXT("[CODE_QUALITY_POLICIES]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 &amp;
"[TESTING_FRAMEWORK_RULE] Validate with IO output or simple ExUnit assert/refute macros. Avoid complex suites, setup chains, or excessive test scaffolding. | " &amp;
"[DEPENDENCY_MANAGEMENT_RULE] Standard Mix/Elixir context. If external packages are needed, declare them only in mix.exs and install with mix deps.get. | " &amp;
"[CODE CONSTRAINTS] Each challenge MUST include GenServer/Agent process use, at least 1 IO.puts/IO.inspect, state transformation, EXACTLY 1 OTP module, and EXACTLY 1 process call/cast. - " &amp; IF(G74="Beginner", "5–15", IF(G74="Intermediate", "10–25", "15–35")) &amp; _xlfn._LONGTEXT(" lines of EXECUTABLE broken Elixir OTP code per challenge; exclude blank lines. NO raw process receive loops and NO top-level executable expressions EXCEPT the startup and call flow. | All challenges MUST maintain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Elixir/OTP modules only. Strictly ZERO external Hex packages for beginner topics. | " &amp;
"[TESTING_FRAMEWORK_PROTOCOL] Simple console-output verification via IO.puts/1 or IO.inspect/2. | " &amp;
"[CHALLENGE_CONSTRAINTS_POLICY] For Beginner level, # TODO MUST be atomic: 1–2 simple lines max, e.g. state tuple return, GenServer call, direct comparison, or simple pattern match. NO complex IO capture or process mocking. - " &amp; IF(G74="Beginner","5–15", IF(G74="Intermediate","10–25","15–35")) &amp; " 5–15 lines of EXECUTABLE base code. Code outside # TODO MUST be fully valid/readable. If no_def is present in AJ, use flat GenServer skeleton code.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OTP behaviors (GenServer, Supervisor, Agent, Task), Kernel functions, and BEAM supervision trees. at the top of the code block. Assume no project configuration file exists. | " &amp;
"[CODE_CONSTRAINTS_RULE] Standard OTP process and state validation using ExUnit assert/refute macros and Process tracking. | " &amp;
_xlfn._LONGTEXT("[VISUAL_ARCHITECTURE_COMMENTS]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Mix dependency declarations in mix.exs and mix deps.get for external Hex dependencies when applicable. | " &amp;
"[CHALLENGE_CONSTRAINTS_POLICY] MUST contain 25–40 lines of EXECUTABLE base Elixir OTP code; do NOT count comments or # TODO blocks. " &amp; IF(G74="Beginner","25–40", IF(G74="Intermediate","30–60","40–100")) &amp; " Multi-step OTP process architecture. Max 2 modules, standard GenServer/Agent structure. Integration logic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20"/>
        <v/>
      </c>
      <c r="L75" s="103" t="str">
        <f t="shared" si="21"/>
        <v/>
      </c>
      <c r="M75" s="53">
        <v>0</v>
      </c>
      <c r="N75" s="102" t="str">
        <f t="shared" si="22"/>
        <v/>
      </c>
      <c r="O75" s="103" t="str">
        <f t="shared" si="23"/>
        <v/>
      </c>
      <c r="P75" s="53">
        <v>0</v>
      </c>
      <c r="Q75" s="102" t="str">
        <f t="shared" si="24"/>
        <v/>
      </c>
      <c r="R75" s="103" t="str">
        <f t="shared" si="25"/>
        <v/>
      </c>
      <c r="S75" s="53">
        <v>0</v>
      </c>
      <c r="T75" s="102" t="str">
        <f t="shared" si="26"/>
        <v/>
      </c>
      <c r="U75" s="103" t="str">
        <f t="shared" si="27"/>
        <v/>
      </c>
      <c r="V75" s="53">
        <v>0</v>
      </c>
      <c r="W75" s="87" t="str">
        <f t="shared" si="28"/>
        <v/>
      </c>
      <c r="X75" s="103" t="str">
        <f t="shared" si="29"/>
        <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20"/>
        <v/>
      </c>
      <c r="L76" s="103" t="str">
        <f t="shared" si="21"/>
        <v/>
      </c>
      <c r="M76" s="52">
        <v>0</v>
      </c>
      <c r="N76" s="102" t="str">
        <f t="shared" si="22"/>
        <v/>
      </c>
      <c r="O76" s="103" t="str">
        <f t="shared" si="23"/>
        <v/>
      </c>
      <c r="P76" s="52">
        <v>0</v>
      </c>
      <c r="Q76" s="102" t="str">
        <f t="shared" si="24"/>
        <v/>
      </c>
      <c r="R76" s="103" t="str">
        <f t="shared" si="25"/>
        <v/>
      </c>
      <c r="S76" s="52">
        <v>0</v>
      </c>
      <c r="T76" s="102" t="str">
        <f t="shared" si="26"/>
        <v/>
      </c>
      <c r="U76" s="103" t="str">
        <f t="shared" si="27"/>
        <v/>
      </c>
      <c r="V76" s="52">
        <v>0</v>
      </c>
      <c r="W76" s="87" t="str">
        <f t="shared" si="28"/>
        <v/>
      </c>
      <c r="X76" s="103" t="str">
        <f t="shared" si="29"/>
        <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20"/>
        <v/>
      </c>
      <c r="L77" s="103" t="str">
        <f t="shared" si="21"/>
        <v/>
      </c>
      <c r="M77" s="53">
        <v>0</v>
      </c>
      <c r="N77" s="102" t="str">
        <f t="shared" si="22"/>
        <v/>
      </c>
      <c r="O77" s="103" t="str">
        <f t="shared" si="23"/>
        <v/>
      </c>
      <c r="P77" s="53">
        <v>0</v>
      </c>
      <c r="Q77" s="102" t="str">
        <f t="shared" si="24"/>
        <v/>
      </c>
      <c r="R77" s="103" t="str">
        <f t="shared" si="25"/>
        <v/>
      </c>
      <c r="S77" s="53">
        <v>0</v>
      </c>
      <c r="T77" s="102" t="str">
        <f t="shared" si="26"/>
        <v/>
      </c>
      <c r="U77" s="103" t="str">
        <f t="shared" si="27"/>
        <v/>
      </c>
      <c r="V77" s="53">
        <v>0</v>
      </c>
      <c r="W77" s="87" t="str">
        <f t="shared" si="28"/>
        <v/>
      </c>
      <c r="X77" s="103" t="str">
        <f t="shared" si="29"/>
        <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20"/>
        <v/>
      </c>
      <c r="L78" s="103" t="str">
        <f t="shared" si="21"/>
        <v/>
      </c>
      <c r="M78" s="52">
        <v>0</v>
      </c>
      <c r="N78" s="102" t="str">
        <f t="shared" si="22"/>
        <v/>
      </c>
      <c r="O78" s="103" t="str">
        <f t="shared" si="23"/>
        <v/>
      </c>
      <c r="P78" s="52">
        <v>0</v>
      </c>
      <c r="Q78" s="102" t="str">
        <f t="shared" si="24"/>
        <v/>
      </c>
      <c r="R78" s="103" t="str">
        <f t="shared" si="25"/>
        <v/>
      </c>
      <c r="S78" s="52">
        <v>0</v>
      </c>
      <c r="T78" s="102" t="str">
        <f t="shared" si="26"/>
        <v/>
      </c>
      <c r="U78" s="103" t="str">
        <f t="shared" si="27"/>
        <v/>
      </c>
      <c r="V78" s="52">
        <v>0</v>
      </c>
      <c r="W78" s="87" t="str">
        <f t="shared" si="28"/>
        <v/>
      </c>
      <c r="X78" s="103" t="str">
        <f t="shared" si="29"/>
        <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20"/>
        <v/>
      </c>
      <c r="L79" s="103" t="str">
        <f t="shared" si="21"/>
        <v/>
      </c>
      <c r="M79" s="53">
        <v>0</v>
      </c>
      <c r="N79" s="102" t="str">
        <f t="shared" si="22"/>
        <v/>
      </c>
      <c r="O79" s="103" t="str">
        <f t="shared" si="23"/>
        <v/>
      </c>
      <c r="P79" s="53">
        <v>0</v>
      </c>
      <c r="Q79" s="102" t="str">
        <f t="shared" si="24"/>
        <v/>
      </c>
      <c r="R79" s="103" t="str">
        <f t="shared" si="25"/>
        <v/>
      </c>
      <c r="S79" s="53">
        <v>0</v>
      </c>
      <c r="T79" s="102" t="str">
        <f t="shared" si="26"/>
        <v/>
      </c>
      <c r="U79" s="103" t="str">
        <f t="shared" si="27"/>
        <v/>
      </c>
      <c r="V79" s="53">
        <v>0</v>
      </c>
      <c r="W79" s="87" t="str">
        <f t="shared" si="28"/>
        <v/>
      </c>
      <c r="X79" s="103" t="str">
        <f t="shared" si="29"/>
        <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20"/>
        <v/>
      </c>
      <c r="L80" s="103" t="str">
        <f t="shared" si="21"/>
        <v/>
      </c>
      <c r="M80" s="52">
        <v>0</v>
      </c>
      <c r="N80" s="102" t="str">
        <f t="shared" si="22"/>
        <v/>
      </c>
      <c r="O80" s="103" t="str">
        <f t="shared" si="23"/>
        <v/>
      </c>
      <c r="P80" s="52">
        <v>0</v>
      </c>
      <c r="Q80" s="102" t="str">
        <f t="shared" si="24"/>
        <v/>
      </c>
      <c r="R80" s="103" t="str">
        <f t="shared" si="25"/>
        <v/>
      </c>
      <c r="S80" s="52">
        <v>0</v>
      </c>
      <c r="T80" s="102" t="str">
        <f t="shared" si="26"/>
        <v/>
      </c>
      <c r="U80" s="103" t="str">
        <f t="shared" si="27"/>
        <v/>
      </c>
      <c r="V80" s="52">
        <v>0</v>
      </c>
      <c r="W80" s="87" t="str">
        <f t="shared" si="28"/>
        <v/>
      </c>
      <c r="X80" s="103" t="str">
        <f t="shared" si="29"/>
        <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20"/>
        <v/>
      </c>
      <c r="L81" s="103" t="str">
        <f t="shared" si="21"/>
        <v/>
      </c>
      <c r="M81" s="53">
        <v>0</v>
      </c>
      <c r="N81" s="102" t="str">
        <f t="shared" si="22"/>
        <v/>
      </c>
      <c r="O81" s="103" t="str">
        <f t="shared" si="23"/>
        <v/>
      </c>
      <c r="P81" s="53">
        <v>0</v>
      </c>
      <c r="Q81" s="102" t="str">
        <f t="shared" si="24"/>
        <v/>
      </c>
      <c r="R81" s="103" t="str">
        <f t="shared" si="25"/>
        <v/>
      </c>
      <c r="S81" s="53">
        <v>0</v>
      </c>
      <c r="T81" s="102" t="str">
        <f t="shared" si="26"/>
        <v/>
      </c>
      <c r="U81" s="103" t="str">
        <f t="shared" si="27"/>
        <v/>
      </c>
      <c r="V81" s="53">
        <v>0</v>
      </c>
      <c r="W81" s="87" t="str">
        <f t="shared" si="28"/>
        <v/>
      </c>
      <c r="X81" s="103" t="str">
        <f t="shared" si="29"/>
        <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20"/>
        <v/>
      </c>
      <c r="L82" s="103" t="str">
        <f t="shared" si="21"/>
        <v/>
      </c>
      <c r="M82" s="52">
        <v>0</v>
      </c>
      <c r="N82" s="102" t="str">
        <f t="shared" si="22"/>
        <v/>
      </c>
      <c r="O82" s="103" t="str">
        <f t="shared" si="23"/>
        <v/>
      </c>
      <c r="P82" s="52">
        <v>0</v>
      </c>
      <c r="Q82" s="102" t="str">
        <f t="shared" si="24"/>
        <v/>
      </c>
      <c r="R82" s="103" t="str">
        <f t="shared" si="25"/>
        <v/>
      </c>
      <c r="S82" s="52">
        <v>0</v>
      </c>
      <c r="T82" s="102" t="str">
        <f t="shared" si="26"/>
        <v/>
      </c>
      <c r="U82" s="103" t="str">
        <f t="shared" si="27"/>
        <v/>
      </c>
      <c r="V82" s="52">
        <v>0</v>
      </c>
      <c r="W82" s="87" t="str">
        <f t="shared" si="28"/>
        <v/>
      </c>
      <c r="X82" s="103" t="str">
        <f t="shared" si="29"/>
        <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20"/>
        <v/>
      </c>
      <c r="L83" s="103" t="str">
        <f t="shared" si="21"/>
        <v/>
      </c>
      <c r="M83" s="53">
        <v>0</v>
      </c>
      <c r="N83" s="102" t="str">
        <f t="shared" si="22"/>
        <v/>
      </c>
      <c r="O83" s="103" t="str">
        <f t="shared" si="23"/>
        <v/>
      </c>
      <c r="P83" s="53">
        <v>0</v>
      </c>
      <c r="Q83" s="102" t="str">
        <f t="shared" si="24"/>
        <v/>
      </c>
      <c r="R83" s="103" t="str">
        <f t="shared" si="25"/>
        <v/>
      </c>
      <c r="S83" s="53">
        <v>0</v>
      </c>
      <c r="T83" s="102" t="str">
        <f t="shared" si="26"/>
        <v/>
      </c>
      <c r="U83" s="103" t="str">
        <f t="shared" si="27"/>
        <v/>
      </c>
      <c r="V83" s="53">
        <v>0</v>
      </c>
      <c r="W83" s="87" t="str">
        <f t="shared" si="28"/>
        <v/>
      </c>
      <c r="X83" s="103" t="str">
        <f t="shared" si="29"/>
        <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20"/>
        <v/>
      </c>
      <c r="L84" s="103" t="str">
        <f t="shared" si="21"/>
        <v/>
      </c>
      <c r="M84" s="52">
        <v>0</v>
      </c>
      <c r="N84" s="102" t="str">
        <f t="shared" si="22"/>
        <v/>
      </c>
      <c r="O84" s="103" t="str">
        <f t="shared" si="23"/>
        <v/>
      </c>
      <c r="P84" s="52">
        <v>0</v>
      </c>
      <c r="Q84" s="102" t="str">
        <f t="shared" si="24"/>
        <v/>
      </c>
      <c r="R84" s="103" t="str">
        <f t="shared" si="25"/>
        <v/>
      </c>
      <c r="S84" s="52">
        <v>0</v>
      </c>
      <c r="T84" s="102" t="str">
        <f t="shared" si="26"/>
        <v/>
      </c>
      <c r="U84" s="103" t="str">
        <f t="shared" si="27"/>
        <v/>
      </c>
      <c r="V84" s="52">
        <v>0</v>
      </c>
      <c r="W84" s="87" t="str">
        <f t="shared" si="28"/>
        <v/>
      </c>
      <c r="X84" s="103" t="str">
        <f t="shared" si="29"/>
        <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20"/>
        <v/>
      </c>
      <c r="L85" s="103" t="str">
        <f t="shared" si="21"/>
        <v/>
      </c>
      <c r="M85" s="53">
        <v>0</v>
      </c>
      <c r="N85" s="102" t="str">
        <f t="shared" si="22"/>
        <v/>
      </c>
      <c r="O85" s="103" t="str">
        <f t="shared" si="23"/>
        <v/>
      </c>
      <c r="P85" s="53">
        <v>0</v>
      </c>
      <c r="Q85" s="102" t="str">
        <f t="shared" si="24"/>
        <v/>
      </c>
      <c r="R85" s="103" t="str">
        <f t="shared" si="25"/>
        <v/>
      </c>
      <c r="S85" s="53">
        <v>0</v>
      </c>
      <c r="T85" s="102" t="str">
        <f t="shared" si="26"/>
        <v/>
      </c>
      <c r="U85" s="103" t="str">
        <f t="shared" si="27"/>
        <v/>
      </c>
      <c r="V85" s="53">
        <v>0</v>
      </c>
      <c r="W85" s="87" t="str">
        <f t="shared" si="28"/>
        <v/>
      </c>
      <c r="X85" s="103" t="str">
        <f t="shared" si="29"/>
        <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on stateless GenServer callbacks, init/1, handle_call/3, and primitive messaging structures. DO NOT use complex dynamic supervision trees.", IF(G138="Intermediate", "STRICT REQUIREMENT: Every example MUST use GenServer or Agent implementations inside defmodule, client API wrappers, GenServer.call/cast, and state tuples.", "Advanced OTP patterns: dynamic supervisors (DynamicSupervisor), GenStage/Broadway pipelines, distributed nodes, and custom Supervisor specs.")) &amp; " | " &amp;
_xlfn._LONGTEXT("[CODE_CONSTRAINTS_RULE]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 &amp;
"[I_O_PARADIGM] Use State management via GenServer/Agent process state structures. and gracefully handle Use IO.puts/1 or IO.inspect/2 to display server responses clearly. when applicable. | " &amp;
"[INLINE_PACKAGE_MANAGER] If using external packages, use Native OTP behaviors (GenServer, Supervisor, Agent, Task), Kernel functions, and BEAM supervision trees.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basic GenServer state init, handle_call responses, and simple client wrappers. Do NOT expect dynamic supervisors or multi-node distribution unless demanded.", IF(G138="Intermediate", "Expect clean GenServer/Agent modules, explicit client API boundaries, handle_cast state updates, and @spec typespecs. Enforce zero raw receive-loop emulations.", "Expect modular supervision trees with Supervisor specs, dynamic worker spawning, restart strategies, and process monitoring.")) &amp; " | " &amp;
_xlfn._LONGTEXT("[CODE_QUALITY_POLICIES]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 &amp;
"[TESTING_FRAMEWORK_RULE] Validate with IO output or simple ExUnit assert/refute macros. Avoid complex suites, setup chains, or excessive test scaffolding. | " &amp;
"[DEPENDENCY_MANAGEMENT_RULE] Standard Mix/Elixir context. If external packages are needed, declare them only in mix.exs and install with mix deps.get. | " &amp;
"[CODE CONSTRAINTS] Each challenge MUST include GenServer/Agent process use, at least 1 IO.puts/IO.inspect, state transformation, EXACTLY 1 OTP module, and EXACTLY 1 process call/cast. - " &amp; IF(G138="Beginner", "5–15", IF(G138="Intermediate", "10–25", "15–35")) &amp; _xlfn._LONGTEXT(" lines of EXECUTABLE broken Elixir OTP code per challenge; exclude blank lines. NO raw process receive loops and NO top-level executable expressions EXCEPT the startup and call flow. | All challenges MUST maintain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Elixir/OTP modules only. Strictly ZERO external Hex packages for beginner topics. | " &amp;
"[TESTING_FRAMEWORK_PROTOCOL] Simple console-output verification via IO.puts/1 or IO.inspect/2. | " &amp;
"[CHALLENGE_CONSTRAINTS_POLICY] For Beginner level, # TODO MUST be atomic: 1–2 simple lines max, e.g. state tuple return, GenServer call, direct comparison, or simple pattern match. NO complex IO capture or process mocking. - " &amp; IF(G138="Beginner","5–15", IF(G138="Intermediate","10–25","15–35")) &amp; " 5–15 lines of EXECUTABLE base code. Code outside # TODO MUST be fully valid/readable. If no_def is present in AJ, use flat GenServer skeleton code.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OTP behaviors (GenServer, Supervisor, Agent, Task), Kernel functions, and BEAM supervision trees. at the top of the code block. Assume no project configuration file exists. | " &amp;
"[CODE_CONSTRAINTS_RULE] Standard OTP process and state validation using ExUnit assert/refute macros and Process tracking. | " &amp;
_xlfn._LONGTEXT("[VISUAL_ARCHITECTURE_COMMENTS]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Mix dependency declarations in mix.exs and mix deps.get for external Hex dependencies when applicable. | " &amp;
"[CHALLENGE_CONSTRAINTS_POLICY] MUST contain 25–40 lines of EXECUTABLE base Elixir OTP code; do NOT count comments or # TODO blocks. " &amp; IF(G138="Beginner","25–40", IF(G138="Intermediate","30–60","40–100")) &amp; " Multi-step OTP process architecture. Max 2 modules, standard GenServer/Agent structure. Integration logic exclusively inside # TODO blocks.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673</v>
      </c>
    </row>
    <row r="3" spans="1:1">
      <c r="A3" t="s">
        <v>674</v>
      </c>
    </row>
    <row r="5" spans="1:1" ht="18">
      <c r="A5" s="115" t="s">
        <v>675</v>
      </c>
    </row>
    <row r="7" spans="1:1" ht="21">
      <c r="A7" s="132" t="s">
        <v>676</v>
      </c>
    </row>
    <row r="8" spans="1:1">
      <c r="A8" s="116"/>
    </row>
    <row r="9" spans="1:1">
      <c r="A9" s="116" t="s">
        <v>677</v>
      </c>
    </row>
    <row r="10" spans="1:1">
      <c r="A10" s="116" t="s">
        <v>678</v>
      </c>
    </row>
    <row r="11" spans="1:1">
      <c r="A11" s="116" t="s">
        <v>679</v>
      </c>
    </row>
    <row r="12" spans="1:1">
      <c r="A12" s="116" t="s">
        <v>680</v>
      </c>
    </row>
    <row r="13" spans="1:1">
      <c r="A13" s="116" t="s">
        <v>681</v>
      </c>
    </row>
    <row r="15" spans="1:1" ht="21">
      <c r="A15" s="132" t="s">
        <v>682</v>
      </c>
    </row>
    <row r="17" spans="1:1">
      <c r="A17" t="s">
        <v>683</v>
      </c>
    </row>
    <row r="18" spans="1:1">
      <c r="A18" s="116"/>
    </row>
    <row r="19" spans="1:1">
      <c r="A19" s="117" t="s">
        <v>684</v>
      </c>
    </row>
    <row r="20" spans="1:1">
      <c r="A20" s="118" t="s">
        <v>685</v>
      </c>
    </row>
    <row r="21" spans="1:1">
      <c r="A21" s="118" t="s">
        <v>686</v>
      </c>
    </row>
    <row r="22" spans="1:1">
      <c r="A22" s="118" t="s">
        <v>687</v>
      </c>
    </row>
    <row r="23" spans="1:1">
      <c r="A23" s="118" t="s">
        <v>688</v>
      </c>
    </row>
    <row r="24" spans="1:1">
      <c r="A24" s="116"/>
    </row>
    <row r="25" spans="1:1">
      <c r="A25" s="117" t="s">
        <v>689</v>
      </c>
    </row>
    <row r="29" spans="1:1">
      <c r="A29" s="133"/>
    </row>
    <row r="30" spans="1:1">
      <c r="A30" s="134"/>
    </row>
    <row r="31" spans="1:1">
      <c r="A31" s="133"/>
    </row>
    <row r="32" spans="1:1">
      <c r="A32" s="133"/>
    </row>
    <row r="33" spans="1:1">
      <c r="A33" s="134"/>
    </row>
    <row r="34" spans="1:1">
      <c r="A34" s="133"/>
    </row>
    <row r="35" spans="1:1">
      <c r="A35" s="133"/>
    </row>
    <row r="36" spans="1:1" ht="21">
      <c r="A36" s="132" t="s">
        <v>690</v>
      </c>
    </row>
    <row r="38" spans="1:1">
      <c r="A38" t="s">
        <v>691</v>
      </c>
    </row>
    <row r="39" spans="1:1">
      <c r="A39" s="116"/>
    </row>
    <row r="40" spans="1:1">
      <c r="A40" s="116" t="s">
        <v>692</v>
      </c>
    </row>
    <row r="41" spans="1:1">
      <c r="A41" s="116" t="s">
        <v>693</v>
      </c>
    </row>
    <row r="42" spans="1:1">
      <c r="A42" s="116" t="s">
        <v>694</v>
      </c>
    </row>
    <row r="44" spans="1:1" ht="18">
      <c r="A44" s="115" t="s">
        <v>695</v>
      </c>
    </row>
    <row r="45" spans="1:1">
      <c r="A45" s="116"/>
    </row>
    <row r="46" spans="1:1">
      <c r="A46" s="116" t="s">
        <v>696</v>
      </c>
    </row>
    <row r="47" spans="1:1">
      <c r="A47" s="116" t="s">
        <v>697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topLeftCell="A32" workbookViewId="0">
      <selection activeCell="C14" sqref="C14"/>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Elixir OTP</v>
      </c>
    </row>
    <row r="2" spans="1:5" ht="26.25">
      <c r="C2" s="122" t="s">
        <v>266</v>
      </c>
      <c r="D2" s="123" t="str">
        <f>IF(PromptGenerator!I3="","",PromptGenerator!I3)</f>
        <v/>
      </c>
    </row>
    <row r="5" spans="1:5">
      <c r="A5" s="124" t="s">
        <v>634</v>
      </c>
      <c r="B5" s="124" t="s">
        <v>23</v>
      </c>
      <c r="C5" s="124" t="s">
        <v>577</v>
      </c>
      <c r="D5" s="124" t="s">
        <v>612</v>
      </c>
      <c r="E5" s="124" t="s">
        <v>611</v>
      </c>
    </row>
    <row r="6" spans="1:5">
      <c r="A6" s="125" t="s">
        <v>0</v>
      </c>
      <c r="B6" t="s">
        <v>48</v>
      </c>
      <c r="C6" t="s">
        <v>599</v>
      </c>
      <c r="D6" t="s">
        <v>599</v>
      </c>
      <c r="E6" s="120" t="s">
        <v>782</v>
      </c>
    </row>
    <row r="7" spans="1:5">
      <c r="A7" s="125" t="s">
        <v>0</v>
      </c>
      <c r="B7" t="s">
        <v>48</v>
      </c>
      <c r="C7" s="136" t="s">
        <v>179</v>
      </c>
      <c r="D7" t="s">
        <v>603</v>
      </c>
      <c r="E7" s="121" t="s">
        <v>783</v>
      </c>
    </row>
    <row r="8" spans="1:5">
      <c r="A8" s="125" t="s">
        <v>0</v>
      </c>
      <c r="B8" t="s">
        <v>48</v>
      </c>
      <c r="C8" s="136" t="s">
        <v>179</v>
      </c>
      <c r="D8" t="s">
        <v>604</v>
      </c>
      <c r="E8" t="s">
        <v>784</v>
      </c>
    </row>
    <row r="9" spans="1:5">
      <c r="A9" s="125" t="s">
        <v>0</v>
      </c>
      <c r="B9" t="s">
        <v>48</v>
      </c>
      <c r="C9" s="136" t="s">
        <v>179</v>
      </c>
      <c r="D9" t="s">
        <v>605</v>
      </c>
      <c r="E9" t="s">
        <v>785</v>
      </c>
    </row>
    <row r="10" spans="1:5">
      <c r="A10" s="125" t="s">
        <v>0</v>
      </c>
      <c r="B10" t="s">
        <v>48</v>
      </c>
      <c r="C10" s="136" t="s">
        <v>606</v>
      </c>
      <c r="D10" t="s">
        <v>607</v>
      </c>
      <c r="E10" s="120" t="s">
        <v>786</v>
      </c>
    </row>
    <row r="11" spans="1:5">
      <c r="A11" s="125" t="s">
        <v>0</v>
      </c>
      <c r="B11" t="s">
        <v>48</v>
      </c>
      <c r="C11" s="136" t="s">
        <v>606</v>
      </c>
      <c r="D11" t="s">
        <v>608</v>
      </c>
      <c r="E11" t="s">
        <v>787</v>
      </c>
    </row>
    <row r="12" spans="1:5">
      <c r="A12" s="125" t="s">
        <v>0</v>
      </c>
      <c r="B12" t="s">
        <v>48</v>
      </c>
      <c r="C12" s="136" t="s">
        <v>606</v>
      </c>
      <c r="D12" t="s">
        <v>716</v>
      </c>
      <c r="E12" s="120" t="s">
        <v>788</v>
      </c>
    </row>
    <row r="13" spans="1:5">
      <c r="A13" s="125" t="s">
        <v>0</v>
      </c>
      <c r="B13" t="s">
        <v>48</v>
      </c>
      <c r="C13" s="136" t="s">
        <v>606</v>
      </c>
      <c r="D13" t="s">
        <v>718</v>
      </c>
      <c r="E13" s="120" t="s">
        <v>789</v>
      </c>
    </row>
    <row r="14" spans="1:5">
      <c r="A14" s="125" t="s">
        <v>0</v>
      </c>
      <c r="B14" t="s">
        <v>48</v>
      </c>
      <c r="C14" s="136" t="s">
        <v>598</v>
      </c>
      <c r="D14" t="s">
        <v>609</v>
      </c>
      <c r="E14" t="s">
        <v>790</v>
      </c>
    </row>
    <row r="15" spans="1:5">
      <c r="A15" s="125" t="s">
        <v>0</v>
      </c>
      <c r="B15" t="s">
        <v>48</v>
      </c>
      <c r="C15" s="136" t="s">
        <v>598</v>
      </c>
      <c r="D15" t="s">
        <v>610</v>
      </c>
      <c r="E15" t="s">
        <v>791</v>
      </c>
    </row>
    <row r="16" spans="1:5">
      <c r="A16" s="125" t="s">
        <v>0</v>
      </c>
      <c r="B16" t="s">
        <v>48</v>
      </c>
      <c r="C16" s="136" t="s">
        <v>225</v>
      </c>
      <c r="D16" t="s">
        <v>601</v>
      </c>
      <c r="E16" t="s">
        <v>792</v>
      </c>
    </row>
    <row r="17" spans="1:5">
      <c r="A17" s="125" t="s">
        <v>0</v>
      </c>
      <c r="B17" t="s">
        <v>48</v>
      </c>
      <c r="C17" s="136" t="s">
        <v>225</v>
      </c>
      <c r="D17" t="s">
        <v>602</v>
      </c>
      <c r="E17" t="s">
        <v>793</v>
      </c>
    </row>
    <row r="18" spans="1:5">
      <c r="A18" s="125" t="s">
        <v>0</v>
      </c>
      <c r="B18" t="s">
        <v>613</v>
      </c>
      <c r="C18" s="136" t="s">
        <v>614</v>
      </c>
      <c r="D18" t="s">
        <v>615</v>
      </c>
      <c r="E18" t="s">
        <v>794</v>
      </c>
    </row>
    <row r="19" spans="1:5">
      <c r="A19" s="125" t="s">
        <v>0</v>
      </c>
      <c r="B19" t="s">
        <v>613</v>
      </c>
      <c r="C19" s="136" t="s">
        <v>614</v>
      </c>
      <c r="D19" t="s">
        <v>616</v>
      </c>
      <c r="E19" t="s">
        <v>795</v>
      </c>
    </row>
    <row r="20" spans="1:5">
      <c r="A20" s="125" t="s">
        <v>0</v>
      </c>
      <c r="B20" t="s">
        <v>613</v>
      </c>
      <c r="C20" s="136" t="s">
        <v>614</v>
      </c>
      <c r="D20" t="s">
        <v>617</v>
      </c>
      <c r="E20" t="s">
        <v>796</v>
      </c>
    </row>
    <row r="21" spans="1:5">
      <c r="A21" s="125" t="s">
        <v>0</v>
      </c>
      <c r="B21" t="s">
        <v>613</v>
      </c>
      <c r="C21" s="136" t="s">
        <v>606</v>
      </c>
      <c r="D21" t="s">
        <v>717</v>
      </c>
      <c r="E21" t="s">
        <v>797</v>
      </c>
    </row>
    <row r="22" spans="1:5">
      <c r="A22" s="125" t="s">
        <v>0</v>
      </c>
      <c r="B22" t="s">
        <v>600</v>
      </c>
      <c r="C22" s="136" t="s">
        <v>618</v>
      </c>
      <c r="D22" t="s">
        <v>47</v>
      </c>
      <c r="E22" t="s">
        <v>798</v>
      </c>
    </row>
    <row r="23" spans="1:5">
      <c r="A23" s="125" t="s">
        <v>0</v>
      </c>
      <c r="B23" t="s">
        <v>600</v>
      </c>
      <c r="C23" s="136" t="s">
        <v>618</v>
      </c>
      <c r="D23" t="s">
        <v>158</v>
      </c>
      <c r="E23" t="s">
        <v>799</v>
      </c>
    </row>
    <row r="24" spans="1:5">
      <c r="A24" s="125" t="s">
        <v>0</v>
      </c>
      <c r="B24" t="s">
        <v>600</v>
      </c>
      <c r="C24" s="136" t="s">
        <v>618</v>
      </c>
      <c r="D24" t="s">
        <v>159</v>
      </c>
      <c r="E24" t="s">
        <v>800</v>
      </c>
    </row>
    <row r="25" spans="1:5">
      <c r="A25" s="125" t="s">
        <v>0</v>
      </c>
      <c r="B25" t="s">
        <v>600</v>
      </c>
      <c r="C25" s="136" t="s">
        <v>619</v>
      </c>
      <c r="D25" t="s">
        <v>620</v>
      </c>
      <c r="E25" t="s">
        <v>801</v>
      </c>
    </row>
    <row r="26" spans="1:5">
      <c r="A26" s="125" t="s">
        <v>0</v>
      </c>
      <c r="B26" t="s">
        <v>600</v>
      </c>
      <c r="C26" s="136" t="s">
        <v>619</v>
      </c>
      <c r="D26" t="s">
        <v>621</v>
      </c>
      <c r="E26" t="s">
        <v>802</v>
      </c>
    </row>
    <row r="27" spans="1:5">
      <c r="A27" s="125" t="s">
        <v>0</v>
      </c>
      <c r="B27" t="s">
        <v>600</v>
      </c>
      <c r="C27" s="136" t="s">
        <v>619</v>
      </c>
      <c r="D27" t="s">
        <v>622</v>
      </c>
      <c r="E27" t="s">
        <v>803</v>
      </c>
    </row>
    <row r="28" spans="1:5">
      <c r="A28" s="125" t="s">
        <v>0</v>
      </c>
      <c r="B28" t="s">
        <v>600</v>
      </c>
      <c r="C28" s="136" t="s">
        <v>619</v>
      </c>
      <c r="D28" t="s">
        <v>623</v>
      </c>
      <c r="E28" t="s">
        <v>804</v>
      </c>
    </row>
    <row r="29" spans="1:5">
      <c r="A29" s="126" t="s">
        <v>270</v>
      </c>
      <c r="B29" t="s">
        <v>48</v>
      </c>
      <c r="C29" s="136" t="s">
        <v>624</v>
      </c>
      <c r="D29" t="s">
        <v>625</v>
      </c>
      <c r="E29" t="s">
        <v>805</v>
      </c>
    </row>
    <row r="30" spans="1:5">
      <c r="A30" s="126" t="s">
        <v>270</v>
      </c>
      <c r="B30" t="s">
        <v>48</v>
      </c>
      <c r="C30" s="136" t="s">
        <v>624</v>
      </c>
      <c r="D30" t="s">
        <v>626</v>
      </c>
      <c r="E30" t="s">
        <v>806</v>
      </c>
    </row>
    <row r="31" spans="1:5">
      <c r="A31" s="126" t="s">
        <v>270</v>
      </c>
      <c r="B31" t="s">
        <v>48</v>
      </c>
      <c r="C31" s="136" t="s">
        <v>624</v>
      </c>
      <c r="D31" t="s">
        <v>627</v>
      </c>
      <c r="E31" t="s">
        <v>807</v>
      </c>
    </row>
    <row r="32" spans="1:5">
      <c r="A32" s="126" t="s">
        <v>270</v>
      </c>
      <c r="B32" t="s">
        <v>48</v>
      </c>
      <c r="C32" s="136" t="s">
        <v>721</v>
      </c>
      <c r="D32" t="s">
        <v>628</v>
      </c>
      <c r="E32" t="s">
        <v>808</v>
      </c>
    </row>
    <row r="33" spans="1:5">
      <c r="A33" s="126" t="s">
        <v>270</v>
      </c>
      <c r="B33" t="s">
        <v>48</v>
      </c>
      <c r="C33" s="136" t="s">
        <v>722</v>
      </c>
      <c r="D33" t="s">
        <v>629</v>
      </c>
      <c r="E33" t="s">
        <v>809</v>
      </c>
    </row>
    <row r="34" spans="1:5">
      <c r="A34" s="126" t="s">
        <v>270</v>
      </c>
      <c r="B34" t="s">
        <v>48</v>
      </c>
      <c r="C34" s="136" t="s">
        <v>630</v>
      </c>
      <c r="D34" t="s">
        <v>631</v>
      </c>
      <c r="E34" t="s">
        <v>810</v>
      </c>
    </row>
    <row r="35" spans="1:5">
      <c r="A35" s="126" t="s">
        <v>270</v>
      </c>
      <c r="B35" t="s">
        <v>48</v>
      </c>
      <c r="C35" s="136" t="s">
        <v>630</v>
      </c>
      <c r="D35" t="s">
        <v>632</v>
      </c>
      <c r="E35" t="s">
        <v>811</v>
      </c>
    </row>
    <row r="36" spans="1:5">
      <c r="A36" s="126" t="s">
        <v>270</v>
      </c>
      <c r="B36" t="s">
        <v>48</v>
      </c>
      <c r="C36" s="136" t="s">
        <v>630</v>
      </c>
      <c r="D36" t="s">
        <v>633</v>
      </c>
      <c r="E36" t="s">
        <v>812</v>
      </c>
    </row>
    <row r="37" spans="1:5">
      <c r="A37" s="126" t="s">
        <v>270</v>
      </c>
      <c r="B37" t="s">
        <v>613</v>
      </c>
      <c r="C37" s="136" t="s">
        <v>635</v>
      </c>
      <c r="D37" t="s">
        <v>636</v>
      </c>
      <c r="E37" t="s">
        <v>813</v>
      </c>
    </row>
    <row r="38" spans="1:5">
      <c r="A38" s="126" t="s">
        <v>270</v>
      </c>
      <c r="B38" t="s">
        <v>613</v>
      </c>
      <c r="C38" s="136" t="s">
        <v>635</v>
      </c>
      <c r="D38" t="s">
        <v>637</v>
      </c>
      <c r="E38" t="s">
        <v>814</v>
      </c>
    </row>
    <row r="39" spans="1:5">
      <c r="A39" s="126" t="s">
        <v>270</v>
      </c>
      <c r="B39" t="s">
        <v>613</v>
      </c>
      <c r="C39" s="136" t="s">
        <v>635</v>
      </c>
      <c r="D39" t="s">
        <v>638</v>
      </c>
      <c r="E39" t="s">
        <v>815</v>
      </c>
    </row>
    <row r="40" spans="1:5">
      <c r="A40" s="126" t="s">
        <v>270</v>
      </c>
      <c r="B40" t="s">
        <v>613</v>
      </c>
      <c r="C40" s="136" t="s">
        <v>635</v>
      </c>
      <c r="D40" t="s">
        <v>639</v>
      </c>
      <c r="E40" t="s">
        <v>816</v>
      </c>
    </row>
    <row r="41" spans="1:5">
      <c r="A41" s="126" t="s">
        <v>270</v>
      </c>
      <c r="B41" t="s">
        <v>600</v>
      </c>
      <c r="C41" s="136" t="s">
        <v>723</v>
      </c>
      <c r="D41" t="s">
        <v>640</v>
      </c>
      <c r="E41" t="s">
        <v>817</v>
      </c>
    </row>
    <row r="42" spans="1:5">
      <c r="A42" s="126" t="s">
        <v>270</v>
      </c>
      <c r="B42" t="s">
        <v>600</v>
      </c>
      <c r="C42" s="136" t="s">
        <v>723</v>
      </c>
      <c r="D42" t="s">
        <v>641</v>
      </c>
      <c r="E42" t="s">
        <v>801</v>
      </c>
    </row>
    <row r="43" spans="1:5">
      <c r="A43" s="126" t="s">
        <v>270</v>
      </c>
      <c r="B43" t="s">
        <v>600</v>
      </c>
      <c r="C43" s="136" t="s">
        <v>723</v>
      </c>
      <c r="D43" t="s">
        <v>642</v>
      </c>
      <c r="E43" t="s">
        <v>818</v>
      </c>
    </row>
    <row r="44" spans="1:5">
      <c r="A44" s="126" t="s">
        <v>270</v>
      </c>
      <c r="B44" t="s">
        <v>600</v>
      </c>
      <c r="C44" s="136" t="s">
        <v>723</v>
      </c>
      <c r="D44" t="s">
        <v>643</v>
      </c>
      <c r="E44" t="s">
        <v>819</v>
      </c>
    </row>
    <row r="45" spans="1:5">
      <c r="A45" s="127" t="s">
        <v>335</v>
      </c>
      <c r="B45" t="s">
        <v>48</v>
      </c>
      <c r="C45" s="136" t="s">
        <v>649</v>
      </c>
      <c r="D45" t="s">
        <v>645</v>
      </c>
      <c r="E45" t="s">
        <v>820</v>
      </c>
    </row>
    <row r="46" spans="1:5">
      <c r="A46" s="127" t="s">
        <v>335</v>
      </c>
      <c r="B46" t="s">
        <v>48</v>
      </c>
      <c r="C46" s="136" t="s">
        <v>650</v>
      </c>
      <c r="D46" t="s">
        <v>646</v>
      </c>
      <c r="E46" t="s">
        <v>821</v>
      </c>
    </row>
    <row r="47" spans="1:5">
      <c r="A47" s="127" t="s">
        <v>335</v>
      </c>
      <c r="B47" t="s">
        <v>48</v>
      </c>
      <c r="C47" s="136" t="s">
        <v>651</v>
      </c>
      <c r="D47" t="s">
        <v>647</v>
      </c>
      <c r="E47" t="s">
        <v>822</v>
      </c>
    </row>
    <row r="48" spans="1:5">
      <c r="A48" s="127" t="s">
        <v>335</v>
      </c>
      <c r="B48" t="s">
        <v>48</v>
      </c>
      <c r="C48" s="136" t="s">
        <v>651</v>
      </c>
      <c r="D48" t="s">
        <v>648</v>
      </c>
      <c r="E48" t="s">
        <v>823</v>
      </c>
    </row>
    <row r="49" spans="1:5">
      <c r="A49" s="127" t="s">
        <v>335</v>
      </c>
      <c r="B49" t="s">
        <v>613</v>
      </c>
      <c r="C49" s="136" t="s">
        <v>649</v>
      </c>
      <c r="D49" t="s">
        <v>652</v>
      </c>
      <c r="E49" t="s">
        <v>824</v>
      </c>
    </row>
    <row r="50" spans="1:5">
      <c r="A50" s="127" t="s">
        <v>335</v>
      </c>
      <c r="B50" t="s">
        <v>613</v>
      </c>
      <c r="C50" s="136" t="s">
        <v>651</v>
      </c>
      <c r="D50" t="s">
        <v>653</v>
      </c>
      <c r="E50" t="s">
        <v>825</v>
      </c>
    </row>
    <row r="51" spans="1:5">
      <c r="A51" s="127" t="s">
        <v>335</v>
      </c>
      <c r="B51" t="s">
        <v>613</v>
      </c>
      <c r="C51" s="136" t="s">
        <v>651</v>
      </c>
      <c r="D51" t="s">
        <v>654</v>
      </c>
      <c r="E51" t="s">
        <v>826</v>
      </c>
    </row>
    <row r="52" spans="1:5">
      <c r="A52" s="127" t="s">
        <v>335</v>
      </c>
      <c r="B52" t="s">
        <v>600</v>
      </c>
      <c r="C52" s="136" t="s">
        <v>723</v>
      </c>
      <c r="D52" t="s">
        <v>655</v>
      </c>
      <c r="E52" t="s">
        <v>827</v>
      </c>
    </row>
    <row r="53" spans="1:5">
      <c r="A53" s="127" t="s">
        <v>335</v>
      </c>
      <c r="B53" t="s">
        <v>600</v>
      </c>
      <c r="C53" s="136" t="s">
        <v>723</v>
      </c>
      <c r="D53" t="s">
        <v>641</v>
      </c>
      <c r="E53" t="s">
        <v>828</v>
      </c>
    </row>
    <row r="54" spans="1:5">
      <c r="A54" s="127" t="s">
        <v>335</v>
      </c>
      <c r="B54" t="s">
        <v>600</v>
      </c>
      <c r="C54" s="136" t="s">
        <v>723</v>
      </c>
      <c r="D54" t="s">
        <v>656</v>
      </c>
      <c r="E54" t="s">
        <v>829</v>
      </c>
    </row>
    <row r="55" spans="1:5">
      <c r="A55" s="127" t="s">
        <v>335</v>
      </c>
      <c r="B55" t="s">
        <v>600</v>
      </c>
      <c r="C55" s="136" t="s">
        <v>723</v>
      </c>
      <c r="D55" t="s">
        <v>657</v>
      </c>
      <c r="E55" t="s">
        <v>830</v>
      </c>
    </row>
    <row r="56" spans="1:5">
      <c r="A56" s="121" t="s">
        <v>411</v>
      </c>
      <c r="B56" t="s">
        <v>600</v>
      </c>
      <c r="C56" t="s">
        <v>661</v>
      </c>
      <c r="D56" t="s">
        <v>662</v>
      </c>
      <c r="E56" t="s">
        <v>831</v>
      </c>
    </row>
    <row r="57" spans="1:5">
      <c r="A57" s="128" t="s">
        <v>448</v>
      </c>
      <c r="B57" t="s">
        <v>600</v>
      </c>
      <c r="C57" t="s">
        <v>661</v>
      </c>
      <c r="D57" t="s">
        <v>662</v>
      </c>
      <c r="E57" t="s">
        <v>832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82" zoomScaleNormal="100" workbookViewId="0">
      <selection activeCell="C95" sqref="C95:D104"/>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446</v>
      </c>
      <c r="D2" s="81" t="s">
        <v>0</v>
      </c>
      <c r="H2" s="82"/>
      <c r="T2" s="82"/>
    </row>
    <row r="3" spans="1:29">
      <c r="B3" s="76" t="s">
        <v>221</v>
      </c>
      <c r="C3" s="76" t="s">
        <v>577</v>
      </c>
      <c r="D3" s="76" t="s">
        <v>578</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461</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v>
      </c>
      <c r="E9" s="77" t="str">
        <f t="shared" si="0"/>
        <v>"[ECOSYSTEM ORIENTATION RULE] If a data manipulation library, external package, or ecosystem like Pandas or NumPy is specified in " &amp; $I$3 &amp;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489</v>
      </c>
      <c r="D11" s="94" t="s">
        <v>481</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709</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510</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on stateless GenServer callbacks, init/1, handle_call/3, and primitive messaging structures. DO NOT use complex dynamic supervision trees.", IF(G9="Intermediate", "STRICT REQUIREMENT: Every example MUST use GenServer or Agent implementations inside defmodule, client API wrappers, GenServer.call/cast, and state tuples.", "Advanced OTP patterns: dynamic supervisors (DynamicSupervisor), GenStage/Broadway pipelines, distributed nodes, and custom Supervisor specs.")) &amp; " | " &amp;</v>
      </c>
      <c r="E14" s="77" t="str">
        <f t="shared" si="0"/>
        <v>"[FUNCTION RULE] Rule: " &amp; IF(G9="Beginner","Focus on stateless GenServer callbacks, init/1, handle_call/3, and primitive messaging structures. DO NOT use complex dynamic supervision trees.", IF(G9="Intermediate", "STRICT REQUIREMENT: Every example MUST use GenServer or Agent implementations inside defmodule, client API wrappers, GenServer.call/cast, and state tuples.", "Advanced OTP patterns: dynamic supervisors (DynamicSupervisor), GenStage/Broadway pipelines, distributed nodes, and custom Supervisor specs."))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512</v>
      </c>
      <c r="B18" s="83" t="s">
        <v>223</v>
      </c>
      <c r="C18" s="32" t="s">
        <v>606</v>
      </c>
      <c r="D18" s="137" t="str">
        <f>"Each example MUST: - Use " &amp; Variables!E10 &amp; " - Print steps &amp; result via " &amp; Variables!E11 &amp; " - " &amp; Variables!E12 &amp; " - " &amp; Variables!E13 &amp; " | " &amp; CHAR(34) &amp; " &amp;"</f>
        <v>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 &amp;</v>
      </c>
      <c r="E18" s="77" t="str">
        <f t="shared" si="0"/>
        <v>"[CODE_CONSTRAINTS_RULE]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 &amp;</v>
      </c>
      <c r="F18" s="54" t="s">
        <v>224</v>
      </c>
    </row>
    <row r="19" spans="1:6">
      <c r="A19">
        <f t="shared" si="1"/>
        <v>178</v>
      </c>
      <c r="B19" s="84" t="s">
        <v>223</v>
      </c>
      <c r="C19" s="32" t="s">
        <v>598</v>
      </c>
      <c r="D19" s="137" t="str">
        <f>"Use " &amp; Variables!E14 &amp; " and gracefully handle " &amp; Variables!E15 &amp; " when applicable." &amp; " | " &amp; CHAR(34) &amp; " &amp;"</f>
        <v>Use State management via GenServer/Agent process state structures. and gracefully handle Use IO.puts/1 or IO.inspect/2 to display server responses clearly. when applicable. | " &amp;</v>
      </c>
      <c r="E19" s="77" t="str">
        <f t="shared" si="0"/>
        <v>"[I_O_PARADIGM] Use State management via GenServer/Agent process state structures. and gracefully handle Use IO.puts/1 or IO.inspect/2 to display server responses clearly. when applicable. | " &amp;</v>
      </c>
      <c r="F19" s="54" t="s">
        <v>224</v>
      </c>
    </row>
    <row r="20" spans="1:6">
      <c r="A20">
        <f t="shared" si="1"/>
        <v>217</v>
      </c>
      <c r="B20" s="84" t="s">
        <v>223</v>
      </c>
      <c r="C20" s="32" t="s">
        <v>599</v>
      </c>
      <c r="D20" s="137" t="str">
        <f>"If using external packages, use " &amp; Variables!E6 &amp; " at the top of the code block. Assume no project configuration file exists." &amp; " | " &amp; CHAR(34) &amp; " &amp;"</f>
        <v>If using external packages, use Native OTP behaviors (GenServer, Supervisor, Agent, Task), Kernel functions, and BEAM supervision trees. at the top of the code block. Assume no project configuration file exists. | " &amp;</v>
      </c>
      <c r="E20" s="77" t="str">
        <f t="shared" si="0"/>
        <v>"[INLINE_PACKAGE_MANAGER] If using external packages, use Native OTP behaviors (GenServer, Supervisor, Agent, Task), Kernel functions, and BEAM supervision trees. at the top of the code block. Assume no project configuration file exists. | " &amp;</v>
      </c>
      <c r="F20" s="54" t="s">
        <v>224</v>
      </c>
    </row>
    <row r="21" spans="1:6">
      <c r="A21">
        <f t="shared" si="1"/>
        <v>267</v>
      </c>
      <c r="B21" s="83" t="s">
        <v>223</v>
      </c>
      <c r="C21" s="54" t="s">
        <v>719</v>
      </c>
      <c r="D21" s="94" t="s">
        <v>720</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700</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594</v>
      </c>
      <c r="D23" s="94" t="s">
        <v>701</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595</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579</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698</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699</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702</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445</v>
      </c>
      <c r="C53" s="74"/>
      <c r="E53" s="86"/>
    </row>
    <row r="54" spans="1:6">
      <c r="B54" s="76" t="s">
        <v>264</v>
      </c>
      <c r="C54" s="76" t="s">
        <v>577</v>
      </c>
      <c r="D54" s="76" t="s">
        <v>578</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710</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489</v>
      </c>
      <c r="D61" s="94" t="s">
        <v>481</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599</v>
      </c>
      <c r="D65" s="137" t="str">
        <f>"If using external packages, use " &amp; Variables!E6 &amp; " at the top of the code block. Assume no project configuration file exists." &amp; " | " &amp; CHAR(34) &amp; " &amp;"</f>
        <v>If using external packages, use Native OTP behaviors (GenServer, Supervisor, Agent, Task), Kernel functions, and BEAM supervision trees. at the top of the code block. Assume no project configuration file exists. | " &amp;</v>
      </c>
      <c r="E65" s="77" t="str">
        <f t="shared" si="2"/>
        <v>"[INLINE_PACKAGE_MANAGER] If using external packages, use Native OTP behaviors (GenServer, Supervisor, Agent, Task), Kernel functions, and BEAM supervision trees. at the top of the code block. Assume no project configuration file exists. | " &amp;</v>
      </c>
      <c r="F65" s="32" t="s">
        <v>224</v>
      </c>
    </row>
    <row r="66" spans="2:6">
      <c r="B66" s="54" t="s">
        <v>223</v>
      </c>
      <c r="C66" s="32" t="s">
        <v>606</v>
      </c>
      <c r="D66" s="137" t="str">
        <f>Variables!E21</f>
        <v>Standard OTP process and state validation using ExUnit assert/refute macros and Process tracking.</v>
      </c>
      <c r="E66" s="77" t="str">
        <f t="shared" si="2"/>
        <v>"[CODE_CONSTRAINTS_RULE] Standard OTP process and state validation using ExUnit assert/refute macros and Process tracking. | " &amp;</v>
      </c>
      <c r="F66" s="32" t="s">
        <v>224</v>
      </c>
    </row>
    <row r="67" spans="2:6">
      <c r="B67" s="54" t="s">
        <v>223</v>
      </c>
      <c r="C67" s="32" t="s">
        <v>614</v>
      </c>
      <c r="D67" s="137" t="str">
        <f>"1. Use " &amp; Variables!E18 &amp; " to map code to the planning phase. 2. Use " &amp; Variables!E19 &amp; ". 3. CRITICAL: NO comment or docstring line may exceed " &amp; Variables!E20 &amp; " in width. | " &amp; CHAR(34) &amp; " &amp;"</f>
        <v>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v>
      </c>
      <c r="E67" s="77" t="str">
        <f t="shared" si="2"/>
        <v>"[VISUAL_ARCHITECTURE_COMMENTS]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 &amp;</v>
      </c>
      <c r="F67" s="32" t="s">
        <v>224</v>
      </c>
    </row>
    <row r="68" spans="2:6">
      <c r="B68" s="84" t="s">
        <v>271</v>
      </c>
      <c r="C68" s="54" t="s">
        <v>190</v>
      </c>
      <c r="D68" s="94" t="s">
        <v>417</v>
      </c>
      <c r="E68" s="77" t="str">
        <f t="shared" si="2"/>
        <v>"[DATA ROBUSTNESS RULE] Handle real-world data safely | " &amp;</v>
      </c>
      <c r="F68" s="32" t="s">
        <v>224</v>
      </c>
    </row>
    <row r="69" spans="2:6">
      <c r="B69" s="84" t="s">
        <v>271</v>
      </c>
      <c r="C69" s="54" t="s">
        <v>178</v>
      </c>
      <c r="D69" s="94" t="s">
        <v>596</v>
      </c>
      <c r="E69" s="77" t="str">
        <f t="shared" si="2"/>
        <v>"[CODE CONSTRAINTS] MUST be between " &amp; IF(G9="Beginner", "25–40", IF(G9="Intermediate", "30–60", "40–100")) &amp; " lines (STRICT) - Multi-step flow | " &amp;</v>
      </c>
      <c r="F69" s="32" t="s">
        <v>224</v>
      </c>
    </row>
    <row r="70" spans="2:6">
      <c r="B70" s="84" t="s">
        <v>271</v>
      </c>
      <c r="C70" s="54" t="s">
        <v>194</v>
      </c>
      <c r="D70" s="94" t="s">
        <v>423</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580</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577</v>
      </c>
      <c r="D83" s="76" t="s">
        <v>578</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711</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489</v>
      </c>
      <c r="D89" s="94" t="s">
        <v>481</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618</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basic GenServer state init, handle_call responses, and simple client wrappers. Do NOT expect dynamic supervisors or multi-node distribution unless demanded.", IF(G9="Intermediate", "Expect clean GenServer/Agent modules, explicit client API boundaries, handle_cast state updates, and @spec typespecs. Enforce zero raw receive-loop emulations.", "Expect modular supervision trees with Supervisor specs, dynamic worker spawning, restart strategies, and process monitoring.")) &amp; " | " &amp;</v>
      </c>
      <c r="E93" s="77" t="str">
        <f>IF(D93="","",""""&amp;C93&amp;" "&amp;IF(C93="[FOOTER RULE - STRICT]",D93,IF(RIGHT(D93,6)=" | "&amp;CHAR(34)&amp;" &amp;",D93,D93&amp;" | "&amp;CHAR(34)&amp;" &amp;")))</f>
        <v>"[MENTOR_SCOPE_EXPECTATIONS] " &amp; IF(G9="Beginner", "Evaluate basic GenServer state init, handle_call responses, and simple client wrappers. Do NOT expect dynamic supervisors or multi-node distribution unless demanded.", IF(G9="Intermediate", "Expect clean GenServer/Agent modules, explicit client API boundaries, handle_cast state updates, and @spec typespecs. Enforce zero raw receive-loop emulations.", "Expect modular supervision trees with Supervisor specs, dynamic worker spawning, restart strategies, and process monitoring.")) &amp; " | " &amp;</v>
      </c>
      <c r="F93" s="54" t="s">
        <v>224</v>
      </c>
    </row>
    <row r="94" spans="2:6">
      <c r="B94" s="54" t="s">
        <v>223</v>
      </c>
      <c r="C94" s="32" t="s">
        <v>619</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833</v>
      </c>
      <c r="E98" s="77" t="str">
        <f t="shared" si="4"/>
        <v>"[ATOMIC CODE PROTOCOL (MVCI) - STRICT] 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v>
      </c>
      <c r="F98" s="54" t="s">
        <v>224</v>
      </c>
    </row>
    <row r="99" spans="2:6">
      <c r="B99" s="84" t="s">
        <v>271</v>
      </c>
      <c r="C99" s="54" t="s">
        <v>240</v>
      </c>
      <c r="D99" s="94" t="s">
        <v>834</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309</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307</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581</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308</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9"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444</v>
      </c>
      <c r="D2" s="81" t="s">
        <v>270</v>
      </c>
      <c r="H2" s="82"/>
      <c r="T2" s="82"/>
    </row>
    <row r="3" spans="1:29">
      <c r="B3" s="76" t="s">
        <v>221</v>
      </c>
      <c r="C3" s="76" t="s">
        <v>577</v>
      </c>
      <c r="D3" s="76" t="s">
        <v>578</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461</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v>
      </c>
      <c r="E10" s="77" t="str">
        <f t="shared" si="0"/>
        <v>"[ECOSYSTEM ORIENTATION RULE] If a data manipulation library, external package, or ecosystem like Pandas or NumPy is specified in " &amp; $I$3 &amp;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v>
      </c>
      <c r="F10" s="54" t="s">
        <v>224</v>
      </c>
    </row>
    <row r="11" spans="1:29">
      <c r="A11">
        <f t="shared" si="1"/>
        <v>313</v>
      </c>
      <c r="B11" s="75" t="s">
        <v>222</v>
      </c>
      <c r="C11" s="54" t="s">
        <v>215</v>
      </c>
      <c r="D11" s="93" t="s">
        <v>582</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489</v>
      </c>
      <c r="D13" s="93" t="s">
        <v>481</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371</v>
      </c>
      <c r="B16" s="83" t="s">
        <v>223</v>
      </c>
      <c r="C16" s="32" t="s">
        <v>188</v>
      </c>
      <c r="D16" s="93" t="str">
        <f>Variables!E29 &amp; " | " &amp; Variables!E30 &amp; " | " &amp; Variables!E31 &amp; " | " &amp; CHAR(34) &amp; " &amp;"</f>
        <v>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 &amp;</v>
      </c>
      <c r="E16" s="77" t="str">
        <f t="shared" si="0"/>
        <v>"[FILE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 &amp;</v>
      </c>
      <c r="F16" s="54" t="s">
        <v>224</v>
      </c>
    </row>
    <row r="17" spans="1:6">
      <c r="A17">
        <f t="shared" si="1"/>
        <v>135</v>
      </c>
      <c r="B17" s="83" t="s">
        <v>223</v>
      </c>
      <c r="C17" s="32" t="s">
        <v>721</v>
      </c>
      <c r="D17" s="93" t="str">
        <f>Variables!E32 &amp; " | " &amp; CHAR(34) &amp; " &amp;"</f>
        <v>Validate with IO output or simple ExUnit assert/refute macros. Avoid complex suites, setup chains, or excessive test scaffolding. | " &amp;</v>
      </c>
      <c r="E17" s="77" t="str">
        <f t="shared" si="0"/>
        <v>"[TESTING_FRAMEWORK_RULE] Validate with IO output or simple ExUnit assert/refute macros. Avoid complex suites, setup chains, or excessive test scaffolding. | " &amp;</v>
      </c>
      <c r="F17" s="54" t="s">
        <v>224</v>
      </c>
    </row>
    <row r="18" spans="1:6">
      <c r="A18">
        <f t="shared" si="1"/>
        <v>127</v>
      </c>
      <c r="B18" s="54" t="s">
        <v>223</v>
      </c>
      <c r="C18" s="32" t="s">
        <v>722</v>
      </c>
      <c r="D18" s="93" t="str">
        <f>Variables!E33 &amp; " | " &amp; CHAR(34) &amp; " &amp;"</f>
        <v>Standard Mix/Elixir context. If external packages are needed, declare them only in mix.exs and install with mix deps.get. | " &amp;</v>
      </c>
      <c r="E18" s="77" t="str">
        <f t="shared" si="0"/>
        <v>"[DEPENDENCY_MANAGEMENT_RULE] Standard Mix/Elixir context. If external packages are needed, declare them only in mix.exs and install with mix deps.get. | " &amp;</v>
      </c>
      <c r="F18" s="54" t="s">
        <v>224</v>
      </c>
    </row>
    <row r="19" spans="1:6">
      <c r="A19">
        <f t="shared" si="1"/>
        <v>510</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GenServer/Agent process use, at least 1 IO.puts/IO.inspect, state transformation, EXACTLY 1 OTP module, and EXACTLY 1 process call/cast. - " &amp; IF(G9="Beginner", "5–15", IF(G9="Intermediate", "10–25", "15–35")) &amp; " lines of EXECUTABLE broken Elixir OTP code per challenge; exclude blank lines. NO raw process receive loops and NO top-level executable expressions EXCEPT the startup and call flow. | All challenges MUST maintain similar complexity, length, and functional scope. | " &amp;</v>
      </c>
      <c r="E19" s="77" t="str">
        <f t="shared" si="0"/>
        <v>"[CODE CONSTRAINTS] Each challenge MUST include GenServer/Agent process use, at least 1 IO.puts/IO.inspect, state transformation, EXACTLY 1 OTP module, and EXACTLY 1 process call/cast. - " &amp; IF(G9="Beginner", "5–15", IF(G9="Intermediate", "10–25", "15–35")) &amp; " lines of EXECUTABLE broken Elixir OTP code per challenge; exclude blank lines. NO raw process receive loops and NO top-level executable expressions EXCEPT the startup and call flow. | All challenges MUST maintain similar complexity, length, and functional scope. | " &amp;</v>
      </c>
      <c r="F19" s="54" t="s">
        <v>224</v>
      </c>
    </row>
    <row r="20" spans="1:6">
      <c r="A20">
        <f t="shared" si="1"/>
        <v>888</v>
      </c>
      <c r="B20" s="54" t="s">
        <v>271</v>
      </c>
      <c r="C20" s="54" t="s">
        <v>187</v>
      </c>
      <c r="D20" s="93" t="s">
        <v>703</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704</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705</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443</v>
      </c>
      <c r="C45" s="74"/>
      <c r="E45" s="86"/>
    </row>
    <row r="46" spans="1:6">
      <c r="B46" s="76" t="s">
        <v>264</v>
      </c>
      <c r="C46" s="76" t="s">
        <v>577</v>
      </c>
      <c r="D46" s="76" t="s">
        <v>578</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310</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311</v>
      </c>
      <c r="D49" s="93" t="s">
        <v>165</v>
      </c>
      <c r="E49" s="77" t="str">
        <f t="shared" si="2"/>
        <v>"[PROJECT] " &amp; I9 &amp; " | " &amp;</v>
      </c>
      <c r="F49" s="32" t="s">
        <v>224</v>
      </c>
    </row>
    <row r="50" spans="2:6">
      <c r="B50" s="54" t="s">
        <v>222</v>
      </c>
      <c r="C50" s="54" t="s">
        <v>253</v>
      </c>
      <c r="D50" s="93" t="s">
        <v>710</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312</v>
      </c>
      <c r="E52" s="77" t="str">
        <f t="shared" si="2"/>
        <v>"[OUTPUT] Only header, dataset summary or statement (if any), email intro, objective, expected output, broken code, and footer | " &amp;</v>
      </c>
      <c r="F52" s="32" t="s">
        <v>224</v>
      </c>
    </row>
    <row r="53" spans="2:6">
      <c r="B53" s="54" t="s">
        <v>222</v>
      </c>
      <c r="C53" s="54" t="s">
        <v>215</v>
      </c>
      <c r="D53" s="93" t="s">
        <v>583</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313</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489</v>
      </c>
      <c r="D57" s="93" t="s">
        <v>481</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 &amp;</v>
      </c>
      <c r="E59" s="77" t="str">
        <f t="shared" si="2"/>
        <v>"[BUG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 &amp;</v>
      </c>
      <c r="F59" s="32" t="s">
        <v>224</v>
      </c>
    </row>
    <row r="60" spans="2:6">
      <c r="B60" s="54" t="s">
        <v>271</v>
      </c>
      <c r="C60" s="54" t="s">
        <v>277</v>
      </c>
      <c r="D60" s="93" t="s">
        <v>314</v>
      </c>
      <c r="E60" s="77" t="str">
        <f t="shared" si="2"/>
        <v>"[ENV USAGE RULE] Bugs ONLY in code logic, not config files | " &amp;</v>
      </c>
      <c r="F60" s="32" t="s">
        <v>224</v>
      </c>
    </row>
    <row r="61" spans="2:6">
      <c r="B61" s="54" t="s">
        <v>271</v>
      </c>
      <c r="C61" s="54" t="s">
        <v>194</v>
      </c>
      <c r="D61" s="93" t="s">
        <v>315</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597</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316</v>
      </c>
      <c r="E63" s="77" t="str">
        <f t="shared" si="2"/>
        <v>"[PERSONA RULE] Use a messy, careless developer tone | " &amp;</v>
      </c>
      <c r="F63" s="32" t="s">
        <v>224</v>
      </c>
    </row>
    <row r="64" spans="2:6">
      <c r="B64" s="54" t="s">
        <v>271</v>
      </c>
      <c r="C64" s="54" t="s">
        <v>187</v>
      </c>
      <c r="D64" s="93" t="s">
        <v>317</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318</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319</v>
      </c>
      <c r="E66" s="77" t="str">
        <f t="shared" si="2"/>
        <v>"[STRUCTURE RULE] Do NOT add extra sections or explanations (except when required by SUPPORT FILES RULE) | " &amp;</v>
      </c>
      <c r="F66" s="32" t="s">
        <v>224</v>
      </c>
    </row>
    <row r="67" spans="2:6">
      <c r="B67" s="54" t="s">
        <v>271</v>
      </c>
      <c r="C67" s="54" t="s">
        <v>178</v>
      </c>
      <c r="D67" s="93" t="s">
        <v>320</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321</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322</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323</v>
      </c>
      <c r="E72" s="77" t="str">
        <f t="shared" si="2"/>
        <v>"[STRICT MODE] Enforce all rules strictly | " &amp;</v>
      </c>
      <c r="F72" s="32" t="s">
        <v>224</v>
      </c>
    </row>
    <row r="73" spans="2:6">
      <c r="B73" s="54" t="s">
        <v>271</v>
      </c>
      <c r="C73" s="54" t="s">
        <v>220</v>
      </c>
      <c r="D73" s="93" t="s">
        <v>324</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442</v>
      </c>
    </row>
    <row r="80" spans="2:6">
      <c r="B80" s="76" t="s">
        <v>221</v>
      </c>
      <c r="C80" s="76" t="s">
        <v>577</v>
      </c>
      <c r="D80" s="76" t="s">
        <v>578</v>
      </c>
      <c r="E80" s="88" t="s">
        <v>234</v>
      </c>
      <c r="F80" s="54" t="s">
        <v>224</v>
      </c>
    </row>
    <row r="81" spans="2:6">
      <c r="B81" s="54" t="s">
        <v>222</v>
      </c>
      <c r="C81" s="54" t="s">
        <v>325</v>
      </c>
      <c r="D81" s="93" t="s">
        <v>379</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326</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712</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327</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3" t="s">
        <v>481</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584</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723</v>
      </c>
      <c r="D90" s="93" t="str">
        <f>Variables!E41 &amp; " " &amp; Variables!E42 &amp; " " &amp; Variables!E43 &amp; " " &amp; Variables!E44 &amp; " | " &amp; CHAR(34) &amp; " &amp;"</f>
        <v>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 &amp;</v>
      </c>
      <c r="E90" s="17" t="str">
        <f t="shared" si="3"/>
        <v>"[CORE_QUALITY_POLICY]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 &amp;</v>
      </c>
      <c r="F90" s="54" t="s">
        <v>224</v>
      </c>
    </row>
    <row r="91" spans="2:6">
      <c r="B91" s="54" t="s">
        <v>271</v>
      </c>
      <c r="C91" s="54" t="s">
        <v>238</v>
      </c>
      <c r="D91" s="93" t="s">
        <v>330</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331</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329</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332</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490</v>
      </c>
      <c r="D95" s="93" t="s">
        <v>491</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328</v>
      </c>
      <c r="D96" s="93" t="s">
        <v>333</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334</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3"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440</v>
      </c>
      <c r="D2" s="81" t="s">
        <v>335</v>
      </c>
      <c r="H2" s="82"/>
      <c r="T2" s="82"/>
    </row>
    <row r="3" spans="2:29">
      <c r="B3" s="76" t="s">
        <v>221</v>
      </c>
      <c r="C3" s="76" t="s">
        <v>577</v>
      </c>
      <c r="D3" s="76" t="s">
        <v>578</v>
      </c>
      <c r="E3" s="88" t="s">
        <v>228</v>
      </c>
      <c r="F3" s="4" t="s">
        <v>224</v>
      </c>
      <c r="AC3" t="s">
        <v>224</v>
      </c>
    </row>
    <row r="4" spans="2:29">
      <c r="B4" s="75" t="s">
        <v>222</v>
      </c>
      <c r="C4" s="54" t="s">
        <v>160</v>
      </c>
      <c r="D4" s="92" t="s">
        <v>336</v>
      </c>
      <c r="E4" s="77" t="str">
        <f t="shared" ref="E4:E37" si="0">IF(D4="","",""""&amp;C4&amp;" "&amp;IF(C4="[FOOTER RULE - STRICT]",D4,IF(RIGHT(D4,6)=" | "&amp;CHAR(34)&amp;" &amp;",D4,D4&amp;" | "&amp;CHAR(34)&amp;" &amp;")))</f>
        <v>"[ROLE] Tech Lead | " &amp;</v>
      </c>
      <c r="F4" s="54" t="s">
        <v>224</v>
      </c>
    </row>
    <row r="5" spans="2:29">
      <c r="B5" s="75" t="s">
        <v>222</v>
      </c>
      <c r="C5" s="54" t="s">
        <v>162</v>
      </c>
      <c r="D5" s="92" t="s">
        <v>337</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v>
      </c>
      <c r="E10" s="77" t="str">
        <f t="shared" si="0"/>
        <v>"[ECOSYSTEM ORIENTATION RULE] If a data manipulation library, external package, or ecosystem like Pandas or NumPy is specified in " &amp; $I$3 &amp;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v>
      </c>
      <c r="F10" s="54" t="s">
        <v>224</v>
      </c>
    </row>
    <row r="11" spans="2:29">
      <c r="B11" s="75" t="s">
        <v>222</v>
      </c>
      <c r="C11" s="54" t="s">
        <v>215</v>
      </c>
      <c r="D11" s="92" t="s">
        <v>585</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489</v>
      </c>
      <c r="D13" s="92" t="s">
        <v>481</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649</v>
      </c>
      <c r="D15" s="92" t="str">
        <f>Variables!E45 &amp; " | " &amp; CHAR(34) &amp; " &amp;"</f>
        <v>Standard Elixir/OTP modules only. Strictly ZERO external Hex packages for beginner topics. | " &amp;</v>
      </c>
      <c r="E15" s="77" t="str">
        <f t="shared" si="0"/>
        <v>"[EXTERNAL_PACKAGE_PROTOCOL] Standard Elixir/OTP modules only. Strictly ZERO external Hex packages for beginner topics. | " &amp;</v>
      </c>
      <c r="F15" s="54" t="s">
        <v>224</v>
      </c>
    </row>
    <row r="16" spans="2:29">
      <c r="B16" s="83" t="s">
        <v>223</v>
      </c>
      <c r="C16" s="54" t="s">
        <v>650</v>
      </c>
      <c r="D16" s="92" t="str">
        <f>Variables!E46 &amp; " | " &amp; CHAR(34) &amp; " &amp;"</f>
        <v>Simple console-output verification via IO.puts/1 or IO.inspect/2. | " &amp;</v>
      </c>
      <c r="E16" s="77" t="str">
        <f t="shared" si="0"/>
        <v>"[TESTING_FRAMEWORK_PROTOCOL] Simple console-output verification via IO.puts/1 or IO.inspect/2. | " &amp;</v>
      </c>
      <c r="F16" s="54" t="s">
        <v>224</v>
      </c>
    </row>
    <row r="17" spans="2:6">
      <c r="B17" s="83" t="s">
        <v>223</v>
      </c>
      <c r="C17" s="54" t="s">
        <v>651</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state tuple return, GenServer call, direct comparison, or simple pattern match. NO complex IO capture or process mocking. - " &amp; IF(G9="Beginner","5–15", IF(G9="Intermediate","10–25","15–35")) &amp; " 5–15 lines of EXECUTABLE base code. Code outside # TODO MUST be fully valid/readable. If no_def is present in AJ, use flat GenServer skeleton code. | " &amp;</v>
      </c>
      <c r="E17" s="77" t="str">
        <f t="shared" si="0"/>
        <v>"[CHALLENGE_CONSTRAINTS_POLICY] For Beginner level, # TODO MUST be atomic: 1–2 simple lines max, e.g. state tuple return, GenServer call, direct comparison, or simple pattern match. NO complex IO capture or process mocking. - " &amp; IF(G9="Beginner","5–15", IF(G9="Intermediate","10–25","15–35")) &amp; " 5–15 lines of EXECUTABLE base code. Code outside # TODO MUST be fully valid/readable. If no_def is present in AJ, use flat GenServer skeleton code. | " &amp;</v>
      </c>
      <c r="F17" s="54" t="s">
        <v>224</v>
      </c>
    </row>
    <row r="18" spans="2:6">
      <c r="B18" s="83" t="s">
        <v>271</v>
      </c>
      <c r="C18" s="54" t="s">
        <v>207</v>
      </c>
      <c r="D18" s="92" t="s">
        <v>644</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338</v>
      </c>
      <c r="D20" s="92" t="s">
        <v>365</v>
      </c>
      <c r="E20" s="77" t="str">
        <f t="shared" si="0"/>
        <v>"[SCORING ENFORCEMENT RULE] Score MUST be ONLY 3, 4, or 5 | " &amp;</v>
      </c>
      <c r="F20" s="54" t="s">
        <v>224</v>
      </c>
    </row>
    <row r="21" spans="2:6">
      <c r="B21" s="84" t="s">
        <v>271</v>
      </c>
      <c r="C21" s="54" t="s">
        <v>339</v>
      </c>
      <c r="D21" s="92" t="s">
        <v>340</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341</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342</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343</v>
      </c>
      <c r="D25" s="92" t="s">
        <v>344</v>
      </c>
      <c r="E25" s="77" t="str">
        <f t="shared" si="0"/>
        <v>"[OUTPUT TRUNCATION RULE - STRICT] If expected output is long, display ONLY the first 5 lines. Ensure accuracy. Do NOT use ellipsis (...) | " &amp;</v>
      </c>
      <c r="F25" s="54" t="s">
        <v>224</v>
      </c>
    </row>
    <row r="26" spans="2:6">
      <c r="B26" s="54" t="s">
        <v>271</v>
      </c>
      <c r="C26" s="54" t="s">
        <v>345</v>
      </c>
      <c r="D26" s="92" t="s">
        <v>346</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347</v>
      </c>
      <c r="D27" s="92" t="s">
        <v>348</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349</v>
      </c>
      <c r="D28" s="92" t="s">
        <v>350</v>
      </c>
      <c r="E28" s="77" t="str">
        <f t="shared" si="0"/>
        <v>"[TODO VARIATION RULE] TODO sections MUST vary: Single-line TODO, Multiple TODOs, Small blocks (2–4 lines). | " &amp;</v>
      </c>
      <c r="F28" s="54" t="s">
        <v>224</v>
      </c>
    </row>
    <row r="29" spans="2:6">
      <c r="B29" s="54" t="s">
        <v>271</v>
      </c>
      <c r="C29" s="54" t="s">
        <v>351</v>
      </c>
      <c r="D29" s="92" t="s">
        <v>352</v>
      </c>
      <c r="E29" s="77" t="str">
        <f t="shared" si="0"/>
        <v>"[VARIABILITY RULE - STRICT] Each challenge MUST be structurally different. Vary: Code length, Logic type, Position of TODO, Number of TODOs (1–3), Data flow. | " &amp;</v>
      </c>
      <c r="F29" s="54" t="s">
        <v>224</v>
      </c>
    </row>
    <row r="30" spans="2:6">
      <c r="B30" s="54" t="s">
        <v>271</v>
      </c>
      <c r="C30" s="54" t="s">
        <v>353</v>
      </c>
      <c r="D30" s="92" t="s">
        <v>354</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355</v>
      </c>
      <c r="D31" s="92" t="s">
        <v>356</v>
      </c>
      <c r="E31" s="77" t="str">
        <f t="shared" si="0"/>
        <v>"[TODO ISOLATION RULE - STRICT] ALL missing, incorrect, or output-affecting logic MUST exist ONLY inside the TODO block. | " &amp;</v>
      </c>
      <c r="F31" s="54" t="s">
        <v>224</v>
      </c>
    </row>
    <row r="32" spans="2:6">
      <c r="B32" s="54" t="s">
        <v>271</v>
      </c>
      <c r="C32" s="54" t="s">
        <v>303</v>
      </c>
      <c r="D32" s="92" t="s">
        <v>357</v>
      </c>
      <c r="E32" s="77" t="str">
        <f t="shared" si="0"/>
        <v>"[NO SOLUTION RULE - STRICT] The code under the # TODO MUST be left empty or with a 'pass'. DO NOT write the actual solution. | " &amp;</v>
      </c>
      <c r="F32" s="54" t="s">
        <v>224</v>
      </c>
    </row>
    <row r="33" spans="2:6">
      <c r="B33" s="54" t="s">
        <v>271</v>
      </c>
      <c r="C33" s="54" t="s">
        <v>358</v>
      </c>
      <c r="D33" s="92" t="s">
        <v>359</v>
      </c>
      <c r="E33" s="77" t="str">
        <f t="shared" si="0"/>
        <v>"[OUTPUT VERIFICATION RULE] The base code MUST print the final variables/results evaluated in the TODO block to verify correctness. | " &amp;</v>
      </c>
      <c r="F33" s="54" t="s">
        <v>224</v>
      </c>
    </row>
    <row r="34" spans="2:6">
      <c r="B34" s="54" t="s">
        <v>271</v>
      </c>
      <c r="C34" s="54" t="s">
        <v>360</v>
      </c>
      <c r="D34" s="92" t="s">
        <v>361</v>
      </c>
      <c r="E34" s="77" t="str">
        <f t="shared" si="0"/>
        <v>"[TODO GUIDANCE RULE] Rule " &amp; IF(G9="Beginner", "Clear explicit hint (no code) | ", IF(G9="Intermediate", "Brief hint | ", "Minimal hint | ")) &amp; " | " &amp;</v>
      </c>
      <c r="F34" s="54" t="s">
        <v>224</v>
      </c>
    </row>
    <row r="35" spans="2:6">
      <c r="B35" s="54" t="s">
        <v>271</v>
      </c>
      <c r="C35" s="54" t="s">
        <v>216</v>
      </c>
      <c r="D35" s="92" t="s">
        <v>362</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364</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363</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441</v>
      </c>
      <c r="C45" s="74"/>
      <c r="E45" s="86"/>
    </row>
    <row r="46" spans="2:6">
      <c r="B46" s="76" t="s">
        <v>264</v>
      </c>
      <c r="C46" s="76" t="s">
        <v>577</v>
      </c>
      <c r="D46" s="76" t="s">
        <v>578</v>
      </c>
      <c r="E46" s="88" t="s">
        <v>265</v>
      </c>
      <c r="F46" s="32" t="s">
        <v>224</v>
      </c>
    </row>
    <row r="47" spans="2:6">
      <c r="B47" s="54" t="s">
        <v>222</v>
      </c>
      <c r="C47" s="54" t="s">
        <v>160</v>
      </c>
      <c r="D47" s="92" t="s">
        <v>336</v>
      </c>
      <c r="E47" s="77" t="str">
        <f t="shared" ref="E47:E76" si="1">IF(D47="","",""""&amp;C47&amp;" "&amp;IF(C47="[FOOTER RULE - STRICT]",D47,IF(RIGHT(D47,6)=" | "&amp;CHAR(34)&amp;" &amp;",D47,D47&amp;" | "&amp;CHAR(34)&amp;" &amp;")))</f>
        <v>"[ROLE] Tech Lead | " &amp;</v>
      </c>
      <c r="F47" s="32" t="s">
        <v>224</v>
      </c>
    </row>
    <row r="48" spans="2:6">
      <c r="B48" s="54" t="s">
        <v>222</v>
      </c>
      <c r="C48" s="54" t="s">
        <v>162</v>
      </c>
      <c r="D48" s="92" t="s">
        <v>366</v>
      </c>
      <c r="E48" s="77" t="str">
        <f t="shared" si="1"/>
        <v>"[TASK] Assign incomplete project script | " &amp;</v>
      </c>
      <c r="F48" s="32" t="s">
        <v>224</v>
      </c>
    </row>
    <row r="49" spans="2:6">
      <c r="B49" s="54" t="s">
        <v>222</v>
      </c>
      <c r="C49" s="54" t="s">
        <v>311</v>
      </c>
      <c r="D49" s="92" t="s">
        <v>165</v>
      </c>
      <c r="E49" s="77" t="str">
        <f t="shared" si="1"/>
        <v>"[PROJECT] " &amp; I9 &amp; " | " &amp;</v>
      </c>
      <c r="F49" s="32" t="s">
        <v>224</v>
      </c>
    </row>
    <row r="50" spans="2:6">
      <c r="B50" s="54" t="s">
        <v>222</v>
      </c>
      <c r="C50" s="54" t="s">
        <v>253</v>
      </c>
      <c r="D50" s="92" t="s">
        <v>710</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v>
      </c>
      <c r="E53" s="77" t="str">
        <f t="shared" si="1"/>
        <v>"[ECOSYSTEM ORIENTATION RULE] If a data manipulation library, external package, or ecosystem like Pandas or NumPy is specified in " &amp; $I$3 &amp;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489</v>
      </c>
      <c r="D55" s="92" t="s">
        <v>481</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586</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649</v>
      </c>
      <c r="D57" s="92" t="str">
        <f>Variables!E49 &amp; " | " &amp; CHAR(34) &amp; " &amp;"</f>
        <v>Require Mix dependency declarations in mix.exs and mix deps.get for external Hex dependencies when applicable. | " &amp;</v>
      </c>
      <c r="E57" s="77" t="str">
        <f t="shared" si="1"/>
        <v>"[EXTERNAL_PACKAGE_PROTOCOL] Require Mix dependency declarations in mix.exs and mix deps.get for external Hex dependencies when applicable. | " &amp;</v>
      </c>
      <c r="F57" s="32" t="s">
        <v>224</v>
      </c>
    </row>
    <row r="58" spans="2:6">
      <c r="B58" s="54" t="s">
        <v>223</v>
      </c>
      <c r="C58" s="32" t="s">
        <v>651</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contain 25–40 lines of EXECUTABLE base Elixir OTP code; do NOT count comments or # TODO blocks. " &amp; IF(G9="Beginner","25–40", IF(G9="Intermediate","30–60","40–100")) &amp; " Multi-step OTP process architecture. Max 2 modules, standard GenServer/Agent structure. Integration logic exclusively inside # TODO blocks. | " &amp;</v>
      </c>
      <c r="E58" s="77" t="str">
        <f t="shared" si="1"/>
        <v>"[CHALLENGE_CONSTRAINTS_POLICY] MUST contain 25–40 lines of EXECUTABLE base Elixir OTP code; do NOT count comments or # TODO blocks. " &amp; IF(G9="Beginner","25–40", IF(G9="Intermediate","30–60","40–100")) &amp; " Multi-step OTP process architecture. Max 2 modules, standard GenServer/Agent structure. Integration logic exclusively inside # TODO blocks.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339</v>
      </c>
      <c r="D61" s="92" t="s">
        <v>367</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368</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369</v>
      </c>
      <c r="E63" s="77" t="str">
        <f t="shared" si="1"/>
        <v>"[OUTPUT CONTRACT] EXACTLY 1 project. Structure MUST be: Tech Lead Intro Message, Project: Objective (max 6 lines), Expected Output (code block), Incomplete Code | " &amp;</v>
      </c>
      <c r="F63" s="32" t="s">
        <v>224</v>
      </c>
    </row>
    <row r="64" spans="2:6">
      <c r="B64" s="54" t="s">
        <v>271</v>
      </c>
      <c r="C64" s="54" t="s">
        <v>370</v>
      </c>
      <c r="D64" s="92" t="s">
        <v>371</v>
      </c>
      <c r="E64" s="77" t="str">
        <f t="shared" si="1"/>
        <v>"[OUTPUT TRUNCATION RULE] If output is large, show only first 5 lines. Do NOT use ellipsis (...) | " &amp;</v>
      </c>
      <c r="F64" s="32" t="s">
        <v>224</v>
      </c>
    </row>
    <row r="65" spans="2:6">
      <c r="B65" s="54" t="s">
        <v>271</v>
      </c>
      <c r="C65" s="54" t="s">
        <v>345</v>
      </c>
      <c r="D65" s="92" t="s">
        <v>372</v>
      </c>
      <c r="E65" s="77" t="str">
        <f t="shared" si="1"/>
        <v>"[OUTPUT EXECUTION RULE - STRICT] Expected output MUST be explicit, complete, and produced via final print(). | " &amp;</v>
      </c>
      <c r="F65" s="32" t="s">
        <v>224</v>
      </c>
    </row>
    <row r="66" spans="2:6">
      <c r="B66" s="54" t="s">
        <v>271</v>
      </c>
      <c r="C66" s="54" t="s">
        <v>347</v>
      </c>
      <c r="D66" s="92" t="s">
        <v>373</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374</v>
      </c>
      <c r="D67" s="92" t="s">
        <v>375</v>
      </c>
      <c r="E67" s="77" t="str">
        <f t="shared" si="1"/>
        <v>"[TODO REALISM RULE] TODO must represent realistic integration bugs. Describe what is incorrect/incomplete. | " &amp;</v>
      </c>
      <c r="F67" s="32" t="s">
        <v>224</v>
      </c>
    </row>
    <row r="68" spans="2:6">
      <c r="B68" s="54" t="s">
        <v>271</v>
      </c>
      <c r="C68" s="54" t="s">
        <v>355</v>
      </c>
      <c r="D68" s="92" t="s">
        <v>376</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357</v>
      </c>
      <c r="E69" s="77" t="str">
        <f t="shared" si="1"/>
        <v>"[NO SOLUTION RULE - STRICT] The code under the # TODO MUST be left empty or with a 'pass'. DO NOT write the actual solution. | " &amp;</v>
      </c>
      <c r="F69" s="32" t="s">
        <v>224</v>
      </c>
    </row>
    <row r="70" spans="2:6">
      <c r="B70" s="54" t="s">
        <v>271</v>
      </c>
      <c r="C70" s="54" t="s">
        <v>216</v>
      </c>
      <c r="D70" s="92" t="s">
        <v>377</v>
      </c>
      <c r="E70" s="77" t="str">
        <f t="shared" si="1"/>
        <v>"[OUTPUT] Only header, dataset summary or statement (if any), intro message, objective, expected output, incomplete code, and footer | " &amp;</v>
      </c>
      <c r="F70" s="32" t="s">
        <v>224</v>
      </c>
    </row>
    <row r="71" spans="2:6">
      <c r="B71" s="54" t="s">
        <v>271</v>
      </c>
      <c r="C71" s="54" t="s">
        <v>220</v>
      </c>
      <c r="D71" s="92" t="s">
        <v>378</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439</v>
      </c>
    </row>
    <row r="80" spans="2:6">
      <c r="B80" s="76" t="s">
        <v>221</v>
      </c>
      <c r="C80" s="76" t="s">
        <v>577</v>
      </c>
      <c r="D80" s="76" t="s">
        <v>578</v>
      </c>
      <c r="E80" s="89" t="s">
        <v>234</v>
      </c>
      <c r="F80" s="54" t="s">
        <v>224</v>
      </c>
    </row>
    <row r="81" spans="2:6">
      <c r="B81" s="54" t="s">
        <v>222</v>
      </c>
      <c r="C81" s="54" t="s">
        <v>380</v>
      </c>
      <c r="D81" s="92" t="s">
        <v>381</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382</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713</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383</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2"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587</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723</v>
      </c>
      <c r="D90" s="92" t="str">
        <f>Variables!E52 &amp; " " &amp; Variables!E53 &amp; " " &amp; Variables!E54 &amp; " " &amp; Variables!E55 &amp; " | " &amp; CHAR(34) &amp; " &amp;"</f>
        <v>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 &amp;</v>
      </c>
      <c r="E90" s="17" t="str">
        <f t="shared" si="2"/>
        <v>"[CORE_QUALITY_POLICY]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 &amp;</v>
      </c>
      <c r="F90" s="54" t="s">
        <v>224</v>
      </c>
    </row>
    <row r="91" spans="2:6">
      <c r="B91" s="54" t="s">
        <v>271</v>
      </c>
      <c r="C91" s="54" t="s">
        <v>238</v>
      </c>
      <c r="D91" s="92" t="s">
        <v>384</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385</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386</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387</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328</v>
      </c>
      <c r="D95" s="92" t="s">
        <v>388</v>
      </c>
      <c r="E95" s="17" t="str">
        <f t="shared" si="2"/>
        <v>"[FOOTER RULE] End your response with: '--- ⚡ *Coding5s Mentor System — Eliminating Epistemic Debt &amp; Connecting the Flow*',</v>
      </c>
      <c r="F95" s="54" t="s">
        <v>224</v>
      </c>
    </row>
    <row r="96" spans="2:6">
      <c r="B96" s="54"/>
      <c r="C96" s="54"/>
      <c r="D96" s="54"/>
      <c r="E96" s="89" t="s">
        <v>334</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76"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438</v>
      </c>
      <c r="D2" s="81" t="s">
        <v>411</v>
      </c>
      <c r="H2" s="82"/>
      <c r="T2" s="82"/>
    </row>
    <row r="3" spans="2:29">
      <c r="B3" s="76" t="s">
        <v>221</v>
      </c>
      <c r="C3" s="76" t="s">
        <v>577</v>
      </c>
      <c r="D3" s="76" t="s">
        <v>578</v>
      </c>
      <c r="E3" s="88" t="s">
        <v>228</v>
      </c>
      <c r="F3" s="4" t="s">
        <v>224</v>
      </c>
      <c r="AC3" t="s">
        <v>224</v>
      </c>
    </row>
    <row r="4" spans="2:29">
      <c r="B4" s="75" t="s">
        <v>222</v>
      </c>
      <c r="C4" s="54" t="s">
        <v>160</v>
      </c>
      <c r="D4" s="90" t="s">
        <v>336</v>
      </c>
      <c r="E4" s="77" t="str">
        <f t="shared" ref="E4:E39" si="0">IF(D4="","",""""&amp;C4&amp;" "&amp;IF(C4="[FOOTER RULE - STRICT]",D4,IF(RIGHT(D4,6)=" | "&amp;CHAR(34)&amp;" &amp;",D4,D4&amp;" | "&amp;CHAR(34)&amp;" &amp;")))</f>
        <v>"[ROLE] Tech Lead | " &amp;</v>
      </c>
      <c r="F4" s="54" t="s">
        <v>224</v>
      </c>
    </row>
    <row r="5" spans="2:29">
      <c r="B5" s="75" t="s">
        <v>222</v>
      </c>
      <c r="C5" s="54" t="s">
        <v>162</v>
      </c>
      <c r="D5" s="90" t="s">
        <v>389</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v>
      </c>
      <c r="E10" s="77" t="str">
        <f t="shared" si="0"/>
        <v>"[ECOSYSTEM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v>
      </c>
      <c r="F10" s="54" t="s">
        <v>224</v>
      </c>
    </row>
    <row r="11" spans="2:29">
      <c r="B11" s="75" t="s">
        <v>222</v>
      </c>
      <c r="C11" s="54" t="s">
        <v>170</v>
      </c>
      <c r="D11" s="90" t="s">
        <v>390</v>
      </c>
      <c r="E11" s="77" t="str">
        <f t="shared" si="0"/>
        <v>"[PERSONA RULE] Act as a Tech Lead. A junior wrote this working but messy code. Tone: professional but exhausted by the code quality | " &amp;</v>
      </c>
      <c r="F11" s="54" t="s">
        <v>224</v>
      </c>
    </row>
    <row r="12" spans="2:29">
      <c r="B12" s="75" t="s">
        <v>222</v>
      </c>
      <c r="C12" s="54" t="s">
        <v>172</v>
      </c>
      <c r="D12" s="90" t="s">
        <v>391</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588</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489</v>
      </c>
      <c r="D14" s="90" t="s">
        <v>481</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392</v>
      </c>
      <c r="E18" s="77" t="str">
        <f t="shared" si="0"/>
        <v>"[CODE QUALITY RULE] Code MUST be executable and correct BUT intentionally messy, inconsistent, or suboptimal | " &amp;</v>
      </c>
      <c r="F18" s="54" t="s">
        <v>224</v>
      </c>
    </row>
    <row r="19" spans="2:6">
      <c r="B19" s="54" t="s">
        <v>271</v>
      </c>
      <c r="C19" s="54" t="s">
        <v>393</v>
      </c>
      <c r="D19" s="90" t="s">
        <v>394</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395</v>
      </c>
      <c r="D20" s="90" t="s">
        <v>396</v>
      </c>
      <c r="E20" s="77" t="str">
        <f t="shared" si="0"/>
        <v>"[STYLE INCONSISTENCY RULE] Each challenge should feel like it was written at a different time with different formatting styles | " &amp;</v>
      </c>
      <c r="F20" s="54" t="s">
        <v>224</v>
      </c>
    </row>
    <row r="21" spans="2:6">
      <c r="B21" s="54" t="s">
        <v>271</v>
      </c>
      <c r="C21" s="54" t="s">
        <v>188</v>
      </c>
      <c r="D21" s="90" t="s">
        <v>660</v>
      </c>
      <c r="E21" s="77" t="str">
        <f t="shared" si="0"/>
        <v>"[FILE HANDLING RULE] Use correct loaders and enforce encoding='utf-8' and newline='' when applicable if the programming language supports it. | " &amp;</v>
      </c>
      <c r="F21" s="54" t="s">
        <v>224</v>
      </c>
    </row>
    <row r="22" spans="2:6">
      <c r="B22" s="54" t="s">
        <v>271</v>
      </c>
      <c r="C22" s="54" t="s">
        <v>189</v>
      </c>
      <c r="D22" s="90" t="s">
        <v>659</v>
      </c>
      <c r="E22" s="77" t="str">
        <f t="shared" si="0"/>
        <v>"[DATA TYPE RULE] Explicit casting required before calculations when the programming language requires it. | " &amp;</v>
      </c>
      <c r="F22" s="54" t="s">
        <v>224</v>
      </c>
    </row>
    <row r="23" spans="2:6">
      <c r="B23" s="54" t="s">
        <v>271</v>
      </c>
      <c r="C23" s="54" t="s">
        <v>190</v>
      </c>
      <c r="D23" s="90" t="s">
        <v>397</v>
      </c>
      <c r="E23" s="77" t="str">
        <f t="shared" si="0"/>
        <v>"[DATA ROBUSTNESS RULE] Handle missing, malformed, or inconsistent data safely | " &amp;</v>
      </c>
      <c r="F23" s="54" t="s">
        <v>224</v>
      </c>
    </row>
    <row r="24" spans="2:6">
      <c r="B24" s="54" t="s">
        <v>271</v>
      </c>
      <c r="C24" s="54" t="s">
        <v>191</v>
      </c>
      <c r="D24" s="90" t="s">
        <v>658</v>
      </c>
      <c r="E24" s="77" t="str">
        <f t="shared" si="0"/>
        <v>"[BOOLEAN HANDLING RULE] Normalize boolean values before comparison when the programming language requires it. | " &amp;</v>
      </c>
      <c r="F24" s="54" t="s">
        <v>224</v>
      </c>
    </row>
    <row r="25" spans="2:6">
      <c r="B25" s="54" t="s">
        <v>271</v>
      </c>
      <c r="C25" s="54" t="s">
        <v>192</v>
      </c>
      <c r="D25" s="90" t="s">
        <v>398</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399</v>
      </c>
      <c r="E28" s="77" t="str">
        <f t="shared" si="0"/>
        <v>"[OUTPUT FORMAT RULE] Monetary values formatted with '$', commas, 2 decimals | " &amp;</v>
      </c>
      <c r="F28" s="54" t="s">
        <v>224</v>
      </c>
    </row>
    <row r="29" spans="2:6">
      <c r="B29" s="54" t="s">
        <v>271</v>
      </c>
      <c r="C29" s="54" t="s">
        <v>216</v>
      </c>
      <c r="D29" s="90" t="s">
        <v>400</v>
      </c>
      <c r="E29" s="77" t="str">
        <f t="shared" si="0"/>
        <v>"[OUTPUT] Only header, dataset summary or statement (if any), intro, challenges, code, outputs, and footer | " &amp;</v>
      </c>
      <c r="F29" s="54" t="s">
        <v>224</v>
      </c>
    </row>
    <row r="30" spans="2:6">
      <c r="B30" s="54" t="s">
        <v>271</v>
      </c>
      <c r="C30" s="54" t="s">
        <v>174</v>
      </c>
      <c r="D30" s="90" t="s">
        <v>340</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401</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402</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403</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404</v>
      </c>
      <c r="D34" s="90" t="s">
        <v>405</v>
      </c>
      <c r="E34" s="77" t="str">
        <f t="shared" si="0"/>
        <v>"[REVIEW INTENT RULE] The user is expected to review, identify issues, and refactor the code to production-level quality | " &amp;</v>
      </c>
      <c r="F34" s="54" t="s">
        <v>224</v>
      </c>
    </row>
    <row r="35" spans="2:6">
      <c r="B35" s="54" t="s">
        <v>271</v>
      </c>
      <c r="C35" s="54" t="s">
        <v>178</v>
      </c>
      <c r="D35" s="90" t="s">
        <v>406</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407</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408</v>
      </c>
      <c r="E37" s="77" t="str">
        <f t="shared" si="0"/>
        <v>"[DIFFICULTY RULE] Complexity MUST match level | " &amp;</v>
      </c>
      <c r="F37" s="54" t="s">
        <v>224</v>
      </c>
    </row>
    <row r="38" spans="2:6">
      <c r="B38" s="54" t="s">
        <v>271</v>
      </c>
      <c r="C38" s="54" t="s">
        <v>409</v>
      </c>
      <c r="D38" s="90" t="s">
        <v>410</v>
      </c>
      <c r="E38" s="77" t="str">
        <f t="shared" si="0"/>
        <v>"[DIFFICULTY CONSISTENCY RULE] All challenges MUST have similar complexity and length, even if coding styles differ | " &amp;</v>
      </c>
      <c r="F38" s="54" t="s">
        <v>224</v>
      </c>
    </row>
    <row r="39" spans="2:6">
      <c r="B39" s="54" t="s">
        <v>271</v>
      </c>
      <c r="C39" s="54" t="s">
        <v>220</v>
      </c>
      <c r="D39" s="90" t="s">
        <v>364</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412</v>
      </c>
      <c r="F40" s="54" t="s">
        <v>224</v>
      </c>
    </row>
    <row r="41" spans="2:6">
      <c r="B41" s="54"/>
      <c r="C41" s="54"/>
      <c r="D41" s="90"/>
      <c r="E41" s="77"/>
      <c r="F41" s="54"/>
    </row>
    <row r="42" spans="2:6">
      <c r="B42" s="74"/>
      <c r="C42" s="74"/>
      <c r="E42" s="86"/>
    </row>
    <row r="43" spans="2:6">
      <c r="B43" s="74"/>
      <c r="C43" s="74"/>
      <c r="E43" s="86"/>
    </row>
    <row r="44" spans="2:6" ht="36">
      <c r="B44" s="79" t="s">
        <v>437</v>
      </c>
      <c r="C44" s="74"/>
      <c r="E44" s="86"/>
    </row>
    <row r="45" spans="2:6">
      <c r="B45" s="76" t="s">
        <v>264</v>
      </c>
      <c r="C45" s="76" t="s">
        <v>577</v>
      </c>
      <c r="D45" s="76" t="s">
        <v>578</v>
      </c>
      <c r="E45" s="88" t="s">
        <v>265</v>
      </c>
      <c r="F45" s="32" t="s">
        <v>224</v>
      </c>
    </row>
    <row r="46" spans="2:6">
      <c r="B46" s="54" t="s">
        <v>222</v>
      </c>
      <c r="C46" s="54" t="s">
        <v>160</v>
      </c>
      <c r="D46" s="90" t="s">
        <v>336</v>
      </c>
      <c r="E46" s="77" t="str">
        <f>IF(D46="","",""""&amp;C46&amp;" "&amp;IF(C46="[FOOTER RULE - STRICT]",D46,IF(RIGHT(D46,6)=" | "&amp;CHAR(34)&amp;" &amp;",D46,D46&amp;" | "&amp;CHAR(34)&amp;" &amp;")))</f>
        <v>"[ROLE] Tech Lead | " &amp;</v>
      </c>
      <c r="F46" s="32" t="s">
        <v>224</v>
      </c>
    </row>
    <row r="47" spans="2:6">
      <c r="B47" s="54" t="s">
        <v>222</v>
      </c>
      <c r="C47" s="54" t="s">
        <v>162</v>
      </c>
      <c r="D47" s="90" t="s">
        <v>413</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311</v>
      </c>
      <c r="D48" s="90" t="s">
        <v>165</v>
      </c>
      <c r="E48" s="77" t="str">
        <f t="shared" si="1"/>
        <v>"[PROJECT] " &amp; I9 &amp; " | " &amp;</v>
      </c>
      <c r="F48" s="32" t="s">
        <v>224</v>
      </c>
    </row>
    <row r="49" spans="2:6">
      <c r="B49" s="54" t="s">
        <v>222</v>
      </c>
      <c r="C49" s="54" t="s">
        <v>253</v>
      </c>
      <c r="D49" s="90" t="s">
        <v>710</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414</v>
      </c>
      <c r="E51" s="77" t="str">
        <f t="shared" si="1"/>
        <v>"[PERSONA RULE] Act as a Tech Lead. A junior wrote this working but messy code. Tone: professional but exhausted | " &amp;</v>
      </c>
      <c r="F51" s="32" t="s">
        <v>224</v>
      </c>
    </row>
    <row r="52" spans="2:6">
      <c r="B52" s="54" t="s">
        <v>222</v>
      </c>
      <c r="C52" s="54" t="s">
        <v>215</v>
      </c>
      <c r="D52" s="90" t="s">
        <v>589</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489</v>
      </c>
      <c r="D56" s="90" t="s">
        <v>481</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415</v>
      </c>
      <c r="E60" s="77" t="str">
        <f t="shared" si="1"/>
        <v>"[CODE QUALITY RULE] Code MUST be correct and executable but not perfectly clean | " &amp;</v>
      </c>
      <c r="F60" s="32" t="s">
        <v>224</v>
      </c>
    </row>
    <row r="61" spans="2:6">
      <c r="B61" s="54" t="s">
        <v>271</v>
      </c>
      <c r="C61" s="54" t="s">
        <v>393</v>
      </c>
      <c r="D61" s="90" t="s">
        <v>416</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417</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418</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419</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420</v>
      </c>
      <c r="E67" s="77" t="str">
        <f t="shared" si="1"/>
        <v>"[OUTPUT CONTRACT] EXACTLY 1 project. Structure MUST be: 1. Tech Lead Intro Email 2. Project: Objective (max 6 lines), Expected Output (code block), Dirty Code | " &amp;</v>
      </c>
      <c r="F67" s="32" t="s">
        <v>224</v>
      </c>
    </row>
    <row r="68" spans="2:6">
      <c r="B68" s="54" t="s">
        <v>271</v>
      </c>
      <c r="C68" s="54" t="s">
        <v>404</v>
      </c>
      <c r="D68" s="90" t="s">
        <v>421</v>
      </c>
      <c r="E68" s="77" t="str">
        <f t="shared" si="1"/>
        <v>"[REVIEW INTENT RULE] The user is expected to review and refactor the project to improve structure, readability, and maintainability | " &amp;</v>
      </c>
      <c r="F68" s="32" t="s">
        <v>224</v>
      </c>
    </row>
    <row r="69" spans="2:6">
      <c r="B69" s="54" t="s">
        <v>271</v>
      </c>
      <c r="C69" s="54" t="s">
        <v>178</v>
      </c>
      <c r="D69" s="90" t="s">
        <v>422</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423</v>
      </c>
      <c r="E70" s="77" t="str">
        <f t="shared" si="1"/>
        <v>"[SUPPORT FILES RULE] Include config files before code if needed | " &amp;</v>
      </c>
      <c r="F70" s="32" t="s">
        <v>224</v>
      </c>
    </row>
    <row r="71" spans="2:6">
      <c r="B71" s="54" t="s">
        <v>271</v>
      </c>
      <c r="C71" s="54" t="s">
        <v>259</v>
      </c>
      <c r="D71" s="90" t="s">
        <v>424</v>
      </c>
      <c r="E71" s="77" t="str">
        <f t="shared" si="1"/>
        <v>"[EXECUTION RULE] Code MUST run and produce correct output | " &amp;</v>
      </c>
      <c r="F71" s="32" t="s">
        <v>224</v>
      </c>
    </row>
    <row r="72" spans="2:6">
      <c r="B72" s="54" t="s">
        <v>271</v>
      </c>
      <c r="C72" s="54" t="s">
        <v>212</v>
      </c>
      <c r="D72" s="90" t="s">
        <v>425</v>
      </c>
      <c r="E72" s="77" t="str">
        <f t="shared" si="1"/>
        <v>"[CONSISTENCY RULE] Project must match objective | " &amp;</v>
      </c>
      <c r="F72" s="32" t="s">
        <v>224</v>
      </c>
    </row>
    <row r="73" spans="2:6">
      <c r="B73" s="54" t="s">
        <v>271</v>
      </c>
      <c r="C73" s="54" t="s">
        <v>216</v>
      </c>
      <c r="D73" s="90" t="s">
        <v>426</v>
      </c>
      <c r="E73" s="77" t="str">
        <f t="shared" si="1"/>
        <v>"[OUTPUT] Only header, dataset summary or statement (if any), intro email, objective, expected output, code, and footer | " &amp;</v>
      </c>
      <c r="F73" s="32" t="s">
        <v>224</v>
      </c>
    </row>
    <row r="74" spans="2:6">
      <c r="B74" s="54" t="s">
        <v>271</v>
      </c>
      <c r="C74" s="54" t="s">
        <v>220</v>
      </c>
      <c r="D74" s="90" t="s">
        <v>378</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436</v>
      </c>
    </row>
    <row r="80" spans="2:6">
      <c r="B80" s="76" t="s">
        <v>221</v>
      </c>
      <c r="C80" s="76" t="s">
        <v>577</v>
      </c>
      <c r="D80" s="76" t="s">
        <v>578</v>
      </c>
      <c r="E80" s="89" t="s">
        <v>234</v>
      </c>
      <c r="F80" s="54" t="s">
        <v>224</v>
      </c>
    </row>
    <row r="81" spans="2:6">
      <c r="B81" s="54" t="s">
        <v>222</v>
      </c>
      <c r="C81" s="54" t="s">
        <v>427</v>
      </c>
      <c r="D81" s="90" t="s">
        <v>428</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429</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714</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430</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0"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590</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 &amp;</v>
      </c>
      <c r="E91" s="17" t="str">
        <f t="shared" si="2"/>
        <v>"[PYTHON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 &amp;</v>
      </c>
      <c r="F91" s="54" t="s">
        <v>224</v>
      </c>
    </row>
    <row r="92" spans="2:6">
      <c r="B92" s="54" t="s">
        <v>271</v>
      </c>
      <c r="C92" s="54" t="s">
        <v>238</v>
      </c>
      <c r="D92" s="90" t="s">
        <v>431</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432</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433</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434</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328</v>
      </c>
      <c r="D96" s="90" t="s">
        <v>498</v>
      </c>
      <c r="E96" s="17" t="str">
        <f t="shared" si="2"/>
        <v>"[FOOTER RULE] End your response with: '--- ⚡ *Coding5s Mentor System — Eliminating Technical Debt with Elegance*'",</v>
      </c>
      <c r="F96" s="54" t="s">
        <v>224</v>
      </c>
    </row>
    <row r="97" spans="2:6">
      <c r="B97" s="54"/>
      <c r="C97" s="54"/>
      <c r="D97" s="90"/>
      <c r="E97" s="88" t="s">
        <v>435</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9"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447</v>
      </c>
      <c r="D2" s="81" t="s">
        <v>448</v>
      </c>
      <c r="H2" s="82"/>
      <c r="T2" s="82"/>
    </row>
    <row r="3" spans="2:29">
      <c r="B3" s="76" t="s">
        <v>221</v>
      </c>
      <c r="C3" s="76" t="s">
        <v>577</v>
      </c>
      <c r="D3" s="76" t="s">
        <v>578</v>
      </c>
      <c r="E3" s="88" t="s">
        <v>228</v>
      </c>
      <c r="F3" s="4" t="s">
        <v>224</v>
      </c>
      <c r="AC3" t="s">
        <v>224</v>
      </c>
    </row>
    <row r="4" spans="2:29">
      <c r="B4" s="75" t="s">
        <v>222</v>
      </c>
      <c r="C4" s="54" t="s">
        <v>160</v>
      </c>
      <c r="D4" s="91" t="s">
        <v>451</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452</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v>
      </c>
      <c r="E9" s="77" t="str">
        <f t="shared" si="0"/>
        <v>"[ECOSYSTEM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v>
      </c>
      <c r="F9" s="54" t="s">
        <v>224</v>
      </c>
    </row>
    <row r="10" spans="2:29">
      <c r="B10" s="75" t="s">
        <v>222</v>
      </c>
      <c r="C10" s="54" t="s">
        <v>170</v>
      </c>
      <c r="D10" s="91" t="s">
        <v>453</v>
      </c>
      <c r="E10" s="77" t="str">
        <f t="shared" si="0"/>
        <v>"[PERSONA RULE] Act as a professional Tech Product Manager writing clear Jira tickets | " &amp;</v>
      </c>
      <c r="F10" s="54" t="s">
        <v>224</v>
      </c>
    </row>
    <row r="11" spans="2:29">
      <c r="B11" s="75" t="s">
        <v>222</v>
      </c>
      <c r="C11" s="54" t="s">
        <v>172</v>
      </c>
      <c r="D11" s="91" t="s">
        <v>391</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489</v>
      </c>
      <c r="D12" s="91" t="s">
        <v>481</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591</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667</v>
      </c>
      <c r="D16" s="91" t="s">
        <v>458</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666</v>
      </c>
      <c r="D17" s="91" t="s">
        <v>668</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459</v>
      </c>
      <c r="E18" s="77" t="str">
        <f t="shared" si="0"/>
        <v>"[CODE QUALITY RULE] Code MUST be clean, readable, and production-like | " &amp;</v>
      </c>
      <c r="F18" s="54" t="s">
        <v>224</v>
      </c>
    </row>
    <row r="19" spans="2:6">
      <c r="B19" s="54" t="s">
        <v>271</v>
      </c>
      <c r="C19" s="54" t="s">
        <v>188</v>
      </c>
      <c r="D19" s="91" t="s">
        <v>665</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664</v>
      </c>
      <c r="E20" s="77" t="str">
        <f t="shared" si="0"/>
        <v>"[DATA TYPE RULE] Explicit casting required before calculations if the programming language requires it. | " &amp;</v>
      </c>
      <c r="F20" s="54" t="s">
        <v>224</v>
      </c>
    </row>
    <row r="21" spans="2:6">
      <c r="B21" s="54" t="s">
        <v>271</v>
      </c>
      <c r="C21" s="54" t="s">
        <v>190</v>
      </c>
      <c r="D21" s="91" t="s">
        <v>460</v>
      </c>
      <c r="E21" s="77" t="str">
        <f t="shared" si="0"/>
        <v>"[DATA ROBUSTNESS RULE] Handle missing or malformed data safely | " &amp;</v>
      </c>
      <c r="F21" s="54" t="s">
        <v>224</v>
      </c>
    </row>
    <row r="22" spans="2:6">
      <c r="B22" s="54" t="s">
        <v>271</v>
      </c>
      <c r="C22" s="54" t="s">
        <v>191</v>
      </c>
      <c r="D22" s="91" t="s">
        <v>663</v>
      </c>
      <c r="E22" s="77" t="str">
        <f t="shared" si="0"/>
        <v>"[BOOLEAN HANDLING RULE] Normalize boolean values before comparison if the programming language requires it. | " &amp;</v>
      </c>
      <c r="F22" s="54" t="s">
        <v>224</v>
      </c>
    </row>
    <row r="23" spans="2:6">
      <c r="B23" s="54" t="s">
        <v>271</v>
      </c>
      <c r="C23" s="54" t="s">
        <v>192</v>
      </c>
      <c r="D23" s="91" t="s">
        <v>398</v>
      </c>
      <c r="E23" s="77" t="str">
        <f t="shared" si="0"/>
        <v>"[DATA CONSISTENCY RULE] Respect dataset schema | " &amp;</v>
      </c>
      <c r="F23" s="54" t="s">
        <v>224</v>
      </c>
    </row>
    <row r="24" spans="2:6">
      <c r="B24" s="54" t="s">
        <v>271</v>
      </c>
      <c r="C24" s="54" t="s">
        <v>454</v>
      </c>
      <c r="D24" s="91" t="s">
        <v>455</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670</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401</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488</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456</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461</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408</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462</v>
      </c>
      <c r="E33" s="77" t="str">
        <f t="shared" si="0"/>
        <v>"[OUTPUT] Only header, dataset summary or statement (if any), the defined sections, and footer | " &amp;</v>
      </c>
      <c r="F33" s="54" t="s">
        <v>224</v>
      </c>
    </row>
    <row r="34" spans="2:6">
      <c r="B34" s="54" t="s">
        <v>271</v>
      </c>
      <c r="C34" s="54" t="s">
        <v>220</v>
      </c>
      <c r="D34" s="91" t="s">
        <v>463</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464</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449</v>
      </c>
      <c r="C45" s="74"/>
      <c r="E45" s="86"/>
    </row>
    <row r="46" spans="2:6">
      <c r="B46" s="76" t="s">
        <v>264</v>
      </c>
      <c r="C46" s="76" t="s">
        <v>577</v>
      </c>
      <c r="D46" s="76" t="s">
        <v>578</v>
      </c>
      <c r="E46" s="88" t="s">
        <v>265</v>
      </c>
      <c r="F46" s="32" t="s">
        <v>224</v>
      </c>
    </row>
    <row r="47" spans="2:6">
      <c r="B47" s="54" t="s">
        <v>222</v>
      </c>
      <c r="C47" s="54" t="s">
        <v>160</v>
      </c>
      <c r="D47" s="91" t="s">
        <v>451</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465</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311</v>
      </c>
      <c r="D49" s="91" t="s">
        <v>165</v>
      </c>
      <c r="E49" s="77" t="str">
        <f t="shared" si="1"/>
        <v>"[PROJECT] " &amp; I9 &amp; " | " &amp;</v>
      </c>
      <c r="F49" s="32" t="s">
        <v>224</v>
      </c>
    </row>
    <row r="50" spans="2:6">
      <c r="B50" s="54" t="s">
        <v>222</v>
      </c>
      <c r="C50" s="54" t="s">
        <v>253</v>
      </c>
      <c r="D50" s="91" t="s">
        <v>710</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466</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v>
      </c>
      <c r="E54" s="77" t="str">
        <f t="shared" si="1"/>
        <v>"[ECOSYSTEM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 &amp;</v>
      </c>
      <c r="F54" s="32" t="s">
        <v>224</v>
      </c>
    </row>
    <row r="55" spans="2:6">
      <c r="B55" s="54" t="s">
        <v>222</v>
      </c>
      <c r="C55" s="54" t="s">
        <v>215</v>
      </c>
      <c r="D55" s="91" t="s">
        <v>592</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467</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489</v>
      </c>
      <c r="D57" s="91" t="s">
        <v>481</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669</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457</v>
      </c>
      <c r="D61" s="91" t="s">
        <v>468</v>
      </c>
      <c r="E61" s="77" t="str">
        <f t="shared" si="1"/>
        <v>"[CRITICAL OUTPUT RULE] Output MUST match real execution - Convert sets to sorted lists before printing | " &amp;</v>
      </c>
      <c r="F61" s="32" t="s">
        <v>224</v>
      </c>
    </row>
    <row r="62" spans="2:6">
      <c r="B62" s="54" t="s">
        <v>271</v>
      </c>
      <c r="C62" s="54" t="s">
        <v>179</v>
      </c>
      <c r="D62" s="91" t="s">
        <v>469</v>
      </c>
      <c r="E62" s="77" t="str">
        <f t="shared" si="1"/>
        <v>"[FUNCTION RULE] " &amp; IF(G9="Beginner", "Avoid complex structure. ", IF(G9="Intermediate", "Functions optional. ", "Use structured modular functions. ")) &amp; " | " &amp;</v>
      </c>
      <c r="F62" s="32" t="s">
        <v>224</v>
      </c>
    </row>
    <row r="63" spans="2:6">
      <c r="B63" s="54" t="s">
        <v>271</v>
      </c>
      <c r="C63" s="54" t="s">
        <v>454</v>
      </c>
      <c r="D63" s="91" t="s">
        <v>470</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471</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472</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473</v>
      </c>
      <c r="E66" s="77" t="str">
        <f t="shared" si="1"/>
        <v>"[CODE QUALITY RULE] Code MUST be clean and realistic | " &amp;</v>
      </c>
      <c r="F66" s="32" t="s">
        <v>224</v>
      </c>
    </row>
    <row r="67" spans="2:6">
      <c r="B67" s="54" t="s">
        <v>271</v>
      </c>
      <c r="C67" s="54" t="s">
        <v>190</v>
      </c>
      <c r="D67" s="91" t="s">
        <v>417</v>
      </c>
      <c r="E67" s="77" t="str">
        <f t="shared" si="1"/>
        <v>"[DATA ROBUSTNESS RULE] Handle real-world data safely | " &amp;</v>
      </c>
      <c r="F67" s="32" t="s">
        <v>224</v>
      </c>
    </row>
    <row r="68" spans="2:6">
      <c r="B68" s="54" t="s">
        <v>271</v>
      </c>
      <c r="C68" s="54" t="s">
        <v>207</v>
      </c>
      <c r="D68" s="91" t="s">
        <v>474</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475</v>
      </c>
      <c r="E70" s="77" t="str">
        <f t="shared" si="1"/>
        <v>"[EXECUTION RULE] Code MUST run correctly | " &amp;</v>
      </c>
      <c r="F70" s="32" t="s">
        <v>224</v>
      </c>
    </row>
    <row r="71" spans="2:6">
      <c r="B71" s="54" t="s">
        <v>271</v>
      </c>
      <c r="C71" s="54" t="s">
        <v>216</v>
      </c>
      <c r="D71" s="91" t="s">
        <v>476</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450</v>
      </c>
    </row>
    <row r="80" spans="2:6">
      <c r="B80" s="76" t="s">
        <v>221</v>
      </c>
      <c r="C80" s="76" t="s">
        <v>577</v>
      </c>
      <c r="D80" s="76" t="s">
        <v>578</v>
      </c>
      <c r="E80" s="89" t="s">
        <v>234</v>
      </c>
      <c r="F80" s="54" t="s">
        <v>224</v>
      </c>
    </row>
    <row r="81" spans="2:6">
      <c r="B81" s="54" t="s">
        <v>222</v>
      </c>
      <c r="C81" s="54" t="s">
        <v>477</v>
      </c>
      <c r="D81" s="91" t="s">
        <v>478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479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715</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480</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1"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593</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661</v>
      </c>
      <c r="D90" s="91" t="str">
        <f>Variables!E57 &amp; " | " &amp; CHAR(34) &amp; " &amp;"</f>
        <v>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 &amp;</v>
      </c>
      <c r="E90" s="17" t="str">
        <f t="shared" si="2"/>
        <v>"[CODE_QUALITY_PROTOCOL]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 &amp;</v>
      </c>
      <c r="F90" s="54" t="s">
        <v>224</v>
      </c>
    </row>
    <row r="91" spans="2:6">
      <c r="B91" s="54" t="s">
        <v>271</v>
      </c>
      <c r="C91" s="54" t="s">
        <v>238</v>
      </c>
      <c r="D91" s="91" t="s">
        <v>482</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483</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484</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485</v>
      </c>
      <c r="D94" s="91" t="s">
        <v>486</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328</v>
      </c>
      <c r="D95" s="91" t="s">
        <v>487</v>
      </c>
      <c r="E95" s="17" t="str">
        <f t="shared" si="2"/>
        <v>"[FOOTER RULE] End your response with: '--- ⚡ *Coding5s Mentor System — Eliminating Epistemic Debt &amp; Shipping to Production*'",</v>
      </c>
      <c r="F95" s="54" t="s">
        <v>224</v>
      </c>
    </row>
    <row r="96" spans="2:6">
      <c r="B96" s="54"/>
      <c r="C96" s="54"/>
      <c r="D96" s="91"/>
      <c r="E96" s="89" t="s">
        <v>435</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548</v>
      </c>
      <c r="C2" t="s">
        <v>519</v>
      </c>
      <c r="D2" t="s">
        <v>23</v>
      </c>
      <c r="E2" t="s">
        <v>549</v>
      </c>
    </row>
    <row r="3" spans="2:5">
      <c r="B3" t="s">
        <v>520</v>
      </c>
      <c r="C3" t="s">
        <v>18</v>
      </c>
      <c r="D3" t="s">
        <v>521</v>
      </c>
      <c r="E3" t="s">
        <v>550</v>
      </c>
    </row>
    <row r="4" spans="2:5">
      <c r="B4" t="s">
        <v>522</v>
      </c>
      <c r="C4" t="s">
        <v>540</v>
      </c>
      <c r="D4" t="s">
        <v>521</v>
      </c>
      <c r="E4" t="s">
        <v>551</v>
      </c>
    </row>
    <row r="5" spans="2:5">
      <c r="B5" t="s">
        <v>523</v>
      </c>
      <c r="C5" t="s">
        <v>21</v>
      </c>
      <c r="D5" t="s">
        <v>521</v>
      </c>
      <c r="E5" t="s">
        <v>552</v>
      </c>
    </row>
    <row r="6" spans="2:5">
      <c r="B6" t="s">
        <v>524</v>
      </c>
      <c r="C6" t="s">
        <v>22</v>
      </c>
      <c r="D6" t="s">
        <v>521</v>
      </c>
      <c r="E6" t="s">
        <v>553</v>
      </c>
    </row>
    <row r="7" spans="2:5">
      <c r="B7" t="s">
        <v>525</v>
      </c>
      <c r="C7" t="s">
        <v>23</v>
      </c>
      <c r="D7" t="s">
        <v>521</v>
      </c>
      <c r="E7" t="s">
        <v>554</v>
      </c>
    </row>
    <row r="8" spans="2:5">
      <c r="B8" t="s">
        <v>526</v>
      </c>
      <c r="C8" t="s">
        <v>24</v>
      </c>
      <c r="D8" t="s">
        <v>521</v>
      </c>
      <c r="E8" t="s">
        <v>555</v>
      </c>
    </row>
    <row r="9" spans="2:5">
      <c r="B9" t="s">
        <v>527</v>
      </c>
      <c r="C9" t="s">
        <v>25</v>
      </c>
      <c r="D9" t="s">
        <v>521</v>
      </c>
      <c r="E9" t="s">
        <v>556</v>
      </c>
    </row>
    <row r="10" spans="2:5">
      <c r="B10" t="s">
        <v>528</v>
      </c>
      <c r="C10" t="s">
        <v>45</v>
      </c>
      <c r="D10" t="s">
        <v>529</v>
      </c>
      <c r="E10" t="s">
        <v>557</v>
      </c>
    </row>
    <row r="11" spans="2:5">
      <c r="B11" t="s">
        <v>530</v>
      </c>
      <c r="C11" t="s">
        <v>531</v>
      </c>
      <c r="D11" t="s">
        <v>529</v>
      </c>
      <c r="E11" t="s">
        <v>558</v>
      </c>
    </row>
    <row r="12" spans="2:5">
      <c r="B12" t="s">
        <v>532</v>
      </c>
      <c r="C12" t="s">
        <v>541</v>
      </c>
      <c r="D12" t="s">
        <v>529</v>
      </c>
      <c r="E12" t="s">
        <v>559</v>
      </c>
    </row>
    <row r="13" spans="2:5">
      <c r="B13" t="s">
        <v>533</v>
      </c>
      <c r="C13" t="s">
        <v>496</v>
      </c>
      <c r="D13" t="s">
        <v>529</v>
      </c>
      <c r="E13" t="s">
        <v>560</v>
      </c>
    </row>
    <row r="14" spans="2:5">
      <c r="B14" t="s">
        <v>534</v>
      </c>
      <c r="C14" t="s">
        <v>542</v>
      </c>
      <c r="D14" t="s">
        <v>521</v>
      </c>
      <c r="E14" t="s">
        <v>561</v>
      </c>
    </row>
    <row r="15" spans="2:5">
      <c r="B15" t="s">
        <v>535</v>
      </c>
      <c r="C15" t="s">
        <v>543</v>
      </c>
      <c r="D15" t="s">
        <v>521</v>
      </c>
      <c r="E15" t="s">
        <v>562</v>
      </c>
    </row>
    <row r="16" spans="2:5">
      <c r="B16" t="s">
        <v>536</v>
      </c>
      <c r="C16" t="s">
        <v>544</v>
      </c>
      <c r="D16" t="s">
        <v>521</v>
      </c>
      <c r="E16" t="s">
        <v>563</v>
      </c>
    </row>
    <row r="17" spans="2:5">
      <c r="B17" t="s">
        <v>537</v>
      </c>
      <c r="C17" t="s">
        <v>545</v>
      </c>
      <c r="D17" t="s">
        <v>521</v>
      </c>
      <c r="E17" t="s">
        <v>564</v>
      </c>
    </row>
    <row r="18" spans="2:5">
      <c r="B18" t="s">
        <v>538</v>
      </c>
      <c r="C18" t="s">
        <v>546</v>
      </c>
      <c r="D18" t="s">
        <v>521</v>
      </c>
      <c r="E18" t="s">
        <v>565</v>
      </c>
    </row>
    <row r="19" spans="2:5">
      <c r="B19" t="s">
        <v>539</v>
      </c>
      <c r="C19" t="s">
        <v>547</v>
      </c>
      <c r="D19" t="s">
        <v>521</v>
      </c>
      <c r="E19" t="s">
        <v>566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500</v>
      </c>
      <c r="C2" s="106"/>
      <c r="D2" s="106"/>
      <c r="E2" s="106"/>
      <c r="F2" s="106"/>
      <c r="G2" s="106"/>
      <c r="H2" s="106"/>
      <c r="I2" s="106"/>
      <c r="J2" s="106"/>
      <c r="K2" s="107"/>
    </row>
    <row r="3" spans="2:11">
      <c r="B3" s="108"/>
      <c r="K3" s="109"/>
    </row>
    <row r="4" spans="2:11">
      <c r="B4" s="108" t="s">
        <v>501</v>
      </c>
      <c r="K4" s="109"/>
    </row>
    <row r="5" spans="2:11">
      <c r="B5" s="108"/>
      <c r="K5" s="109"/>
    </row>
    <row r="6" spans="2:11">
      <c r="B6" s="110" t="s">
        <v>502</v>
      </c>
      <c r="K6" s="109"/>
    </row>
    <row r="7" spans="2:11">
      <c r="B7" s="110" t="s">
        <v>503</v>
      </c>
      <c r="K7" s="109"/>
    </row>
    <row r="8" spans="2:11">
      <c r="B8" s="110" t="s">
        <v>504</v>
      </c>
      <c r="K8" s="109"/>
    </row>
    <row r="9" spans="2:11">
      <c r="B9" s="110" t="s">
        <v>505</v>
      </c>
      <c r="K9" s="109"/>
    </row>
    <row r="10" spans="2:11">
      <c r="B10" s="110" t="s">
        <v>506</v>
      </c>
      <c r="K10" s="109"/>
    </row>
    <row r="11" spans="2:11">
      <c r="B11" s="110" t="s">
        <v>507</v>
      </c>
      <c r="K11" s="109"/>
    </row>
    <row r="12" spans="2:11">
      <c r="B12" s="110"/>
      <c r="K12" s="109"/>
    </row>
    <row r="13" spans="2:11">
      <c r="B13" s="110" t="s">
        <v>508</v>
      </c>
      <c r="K13" s="109"/>
    </row>
    <row r="14" spans="2:11">
      <c r="B14" s="110" t="s">
        <v>509</v>
      </c>
      <c r="K14" s="109"/>
    </row>
    <row r="15" spans="2:11">
      <c r="B15" s="110"/>
      <c r="K15" s="109"/>
    </row>
    <row r="16" spans="2:11">
      <c r="B16" s="110" t="s">
        <v>510</v>
      </c>
      <c r="K16" s="109"/>
    </row>
    <row r="17" spans="2:11">
      <c r="B17" s="110" t="s">
        <v>511</v>
      </c>
      <c r="K17" s="109"/>
    </row>
    <row r="18" spans="2:11">
      <c r="B18" s="110" t="s">
        <v>512</v>
      </c>
      <c r="K18" s="109"/>
    </row>
    <row r="19" spans="2:11">
      <c r="B19" s="110" t="s">
        <v>513</v>
      </c>
      <c r="K19" s="109"/>
    </row>
    <row r="20" spans="2:11">
      <c r="B20" s="110" t="s">
        <v>514</v>
      </c>
      <c r="K20" s="109"/>
    </row>
    <row r="21" spans="2:11">
      <c r="B21" s="110" t="s">
        <v>515</v>
      </c>
      <c r="K21" s="109"/>
    </row>
    <row r="22" spans="2:11">
      <c r="B22" s="110" t="s">
        <v>516</v>
      </c>
      <c r="K22" s="109"/>
    </row>
    <row r="23" spans="2:11">
      <c r="B23" s="110"/>
      <c r="K23" s="109"/>
    </row>
    <row r="24" spans="2:11">
      <c r="B24" s="110" t="s">
        <v>517</v>
      </c>
      <c r="D24" s="114" t="s">
        <v>518</v>
      </c>
      <c r="K24" s="109"/>
    </row>
    <row r="25" spans="2:11">
      <c r="B25" s="111" t="s">
        <v>706</v>
      </c>
      <c r="C25" s="112"/>
      <c r="D25" s="135" t="s">
        <v>707</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567</v>
      </c>
    </row>
    <row r="3" spans="1:1">
      <c r="A3" t="s">
        <v>568</v>
      </c>
    </row>
    <row r="4" spans="1:1">
      <c r="A4" s="116"/>
    </row>
    <row r="5" spans="1:1">
      <c r="A5" s="117" t="s">
        <v>569</v>
      </c>
    </row>
    <row r="6" spans="1:1">
      <c r="A6" s="118"/>
    </row>
    <row r="7" spans="1:1">
      <c r="A7" s="119" t="s">
        <v>570</v>
      </c>
    </row>
    <row r="8" spans="1:1">
      <c r="A8" s="119" t="s">
        <v>571</v>
      </c>
    </row>
    <row r="9" spans="1:1">
      <c r="A9" s="116"/>
    </row>
    <row r="10" spans="1:1">
      <c r="A10" s="117" t="s">
        <v>572</v>
      </c>
    </row>
    <row r="11" spans="1:1">
      <c r="A11" s="118"/>
    </row>
    <row r="12" spans="1:1">
      <c r="A12" s="118" t="s">
        <v>573</v>
      </c>
    </row>
    <row r="13" spans="1:1">
      <c r="A13" s="118" t="s">
        <v>574</v>
      </c>
    </row>
    <row r="14" spans="1:1">
      <c r="A14" s="118" t="s">
        <v>575</v>
      </c>
    </row>
    <row r="15" spans="1:1">
      <c r="A15" s="116"/>
    </row>
    <row r="16" spans="1:1">
      <c r="A16" s="117"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2026-08-23T22:00:42Z</dcterms:modified>
</cp:coreProperties>
</file>