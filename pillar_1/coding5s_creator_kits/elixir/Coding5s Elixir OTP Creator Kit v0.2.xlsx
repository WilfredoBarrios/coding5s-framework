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
    </mc:Choice>
  </mc:AlternateContent>
  <xr:revisionPtr revIDLastSave="0" documentId="13_ncr:1_{6822F31F-80BB-4985-B5FF-7505BF2AFC58}" xr6:coauthVersionLast="47" xr6:coauthVersionMax="47" xr10:uidLastSave="{00000000-0000-0000-0000-000000000000}"/>
  <workbookProtection workbookAlgorithmName="SHA-512" workbookHashValue="Txvcg3AnjdTdO64YgSAlVsU0/fhFfPi36ctYGVirzQdDG1rPIJueIlYAjhUYgnVn+mgXEE6wNAab0k86NmeY/A==" workbookSaltValue="pqRRyGiOHAocTfRGGx5JEw==" workbookSpinCount="100000" lockStructure="1"/>
  <bookViews>
    <workbookView xWindow="28680" yWindow="75" windowWidth="29040" windowHeight="15720" xr2:uid="{A9A38741-1811-4719-B778-C7D2DA3EDF0A}"/>
  </bookViews>
  <sheets>
    <sheet name="PromptGenerator" sheetId="1" r:id="rId1"/>
    <sheet name="Variables" sheetId="24" r:id="rId2"/>
    <sheet name="FGen_S1" sheetId="2" r:id="rId3"/>
    <sheet name="FGen_S2" sheetId="15" r:id="rId4"/>
    <sheet name="FGen_S3" sheetId="16" r:id="rId5"/>
    <sheet name="FGen_S4" sheetId="17" r:id="rId6"/>
    <sheet name="FGen_S5" sheetId="18" r:id="rId7"/>
    <sheet name="CellReference" sheetId="22" r:id="rId8"/>
    <sheet name="License" sheetId="19" r:id="rId9"/>
    <sheet name="HowTo" sheetId="23"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10" i="1" l="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9" i="1"/>
  <c r="D14" i="2"/>
  <c r="W10" i="1" l="1"/>
  <c r="W11" i="1"/>
  <c r="W12" i="1"/>
  <c r="W13" i="1"/>
  <c r="W14" i="1"/>
  <c r="W15" i="1"/>
  <c r="W17" i="1"/>
  <c r="W18" i="1"/>
  <c r="W19" i="1"/>
  <c r="W20" i="1"/>
  <c r="W21" i="1"/>
  <c r="W22" i="1"/>
  <c r="W23" i="1"/>
  <c r="W25" i="1"/>
  <c r="W26" i="1"/>
  <c r="W27" i="1"/>
  <c r="W28" i="1"/>
  <c r="W29" i="1"/>
  <c r="W30" i="1"/>
  <c r="W31" i="1"/>
  <c r="W33" i="1"/>
  <c r="W34" i="1"/>
  <c r="W35" i="1"/>
  <c r="W37" i="1"/>
  <c r="W38" i="1"/>
  <c r="W39" i="1"/>
  <c r="W40" i="1"/>
  <c r="W41" i="1"/>
  <c r="W43" i="1"/>
  <c r="W44" i="1"/>
  <c r="W45" i="1"/>
  <c r="W46" i="1"/>
  <c r="W48" i="1"/>
  <c r="W49" i="1"/>
  <c r="W50" i="1"/>
  <c r="W51" i="1"/>
  <c r="W52" i="1"/>
  <c r="W53" i="1"/>
  <c r="W54" i="1"/>
  <c r="W56" i="1"/>
  <c r="W57" i="1"/>
  <c r="W58" i="1"/>
  <c r="W59" i="1"/>
  <c r="W60" i="1"/>
  <c r="W62" i="1"/>
  <c r="W63" i="1"/>
  <c r="W64" i="1"/>
  <c r="W65" i="1"/>
  <c r="W67" i="1"/>
  <c r="W68" i="1"/>
  <c r="W69" i="1"/>
  <c r="W70" i="1"/>
  <c r="W71" i="1"/>
  <c r="W72" i="1"/>
  <c r="W74" i="1"/>
  <c r="W75" i="1"/>
  <c r="W76" i="1"/>
  <c r="W77" i="1"/>
  <c r="W78" i="1"/>
  <c r="W79" i="1"/>
  <c r="W80" i="1"/>
  <c r="W82" i="1"/>
  <c r="W83" i="1"/>
  <c r="W84"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9" i="1"/>
  <c r="AD10" i="1"/>
  <c r="AD11" i="1"/>
  <c r="AD12" i="1"/>
  <c r="AD13" i="1"/>
  <c r="AD14" i="1"/>
  <c r="AD15" i="1"/>
  <c r="AD17" i="1"/>
  <c r="AD18" i="1"/>
  <c r="AD19" i="1"/>
  <c r="AD20" i="1"/>
  <c r="AD21" i="1"/>
  <c r="AD22" i="1"/>
  <c r="AD23" i="1"/>
  <c r="AD25" i="1"/>
  <c r="AD26" i="1"/>
  <c r="AD27" i="1"/>
  <c r="AD28" i="1"/>
  <c r="AD29" i="1"/>
  <c r="AD30" i="1"/>
  <c r="AD31" i="1"/>
  <c r="AD33" i="1"/>
  <c r="AD34" i="1"/>
  <c r="AD35" i="1"/>
  <c r="AD37" i="1"/>
  <c r="AD38" i="1"/>
  <c r="AD39" i="1"/>
  <c r="AD40" i="1"/>
  <c r="AD41" i="1"/>
  <c r="AD43" i="1"/>
  <c r="AD44" i="1"/>
  <c r="AD45" i="1"/>
  <c r="AD46" i="1"/>
  <c r="AD48" i="1"/>
  <c r="AD49" i="1"/>
  <c r="AD50" i="1"/>
  <c r="AD51" i="1"/>
  <c r="AD52" i="1"/>
  <c r="AD53" i="1"/>
  <c r="AD54" i="1"/>
  <c r="AD56" i="1"/>
  <c r="AD57" i="1"/>
  <c r="AD58" i="1"/>
  <c r="AD59" i="1"/>
  <c r="AD60" i="1"/>
  <c r="AD62" i="1"/>
  <c r="AD63" i="1"/>
  <c r="AD64" i="1"/>
  <c r="AD65" i="1"/>
  <c r="AD67" i="1"/>
  <c r="AD68" i="1"/>
  <c r="AD69" i="1"/>
  <c r="AD70" i="1"/>
  <c r="AD71" i="1"/>
  <c r="AD72" i="1"/>
  <c r="AD74" i="1"/>
  <c r="AD75" i="1"/>
  <c r="AD76" i="1"/>
  <c r="AD77" i="1"/>
  <c r="AD78" i="1"/>
  <c r="AD79" i="1"/>
  <c r="AD80" i="1"/>
  <c r="AD82" i="1"/>
  <c r="AD83" i="1"/>
  <c r="AD84"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X10" i="1"/>
  <c r="X11" i="1"/>
  <c r="X12" i="1"/>
  <c r="X13" i="1"/>
  <c r="X14" i="1"/>
  <c r="X15" i="1"/>
  <c r="X17" i="1"/>
  <c r="X18" i="1"/>
  <c r="X19" i="1"/>
  <c r="X20" i="1"/>
  <c r="X21" i="1"/>
  <c r="X22" i="1"/>
  <c r="X23" i="1"/>
  <c r="X25" i="1"/>
  <c r="X26" i="1"/>
  <c r="X27" i="1"/>
  <c r="X28" i="1"/>
  <c r="X29" i="1"/>
  <c r="X30" i="1"/>
  <c r="X31" i="1"/>
  <c r="X33" i="1"/>
  <c r="X34" i="1"/>
  <c r="X35" i="1"/>
  <c r="X37" i="1"/>
  <c r="X38" i="1"/>
  <c r="X39" i="1"/>
  <c r="X40" i="1"/>
  <c r="X41" i="1"/>
  <c r="X43" i="1"/>
  <c r="X44" i="1"/>
  <c r="X45" i="1"/>
  <c r="X46" i="1"/>
  <c r="X48" i="1"/>
  <c r="X49" i="1"/>
  <c r="X50" i="1"/>
  <c r="X51" i="1"/>
  <c r="X52" i="1"/>
  <c r="X53" i="1"/>
  <c r="X54" i="1"/>
  <c r="X56" i="1"/>
  <c r="X57" i="1"/>
  <c r="X58" i="1"/>
  <c r="X59" i="1"/>
  <c r="X60" i="1"/>
  <c r="X62" i="1"/>
  <c r="X63" i="1"/>
  <c r="X64" i="1"/>
  <c r="X65" i="1"/>
  <c r="X67" i="1"/>
  <c r="X68" i="1"/>
  <c r="X69" i="1"/>
  <c r="X70" i="1"/>
  <c r="X71" i="1"/>
  <c r="X72" i="1"/>
  <c r="X74" i="1"/>
  <c r="X75" i="1"/>
  <c r="X76" i="1"/>
  <c r="X77" i="1"/>
  <c r="X78" i="1"/>
  <c r="X79" i="1"/>
  <c r="X80" i="1"/>
  <c r="X82" i="1"/>
  <c r="X83" i="1"/>
  <c r="X84"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9" i="1"/>
  <c r="D90" i="18"/>
  <c r="U10" i="1"/>
  <c r="U11" i="1"/>
  <c r="U12" i="1"/>
  <c r="U13" i="1"/>
  <c r="U14" i="1"/>
  <c r="U15" i="1"/>
  <c r="U17" i="1"/>
  <c r="U18" i="1"/>
  <c r="U19" i="1"/>
  <c r="U20" i="1"/>
  <c r="U21" i="1"/>
  <c r="U22" i="1"/>
  <c r="U23" i="1"/>
  <c r="U25" i="1"/>
  <c r="U26" i="1"/>
  <c r="U27" i="1"/>
  <c r="U28" i="1"/>
  <c r="U29" i="1"/>
  <c r="U30" i="1"/>
  <c r="U31" i="1"/>
  <c r="U33" i="1"/>
  <c r="U34" i="1"/>
  <c r="U35" i="1"/>
  <c r="U37" i="1"/>
  <c r="U38" i="1"/>
  <c r="U39" i="1"/>
  <c r="U40" i="1"/>
  <c r="U41" i="1"/>
  <c r="U43" i="1"/>
  <c r="U44" i="1"/>
  <c r="U45" i="1"/>
  <c r="U46" i="1"/>
  <c r="U48" i="1"/>
  <c r="U49" i="1"/>
  <c r="U50" i="1"/>
  <c r="U51" i="1"/>
  <c r="U52" i="1"/>
  <c r="U53" i="1"/>
  <c r="U54" i="1"/>
  <c r="U56" i="1"/>
  <c r="U57" i="1"/>
  <c r="U58" i="1"/>
  <c r="U59" i="1"/>
  <c r="U60" i="1"/>
  <c r="U62" i="1"/>
  <c r="U63" i="1"/>
  <c r="U64" i="1"/>
  <c r="U65" i="1"/>
  <c r="U67" i="1"/>
  <c r="U68" i="1"/>
  <c r="U69" i="1"/>
  <c r="U70" i="1"/>
  <c r="U71" i="1"/>
  <c r="U72" i="1"/>
  <c r="U74" i="1"/>
  <c r="U75" i="1"/>
  <c r="U76" i="1"/>
  <c r="U77" i="1"/>
  <c r="U78" i="1"/>
  <c r="U79" i="1"/>
  <c r="U80" i="1"/>
  <c r="U82" i="1"/>
  <c r="U83" i="1"/>
  <c r="U84"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9" i="1"/>
  <c r="AC10" i="1"/>
  <c r="AC11" i="1"/>
  <c r="AC12" i="1"/>
  <c r="AC13" i="1"/>
  <c r="AC14" i="1"/>
  <c r="AC15" i="1"/>
  <c r="AC17" i="1"/>
  <c r="AC18" i="1"/>
  <c r="AC19" i="1"/>
  <c r="AC20" i="1"/>
  <c r="AC21" i="1"/>
  <c r="AC22" i="1"/>
  <c r="AC23" i="1"/>
  <c r="AC25" i="1"/>
  <c r="AC26" i="1"/>
  <c r="AC27" i="1"/>
  <c r="AC28" i="1"/>
  <c r="AC29" i="1"/>
  <c r="AC30" i="1"/>
  <c r="AC31" i="1"/>
  <c r="AC33" i="1"/>
  <c r="AC34" i="1"/>
  <c r="AC35" i="1"/>
  <c r="AC37" i="1"/>
  <c r="AC38" i="1"/>
  <c r="AC39" i="1"/>
  <c r="AC40" i="1"/>
  <c r="AC41" i="1"/>
  <c r="AC43" i="1"/>
  <c r="AC44" i="1"/>
  <c r="AC45" i="1"/>
  <c r="AC46" i="1"/>
  <c r="AC48" i="1"/>
  <c r="AC49" i="1"/>
  <c r="AC50" i="1"/>
  <c r="AC51" i="1"/>
  <c r="AC52" i="1"/>
  <c r="AC53" i="1"/>
  <c r="AC54" i="1"/>
  <c r="AC56" i="1"/>
  <c r="AC57" i="1"/>
  <c r="AC58" i="1"/>
  <c r="AC59" i="1"/>
  <c r="AC60" i="1"/>
  <c r="AC62" i="1"/>
  <c r="AC63" i="1"/>
  <c r="AC64" i="1"/>
  <c r="AC65" i="1"/>
  <c r="AC67" i="1"/>
  <c r="AC68" i="1"/>
  <c r="AC69" i="1"/>
  <c r="AC70" i="1"/>
  <c r="AC71" i="1"/>
  <c r="AC72" i="1"/>
  <c r="AC74" i="1"/>
  <c r="AC75" i="1"/>
  <c r="AC76" i="1"/>
  <c r="AC77" i="1"/>
  <c r="AC78" i="1"/>
  <c r="AC79" i="1"/>
  <c r="AC80" i="1"/>
  <c r="AC82" i="1"/>
  <c r="AC83" i="1"/>
  <c r="AC84"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10" i="1"/>
  <c r="T11" i="1"/>
  <c r="T12" i="1"/>
  <c r="T13" i="1"/>
  <c r="T14" i="1"/>
  <c r="T15" i="1"/>
  <c r="T17" i="1"/>
  <c r="T18" i="1"/>
  <c r="T19" i="1"/>
  <c r="T20" i="1"/>
  <c r="T21" i="1"/>
  <c r="T22" i="1"/>
  <c r="T23" i="1"/>
  <c r="T25" i="1"/>
  <c r="T26" i="1"/>
  <c r="T27" i="1"/>
  <c r="T28" i="1"/>
  <c r="T29" i="1"/>
  <c r="T30" i="1"/>
  <c r="T31" i="1"/>
  <c r="T33" i="1"/>
  <c r="T34" i="1"/>
  <c r="T35" i="1"/>
  <c r="T37" i="1"/>
  <c r="T38" i="1"/>
  <c r="T39" i="1"/>
  <c r="T40" i="1"/>
  <c r="T41" i="1"/>
  <c r="T43" i="1"/>
  <c r="T44" i="1"/>
  <c r="T45" i="1"/>
  <c r="T46" i="1"/>
  <c r="T48" i="1"/>
  <c r="T49" i="1"/>
  <c r="T50" i="1"/>
  <c r="T51" i="1"/>
  <c r="T52" i="1"/>
  <c r="T53" i="1"/>
  <c r="T54" i="1"/>
  <c r="T56" i="1"/>
  <c r="T57" i="1"/>
  <c r="T58" i="1"/>
  <c r="T59" i="1"/>
  <c r="T60" i="1"/>
  <c r="T62" i="1"/>
  <c r="T63" i="1"/>
  <c r="T64" i="1"/>
  <c r="T65" i="1"/>
  <c r="T67" i="1"/>
  <c r="T68" i="1"/>
  <c r="T69" i="1"/>
  <c r="T70" i="1"/>
  <c r="T71" i="1"/>
  <c r="T72" i="1"/>
  <c r="T74" i="1"/>
  <c r="T75" i="1"/>
  <c r="T76" i="1"/>
  <c r="T77" i="1"/>
  <c r="T78" i="1"/>
  <c r="T79" i="1"/>
  <c r="T80" i="1"/>
  <c r="T82" i="1"/>
  <c r="T83" i="1"/>
  <c r="T84"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9" i="1"/>
  <c r="D91" i="17"/>
  <c r="D93" i="2"/>
  <c r="N10" i="1"/>
  <c r="N11" i="1"/>
  <c r="N12" i="1"/>
  <c r="N13" i="1"/>
  <c r="N14" i="1"/>
  <c r="N15" i="1"/>
  <c r="N17" i="1"/>
  <c r="N18" i="1"/>
  <c r="N19" i="1"/>
  <c r="N20" i="1"/>
  <c r="N21" i="1"/>
  <c r="N22" i="1"/>
  <c r="N23" i="1"/>
  <c r="N25" i="1"/>
  <c r="N26" i="1"/>
  <c r="N27" i="1"/>
  <c r="N28" i="1"/>
  <c r="N29" i="1"/>
  <c r="N30" i="1"/>
  <c r="N31" i="1"/>
  <c r="N33" i="1"/>
  <c r="N34" i="1"/>
  <c r="N35" i="1"/>
  <c r="N37" i="1"/>
  <c r="N38" i="1"/>
  <c r="N39" i="1"/>
  <c r="N40" i="1"/>
  <c r="N41" i="1"/>
  <c r="N43" i="1"/>
  <c r="N44" i="1"/>
  <c r="N45" i="1"/>
  <c r="N46" i="1"/>
  <c r="N48" i="1"/>
  <c r="N49" i="1"/>
  <c r="N50" i="1"/>
  <c r="N51" i="1"/>
  <c r="N52" i="1"/>
  <c r="N53" i="1"/>
  <c r="N54" i="1"/>
  <c r="N56" i="1"/>
  <c r="N57" i="1"/>
  <c r="N58" i="1"/>
  <c r="N59" i="1"/>
  <c r="N60" i="1"/>
  <c r="N62" i="1"/>
  <c r="N63" i="1"/>
  <c r="N64" i="1"/>
  <c r="N65" i="1"/>
  <c r="N67" i="1"/>
  <c r="N68" i="1"/>
  <c r="N69" i="1"/>
  <c r="N70" i="1"/>
  <c r="N71" i="1"/>
  <c r="N72" i="1"/>
  <c r="N74" i="1"/>
  <c r="N75" i="1"/>
  <c r="N76" i="1"/>
  <c r="N77" i="1"/>
  <c r="N78" i="1"/>
  <c r="N79" i="1"/>
  <c r="N80" i="1"/>
  <c r="N82" i="1"/>
  <c r="N83" i="1"/>
  <c r="N84"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9" i="1"/>
  <c r="AA10" i="1"/>
  <c r="AA11" i="1"/>
  <c r="AA12" i="1"/>
  <c r="AA13" i="1"/>
  <c r="AA14" i="1"/>
  <c r="AA15" i="1"/>
  <c r="AA17" i="1"/>
  <c r="AA18" i="1"/>
  <c r="AA19" i="1"/>
  <c r="AA20" i="1"/>
  <c r="AA21" i="1"/>
  <c r="AA22" i="1"/>
  <c r="AA23" i="1"/>
  <c r="AA25" i="1"/>
  <c r="AA26" i="1"/>
  <c r="AA27" i="1"/>
  <c r="AA28" i="1"/>
  <c r="AA29" i="1"/>
  <c r="AA30" i="1"/>
  <c r="AA31" i="1"/>
  <c r="AA33" i="1"/>
  <c r="AA34" i="1"/>
  <c r="AA35" i="1"/>
  <c r="AA37" i="1"/>
  <c r="AA38" i="1"/>
  <c r="AA39" i="1"/>
  <c r="AA40" i="1"/>
  <c r="AA41" i="1"/>
  <c r="AA43" i="1"/>
  <c r="AA44" i="1"/>
  <c r="AA45" i="1"/>
  <c r="AA46" i="1"/>
  <c r="AA48" i="1"/>
  <c r="AA49" i="1"/>
  <c r="AA50" i="1"/>
  <c r="AA51" i="1"/>
  <c r="AA52" i="1"/>
  <c r="AA53" i="1"/>
  <c r="AA54" i="1"/>
  <c r="AA56" i="1"/>
  <c r="AA57" i="1"/>
  <c r="AA58" i="1"/>
  <c r="AA59" i="1"/>
  <c r="AA60" i="1"/>
  <c r="AA62" i="1"/>
  <c r="AA63" i="1"/>
  <c r="AA64" i="1"/>
  <c r="AA65" i="1"/>
  <c r="AA67" i="1"/>
  <c r="AA68" i="1"/>
  <c r="AA69" i="1"/>
  <c r="AA70" i="1"/>
  <c r="AA71" i="1"/>
  <c r="AA72" i="1"/>
  <c r="AA74" i="1"/>
  <c r="AA75" i="1"/>
  <c r="AA76" i="1"/>
  <c r="AA77" i="1"/>
  <c r="AA78" i="1"/>
  <c r="AA79" i="1"/>
  <c r="AA80" i="1"/>
  <c r="AA82" i="1"/>
  <c r="AA83" i="1"/>
  <c r="AA84"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Q10" i="1"/>
  <c r="Q11" i="1"/>
  <c r="Q12" i="1"/>
  <c r="Q13" i="1"/>
  <c r="Q14" i="1"/>
  <c r="Q15" i="1"/>
  <c r="Q17" i="1"/>
  <c r="Q18" i="1"/>
  <c r="Q19" i="1"/>
  <c r="Q20" i="1"/>
  <c r="Q21" i="1"/>
  <c r="Q22" i="1"/>
  <c r="Q23" i="1"/>
  <c r="Q25" i="1"/>
  <c r="Q26" i="1"/>
  <c r="Q27" i="1"/>
  <c r="Q28" i="1"/>
  <c r="Q29" i="1"/>
  <c r="Q30" i="1"/>
  <c r="Q31" i="1"/>
  <c r="Q33" i="1"/>
  <c r="Q34" i="1"/>
  <c r="Q35" i="1"/>
  <c r="Q37" i="1"/>
  <c r="Q38" i="1"/>
  <c r="Q39" i="1"/>
  <c r="Q40" i="1"/>
  <c r="Q41" i="1"/>
  <c r="Q43" i="1"/>
  <c r="Q44" i="1"/>
  <c r="Q45" i="1"/>
  <c r="Q46" i="1"/>
  <c r="Q48" i="1"/>
  <c r="Q49" i="1"/>
  <c r="Q50" i="1"/>
  <c r="Q51" i="1"/>
  <c r="Q52" i="1"/>
  <c r="Q53" i="1"/>
  <c r="Q54" i="1"/>
  <c r="Q56" i="1"/>
  <c r="Q57" i="1"/>
  <c r="Q58" i="1"/>
  <c r="Q59" i="1"/>
  <c r="Q60" i="1"/>
  <c r="Q62" i="1"/>
  <c r="Q63" i="1"/>
  <c r="Q64" i="1"/>
  <c r="Q65" i="1"/>
  <c r="Q67" i="1"/>
  <c r="Q68" i="1"/>
  <c r="Q69" i="1"/>
  <c r="Q70" i="1"/>
  <c r="Q71" i="1"/>
  <c r="Q72" i="1"/>
  <c r="Q74" i="1"/>
  <c r="Q75" i="1"/>
  <c r="Q76" i="1"/>
  <c r="Q77" i="1"/>
  <c r="Q78" i="1"/>
  <c r="Q79" i="1"/>
  <c r="Q80" i="1"/>
  <c r="Q82" i="1"/>
  <c r="Q83" i="1"/>
  <c r="Q84"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9" i="1"/>
  <c r="R10" i="1"/>
  <c r="R11" i="1"/>
  <c r="R12" i="1"/>
  <c r="R13" i="1"/>
  <c r="R14" i="1"/>
  <c r="R15" i="1"/>
  <c r="R17" i="1"/>
  <c r="R18" i="1"/>
  <c r="R19" i="1"/>
  <c r="R20" i="1"/>
  <c r="R21" i="1"/>
  <c r="R22" i="1"/>
  <c r="R23" i="1"/>
  <c r="R25" i="1"/>
  <c r="R26" i="1"/>
  <c r="R27" i="1"/>
  <c r="R28" i="1"/>
  <c r="R29" i="1"/>
  <c r="R30" i="1"/>
  <c r="R31" i="1"/>
  <c r="R33" i="1"/>
  <c r="R34" i="1"/>
  <c r="R35" i="1"/>
  <c r="R37" i="1"/>
  <c r="R38" i="1"/>
  <c r="R39" i="1"/>
  <c r="R40" i="1"/>
  <c r="R41" i="1"/>
  <c r="R43" i="1"/>
  <c r="R44" i="1"/>
  <c r="R45" i="1"/>
  <c r="R46" i="1"/>
  <c r="R48" i="1"/>
  <c r="R49" i="1"/>
  <c r="R50" i="1"/>
  <c r="R51" i="1"/>
  <c r="R52" i="1"/>
  <c r="R53" i="1"/>
  <c r="R54" i="1"/>
  <c r="R56" i="1"/>
  <c r="R57" i="1"/>
  <c r="R58" i="1"/>
  <c r="R59" i="1"/>
  <c r="R60" i="1"/>
  <c r="R62" i="1"/>
  <c r="R63" i="1"/>
  <c r="R64" i="1"/>
  <c r="R65" i="1"/>
  <c r="R67" i="1"/>
  <c r="R68" i="1"/>
  <c r="R69" i="1"/>
  <c r="R70" i="1"/>
  <c r="R71" i="1"/>
  <c r="R72" i="1"/>
  <c r="R74" i="1"/>
  <c r="R75" i="1"/>
  <c r="R76" i="1"/>
  <c r="R77" i="1"/>
  <c r="R78" i="1"/>
  <c r="R79" i="1"/>
  <c r="R80" i="1"/>
  <c r="R82" i="1"/>
  <c r="R83" i="1"/>
  <c r="R84"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9" i="1"/>
  <c r="AB10" i="1"/>
  <c r="AB11" i="1"/>
  <c r="AB12" i="1"/>
  <c r="AB13" i="1"/>
  <c r="AB14" i="1"/>
  <c r="AB15" i="1"/>
  <c r="AB17" i="1"/>
  <c r="AB18" i="1"/>
  <c r="AB19" i="1"/>
  <c r="AB20" i="1"/>
  <c r="AB21" i="1"/>
  <c r="AB22" i="1"/>
  <c r="AB23" i="1"/>
  <c r="AB25" i="1"/>
  <c r="AB26" i="1"/>
  <c r="AB27" i="1"/>
  <c r="AB28" i="1"/>
  <c r="AB29" i="1"/>
  <c r="AB30" i="1"/>
  <c r="AB31" i="1"/>
  <c r="AB33" i="1"/>
  <c r="AB34" i="1"/>
  <c r="AB35" i="1"/>
  <c r="AB37" i="1"/>
  <c r="AB38" i="1"/>
  <c r="AB39" i="1"/>
  <c r="AB40" i="1"/>
  <c r="AB41" i="1"/>
  <c r="AB43" i="1"/>
  <c r="AB44" i="1"/>
  <c r="AB45" i="1"/>
  <c r="AB46" i="1"/>
  <c r="AB48" i="1"/>
  <c r="AB49" i="1"/>
  <c r="AB50" i="1"/>
  <c r="AB51" i="1"/>
  <c r="AB52" i="1"/>
  <c r="AB53" i="1"/>
  <c r="AB54" i="1"/>
  <c r="AB56" i="1"/>
  <c r="AB57" i="1"/>
  <c r="AB58" i="1"/>
  <c r="AB59" i="1"/>
  <c r="AB60" i="1"/>
  <c r="AB62" i="1"/>
  <c r="AB63" i="1"/>
  <c r="AB64" i="1"/>
  <c r="AB65" i="1"/>
  <c r="AB67" i="1"/>
  <c r="AB68" i="1"/>
  <c r="AB69" i="1"/>
  <c r="AB70" i="1"/>
  <c r="AB71" i="1"/>
  <c r="AB72" i="1"/>
  <c r="AB74" i="1"/>
  <c r="AB75" i="1"/>
  <c r="AB76" i="1"/>
  <c r="AB77" i="1"/>
  <c r="AB78" i="1"/>
  <c r="AB79" i="1"/>
  <c r="AB80" i="1"/>
  <c r="AB82" i="1"/>
  <c r="AB83" i="1"/>
  <c r="AB84"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D94" i="2"/>
  <c r="D19" i="15"/>
  <c r="D18" i="15"/>
  <c r="D17" i="15"/>
  <c r="D16" i="15"/>
  <c r="D59" i="15"/>
  <c r="D90" i="15"/>
  <c r="D17" i="16"/>
  <c r="D16" i="16"/>
  <c r="D15" i="16"/>
  <c r="D58" i="16"/>
  <c r="D57" i="16"/>
  <c r="D90" i="16"/>
  <c r="O10" i="1"/>
  <c r="O11" i="1"/>
  <c r="O12" i="1"/>
  <c r="O13" i="1"/>
  <c r="O14" i="1"/>
  <c r="O15" i="1"/>
  <c r="O17" i="1"/>
  <c r="O18" i="1"/>
  <c r="O19" i="1"/>
  <c r="O20" i="1"/>
  <c r="O21" i="1"/>
  <c r="O22" i="1"/>
  <c r="O23" i="1"/>
  <c r="O25" i="1"/>
  <c r="O26" i="1"/>
  <c r="O27" i="1"/>
  <c r="O28" i="1"/>
  <c r="O29" i="1"/>
  <c r="O30" i="1"/>
  <c r="O31" i="1"/>
  <c r="O33" i="1"/>
  <c r="O34" i="1"/>
  <c r="O35" i="1"/>
  <c r="O37" i="1"/>
  <c r="O38" i="1"/>
  <c r="O39" i="1"/>
  <c r="O40" i="1"/>
  <c r="O41" i="1"/>
  <c r="O43" i="1"/>
  <c r="O44" i="1"/>
  <c r="O45" i="1"/>
  <c r="O46" i="1"/>
  <c r="O48" i="1"/>
  <c r="O49" i="1"/>
  <c r="O50" i="1"/>
  <c r="O51" i="1"/>
  <c r="O52" i="1"/>
  <c r="O53" i="1"/>
  <c r="O54" i="1"/>
  <c r="O56" i="1"/>
  <c r="O57" i="1"/>
  <c r="O58" i="1"/>
  <c r="O59" i="1"/>
  <c r="O60" i="1"/>
  <c r="O62" i="1"/>
  <c r="O63" i="1"/>
  <c r="O64" i="1"/>
  <c r="O65" i="1"/>
  <c r="O67" i="1"/>
  <c r="O68" i="1"/>
  <c r="O69" i="1"/>
  <c r="O70" i="1"/>
  <c r="O71" i="1"/>
  <c r="O72" i="1"/>
  <c r="O74" i="1"/>
  <c r="O75" i="1"/>
  <c r="O76" i="1"/>
  <c r="O77" i="1"/>
  <c r="O78" i="1"/>
  <c r="O79" i="1"/>
  <c r="O80" i="1"/>
  <c r="O82" i="1"/>
  <c r="O83" i="1"/>
  <c r="O84"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9" i="1"/>
  <c r="D66" i="2"/>
  <c r="D53" i="2"/>
  <c r="E94" i="2"/>
  <c r="E93" i="2"/>
  <c r="D67" i="2"/>
  <c r="D65" i="2"/>
  <c r="D2" i="24"/>
  <c r="D21" i="2"/>
  <c r="D20" i="2"/>
  <c r="D19" i="2"/>
  <c r="D18" i="2"/>
  <c r="D1" i="24"/>
  <c r="D9" i="2" l="1"/>
  <c r="D10" i="16"/>
  <c r="D53" i="16"/>
  <c r="D10" i="17"/>
  <c r="D54" i="17"/>
  <c r="D54" i="18"/>
  <c r="D9" i="18"/>
  <c r="D10" i="15"/>
  <c r="D55" i="15"/>
  <c r="D59" i="2"/>
  <c r="E96" i="17" l="1"/>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54" i="16"/>
  <c r="E55" i="16"/>
  <c r="E56" i="16"/>
  <c r="E57" i="16"/>
  <c r="E58" i="16"/>
  <c r="E59" i="16"/>
  <c r="E60" i="16"/>
  <c r="E61" i="16"/>
  <c r="E62" i="16"/>
  <c r="E63" i="16"/>
  <c r="E64" i="16"/>
  <c r="E65" i="16"/>
  <c r="E66" i="16"/>
  <c r="E67" i="16"/>
  <c r="E68" i="16"/>
  <c r="E69" i="16"/>
  <c r="E70" i="16"/>
  <c r="E71" i="16"/>
  <c r="E72" i="16"/>
  <c r="E73" i="16"/>
  <c r="E74" i="16"/>
  <c r="E75" i="16"/>
  <c r="E76"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5" i="2"/>
  <c r="F56" i="2"/>
  <c r="F57" i="2"/>
  <c r="F58" i="2"/>
  <c r="F60" i="2"/>
  <c r="F61" i="2"/>
  <c r="F62" i="2"/>
  <c r="F63" i="2"/>
  <c r="F91" i="2"/>
  <c r="F92" i="2"/>
  <c r="F64" i="2"/>
  <c r="F68" i="2"/>
  <c r="F69" i="2"/>
  <c r="F70" i="2"/>
  <c r="F65" i="2"/>
  <c r="F66" i="2"/>
  <c r="F67" i="2"/>
  <c r="F71" i="2"/>
  <c r="F72" i="2"/>
  <c r="F73" i="2"/>
  <c r="F74" i="2"/>
  <c r="F75" i="2"/>
  <c r="F76" i="2"/>
  <c r="F77" i="2"/>
  <c r="F78" i="2"/>
  <c r="F79" i="2"/>
  <c r="F50" i="2"/>
  <c r="F84" i="2"/>
  <c r="F85" i="2"/>
  <c r="F86" i="2"/>
  <c r="F97" i="2"/>
  <c r="F88" i="2"/>
  <c r="F89" i="2"/>
  <c r="F95" i="2"/>
  <c r="F96" i="2"/>
  <c r="F98" i="2"/>
  <c r="F99" i="2"/>
  <c r="F100" i="2"/>
  <c r="F101" i="2"/>
  <c r="F102" i="2"/>
  <c r="F93" i="2"/>
  <c r="F94" i="2"/>
  <c r="F103" i="2"/>
  <c r="F104" i="2"/>
  <c r="F90" i="2"/>
  <c r="A3" i="1" l="1"/>
  <c r="AH200" i="1"/>
  <c r="B200" i="1" a="1"/>
  <c r="B200" i="1" s="1"/>
  <c r="AH199" i="1"/>
  <c r="B199" i="1" a="1"/>
  <c r="B199" i="1" s="1"/>
  <c r="AH198" i="1"/>
  <c r="B198" i="1" a="1"/>
  <c r="B198" i="1" s="1"/>
  <c r="AH197" i="1"/>
  <c r="B197" i="1" a="1"/>
  <c r="B197" i="1" s="1"/>
  <c r="AH196" i="1"/>
  <c r="B196" i="1" a="1"/>
  <c r="B196" i="1" s="1"/>
  <c r="AH195" i="1"/>
  <c r="B195" i="1" a="1"/>
  <c r="B195" i="1" s="1"/>
  <c r="AH194" i="1"/>
  <c r="B194" i="1" a="1"/>
  <c r="B194" i="1" s="1"/>
  <c r="AH193" i="1"/>
  <c r="B193" i="1" a="1"/>
  <c r="B193" i="1" s="1"/>
  <c r="AH192" i="1"/>
  <c r="B192" i="1" a="1"/>
  <c r="B192" i="1" s="1"/>
  <c r="AH191" i="1"/>
  <c r="B191" i="1" a="1"/>
  <c r="B191" i="1" s="1"/>
  <c r="AH190" i="1"/>
  <c r="B190" i="1" a="1"/>
  <c r="B190" i="1" s="1"/>
  <c r="AH189" i="1"/>
  <c r="B189" i="1" a="1"/>
  <c r="B189" i="1" s="1"/>
  <c r="AH188" i="1"/>
  <c r="B188" i="1" a="1"/>
  <c r="B188" i="1" s="1"/>
  <c r="AH187" i="1"/>
  <c r="B187" i="1" a="1"/>
  <c r="B187" i="1" s="1"/>
  <c r="AH186" i="1"/>
  <c r="B186" i="1" a="1"/>
  <c r="B186" i="1" s="1"/>
  <c r="AH185" i="1"/>
  <c r="B185" i="1" a="1"/>
  <c r="B185" i="1" s="1"/>
  <c r="AH184" i="1"/>
  <c r="B184" i="1" a="1"/>
  <c r="B184" i="1" s="1"/>
  <c r="AH183" i="1"/>
  <c r="B183" i="1" a="1"/>
  <c r="B183" i="1" s="1"/>
  <c r="AH182" i="1"/>
  <c r="B182" i="1" a="1"/>
  <c r="B182" i="1" s="1"/>
  <c r="AH181" i="1"/>
  <c r="B181" i="1" a="1"/>
  <c r="B181" i="1" s="1"/>
  <c r="AH180" i="1"/>
  <c r="B180" i="1" a="1"/>
  <c r="B180" i="1" s="1"/>
  <c r="AH179" i="1"/>
  <c r="B179" i="1" a="1"/>
  <c r="B179" i="1" s="1"/>
  <c r="AH178" i="1"/>
  <c r="B178" i="1" a="1"/>
  <c r="B178" i="1" s="1"/>
  <c r="AH177" i="1"/>
  <c r="B177" i="1" a="1"/>
  <c r="B177" i="1" s="1"/>
  <c r="AH176" i="1"/>
  <c r="B176" i="1" a="1"/>
  <c r="B176" i="1" s="1"/>
  <c r="AH175" i="1"/>
  <c r="B175" i="1" a="1"/>
  <c r="B175" i="1" s="1"/>
  <c r="AH174" i="1"/>
  <c r="B174" i="1" a="1"/>
  <c r="B174" i="1" s="1"/>
  <c r="AH173" i="1"/>
  <c r="B173" i="1" a="1"/>
  <c r="B173" i="1" s="1"/>
  <c r="AH172" i="1"/>
  <c r="B172" i="1" a="1"/>
  <c r="B172" i="1" s="1"/>
  <c r="AH171" i="1"/>
  <c r="B171" i="1" a="1"/>
  <c r="B171" i="1" s="1"/>
  <c r="AH170" i="1"/>
  <c r="B170" i="1" a="1"/>
  <c r="B170" i="1" s="1"/>
  <c r="AH169" i="1"/>
  <c r="B169" i="1" a="1"/>
  <c r="B169" i="1" s="1"/>
  <c r="AH168" i="1"/>
  <c r="B168" i="1" a="1"/>
  <c r="B168" i="1" s="1"/>
  <c r="AH167" i="1"/>
  <c r="B167" i="1" a="1"/>
  <c r="B167" i="1" s="1"/>
  <c r="AH166" i="1"/>
  <c r="B166" i="1" a="1"/>
  <c r="B166" i="1" s="1"/>
  <c r="AH165" i="1"/>
  <c r="B165" i="1" a="1"/>
  <c r="B165" i="1" s="1"/>
  <c r="AH164" i="1"/>
  <c r="B164" i="1" a="1"/>
  <c r="B164" i="1" s="1"/>
  <c r="AH163" i="1"/>
  <c r="B163" i="1" a="1"/>
  <c r="B163" i="1" s="1"/>
  <c r="AH162" i="1"/>
  <c r="B162" i="1" a="1"/>
  <c r="B162" i="1" s="1"/>
  <c r="AH161" i="1"/>
  <c r="B161" i="1" a="1"/>
  <c r="B161" i="1" s="1"/>
  <c r="AH160" i="1"/>
  <c r="B160" i="1" a="1"/>
  <c r="B160" i="1" s="1"/>
  <c r="AH159" i="1"/>
  <c r="B159" i="1" a="1"/>
  <c r="B159" i="1" s="1"/>
  <c r="AH158" i="1"/>
  <c r="B158" i="1" a="1"/>
  <c r="B158" i="1" s="1"/>
  <c r="AH157" i="1"/>
  <c r="B157" i="1" a="1"/>
  <c r="B157" i="1" s="1"/>
  <c r="AH156" i="1"/>
  <c r="B156" i="1" a="1"/>
  <c r="B156" i="1" s="1"/>
  <c r="AH155" i="1"/>
  <c r="B155" i="1" a="1"/>
  <c r="B155" i="1" s="1"/>
  <c r="AH154" i="1"/>
  <c r="B154" i="1" a="1"/>
  <c r="B154" i="1" s="1"/>
  <c r="AH153" i="1"/>
  <c r="B153" i="1" a="1"/>
  <c r="B153" i="1" s="1"/>
  <c r="AH152" i="1"/>
  <c r="B152" i="1" a="1"/>
  <c r="B152" i="1" s="1"/>
  <c r="AH151" i="1"/>
  <c r="B151" i="1" a="1"/>
  <c r="B151" i="1" s="1"/>
  <c r="AH150" i="1"/>
  <c r="B150" i="1" a="1"/>
  <c r="B150" i="1" s="1"/>
  <c r="AH149" i="1"/>
  <c r="B149" i="1" a="1"/>
  <c r="B149" i="1" s="1"/>
  <c r="AH148" i="1"/>
  <c r="B148" i="1" a="1"/>
  <c r="B148" i="1" s="1"/>
  <c r="AH147" i="1"/>
  <c r="B147" i="1" a="1"/>
  <c r="B147" i="1" s="1"/>
  <c r="AH146" i="1"/>
  <c r="B146" i="1" a="1"/>
  <c r="B146" i="1" s="1"/>
  <c r="AH145" i="1"/>
  <c r="B145" i="1" a="1"/>
  <c r="B145" i="1" s="1"/>
  <c r="AH144" i="1"/>
  <c r="B144" i="1" a="1"/>
  <c r="B144" i="1" s="1"/>
  <c r="AH143" i="1"/>
  <c r="B143" i="1" a="1"/>
  <c r="B143" i="1" s="1"/>
  <c r="AH142" i="1"/>
  <c r="B142" i="1" a="1"/>
  <c r="B142" i="1" s="1"/>
  <c r="AH141" i="1"/>
  <c r="B141" i="1" a="1"/>
  <c r="B141" i="1" s="1"/>
  <c r="AH140" i="1"/>
  <c r="B140" i="1" a="1"/>
  <c r="B140" i="1" s="1"/>
  <c r="AH139" i="1"/>
  <c r="B139" i="1" a="1"/>
  <c r="B139" i="1" s="1"/>
  <c r="AH138" i="1"/>
  <c r="B138" i="1" a="1"/>
  <c r="B138" i="1" s="1"/>
  <c r="AH137" i="1"/>
  <c r="B137" i="1" a="1"/>
  <c r="B137" i="1" s="1"/>
  <c r="AH136" i="1"/>
  <c r="B136" i="1" a="1"/>
  <c r="B136" i="1" s="1"/>
  <c r="AH135" i="1"/>
  <c r="B135" i="1" a="1"/>
  <c r="B135" i="1" s="1"/>
  <c r="AH134" i="1"/>
  <c r="B134" i="1" a="1"/>
  <c r="B134" i="1" s="1"/>
  <c r="AH133" i="1"/>
  <c r="B133" i="1" a="1"/>
  <c r="B133" i="1" s="1"/>
  <c r="AH132" i="1"/>
  <c r="B132" i="1" a="1"/>
  <c r="B132" i="1" s="1"/>
  <c r="AH131" i="1"/>
  <c r="B131" i="1" a="1"/>
  <c r="B131" i="1" s="1"/>
  <c r="AH130" i="1"/>
  <c r="B130" i="1" a="1"/>
  <c r="B130" i="1" s="1"/>
  <c r="AH129" i="1"/>
  <c r="B129" i="1" a="1"/>
  <c r="B129" i="1" s="1"/>
  <c r="AH128" i="1"/>
  <c r="B128" i="1" a="1"/>
  <c r="B128" i="1" s="1"/>
  <c r="AH127" i="1"/>
  <c r="B127" i="1" a="1"/>
  <c r="B127" i="1" s="1"/>
  <c r="AH126" i="1"/>
  <c r="B126" i="1" a="1"/>
  <c r="B126" i="1" s="1"/>
  <c r="AH125" i="1"/>
  <c r="B125" i="1" a="1"/>
  <c r="B125" i="1" s="1"/>
  <c r="AH124" i="1"/>
  <c r="B124" i="1" a="1"/>
  <c r="B124" i="1" s="1"/>
  <c r="AH123" i="1"/>
  <c r="B123" i="1" a="1"/>
  <c r="B123" i="1" s="1"/>
  <c r="AH122" i="1"/>
  <c r="B122" i="1"/>
  <c r="B122" i="1" a="1"/>
  <c r="AH121" i="1"/>
  <c r="B121" i="1" a="1"/>
  <c r="B121" i="1" s="1"/>
  <c r="AH120" i="1"/>
  <c r="AH119" i="1"/>
  <c r="B119" i="1" a="1"/>
  <c r="B119" i="1" s="1"/>
  <c r="AH118" i="1"/>
  <c r="B118" i="1" a="1"/>
  <c r="B118" i="1" s="1"/>
  <c r="AH117" i="1"/>
  <c r="B117" i="1" a="1"/>
  <c r="B117" i="1" s="1"/>
  <c r="AH116" i="1"/>
  <c r="B116" i="1" a="1"/>
  <c r="B116" i="1" s="1"/>
  <c r="AH115" i="1"/>
  <c r="B115" i="1" a="1"/>
  <c r="B115" i="1" s="1"/>
  <c r="AH114" i="1"/>
  <c r="B114" i="1" a="1"/>
  <c r="B114" i="1" s="1"/>
  <c r="AH113" i="1"/>
  <c r="B113" i="1" a="1"/>
  <c r="B113" i="1" s="1"/>
  <c r="AH112" i="1"/>
  <c r="AH111" i="1"/>
  <c r="B111" i="1" a="1"/>
  <c r="B111" i="1" s="1"/>
  <c r="AH110" i="1"/>
  <c r="B110" i="1" a="1"/>
  <c r="B110" i="1" s="1"/>
  <c r="AH109" i="1"/>
  <c r="B109" i="1" a="1"/>
  <c r="B109" i="1" s="1"/>
  <c r="AH108" i="1"/>
  <c r="B108" i="1" a="1"/>
  <c r="B108" i="1" s="1"/>
  <c r="AH107" i="1"/>
  <c r="B107" i="1" a="1"/>
  <c r="B107" i="1" s="1"/>
  <c r="AH106" i="1"/>
  <c r="B106" i="1" a="1"/>
  <c r="B106" i="1" s="1"/>
  <c r="AH105" i="1"/>
  <c r="AH104" i="1"/>
  <c r="B104" i="1" a="1"/>
  <c r="B104" i="1" s="1"/>
  <c r="AH103" i="1"/>
  <c r="B103" i="1" a="1"/>
  <c r="B103" i="1" s="1"/>
  <c r="AH102" i="1"/>
  <c r="B102" i="1" a="1"/>
  <c r="B102" i="1" s="1"/>
  <c r="AH101" i="1"/>
  <c r="B101" i="1" a="1"/>
  <c r="B101" i="1" s="1"/>
  <c r="AH100" i="1"/>
  <c r="B100" i="1" a="1"/>
  <c r="B100" i="1" s="1"/>
  <c r="AH99" i="1"/>
  <c r="B99" i="1" a="1"/>
  <c r="B99" i="1" s="1"/>
  <c r="AH98" i="1"/>
  <c r="AH97" i="1"/>
  <c r="B97" i="1" a="1"/>
  <c r="B97" i="1" s="1"/>
  <c r="AH96" i="1"/>
  <c r="B96" i="1" a="1"/>
  <c r="B96" i="1" s="1"/>
  <c r="AH95" i="1"/>
  <c r="B95" i="1" a="1"/>
  <c r="B95" i="1" s="1"/>
  <c r="AH94" i="1"/>
  <c r="B94" i="1" a="1"/>
  <c r="B94" i="1" s="1"/>
  <c r="AH93" i="1"/>
  <c r="B93" i="1" a="1"/>
  <c r="B93" i="1" s="1"/>
  <c r="AH92" i="1"/>
  <c r="B92" i="1" a="1"/>
  <c r="B92" i="1" s="1"/>
  <c r="AH91" i="1"/>
  <c r="AH90" i="1"/>
  <c r="B90" i="1" a="1"/>
  <c r="B90" i="1" s="1"/>
  <c r="AH89" i="1"/>
  <c r="B89" i="1" a="1"/>
  <c r="B89" i="1" s="1"/>
  <c r="AH88" i="1"/>
  <c r="B88" i="1" a="1"/>
  <c r="B88" i="1" s="1"/>
  <c r="AH87" i="1"/>
  <c r="B87" i="1" a="1"/>
  <c r="B87" i="1" s="1"/>
  <c r="AH86" i="1"/>
  <c r="B86" i="1" a="1"/>
  <c r="B86" i="1" s="1"/>
  <c r="AH85" i="1"/>
  <c r="AH84" i="1"/>
  <c r="B84" i="1" a="1"/>
  <c r="B84" i="1" s="1"/>
  <c r="AH83" i="1"/>
  <c r="AH82" i="1"/>
  <c r="B82" i="1" a="1"/>
  <c r="B82" i="1" s="1"/>
  <c r="AH81" i="1"/>
  <c r="AH80" i="1"/>
  <c r="B80" i="1" a="1"/>
  <c r="B80" i="1" s="1"/>
  <c r="AH79" i="1"/>
  <c r="B79" i="1" a="1"/>
  <c r="B79" i="1" s="1"/>
  <c r="AH78" i="1"/>
  <c r="B78" i="1" a="1"/>
  <c r="B78" i="1" s="1"/>
  <c r="AH77" i="1"/>
  <c r="B77" i="1" a="1"/>
  <c r="B77" i="1" s="1"/>
  <c r="AH76" i="1"/>
  <c r="AH75" i="1"/>
  <c r="B75" i="1" a="1"/>
  <c r="B75" i="1" s="1"/>
  <c r="AH74" i="1"/>
  <c r="B74" i="1" a="1"/>
  <c r="B74" i="1" s="1"/>
  <c r="AH73" i="1"/>
  <c r="AH72" i="1"/>
  <c r="B72" i="1" a="1"/>
  <c r="B72" i="1" s="1"/>
  <c r="AH71" i="1"/>
  <c r="B71" i="1" a="1"/>
  <c r="B71" i="1" s="1"/>
  <c r="AH70" i="1"/>
  <c r="B70" i="1" a="1"/>
  <c r="B70" i="1" s="1"/>
  <c r="AH69" i="1"/>
  <c r="AH68" i="1"/>
  <c r="B68" i="1" a="1"/>
  <c r="B68" i="1" s="1"/>
  <c r="AH67" i="1"/>
  <c r="B67" i="1" a="1"/>
  <c r="B67" i="1" s="1"/>
  <c r="AH66" i="1"/>
  <c r="AH65" i="1"/>
  <c r="B65" i="1" a="1"/>
  <c r="B65" i="1" s="1"/>
  <c r="AH64" i="1"/>
  <c r="B64" i="1" a="1"/>
  <c r="B64" i="1" s="1"/>
  <c r="AH63" i="1"/>
  <c r="B63" i="1" a="1"/>
  <c r="B63" i="1" s="1"/>
  <c r="AH62" i="1"/>
  <c r="B62" i="1" a="1"/>
  <c r="B62" i="1" s="1"/>
  <c r="AH61" i="1"/>
  <c r="AH60" i="1"/>
  <c r="B60" i="1" a="1"/>
  <c r="B60" i="1" s="1"/>
  <c r="AH59" i="1"/>
  <c r="B59" i="1" a="1"/>
  <c r="B59" i="1" s="1"/>
  <c r="AH58" i="1"/>
  <c r="B58" i="1" a="1"/>
  <c r="B58" i="1" s="1"/>
  <c r="AH57" i="1"/>
  <c r="B57" i="1" a="1"/>
  <c r="B57" i="1" s="1"/>
  <c r="AH56" i="1"/>
  <c r="B56" i="1" a="1"/>
  <c r="B56" i="1" s="1"/>
  <c r="AH55" i="1"/>
  <c r="AH54" i="1"/>
  <c r="B54" i="1" a="1"/>
  <c r="B54" i="1" s="1"/>
  <c r="AH53" i="1"/>
  <c r="AH52" i="1"/>
  <c r="B52" i="1" a="1"/>
  <c r="B52" i="1" s="1"/>
  <c r="AH51" i="1"/>
  <c r="B51" i="1" a="1"/>
  <c r="B51" i="1" s="1"/>
  <c r="AH50" i="1"/>
  <c r="B50" i="1" a="1"/>
  <c r="B50" i="1" s="1"/>
  <c r="AH49" i="1"/>
  <c r="B49" i="1" a="1"/>
  <c r="B49" i="1" s="1"/>
  <c r="AH48" i="1"/>
  <c r="B48" i="1" a="1"/>
  <c r="B48" i="1" s="1"/>
  <c r="AH47" i="1"/>
  <c r="AH46" i="1"/>
  <c r="AH45" i="1"/>
  <c r="B45" i="1" a="1"/>
  <c r="B45" i="1" s="1"/>
  <c r="AH44" i="1"/>
  <c r="B44" i="1" a="1"/>
  <c r="B44" i="1" s="1"/>
  <c r="AH43" i="1"/>
  <c r="B43" i="1" a="1"/>
  <c r="B43" i="1" s="1"/>
  <c r="AH42" i="1"/>
  <c r="AH41" i="1"/>
  <c r="AH40" i="1"/>
  <c r="AH39" i="1"/>
  <c r="B39" i="1" a="1"/>
  <c r="B39" i="1" s="1"/>
  <c r="AH38" i="1"/>
  <c r="B38" i="1" a="1"/>
  <c r="B38" i="1" s="1"/>
  <c r="AH37" i="1"/>
  <c r="B37" i="1" a="1"/>
  <c r="B37" i="1" s="1"/>
  <c r="AH36" i="1"/>
  <c r="AH35" i="1"/>
  <c r="B35" i="1" a="1"/>
  <c r="B35" i="1" s="1"/>
  <c r="AH34" i="1"/>
  <c r="B34" i="1" a="1"/>
  <c r="B34" i="1" s="1"/>
  <c r="AH33" i="1"/>
  <c r="AH32" i="1"/>
  <c r="AH31" i="1"/>
  <c r="B31" i="1" a="1"/>
  <c r="B31" i="1" s="1"/>
  <c r="AH30" i="1"/>
  <c r="B30" i="1" a="1"/>
  <c r="B30" i="1" s="1"/>
  <c r="AH29" i="1"/>
  <c r="B29" i="1" a="1"/>
  <c r="B29" i="1" s="1"/>
  <c r="AH28" i="1"/>
  <c r="B28" i="1" a="1"/>
  <c r="B28" i="1" s="1"/>
  <c r="AH27" i="1"/>
  <c r="AH26" i="1"/>
  <c r="B26" i="1" a="1"/>
  <c r="B26" i="1" s="1"/>
  <c r="AH25" i="1"/>
  <c r="B25" i="1" a="1"/>
  <c r="B25" i="1" s="1"/>
  <c r="AH24" i="1"/>
  <c r="AH23" i="1"/>
  <c r="B23" i="1" a="1"/>
  <c r="B23" i="1" s="1"/>
  <c r="AH22" i="1"/>
  <c r="B22" i="1" a="1"/>
  <c r="B22" i="1" s="1"/>
  <c r="AH21" i="1"/>
  <c r="B21" i="1" a="1"/>
  <c r="B21" i="1" s="1"/>
  <c r="AH20" i="1"/>
  <c r="AH19" i="1"/>
  <c r="B19" i="1" a="1"/>
  <c r="B19" i="1" s="1"/>
  <c r="AH18" i="1"/>
  <c r="B18" i="1" a="1"/>
  <c r="B18" i="1" s="1"/>
  <c r="AH17" i="1"/>
  <c r="B17" i="1" a="1"/>
  <c r="B17" i="1" s="1"/>
  <c r="AH16" i="1"/>
  <c r="AH15" i="1"/>
  <c r="B15" i="1" a="1"/>
  <c r="B15" i="1" s="1"/>
  <c r="AH14" i="1"/>
  <c r="AH13" i="1"/>
  <c r="B13" i="1" a="1"/>
  <c r="B13" i="1" s="1"/>
  <c r="AH12" i="1"/>
  <c r="B12" i="1" a="1"/>
  <c r="B12" i="1" s="1"/>
  <c r="AH11" i="1"/>
  <c r="B11" i="1" a="1"/>
  <c r="B11" i="1" s="1"/>
  <c r="AH10" i="1"/>
  <c r="B10" i="1" a="1"/>
  <c r="B10" i="1" s="1"/>
  <c r="AH9" i="1"/>
  <c r="C9" i="1"/>
  <c r="C10" i="1" s="1"/>
  <c r="C11" i="1" s="1"/>
  <c r="C12" i="1" s="1"/>
  <c r="C13" i="1" s="1"/>
  <c r="C14" i="1" s="1"/>
  <c r="B9" i="1" a="1"/>
  <c r="B9" i="1" s="1"/>
  <c r="AE7" i="1"/>
  <c r="E6" i="1" a="1"/>
  <c r="E6" i="1" s="1"/>
  <c r="C6" i="1"/>
  <c r="E4" i="1"/>
  <c r="E3" i="1" s="1"/>
  <c r="E2" i="1"/>
  <c r="L1" i="1" l="1"/>
  <c r="C15" i="1"/>
  <c r="C16" i="1" s="1"/>
  <c r="C17" i="1" l="1"/>
  <c r="C18" i="1" s="1"/>
  <c r="C19" i="1" s="1"/>
  <c r="C20" i="1" s="1"/>
  <c r="C21" i="1" s="1"/>
  <c r="C22" i="1" s="1"/>
  <c r="C23" i="1" s="1"/>
  <c r="C24" i="1" s="1"/>
  <c r="C25" i="1" l="1"/>
  <c r="C26" i="1" s="1"/>
  <c r="C27" i="1" s="1"/>
  <c r="C28" i="1"/>
  <c r="C29" i="1" s="1"/>
  <c r="C30" i="1" s="1"/>
  <c r="C31" i="1" s="1"/>
  <c r="C32" i="1" s="1"/>
  <c r="C33" i="1" l="1"/>
  <c r="C34" i="1"/>
  <c r="C35" i="1" l="1"/>
  <c r="C36" i="1" l="1"/>
  <c r="C37" i="1" l="1"/>
  <c r="C38" i="1" l="1"/>
  <c r="C39" i="1" l="1"/>
  <c r="C40" i="1" l="1"/>
  <c r="C41" i="1" l="1"/>
  <c r="C42" i="1" l="1"/>
  <c r="C43" i="1" l="1"/>
  <c r="C44" i="1" s="1"/>
  <c r="C45" i="1" s="1"/>
  <c r="C46" i="1" s="1"/>
  <c r="C47" i="1" l="1"/>
  <c r="C48" i="1" l="1"/>
  <c r="C49" i="1" l="1"/>
  <c r="C50" i="1" l="1"/>
  <c r="C51" i="1" l="1"/>
  <c r="C52" i="1" s="1"/>
  <c r="C53" i="1" s="1"/>
  <c r="C54" i="1" s="1"/>
  <c r="C55" i="1" s="1"/>
  <c r="C56" i="1" l="1"/>
  <c r="C57" i="1" s="1"/>
  <c r="C58" i="1" s="1"/>
  <c r="C59" i="1" s="1"/>
  <c r="C60" i="1" s="1"/>
  <c r="C61" i="1" s="1"/>
  <c r="C62" i="1" s="1"/>
  <c r="C63" i="1" s="1"/>
  <c r="C64" i="1" s="1"/>
  <c r="C65" i="1" s="1"/>
  <c r="C66" i="1" s="1"/>
  <c r="C67" i="1" l="1"/>
  <c r="C68" i="1" s="1"/>
  <c r="C69" i="1" s="1"/>
  <c r="C70" i="1" s="1"/>
  <c r="C71" i="1" s="1"/>
  <c r="C72" i="1" s="1"/>
  <c r="C73" i="1" s="1"/>
  <c r="C74" i="1" l="1"/>
  <c r="C75" i="1" s="1"/>
  <c r="C76" i="1" s="1"/>
  <c r="C77" i="1" s="1"/>
  <c r="C78" i="1" s="1"/>
  <c r="C79" i="1" s="1"/>
  <c r="C80" i="1" s="1"/>
  <c r="C81" i="1" s="1"/>
  <c r="C82" i="1" l="1"/>
  <c r="C83" i="1" s="1"/>
  <c r="C84" i="1" s="1"/>
  <c r="C85" i="1" s="1"/>
  <c r="C86" i="1" l="1"/>
  <c r="C87" i="1" s="1"/>
  <c r="C88" i="1" s="1"/>
  <c r="C89" i="1" s="1"/>
  <c r="C90" i="1" s="1"/>
  <c r="C91" i="1" s="1"/>
  <c r="C92" i="1" s="1"/>
  <c r="C93" i="1" s="1"/>
  <c r="C94" i="1" s="1"/>
  <c r="C95" i="1" s="1"/>
  <c r="C96" i="1" s="1"/>
  <c r="C97" i="1" s="1"/>
  <c r="C98" i="1" s="1"/>
  <c r="C99" i="1" s="1"/>
  <c r="C100" i="1" s="1"/>
  <c r="C101" i="1" s="1"/>
  <c r="C102" i="1" s="1"/>
  <c r="C103" i="1" s="1"/>
  <c r="C104" i="1" s="1"/>
  <c r="C105" i="1" s="1"/>
  <c r="C106" i="1" s="1"/>
  <c r="C107" i="1" l="1"/>
  <c r="C108" i="1" l="1"/>
  <c r="C109" i="1" l="1"/>
  <c r="C110" i="1" l="1"/>
  <c r="C111" i="1" s="1"/>
  <c r="C112" i="1" s="1"/>
  <c r="C113" i="1" l="1"/>
  <c r="C114" i="1" l="1"/>
  <c r="C115" i="1" l="1"/>
  <c r="C116" i="1" s="1"/>
  <c r="C117" i="1" s="1"/>
  <c r="C118" i="1" s="1"/>
  <c r="C119" i="1" s="1"/>
  <c r="C120" i="1" s="1"/>
  <c r="C121" i="1" l="1"/>
  <c r="C122" i="1" s="1"/>
  <c r="C123" i="1" s="1"/>
  <c r="C124" i="1" s="1"/>
  <c r="C125" i="1" s="1"/>
  <c r="C126" i="1" s="1"/>
  <c r="C127" i="1" s="1"/>
  <c r="C128" i="1" s="1"/>
  <c r="C129" i="1" s="1"/>
  <c r="C130" i="1" s="1"/>
  <c r="C131" i="1" s="1"/>
  <c r="C132" i="1" s="1"/>
  <c r="C133" i="1" s="1"/>
  <c r="C134" i="1" s="1"/>
  <c r="C135" i="1" s="1"/>
  <c r="C136" i="1" s="1"/>
  <c r="C137" i="1" s="1"/>
  <c r="C138" i="1" s="1"/>
  <c r="C139" i="1" s="1"/>
  <c r="C140" i="1" s="1"/>
  <c r="C141" i="1" s="1"/>
  <c r="C142" i="1" s="1"/>
  <c r="C143" i="1" s="1"/>
  <c r="C144" i="1" s="1"/>
  <c r="C145" i="1" s="1"/>
  <c r="C146" i="1" s="1"/>
  <c r="C147" i="1" s="1"/>
  <c r="C148" i="1" s="1"/>
  <c r="C149" i="1" s="1"/>
  <c r="C150" i="1" s="1"/>
  <c r="C151" i="1" s="1"/>
  <c r="C152" i="1" s="1"/>
  <c r="C153" i="1" s="1"/>
  <c r="C154" i="1" s="1"/>
  <c r="C155" i="1" s="1"/>
  <c r="C156" i="1" s="1"/>
  <c r="C157" i="1" s="1"/>
  <c r="C158" i="1" s="1"/>
  <c r="C159" i="1" s="1"/>
  <c r="C160" i="1" s="1"/>
  <c r="C161" i="1" s="1"/>
  <c r="C162" i="1" s="1"/>
  <c r="C163" i="1" s="1"/>
  <c r="C164" i="1" s="1"/>
  <c r="C165" i="1" s="1"/>
  <c r="C166" i="1" s="1"/>
  <c r="C167" i="1" s="1"/>
  <c r="C168" i="1" s="1"/>
  <c r="C169" i="1" s="1"/>
  <c r="C170" i="1" s="1"/>
  <c r="C171" i="1" s="1"/>
  <c r="C172" i="1" s="1"/>
  <c r="C173" i="1" s="1"/>
  <c r="C174" i="1" s="1"/>
  <c r="C175" i="1" s="1"/>
  <c r="C176" i="1" s="1"/>
  <c r="C177" i="1" s="1"/>
  <c r="C178" i="1" s="1"/>
  <c r="C179" i="1" s="1"/>
  <c r="C180" i="1" s="1"/>
  <c r="C181" i="1" s="1"/>
  <c r="C182" i="1" s="1"/>
  <c r="C183" i="1" s="1"/>
  <c r="C184" i="1" s="1"/>
  <c r="C185" i="1" s="1"/>
  <c r="C186" i="1" s="1"/>
  <c r="C187" i="1" s="1"/>
  <c r="C188" i="1" s="1"/>
  <c r="C189" i="1" s="1"/>
  <c r="C190" i="1" s="1"/>
  <c r="C191" i="1" s="1"/>
  <c r="C192" i="1" s="1"/>
  <c r="C193" i="1" s="1"/>
  <c r="C194" i="1" s="1"/>
  <c r="C195" i="1" s="1"/>
  <c r="C196" i="1" s="1"/>
  <c r="C197" i="1" s="1"/>
  <c r="C198" i="1" s="1"/>
  <c r="C199" i="1" s="1"/>
  <c r="C200" i="1" s="1"/>
  <c r="B36" i="1" s="1" a="1"/>
  <c r="B36" i="1" s="1"/>
  <c r="R36" i="1" l="1"/>
  <c r="AB36" i="1"/>
  <c r="Q36" i="1" s="1"/>
  <c r="O36" i="1"/>
  <c r="AD36" i="1"/>
  <c r="W36" i="1" s="1"/>
  <c r="X36" i="1"/>
  <c r="U36" i="1"/>
  <c r="AC36" i="1"/>
  <c r="T36" i="1" s="1"/>
  <c r="AA36" i="1"/>
  <c r="N36" i="1" s="1"/>
  <c r="B41" i="1" a="1"/>
  <c r="B41" i="1" s="1"/>
  <c r="B16" i="1" a="1"/>
  <c r="B16" i="1" s="1"/>
  <c r="B32" i="1" a="1"/>
  <c r="B32" i="1" s="1"/>
  <c r="B24" i="1" a="1"/>
  <c r="B24" i="1" s="1"/>
  <c r="B42" i="1" a="1"/>
  <c r="B42" i="1" s="1"/>
  <c r="B47" i="1" a="1"/>
  <c r="B47" i="1" s="1"/>
  <c r="B55" i="1" a="1"/>
  <c r="B55" i="1" s="1"/>
  <c r="B66" i="1" a="1"/>
  <c r="B66" i="1" s="1"/>
  <c r="B73" i="1" a="1"/>
  <c r="B73" i="1" s="1"/>
  <c r="B81" i="1" a="1"/>
  <c r="B81" i="1" s="1"/>
  <c r="B85" i="1" a="1"/>
  <c r="B85" i="1" s="1"/>
  <c r="B14" i="1" a="1"/>
  <c r="B14" i="1" s="1"/>
  <c r="B20" i="1" a="1"/>
  <c r="B20" i="1" s="1"/>
  <c r="B27" i="1" a="1"/>
  <c r="B27" i="1" s="1"/>
  <c r="B33" i="1" a="1"/>
  <c r="B33" i="1" s="1"/>
  <c r="B40" i="1" a="1"/>
  <c r="B40" i="1" s="1"/>
  <c r="B46" i="1" a="1"/>
  <c r="B46" i="1" s="1"/>
  <c r="B53" i="1" a="1"/>
  <c r="B53" i="1" s="1"/>
  <c r="B69" i="1" a="1"/>
  <c r="B69" i="1" s="1"/>
  <c r="B61" i="1" a="1"/>
  <c r="B61" i="1" s="1"/>
  <c r="B83" i="1" a="1"/>
  <c r="B83" i="1" s="1"/>
  <c r="B76" i="1" a="1"/>
  <c r="B76" i="1" s="1"/>
  <c r="B91" i="1" a="1"/>
  <c r="B91" i="1" s="1"/>
  <c r="B98" i="1" a="1"/>
  <c r="B98" i="1" s="1"/>
  <c r="B105" i="1" a="1"/>
  <c r="B105" i="1" s="1"/>
  <c r="B120" i="1" a="1"/>
  <c r="B120" i="1" s="1"/>
  <c r="B112" i="1" a="1"/>
  <c r="B112" i="1" s="1"/>
  <c r="AD16" i="1" l="1"/>
  <c r="W16" i="1" s="1"/>
  <c r="X16" i="1"/>
  <c r="U16" i="1"/>
  <c r="AC16" i="1"/>
  <c r="T16" i="1" s="1"/>
  <c r="AA16" i="1"/>
  <c r="N16" i="1" s="1"/>
  <c r="AB16" i="1"/>
  <c r="Q16" i="1" s="1"/>
  <c r="R16" i="1"/>
  <c r="O16" i="1"/>
  <c r="AA61" i="1"/>
  <c r="N61" i="1" s="1"/>
  <c r="O61" i="1"/>
  <c r="R61" i="1"/>
  <c r="AD61" i="1"/>
  <c r="W61" i="1" s="1"/>
  <c r="X61" i="1"/>
  <c r="AB61" i="1"/>
  <c r="Q61" i="1" s="1"/>
  <c r="U61" i="1"/>
  <c r="AC61" i="1"/>
  <c r="T61" i="1" s="1"/>
  <c r="AB85" i="1"/>
  <c r="Q85" i="1" s="1"/>
  <c r="AA85" i="1"/>
  <c r="N85" i="1" s="1"/>
  <c r="O85" i="1"/>
  <c r="R85" i="1"/>
  <c r="AD85" i="1"/>
  <c r="W85" i="1" s="1"/>
  <c r="X85" i="1"/>
  <c r="U85" i="1"/>
  <c r="AC85" i="1"/>
  <c r="T85" i="1" s="1"/>
  <c r="AD81" i="1"/>
  <c r="W81" i="1" s="1"/>
  <c r="X81" i="1"/>
  <c r="U81" i="1"/>
  <c r="AC81" i="1"/>
  <c r="T81" i="1" s="1"/>
  <c r="AA81" i="1"/>
  <c r="N81" i="1" s="1"/>
  <c r="R81" i="1"/>
  <c r="AB81" i="1"/>
  <c r="Q81" i="1" s="1"/>
  <c r="O81" i="1"/>
  <c r="AA73" i="1"/>
  <c r="N73" i="1" s="1"/>
  <c r="O73" i="1"/>
  <c r="R73" i="1"/>
  <c r="AB73" i="1"/>
  <c r="Q73" i="1" s="1"/>
  <c r="AD73" i="1"/>
  <c r="W73" i="1" s="1"/>
  <c r="X73" i="1"/>
  <c r="U73" i="1"/>
  <c r="AC73" i="1"/>
  <c r="T73" i="1" s="1"/>
  <c r="AD66" i="1"/>
  <c r="W66" i="1" s="1"/>
  <c r="X66" i="1"/>
  <c r="U66" i="1"/>
  <c r="AC66" i="1"/>
  <c r="T66" i="1" s="1"/>
  <c r="AA66" i="1"/>
  <c r="N66" i="1" s="1"/>
  <c r="R66" i="1"/>
  <c r="AB66" i="1"/>
  <c r="Q66" i="1" s="1"/>
  <c r="O66" i="1"/>
  <c r="AD55" i="1"/>
  <c r="W55" i="1" s="1"/>
  <c r="X55" i="1"/>
  <c r="AB55" i="1"/>
  <c r="Q55" i="1" s="1"/>
  <c r="U55" i="1"/>
  <c r="AC55" i="1"/>
  <c r="T55" i="1" s="1"/>
  <c r="AA55" i="1"/>
  <c r="N55" i="1" s="1"/>
  <c r="R55" i="1"/>
  <c r="O55" i="1"/>
  <c r="AA47" i="1"/>
  <c r="N47" i="1" s="1"/>
  <c r="R47" i="1"/>
  <c r="O47" i="1"/>
  <c r="AB47" i="1"/>
  <c r="Q47" i="1" s="1"/>
  <c r="AD47" i="1"/>
  <c r="W47" i="1" s="1"/>
  <c r="X47" i="1"/>
  <c r="U47" i="1"/>
  <c r="AC47" i="1"/>
  <c r="T47" i="1" s="1"/>
  <c r="AD42" i="1"/>
  <c r="W42" i="1" s="1"/>
  <c r="X42" i="1"/>
  <c r="U42" i="1"/>
  <c r="AC42" i="1"/>
  <c r="T42" i="1" s="1"/>
  <c r="AA42" i="1"/>
  <c r="N42" i="1" s="1"/>
  <c r="R42" i="1"/>
  <c r="AB42" i="1"/>
  <c r="Q42" i="1" s="1"/>
  <c r="O42" i="1"/>
  <c r="R24" i="1"/>
  <c r="AB24" i="1"/>
  <c r="Q24" i="1" s="1"/>
  <c r="O24" i="1"/>
  <c r="AD24" i="1"/>
  <c r="W24" i="1" s="1"/>
  <c r="X24" i="1"/>
  <c r="U24" i="1"/>
  <c r="AC24" i="1"/>
  <c r="T24" i="1" s="1"/>
  <c r="AA24" i="1"/>
  <c r="N24" i="1" s="1"/>
  <c r="AD32" i="1"/>
  <c r="W32" i="1" s="1"/>
  <c r="X32" i="1"/>
  <c r="U32" i="1"/>
  <c r="AC32" i="1"/>
  <c r="T32" i="1" s="1"/>
  <c r="AA32" i="1"/>
  <c r="N32" i="1" s="1"/>
  <c r="R32" i="1"/>
  <c r="AB32" i="1"/>
  <c r="Q32" i="1" s="1"/>
  <c r="O3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<sst xmlns="http://schemas.openxmlformats.org/spreadsheetml/2006/main" count="2428" uniqueCount="815">
  <si>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</si>
  <si>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</si>
  <si>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</si>
  <si>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</si>
  <si>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</si>
  <si>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</si>
  <si>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</si>
  <si>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</si>
  <si>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</si>
  <si>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</si>
  <si>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</si>
  <si>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</si>
  <si>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</si>
  <si>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</si>
  <si>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Has Synthetic Dataset:</t>
  </si>
  <si>
    <t>No Dataset:</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</si>
  <si>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</si>
  <si>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</si>
  <si>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</si>
  <si>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</si>
  <si>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</si>
  <si>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</si>
  <si>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</si>
  <si>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</si>
  <si>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</si>
  <si>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</si>
  <si>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</si>
  <si>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</si>
  <si>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</si>
  <si>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</si>
  <si>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</si>
  <si>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</si>
  <si>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</si>
  <si>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</si>
  <si>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</si>
  <si>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</si>
  <si>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</si>
  <si>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</si>
  <si>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</si>
  <si>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</si>
  <si>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</si>
  <si>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</si>
  <si>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</si>
  <si>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</si>
  <si>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</si>
  <si>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</si>
  <si>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</si>
  <si>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</si>
  <si>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</si>
  <si>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</si>
  <si>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</si>
  <si>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</si>
  <si>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</si>
  <si>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</si>
  <si>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</si>
  <si>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</si>
  <si>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</si>
  <si>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</si>
  <si>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</si>
  <si>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</si>
  <si>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</si>
  <si>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</si>
  <si>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</si>
  <si>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</si>
  <si>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</si>
  <si>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</si>
  <si>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</si>
  <si>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</si>
  <si>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</si>
  <si>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</si>
  <si>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</si>
  <si>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</si>
  <si>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</si>
  <si>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</si>
  <si>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</si>
  <si>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</si>
  <si>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</si>
  <si>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</si>
  <si>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</si>
  <si>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N/A</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</si>
  <si>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</si>
  <si>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</si>
  <si>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</si>
  <si>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</si>
  <si>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</si>
  <si>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</si>
  <si>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</si>
  <si>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</si>
  <si>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</si>
  <si>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</si>
  <si>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</si>
  <si>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</si>
  <si>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</si>
  <si>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</si>
  <si>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</si>
  <si>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</si>
  <si>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</si>
  <si>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</si>
  <si>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</si>
  <si>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</si>
  <si>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</si>
  <si>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</si>
  <si>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</si>
  <si>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</si>
  <si>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</si>
  <si>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</si>
  <si>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</si>
  <si>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</si>
  <si>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</si>
  <si>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</si>
  <si>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</si>
  <si>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</si>
  <si>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</si>
  <si>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</si>
  <si>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</si>
  <si>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</si>
  <si>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</si>
  <si>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</si>
  <si>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</si>
  <si>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</si>
  <si>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</si>
  <si>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</si>
  <si>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</si>
  <si>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</si>
  <si>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</si>
  <si>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</si>
  <si>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</si>
  <si>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</si>
  <si>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</si>
  <si>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</si>
  <si>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</si>
  <si>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</si>
  <si>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</si>
  <si>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</si>
  <si>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</si>
  <si>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</si>
  <si>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</si>
  <si>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</si>
  <si>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</si>
  <si>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</si>
  <si>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</si>
  <si>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</si>
  <si>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</si>
  <si>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</si>
  <si>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</si>
  <si>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</si>
  <si>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</si>
  <si>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</si>
  <si>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</si>
  <si>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</si>
  <si>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</si>
  <si>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</si>
  <si>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</si>
  <si>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</si>
  <si>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</si>
  <si>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</si>
  <si>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</si>
  <si>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</si>
  <si>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</si>
  <si>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</si>
  <si>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</si>
  <si>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</si>
  <si>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</si>
  <si>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</si>
  <si>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</si>
  <si>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</si>
  <si>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</si>
  <si>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</si>
  <si>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</si>
  <si>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</si>
  <si>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</si>
  <si>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</si>
  <si>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</si>
  <si>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</si>
  <si>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</si>
  <si>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</si>
  <si>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</si>
  <si>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</si>
  <si>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</si>
  <si>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</si>
  <si>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</si>
  <si>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EXACTLY " &amp; D9 &amp; "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</si>
  <si>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</si>
  <si>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</si>
  <si>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</si>
  <si>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</si>
  <si>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</si>
  <si>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</si>
  <si>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</si>
  <si>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</si>
  <si>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</si>
  <si>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</si>
  <si>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</si>
  <si>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</si>
  <si>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</si>
  <si>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</si>
  <si>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</si>
  <si>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</si>
  <si>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</si>
  <si>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</si>
  <si>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</si>
  <si>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</si>
  <si>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</si>
  <si>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</si>
  <si>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</si>
  <si>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</si>
  <si>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</si>
  <si>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</si>
  <si>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</si>
  <si>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</si>
  <si>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</si>
  <si>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</si>
  <si>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</si>
  <si>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</si>
  <si>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</si>
  <si>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</si>
  <si>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</si>
  <si>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</si>
  <si>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</si>
  <si>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</si>
  <si>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</si>
  <si>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</si>
  <si>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</si>
  <si>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</si>
  <si>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</si>
  <si>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</si>
  <si>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</si>
  <si>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</si>
  <si>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</si>
  <si>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</si>
  <si>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</si>
  <si>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Include a short tutor-style sentence in " &amp; $B$6 &amp; " before the analogy, followed by this EXACT instruction block translated to " &amp; $B$6 &amp; ": '🚨 **Your objective in this lesson:** To truly learn the new  " &amp; $I$2 &amp; "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t>
  </si>
  <si>
    <t>Code MUST be clean, readable, educational, executable, and produce correct and accurate results | " &amp;</t>
  </si>
  <si>
    <t>=IF(H9="Topic",</t>
  </si>
  <si>
    <t>[LIBRARY BEING LEARNED]</t>
  </si>
  <si>
    <t>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t>
  </si>
  <si>
    <t>[WILDCARD SPACE]</t>
  </si>
  <si>
    <t>[EXECUTIVE CONSTRAINTS]</t>
  </si>
  <si>
    <t>Each example MUST include: - Internal data OR dataset usage - Print key intermediate steps and the final result - MUST NOT exceed exactly " &amp; $A9 &amp; " lines of EXECUTABLE code (STRICT: Do NOT count comments or blank lines). - NEVER exceed this limit. | " &amp;</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</si>
  <si>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</si>
  <si>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</si>
  <si>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</si>
  <si>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</si>
  <si>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</si>
  <si>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</si>
  <si>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</si>
  <si>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</si>
  <si>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</si>
  <si>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</si>
  <si>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</si>
  <si>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</si>
  <si>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</si>
  <si>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</si>
  <si>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You are helping a Junior Developer who is " &amp; IF(UPPER(H9)="PROJECT", "building a PROJECT: " &amp; I9 &amp; ". Topics applied in this project: " &amp; B9 &amp; ". Project objective: " &amp; J9, "learning: " &amp; I9 &amp; ". Topic details: " &amp; J9) &amp; "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</si>
  <si>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</si>
  <si>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</si>
  <si>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</si>
  <si>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</si>
  <si>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</si>
  <si>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</si>
  <si>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</si>
  <si>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</si>
  <si>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 &amp; B9 &amp; " | " &amp;</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</si>
  <si>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</si>
  <si>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</si>
  <si>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</si>
  <si>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</si>
  <si>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</si>
  <si>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</si>
  <si>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</si>
  <si>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</si>
  <si>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</si>
  <si>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</si>
  <si>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</si>
  <si>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</si>
  <si>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</si>
  <si>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</si>
  <si>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</si>
  <si>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updated</t>
  </si>
  <si>
    <t>Mentor Stage 1</t>
  </si>
  <si>
    <t>Stage 2</t>
  </si>
  <si>
    <t>The Immutable Kernel</t>
  </si>
  <si>
    <t>Careless " &amp; $I$2 &amp; " Developer</t>
  </si>
  <si>
    <t>Generate debugging challenges in " &amp; $I$2 &amp; " |</t>
  </si>
  <si>
    <t>" &amp; I9 &amp; " |</t>
  </si>
  <si>
    <t>" &amp; G9 &amp; " |</t>
  </si>
  <si>
    <t>" &amp; D9 &amp; " challenges</t>
  </si>
  <si>
    <t>[ENV USAGE RULE]</t>
  </si>
  <si>
    <t>The intro MUST be a dynamically generated, urgent, unprofessional email in " &amp; $B$6 &amp; " with this EXACT format: '📥 From: [Random Dev Name]' / '📤 To: [Insert my user name if you know it from context, otherwise use " &amp; $I$2 &amp; "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 '🚨 Your objective in this lesson: You must copy the code blocks from each Challenge exactly as they are and paste them into your IDE. Then you have to fix all the errors in the code until you achieve the exact Expected Output when running the program.' | " &amp;</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</si>
  <si>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</si>
  <si>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</si>
  <si>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</si>
  <si>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</si>
  <si>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</si>
  <si>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</si>
  <si>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</si>
  <si>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</si>
  <si>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</si>
  <si>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</si>
  <si>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</si>
  <si>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</si>
  <si>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</si>
  <si>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</si>
  <si>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</si>
  <si>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</si>
  <si>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</si>
  <si>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t>
  </si>
  <si>
    <t>Code must fail due to syntax errors, runtime exceptions, or produce incorrect output</t>
  </si>
  <si>
    <t>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</si>
  <si>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</si>
  <si>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</si>
  <si>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</si>
  <si>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</si>
  <si>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</si>
  <si>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</si>
  <si>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</si>
  <si>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</si>
  <si>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</si>
  <si>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</si>
  <si>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</si>
  <si>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</si>
  <si>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</si>
  <si>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</si>
  <si>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</si>
  <si>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</si>
  <si>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</si>
  <si>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</si>
  <si>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</si>
  <si>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</si>
  <si>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</si>
  <si>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</si>
  <si>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</si>
  <si>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</si>
  <si>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</si>
  <si>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</si>
  <si>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</si>
  <si>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</si>
  <si>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</si>
  <si>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</si>
  <si>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</si>
  <si>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</si>
  <si>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</si>
  <si>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</si>
  <si>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</si>
  <si>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You are helping a Junior Developer debug a " &amp; IF(UPPER(H9)="PROJECT", "PROJECT: " &amp; I9 &amp; ". Topics involved: " &amp; B9 &amp; ". Project objective: " &amp; J9, "TOPIC: " &amp; I9 &amp; ". Topic details: " &amp; J9) &amp; " | " &amp;</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</si>
  <si>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</si>
  <si>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</si>
  <si>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</si>
  <si>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</si>
  <si>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</si>
  <si>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</si>
  <si>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</si>
  <si>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</si>
  <si>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</si>
  <si>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</si>
  <si>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</si>
  <si>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</si>
  <si>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</si>
  <si>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</si>
  <si>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</si>
  <si>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</si>
  <si>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</si>
  <si>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</si>
  <si>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</si>
  <si>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</si>
  <si>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</si>
  <si>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</si>
  <si>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</si>
  <si>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</si>
  <si>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</si>
  <si>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</si>
  <si>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</si>
  <si>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</si>
  <si>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</si>
  <si>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</si>
  <si>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</si>
  <si>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</si>
  <si>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</si>
  <si>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</si>
  <si>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</si>
  <si>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</si>
  <si>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</si>
  <si>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</si>
  <si>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</si>
  <si>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</si>
  <si>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</si>
  <si>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</si>
  <si>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</si>
  <si>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</si>
  <si>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</si>
  <si>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</si>
  <si>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</si>
  <si>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</si>
  <si>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</si>
  <si>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</si>
  <si>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</si>
  <si>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</si>
  <si>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</si>
  <si>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</si>
  <si>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You are helping a Junior Developer complete a " &amp; IF(UPPER(H9)="PROJECT", "PROJECT: " &amp; I9 &amp; ". Topics involved: " &amp; B9 &amp; ". Project objective: " &amp; J9, "TOPIC: " &amp; I9 &amp; ". Topic details: " &amp; J9) &amp; " | " &amp;</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</si>
  <si>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</si>
  <si>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</si>
  <si>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</si>
  <si>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</si>
  <si>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</si>
  <si>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</si>
  <si>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</si>
  <si>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</si>
  <si>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</si>
  <si>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</si>
  <si>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</si>
  <si>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</si>
  <si>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</si>
  <si>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</si>
  <si>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</si>
  <si>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</si>
  <si>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</si>
  <si>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</si>
  <si>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</si>
  <si>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</si>
  <si>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</si>
  <si>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</si>
  <si>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</si>
  <si>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</si>
  <si>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</si>
  <si>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</si>
  <si>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</si>
  <si>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</si>
  <si>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</si>
  <si>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</si>
  <si>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</si>
  <si>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</si>
  <si>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</si>
  <si>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</si>
  <si>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</si>
  <si>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</si>
  <si>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</si>
  <si>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</si>
  <si>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</si>
  <si>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</si>
  <si>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</si>
  <si>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</si>
  <si>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</si>
  <si>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</si>
  <si>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</si>
  <si>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</si>
  <si>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</si>
  <si>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You are performing a Code Review for a " &amp; IF(UPPER(H9)="PROJECT", "PROJECT: " &amp; I9 &amp; ". Topics involved: " &amp; B9 &amp; ". Project objective: " &amp; J9, "TOPIC: " &amp; I9 &amp; ". Topic details: " &amp; J9) &amp; " | " &amp;</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</si>
  <si>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</si>
  <si>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</si>
  <si>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</si>
  <si>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</si>
  <si>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</si>
  <si>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</si>
  <si>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</si>
  <si>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</si>
  <si>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</si>
  <si>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</si>
  <si>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</si>
  <si>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</si>
  <si>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</si>
  <si>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</si>
  <si>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</si>
  <si>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</si>
  <si>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</si>
  <si>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</si>
  <si>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</si>
  <si>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</si>
  <si>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</si>
  <si>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</si>
  <si>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</si>
  <si>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</si>
  <si>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</si>
  <si>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</si>
  <si>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</si>
  <si>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</si>
  <si>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</si>
  <si>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</si>
  <si>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</si>
  <si>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</si>
  <si>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</si>
  <si>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</si>
  <si>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</si>
  <si>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</si>
  <si>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</si>
  <si>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</si>
  <si>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</si>
  <si>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</si>
  <si>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</si>
  <si>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</si>
  <si>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</si>
  <si>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</si>
  <si>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</si>
  <si>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</si>
  <si>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</si>
  <si>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</si>
  <si>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</si>
  <si>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</si>
  <si>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You are reviewing the final implementation of a new feature for a " &amp; IF(UPPER(H9)="PROJECT", "PROJECT: " &amp; I9 &amp; ". Topics integrated: " &amp; B9 &amp; ". Business Goal: " &amp; J9, "TOPIC: " &amp; I9 &amp; ". Goal: " &amp; J9) &amp; " | " &amp;</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</si>
  <si>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</si>
  <si>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</si>
  <si>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</si>
  <si>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</si>
  <si>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</si>
  <si>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</si>
  <si>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</si>
  <si>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</si>
  <si>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</si>
  <si>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</si>
  <si>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</si>
  <si>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</si>
  <si>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</si>
  <si>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</si>
  <si>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</si>
  <si>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</si>
  <si>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</si>
  <si>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</si>
  <si>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</si>
  <si>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</si>
  <si>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</si>
  <si>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</si>
  <si>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</si>
  <si>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</si>
  <si>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</si>
  <si>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</si>
  <si>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</si>
  <si>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</si>
  <si>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</si>
  <si>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</si>
  <si>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</si>
  <si>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</si>
  <si>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</si>
  <si>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</si>
  <si>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</si>
  <si>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</si>
  <si>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</si>
  <si>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</si>
  <si>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</si>
  <si>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</si>
  <si>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</si>
  <si>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</si>
  <si>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</si>
  <si>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</si>
  <si>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</si>
  <si>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</si>
  <si>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</si>
  <si>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</si>
  <si>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</si>
  <si>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</si>
  <si>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</si>
  <si>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</si>
  <si>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</si>
  <si>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</si>
  <si>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</si>
  <si>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</si>
  <si>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</si>
  <si>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</si>
  <si>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</si>
  <si>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</si>
  <si>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</si>
  <si>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</si>
  <si>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</si>
  <si>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</si>
  <si>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</si>
  <si>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</si>
  <si>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</si>
  <si>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</si>
  <si>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</si>
  <si>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</si>
  <si>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</si>
  <si>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</si>
  <si>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</si>
  <si>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</si>
  <si>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</si>
  <si>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</si>
  <si>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</si>
  <si>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</si>
  <si>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</si>
  <si>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</si>
  <si>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</si>
  <si>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</si>
  <si>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</si>
  <si>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</si>
  <si>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</si>
  <si>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</si>
  <si>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</si>
  <si>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</si>
  <si>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</si>
  <si>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</si>
  <si>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</si>
  <si>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</si>
  <si>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</si>
  <si>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</si>
  <si>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</si>
  <si>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</si>
  <si>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</si>
  <si>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</si>
  <si>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</si>
  <si>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</si>
  <si>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</si>
  <si>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</si>
  <si>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</si>
  <si>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</si>
  <si>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</si>
  <si>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</si>
  <si>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</si>
  <si>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</si>
  <si>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</si>
  <si>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</si>
  <si>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</si>
  <si>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</si>
  <si>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</si>
  <si>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</si>
  <si>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Code MUST be clean, readable, educational, executable, and produce correct results. Handle missing, malformed, or inconsistent data safely, utilizing pattern matching if possible.</t>
  </si>
  <si>
    <t>[COMMENT CONSTRAINTS]</t>
  </si>
  <si>
    <t>Code MUST include sufficient inline comments explaining WHAT the code does AND WHY it is written that way. Density: Beginner = high, Intermediate = medium, Advanced = lower but present in key logic.</t>
  </si>
  <si>
    <t>[HEX DEPENDENCIES RULE]</t>
  </si>
  <si>
    <t>[EXUNIT RULE]</t>
  </si>
  <si>
    <t>ALWAYS label markdown code blocks with the correct underlying programming language (e.g., elixir, javascript, sql)</t>
  </si>
  <si>
    <t>Yes</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</si>
  <si>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</si>
  <si>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</si>
  <si>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</si>
  <si>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</si>
  <si>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[TESTING_FRAMEWORK_LIMITS]</t>
  </si>
  <si>
    <t>Mentor</t>
  </si>
  <si>
    <t>[PERFORMANCE_LIBRARIES]</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</si>
  <si>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</si>
  <si>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</si>
  <si>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</si>
  <si>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</si>
  <si>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</si>
  <si>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</si>
  <si>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</si>
  <si>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</si>
  <si>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</si>
  <si>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</si>
  <si>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[INLINE_INSTALL_SYNTAX]</t>
  </si>
  <si>
    <t>[TESTING_ENVIRONMENT]</t>
  </si>
  <si>
    <t>[FORBIDDEN_TEST_METHOD]</t>
  </si>
  <si>
    <t>[ALLOWED_TEST_SYNTAX]</t>
  </si>
  <si>
    <t>Rule Component</t>
  </si>
  <si>
    <t>Component Tag</t>
  </si>
  <si>
    <t>Projects</t>
  </si>
  <si>
    <t>[SCOPE_ARCHITECTURE_RULE]</t>
  </si>
  <si>
    <t>[VISUAL_ARCHITECTURE_COMMENTS]</t>
  </si>
  <si>
    <t>[VISUAL_BLOCK_COMMENT]</t>
  </si>
  <si>
    <t>80 characters</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</si>
  <si>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</si>
  <si>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</si>
  <si>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</si>
  <si>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</si>
  <si>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</si>
  <si>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</si>
  <si>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</si>
  <si>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</si>
  <si>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</si>
  <si>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</si>
  <si>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</si>
  <si>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</si>
  <si>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[EXUNIT_RULE]</t>
  </si>
  <si>
    <t>[TESTING_SYNTAX_LIMITS]</t>
  </si>
  <si>
    <t>[HEX_DEPENDENCIES_RULE]</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</si>
  <si>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</si>
  <si>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</si>
  <si>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</si>
  <si>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</si>
  <si>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</si>
  <si>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</si>
  <si>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</si>
  <si>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</si>
  <si>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</si>
  <si>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</si>
  <si>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</si>
  <si>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[ELIXIR_QUALITY_RULE_STRICT]</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</si>
  <si>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</si>
  <si>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</si>
  <si>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</si>
  <si>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</si>
  <si>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</si>
  <si>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</si>
  <si>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</si>
  <si>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</si>
  <si>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</si>
  <si>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</si>
  <si>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</si>
  <si>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</si>
  <si>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</si>
  <si>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</si>
  <si>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MUST be between</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</si>
  <si>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</si>
  <si>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</si>
  <si>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</si>
  <si>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</si>
  <si>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</si>
  <si>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</si>
  <si>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</si>
  <si>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</si>
  <si>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</si>
  <si>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</si>
  <si>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</si>
  <si>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</si>
  <si>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</si>
  <si>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</si>
  <si>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</si>
  <si>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</si>
  <si>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</si>
  <si>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GenServer, Supervisor, Registry, or DynamicSupervisor</t>
  </si>
  <si>
    <t>manual process linking (spawn/1, spawn_link/1) outside standard OTP behaviors</t>
  </si>
  <si>
    <t>concurrent asynchronous processes and proper Supervisor tree state isolation</t>
  </si>
  <si>
    <t>Focus on basic GenServer implementations with simple init/1 and synchronous handle_call/3 callbacks.</t>
  </si>
  <si>
    <t>Integrate GenServer within a Supervisor tree. Use asynchronous handle_cast/2 and explicit state transitions.</t>
  </si>
  <si>
    <t>Build fault-tolerant OTP apps with DynamicSupervisor, Registry for process discovery, and handle_info/2 handlers.</t>
  </si>
  <si>
    <t>stateful GenServer state or external message passing</t>
  </si>
  <si>
    <t>Logger.info/debug or IO.inspect inside isolated process callbacks</t>
  </si>
  <si>
    <t>standard OTP message passing via send/2 or GenServer.call/3</t>
  </si>
  <si>
    <t>{:reply, response, new_state}, {:noreply, new_state}, and {:ok, state} tuples</t>
  </si>
  <si>
    <t>ExUnit with isolated async processes (use ExUnit.Case, async: true)</t>
  </si>
  <si>
    <t>manual process link hacking outside of standard OTP abstractions</t>
  </si>
  <si>
    <t>standard test macros and assert_receive/assert_received for message validation</t>
  </si>
  <si>
    <t>visual block tags separating OTP layers (e.g., '# --- CLIENT API ---', '# --- SERVER CALLBACKS ---')</t>
  </si>
  <si>
    <t>comprehensive documentation using @moduledoc and @doc explaining process state APIs</t>
  </si>
  <si>
    <t>Evaluate based on basic GenServer structure (init/1, handle_call/3). Do NOT expect full Supervisor trees unless explicitly demanded.</t>
  </si>
  <si>
    <t>Expect GenServer behaviors integrated into a standard Supervisor. Look for proper state isolation and appropriate use of handle_cast/2 to avoid blocking.</t>
  </si>
  <si>
    <t>Expect complete OTP apps with DynamicSupervisor, clean separation of Client API/Server Callbacks, and handle_info/2 pattern matching.</t>
  </si>
  <si>
    <t>Use descriptive snake_case for functions/variables, and PascalCase for module aliases.</t>
  </si>
  <si>
    <t>Leverage proper tuple pattern matching (e.g., {:noreply, new_state}) and strict immutability within process boundaries.</t>
  </si>
  <si>
    <t>Reject process mailbox clogging, blocking callbacks, bypassing OTP behaviors, or modifying external global state.</t>
  </si>
  <si>
    <t>If using default arguments ('\\') with multiple function clauses or callbacks, you MUST declare a function head without a body.</t>
  </si>
  <si>
    <t>Use standard GenServer message passing and gracefully handle tuple returns like {:reply, response, state} or {:stop, reason, state}.</t>
  </si>
  <si>
    <t>Application environment config may be used but bugs MUST exist ONLY in GenServer/Supervisor logic, NEVER in config/config.exs.</t>
  </si>
  <si>
    <t>If supervision trees/application logic are externalized, MUST include: 1. Instructional sentence 2. Setup module block 3. BEFORE the broken OTP module (Support files MUST contain NO bugs)</t>
  </si>
  <si>
    <t>Always use use ExUnit.Case, async: true. You MUST use assert_receive or sys.get_state/1 for process testing. Avoid doctests for stateful OTP processes.</t>
  </si>
  <si>
    <t>Assume a standard Mix project context. External Hex dependencies MUST be specified strictly within the deps/0 block of mix.exs. NEVER use Mix.install/2.</t>
  </si>
  <si>
    <t>Each challenge MUST include: - At least 1 GenServer or Supervisor - Explicit state initialization (init/1) - At least 1 synchronous or asynchronous OTP callback handler</t>
  </si>
  <si>
    <t>lines of EXECUTABLE broken OTP code per example (STRICT: Do NOT count blank lines). Enforce immutable state transitions across process boundaries.</t>
  </si>
  <si>
    <t>All challenges MUST have similar process tree depth and architectural complexity.</t>
  </si>
  <si>
    <t>Simulate a messy production OTP environment. The project MUST contain EXACTLY 2–5 bugs. You MUST randomly select from real-world concurrency/OTP errors:</t>
  </si>
  <si>
    <t>1. OTP API Setup (e.g., missing start_link/1, unhandled init/1 tuples, missing behavior implementations),</t>
  </si>
  <si>
    <t>2. State/Logic (e.g., returning wrong state tuple format, mutating state incorrectly, blocking handle_call), AND</t>
  </si>
  <si>
    <t>3. Concurrency/Runtime (e.g., GenServer timeout, deadlocks, crashed Supervisor children, unhandled handle_info messages).</t>
  </si>
  <si>
    <t>Code MUST be production-like, cleanly implementing standard OTP behaviors and fault-tolerant supervision.</t>
  </si>
  <si>
    <t>Use descriptive snake_case for variables/functions, and PascalCase for modules.</t>
  </si>
  <si>
    <t>Enforce isolated process state and strict immutability within all OTP callbacks.</t>
  </si>
  <si>
    <t>If using default arguments ('\\') with multiple function clauses in Client APIs, you MUST declare a function head without a body.</t>
  </si>
  <si>
    <t>External Hex packages MUST be added to the deps/0 function in a standard mix.exs file. Do not use standalone scripts or Mix.install/2.</t>
  </si>
  <si>
    <t>Tests MUST run isolated async processes (use ExUnit.Case, async: true). NEVER hack process links manually; use assert_receive to verify OTP flows.</t>
  </si>
  <si>
    <t>Each challenge MUST include: - A functional GenServer or Supervisor tree managing continuous isolated state.</t>
  </si>
  <si>
    <t>lines of EXECUTABLE base OTP code (STRICT: Do NOT count comments or TODOs). Length MUST vary. Enforce isolated immutable process state.</t>
  </si>
  <si>
    <t>Require standard mix.exs tooling for dependencies. Do NOT use Mix.install/2.</t>
  </si>
  <si>
    <t>lines of EXECUTABLE base OTP code (STRICT: Do NOT count comments or TODOs). Must feature inter-process communication or supervision tree flows.</t>
  </si>
  <si>
    <t>Code MUST perfectly model idiomatic OTP architectural paradigms utilizing standard Mix ecosystem tools.</t>
  </si>
  <si>
    <t>Use descriptive snake_case for variables/functions, PascalCase for modules.</t>
  </si>
  <si>
    <t>Enforce pattern matching on strict OTP return tuples (e.g., {:reply, response, state}) and maintain flawless process isolation.</t>
  </si>
  <si>
    <t>Reject manual thread spawns, blocking OTP callbacks, and unprotected state modification. Use function heads for default arguments on multi-clause definitions.</t>
  </si>
  <si>
    <t>Code MUST adhere strictly to Elixir Style Guide and OTP standards. Use snake_case for functions/variables, PascalCase for modules. Use only isolated GenServer state. Emphasize fault-tolerant Supervisor designs.</t>
  </si>
  <si>
    <t>Code MUST adhere strictly to Elixir Style Guide and OTP standards. Use snake_case for functions/variables, PascalCase for modules. NEVER leak state globally; enforce strict callback immutability. Prioritize highly fault-tolerant OTP architectures.</t>
  </si>
  <si>
    <t>Elixir OTP</t>
  </si>
  <si>
    <t>Implement concurrency and manual state management using spawn/1, send/2, receive, and manual recursion state.</t>
  </si>
  <si>
    <t>Concurrency Refresher &amp; Manual State (spawn/1, send/2, receive, manual recursion state)</t>
  </si>
  <si>
    <t>Manage manual monitoring and exits using Process.link/1, Process.monitor/1, and Process.flag/2 with :trap_exit.</t>
  </si>
  <si>
    <t>Manual Monitoring &amp; Exits (Process.link/1, Process.monitor/1, Process.flag/2 with :trap_exit)</t>
  </si>
  <si>
    <t>Create OTP behaviours and implement inversion of control utilizing @behaviour, @callback, behaviour modules, and callback-driven architecture.</t>
  </si>
  <si>
    <t>OTP Behaviours &amp; Inversion of Control (@behaviour, @callback, behaviour modules, callback-driven architecture)</t>
  </si>
  <si>
    <t>Implement encapsulated state with Agents using Agent.start_link/2, Agent.get/3, Agent.update/3, and Agent.cast/2.</t>
  </si>
  <si>
    <t>Encapsulated State with Agents (Agent.start_link/2, Agent.get/3, Agent.update/3, Agent.cast/2)</t>
  </si>
  <si>
    <t>Construct GenServer core structures and synchronous flows using use GenServer, init/1, GenServer.call/3, and handle_call/3.</t>
  </si>
  <si>
    <t>GenServer Core &amp; Synchronous Flow (use GenServer, init/1, GenServer.call/3, handle_call/3)</t>
  </si>
  <si>
    <t>Implement asynchronous flow and deferred initialization using GenServer.cast/2, handle_cast/2, and handle_continue/2 for non-blocking init.</t>
  </si>
  <si>
    <t>Asynchronous Flow &amp; Deferred Init (GenServer.cast/2, handle_cast/2, handle_continue/2 for non-blocking init)</t>
  </si>
  <si>
    <t>Manage internal events, tickers, and lifecycle using send/2 to self, Process.send_after/3 for periodic work, handle_info/2, terminate/2, and Timeouts.</t>
  </si>
  <si>
    <t>Internal Events, Tickers &amp; Lifecycle (send/2 to self, Process.send_after/3 for periodic work, handle_info/2, terminate/2, Timeouts)</t>
  </si>
  <si>
    <t>Build an interactive encapsulated state system utilizing spawn/1, send/2, receive, Agents, and GenServer core callbacks.</t>
  </si>
  <si>
    <t>PROJECT: Basic OTP State Manager</t>
  </si>
  <si>
    <t>Design state modeling patterns using Maps as state, Structs as state, nested state transitions, and process ownership design.</t>
  </si>
  <si>
    <t>State Modeling Patterns (Maps as state, Structs as state, nested state transitions, process ownership design)</t>
  </si>
  <si>
    <t>Implement local registration and global basics using Local name: atom, Process.whereis/1, Process.register/2, and the :global module.</t>
  </si>
  <si>
    <t>Local Registration &amp; Global Basics (Local name: atom, Process.whereis/1, Process.register/2, :global module)</t>
  </si>
  <si>
    <t>Implement dynamic naming with The Registry Module using Registry.start_link/1, Registry.lookup/2, and {:via, Registry, ...} dynamic routing.</t>
  </si>
  <si>
    <t>The Registry Module &amp; Dynamic Naming (Registry.start_link/1, Registry.lookup/2, {:via, Registry, ...} dynamic routing)</t>
  </si>
  <si>
    <t>Define Supervisor core and child specifications using use Supervisor, init/1, child_spec/1, shutdown timeouts vs :brutal_kill, and process ownership.</t>
  </si>
  <si>
    <t>Supervisor Core &amp; Child Specifications (use Supervisor, init/1, child_spec/1, shutdown timeouts vs :brutal_kill, process ownership)</t>
  </si>
  <si>
    <t>Configure Supervisor strategies and tuning using :one_for_one, :one_for_all, :rest_for_one, and max_restarts/max_seconds.</t>
  </si>
  <si>
    <t>Supervisor Strategies &amp; Tuning (:one_for_one, :one_for_all, :rest_for_one, max_restarts/max_seconds)</t>
  </si>
  <si>
    <t>Architect Supervision trees and dynamic supervisors using parent-child cascades, DynamicSupervisor, start_child/2, and failure domains.</t>
  </si>
  <si>
    <t>Supervision Trees &amp; Dynamic Supervisors (Architecting parent-child cascades, DynamicSupervisor, start_child/2, failure domains)</t>
  </si>
  <si>
    <t>Execute asynchronous tasks and bounded concurrency using Task.async/1, Task.await/2, Task.yield/2, and Task.async_stream/3 for safe massive processing.</t>
  </si>
  <si>
    <t>Asynchronous Tasks &amp; Bounded Concurrency (Task.async/1, Task.await/2, Task.yield/2, Task.async_stream/3 for safe massive processing)</t>
  </si>
  <si>
    <t>Develop a fault-tolerant job processing system utilizing DynamicSupervisor, Registry, and Task.async_stream/3.</t>
  </si>
  <si>
    <t>PROJECT: Resilient Job Processor</t>
  </si>
  <si>
    <t>Manage unlinked tasks and task supervision using Task.start/1, Task.Supervisor, and Task.Supervisor.async_nolink/2.</t>
  </si>
  <si>
    <t>Unlinked Tasks &amp; Task Supervision (Task.start/1, Task.Supervisor, Task.Supervisor.async_nolink/2)</t>
  </si>
  <si>
    <t>Execute ETS core operations using :ets.new, :ets.insert, :ets.lookup, and :ets.delete.</t>
  </si>
  <si>
    <t>ETS Core Operations (:ets.new, :ets.insert, :ets.lookup, :ets.delete)</t>
  </si>
  <si>
    <t>Configure ETS ownership and advanced patterns utilizing Table types, heir configuration, :read_concurrency / :write_concurrency optimizations, and ETS vs GenServer selection.</t>
  </si>
  <si>
    <t>ETS Ownership &amp; Advanced Patterns (Table types, heir configuration, :read_concurrency / :write_concurrency optimizations, ETS vs GenServer selection)</t>
  </si>
  <si>
    <t>Define Application behavior and environment using use Application, start/2, Config scripts, and Application.get_env/3.</t>
  </si>
  <si>
    <t>Application Behavior &amp; Environment (use Application, start/2, Config scripts, Application.get_env/3)</t>
  </si>
  <si>
    <t>Implement complex initialization and releases using start_phases, mix release, runtime.exs, and connecting to running nodes.</t>
  </si>
  <si>
    <t>Complex Initialization &amp; Releases (start_phases, mix release, runtime.exs, connecting to running nodes)</t>
  </si>
  <si>
    <t>Execute Node operations and RPC using Node.self/0, Node.connect/1, :rpc.call/4, and :rpc.multicall/3.</t>
  </si>
  <si>
    <t>Node Operations &amp; RPC (Node.self/0, Node.connect/1, :rpc.call/4, :rpc.multicall/3)</t>
  </si>
  <si>
    <t>Design distributed architecture and constraints using Node.monitor/2, :pg Process Groups, and handling network partitions/split-brain.</t>
  </si>
  <si>
    <t>Distributed Architecture &amp; Constraints (Node.monitor/2, :pg Process Groups, handling network partitions/split-brain)</t>
  </si>
  <si>
    <t>Construct a distributed caching application utilizing :ets operations, Application lifecycle, and :rpc node calls.</t>
  </si>
  <si>
    <t>PROJECT: Distributed ETS Cache</t>
  </si>
  <si>
    <t>Implement testing for GenServers and internal state using ExUnit with GenServer, asserting synchronous state, and assert_receive/3 for handle_info.</t>
  </si>
  <si>
    <t>Testing GenServers &amp; Internal State (ExUnit with GenServer, asserting synchronous state, assert_receive/3 for handle_info)</t>
  </si>
  <si>
    <t>Formulate testing for Supervisors and fault tolerance using Process.exit/2 simulations, asserting restart behavior, and Task.yield/2 in tests.</t>
  </si>
  <si>
    <t>Testing Supervisors &amp; Fault Tolerance (Process.exit/2 simulations, asserting restart behavior, Task.yield/2 in tests)</t>
  </si>
  <si>
    <t>Design testing for Registries and distributed systems by asserting via tuples, mocking node connections, and testing ETS table state.</t>
  </si>
  <si>
    <t>Testing Registries &amp; Distributed Systems (Asserting via tuples, mocking node connections, testing ETS table state)</t>
  </si>
  <si>
    <t>Develop a comprehensive concurrent test suite for an OTP application validating Supervisors, GenServer state, and Registry via tuples.</t>
  </si>
  <si>
    <t>PROJECT: Master OTP Test Suite</t>
  </si>
  <si>
    <t>Standard mix.exs dependencies list (defp deps do [{:package_name, '~&gt; version'}]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</si>
</sst>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s>
  <fills count="38">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theme="5"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36">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15" fillId="33" borderId="20" xfId="0" applyFont="1" applyFill="1" applyBorder="1" applyAlignment="1">
      <alignment vertical="center"/>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4" borderId="0" xfId="0" applyFont="1" applyFill="1"/>
    <xf numFmtId="0" fontId="0" fillId="35" borderId="0" xfId="0" applyFill="1"/>
    <xf numFmtId="0" fontId="0" fillId="36" borderId="0" xfId="0" applyFill="1"/>
    <xf numFmtId="0" fontId="0" fillId="28" borderId="0" xfId="0" applyFill="1"/>
    <xf numFmtId="0" fontId="0" fillId="37" borderId="0" xfId="0" applyFill="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85" zoomScaleNormal="85" workbookViewId="0">
      <selection activeCell="AC24" sqref="AC24"/>
    </sheetView>
  </sheetViews>
  <sheetFormatPr defaultColWidth="11.42578125" defaultRowHeight="15"/>
  <cols>
    <col min="1" max="1" width="11.28515625" bestFit="1" customWidth="1"/>
    <col min="2" max="2" width="15.7109375" customWidth="1"/>
    <col min="3" max="3" width="5.7109375"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96"/>
      <c r="B1" s="1"/>
      <c r="C1" s="2"/>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$A9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Elixir OTP | [TASK] Teach and explain concepts clearly with correct code examples | [TOPIC] Implement concurrency and manual state management using spawn/1, send/2, receive, and manual recursion state. | [LEVEL] Advanced | [COUNT] 4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 | Stage 1 📖 Practice | Elixir OTP | 📊 Level: Advanced | 🌐 Coding5s.com
**Concept:** Concurrency Refresher &amp; Manual State (spawn/1, send/2, receive, manual recursion state)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CRITICAL PROHIBITION: Do NOT use f-strings (f"...") or any advanced text formatting methods yet. Use basic print() with multiple arguments separated by commas for text labels and variables.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96" t="s">
        <v>230</v>
      </c>
      <c r="B2" s="1"/>
      <c r="C2" s="2"/>
      <c r="D2" s="16"/>
      <c r="E2" s="99" t="str">
        <f>IF(E1="Stage 1","k9:L200",IF(E1="Stage 2","N9:O200",IF(E1="Stage 3","Q9:R200",IF(E1="Stage 4","T9:U200",IF(E1="Stage 5","W9:X200","Stage Incorrecta")))))</f>
        <v>k9:L200</v>
      </c>
      <c r="F2" s="18" t="s">
        <v>8</v>
      </c>
      <c r="G2" s="19"/>
      <c r="H2" s="19"/>
      <c r="I2" s="16" t="s">
        <v>757</v>
      </c>
      <c r="J2" s="16"/>
      <c r="K2" s="131" t="s">
        <v>9</v>
      </c>
      <c r="L2" s="132"/>
      <c r="M2" s="133"/>
      <c r="N2" s="132" t="s">
        <v>10</v>
      </c>
      <c r="O2" s="132"/>
      <c r="P2" s="132"/>
      <c r="Q2" s="134" t="s">
        <v>11</v>
      </c>
      <c r="R2" s="132"/>
      <c r="S2" s="135"/>
      <c r="T2" s="132" t="s">
        <v>12</v>
      </c>
      <c r="U2" s="132"/>
      <c r="V2" s="132"/>
      <c r="W2" s="134" t="s">
        <v>13</v>
      </c>
      <c r="X2" s="132"/>
      <c r="Y2" s="135"/>
      <c r="Z2" s="1"/>
      <c r="AA2" s="1"/>
      <c r="AB2" s="1"/>
      <c r="AC2" s="1"/>
      <c r="AD2" s="1"/>
      <c r="AE2" s="15"/>
      <c r="AF2" s="14"/>
      <c r="AG2" s="14"/>
      <c r="AH2" s="15"/>
      <c r="AI2" s="15"/>
      <c r="AJ2" s="15"/>
      <c r="AK2" s="15"/>
      <c r="AL2" s="15"/>
    </row>
    <row r="3" spans="1:39" ht="26.25">
      <c r="A3" s="96" t="str">
        <f>""</f>
        <v/>
      </c>
      <c r="B3" s="1"/>
      <c r="C3" s="2" t="s">
        <v>14</v>
      </c>
      <c r="D3" s="2"/>
      <c r="E3" s="100">
        <f>COUNTA(E9:E200)-E4</f>
        <v>8</v>
      </c>
      <c r="F3" s="97" t="s">
        <v>275</v>
      </c>
      <c r="G3" s="2"/>
      <c r="H3" s="2"/>
      <c r="I3" s="16"/>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96"/>
      <c r="B4" s="1"/>
      <c r="C4" s="2" t="s">
        <v>15</v>
      </c>
      <c r="D4" s="2"/>
      <c r="E4" s="101">
        <f>COUNTIF($E$9:$E$200,"No")</f>
        <v>20</v>
      </c>
      <c r="F4" s="98"/>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96"/>
      <c r="B5" s="32" t="s">
        <v>16</v>
      </c>
      <c r="C5" s="32" t="s">
        <v>17</v>
      </c>
      <c r="D5" s="2"/>
      <c r="E5" s="32" t="s">
        <v>511</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96"/>
      <c r="B6" s="34" t="s">
        <v>18</v>
      </c>
      <c r="C6" s="17" t="str">
        <f>VLOOKUP(B6,AL:AM,2,0)</f>
        <v>es</v>
      </c>
      <c r="D6" s="2"/>
      <c r="E6" s="35" t="str" cm="1">
        <f t="array" ref="E6">"AL9:"&amp;ADDRESS(_xlfn.AGGREGATE(14, 6, ROW(AL:AL)*(AL:AL&lt;&gt;""), 1), COLUMN(AL:AL))</f>
        <v>AL9:$AL$48</v>
      </c>
      <c r="F6" s="27"/>
      <c r="G6" s="2"/>
      <c r="H6" s="28"/>
      <c r="I6" s="29"/>
      <c r="J6" s="29"/>
      <c r="K6" s="30"/>
      <c r="L6" s="31"/>
      <c r="M6" s="23"/>
      <c r="N6" s="31"/>
      <c r="O6" s="31"/>
      <c r="P6" s="22"/>
      <c r="Q6" s="21"/>
      <c r="R6" s="2"/>
      <c r="S6" s="25"/>
      <c r="T6" s="22"/>
      <c r="U6" s="22"/>
      <c r="V6" s="22"/>
      <c r="W6" s="26"/>
      <c r="X6" s="22"/>
      <c r="Y6" s="25"/>
      <c r="Z6" s="1"/>
      <c r="AA6" s="1"/>
      <c r="AB6" s="1"/>
      <c r="AC6" s="1"/>
      <c r="AD6" s="1"/>
      <c r="AE6" s="104" t="s">
        <v>19</v>
      </c>
      <c r="AF6" s="15"/>
      <c r="AG6" s="15"/>
      <c r="AH6" s="15"/>
      <c r="AI6" s="15"/>
      <c r="AJ6" s="15"/>
      <c r="AK6" s="15"/>
      <c r="AL6" s="15"/>
    </row>
    <row r="7" spans="1:39">
      <c r="A7" s="96"/>
      <c r="B7" s="1"/>
      <c r="C7" s="2"/>
      <c r="D7" s="2"/>
      <c r="E7" s="20"/>
      <c r="F7" s="36"/>
      <c r="G7" s="36"/>
      <c r="H7" s="37"/>
      <c r="I7" s="28"/>
      <c r="J7" s="28"/>
      <c r="K7" s="31" t="s">
        <v>278</v>
      </c>
      <c r="L7" s="31"/>
      <c r="M7" s="38"/>
      <c r="N7" s="31"/>
      <c r="O7" s="31"/>
      <c r="P7" s="22"/>
      <c r="Q7" s="31"/>
      <c r="R7" s="31"/>
      <c r="S7" s="39"/>
      <c r="T7" s="31"/>
      <c r="U7" s="31"/>
      <c r="V7" s="22"/>
      <c r="W7" s="31"/>
      <c r="X7" s="31"/>
      <c r="Y7" s="39"/>
      <c r="Z7" s="31" t="s">
        <v>278</v>
      </c>
      <c r="AA7" s="31"/>
      <c r="AB7" s="31"/>
      <c r="AC7" s="31"/>
      <c r="AD7" s="31"/>
      <c r="AE7" s="35" t="str">
        <f>_xlfn.CONCAT(AH9:AH200)</f>
        <v/>
      </c>
      <c r="AF7" s="15"/>
      <c r="AG7" s="15"/>
      <c r="AH7" s="15"/>
      <c r="AI7" s="15"/>
      <c r="AJ7" s="15"/>
      <c r="AK7" s="130" t="s">
        <v>516</v>
      </c>
      <c r="AL7" s="130"/>
      <c r="AM7" s="130"/>
    </row>
    <row r="8" spans="1:39">
      <c r="A8" s="41" t="s">
        <v>20</v>
      </c>
      <c r="B8" s="42" t="s">
        <v>21</v>
      </c>
      <c r="C8" s="43">
        <v>0</v>
      </c>
      <c r="D8" s="43" t="s">
        <v>512</v>
      </c>
      <c r="E8" s="44" t="s">
        <v>22</v>
      </c>
      <c r="F8" s="43" t="s">
        <v>23</v>
      </c>
      <c r="G8" s="42" t="s">
        <v>24</v>
      </c>
      <c r="H8" s="42" t="s">
        <v>25</v>
      </c>
      <c r="I8" s="42" t="s">
        <v>26</v>
      </c>
      <c r="J8" s="42" t="s">
        <v>27</v>
      </c>
      <c r="K8" s="42" t="s">
        <v>28</v>
      </c>
      <c r="L8" s="42" t="s">
        <v>29</v>
      </c>
      <c r="M8" s="42" t="s">
        <v>30</v>
      </c>
      <c r="N8" s="42" t="s">
        <v>31</v>
      </c>
      <c r="O8" s="42" t="s">
        <v>29</v>
      </c>
      <c r="P8" s="42" t="s">
        <v>32</v>
      </c>
      <c r="Q8" s="42" t="s">
        <v>33</v>
      </c>
      <c r="R8" s="42" t="s">
        <v>29</v>
      </c>
      <c r="S8" s="42" t="s">
        <v>34</v>
      </c>
      <c r="T8" s="42" t="s">
        <v>35</v>
      </c>
      <c r="U8" s="42" t="s">
        <v>29</v>
      </c>
      <c r="V8" s="42" t="s">
        <v>36</v>
      </c>
      <c r="W8" s="42" t="s">
        <v>37</v>
      </c>
      <c r="X8" s="42" t="s">
        <v>29</v>
      </c>
      <c r="Y8" s="42" t="s">
        <v>38</v>
      </c>
      <c r="Z8" s="42" t="s">
        <v>39</v>
      </c>
      <c r="AA8" s="42" t="s">
        <v>40</v>
      </c>
      <c r="AB8" s="42" t="s">
        <v>41</v>
      </c>
      <c r="AC8" s="42" t="s">
        <v>42</v>
      </c>
      <c r="AD8" s="42" t="s">
        <v>43</v>
      </c>
      <c r="AE8" s="42" t="s">
        <v>513</v>
      </c>
      <c r="AF8" s="42" t="s">
        <v>514</v>
      </c>
      <c r="AG8" s="42" t="s">
        <v>515</v>
      </c>
      <c r="AH8" s="42" t="s">
        <v>44</v>
      </c>
      <c r="AI8" s="42" t="s">
        <v>45</v>
      </c>
      <c r="AJ8" s="42" t="s">
        <v>518</v>
      </c>
      <c r="AK8" s="42" t="s">
        <v>46</v>
      </c>
      <c r="AL8" s="42" t="s">
        <v>47</v>
      </c>
      <c r="AM8" s="42" t="s">
        <v>17</v>
      </c>
    </row>
    <row r="9" spans="1:39">
      <c r="A9" s="95">
        <v>15</v>
      </c>
      <c r="B9" s="45" t="str" cm="1">
        <f t="array" ref="B9">IF(H9="PROJECT", CHAR(10) &amp; "- " &amp; _xlfn.TEXTJOIN(CHAR(10) &amp; "- ", TRUE, _xlfn._xlws.FILTER($I$9:$I$1000, ($C$9:$C$1000=C9) * ($H$9:$H$1000="Topic"))), "")</f>
        <v/>
      </c>
      <c r="C9" s="45">
        <f t="shared" ref="C9:C72" si="0">IF(AND(H9="Topic",H8="PROJECT"),C8+1,IF(H9="PROJECT",C8,IF(AND(H9="Topic",H8="Topic"),C8,C8+1)))</f>
        <v>1</v>
      </c>
      <c r="D9" s="46">
        <v>4</v>
      </c>
      <c r="E9" s="47" t="s">
        <v>48</v>
      </c>
      <c r="F9" s="48">
        <v>1</v>
      </c>
      <c r="G9" s="49" t="s">
        <v>162</v>
      </c>
      <c r="H9" s="49" t="s">
        <v>50</v>
      </c>
      <c r="I9" s="50" t="s">
        <v>758</v>
      </c>
      <c r="J9" s="51" t="s">
        <v>759</v>
      </c>
      <c r="K9" s="120" t="str">
        <f>IF(H9="Topic",
"[ROLE] Friendly tutor specializing in " &amp; $I$2 &amp; " | " &amp;
"[TOPIC] " &amp; I9 &amp; " | " &amp;
"[LEVEL] " &amp; G9 &amp; " | " &amp;
"[COUNT] " &amp; D9 &amp; " examples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$A9 &amp; " lines of EXECUTABLE code (STRICT: Do NOT count comments or blank lines). - NEVER exceed this limit. | " &amp;
"[FUNCTION RULE] Rule: " &amp; IF(G9="Beginner","Focus on basic GenServer implementations with simple init/1 and synchronous handle_call/3 callbacks.", IF(G9="Intermediate", "Integrate GenServer within a Supervisor tree. Use asynchronous handle_cast/2 and explicit state transitions.", "stateful GenServer state or external message passing")) &amp; " | " &amp;
"[CODE_CONSTRAINTS_RULE] Each example MUST: - Use stateful GenServer state or external message passing - Print steps &amp; result via Logger.info/debug or IO.inspect inside isolated process callbacks - MAX " &amp; $A9 &amp; " executable lines (comments/blanks excluded) - NEVER exceed limit. | " &amp;
"[I_O_PARADIGM] Use standard OTP message passing via send/2 or GenServer.call/3 and gracefully handle {:reply, response, new_state}, {:noreply, new_state}, and {:ok, state} tuples when applicable. | " &amp;
"[INLINE_PACKAGE_MANAGER] If using external packages, use Standard mix.exs dependencies list (defp deps do [{:package_name, '~&gt; version'}] end) at the top of the code block. Assume no project configuration file exists. | " &amp;
_xlfn._LONGTEXT("[TESTING_FRAMEWORK_LIMITS]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 &amp;
"[CODE QUALITY RULE] Code MUST be clean, readable, educational, executable, and produce correct results. Handle missing, malformed, or inconsistent data safely, utilizing pattern matching if possible. | " &amp;
"[COMMENT CONSTRAINTS] Code MUST include sufficient inline comments explaining WHAT the code does AND WHY it is written that way. Density: Beginner = high, Intermediate = medium, Advanced = 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Elixir OTP | [TOPIC] Implement concurrency and manual state management using spawn/1, send/2, receive, and manual recursion state.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15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Elixir OTP | 📊 Level: Advanced | 🌐 Coding5s.com
**Concept:** Concurrency Refresher &amp; Manual State (spawn/1, send/2, receive, manual recursion state)
---
 | [INTRO RULE] Include a short tutor-style sentence in Spanish before the analogy, followed by this EXACT instruction block translated to Spanish: '🚨 **Your objective in this lesson:** To truly learn the new  Elixir OTP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3"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B9 &amp; ". Project objective: " &amp; J9, "learning: " &amp; I9 &amp; ". Topic details: " &amp; J9)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based on basic GenServer structure (init/1, handle_call/3). Do NOT expect full Supervisor trees unless explicitly demanded.", IF(G9="Intermediate", "Expect GenServer behaviors integrated into a standard Supervisor. Look for proper state isolation and appropriate use of handle_cast/2 to avoid blocking.", "Expect complete OTP apps with DynamicSupervisor, clean separation of Client API/Server Callbacks, and handle_info/2 pattern matching.")) &amp; " | " &amp;
_xlfn._LONGTEXT("[CODE_QUALITY_POLICIES]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concurrency and manual state management using spawn/1, send/2, receive, and manual recursion state.. Topic details: Concurrency Refresher &amp; Manual State (spawn/1, send/2, receive, manual recursion state)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Elixir OTP | 📊 Level: Advanced
**Topic:** Implement concurrency and manual state management using spawn/1, send/2, receive, and manual recursion state.
---
 | [FOOTER RULE - STRICT] End your response with: '--- ⚡ *Coding5s Mentor System — Eliminating Epistemic Debt*' | </v>
      </c>
      <c r="M9" s="52">
        <v>0</v>
      </c>
      <c r="N9" s="102" t="str">
        <f>IF(H9="Topic",
"[ROLE] Careless " &amp; $I$2 &amp; " Developer | " &amp;
"[TASK] Generate debugging challenges in " &amp; $I$2 &amp; " | | " &amp;
"[TOPIC] " &amp; I9 &amp; " | | " &amp;
"[LEVEL] " &amp; G9 &amp; " | | " &amp;
"[COUNT] " &amp; D9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 &amp;
"[EXUNIT RULE] If the topic involves ExUnit or Testing, NEVER use doctests (@doc iex&gt;). You MUST use standard test macros (test 'test name' do) and assert statements. Doctests cause errors in standalone .exs scripts. | " &amp;
_xlfn._LONGTEXT("[HEX DEPENDENCIES RULE] If the exercise requires using an external Hex package in a standalone script, you MUST use Mix.install([{:package_name, '~&gt; version'}]) at the very top of the code block. Assume there is NO mix.exs file available in the user's env","ironment. | ") &amp;
"[CODE CONSTRAINTS] Each challenge MUST include: - Internal data OR dataset usage - At least 1 Enum/List operation or recursion (when applicable) - At least 1 IO.puts or IO.inspect statement - " &amp; IF(G9="Beginner", "5–15", IF(G9="Intermediate", "10–25", "15–35")) &amp; " lines of EXECUTABLE broken code per example (STRICT: Do NOT count blank lines). Use pure functions and immutability. | All challenges MUST have similar complexity and length.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Elixir OTP Developer | [TASK] Generate debugging challenges in Elixir OTP | | [TOPIC] Implement concurrency and manual state management using spawn/1, send/2, receive, and manual recursion state.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 | Stage 2 🐛 Debug | Elixir OTP | 📊 Level: Advanced | 🌐 Coding5s.com
Concept: Concurrency Refresher &amp; Manual State (spawn/1, send/2, receive, manual recursion state)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OTP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3"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B9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concurrency and manual state management using spawn/1, send/2, receive, and manual recursion state.. Topic details: Concurrency Refresher &amp; Manual State (spawn/1, send/2, receive, manual recursion state)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Elixir OTP | 📊 Level: Advanced
**Topic:** Implement concurrency and manual state management using spawn/1, send/2, receive, and manual recursion state.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2" t="str">
        <f>IF(H9="Topic",
"[ROLE] Tech Lead | " &amp;
"[TASK] Assign incomplete " &amp; $I$2 &amp; " script challenges | " &amp;
"[TOPIC] " &amp; I9 &amp; " | " &amp;
"[LEVEL] " &amp; G9 &amp; " | " &amp;
"[COUNT] " &amp; D9 &amp; " challenges | " &amp;
"[LIBRARY BEING LEARNED] " &amp; $I$3 &amp; " | " &amp;
_xlfn._LONGTEXT("[ECOSYSTEM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If the exercise requires using an external Hex package in a standalone script, you MUST use Mix.install([{:package_name, '~&gt; version'}]) at the very top of the code block. | " &amp;
"[TESTING_FRAMEWORK_PROTOCOL] If the topic involves ExUnit or Testing, NEVER use doctests (@doc iex&gt;). You MUST use standard test macros (test 'test name' do) and assert statements. | " &amp;
"[CHALLENGE_CONSTRAINTS_POLICY] Each challenge MUST include: - Internal data OR dataset usage - " &amp; IF(G9="Beginner","5–15", IF(G9="Intermediate","10–25","15–35")) &amp; " lines of EXECUTABLE base code (STRICT: Do NOT count comments or TODOs). - Length MUST vary across challenges. Use pure functions and immutability.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Elixir OTP script challenges | [TOPIC] Implement concurrency and manual state management using spawn/1, send/2, receive, and manual recursion state. | [LEVEL] Advanced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#1 | Stage 3 🧩 Complete | Elixir OTP | 📊 Level: Advanced | 🌐 Coding5s.com
**Concept:** Concurrency Refresher &amp; Manual State (spawn/1, send/2, receive, manual recursion state)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concurrency and manual state management using spawn/1, send/2, receive, and manual recursion state..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3"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B9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concurrency and manual state management using spawn/1, send/2, receive, and manual recursion state.. Topic details: Concurrency Refresher &amp; Manual State (spawn/1, send/2, receive, manual recursion state)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Elixir OTP | 📊 Level: Advanced
**Topic:** Implement concurrency and manual state management using spawn/1, send/2, receive, and manual recursion state.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2" t="str">
        <f>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Implement concurrency and manual state management using spawn/1, send/2, receive, and manual recursion state.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 | Stage 4 🧹 Refactor | Elixir OTP | 📊 Level: Advanced | 🌐 Coding5s.com
**Concept:** Concurrency Refresher &amp; Manual State (spawn/1, send/2, receive, manual recursion state)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3"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B9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concurrency and manual state management using spawn/1, send/2, receive, and manual recursion state.. Topic details: Concurrency Refresher &amp; Manual State (spawn/1, send/2, receive, manual recursion state)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Elixir OTP | 📊 Level: Advanced
**Topic:** Implement concurrency and manual state management using spawn/1, send/2, receive, and manual recursion state.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Elixir OTP Jira Ticket | [TASK] Provide a guided implementation exercise with full solution for learning purposes | [TOPIC] Implement concurrency and manual state management using spawn/1, send/2, receive, and manual recursion state.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 | Stage 5 | Elixir OTP | 📊 Level: Advanced | 🌐 Coding5s.com
**Concept:** Concurrency Refresher &amp; Manual State (spawn/1, send/2, receive, manual recursion state)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3"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B9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concurrency and manual state management using spawn/1, send/2, receive, and manual recursion state.. Goal: Concurrency Refresher &amp; Manual State (spawn/1, send/2, receive, manual recursion state)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Elixir OTP | 📊 Level: Advanced
**Topic:** Implement concurrency and manual state management using spawn/1, send/2, receive, and manual recursion state.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B9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mix.exs dependencies list (defp deps do [{:package_name, '~&gt; version'}] end) at the top. | " &amp;
"[SCOPE_ARCHITECTURE_RULE] Rule: Build fault-tolerant OTP apps with DynamicSupervisor, Registry for process discovery, and handle_info/2 handlers. | " &amp;
_xlfn._LONGTEXT("[VISUAL_ARCHITECTURE_COMMENTS] 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B9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B9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Use Mix.install([{:package_name, '~&gt; version'}]) at the top if needed. | " &amp;
"[CHALLENGE_CONSTRAINTS_POLICY] MUST be between " &amp; IF(G9="Beginner","25–40", IF(G9="Intermediate","30–60","40–100")) &amp; " lines of EXECUTABLE base code (STRICT: Do NOT count comments or TODOs). Multi-step flow.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B9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B9 &amp; " | " &amp;
"[LEVEL] " &amp; G9 &amp; " | " &amp;
"[PERSONA RULE] Act as a professional Tech Product Manager defining a project ticket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51</v>
      </c>
      <c r="AF9" s="55" t="s">
        <v>52</v>
      </c>
      <c r="AG9" s="55" t="s">
        <v>53</v>
      </c>
      <c r="AH9" s="56" t="str">
        <f>IF(AE9=$B$6,AG9,"")</f>
        <v/>
      </c>
      <c r="AI9" s="54" t="s">
        <v>54</v>
      </c>
      <c r="AJ9" s="54"/>
      <c r="AK9" s="54">
        <v>1</v>
      </c>
      <c r="AL9" s="54" t="s">
        <v>55</v>
      </c>
      <c r="AM9" s="54" t="s">
        <v>56</v>
      </c>
    </row>
    <row r="10" spans="1:39">
      <c r="A10" s="95">
        <v>15</v>
      </c>
      <c r="B10" s="45" t="str" cm="1">
        <f t="array" ref="B10">IF(H10="PROJECT", CHAR(10) &amp; "- " &amp; _xlfn.TEXTJOIN(CHAR(10) &amp; "- ", TRUE, _xlfn._xlws.FILTER($I$9:$I$1000, ($C$9:$C$1000=C10) * ($H$9:$H$1000="Topic"))), "")</f>
        <v/>
      </c>
      <c r="C10" s="45">
        <f t="shared" si="0"/>
        <v>1</v>
      </c>
      <c r="D10" s="57">
        <v>4</v>
      </c>
      <c r="E10" s="58" t="s">
        <v>48</v>
      </c>
      <c r="F10" s="59">
        <v>2</v>
      </c>
      <c r="G10" s="60" t="s">
        <v>162</v>
      </c>
      <c r="H10" s="60" t="s">
        <v>50</v>
      </c>
      <c r="I10" s="61" t="s">
        <v>760</v>
      </c>
      <c r="J10" s="62" t="s">
        <v>761</v>
      </c>
      <c r="K10" s="120" t="str">
        <f t="shared" ref="K10:K73" si="1">IF(H10="Topic",
"[ROLE] Friendly tutor specializing in " &amp; $I$2 &amp; " | " &amp;
"[TOPIC] " &amp; I10 &amp; " | " &amp;
"[LEVEL] " &amp; G10 &amp; " | " &amp;
"[COUNT] " &amp; D10 &amp; " examples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$A10 &amp; " lines of EXECUTABLE code (STRICT: Do NOT count comments or blank lines). - NEVER exceed this limit. | " &amp;
"[FUNCTION RULE] Rule: " &amp; IF(G10="Beginner","Focus on basic GenServer implementations with simple init/1 and synchronous handle_call/3 callbacks.", IF(G10="Intermediate", "Integrate GenServer within a Supervisor tree. Use asynchronous handle_cast/2 and explicit state transitions.", "stateful GenServer state or external message passing")) &amp; " | " &amp;
"[CODE_CONSTRAINTS_RULE] Each example MUST: - Use stateful GenServer state or external message passing - Print steps &amp; result via Logger.info/debug or IO.inspect inside isolated process callbacks - MAX " &amp; $A10 &amp; " executable lines (comments/blanks excluded) - NEVER exceed limit. | " &amp;
"[I_O_PARADIGM] Use standard OTP message passing via send/2 or GenServer.call/3 and gracefully handle {:reply, response, new_state}, {:noreply, new_state}, and {:ok, state} tuples when applicable. | " &amp;
"[INLINE_PACKAGE_MANAGER] If using external packages, use Standard mix.exs dependencies list (defp deps do [{:package_name, '~&gt; version'}] end) at the top of the code block. Assume no project configuration file exists. | " &amp;
_xlfn._LONGTEXT("[TESTING_FRAMEWORK_LIMITS]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 &amp;
"[CODE QUALITY RULE] Code MUST be clean, readable, educational, executable, and produce correct results. Handle missing, malformed, or inconsistent data safely, utilizing pattern matching if possible. | " &amp;
"[COMMENT CONSTRAINTS] Code MUST include sufficient inline comments explaining WHAT the code does AND WHY it is written that way. Density: Beginner = high, Intermediate = medium, Advanced = 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D10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Elixir OTP | [TOPIC] Manage manual monitoring and exits using Process.link/1, Process.monitor/1, and Process.flag/2 with :trap_exit.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15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Elixir OTP | 📊 Level: Advanced | 🌐 Coding5s.com
**Concept:** Manual Monitoring &amp; Exits (Process.link/1, Process.monitor/1, Process.flag/2 with :trap_exit)
---
 | [INTRO RULE] Include a short tutor-style sentence in Spanish before the analogy, followed by this EXACT instruction block translated to Spanish: '🚨 **Your objective in this lesson:** To truly learn the new  Elixir OTP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3" t="str">
        <f t="shared" ref="L10:L73" si="2">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B10 &amp; ". Project objective: " &amp; J10, "learning: " &amp; I10 &amp; ". Topic details: " &amp; J10)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IF(G10="Beginner", "Evaluate based on basic GenServer structure (init/1, handle_call/3). Do NOT expect full Supervisor trees unless explicitly demanded.", IF(G10="Intermediate", "Expect GenServer behaviors integrated into a standard Supervisor. Look for proper state isolation and appropriate use of handle_cast/2 to avoid blocking.", "Expect complete OTP apps with DynamicSupervisor, clean separation of Client API/Server Callbacks, and handle_info/2 pattern matching.")) &amp; " | " &amp;
_xlfn._LONGTEXT("[CODE_QUALITY_POLICIES]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manual monitoring and exits using Process.link/1, Process.monitor/1, and Process.flag/2 with :trap_exit.. Topic details: Manual Monitoring &amp; Exits (Process.link/1, Process.monitor/1, Process.flag/2 with :trap_exit)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Elixir OTP | 📊 Level: Advanced
**Topic:** Manage manual monitoring and exits using Process.link/1, Process.monitor/1, and Process.flag/2 with :trap_exit.
---
 | [FOOTER RULE - STRICT] End your response with: '--- ⚡ *Coding5s Mentor System — Eliminating Epistemic Debt*' | </v>
      </c>
      <c r="M10" s="52">
        <v>0</v>
      </c>
      <c r="N10" s="102" t="str">
        <f t="shared" ref="N10:N73" si="3">IF(H10="Topic",
"[ROLE] Careless " &amp; $I$2 &amp; " Developer | " &amp;
"[TASK] Generate debugging challenges in " &amp; $I$2 &amp; " | | " &amp;
"[TOPIC] " &amp; I10 &amp; " | | " &amp;
"[LEVEL] " &amp; G10 &amp; " | | " &amp;
"[COUNT] " &amp; D10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 &amp;
"[EXUNIT RULE] If the topic involves ExUnit or Testing, NEVER use doctests (@doc iex&gt;). You MUST use standard test macros (test 'test name' do) and assert statements. Doctests cause errors in standalone .exs scripts. | " &amp;
_xlfn._LONGTEXT("[HEX DEPENDENCIES RULE] If the exercise requires using an external Hex package in a standalone script, you MUST use Mix.install([{:package_name, '~&gt; version'}]) at the very top of the code block. Assume there is NO mix.exs file available in the user's env","ironment. | ") &amp;
"[CODE CONSTRAINTS] Each challenge MUST include: - Internal data OR dataset usage - At least 1 Enum/List operation or recursion (when applicable) - At least 1 IO.puts or IO.inspect statement - " &amp; IF(G10="Beginner", "5–15", IF(G10="Intermediate", "10–25", "15–35")) &amp; " lines of EXECUTABLE broken code per example (STRICT: Do NOT count blank lines). Use pure functions and immutability. | All challenges MUST have similar complexity and length.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Elixir OTP Developer | [TASK] Generate debugging challenges in Elixir OTP | | [TOPIC] Manage manual monitoring and exits using Process.link/1, Process.monitor/1, and Process.flag/2 with :trap_exit.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 | Stage 2 🐛 Debug | Elixir OTP | 📊 Level: Advanced | 🌐 Coding5s.com
Concept: Manual Monitoring &amp; Exits (Process.link/1, Process.monitor/1, Process.flag/2 with :trap_exit)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OTP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3" t="str">
        <f t="shared" ref="O10:O73" si="4">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B10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manual monitoring and exits using Process.link/1, Process.monitor/1, and Process.flag/2 with :trap_exit.. Topic details: Manual Monitoring &amp; Exits (Process.link/1, Process.monitor/1, Process.flag/2 with :trap_exit)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Elixir OTP | 📊 Level: Advanced
**Topic:** Manage manual monitoring and exits using Process.link/1, Process.monitor/1, and Process.flag/2 with :trap_exit.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2" t="str">
        <f t="shared" ref="Q10:Q73" si="5">IF(H10="Topic",
"[ROLE] Tech Lead | " &amp;
"[TASK] Assign incomplete " &amp; $I$2 &amp; " script challenges | " &amp;
"[TOPIC] " &amp; I10 &amp; " | " &amp;
"[LEVEL] " &amp; G10 &amp; " | " &amp;
"[COUNT] " &amp; D10 &amp; " challenges | " &amp;
"[LIBRARY BEING LEARNED] " &amp; $I$3 &amp; " | " &amp;
_xlfn._LONGTEXT("[ECOSYSTEM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If the exercise requires using an external Hex package in a standalone script, you MUST use Mix.install([{:package_name, '~&gt; version'}]) at the very top of the code block. | " &amp;
"[TESTING_FRAMEWORK_PROTOCOL] If the topic involves ExUnit or Testing, NEVER use doctests (@doc iex&gt;). You MUST use standard test macros (test 'test name' do) and assert statements. | " &amp;
"[CHALLENGE_CONSTRAINTS_POLICY] Each challenge MUST include: - Internal data OR dataset usage - " &amp; IF(G10="Beginner","5–15", IF(G10="Intermediate","10–25","15–35")) &amp; " lines of EXECUTABLE base code (STRICT: Do NOT count comments or TODOs). - Length MUST vary across challenges. Use pure functions and immutability.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Elixir OTP script challenges | [TOPIC] Manage manual monitoring and exits using Process.link/1, Process.monitor/1, and Process.flag/2 with :trap_exit. | [LEVEL] Advanced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#2 | Stage 3 🧩 Complete | Elixir OTP | 📊 Level: Advanced | 🌐 Coding5s.com
**Concept:** Manual Monitoring &amp; Exits (Process.link/1, Process.monitor/1, Process.flag/2 with :trap_exit)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manual monitoring and exits using Process.link/1, Process.monitor/1, and Process.flag/2 with :trap_exit..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3" t="str">
        <f t="shared" ref="R10:R73" si="6">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B10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manual monitoring and exits using Process.link/1, Process.monitor/1, and Process.flag/2 with :trap_exit.. Topic details: Manual Monitoring &amp; Exits (Process.link/1, Process.monitor/1, Process.flag/2 with :trap_exit)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Elixir OTP | 📊 Level: Advanced
**Topic:** Manage manual monitoring and exits using Process.link/1, Process.monitor/1, and Process.flag/2 with :trap_exit.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2" t="str">
        <f t="shared" ref="T10:T73" si="7">IF(H10="Topic",
"[ROLE] Tech Lead | " &amp;
"[TASK] Provide intentionally messy but functional code for learning debugging and improvement | " &amp;
"[TOPIC] " &amp; I10 &amp; " | " &amp;
"[LEVEL] " &amp; G10 &amp; " | " &amp;
"[COUNT] " &amp; D10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Manage manual monitoring and exits using Process.link/1, Process.monitor/1, and Process.flag/2 with :trap_exit.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 | Stage 4 🧹 Refactor | Elixir OTP | 📊 Level: Advanced | 🌐 Coding5s.com
**Concept:** Manual Monitoring &amp; Exits (Process.link/1, Process.monitor/1, Process.flag/2 with :trap_exit)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3" t="str">
        <f t="shared" ref="U10:U73" si="8">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B10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Manage manual monitoring and exits using Process.link/1, Process.monitor/1, and Process.flag/2 with :trap_exit.. Topic details: Manual Monitoring &amp; Exits (Process.link/1, Process.monitor/1, Process.flag/2 with :trap_exit)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Elixir OTP | 📊 Level: Advanced
**Topic:** Manage manual monitoring and exits using Process.link/1, Process.monitor/1, and Process.flag/2 with :trap_exit.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ref="W10:W73" si="9">IF(H10="Topic",
"[ROLE] Tech Product Manager assigning a " &amp; $I$2 &amp; " Jira Ticket | " &amp;
"[TASK] Provide a guided implementation exercise with full solution for learning purposes | " &amp;
"[TOPIC] " &amp; I10 &amp; " | " &amp;
"[LEVEL] " &amp; G10 &amp; "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"[FUNCTIONAL_STRUCTURE_POLICY] Rule: " &amp; IF(G10="Beginner", "Use simple scripts or minimal functions. ", IF(G10="Intermediate",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Elixir OTP Jira Ticket | [TASK] Provide a guided implementation exercise with full solution for learning purposes | [TOPIC] Manage manual monitoring and exits using Process.link/1, Process.monitor/1, and Process.flag/2 with :trap_exit.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 | Stage 5 | Elixir OTP | 📊 Level: Advanced | 🌐 Coding5s.com
**Concept:** Manual Monitoring &amp; Exits (Process.link/1, Process.monitor/1, Process.flag/2 with :trap_exit)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3" t="str">
        <f t="shared" ref="X10:X73" si="10">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B10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manual monitoring and exits using Process.link/1, Process.monitor/1, and Process.flag/2 with :trap_exit.. Goal: Manual Monitoring &amp; Exits (Process.link/1, Process.monitor/1, Process.flag/2 with :trap_exit)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Elixir OTP | 📊 Level: Advanced
**Topic:** Manage manual monitoring and exits using Process.link/1, Process.monitor/1, and Process.flag/2 with :trap_exit.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1">IF(H10&lt;&gt;"PROJECT","",
"[TASK] Teach through a practical " &amp; $I$2 &amp; " - " &amp; $I$3 &amp; " project following the micro-learning methodology, acting as a supportive tutor, creating a project about  " &amp; I10 &amp; " | " &amp;
"[TOPICS USED] " &amp; B10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mix.exs dependencies list (defp deps do [{:package_name, '~&gt; version'}] end) at the top. | " &amp;
"[SCOPE_ARCHITECTURE_RULE] Rule: Build fault-tolerant OTP apps with DynamicSupervisor, Registry for process discovery, and handle_info/2 handlers. | " &amp;
_xlfn._LONGTEXT("[VISUAL_ARCHITECTURE_COMMENTS] 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 &amp;
"[DATA ROBUSTNESS RULE] Handle real-world data safely | " &amp;
"[CODE CONSTRAINTS] MUST be between " &amp; IF(G10="Beginner", "25–40", IF(G10="Intermediate",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2">IF(H10&lt;&gt;"PROJECT","",
"[ROLE] Careless " &amp; $I$2 &amp; " Developer | " &amp;
"[TASK] Generate debugging project in " &amp; $I$2 &amp; " | " &amp;
"[PROJECT] " &amp; I10 &amp; " | " &amp;
"[TOPICS USED] " &amp; B10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3">IF(H10&lt;&gt;"PROJECT","",
"[ROLE] Tech Lead | " &amp;
"[TASK] Assign incomplete project script | " &amp;
"[PROJECT] " &amp; I10 &amp; " | " &amp;
"[TOPICS USED] " &amp; B10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"[EXTERNAL_PACKAGE_PROTOCOL] Use Mix.install([{:package_name, '~&gt; version'}]) at the top if needed. | " &amp;
"[CHALLENGE_CONSTRAINTS_POLICY] MUST be between " &amp; IF(G10="Beginner","25–40", IF(G10="Intermediate","30–60","40–100")) &amp; " lines of EXECUTABLE base code (STRICT: Do NOT count comments or TODOs). Multi-step flow.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4">IF(H10&lt;&gt;"PROJECT","",
"[ROLE] Tech Lead | " &amp;
"[TASK] Provide a messy but functional project for refactoring | " &amp;
"[PROJECT] " &amp; I10 &amp; " | " &amp;
"[TOPICS USED] " &amp; B10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5">IF(H10&lt;&gt;"PROJECT","",
"[ROLE] Tech Product Manager assigning a " &amp; $I$2 &amp; " Jira Ticket | " &amp;
"[TASK] Provide a guided project implementation with full solution | " &amp;
"[PROJECT] " &amp; I10 &amp; " | " &amp;
"[TOPICS USED] " &amp; B10 &amp; " | " &amp;
"[LEVEL] " &amp; G10 &amp; " | " &amp;
"[PERSONA RULE] Act as a professional Tech Product Manager defining a project ticket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57</v>
      </c>
      <c r="AF10" s="55" t="s">
        <v>58</v>
      </c>
      <c r="AG10" s="55" t="s">
        <v>59</v>
      </c>
      <c r="AH10" s="56" t="str">
        <f>IF(AE10=$B$6,AG10,"")</f>
        <v/>
      </c>
      <c r="AI10" s="54" t="s">
        <v>60</v>
      </c>
      <c r="AJ10" s="54"/>
      <c r="AK10" s="54">
        <v>2</v>
      </c>
      <c r="AL10" s="54" t="s">
        <v>18</v>
      </c>
      <c r="AM10" s="54" t="s">
        <v>61</v>
      </c>
    </row>
    <row r="11" spans="1:39">
      <c r="A11" s="95">
        <v>20</v>
      </c>
      <c r="B11" s="45" t="str" cm="1">
        <f t="array" ref="B11">IF(H11="PROJECT", CHAR(10) &amp; "- " &amp; _xlfn.TEXTJOIN(CHAR(10) &amp; "- ", TRUE, _xlfn._xlws.FILTER($I$9:$I$1000, ($C$9:$C$1000=C11) * ($H$9:$H$1000="Topic"))), "")</f>
        <v/>
      </c>
      <c r="C11" s="45">
        <f t="shared" si="0"/>
        <v>1</v>
      </c>
      <c r="D11" s="46">
        <v>4</v>
      </c>
      <c r="E11" s="58" t="s">
        <v>48</v>
      </c>
      <c r="F11" s="48">
        <v>3</v>
      </c>
      <c r="G11" s="49" t="s">
        <v>162</v>
      </c>
      <c r="H11" s="49" t="s">
        <v>50</v>
      </c>
      <c r="I11" s="50" t="s">
        <v>762</v>
      </c>
      <c r="J11" s="51" t="s">
        <v>763</v>
      </c>
      <c r="K11" s="120" t="str">
        <f t="shared" si="1"/>
        <v xml:space="preserve">[ROLE] Friendly tutor specializing in Elixir OTP | [TOPIC] Create OTP behaviours and implement inversion of control utilizing @behaviour, @callback, behaviour modules, and callback-driven architecture.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20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Elixir OTP | 📊 Level: Advanced | 🌐 Coding5s.com
**Concept:** OTP Behaviours &amp; Inversion of Control (@behaviour, @callback, behaviour modules, callback-driven architecture)
---
 | [INTRO RULE] Include a short tutor-style sentence in Spanish before the analogy, followed by this EXACT instruction block translated to Spanish: '🚨 **Your objective in this lesson:** To truly learn the new  Elixir OTP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3" t="str">
        <f t="shared" si="2"/>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OTP behaviours and implement inversion of control utilizing @behaviour, @callback, behaviour modules, and callback-driven architecture.. Topic details: OTP Behaviours &amp; Inversion of Control (@behaviour, @callback, behaviour modules, callback-driven architecture)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Elixir OTP | 📊 Level: Advanced
**Topic:** Create OTP behaviours and implement inversion of control utilizing @behaviour, @callback, behaviour modules, and callback-driven architecture.
---
 | [FOOTER RULE - STRICT] End your response with: '--- ⚡ *Coding5s Mentor System — Eliminating Epistemic Debt*' | </v>
      </c>
      <c r="M11" s="52">
        <v>0</v>
      </c>
      <c r="N11" s="102" t="str">
        <f t="shared" si="3"/>
        <v>[ROLE] Careless Elixir OTP Developer | [TASK] Generate debugging challenges in Elixir OTP | | [TOPIC] Create OTP behaviours and implement inversion of control utilizing @behaviour, @callback, behaviour modules, and callback-driven architecture.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#3 | Stage 2 🐛 Debug | Elixir OTP | 📊 Level: Advanced | 🌐 Coding5s.com
Concept: OTP Behaviours &amp; Inversion of Control (@behaviour, @callback, behaviour modules, callback-driven architecture)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OTP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3" t="str">
        <f t="shared" si="4"/>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OTP behaviours and implement inversion of control utilizing @behaviour, @callback, behaviour modules, and callback-driven architecture.. Topic details: OTP Behaviours &amp; Inversion of Control (@behaviour, @callback, behaviour modules, callback-driven architecture)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Elixir OTP | 📊 Level: Advanced
**Topic:** Create OTP behaviours and implement inversion of control utilizing @behaviour, @callback, behaviour modules, and callback-driven architecture.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2" t="str">
        <f t="shared" si="5"/>
        <v>[ROLE] Tech Lead | [TASK] Assign incomplete Elixir OTP script challenges | [TOPIC] Create OTP behaviours and implement inversion of control utilizing @behaviour, @callback, behaviour modules, and callback-driven architecture. | [LEVEL] Advanced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#3 | Stage 3 🧩 Complete | Elixir OTP | 📊 Level: Advanced | 🌐 Coding5s.com
**Concept:** OTP Behaviours &amp; Inversion of Control (@behaviour, @callback, behaviour modules, callback-driven architecture)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OTP behaviours and implement inversion of control utilizing @behaviour, @callback, behaviour modules, and callback-driven architecture..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3" t="str">
        <f t="shared" si="6"/>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OTP behaviours and implement inversion of control utilizing @behaviour, @callback, behaviour modules, and callback-driven architecture.. Topic details: OTP Behaviours &amp; Inversion of Control (@behaviour, @callback, behaviour modules, callback-driven architecture)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Elixir OTP | 📊 Level: Advanced
**Topic:** Create OTP behaviours and implement inversion of control utilizing @behaviour, @callback, behaviour modules, and callback-driven architecture.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2" t="str">
        <f t="shared" si="7"/>
        <v>[ROLE] Tech Lead | [TASK] Provide intentionally messy but functional code for learning debugging and improvement | [TOPIC] Create OTP behaviours and implement inversion of control utilizing @behaviour, @callback, behaviour modules, and callback-driven architecture.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 | Stage 4 🧹 Refactor | Elixir OTP | 📊 Level: Advanced | 🌐 Coding5s.com
**Concept:** OTP Behaviours &amp; Inversion of Control (@behaviour, @callback, behaviour modules, callback-driven architecture)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Create OTP behaviours and implement inversion of control utilizing @behaviour, @callback, behaviour modules, and callback-driven architecture.. Topic details: OTP Behaviours &amp; Inversion of Control (@behaviour, @callback, behaviour modules, callback-driven architecture)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Elixir OTP | 📊 Level: Advanced
**Topic:** Create OTP behaviours and implement inversion of control utilizing @behaviour, @callback, behaviour modules, and callback-driven architecture.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9"/>
        <v>[ROLE] Tech Product Manager assigning a Elixir OTP Jira Ticket | [TASK] Provide a guided implementation exercise with full solution for learning purposes | [TOPIC] Create OTP behaviours and implement inversion of control utilizing @behaviour, @callback, behaviour modules, and callback-driven architecture.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 | Stage 5 | Elixir OTP | 📊 Level: Advanced | 🌐 Coding5s.com
**Concept:** OTP Behaviours &amp; Inversion of Control (@behaviour, @callback, behaviour modules, callback-driven architecture)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OTP behaviours and implement inversion of control utilizing @behaviour, @callback, behaviour modules, and callback-driven architecture.. Goal: OTP Behaviours &amp; Inversion of Control (@behaviour, @callback, behaviour modules, callback-driven architecture)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Elixir OTP | 📊 Level: Advanced
**Topic:** Create OTP behaviours and implement inversion of control utilizing @behaviour, @callback, behaviour modules, and callback-driven architecture.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1"/>
        <v/>
      </c>
      <c r="AA11" s="56" t="str">
        <f t="shared" si="12"/>
        <v/>
      </c>
      <c r="AB11" s="56" t="str">
        <f t="shared" si="13"/>
        <v/>
      </c>
      <c r="AC11" s="56" t="str">
        <f t="shared" si="14"/>
        <v/>
      </c>
      <c r="AD11" s="56" t="str">
        <f t="shared" si="15"/>
        <v/>
      </c>
      <c r="AE11" s="55" t="s">
        <v>62</v>
      </c>
      <c r="AF11" s="55" t="s">
        <v>63</v>
      </c>
      <c r="AG11" s="55" t="s">
        <v>64</v>
      </c>
      <c r="AH11" s="56" t="str">
        <f>IF(AE11=$B$6,AG11,"")</f>
        <v/>
      </c>
      <c r="AI11" s="54" t="s">
        <v>65</v>
      </c>
      <c r="AJ11" s="54"/>
      <c r="AK11" s="54">
        <v>3</v>
      </c>
      <c r="AL11" s="54" t="s">
        <v>66</v>
      </c>
      <c r="AM11" s="54" t="s">
        <v>67</v>
      </c>
    </row>
    <row r="12" spans="1:39">
      <c r="A12" s="95">
        <v>15</v>
      </c>
      <c r="B12" s="45" t="str" cm="1">
        <f t="array" ref="B12">IF(H12="PROJECT", CHAR(10) &amp; "- " &amp; _xlfn.TEXTJOIN(CHAR(10) &amp; "- ", TRUE, _xlfn._xlws.FILTER($I$9:$I$1000, ($C$9:$C$1000=C12) * ($H$9:$H$1000="Topic"))), "")</f>
        <v/>
      </c>
      <c r="C12" s="45">
        <f t="shared" si="0"/>
        <v>1</v>
      </c>
      <c r="D12" s="57">
        <v>3</v>
      </c>
      <c r="E12" s="58" t="s">
        <v>48</v>
      </c>
      <c r="F12" s="59">
        <v>4</v>
      </c>
      <c r="G12" s="60" t="s">
        <v>162</v>
      </c>
      <c r="H12" s="60" t="s">
        <v>50</v>
      </c>
      <c r="I12" s="61" t="s">
        <v>764</v>
      </c>
      <c r="J12" s="62" t="s">
        <v>765</v>
      </c>
      <c r="K12" s="120" t="str">
        <f t="shared" si="1"/>
        <v xml:space="preserve">[ROLE] Friendly tutor specializing in Elixir OTP | [TOPIC] Implement encapsulated state with Agents using Agent.start_link/2, Agent.get/3, Agent.update/3, and Agent.cast/2. | [LEVEL] Advanced | [COUNT] 3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15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Elixir OTP | 📊 Level: Advanced | 🌐 Coding5s.com
**Concept:** Encapsulated State with Agents (Agent.start_link/2, Agent.get/3, Agent.update/3, Agent.cast/2)
---
 | [INTRO RULE] Include a short tutor-style sentence in Spanish before the analogy, followed by this EXACT instruction block translated to Spanish: '🚨 **Your objective in this lesson:** To truly learn the new  Elixir OTP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3" t="str">
        <f t="shared" si="2"/>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encapsulated state with Agents using Agent.start_link/2, Agent.get/3, Agent.update/3, and Agent.cast/2.. Topic details: Encapsulated State with Agents (Agent.start_link/2, Agent.get/3, Agent.update/3, Agent.cast/2)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Elixir OTP | 📊 Level: Advanced
**Topic:** Implement encapsulated state with Agents using Agent.start_link/2, Agent.get/3, Agent.update/3, and Agent.cast/2.
---
 | [FOOTER RULE - STRICT] End your response with: '--- ⚡ *Coding5s Mentor System — Eliminating Epistemic Debt*' | </v>
      </c>
      <c r="M12" s="52">
        <v>0</v>
      </c>
      <c r="N12" s="102" t="str">
        <f t="shared" si="3"/>
        <v>[ROLE] Careless Elixir OTP Developer | [TASK] Generate debugging challenges in Elixir OTP | | [TOPIC] Implement encapsulated state with Agents using Agent.start_link/2, Agent.get/3, Agent.update/3, and Agent.cast/2. | | [LEVEL] Advanced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#4 | Stage 2 🐛 Debug | Elixir OTP | 📊 Level: Advanced | 🌐 Coding5s.com
Concept: Encapsulated State with Agents (Agent.start_link/2, Agent.get/3, Agent.update/3, Agent.cast/2)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OTP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3" t="str">
        <f t="shared" si="4"/>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encapsulated state with Agents using Agent.start_link/2, Agent.get/3, Agent.update/3, and Agent.cast/2.. Topic details: Encapsulated State with Agents (Agent.start_link/2, Agent.get/3, Agent.update/3, Agent.cast/2)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Elixir OTP | 📊 Level: Advanced
**Topic:** Implement encapsulated state with Agents using Agent.start_link/2, Agent.get/3, Agent.update/3, and Agent.cast/2.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2" t="str">
        <f t="shared" si="5"/>
        <v>[ROLE] Tech Lead | [TASK] Assign incomplete Elixir OTP script challenges | [TOPIC] Implement encapsulated state with Agents using Agent.start_link/2, Agent.get/3, Agent.update/3, and Agent.cast/2. | [LEVEL] Advanced | [COUNT] 3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#4 | Stage 3 🧩 Complete | Elixir OTP | 📊 Level: Advanced | 🌐 Coding5s.com
**Concept:** Encapsulated State with Agents (Agent.start_link/2, Agent.get/3, Agent.update/3, Agent.cast/2)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encapsulated state with Agents using Agent.start_link/2, Agent.get/3, Agent.update/3, and Agent.cast/2..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3" t="str">
        <f t="shared" si="6"/>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encapsulated state with Agents using Agent.start_link/2, Agent.get/3, Agent.update/3, and Agent.cast/2.. Topic details: Encapsulated State with Agents (Agent.start_link/2, Agent.get/3, Agent.update/3, Agent.cast/2)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Elixir OTP | 📊 Level: Advanced
**Topic:** Implement encapsulated state with Agents using Agent.start_link/2, Agent.get/3, Agent.update/3, and Agent.cast/2.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2" t="str">
        <f t="shared" si="7"/>
        <v>[ROLE] Tech Lead | [TASK] Provide intentionally messy but functional code for learning debugging and improvement | [TOPIC] Implement encapsulated state with Agents using Agent.start_link/2, Agent.get/3, Agent.update/3, and Agent.cast/2. | [LEVEL] Advanced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 | Stage 4 🧹 Refactor | Elixir OTP | 📊 Level: Advanced | 🌐 Coding5s.com
**Concept:** Encapsulated State with Agents (Agent.start_link/2, Agent.get/3, Agent.update/3, Agent.cast/2)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encapsulated state with Agents using Agent.start_link/2, Agent.get/3, Agent.update/3, and Agent.cast/2.. Topic details: Encapsulated State with Agents (Agent.start_link/2, Agent.get/3, Agent.update/3, Agent.cast/2)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Elixir OTP | 📊 Level: Advanced
**Topic:** Implement encapsulated state with Agents using Agent.start_link/2, Agent.get/3, Agent.update/3, and Agent.cast/2.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9"/>
        <v>[ROLE] Tech Product Manager assigning a Elixir OTP Jira Ticket | [TASK] Provide a guided implementation exercise with full solution for learning purposes | [TOPIC] Implement encapsulated state with Agents using Agent.start_link/2, Agent.get/3, Agent.update/3, and Agent.cast/2.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 | Stage 5 | Elixir OTP | 📊 Level: Advanced | 🌐 Coding5s.com
**Concept:** Encapsulated State with Agents (Agent.start_link/2, Agent.get/3, Agent.update/3, Agent.cast/2)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encapsulated state with Agents using Agent.start_link/2, Agent.get/3, Agent.update/3, and Agent.cast/2.. Goal: Encapsulated State with Agents (Agent.start_link/2, Agent.get/3, Agent.update/3, Agent.cast/2)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Elixir OTP | 📊 Level: Advanced
**Topic:** Implement encapsulated state with Agents using Agent.start_link/2, Agent.get/3, Agent.update/3, and Agent.cast/2.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1"/>
        <v/>
      </c>
      <c r="AA12" s="56" t="str">
        <f t="shared" si="12"/>
        <v/>
      </c>
      <c r="AB12" s="56" t="str">
        <f t="shared" si="13"/>
        <v/>
      </c>
      <c r="AC12" s="56" t="str">
        <f t="shared" si="14"/>
        <v/>
      </c>
      <c r="AD12" s="56" t="str">
        <f t="shared" si="15"/>
        <v/>
      </c>
      <c r="AE12" s="55" t="s">
        <v>68</v>
      </c>
      <c r="AF12" s="55" t="s">
        <v>69</v>
      </c>
      <c r="AG12" s="55" t="s">
        <v>70</v>
      </c>
      <c r="AH12" s="56" t="str">
        <f>IF(AE12=$B$6,AG12,"")</f>
        <v/>
      </c>
      <c r="AI12" s="54" t="s">
        <v>71</v>
      </c>
      <c r="AJ12" s="54"/>
      <c r="AK12" s="54">
        <v>4</v>
      </c>
      <c r="AL12" s="54" t="s">
        <v>72</v>
      </c>
      <c r="AM12" s="54" t="s">
        <v>73</v>
      </c>
    </row>
    <row r="13" spans="1:39">
      <c r="A13" s="95">
        <v>25</v>
      </c>
      <c r="B13" s="45" t="str" cm="1">
        <f t="array" ref="B13">IF(H13="PROJECT", CHAR(10) &amp; "- " &amp; _xlfn.TEXTJOIN(CHAR(10) &amp; "- ", TRUE, _xlfn._xlws.FILTER($I$9:$I$1000, ($C$9:$C$1000=C13) * ($H$9:$H$1000="Topic"))), "")</f>
        <v/>
      </c>
      <c r="C13" s="45">
        <f t="shared" si="0"/>
        <v>1</v>
      </c>
      <c r="D13" s="46">
        <v>4</v>
      </c>
      <c r="E13" s="58" t="s">
        <v>48</v>
      </c>
      <c r="F13" s="48">
        <v>5</v>
      </c>
      <c r="G13" s="49" t="s">
        <v>162</v>
      </c>
      <c r="H13" s="49" t="s">
        <v>50</v>
      </c>
      <c r="I13" s="50" t="s">
        <v>766</v>
      </c>
      <c r="J13" s="51" t="s">
        <v>767</v>
      </c>
      <c r="K13" s="120" t="str">
        <f t="shared" si="1"/>
        <v xml:space="preserve">[ROLE] Friendly tutor specializing in Elixir OTP | [TOPIC] Construct GenServer core structures and synchronous flows using use GenServer, init/1, GenServer.call/3, and handle_call/3.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Elixir OTP | 📊 Level: Advanced | 🌐 Coding5s.com
**Concept:** GenServer Core &amp; Synchronous Flow (use GenServer, init/1, GenServer.call/3, handle_call/3)
---
 | [INTRO RULE] Include a short tutor-style sentence in Spanish before the analogy, followed by this EXACT instruction block translated to Spanish: '🚨 **Your objective in this lesson:** To truly learn the new  Elixir OTP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3" t="str">
        <f t="shared" si="2"/>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GenServer core structures and synchronous flows using use GenServer, init/1, GenServer.call/3, and handle_call/3.. Topic details: GenServer Core &amp; Synchronous Flow (use GenServer, init/1, GenServer.call/3, handle_call/3)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Elixir OTP | 📊 Level: Advanced
**Topic:** Construct GenServer core structures and synchronous flows using use GenServer, init/1, GenServer.call/3, and handle_call/3.
---
 | [FOOTER RULE - STRICT] End your response with: '--- ⚡ *Coding5s Mentor System — Eliminating Epistemic Debt*' | </v>
      </c>
      <c r="M13" s="52">
        <v>0</v>
      </c>
      <c r="N13" s="102" t="str">
        <f t="shared" si="3"/>
        <v>[ROLE] Careless Elixir OTP Developer | [TASK] Generate debugging challenges in Elixir OTP | | [TOPIC] Construct GenServer core structures and synchronous flows using use GenServer, init/1, GenServer.call/3, and handle_call/3.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#5 | Stage 2 🐛 Debug | Elixir OTP | 📊 Level: Advanced | 🌐 Coding5s.com
Concept: GenServer Core &amp; Synchronous Flow (use GenServer, init/1, GenServer.call/3, handle_call/3)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OTP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3" t="str">
        <f t="shared" si="4"/>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GenServer core structures and synchronous flows using use GenServer, init/1, GenServer.call/3, and handle_call/3.. Topic details: GenServer Core &amp; Synchronous Flow (use GenServer, init/1, GenServer.call/3, handle_call/3)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Elixir OTP | 📊 Level: Advanced
**Topic:** Construct GenServer core structures and synchronous flows using use GenServer, init/1, GenServer.call/3, and handle_call/3.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2" t="str">
        <f t="shared" si="5"/>
        <v>[ROLE] Tech Lead | [TASK] Assign incomplete Elixir OTP script challenges | [TOPIC] Construct GenServer core structures and synchronous flows using use GenServer, init/1, GenServer.call/3, and handle_call/3. | [LEVEL] Advanced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#5 | Stage 3 🧩 Complete | Elixir OTP | 📊 Level: Advanced | 🌐 Coding5s.com
**Concept:** GenServer Core &amp; Synchronous Flow (use GenServer, init/1, GenServer.call/3, handle_call/3)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GenServer core structures and synchronous flows using use GenServer, init/1, GenServer.call/3, and handle_call/3..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3" t="str">
        <f t="shared" si="6"/>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GenServer core structures and synchronous flows using use GenServer, init/1, GenServer.call/3, and handle_call/3.. Topic details: GenServer Core &amp; Synchronous Flow (use GenServer, init/1, GenServer.call/3, handle_call/3)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Elixir OTP | 📊 Level: Advanced
**Topic:** Construct GenServer core structures and synchronous flows using use GenServer, init/1, GenServer.call/3, and handle_call/3.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2" t="str">
        <f t="shared" si="7"/>
        <v>[ROLE] Tech Lead | [TASK] Provide intentionally messy but functional code for learning debugging and improvement | [TOPIC] Construct GenServer core structures and synchronous flows using use GenServer, init/1, GenServer.call/3, and handle_call/3.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 | Stage 4 🧹 Refactor | Elixir OTP | 📊 Level: Advanced | 🌐 Coding5s.com
**Concept:** GenServer Core &amp; Synchronous Flow (use GenServer, init/1, GenServer.call/3, handle_call/3)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Construct GenServer core structures and synchronous flows using use GenServer, init/1, GenServer.call/3, and handle_call/3.. Topic details: GenServer Core &amp; Synchronous Flow (use GenServer, init/1, GenServer.call/3, handle_call/3)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Elixir OTP | 📊 Level: Advanced
**Topic:** Construct GenServer core structures and synchronous flows using use GenServer, init/1, GenServer.call/3, and handle_call/3.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9"/>
        <v>[ROLE] Tech Product Manager assigning a Elixir OTP Jira Ticket | [TASK] Provide a guided implementation exercise with full solution for learning purposes | [TOPIC] Construct GenServer core structures and synchronous flows using use GenServer, init/1, GenServer.call/3, and handle_call/3.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 | Stage 5 | Elixir OTP | 📊 Level: Advanced | 🌐 Coding5s.com
**Concept:** GenServer Core &amp; Synchronous Flow (use GenServer, init/1, GenServer.call/3, handle_call/3)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GenServer core structures and synchronous flows using use GenServer, init/1, GenServer.call/3, and handle_call/3.. Goal: GenServer Core &amp; Synchronous Flow (use GenServer, init/1, GenServer.call/3, handle_call/3)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Elixir OTP | 📊 Level: Advanced
**Topic:** Construct GenServer core structures and synchronous flows using use GenServer, init/1, GenServer.call/3, and handle_call/3.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1"/>
        <v/>
      </c>
      <c r="AA13" s="56" t="str">
        <f t="shared" si="12"/>
        <v/>
      </c>
      <c r="AB13" s="56" t="str">
        <f t="shared" si="13"/>
        <v/>
      </c>
      <c r="AC13" s="56" t="str">
        <f t="shared" si="14"/>
        <v/>
      </c>
      <c r="AD13" s="56" t="str">
        <f t="shared" si="15"/>
        <v/>
      </c>
      <c r="AE13" s="40" t="s">
        <v>74</v>
      </c>
      <c r="AF13" s="40" t="s">
        <v>75</v>
      </c>
      <c r="AG13" s="40" t="s">
        <v>76</v>
      </c>
      <c r="AH13" s="56" t="str">
        <f t="shared" ref="AH13:AH76" si="16">IF(AE13=$B$6,AG13,"")</f>
        <v/>
      </c>
      <c r="AI13" s="54"/>
      <c r="AJ13" s="54"/>
      <c r="AK13" s="54">
        <v>5</v>
      </c>
      <c r="AL13" s="54" t="s">
        <v>77</v>
      </c>
      <c r="AM13" s="54" t="s">
        <v>78</v>
      </c>
    </row>
    <row r="14" spans="1:39">
      <c r="A14" s="95">
        <v>20</v>
      </c>
      <c r="B14" s="45" t="str" cm="1">
        <f t="array" ref="B14">IF(H14="PROJECT", CHAR(10) &amp; "- " &amp; _xlfn.TEXTJOIN(CHAR(10) &amp; "- ", TRUE, _xlfn._xlws.FILTER($I$9:$I$1000, ($C$9:$C$1000=C14) * ($H$9:$H$1000="Topic"))), "")</f>
        <v/>
      </c>
      <c r="C14" s="45">
        <f t="shared" si="0"/>
        <v>1</v>
      </c>
      <c r="D14" s="57">
        <v>4</v>
      </c>
      <c r="E14" s="58" t="s">
        <v>48</v>
      </c>
      <c r="F14" s="59">
        <v>6</v>
      </c>
      <c r="G14" s="60" t="s">
        <v>162</v>
      </c>
      <c r="H14" s="60" t="s">
        <v>50</v>
      </c>
      <c r="I14" s="61" t="s">
        <v>768</v>
      </c>
      <c r="J14" s="62" t="s">
        <v>769</v>
      </c>
      <c r="K14" s="120" t="str">
        <f t="shared" si="1"/>
        <v xml:space="preserve">[ROLE] Friendly tutor specializing in Elixir OTP | [TOPIC] Implement asynchronous flow and deferred initialization using GenServer.cast/2, handle_cast/2, and handle_continue/2 for non-blocking init.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20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Elixir OTP | 📊 Level: Advanced | 🌐 Coding5s.com
**Concept:** Asynchronous Flow &amp; Deferred Init (GenServer.cast/2, handle_cast/2, handle_continue/2 for non-blocking init)
---
 | [INTRO RULE] Include a short tutor-style sentence in Spanish before the analogy, followed by this EXACT instruction block translated to Spanish: '🚨 **Your objective in this lesson:** To truly learn the new  Elixir OTP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3" t="str">
        <f t="shared" si="2"/>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asynchronous flow and deferred initialization using GenServer.cast/2, handle_cast/2, and handle_continue/2 for non-blocking init.. Topic details: Asynchronous Flow &amp; Deferred Init (GenServer.cast/2, handle_cast/2, handle_continue/2 for non-blocking init)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Elixir OTP | 📊 Level: Advanced
**Topic:** Implement asynchronous flow and deferred initialization using GenServer.cast/2, handle_cast/2, and handle_continue/2 for non-blocking init.
---
 | [FOOTER RULE - STRICT] End your response with: '--- ⚡ *Coding5s Mentor System — Eliminating Epistemic Debt*' | </v>
      </c>
      <c r="M14" s="52">
        <v>0</v>
      </c>
      <c r="N14" s="102" t="str">
        <f t="shared" si="3"/>
        <v>[ROLE] Careless Elixir OTP Developer | [TASK] Generate debugging challenges in Elixir OTP | | [TOPIC] Implement asynchronous flow and deferred initialization using GenServer.cast/2, handle_cast/2, and handle_continue/2 for non-blocking init.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#6 | Stage 2 🐛 Debug | Elixir OTP | 📊 Level: Advanced | 🌐 Coding5s.com
Concept: Asynchronous Flow &amp; Deferred Init (GenServer.cast/2, handle_cast/2, handle_continue/2 for non-blocking init)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OTP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3" t="str">
        <f t="shared" si="4"/>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asynchronous flow and deferred initialization using GenServer.cast/2, handle_cast/2, and handle_continue/2 for non-blocking init.. Topic details: Asynchronous Flow &amp; Deferred Init (GenServer.cast/2, handle_cast/2, handle_continue/2 for non-blocking init)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Elixir OTP | 📊 Level: Advanced
**Topic:** Implement asynchronous flow and deferred initialization using GenServer.cast/2, handle_cast/2, and handle_continue/2 for non-blocking init.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2" t="str">
        <f t="shared" si="5"/>
        <v>[ROLE] Tech Lead | [TASK] Assign incomplete Elixir OTP script challenges | [TOPIC] Implement asynchronous flow and deferred initialization using GenServer.cast/2, handle_cast/2, and handle_continue/2 for non-blocking init. | [LEVEL] Advanced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#6 | Stage 3 🧩 Complete | Elixir OTP | 📊 Level: Advanced | 🌐 Coding5s.com
**Concept:** Asynchronous Flow &amp; Deferred Init (GenServer.cast/2, handle_cast/2, handle_continue/2 for non-blocking init)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asynchronous flow and deferred initialization using GenServer.cast/2, handle_cast/2, and handle_continue/2 for non-blocking init..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3" t="str">
        <f t="shared" si="6"/>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asynchronous flow and deferred initialization using GenServer.cast/2, handle_cast/2, and handle_continue/2 for non-blocking init.. Topic details: Asynchronous Flow &amp; Deferred Init (GenServer.cast/2, handle_cast/2, handle_continue/2 for non-blocking init)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Elixir OTP | 📊 Level: Advanced
**Topic:** Implement asynchronous flow and deferred initialization using GenServer.cast/2, handle_cast/2, and handle_continue/2 for non-blocking init.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2" t="str">
        <f t="shared" si="7"/>
        <v>[ROLE] Tech Lead | [TASK] Provide intentionally messy but functional code for learning debugging and improvement | [TOPIC] Implement asynchronous flow and deferred initialization using GenServer.cast/2, handle_cast/2, and handle_continue/2 for non-blocking init.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 | Stage 4 🧹 Refactor | Elixir OTP | 📊 Level: Advanced | 🌐 Coding5s.com
**Concept:** Asynchronous Flow &amp; Deferred Init (GenServer.cast/2, handle_cast/2, handle_continue/2 for non-blocking init)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asynchronous flow and deferred initialization using GenServer.cast/2, handle_cast/2, and handle_continue/2 for non-blocking init.. Topic details: Asynchronous Flow &amp; Deferred Init (GenServer.cast/2, handle_cast/2, handle_continue/2 for non-blocking init)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Elixir OTP | 📊 Level: Advanced
**Topic:** Implement asynchronous flow and deferred initialization using GenServer.cast/2, handle_cast/2, and handle_continue/2 for non-blocking init.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9"/>
        <v>[ROLE] Tech Product Manager assigning a Elixir OTP Jira Ticket | [TASK] Provide a guided implementation exercise with full solution for learning purposes | [TOPIC] Implement asynchronous flow and deferred initialization using GenServer.cast/2, handle_cast/2, and handle_continue/2 for non-blocking init.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 | Stage 5 | Elixir OTP | 📊 Level: Advanced | 🌐 Coding5s.com
**Concept:** Asynchronous Flow &amp; Deferred Init (GenServer.cast/2, handle_cast/2, handle_continue/2 for non-blocking init)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asynchronous flow and deferred initialization using GenServer.cast/2, handle_cast/2, and handle_continue/2 for non-blocking init.. Goal: Asynchronous Flow &amp; Deferred Init (GenServer.cast/2, handle_cast/2, handle_continue/2 for non-blocking init)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Elixir OTP | 📊 Level: Advanced
**Topic:** Implement asynchronous flow and deferred initialization using GenServer.cast/2, handle_cast/2, and handle_continue/2 for non-blocking init.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1"/>
        <v/>
      </c>
      <c r="AA14" s="56" t="str">
        <f t="shared" si="12"/>
        <v/>
      </c>
      <c r="AB14" s="56" t="str">
        <f t="shared" si="13"/>
        <v/>
      </c>
      <c r="AC14" s="56" t="str">
        <f t="shared" si="14"/>
        <v/>
      </c>
      <c r="AD14" s="56" t="str">
        <f t="shared" si="15"/>
        <v/>
      </c>
      <c r="AE14" s="40" t="s">
        <v>81</v>
      </c>
      <c r="AF14" s="40" t="s">
        <v>82</v>
      </c>
      <c r="AG14" s="40" t="s">
        <v>83</v>
      </c>
      <c r="AH14" s="56" t="str">
        <f t="shared" si="16"/>
        <v/>
      </c>
      <c r="AI14" s="54"/>
      <c r="AJ14" s="54"/>
      <c r="AK14" s="54">
        <v>6</v>
      </c>
      <c r="AL14" s="54" t="s">
        <v>84</v>
      </c>
      <c r="AM14" s="54" t="s">
        <v>85</v>
      </c>
    </row>
    <row r="15" spans="1:39">
      <c r="A15" s="95">
        <v>25</v>
      </c>
      <c r="B15" s="45" t="str" cm="1">
        <f t="array" ref="B15">IF(H15="PROJECT", CHAR(10) &amp; "- " &amp; _xlfn.TEXTJOIN(CHAR(10) &amp; "- ", TRUE, _xlfn._xlws.FILTER($I$9:$I$1000, ($C$9:$C$1000=C15) * ($H$9:$H$1000="Topic"))), "")</f>
        <v/>
      </c>
      <c r="C15" s="45">
        <f t="shared" si="0"/>
        <v>1</v>
      </c>
      <c r="D15" s="46">
        <v>5</v>
      </c>
      <c r="E15" s="58" t="s">
        <v>48</v>
      </c>
      <c r="F15" s="48">
        <v>7</v>
      </c>
      <c r="G15" s="49" t="s">
        <v>162</v>
      </c>
      <c r="H15" s="49" t="s">
        <v>50</v>
      </c>
      <c r="I15" s="50" t="s">
        <v>770</v>
      </c>
      <c r="J15" s="51" t="s">
        <v>771</v>
      </c>
      <c r="K15" s="120" t="str">
        <f t="shared" si="1"/>
        <v xml:space="preserve">[ROLE] Friendly tutor specializing in Elixir OTP | [TOPIC] Manage internal events, tickers, and lifecycle using send/2 to self, Process.send_after/3 for periodic work, handle_info/2, terminate/2, and Timeouts. | [LEVEL] Advanced | [COUNT] 5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Elixir OTP | 📊 Level: Advanced | 🌐 Coding5s.com
**Concept:** Internal Events, Tickers &amp; Lifecycle (send/2 to self, Process.send_after/3 for periodic work, handle_info/2, terminate/2, Timeouts)
---
 | [INTRO RULE] Include a short tutor-style sentence in Spanish before the analogy, followed by this EXACT instruction block translated to Spanish: '🚨 **Your objective in this lesson:** To truly learn the new  Elixir OTP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3" t="str">
        <f t="shared" si="2"/>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internal events, tickers, and lifecycle using send/2 to self, Process.send_after/3 for periodic work, handle_info/2, terminate/2, and Timeouts.. Topic details: Internal Events, Tickers &amp; Lifecycle (send/2 to self, Process.send_after/3 for periodic work, handle_info/2, terminate/2, Timeouts)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Elixir OTP | 📊 Level: Advanced
**Topic:** Manage internal events, tickers, and lifecycle using send/2 to self, Process.send_after/3 for periodic work, handle_info/2, terminate/2, and Timeouts.
---
 | [FOOTER RULE - STRICT] End your response with: '--- ⚡ *Coding5s Mentor System — Eliminating Epistemic Debt*' | </v>
      </c>
      <c r="M15" s="52">
        <v>0</v>
      </c>
      <c r="N15" s="102" t="str">
        <f t="shared" si="3"/>
        <v>[ROLE] Careless Elixir OTP Developer | [TASK] Generate debugging challenges in Elixir OTP | | [TOPIC] Manage internal events, tickers, and lifecycle using send/2 to self, Process.send_after/3 for periodic work, handle_info/2, terminate/2, and Timeouts. | | [LEVEL] Advanced |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#7 | Stage 2 🐛 Debug | Elixir OTP | 📊 Level: Advanced | 🌐 Coding5s.com
Concept: Internal Events, Tickers &amp; Lifecycle (send/2 to self, Process.send_after/3 for periodic work, handle_info/2, terminate/2, Timeouts)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OTP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3" t="str">
        <f t="shared" si="4"/>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internal events, tickers, and lifecycle using send/2 to self, Process.send_after/3 for periodic work, handle_info/2, terminate/2, and Timeouts.. Topic details: Internal Events, Tickers &amp; Lifecycle (send/2 to self, Process.send_after/3 for periodic work, handle_info/2, terminate/2, Timeouts)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Elixir OTP | 📊 Level: Advanced
**Topic:** Manage internal events, tickers, and lifecycle using send/2 to self, Process.send_after/3 for periodic work, handle_info/2, terminate/2, and Timeouts.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2" t="str">
        <f t="shared" si="5"/>
        <v>[ROLE] Tech Lead | [TASK] Assign incomplete Elixir OTP script challenges | [TOPIC] Manage internal events, tickers, and lifecycle using send/2 to self, Process.send_after/3 for periodic work, handle_info/2, terminate/2, and Timeouts. | [LEVEL] Advanced | [COUNT] 5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#7 | Stage 3 🧩 Complete | Elixir OTP | 📊 Level: Advanced | 🌐 Coding5s.com
**Concept:** Internal Events, Tickers &amp; Lifecycle (send/2 to self, Process.send_after/3 for periodic work, handle_info/2, terminate/2, Timeouts)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internal events, tickers, and lifecycle using send/2 to self, Process.send_after/3 for periodic work, handle_info/2, terminate/2, and Timeouts..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3" t="str">
        <f t="shared" si="6"/>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internal events, tickers, and lifecycle using send/2 to self, Process.send_after/3 for periodic work, handle_info/2, terminate/2, and Timeouts.. Topic details: Internal Events, Tickers &amp; Lifecycle (send/2 to self, Process.send_after/3 for periodic work, handle_info/2, terminate/2, Timeouts)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Elixir OTP | 📊 Level: Advanced
**Topic:** Manage internal events, tickers, and lifecycle using send/2 to self, Process.send_after/3 for periodic work, handle_info/2, terminate/2, and Timeouts.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2" t="str">
        <f t="shared" si="7"/>
        <v>[ROLE] Tech Lead | [TASK] Provide intentionally messy but functional code for learning debugging and improvement | [TOPIC] Manage internal events, tickers, and lifecycle using send/2 to self, Process.send_after/3 for periodic work, handle_info/2, terminate/2, and Timeouts. | [LEVEL] Advanced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 | Stage 4 🧹 Refactor | Elixir OTP | 📊 Level: Advanced | 🌐 Coding5s.com
**Concept:** Internal Events, Tickers &amp; Lifecycle (send/2 to self, Process.send_after/3 for periodic work, handle_info/2, terminate/2, Timeouts)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Manage internal events, tickers, and lifecycle using send/2 to self, Process.send_after/3 for periodic work, handle_info/2, terminate/2, and Timeouts.. Topic details: Internal Events, Tickers &amp; Lifecycle (send/2 to self, Process.send_after/3 for periodic work, handle_info/2, terminate/2, Timeouts)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Elixir OTP | 📊 Level: Advanced
**Topic:** Manage internal events, tickers, and lifecycle using send/2 to self, Process.send_after/3 for periodic work, handle_info/2, terminate/2, and Timeouts.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9"/>
        <v>[ROLE] Tech Product Manager assigning a Elixir OTP Jira Ticket | [TASK] Provide a guided implementation exercise with full solution for learning purposes | [TOPIC] Manage internal events, tickers, and lifecycle using send/2 to self, Process.send_after/3 for periodic work, handle_info/2, terminate/2, and Timeouts.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 | Stage 5 | Elixir OTP | 📊 Level: Advanced | 🌐 Coding5s.com
**Concept:** Internal Events, Tickers &amp; Lifecycle (send/2 to self, Process.send_after/3 for periodic work, handle_info/2, terminate/2, Timeouts)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internal events, tickers, and lifecycle using send/2 to self, Process.send_after/3 for periodic work, handle_info/2, terminate/2, and Timeouts.. Goal: Internal Events, Tickers &amp; Lifecycle (send/2 to self, Process.send_after/3 for periodic work, handle_info/2, terminate/2, Timeouts)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Elixir OTP | 📊 Level: Advanced
**Topic:** Manage internal events, tickers, and lifecycle using send/2 to self, Process.send_after/3 for periodic work, handle_info/2, terminate/2, and Timeouts.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1"/>
        <v/>
      </c>
      <c r="AA15" s="56" t="str">
        <f t="shared" si="12"/>
        <v/>
      </c>
      <c r="AB15" s="56" t="str">
        <f t="shared" si="13"/>
        <v/>
      </c>
      <c r="AC15" s="56" t="str">
        <f t="shared" si="14"/>
        <v/>
      </c>
      <c r="AD15" s="56" t="str">
        <f t="shared" si="15"/>
        <v/>
      </c>
      <c r="AE15" s="40" t="s">
        <v>86</v>
      </c>
      <c r="AF15" s="40" t="s">
        <v>87</v>
      </c>
      <c r="AG15" s="40" t="s">
        <v>88</v>
      </c>
      <c r="AH15" s="56" t="str">
        <f t="shared" si="16"/>
        <v/>
      </c>
      <c r="AI15" s="54"/>
      <c r="AJ15" s="54"/>
      <c r="AK15" s="54">
        <v>7</v>
      </c>
      <c r="AL15" s="54" t="s">
        <v>89</v>
      </c>
      <c r="AM15" s="54" t="s">
        <v>90</v>
      </c>
    </row>
    <row r="16" spans="1:39">
      <c r="A16" s="95" t="s">
        <v>79</v>
      </c>
      <c r="B16" s="45" t="str" cm="1">
        <f t="array" ref="B16">IF(H16="PROJECT", CHAR(10) &amp; "- " &amp; _xlfn.TEXTJOIN(CHAR(10) &amp; "- ", TRUE, _xlfn._xlws.FILTER($I$9:$I$1000, ($C$9:$C$1000=C16) * ($H$9:$H$1000="Topic"))), "")</f>
        <v xml:space="preserve">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v>
      </c>
      <c r="C16" s="45">
        <f t="shared" si="0"/>
        <v>1</v>
      </c>
      <c r="D16" s="57">
        <v>0</v>
      </c>
      <c r="E16" s="58" t="s">
        <v>48</v>
      </c>
      <c r="F16" s="59">
        <v>8</v>
      </c>
      <c r="G16" s="60" t="s">
        <v>162</v>
      </c>
      <c r="H16" s="60" t="s">
        <v>80</v>
      </c>
      <c r="I16" s="61" t="s">
        <v>772</v>
      </c>
      <c r="J16" s="62" t="s">
        <v>773</v>
      </c>
      <c r="K16" s="120" t="str">
        <f t="shared" si="1"/>
        <v>[TASK] Teach through a practical Elixir OTP -  project following the micro-learning methodology, acting as a supportive tutor, creating a project about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Standard mix.exs dependencies list (defp deps do [{:package_name, '~&gt; version'}] end) at the top. | [SCOPE_ARCHITECTURE_RULE] Rule: Build fault-tolerant OTP apps with DynamicSupervisor, Registry for process discovery, and handle_info/2 handlers. | [VISUAL_ARCHITECTURE_COMMENTS] 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Elixir OTP | 📊 Level: Advanced | 🌐 Coding5s.com
**Project:** PROJECT: Basic OTP State Manager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6" s="103" t="str">
        <f t="shared" si="2"/>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interactive encapsulated state system utilizing spawn/1, send/2, receive, Agents, and GenServer core callbacks.. Topics applied in this project: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Project objective: PROJECT: Basic OTP State Manager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Elixir OTP | 📊 Level: Advanced
**Project:** Build an interactive encapsulated state system utilizing spawn/1, send/2, receive, Agents, and GenServer core callbacks.
---
 | [FOOTER RULE - STRICT] End your response with: '--- ⚡ *Coding5s Mentor System — Eliminating Epistemic Debt*' | </v>
      </c>
      <c r="M16" s="52">
        <v>0</v>
      </c>
      <c r="N16" s="102" t="str">
        <f t="shared" si="3"/>
        <v>[ROLE] Careless Elixir OTP Developer | [TASK] Generate debugging project in Elixir OTP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[OUTPUT] Only header, dataset summary or statement (if any), email intro, objective, expected output, broken code, and footer | [HEADER RULE - STRICT] You MUST start your entire response EXACTLY with this markdown block (do not print anything before it):
### 🚀 Project #8 | Stage 2 | Elixir OTP | 📊 Level: Advanced | 🌐 Coding5s.com
Project: PROJECT: Basic OTP State Manager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Guaraní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6" s="103" t="str">
        <f t="shared" si="4"/>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interactive encapsulated state system utilizing spawn/1, send/2, receive, Agents, and GenServer core callbacks.. Topics involved: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Project objective: PROJECT: Basic OTP State Manager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Elixir OTP | 📊 Level: Advanced
**Project:** Build an interactive encapsulated state system utilizing spawn/1, send/2, receive, Agents, and GenServer core callbacks.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2" t="str">
        <f t="shared" si="5"/>
        <v>[ROLE] Tech Lead | [TASK] Assign incomplete project script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#8 | Stage 3 | Elixir OTP | 📊 Level: Advanced | 🌐 Coding5s.com
**Project:** PROJECT: Basic OTP State Manager
---
 | [EXTERNAL_PACKAGE_PROTOCOL] Use Mix.install([{:package_name, '~&gt; version'}]) at the top if needed. | [CHALLENGE_CONSTRAINTS_POLICY] MUST be between 40–100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6" s="103" t="str">
        <f t="shared" si="6"/>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interactive encapsulated state system utilizing spawn/1, send/2, receive, Agents, and GenServer core callbacks.. Topics involved: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Project objective: PROJECT: Basic OTP State Manager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Elixir OTP | 📊 Level: Advanced
**Project:** Build an interactive encapsulated state system utilizing spawn/1, send/2, receive, Agents, and GenServer core callbacks.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2" t="str">
        <f t="shared" si="7"/>
        <v>[ROLE] Tech Lead | [TASK] Provide a messy but functional project for refactoring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[PERSONA RULE] Act as a Tech Lead. A junior wrote this working but messy code. Tone: professional but exhausted | [HEADER RULE - STRICT] You MUST start your entire response EXACTLY with this markdown block (do not print anything before it):
### 🚀 Project #8 | Stage 4 | Elixir OTP | 📊 Level: Advanced | 🌐 Coding5s.com
**Project:** PROJECT: Basic OTP State Manager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PROJECT: Build an interactive encapsulated state system utilizing spawn/1, send/2, receive, Agents, and GenServer core callbacks.. Topics involved: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Project objective: PROJECT: Basic OTP State Manager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Elixir OTP | 📊 Level: Advanced
**Project:** Build an interactive encapsulated state system utilizing spawn/1, send/2, receive, Agents, and GenServer core callbacks.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9"/>
        <v>[ROLE] Tech Product Manager assigning a Elixir OTP Jira Ticket | [TASK] Provide a guided project implementation with full solution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#8 | Stage 5 | Elixir OTP | 📊 Level: Advanced | 🌐 Coding5s.com
**Project:** PROJECT: Basic OTP State Manager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interactive encapsulated state system utilizing spawn/1, send/2, receive, Agents, and GenServer core callbacks.. Topics integrated: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Business Goal: PROJECT: Basic OTP State Manager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Elixir OTP | 📊 Level: Advanced
**Project:** Build an interactive encapsulated state system utilizing spawn/1, send/2, receive, Agents, and GenServer core callbacks.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1"/>
        <v>[TASK] Teach through a practical Elixir OTP -  project following the micro-learning methodology, acting as a supportive tutor, creating a project about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Standard mix.exs dependencies list (defp deps do [{:package_name, '~&gt; version'}] end) at the top. | [SCOPE_ARCHITECTURE_RULE] Rule: Build fault-tolerant OTP apps with DynamicSupervisor, Registry for process discovery, and handle_info/2 handlers. | [VISUAL_ARCHITECTURE_COMMENTS] 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Elixir OTP | 📊 Level: Advanced | 🌐 Coding5s.com
**Project:** PROJECT: Basic OTP State Manager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6" s="56" t="str">
        <f t="shared" si="12"/>
        <v>[ROLE] Careless Elixir OTP Developer | [TASK] Generate debugging project in Elixir OTP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[OUTPUT] Only header, dataset summary or statement (if any), email intro, objective, expected output, broken code, and footer | [HEADER RULE - STRICT] You MUST start your entire response EXACTLY with this markdown block (do not print anything before it):
### 🚀 Project #8 | Stage 2 | Elixir OTP | 📊 Level: Advanced | 🌐 Coding5s.com
Project: PROJECT: Basic OTP State Manager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Guaraní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6" s="56" t="str">
        <f t="shared" si="13"/>
        <v>[ROLE] Tech Lead | [TASK] Assign incomplete project script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#8 | Stage 3 | Elixir OTP | 📊 Level: Advanced | 🌐 Coding5s.com
**Project:** PROJECT: Basic OTP State Manager
---
 | [EXTERNAL_PACKAGE_PROTOCOL] Use Mix.install([{:package_name, '~&gt; version'}]) at the top if needed. | [CHALLENGE_CONSTRAINTS_POLICY] MUST be between 40–100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6" s="56" t="str">
        <f t="shared" si="14"/>
        <v>[ROLE] Tech Lead | [TASK] Provide a messy but functional project for refactoring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[PERSONA RULE] Act as a Tech Lead. A junior wrote this working but messy code. Tone: professional but exhausted | [HEADER RULE - STRICT] You MUST start your entire response EXACTLY with this markdown block (do not print anything before it):
### 🚀 Project #8 | Stage 4 | Elixir OTP | 📊 Level: Advanced | 🌐 Coding5s.com
**Project:** PROJECT: Basic OTP State Manager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6" s="56" t="str">
        <f t="shared" si="15"/>
        <v>[ROLE] Tech Product Manager assigning a Elixir OTP Jira Ticket | [TASK] Provide a guided project implementation with full solution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#8 | Stage 5 | Elixir OTP | 📊 Level: Advanced | 🌐 Coding5s.com
**Project:** PROJECT: Basic OTP State Manager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6" s="40" t="s">
        <v>91</v>
      </c>
      <c r="AF16" s="40" t="s">
        <v>92</v>
      </c>
      <c r="AG16" s="40" t="s">
        <v>93</v>
      </c>
      <c r="AH16" s="56" t="str">
        <f t="shared" si="16"/>
        <v/>
      </c>
      <c r="AI16" s="54"/>
      <c r="AJ16" s="54"/>
      <c r="AK16" s="54">
        <v>8</v>
      </c>
      <c r="AL16" s="54" t="s">
        <v>94</v>
      </c>
      <c r="AM16" s="54" t="s">
        <v>95</v>
      </c>
    </row>
    <row r="17" spans="1:39">
      <c r="A17" s="95">
        <v>20</v>
      </c>
      <c r="B17" s="45" t="str" cm="1">
        <f t="array" ref="B17">IF(H17="PROJECT", CHAR(10) &amp; "- " &amp; _xlfn.TEXTJOIN(CHAR(10) &amp; "- ", TRUE, _xlfn._xlws.FILTER($I$9:$I$1000, ($C$9:$C$1000=C17) * ($H$9:$H$1000="Topic"))), "")</f>
        <v/>
      </c>
      <c r="C17" s="45">
        <f t="shared" si="0"/>
        <v>2</v>
      </c>
      <c r="D17" s="46">
        <v>4</v>
      </c>
      <c r="E17" s="58" t="s">
        <v>48</v>
      </c>
      <c r="F17" s="48">
        <v>9</v>
      </c>
      <c r="G17" s="49" t="s">
        <v>162</v>
      </c>
      <c r="H17" s="49" t="s">
        <v>50</v>
      </c>
      <c r="I17" s="50" t="s">
        <v>774</v>
      </c>
      <c r="J17" s="51" t="s">
        <v>775</v>
      </c>
      <c r="K17" s="120" t="str">
        <f t="shared" si="1"/>
        <v xml:space="preserve">[ROLE] Friendly tutor specializing in Elixir OTP | [TOPIC] Design state modeling patterns using Maps as state, Structs as state, nested state transitions, and process ownership design.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20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Elixir OTP | 📊 Level: Advanced | 🌐 Coding5s.com
**Concept:** State Modeling Patterns (Maps as state, Structs as state, nested state transitions, process ownership design)
---
 | [INTRO RULE] Include a short tutor-style sentence in Spanish before the analogy, followed by this EXACT instruction block translated to Spanish: '🚨 **Your objective in this lesson:** To truly learn the new  Elixir OTP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3" t="str">
        <f t="shared" si="2"/>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Design state modeling patterns using Maps as state, Structs as state, nested state transitions, and process ownership design.. Topic details: State Modeling Patterns (Maps as state, Structs as state, nested state transitions, process ownership design)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Elixir OTP | 📊 Level: Advanced
**Topic:** Design state modeling patterns using Maps as state, Structs as state, nested state transitions, and process ownership design.
---
 | [FOOTER RULE - STRICT] End your response with: '--- ⚡ *Coding5s Mentor System — Eliminating Epistemic Debt*' | </v>
      </c>
      <c r="M17" s="53">
        <v>0</v>
      </c>
      <c r="N17" s="102" t="str">
        <f t="shared" si="3"/>
        <v>[ROLE] Careless Elixir OTP Developer | [TASK] Generate debugging challenges in Elixir OTP | | [TOPIC] Design state modeling patterns using Maps as state, Structs as state, nested state transitions, and process ownership design.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#9 | Stage 2 🐛 Debug | Elixir OTP | 📊 Level: Advanced | 🌐 Coding5s.com
Concept: State Modeling Patterns (Maps as state, Structs as state, nested state transitions, process ownership design)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OTP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3" t="str">
        <f t="shared" si="4"/>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Design state modeling patterns using Maps as state, Structs as state, nested state transitions, and process ownership design.. Topic details: State Modeling Patterns (Maps as state, Structs as state, nested state transitions, process ownership design)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Elixir OTP | 📊 Level: Advanced
**Topic:** Design state modeling patterns using Maps as state, Structs as state, nested state transitions, and process ownership design.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2" t="str">
        <f t="shared" si="5"/>
        <v>[ROLE] Tech Lead | [TASK] Assign incomplete Elixir OTP script challenges | [TOPIC] Design state modeling patterns using Maps as state, Structs as state, nested state transitions, and process ownership design. | [LEVEL] Advanced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#9 | Stage 3 🧩 Complete | Elixir OTP | 📊 Level: Advanced | 🌐 Coding5s.com
**Concept:** State Modeling Patterns (Maps as state, Structs as state, nested state transitions, process ownership design)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Design state modeling patterns using Maps as state, Structs as state, nested state transitions, and process ownership design..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3" t="str">
        <f t="shared" si="6"/>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Design state modeling patterns using Maps as state, Structs as state, nested state transitions, and process ownership design.. Topic details: State Modeling Patterns (Maps as state, Structs as state, nested state transitions, process ownership design)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Elixir OTP | 📊 Level: Advanced
**Topic:** Design state modeling patterns using Maps as state, Structs as state, nested state transitions, and process ownership design.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2" t="str">
        <f t="shared" si="7"/>
        <v>[ROLE] Tech Lead | [TASK] Provide intentionally messy but functional code for learning debugging and improvement | [TOPIC] Design state modeling patterns using Maps as state, Structs as state, nested state transitions, and process ownership design.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 | Stage 4 🧹 Refactor | Elixir OTP | 📊 Level: Advanced | 🌐 Coding5s.com
**Concept:** State Modeling Patterns (Maps as state, Structs as state, nested state transitions, process ownership design)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Design state modeling patterns using Maps as state, Structs as state, nested state transitions, and process ownership design.. Topic details: State Modeling Patterns (Maps as state, Structs as state, nested state transitions, process ownership design)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Elixir OTP | 📊 Level: Advanced
**Topic:** Design state modeling patterns using Maps as state, Structs as state, nested state transitions, and process ownership design.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9"/>
        <v>[ROLE] Tech Product Manager assigning a Elixir OTP Jira Ticket | [TASK] Provide a guided implementation exercise with full solution for learning purposes | [TOPIC] Design state modeling patterns using Maps as state, Structs as state, nested state transitions, and process ownership design.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 | Stage 5 | Elixir OTP | 📊 Level: Advanced | 🌐 Coding5s.com
**Concept:** State Modeling Patterns (Maps as state, Structs as state, nested state transitions, process ownership design)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Design state modeling patterns using Maps as state, Structs as state, nested state transitions, and process ownership design.. Goal: State Modeling Patterns (Maps as state, Structs as state, nested state transitions, process ownership design)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Elixir OTP | 📊 Level: Advanced
**Topic:** Design state modeling patterns using Maps as state, Structs as state, nested state transitions, and process ownership design.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1"/>
        <v/>
      </c>
      <c r="AA17" s="56" t="str">
        <f t="shared" si="12"/>
        <v/>
      </c>
      <c r="AB17" s="56" t="str">
        <f t="shared" si="13"/>
        <v/>
      </c>
      <c r="AC17" s="56" t="str">
        <f t="shared" si="14"/>
        <v/>
      </c>
      <c r="AD17" s="56" t="str">
        <f t="shared" si="15"/>
        <v/>
      </c>
      <c r="AE17" s="40" t="s">
        <v>96</v>
      </c>
      <c r="AF17" s="40" t="s">
        <v>97</v>
      </c>
      <c r="AG17" s="40" t="s">
        <v>98</v>
      </c>
      <c r="AH17" s="56" t="str">
        <f t="shared" si="16"/>
        <v/>
      </c>
      <c r="AI17" s="54"/>
      <c r="AJ17" s="54"/>
      <c r="AK17" s="54">
        <v>9</v>
      </c>
      <c r="AL17" s="54" t="s">
        <v>99</v>
      </c>
      <c r="AM17" s="54" t="s">
        <v>100</v>
      </c>
    </row>
    <row r="18" spans="1:39">
      <c r="A18" s="95">
        <v>15</v>
      </c>
      <c r="B18" s="45" t="str" cm="1">
        <f t="array" ref="B18">IF(H18="PROJECT", CHAR(10) &amp; "- " &amp; _xlfn.TEXTJOIN(CHAR(10) &amp; "- ", TRUE, _xlfn._xlws.FILTER($I$9:$I$1000, ($C$9:$C$1000=C18) * ($H$9:$H$1000="Topic"))), "")</f>
        <v/>
      </c>
      <c r="C18" s="45">
        <f t="shared" si="0"/>
        <v>2</v>
      </c>
      <c r="D18" s="57">
        <v>3</v>
      </c>
      <c r="E18" s="58" t="s">
        <v>48</v>
      </c>
      <c r="F18" s="59">
        <v>10</v>
      </c>
      <c r="G18" s="60" t="s">
        <v>162</v>
      </c>
      <c r="H18" s="60" t="s">
        <v>50</v>
      </c>
      <c r="I18" s="61" t="s">
        <v>776</v>
      </c>
      <c r="J18" s="62" t="s">
        <v>777</v>
      </c>
      <c r="K18" s="120" t="str">
        <f t="shared" si="1"/>
        <v xml:space="preserve">[ROLE] Friendly tutor specializing in Elixir OTP | [TOPIC] Implement local registration and global basics using Local name: atom, Process.whereis/1, Process.register/2, and the :global module. | [LEVEL] Advanced | [COUNT] 3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15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Elixir OTP | 📊 Level: Advanced | 🌐 Coding5s.com
**Concept:** Local Registration &amp; Global Basics (Local name: atom, Process.whereis/1, Process.register/2, :global module)
---
 | [INTRO RULE] Include a short tutor-style sentence in Spanish before the analogy, followed by this EXACT instruction block translated to Spanish: '🚨 **Your objective in this lesson:** To truly learn the new  Elixir OTP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3" t="str">
        <f t="shared" si="2"/>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local registration and global basics using Local name: atom, Process.whereis/1, Process.register/2, and the :global module.. Topic details: Local Registration &amp; Global Basics (Local name: atom, Process.whereis/1, Process.register/2, :global module)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Elixir OTP | 📊 Level: Advanced
**Topic:** Implement local registration and global basics using Local name: atom, Process.whereis/1, Process.register/2, and the :global module.
---
 | [FOOTER RULE - STRICT] End your response with: '--- ⚡ *Coding5s Mentor System — Eliminating Epistemic Debt*' | </v>
      </c>
      <c r="M18" s="52">
        <v>0</v>
      </c>
      <c r="N18" s="102" t="str">
        <f t="shared" si="3"/>
        <v>[ROLE] Careless Elixir OTP Developer | [TASK] Generate debugging challenges in Elixir OTP | | [TOPIC] Implement local registration and global basics using Local name: atom, Process.whereis/1, Process.register/2, and the :global module. | | [LEVEL] Advanced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#10 | Stage 2 🐛 Debug | Elixir OTP | 📊 Level: Advanced | 🌐 Coding5s.com
Concept: Local Registration &amp; Global Basics (Local name: atom, Process.whereis/1, Process.register/2, :global module)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OTP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3" t="str">
        <f t="shared" si="4"/>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local registration and global basics using Local name: atom, Process.whereis/1, Process.register/2, and the :global module.. Topic details: Local Registration &amp; Global Basics (Local name: atom, Process.whereis/1, Process.register/2, :global module)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Elixir OTP | 📊 Level: Advanced
**Topic:** Implement local registration and global basics using Local name: atom, Process.whereis/1, Process.register/2, and the :global module.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2" t="str">
        <f t="shared" si="5"/>
        <v>[ROLE] Tech Lead | [TASK] Assign incomplete Elixir OTP script challenges | [TOPIC] Implement local registration and global basics using Local name: atom, Process.whereis/1, Process.register/2, and the :global module. | [LEVEL] Advanced | [COUNT] 3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#10 | Stage 3 🧩 Complete | Elixir OTP | 📊 Level: Advanced | 🌐 Coding5s.com
**Concept:** Local Registration &amp; Global Basics (Local name: atom, Process.whereis/1, Process.register/2, :global module)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local registration and global basics using Local name: atom, Process.whereis/1, Process.register/2, and the :global module..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3" t="str">
        <f t="shared" si="6"/>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local registration and global basics using Local name: atom, Process.whereis/1, Process.register/2, and the :global module.. Topic details: Local Registration &amp; Global Basics (Local name: atom, Process.whereis/1, Process.register/2, :global module)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Elixir OTP | 📊 Level: Advanced
**Topic:** Implement local registration and global basics using Local name: atom, Process.whereis/1, Process.register/2, and the :global module.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2" t="str">
        <f t="shared" si="7"/>
        <v>[ROLE] Tech Lead | [TASK] Provide intentionally messy but functional code for learning debugging and improvement | [TOPIC] Implement local registration and global basics using Local name: atom, Process.whereis/1, Process.register/2, and the :global module. | [LEVEL] Advanced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 | Stage 4 🧹 Refactor | Elixir OTP | 📊 Level: Advanced | 🌐 Coding5s.com
**Concept:** Local Registration &amp; Global Basics (Local name: atom, Process.whereis/1, Process.register/2, :global module)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local registration and global basics using Local name: atom, Process.whereis/1, Process.register/2, and the :global module.. Topic details: Local Registration &amp; Global Basics (Local name: atom, Process.whereis/1, Process.register/2, :global module)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Elixir OTP | 📊 Level: Advanced
**Topic:** Implement local registration and global basics using Local name: atom, Process.whereis/1, Process.register/2, and the :global module.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9"/>
        <v>[ROLE] Tech Product Manager assigning a Elixir OTP Jira Ticket | [TASK] Provide a guided implementation exercise with full solution for learning purposes | [TOPIC] Implement local registration and global basics using Local name: atom, Process.whereis/1, Process.register/2, and the :global module.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 | Stage 5 | Elixir OTP | 📊 Level: Advanced | 🌐 Coding5s.com
**Concept:** Local Registration &amp; Global Basics (Local name: atom, Process.whereis/1, Process.register/2, :global module)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local registration and global basics using Local name: atom, Process.whereis/1, Process.register/2, and the :global module.. Goal: Local Registration &amp; Global Basics (Local name: atom, Process.whereis/1, Process.register/2, :global module)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Elixir OTP | 📊 Level: Advanced
**Topic:** Implement local registration and global basics using Local name: atom, Process.whereis/1, Process.register/2, and the :global module.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1"/>
        <v/>
      </c>
      <c r="AA18" s="56" t="str">
        <f t="shared" si="12"/>
        <v/>
      </c>
      <c r="AB18" s="56" t="str">
        <f t="shared" si="13"/>
        <v/>
      </c>
      <c r="AC18" s="56" t="str">
        <f t="shared" si="14"/>
        <v/>
      </c>
      <c r="AD18" s="56" t="str">
        <f t="shared" si="15"/>
        <v/>
      </c>
      <c r="AE18" s="40" t="s">
        <v>101</v>
      </c>
      <c r="AF18" s="40" t="s">
        <v>102</v>
      </c>
      <c r="AG18" s="40" t="s">
        <v>103</v>
      </c>
      <c r="AH18" s="56" t="str">
        <f t="shared" si="16"/>
        <v/>
      </c>
      <c r="AI18" s="54"/>
      <c r="AJ18" s="54"/>
      <c r="AK18" s="54">
        <v>10</v>
      </c>
      <c r="AL18" s="54" t="s">
        <v>104</v>
      </c>
      <c r="AM18" s="54" t="s">
        <v>105</v>
      </c>
    </row>
    <row r="19" spans="1:39">
      <c r="A19" s="95">
        <v>20</v>
      </c>
      <c r="B19" s="45" t="str" cm="1">
        <f t="array" ref="B19">IF(H19="PROJECT", CHAR(10) &amp; "- " &amp; _xlfn.TEXTJOIN(CHAR(10) &amp; "- ", TRUE, _xlfn._xlws.FILTER($I$9:$I$1000, ($C$9:$C$1000=C19) * ($H$9:$H$1000="Topic"))), "")</f>
        <v/>
      </c>
      <c r="C19" s="45">
        <f t="shared" si="0"/>
        <v>2</v>
      </c>
      <c r="D19" s="46">
        <v>4</v>
      </c>
      <c r="E19" s="58" t="s">
        <v>48</v>
      </c>
      <c r="F19" s="48">
        <v>11</v>
      </c>
      <c r="G19" s="49" t="s">
        <v>162</v>
      </c>
      <c r="H19" s="49" t="s">
        <v>50</v>
      </c>
      <c r="I19" s="50" t="s">
        <v>778</v>
      </c>
      <c r="J19" s="51" t="s">
        <v>779</v>
      </c>
      <c r="K19" s="120" t="str">
        <f t="shared" si="1"/>
        <v xml:space="preserve">[ROLE] Friendly tutor specializing in Elixir OTP | [TOPIC] Implement dynamic naming with The Registry Module using Registry.start_link/1, Registry.lookup/2, and {:via, Registry, ...} dynamic routing.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20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Elixir OTP | 📊 Level: Advanced | 🌐 Coding5s.com
**Concept:** The Registry Module &amp; Dynamic Naming (Registry.start_link/1, Registry.lookup/2, {:via, Registry, ...} dynamic routing)
---
 | [INTRO RULE] Include a short tutor-style sentence in Spanish before the analogy, followed by this EXACT instruction block translated to Spanish: '🚨 **Your objective in this lesson:** To truly learn the new  Elixir OTP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3" t="str">
        <f t="shared" si="2"/>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dynamic naming with The Registry Module using Registry.start_link/1, Registry.lookup/2, and {:via, Registry, ...} dynamic routing.. Topic details: The Registry Module &amp; Dynamic Naming (Registry.start_link/1, Registry.lookup/2, {:via, Registry, ...} dynamic routing)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Elixir OTP | 📊 Level: Advanced
**Topic:** Implement dynamic naming with The Registry Module using Registry.start_link/1, Registry.lookup/2, and {:via, Registry, ...} dynamic routing.
---
 | [FOOTER RULE - STRICT] End your response with: '--- ⚡ *Coding5s Mentor System — Eliminating Epistemic Debt*' | </v>
      </c>
      <c r="M19" s="53">
        <v>0</v>
      </c>
      <c r="N19" s="102" t="str">
        <f t="shared" si="3"/>
        <v>[ROLE] Careless Elixir OTP Developer | [TASK] Generate debugging challenges in Elixir OTP | | [TOPIC] Implement dynamic naming with The Registry Module using Registry.start_link/1, Registry.lookup/2, and {:via, Registry, ...} dynamic routing.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#11 | Stage 2 🐛 Debug | Elixir OTP | 📊 Level: Advanced | 🌐 Coding5s.com
Concept: The Registry Module &amp; Dynamic Naming (Registry.start_link/1, Registry.lookup/2, {:via, Registry, ...} dynamic routing)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OTP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3" t="str">
        <f t="shared" si="4"/>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dynamic naming with The Registry Module using Registry.start_link/1, Registry.lookup/2, and {:via, Registry, ...} dynamic routing.. Topic details: The Registry Module &amp; Dynamic Naming (Registry.start_link/1, Registry.lookup/2, {:via, Registry, ...} dynamic routing)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Elixir OTP | 📊 Level: Advanced
**Topic:** Implement dynamic naming with The Registry Module using Registry.start_link/1, Registry.lookup/2, and {:via, Registry, ...} dynamic routing.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2" t="str">
        <f t="shared" si="5"/>
        <v>[ROLE] Tech Lead | [TASK] Assign incomplete Elixir OTP script challenges | [TOPIC] Implement dynamic naming with The Registry Module using Registry.start_link/1, Registry.lookup/2, and {:via, Registry, ...} dynamic routing. | [LEVEL] Advanced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#11 | Stage 3 🧩 Complete | Elixir OTP | 📊 Level: Advanced | 🌐 Coding5s.com
**Concept:** The Registry Module &amp; Dynamic Naming (Registry.start_link/1, Registry.lookup/2, {:via, Registry, ...} dynamic routing)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dynamic naming with The Registry Module using Registry.start_link/1, Registry.lookup/2, and {:via, Registry, ...} dynamic routing..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3" t="str">
        <f t="shared" si="6"/>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dynamic naming with The Registry Module using Registry.start_link/1, Registry.lookup/2, and {:via, Registry, ...} dynamic routing.. Topic details: The Registry Module &amp; Dynamic Naming (Registry.start_link/1, Registry.lookup/2, {:via, Registry, ...} dynamic routing)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Elixir OTP | 📊 Level: Advanced
**Topic:** Implement dynamic naming with The Registry Module using Registry.start_link/1, Registry.lookup/2, and {:via, Registry, ...} dynamic routing.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2" t="str">
        <f t="shared" si="7"/>
        <v>[ROLE] Tech Lead | [TASK] Provide intentionally messy but functional code for learning debugging and improvement | [TOPIC] Implement dynamic naming with The Registry Module using Registry.start_link/1, Registry.lookup/2, and {:via, Registry, ...} dynamic routing.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#11 | Stage 4 🧹 Refactor | Elixir OTP | 📊 Level: Advanced | 🌐 Coding5s.com
**Concept:** The Registry Module &amp; Dynamic Naming (Registry.start_link/1, Registry.lookup/2, {:via, Registry, ...} dynamic routing)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dynamic naming with The Registry Module using Registry.start_link/1, Registry.lookup/2, and {:via, Registry, ...} dynamic routing.. Topic details: The Registry Module &amp; Dynamic Naming (Registry.start_link/1, Registry.lookup/2, {:via, Registry, ...} dynamic routing)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Elixir OTP | 📊 Level: Advanced
**Topic:** Implement dynamic naming with The Registry Module using Registry.start_link/1, Registry.lookup/2, and {:via, Registry, ...} dynamic routing.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9"/>
        <v>[ROLE] Tech Product Manager assigning a Elixir OTP Jira Ticket | [TASK] Provide a guided implementation exercise with full solution for learning purposes | [TOPIC] Implement dynamic naming with The Registry Module using Registry.start_link/1, Registry.lookup/2, and {:via, Registry, ...} dynamic routing.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#11 | Stage 5 | Elixir OTP | 📊 Level: Advanced | 🌐 Coding5s.com
**Concept:** The Registry Module &amp; Dynamic Naming (Registry.start_link/1, Registry.lookup/2, {:via, Registry, ...} dynamic routing)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dynamic naming with The Registry Module using Registry.start_link/1, Registry.lookup/2, and {:via, Registry, ...} dynamic routing.. Goal: The Registry Module &amp; Dynamic Naming (Registry.start_link/1, Registry.lookup/2, {:via, Registry, ...} dynamic routing)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Elixir OTP | 📊 Level: Advanced
**Topic:** Implement dynamic naming with The Registry Module using Registry.start_link/1, Registry.lookup/2, and {:via, Registry, ...} dynamic routing.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1"/>
        <v/>
      </c>
      <c r="AA19" s="56" t="str">
        <f t="shared" si="12"/>
        <v/>
      </c>
      <c r="AB19" s="56" t="str">
        <f t="shared" si="13"/>
        <v/>
      </c>
      <c r="AC19" s="56" t="str">
        <f t="shared" si="14"/>
        <v/>
      </c>
      <c r="AD19" s="56" t="str">
        <f t="shared" si="15"/>
        <v/>
      </c>
      <c r="AE19" s="40" t="s">
        <v>106</v>
      </c>
      <c r="AF19" s="40" t="s">
        <v>107</v>
      </c>
      <c r="AG19" s="40" t="s">
        <v>108</v>
      </c>
      <c r="AH19" s="56" t="str">
        <f t="shared" si="16"/>
        <v/>
      </c>
      <c r="AI19" s="54"/>
      <c r="AJ19" s="54"/>
      <c r="AK19" s="54">
        <v>11</v>
      </c>
      <c r="AL19" s="54" t="s">
        <v>109</v>
      </c>
      <c r="AM19" s="54" t="s">
        <v>110</v>
      </c>
    </row>
    <row r="20" spans="1:39">
      <c r="A20" s="95">
        <v>25</v>
      </c>
      <c r="B20" s="45" t="str" cm="1">
        <f t="array" ref="B20">IF(H20="PROJECT", CHAR(10) &amp; "- " &amp; _xlfn.TEXTJOIN(CHAR(10) &amp; "- ", TRUE, _xlfn._xlws.FILTER($I$9:$I$1000, ($C$9:$C$1000=C20) * ($H$9:$H$1000="Topic"))), "")</f>
        <v/>
      </c>
      <c r="C20" s="45">
        <f t="shared" si="0"/>
        <v>2</v>
      </c>
      <c r="D20" s="57">
        <v>4</v>
      </c>
      <c r="E20" s="58" t="s">
        <v>48</v>
      </c>
      <c r="F20" s="59">
        <v>12</v>
      </c>
      <c r="G20" s="60" t="s">
        <v>162</v>
      </c>
      <c r="H20" s="60" t="s">
        <v>50</v>
      </c>
      <c r="I20" s="61" t="s">
        <v>780</v>
      </c>
      <c r="J20" s="62" t="s">
        <v>781</v>
      </c>
      <c r="K20" s="120" t="str">
        <f t="shared" si="1"/>
        <v xml:space="preserve">[ROLE] Friendly tutor specializing in Elixir OTP | [TOPIC] Define Supervisor core and child specifications using use Supervisor, init/1, child_spec/1, shutdown timeouts vs :brutal_kill, and process ownership.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Elixir OTP | 📊 Level: Advanced | 🌐 Coding5s.com
**Concept:** Supervisor Core &amp; Child Specifications (use Supervisor, init/1, child_spec/1, shutdown timeouts vs :brutal_kill, process ownership)
---
 | [INTRO RULE] Include a short tutor-style sentence in Spanish before the analogy, followed by this EXACT instruction block translated to Spanish: '🚨 **Your objective in this lesson:** To truly learn the new  Elixir OTP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3" t="str">
        <f t="shared" si="2"/>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Supervisor core and child specifications using use Supervisor, init/1, child_spec/1, shutdown timeouts vs :brutal_kill, and process ownership.. Topic details: Supervisor Core &amp; Child Specifications (use Supervisor, init/1, child_spec/1, shutdown timeouts vs :brutal_kill, process ownership)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Elixir OTP | 📊 Level: Advanced
**Topic:** Define Supervisor core and child specifications using use Supervisor, init/1, child_spec/1, shutdown timeouts vs :brutal_kill, and process ownership.
---
 | [FOOTER RULE - STRICT] End your response with: '--- ⚡ *Coding5s Mentor System — Eliminating Epistemic Debt*' | </v>
      </c>
      <c r="M20" s="52">
        <v>0</v>
      </c>
      <c r="N20" s="102" t="str">
        <f t="shared" si="3"/>
        <v>[ROLE] Careless Elixir OTP Developer | [TASK] Generate debugging challenges in Elixir OTP | | [TOPIC] Define Supervisor core and child specifications using use Supervisor, init/1, child_spec/1, shutdown timeouts vs :brutal_kill, and process ownership.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#12 | Stage 2 🐛 Debug | Elixir OTP | 📊 Level: Advanced | 🌐 Coding5s.com
Concept: Supervisor Core &amp; Child Specifications (use Supervisor, init/1, child_spec/1, shutdown timeouts vs :brutal_kill, process ownership)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OTP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3" t="str">
        <f t="shared" si="4"/>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Supervisor core and child specifications using use Supervisor, init/1, child_spec/1, shutdown timeouts vs :brutal_kill, and process ownership.. Topic details: Supervisor Core &amp; Child Specifications (use Supervisor, init/1, child_spec/1, shutdown timeouts vs :brutal_kill, process ownership)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Elixir OTP | 📊 Level: Advanced
**Topic:** Define Supervisor core and child specifications using use Supervisor, init/1, child_spec/1, shutdown timeouts vs :brutal_kill, and process ownership.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2" t="str">
        <f t="shared" si="5"/>
        <v>[ROLE] Tech Lead | [TASK] Assign incomplete Elixir OTP script challenges | [TOPIC] Define Supervisor core and child specifications using use Supervisor, init/1, child_spec/1, shutdown timeouts vs :brutal_kill, and process ownership. | [LEVEL] Advanced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#12 | Stage 3 🧩 Complete | Elixir OTP | 📊 Level: Advanced | 🌐 Coding5s.com
**Concept:** Supervisor Core &amp; Child Specifications (use Supervisor, init/1, child_spec/1, shutdown timeouts vs :brutal_kill, process ownership)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Supervisor core and child specifications using use Supervisor, init/1, child_spec/1, shutdown timeouts vs :brutal_kill, and process ownership..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3" t="str">
        <f t="shared" si="6"/>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Supervisor core and child specifications using use Supervisor, init/1, child_spec/1, shutdown timeouts vs :brutal_kill, and process ownership.. Topic details: Supervisor Core &amp; Child Specifications (use Supervisor, init/1, child_spec/1, shutdown timeouts vs :brutal_kill, process ownership)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Elixir OTP | 📊 Level: Advanced
**Topic:** Define Supervisor core and child specifications using use Supervisor, init/1, child_spec/1, shutdown timeouts vs :brutal_kill, and process ownership.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2" t="str">
        <f t="shared" si="7"/>
        <v>[ROLE] Tech Lead | [TASK] Provide intentionally messy but functional code for learning debugging and improvement | [TOPIC] Define Supervisor core and child specifications using use Supervisor, init/1, child_spec/1, shutdown timeouts vs :brutal_kill, and process ownership.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#12 | Stage 4 🧹 Refactor | Elixir OTP | 📊 Level: Advanced | 🌐 Coding5s.com
**Concept:** Supervisor Core &amp; Child Specifications (use Supervisor, init/1, child_spec/1, shutdown timeouts vs :brutal_kill, process ownership)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Define Supervisor core and child specifications using use Supervisor, init/1, child_spec/1, shutdown timeouts vs :brutal_kill, and process ownership.. Topic details: Supervisor Core &amp; Child Specifications (use Supervisor, init/1, child_spec/1, shutdown timeouts vs :brutal_kill, process ownership)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Elixir OTP | 📊 Level: Advanced
**Topic:** Define Supervisor core and child specifications using use Supervisor, init/1, child_spec/1, shutdown timeouts vs :brutal_kill, and process ownership.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9"/>
        <v>[ROLE] Tech Product Manager assigning a Elixir OTP Jira Ticket | [TASK] Provide a guided implementation exercise with full solution for learning purposes | [TOPIC] Define Supervisor core and child specifications using use Supervisor, init/1, child_spec/1, shutdown timeouts vs :brutal_kill, and process ownership.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#12 | Stage 5 | Elixir OTP | 📊 Level: Advanced | 🌐 Coding5s.com
**Concept:** Supervisor Core &amp; Child Specifications (use Supervisor, init/1, child_spec/1, shutdown timeouts vs :brutal_kill, process ownership)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Supervisor core and child specifications using use Supervisor, init/1, child_spec/1, shutdown timeouts vs :brutal_kill, and process ownership.. Goal: Supervisor Core &amp; Child Specifications (use Supervisor, init/1, child_spec/1, shutdown timeouts vs :brutal_kill, process ownership)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Elixir OTP | 📊 Level: Advanced
**Topic:** Define Supervisor core and child specifications using use Supervisor, init/1, child_spec/1, shutdown timeouts vs :brutal_kill, and process ownership.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1"/>
        <v/>
      </c>
      <c r="AA20" s="56" t="str">
        <f t="shared" si="12"/>
        <v/>
      </c>
      <c r="AB20" s="56" t="str">
        <f t="shared" si="13"/>
        <v/>
      </c>
      <c r="AC20" s="56" t="str">
        <f t="shared" si="14"/>
        <v/>
      </c>
      <c r="AD20" s="56" t="str">
        <f t="shared" si="15"/>
        <v/>
      </c>
      <c r="AE20" s="40" t="s">
        <v>111</v>
      </c>
      <c r="AF20" s="40" t="s">
        <v>112</v>
      </c>
      <c r="AG20" s="40" t="s">
        <v>113</v>
      </c>
      <c r="AH20" s="56" t="str">
        <f t="shared" si="16"/>
        <v/>
      </c>
      <c r="AI20" s="54"/>
      <c r="AJ20" s="54"/>
      <c r="AK20" s="54">
        <v>12</v>
      </c>
      <c r="AL20" s="54" t="s">
        <v>114</v>
      </c>
      <c r="AM20" s="54" t="s">
        <v>115</v>
      </c>
    </row>
    <row r="21" spans="1:39">
      <c r="A21" s="95">
        <v>20</v>
      </c>
      <c r="B21" s="45" t="str" cm="1">
        <f t="array" ref="B21">IF(H21="PROJECT", CHAR(10) &amp; "- " &amp; _xlfn.TEXTJOIN(CHAR(10) &amp; "- ", TRUE, _xlfn._xlws.FILTER($I$9:$I$1000, ($C$9:$C$1000=C21) * ($H$9:$H$1000="Topic"))), "")</f>
        <v/>
      </c>
      <c r="C21" s="45">
        <f t="shared" si="0"/>
        <v>2</v>
      </c>
      <c r="D21" s="46">
        <v>4</v>
      </c>
      <c r="E21" s="58" t="s">
        <v>48</v>
      </c>
      <c r="F21" s="48">
        <v>13</v>
      </c>
      <c r="G21" s="49" t="s">
        <v>162</v>
      </c>
      <c r="H21" s="49" t="s">
        <v>50</v>
      </c>
      <c r="I21" s="50" t="s">
        <v>782</v>
      </c>
      <c r="J21" s="51" t="s">
        <v>783</v>
      </c>
      <c r="K21" s="120" t="str">
        <f t="shared" si="1"/>
        <v xml:space="preserve">[ROLE] Friendly tutor specializing in Elixir OTP | [TOPIC] Configure Supervisor strategies and tuning using :one_for_one, :one_for_all, :rest_for_one, and max_restarts/max_seconds.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20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Elixir OTP | 📊 Level: Advanced | 🌐 Coding5s.com
**Concept:** Supervisor Strategies &amp; Tuning (:one_for_one, :one_for_all, :rest_for_one, max_restarts/max_seconds)
---
 | [INTRO RULE] Include a short tutor-style sentence in Spanish before the analogy, followed by this EXACT instruction block translated to Spanish: '🚨 **Your objective in this lesson:** To truly learn the new  Elixir OTP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3" t="str">
        <f t="shared" si="2"/>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Supervisor strategies and tuning using :one_for_one, :one_for_all, :rest_for_one, and max_restarts/max_seconds.. Topic details: Supervisor Strategies &amp; Tuning (:one_for_one, :one_for_all, :rest_for_one, max_restarts/max_seconds)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Elixir OTP | 📊 Level: Advanced
**Topic:** Configure Supervisor strategies and tuning using :one_for_one, :one_for_all, :rest_for_one, and max_restarts/max_seconds.
---
 | [FOOTER RULE - STRICT] End your response with: '--- ⚡ *Coding5s Mentor System — Eliminating Epistemic Debt*' | </v>
      </c>
      <c r="M21" s="53">
        <v>0</v>
      </c>
      <c r="N21" s="102" t="str">
        <f t="shared" si="3"/>
        <v>[ROLE] Careless Elixir OTP Developer | [TASK] Generate debugging challenges in Elixir OTP | | [TOPIC] Configure Supervisor strategies and tuning using :one_for_one, :one_for_all, :rest_for_one, and max_restarts/max_seconds.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#13 | Stage 2 🐛 Debug | Elixir OTP | 📊 Level: Advanced | 🌐 Coding5s.com
Concept: Supervisor Strategies &amp; Tuning (:one_for_one, :one_for_all, :rest_for_one, max_restarts/max_seconds)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OTP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3" t="str">
        <f t="shared" si="4"/>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Supervisor strategies and tuning using :one_for_one, :one_for_all, :rest_for_one, and max_restarts/max_seconds.. Topic details: Supervisor Strategies &amp; Tuning (:one_for_one, :one_for_all, :rest_for_one, max_restarts/max_seconds)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Elixir OTP | 📊 Level: Advanced
**Topic:** Configure Supervisor strategies and tuning using :one_for_one, :one_for_all, :rest_for_one, and max_restarts/max_seconds.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2" t="str">
        <f t="shared" si="5"/>
        <v>[ROLE] Tech Lead | [TASK] Assign incomplete Elixir OTP script challenges | [TOPIC] Configure Supervisor strategies and tuning using :one_for_one, :one_for_all, :rest_for_one, and max_restarts/max_seconds. | [LEVEL] Advanced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#13 | Stage 3 🧩 Complete | Elixir OTP | 📊 Level: Advanced | 🌐 Coding5s.com
**Concept:** Supervisor Strategies &amp; Tuning (:one_for_one, :one_for_all, :rest_for_one, max_restarts/max_seconds)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Supervisor strategies and tuning using :one_for_one, :one_for_all, :rest_for_one, and max_restarts/max_seconds..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3" t="str">
        <f t="shared" si="6"/>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Supervisor strategies and tuning using :one_for_one, :one_for_all, :rest_for_one, and max_restarts/max_seconds.. Topic details: Supervisor Strategies &amp; Tuning (:one_for_one, :one_for_all, :rest_for_one, max_restarts/max_seconds)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Elixir OTP | 📊 Level: Advanced
**Topic:** Configure Supervisor strategies and tuning using :one_for_one, :one_for_all, :rest_for_one, and max_restarts/max_seconds.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2" t="str">
        <f t="shared" si="7"/>
        <v>[ROLE] Tech Lead | [TASK] Provide intentionally messy but functional code for learning debugging and improvement | [TOPIC] Configure Supervisor strategies and tuning using :one_for_one, :one_for_all, :rest_for_one, and max_restarts/max_seconds.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#13 | Stage 4 🧹 Refactor | Elixir OTP | 📊 Level: Advanced | 🌐 Coding5s.com
**Concept:** Supervisor Strategies &amp; Tuning (:one_for_one, :one_for_all, :rest_for_one, max_restarts/max_seconds)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Configure Supervisor strategies and tuning using :one_for_one, :one_for_all, :rest_for_one, and max_restarts/max_seconds.. Topic details: Supervisor Strategies &amp; Tuning (:one_for_one, :one_for_all, :rest_for_one, max_restarts/max_seconds)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Elixir OTP | 📊 Level: Advanced
**Topic:** Configure Supervisor strategies and tuning using :one_for_one, :one_for_all, :rest_for_one, and max_restarts/max_seconds.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9"/>
        <v>[ROLE] Tech Product Manager assigning a Elixir OTP Jira Ticket | [TASK] Provide a guided implementation exercise with full solution for learning purposes | [TOPIC] Configure Supervisor strategies and tuning using :one_for_one, :one_for_all, :rest_for_one, and max_restarts/max_seconds.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#13 | Stage 5 | Elixir OTP | 📊 Level: Advanced | 🌐 Coding5s.com
**Concept:** Supervisor Strategies &amp; Tuning (:one_for_one, :one_for_all, :rest_for_one, max_restarts/max_seconds)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Supervisor strategies and tuning using :one_for_one, :one_for_all, :rest_for_one, and max_restarts/max_seconds.. Goal: Supervisor Strategies &amp; Tuning (:one_for_one, :one_for_all, :rest_for_one, max_restarts/max_seconds)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Elixir OTP | 📊 Level: Advanced
**Topic:** Configure Supervisor strategies and tuning using :one_for_one, :one_for_all, :rest_for_one, and max_restarts/max_seconds.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1"/>
        <v/>
      </c>
      <c r="AA21" s="56" t="str">
        <f t="shared" si="12"/>
        <v/>
      </c>
      <c r="AB21" s="56" t="str">
        <f t="shared" si="13"/>
        <v/>
      </c>
      <c r="AC21" s="56" t="str">
        <f t="shared" si="14"/>
        <v/>
      </c>
      <c r="AD21" s="56" t="str">
        <f t="shared" si="15"/>
        <v/>
      </c>
      <c r="AE21" s="40" t="s">
        <v>116</v>
      </c>
      <c r="AF21" s="40" t="s">
        <v>117</v>
      </c>
      <c r="AG21" s="40" t="s">
        <v>118</v>
      </c>
      <c r="AH21" s="56" t="str">
        <f t="shared" si="16"/>
        <v/>
      </c>
      <c r="AI21" s="54"/>
      <c r="AJ21" s="54"/>
      <c r="AK21" s="54">
        <v>13</v>
      </c>
      <c r="AL21" s="54" t="s">
        <v>119</v>
      </c>
      <c r="AM21" s="54" t="s">
        <v>120</v>
      </c>
    </row>
    <row r="22" spans="1:39">
      <c r="A22" s="95">
        <v>30</v>
      </c>
      <c r="B22" s="45" t="str" cm="1">
        <f t="array" ref="B22">IF(H22="PROJECT", CHAR(10) &amp; "- " &amp; _xlfn.TEXTJOIN(CHAR(10) &amp; "- ", TRUE, _xlfn._xlws.FILTER($I$9:$I$1000, ($C$9:$C$1000=C22) * ($H$9:$H$1000="Topic"))), "")</f>
        <v/>
      </c>
      <c r="C22" s="45">
        <f t="shared" si="0"/>
        <v>2</v>
      </c>
      <c r="D22" s="57">
        <v>5</v>
      </c>
      <c r="E22" s="58" t="s">
        <v>48</v>
      </c>
      <c r="F22" s="59">
        <v>14</v>
      </c>
      <c r="G22" s="60" t="s">
        <v>162</v>
      </c>
      <c r="H22" s="60" t="s">
        <v>50</v>
      </c>
      <c r="I22" s="61" t="s">
        <v>784</v>
      </c>
      <c r="J22" s="62" t="s">
        <v>785</v>
      </c>
      <c r="K22" s="120" t="str">
        <f t="shared" si="1"/>
        <v xml:space="preserve">[ROLE] Friendly tutor specializing in Elixir OTP | [TOPIC] Architect Supervision trees and dynamic supervisors using parent-child cascades, DynamicSupervisor, start_child/2, and failure domains. | [LEVEL] Advanced | [COUNT] 5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30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30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Elixir OTP | 📊 Level: Advanced | 🌐 Coding5s.com
**Concept:** Supervision Trees &amp; Dynamic Supervisors (Architecting parent-child cascades, DynamicSupervisor, start_child/2, failure domains)
---
 | [INTRO RULE] Include a short tutor-style sentence in Spanish before the analogy, followed by this EXACT instruction block translated to Spanish: '🚨 **Your objective in this lesson:** To truly learn the new  Elixir OTP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3" t="str">
        <f t="shared" si="2"/>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Supervision trees and dynamic supervisors using parent-child cascades, DynamicSupervisor, start_child/2, and failure domains.. Topic details: Supervision Trees &amp; Dynamic Supervisors (Architecting parent-child cascades, DynamicSupervisor, start_child/2, failure domains)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Elixir OTP | 📊 Level: Advanced
**Topic:** Architect Supervision trees and dynamic supervisors using parent-child cascades, DynamicSupervisor, start_child/2, and failure domains.
---
 | [FOOTER RULE - STRICT] End your response with: '--- ⚡ *Coding5s Mentor System — Eliminating Epistemic Debt*' | </v>
      </c>
      <c r="M22" s="52">
        <v>0</v>
      </c>
      <c r="N22" s="102" t="str">
        <f t="shared" si="3"/>
        <v>[ROLE] Careless Elixir OTP Developer | [TASK] Generate debugging challenges in Elixir OTP | | [TOPIC] Architect Supervision trees and dynamic supervisors using parent-child cascades, DynamicSupervisor, start_child/2, and failure domains. | | [LEVEL] Advanced |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#14 | Stage 2 🐛 Debug | Elixir OTP | 📊 Level: Advanced | 🌐 Coding5s.com
Concept: Supervision Trees &amp; Dynamic Supervisors (Architecting parent-child cascades, DynamicSupervisor, start_child/2, failure domains)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OTP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3" t="str">
        <f t="shared" si="4"/>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Supervision trees and dynamic supervisors using parent-child cascades, DynamicSupervisor, start_child/2, and failure domains.. Topic details: Supervision Trees &amp; Dynamic Supervisors (Architecting parent-child cascades, DynamicSupervisor, start_child/2, failure domains)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Elixir OTP | 📊 Level: Advanced
**Topic:** Architect Supervision trees and dynamic supervisors using parent-child cascades, DynamicSupervisor, start_child/2, and failure domains.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2" t="str">
        <f t="shared" si="5"/>
        <v>[ROLE] Tech Lead | [TASK] Assign incomplete Elixir OTP script challenges | [TOPIC] Architect Supervision trees and dynamic supervisors using parent-child cascades, DynamicSupervisor, start_child/2, and failure domains. | [LEVEL] Advanced | [COUNT] 5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#14 | Stage 3 🧩 Complete | Elixir OTP | 📊 Level: Advanced | 🌐 Coding5s.com
**Concept:** Supervision Trees &amp; Dynamic Supervisors (Architecting parent-child cascades, DynamicSupervisor, start_child/2, failure domains)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Architect Supervision trees and dynamic supervisors using parent-child cascades, DynamicSupervisor, start_child/2, and failure domains..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3" t="str">
        <f t="shared" si="6"/>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Supervision trees and dynamic supervisors using parent-child cascades, DynamicSupervisor, start_child/2, and failure domains.. Topic details: Supervision Trees &amp; Dynamic Supervisors (Architecting parent-child cascades, DynamicSupervisor, start_child/2, failure domains)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Elixir OTP | 📊 Level: Advanced
**Topic:** Architect Supervision trees and dynamic supervisors using parent-child cascades, DynamicSupervisor, start_child/2, and failure domains.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2" t="str">
        <f t="shared" si="7"/>
        <v>[ROLE] Tech Lead | [TASK] Provide intentionally messy but functional code for learning debugging and improvement | [TOPIC] Architect Supervision trees and dynamic supervisors using parent-child cascades, DynamicSupervisor, start_child/2, and failure domains. | [LEVEL] Advanced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#14 | Stage 4 🧹 Refactor | Elixir OTP | 📊 Level: Advanced | 🌐 Coding5s.com
**Concept:** Supervision Trees &amp; Dynamic Supervisors (Architecting parent-child cascades, DynamicSupervisor, start_child/2, failure domains)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Architect Supervision trees and dynamic supervisors using parent-child cascades, DynamicSupervisor, start_child/2, and failure domains.. Topic details: Supervision Trees &amp; Dynamic Supervisors (Architecting parent-child cascades, DynamicSupervisor, start_child/2, failure domains)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Elixir OTP | 📊 Level: Advanced
**Topic:** Architect Supervision trees and dynamic supervisors using parent-child cascades, DynamicSupervisor, start_child/2, and failure domains.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9"/>
        <v>[ROLE] Tech Product Manager assigning a Elixir OTP Jira Ticket | [TASK] Provide a guided implementation exercise with full solution for learning purposes | [TOPIC] Architect Supervision trees and dynamic supervisors using parent-child cascades, DynamicSupervisor, start_child/2, and failure domains.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#14 | Stage 5 | Elixir OTP | 📊 Level: Advanced | 🌐 Coding5s.com
**Concept:** Supervision Trees &amp; Dynamic Supervisors (Architecting parent-child cascades, DynamicSupervisor, start_child/2, failure domains)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Supervision trees and dynamic supervisors using parent-child cascades, DynamicSupervisor, start_child/2, and failure domains.. Goal: Supervision Trees &amp; Dynamic Supervisors (Architecting parent-child cascades, DynamicSupervisor, start_child/2, failure domains)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Elixir OTP | 📊 Level: Advanced
**Topic:** Architect Supervision trees and dynamic supervisors using parent-child cascades, DynamicSupervisor, start_child/2, and failure domains.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1"/>
        <v/>
      </c>
      <c r="AA22" s="56" t="str">
        <f t="shared" si="12"/>
        <v/>
      </c>
      <c r="AB22" s="56" t="str">
        <f t="shared" si="13"/>
        <v/>
      </c>
      <c r="AC22" s="56" t="str">
        <f t="shared" si="14"/>
        <v/>
      </c>
      <c r="AD22" s="56" t="str">
        <f t="shared" si="15"/>
        <v/>
      </c>
      <c r="AE22" s="40" t="s">
        <v>121</v>
      </c>
      <c r="AF22" s="40" t="s">
        <v>122</v>
      </c>
      <c r="AG22" s="40" t="s">
        <v>123</v>
      </c>
      <c r="AH22" s="56" t="str">
        <f t="shared" si="16"/>
        <v/>
      </c>
      <c r="AI22" s="54"/>
      <c r="AJ22" s="54"/>
      <c r="AK22" s="54">
        <v>14</v>
      </c>
      <c r="AL22" s="54" t="s">
        <v>124</v>
      </c>
      <c r="AM22" s="54" t="s">
        <v>125</v>
      </c>
    </row>
    <row r="23" spans="1:39">
      <c r="A23" s="95">
        <v>15</v>
      </c>
      <c r="B23" s="45" t="str" cm="1">
        <f t="array" ref="B23">IF(H23="PROJECT", CHAR(10) &amp; "- " &amp; _xlfn.TEXTJOIN(CHAR(10) &amp; "- ", TRUE, _xlfn._xlws.FILTER($I$9:$I$1000, ($C$9:$C$1000=C23) * ($H$9:$H$1000="Topic"))), "")</f>
        <v/>
      </c>
      <c r="C23" s="45">
        <f t="shared" si="0"/>
        <v>2</v>
      </c>
      <c r="D23" s="46">
        <v>5</v>
      </c>
      <c r="E23" s="58" t="s">
        <v>619</v>
      </c>
      <c r="F23" s="48">
        <v>15</v>
      </c>
      <c r="G23" s="49" t="s">
        <v>162</v>
      </c>
      <c r="H23" s="49" t="s">
        <v>50</v>
      </c>
      <c r="I23" s="50" t="s">
        <v>786</v>
      </c>
      <c r="J23" s="51" t="s">
        <v>787</v>
      </c>
      <c r="K23" s="120" t="str">
        <f t="shared" si="1"/>
        <v xml:space="preserve">[ROLE] Friendly tutor specializing in Elixir OTP | [TOPIC] Execute asynchronous tasks and bounded concurrency using Task.async/1, Task.await/2, Task.yield/2, and Task.async_stream/3 for safe massive processing. | [LEVEL] Advanced | [COUNT] 5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15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Elixir OTP | 📊 Level: Advanced | 🌐 Coding5s.com
**Concept:** Asynchronous Tasks &amp; Bounded Concurrency (Task.async/1, Task.await/2, Task.yield/2, Task.async_stream/3 for safe massive processing)
---
 | [INTRO RULE] Include a short tutor-style sentence in Spanish before the analogy, followed by this EXACT instruction block translated to Spanish: '🚨 **Your objective in this lesson:** To truly learn the new  Elixir OTP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3" t="str">
        <f t="shared" si="2"/>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asynchronous tasks and bounded concurrency using Task.async/1, Task.await/2, Task.yield/2, and Task.async_stream/3 for safe massive processing.. Topic details: Asynchronous Tasks &amp; Bounded Concurrency (Task.async/1, Task.await/2, Task.yield/2, Task.async_stream/3 for safe massive processing)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Elixir OTP | 📊 Level: Advanced
**Topic:** Execute asynchronous tasks and bounded concurrency using Task.async/1, Task.await/2, Task.yield/2, and Task.async_stream/3 for safe massive processing.
---
 | [FOOTER RULE - STRICT] End your response with: '--- ⚡ *Coding5s Mentor System — Eliminating Epistemic Debt*' | </v>
      </c>
      <c r="M23" s="53">
        <v>0</v>
      </c>
      <c r="N23" s="102" t="str">
        <f t="shared" si="3"/>
        <v>[ROLE] Careless Elixir OTP Developer | [TASK] Generate debugging challenges in Elixir OTP | | [TOPIC] Execute asynchronous tasks and bounded concurrency using Task.async/1, Task.await/2, Task.yield/2, and Task.async_stream/3 for safe massive processing. | | [LEVEL] Advanced |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#15 | Stage 2 🐛 Debug | Elixir OTP | 📊 Level: Advanced | 🌐 Coding5s.com
Concept: Asynchronous Tasks &amp; Bounded Concurrency (Task.async/1, Task.await/2, Task.yield/2, Task.async_stream/3 for safe massive processing)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OTP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3" t="str">
        <f t="shared" si="4"/>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asynchronous tasks and bounded concurrency using Task.async/1, Task.await/2, Task.yield/2, and Task.async_stream/3 for safe massive processing.. Topic details: Asynchronous Tasks &amp; Bounded Concurrency (Task.async/1, Task.await/2, Task.yield/2, Task.async_stream/3 for safe massive processing)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Elixir OTP | 📊 Level: Advanced
**Topic:** Execute asynchronous tasks and bounded concurrency using Task.async/1, Task.await/2, Task.yield/2, and Task.async_stream/3 for safe massive processing.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2" t="str">
        <f t="shared" si="5"/>
        <v>[ROLE] Tech Lead | [TASK] Assign incomplete Elixir OTP script challenges | [TOPIC] Execute asynchronous tasks and bounded concurrency using Task.async/1, Task.await/2, Task.yield/2, and Task.async_stream/3 for safe massive processing. | [LEVEL] Advanced | [COUNT] 5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#15 | Stage 3 🧩 Complete | Elixir OTP | 📊 Level: Advanced | 🌐 Coding5s.com
**Concept:** Asynchronous Tasks &amp; Bounded Concurrency (Task.async/1, Task.await/2, Task.yield/2, Task.async_stream/3 for safe massive processing)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asynchronous tasks and bounded concurrency using Task.async/1, Task.await/2, Task.yield/2, and Task.async_stream/3 for safe massive processing..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3" t="str">
        <f t="shared" si="6"/>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asynchronous tasks and bounded concurrency using Task.async/1, Task.await/2, Task.yield/2, and Task.async_stream/3 for safe massive processing.. Topic details: Asynchronous Tasks &amp; Bounded Concurrency (Task.async/1, Task.await/2, Task.yield/2, Task.async_stream/3 for safe massive processing)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Elixir OTP | 📊 Level: Advanced
**Topic:** Execute asynchronous tasks and bounded concurrency using Task.async/1, Task.await/2, Task.yield/2, and Task.async_stream/3 for safe massive processing.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2" t="str">
        <f t="shared" si="7"/>
        <v>[ROLE] Tech Lead | [TASK] Provide intentionally messy but functional code for learning debugging and improvement | [TOPIC] Execute asynchronous tasks and bounded concurrency using Task.async/1, Task.await/2, Task.yield/2, and Task.async_stream/3 for safe massive processing. | [LEVEL] Advanced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#15 | Stage 4 🧹 Refactor | Elixir OTP | 📊 Level: Advanced | 🌐 Coding5s.com
**Concept:** Asynchronous Tasks &amp; Bounded Concurrency (Task.async/1, Task.await/2, Task.yield/2, Task.async_stream/3 for safe massive processing)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Execute asynchronous tasks and bounded concurrency using Task.async/1, Task.await/2, Task.yield/2, and Task.async_stream/3 for safe massive processing.. Topic details: Asynchronous Tasks &amp; Bounded Concurrency (Task.async/1, Task.await/2, Task.yield/2, Task.async_stream/3 for safe massive processing)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Elixir OTP | 📊 Level: Advanced
**Topic:** Execute asynchronous tasks and bounded concurrency using Task.async/1, Task.await/2, Task.yield/2, and Task.async_stream/3 for safe massive processing.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9"/>
        <v>[ROLE] Tech Product Manager assigning a Elixir OTP Jira Ticket | [TASK] Provide a guided implementation exercise with full solution for learning purposes | [TOPIC] Execute asynchronous tasks and bounded concurrency using Task.async/1, Task.await/2, Task.yield/2, and Task.async_stream/3 for safe massive processing.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#15 | Stage 5 | Elixir OTP | 📊 Level: Advanced | 🌐 Coding5s.com
**Concept:** Asynchronous Tasks &amp; Bounded Concurrency (Task.async/1, Task.await/2, Task.yield/2, Task.async_stream/3 for safe massive processing)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asynchronous tasks and bounded concurrency using Task.async/1, Task.await/2, Task.yield/2, and Task.async_stream/3 for safe massive processing.. Goal: Asynchronous Tasks &amp; Bounded Concurrency (Task.async/1, Task.await/2, Task.yield/2, Task.async_stream/3 for safe massive processing)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Elixir OTP | 📊 Level: Advanced
**Topic:** Execute asynchronous tasks and bounded concurrency using Task.async/1, Task.await/2, Task.yield/2, and Task.async_stream/3 for safe massive processing.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1"/>
        <v/>
      </c>
      <c r="AA23" s="56" t="str">
        <f t="shared" si="12"/>
        <v/>
      </c>
      <c r="AB23" s="56" t="str">
        <f t="shared" si="13"/>
        <v/>
      </c>
      <c r="AC23" s="56" t="str">
        <f t="shared" si="14"/>
        <v/>
      </c>
      <c r="AD23" s="56" t="str">
        <f t="shared" si="15"/>
        <v/>
      </c>
      <c r="AE23" s="40" t="s">
        <v>126</v>
      </c>
      <c r="AF23" s="40" t="s">
        <v>127</v>
      </c>
      <c r="AG23" s="40" t="s">
        <v>128</v>
      </c>
      <c r="AH23" s="56" t="str">
        <f t="shared" si="16"/>
        <v/>
      </c>
      <c r="AI23" s="54"/>
      <c r="AJ23" s="54"/>
      <c r="AK23" s="54">
        <v>15</v>
      </c>
      <c r="AL23" s="54" t="s">
        <v>129</v>
      </c>
      <c r="AM23" s="54" t="s">
        <v>130</v>
      </c>
    </row>
    <row r="24" spans="1:39">
      <c r="A24" s="95" t="s">
        <v>79</v>
      </c>
      <c r="B24" s="45" t="str" cm="1">
        <f t="array" ref="B24">IF(H24="PROJECT", CHAR(10) &amp; "- " &amp; _xlfn.TEXTJOIN(CHAR(10) &amp; "- ", TRUE, _xlfn._xlws.FILTER($I$9:$I$1000, ($C$9:$C$1000=C24) * ($H$9:$H$1000="Topic"))), "")</f>
        <v xml:space="preserve">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v>
      </c>
      <c r="C24" s="45">
        <f t="shared" si="0"/>
        <v>2</v>
      </c>
      <c r="D24" s="57">
        <v>0</v>
      </c>
      <c r="E24" s="58" t="s">
        <v>619</v>
      </c>
      <c r="F24" s="59">
        <v>16</v>
      </c>
      <c r="G24" s="60" t="s">
        <v>162</v>
      </c>
      <c r="H24" s="60" t="s">
        <v>80</v>
      </c>
      <c r="I24" s="61" t="s">
        <v>788</v>
      </c>
      <c r="J24" s="62" t="s">
        <v>789</v>
      </c>
      <c r="K24" s="120" t="str">
        <f t="shared" si="1"/>
        <v>[TASK] Teach through a practical Elixir OTP -  project following the micro-learning methodology, acting as a supportive tutor, creating a project about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Standard mix.exs dependencies list (defp deps do [{:package_name, '~&gt; version'}] end) at the top. | [SCOPE_ARCHITECTURE_RULE] Rule: Build fault-tolerant OTP apps with DynamicSupervisor, Registry for process discovery, and handle_info/2 handlers. | [VISUAL_ARCHITECTURE_COMMENTS] 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Elixir OTP | 📊 Level: Advanced | 🌐 Coding5s.com
**Project:** PROJECT: Resilient Job Processor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4" s="103" t="str">
        <f t="shared" si="2"/>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fault-tolerant job processing system utilizing DynamicSupervisor, Registry, and Task.async_stream/3.. Topics applied in this project: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Project objective: PROJECT: Resilient Job Processor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#16 | Practice | Elixir OTP | 📊 Level: Advanced
**Project:** Develop a fault-tolerant job processing system utilizing DynamicSupervisor, Registry, and Task.async_stream/3.
---
 | [FOOTER RULE - STRICT] End your response with: '--- ⚡ *Coding5s Mentor System — Eliminating Epistemic Debt*' | </v>
      </c>
      <c r="M24" s="52">
        <v>0</v>
      </c>
      <c r="N24" s="102" t="str">
        <f t="shared" si="3"/>
        <v>[ROLE] Careless Elixir OTP Developer | [TASK] Generate debugging project in Elixir OTP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[OUTPUT] Only header, dataset summary or statement (if any), email intro, objective, expected output, broken code, and footer | [HEADER RULE - STRICT] You MUST start your entire response EXACTLY with this markdown block (do not print anything before it):
### 🚀 Project #16 | Stage 2 | Elixir OTP | 📊 Level: Advanced | 🌐 Coding5s.com
Project: PROJECT: Resilient Job Processor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Telugu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4" s="103" t="str">
        <f t="shared" si="4"/>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fault-tolerant job processing system utilizing DynamicSupervisor, Registry, and Task.async_stream/3.. Topics involved: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Project objective: PROJECT: Resilient Job Processor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#16 | Debug | Elixir OTP | 📊 Level: Advanced
**Project:** Develop a fault-tolerant job processing system utilizing DynamicSupervisor, Registry, and Task.async_stream/3.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2" t="str">
        <f t="shared" si="5"/>
        <v>[ROLE] Tech Lead | [TASK] Assign incomplete project script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#16 | Stage 3 | Elixir OTP | 📊 Level: Advanced | 🌐 Coding5s.com
**Project:** PROJECT: Resilient Job Processor
---
 | [EXTERNAL_PACKAGE_PROTOCOL] Use Mix.install([{:package_name, '~&gt; version'}]) at the top if needed. | [CHALLENGE_CONSTRAINTS_POLICY] MUST be between 40–100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4" s="103" t="str">
        <f t="shared" si="6"/>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fault-tolerant job processing system utilizing DynamicSupervisor, Registry, and Task.async_stream/3.. Topics involved: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Project objective: PROJECT: Resilient Job Processor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#16 | Complete | Elixir OTP | 📊 Level: Advanced
**Project:** Develop a fault-tolerant job processing system utilizing DynamicSupervisor, Registry, and Task.async_stream/3.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2" t="str">
        <f t="shared" si="7"/>
        <v>[ROLE] Tech Lead | [TASK] Provide a messy but functional project for refactoring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[PERSONA RULE] Act as a Tech Lead. A junior wrote this working but messy code. Tone: professional but exhausted | [HEADER RULE - STRICT] You MUST start your entire response EXACTLY with this markdown block (do not print anything before it):
### 🚀 Project #16 | Stage 4 | Elixir OTP | 📊 Level: Advanced | 🌐 Coding5s.com
**Project:** PROJECT: Resilient Job Processor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PROJECT: Develop a fault-tolerant job processing system utilizing DynamicSupervisor, Registry, and Task.async_stream/3.. Topics involved: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Project objective: PROJECT: Resilient Job Processor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#16 | Refactor | Elixir OTP | 📊 Level: Advanced
**Project:** Develop a fault-tolerant job processing system utilizing DynamicSupervisor, Registry, and Task.async_stream/3.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9"/>
        <v>[ROLE] Tech Product Manager assigning a Elixir OTP Jira Ticket | [TASK] Provide a guided project implementation with full solution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#16 | Stage 5 | Elixir OTP | 📊 Level: Advanced | 🌐 Coding5s.com
**Project:** PROJECT: Resilient Job Processor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fault-tolerant job processing system utilizing DynamicSupervisor, Registry, and Task.async_stream/3.. Topics integrated: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Business Goal: PROJECT: Resilient Job Processor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#16 | Extend | Elixir OTP | 📊 Level: Advanced
**Project:** Develop a fault-tolerant job processing system utilizing DynamicSupervisor, Registry, and Task.async_stream/3.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1"/>
        <v>[TASK] Teach through a practical Elixir OTP -  project following the micro-learning methodology, acting as a supportive tutor, creating a project about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Standard mix.exs dependencies list (defp deps do [{:package_name, '~&gt; version'}] end) at the top. | [SCOPE_ARCHITECTURE_RULE] Rule: Build fault-tolerant OTP apps with DynamicSupervisor, Registry for process discovery, and handle_info/2 handlers. | [VISUAL_ARCHITECTURE_COMMENTS] 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Elixir OTP | 📊 Level: Advanced | 🌐 Coding5s.com
**Project:** PROJECT: Resilient Job Processor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4" s="56" t="str">
        <f t="shared" si="12"/>
        <v>[ROLE] Careless Elixir OTP Developer | [TASK] Generate debugging project in Elixir OTP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[OUTPUT] Only header, dataset summary or statement (if any), email intro, objective, expected output, broken code, and footer | [HEADER RULE - STRICT] You MUST start your entire response EXACTLY with this markdown block (do not print anything before it):
### 🚀 Project #16 | Stage 2 | Elixir OTP | 📊 Level: Advanced | 🌐 Coding5s.com
Project: PROJECT: Resilient Job Processor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Telugu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4" s="56" t="str">
        <f t="shared" si="13"/>
        <v>[ROLE] Tech Lead | [TASK] Assign incomplete project script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#16 | Stage 3 | Elixir OTP | 📊 Level: Advanced | 🌐 Coding5s.com
**Project:** PROJECT: Resilient Job Processor
---
 | [EXTERNAL_PACKAGE_PROTOCOL] Use Mix.install([{:package_name, '~&gt; version'}]) at the top if needed. | [CHALLENGE_CONSTRAINTS_POLICY] MUST be between 40–100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4" s="56" t="str">
        <f t="shared" si="14"/>
        <v>[ROLE] Tech Lead | [TASK] Provide a messy but functional project for refactoring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[PERSONA RULE] Act as a Tech Lead. A junior wrote this working but messy code. Tone: professional but exhausted | [HEADER RULE - STRICT] You MUST start your entire response EXACTLY with this markdown block (do not print anything before it):
### 🚀 Project #16 | Stage 4 | Elixir OTP | 📊 Level: Advanced | 🌐 Coding5s.com
**Project:** PROJECT: Resilient Job Processor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4" s="56" t="str">
        <f t="shared" si="15"/>
        <v>[ROLE] Tech Product Manager assigning a Elixir OTP Jira Ticket | [TASK] Provide a guided project implementation with full solution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#16 | Stage 5 | Elixir OTP | 📊 Level: Advanced | 🌐 Coding5s.com
**Project:** PROJECT: Resilient Job Processor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4" s="40" t="s">
        <v>131</v>
      </c>
      <c r="AF24" s="40" t="s">
        <v>132</v>
      </c>
      <c r="AG24" s="40" t="s">
        <v>133</v>
      </c>
      <c r="AH24" s="56" t="str">
        <f t="shared" si="16"/>
        <v/>
      </c>
      <c r="AI24" s="54"/>
      <c r="AJ24" s="54"/>
      <c r="AK24" s="54">
        <v>16</v>
      </c>
      <c r="AL24" s="54" t="s">
        <v>134</v>
      </c>
      <c r="AM24" s="54" t="s">
        <v>135</v>
      </c>
    </row>
    <row r="25" spans="1:39">
      <c r="A25" s="95">
        <v>18</v>
      </c>
      <c r="B25" s="45" t="str" cm="1">
        <f t="array" ref="B25">IF(H25="PROJECT", CHAR(10) &amp; "- " &amp; _xlfn.TEXTJOIN(CHAR(10) &amp; "- ", TRUE, _xlfn._xlws.FILTER($I$9:$I$1000, ($C$9:$C$1000=C25) * ($H$9:$H$1000="Topic"))), "")</f>
        <v/>
      </c>
      <c r="C25" s="45">
        <f t="shared" si="0"/>
        <v>3</v>
      </c>
      <c r="D25" s="46">
        <v>3</v>
      </c>
      <c r="E25" s="58" t="s">
        <v>48</v>
      </c>
      <c r="F25" s="48">
        <v>17</v>
      </c>
      <c r="G25" s="49" t="s">
        <v>162</v>
      </c>
      <c r="H25" s="49" t="s">
        <v>50</v>
      </c>
      <c r="I25" s="50" t="s">
        <v>790</v>
      </c>
      <c r="J25" s="51" t="s">
        <v>791</v>
      </c>
      <c r="K25" s="120" t="str">
        <f t="shared" si="1"/>
        <v xml:space="preserve">[ROLE] Friendly tutor specializing in Elixir OTP | [TOPIC] Manage unlinked tasks and task supervision using Task.start/1, Task.Supervisor, and Task.Supervisor.async_nolink/2. | [LEVEL] Advanced | [COUNT] 3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18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Elixir OTP | 📊 Level: Advanced | 🌐 Coding5s.com
**Concept:** Unlinked Tasks &amp; Task Supervision (Task.start/1, Task.Supervisor, Task.Supervisor.async_nolink/2)
---
 | [INTRO RULE] Include a short tutor-style sentence in Spanish before the analogy, followed by this EXACT instruction block translated to Spanish: '🚨 **Your objective in this lesson:** To truly learn the new  Elixir OTP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3" t="str">
        <f t="shared" si="2"/>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unlinked tasks and task supervision using Task.start/1, Task.Supervisor, and Task.Supervisor.async_nolink/2.. Topic details: Unlinked Tasks &amp; Task Supervision (Task.start/1, Task.Supervisor, Task.Supervisor.async_nolink/2)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Elixir OTP | 📊 Level: Advanced
**Topic:** Manage unlinked tasks and task supervision using Task.start/1, Task.Supervisor, and Task.Supervisor.async_nolink/2.
---
 | [FOOTER RULE - STRICT] End your response with: '--- ⚡ *Coding5s Mentor System — Eliminating Epistemic Debt*' | </v>
      </c>
      <c r="M25" s="53">
        <v>0</v>
      </c>
      <c r="N25" s="102" t="str">
        <f t="shared" si="3"/>
        <v>[ROLE] Careless Elixir OTP Developer | [TASK] Generate debugging challenges in Elixir OTP | | [TOPIC] Manage unlinked tasks and task supervision using Task.start/1, Task.Supervisor, and Task.Supervisor.async_nolink/2. | | [LEVEL] Advanced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#17 | Stage 2 🐛 Debug | Elixir OTP | 📊 Level: Advanced | 🌐 Coding5s.com
Concept: Unlinked Tasks &amp; Task Supervision (Task.start/1, Task.Supervisor, Task.Supervisor.async_nolink/2)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OTP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3" t="str">
        <f t="shared" si="4"/>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unlinked tasks and task supervision using Task.start/1, Task.Supervisor, and Task.Supervisor.async_nolink/2.. Topic details: Unlinked Tasks &amp; Task Supervision (Task.start/1, Task.Supervisor, Task.Supervisor.async_nolink/2)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Elixir OTP | 📊 Level: Advanced
**Topic:** Manage unlinked tasks and task supervision using Task.start/1, Task.Supervisor, and Task.Supervisor.async_nolink/2.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2" t="str">
        <f t="shared" si="5"/>
        <v>[ROLE] Tech Lead | [TASK] Assign incomplete Elixir OTP script challenges | [TOPIC] Manage unlinked tasks and task supervision using Task.start/1, Task.Supervisor, and Task.Supervisor.async_nolink/2. | [LEVEL] Advanced | [COUNT] 3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#17 | Stage 3 🧩 Complete | Elixir OTP | 📊 Level: Advanced | 🌐 Coding5s.com
**Concept:** Unlinked Tasks &amp; Task Supervision (Task.start/1, Task.Supervisor, Task.Supervisor.async_nolink/2)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unlinked tasks and task supervision using Task.start/1, Task.Supervisor, and Task.Supervisor.async_nolink/2..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3" t="str">
        <f t="shared" si="6"/>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unlinked tasks and task supervision using Task.start/1, Task.Supervisor, and Task.Supervisor.async_nolink/2.. Topic details: Unlinked Tasks &amp; Task Supervision (Task.start/1, Task.Supervisor, Task.Supervisor.async_nolink/2)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Elixir OTP | 📊 Level: Advanced
**Topic:** Manage unlinked tasks and task supervision using Task.start/1, Task.Supervisor, and Task.Supervisor.async_nolink/2.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2" t="str">
        <f t="shared" si="7"/>
        <v>[ROLE] Tech Lead | [TASK] Provide intentionally messy but functional code for learning debugging and improvement | [TOPIC] Manage unlinked tasks and task supervision using Task.start/1, Task.Supervisor, and Task.Supervisor.async_nolink/2. | [LEVEL] Advanced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#17 | Stage 4 🧹 Refactor | Elixir OTP | 📊 Level: Advanced | 🌐 Coding5s.com
**Concept:** Unlinked Tasks &amp; Task Supervision (Task.start/1, Task.Supervisor, Task.Supervisor.async_nolink/2)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Manage unlinked tasks and task supervision using Task.start/1, Task.Supervisor, and Task.Supervisor.async_nolink/2.. Topic details: Unlinked Tasks &amp; Task Supervision (Task.start/1, Task.Supervisor, Task.Supervisor.async_nolink/2)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Elixir OTP | 📊 Level: Advanced
**Topic:** Manage unlinked tasks and task supervision using Task.start/1, Task.Supervisor, and Task.Supervisor.async_nolink/2.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9"/>
        <v>[ROLE] Tech Product Manager assigning a Elixir OTP Jira Ticket | [TASK] Provide a guided implementation exercise with full solution for learning purposes | [TOPIC] Manage unlinked tasks and task supervision using Task.start/1, Task.Supervisor, and Task.Supervisor.async_nolink/2.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#17 | Stage 5 | Elixir OTP | 📊 Level: Advanced | 🌐 Coding5s.com
**Concept:** Unlinked Tasks &amp; Task Supervision (Task.start/1, Task.Supervisor, Task.Supervisor.async_nolink/2)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unlinked tasks and task supervision using Task.start/1, Task.Supervisor, and Task.Supervisor.async_nolink/2.. Goal: Unlinked Tasks &amp; Task Supervision (Task.start/1, Task.Supervisor, Task.Supervisor.async_nolink/2)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Elixir OTP | 📊 Level: Advanced
**Topic:** Manage unlinked tasks and task supervision using Task.start/1, Task.Supervisor, and Task.Supervisor.async_nolink/2.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1"/>
        <v/>
      </c>
      <c r="AA25" s="56" t="str">
        <f t="shared" si="12"/>
        <v/>
      </c>
      <c r="AB25" s="56" t="str">
        <f t="shared" si="13"/>
        <v/>
      </c>
      <c r="AC25" s="56" t="str">
        <f t="shared" si="14"/>
        <v/>
      </c>
      <c r="AD25" s="56" t="str">
        <f t="shared" si="15"/>
        <v/>
      </c>
      <c r="AE25" s="40" t="s">
        <v>136</v>
      </c>
      <c r="AF25" s="40" t="s">
        <v>137</v>
      </c>
      <c r="AG25" s="40" t="s">
        <v>138</v>
      </c>
      <c r="AH25" s="56" t="str">
        <f t="shared" si="16"/>
        <v/>
      </c>
      <c r="AI25" s="54"/>
      <c r="AJ25" s="54"/>
      <c r="AK25" s="54">
        <v>17</v>
      </c>
      <c r="AL25" s="54" t="s">
        <v>139</v>
      </c>
      <c r="AM25" s="54" t="s">
        <v>140</v>
      </c>
    </row>
    <row r="26" spans="1:39">
      <c r="A26" s="95">
        <v>12</v>
      </c>
      <c r="B26" s="45" t="str" cm="1">
        <f t="array" ref="B26">IF(H26="PROJECT", CHAR(10) &amp; "- " &amp; _xlfn.TEXTJOIN(CHAR(10) &amp; "- ", TRUE, _xlfn._xlws.FILTER($I$9:$I$1000, ($C$9:$C$1000=C26) * ($H$9:$H$1000="Topic"))), "")</f>
        <v/>
      </c>
      <c r="C26" s="45">
        <f t="shared" si="0"/>
        <v>3</v>
      </c>
      <c r="D26" s="57">
        <v>4</v>
      </c>
      <c r="E26" s="58" t="s">
        <v>619</v>
      </c>
      <c r="F26" s="59">
        <v>18</v>
      </c>
      <c r="G26" s="60" t="s">
        <v>162</v>
      </c>
      <c r="H26" s="60" t="s">
        <v>50</v>
      </c>
      <c r="I26" s="61" t="s">
        <v>792</v>
      </c>
      <c r="J26" s="62" t="s">
        <v>793</v>
      </c>
      <c r="K26" s="120" t="str">
        <f t="shared" si="1"/>
        <v xml:space="preserve">[ROLE] Friendly tutor specializing in Elixir OTP | [TOPIC] Execute ETS core operations using :ets.new, :ets.insert, :ets.lookup, and :ets.delete.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12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Elixir OTP | 📊 Level: Advanced | 🌐 Coding5s.com
**Concept:** ETS Core Operations (:ets.new, :ets.insert, :ets.lookup, :ets.delete)
---
 | [INTRO RULE] Include a short tutor-style sentence in Spanish before the analogy, followed by this EXACT instruction block translated to Spanish: '🚨 **Your objective in this lesson:** To truly learn the new  Elixir OTP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3" t="str">
        <f t="shared" si="2"/>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ETS core operations using :ets.new, :ets.insert, :ets.lookup, and :ets.delete.. Topic details: ETS Core Operations (:ets.new, :ets.insert, :ets.lookup, :ets.delete)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Elixir OTP | 📊 Level: Advanced
**Topic:** Execute ETS core operations using :ets.new, :ets.insert, :ets.lookup, and :ets.delete.
---
 | [FOOTER RULE - STRICT] End your response with: '--- ⚡ *Coding5s Mentor System — Eliminating Epistemic Debt*' | </v>
      </c>
      <c r="M26" s="52">
        <v>0</v>
      </c>
      <c r="N26" s="102" t="str">
        <f t="shared" si="3"/>
        <v>[ROLE] Careless Elixir OTP Developer | [TASK] Generate debugging challenges in Elixir OTP | | [TOPIC] Execute ETS core operations using :ets.new, :ets.insert, :ets.lookup, and :ets.delete.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#18 | Stage 2 🐛 Debug | Elixir OTP | 📊 Level: Advanced | 🌐 Coding5s.com
Concept: ETS Core Operations (:ets.new, :ets.insert, :ets.lookup, :ets.delete)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OTP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3" t="str">
        <f t="shared" si="4"/>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ETS core operations using :ets.new, :ets.insert, :ets.lookup, and :ets.delete.. Topic details: ETS Core Operations (:ets.new, :ets.insert, :ets.lookup, :ets.delete)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Elixir OTP | 📊 Level: Advanced
**Topic:** Execute ETS core operations using :ets.new, :ets.insert, :ets.lookup, and :ets.delete.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2" t="str">
        <f t="shared" si="5"/>
        <v>[ROLE] Tech Lead | [TASK] Assign incomplete Elixir OTP script challenges | [TOPIC] Execute ETS core operations using :ets.new, :ets.insert, :ets.lookup, and :ets.delete. | [LEVEL] Advanced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#18 | Stage 3 🧩 Complete | Elixir OTP | 📊 Level: Advanced | 🌐 Coding5s.com
**Concept:** ETS Core Operations (:ets.new, :ets.insert, :ets.lookup, :ets.delete)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ETS core operations using :ets.new, :ets.insert, :ets.lookup, and :ets.delete..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3" t="str">
        <f t="shared" si="6"/>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ETS core operations using :ets.new, :ets.insert, :ets.lookup, and :ets.delete.. Topic details: ETS Core Operations (:ets.new, :ets.insert, :ets.lookup, :ets.delete)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Elixir OTP | 📊 Level: Advanced
**Topic:** Execute ETS core operations using :ets.new, :ets.insert, :ets.lookup, and :ets.delete.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2" t="str">
        <f t="shared" si="7"/>
        <v>[ROLE] Tech Lead | [TASK] Provide intentionally messy but functional code for learning debugging and improvement | [TOPIC] Execute ETS core operations using :ets.new, :ets.insert, :ets.lookup, and :ets.delete.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#18 | Stage 4 🧹 Refactor | Elixir OTP | 📊 Level: Advanced | 🌐 Coding5s.com
**Concept:** ETS Core Operations (:ets.new, :ets.insert, :ets.lookup, :ets.delete)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Execute ETS core operations using :ets.new, :ets.insert, :ets.lookup, and :ets.delete.. Topic details: ETS Core Operations (:ets.new, :ets.insert, :ets.lookup, :ets.delete)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Elixir OTP | 📊 Level: Advanced
**Topic:** Execute ETS core operations using :ets.new, :ets.insert, :ets.lookup, and :ets.delete.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9"/>
        <v>[ROLE] Tech Product Manager assigning a Elixir OTP Jira Ticket | [TASK] Provide a guided implementation exercise with full solution for learning purposes | [TOPIC] Execute ETS core operations using :ets.new, :ets.insert, :ets.lookup, and :ets.delete.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#18 | Stage 5 | Elixir OTP | 📊 Level: Advanced | 🌐 Coding5s.com
**Concept:** ETS Core Operations (:ets.new, :ets.insert, :ets.lookup, :ets.delete)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ETS core operations using :ets.new, :ets.insert, :ets.lookup, and :ets.delete.. Goal: ETS Core Operations (:ets.new, :ets.insert, :ets.lookup, :ets.delete)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Elixir OTP | 📊 Level: Advanced
**Topic:** Execute ETS core operations using :ets.new, :ets.insert, :ets.lookup, and :ets.delete.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1"/>
        <v/>
      </c>
      <c r="AA26" s="56" t="str">
        <f t="shared" si="12"/>
        <v/>
      </c>
      <c r="AB26" s="56" t="str">
        <f t="shared" si="13"/>
        <v/>
      </c>
      <c r="AC26" s="56" t="str">
        <f t="shared" si="14"/>
        <v/>
      </c>
      <c r="AD26" s="56" t="str">
        <f t="shared" si="15"/>
        <v/>
      </c>
      <c r="AE26" s="40" t="s">
        <v>141</v>
      </c>
      <c r="AF26" s="40" t="s">
        <v>142</v>
      </c>
      <c r="AG26" s="40" t="s">
        <v>143</v>
      </c>
      <c r="AH26" s="56" t="str">
        <f t="shared" si="16"/>
        <v/>
      </c>
      <c r="AI26" s="54"/>
      <c r="AJ26" s="54"/>
      <c r="AK26" s="54">
        <v>18</v>
      </c>
      <c r="AL26" s="54" t="s">
        <v>144</v>
      </c>
      <c r="AM26" s="54" t="s">
        <v>145</v>
      </c>
    </row>
    <row r="27" spans="1:39">
      <c r="A27" s="95">
        <v>20</v>
      </c>
      <c r="B27" s="45" t="str" cm="1">
        <f t="array" ref="B27">IF(H27="PROJECT", CHAR(10) &amp; "- " &amp; _xlfn.TEXTJOIN(CHAR(10) &amp; "- ", TRUE, _xlfn._xlws.FILTER($I$9:$I$1000, ($C$9:$C$1000=C27) * ($H$9:$H$1000="Topic"))), "")</f>
        <v/>
      </c>
      <c r="C27" s="45">
        <f t="shared" si="0"/>
        <v>3</v>
      </c>
      <c r="D27" s="46">
        <v>4</v>
      </c>
      <c r="E27" s="58" t="s">
        <v>619</v>
      </c>
      <c r="F27" s="48">
        <v>19</v>
      </c>
      <c r="G27" s="49" t="s">
        <v>162</v>
      </c>
      <c r="H27" s="49" t="s">
        <v>50</v>
      </c>
      <c r="I27" s="50" t="s">
        <v>794</v>
      </c>
      <c r="J27" s="51" t="s">
        <v>795</v>
      </c>
      <c r="K27" s="120" t="str">
        <f t="shared" si="1"/>
        <v xml:space="preserve">[ROLE] Friendly tutor specializing in Elixir OTP | [TOPIC] Configure ETS ownership and advanced patterns utilizing Table types, heir configuration, :read_concurrency / :write_concurrency optimizations, and ETS vs GenServer selection.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20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Elixir OTP | 📊 Level: Advanced | 🌐 Coding5s.com
**Concept:** ETS Ownership &amp; Advanced Patterns (Table types, heir configuration, :read_concurrency / :write_concurrency optimizations, ETS vs GenServer selection)
---
 | [INTRO RULE] Include a short tutor-style sentence in Spanish before the analogy, followed by this EXACT instruction block translated to Spanish: '🚨 **Your objective in this lesson:** To truly learn the new  Elixir OTP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3" t="str">
        <f t="shared" si="2"/>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ETS ownership and advanced patterns utilizing Table types, heir configuration, :read_concurrency / :write_concurrency optimizations, and ETS vs GenServer selection.. Topic details: ETS Ownership &amp; Advanced Patterns (Table types, heir configuration, :read_concurrency / :write_concurrency optimizations, ETS vs GenServer selection)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Elixir OTP | 📊 Level: Advanced
**Topic:** Configure ETS ownership and advanced patterns utilizing Table types, heir configuration, :read_concurrency / :write_concurrency optimizations, and ETS vs GenServer selection.
---
 | [FOOTER RULE - STRICT] End your response with: '--- ⚡ *Coding5s Mentor System — Eliminating Epistemic Debt*' | </v>
      </c>
      <c r="M27" s="53">
        <v>0</v>
      </c>
      <c r="N27" s="102" t="str">
        <f t="shared" si="3"/>
        <v>[ROLE] Careless Elixir OTP Developer | [TASK] Generate debugging challenges in Elixir OTP | | [TOPIC] Configure ETS ownership and advanced patterns utilizing Table types, heir configuration, :read_concurrency / :write_concurrency optimizations, and ETS vs GenServer selection.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#19 | Stage 2 🐛 Debug | Elixir OTP | 📊 Level: Advanced | 🌐 Coding5s.com
Concept: ETS Ownership &amp; Advanced Patterns (Table types, heir configuration, :read_concurrency / :write_concurrency optimizations, ETS vs GenServer selection)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OTP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3" t="str">
        <f t="shared" si="4"/>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ETS ownership and advanced patterns utilizing Table types, heir configuration, :read_concurrency / :write_concurrency optimizations, and ETS vs GenServer selection.. Topic details: ETS Ownership &amp; Advanced Patterns (Table types, heir configuration, :read_concurrency / :write_concurrency optimizations, ETS vs GenServer selection)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Elixir OTP | 📊 Level: Advanced
**Topic:** Configure ETS ownership and advanced patterns utilizing Table types, heir configuration, :read_concurrency / :write_concurrency optimizations, and ETS vs GenServer selection.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2" t="str">
        <f t="shared" si="5"/>
        <v>[ROLE] Tech Lead | [TASK] Assign incomplete Elixir OTP script challenges | [TOPIC] Configure ETS ownership and advanced patterns utilizing Table types, heir configuration, :read_concurrency / :write_concurrency optimizations, and ETS vs GenServer selection. | [LEVEL] Advanced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#19 | Stage 3 🧩 Complete | Elixir OTP | 📊 Level: Advanced | 🌐 Coding5s.com
**Concept:** ETS Ownership &amp; Advanced Patterns (Table types, heir configuration, :read_concurrency / :write_concurrency optimizations, ETS vs GenServer selection)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ETS ownership and advanced patterns utilizing Table types, heir configuration, :read_concurrency / :write_concurrency optimizations, and ETS vs GenServer selection..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3" t="str">
        <f t="shared" si="6"/>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ETS ownership and advanced patterns utilizing Table types, heir configuration, :read_concurrency / :write_concurrency optimizations, and ETS vs GenServer selection.. Topic details: ETS Ownership &amp; Advanced Patterns (Table types, heir configuration, :read_concurrency / :write_concurrency optimizations, ETS vs GenServer selection)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Elixir OTP | 📊 Level: Advanced
**Topic:** Configure ETS ownership and advanced patterns utilizing Table types, heir configuration, :read_concurrency / :write_concurrency optimizations, and ETS vs GenServer selection.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2" t="str">
        <f t="shared" si="7"/>
        <v>[ROLE] Tech Lead | [TASK] Provide intentionally messy but functional code for learning debugging and improvement | [TOPIC] Configure ETS ownership and advanced patterns utilizing Table types, heir configuration, :read_concurrency / :write_concurrency optimizations, and ETS vs GenServer selection.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#19 | Stage 4 🧹 Refactor | Elixir OTP | 📊 Level: Advanced | 🌐 Coding5s.com
**Concept:** ETS Ownership &amp; Advanced Patterns (Table types, heir configuration, :read_concurrency / :write_concurrency optimizations, ETS vs GenServer selection)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Configure ETS ownership and advanced patterns utilizing Table types, heir configuration, :read_concurrency / :write_concurrency optimizations, and ETS vs GenServer selection.. Topic details: ETS Ownership &amp; Advanced Patterns (Table types, heir configuration, :read_concurrency / :write_concurrency optimizations, ETS vs GenServer selection)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Elixir OTP | 📊 Level: Advanced
**Topic:** Configure ETS ownership and advanced patterns utilizing Table types, heir configuration, :read_concurrency / :write_concurrency optimizations, and ETS vs GenServer selection.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9"/>
        <v>[ROLE] Tech Product Manager assigning a Elixir OTP Jira Ticket | [TASK] Provide a guided implementation exercise with full solution for learning purposes | [TOPIC] Configure ETS ownership and advanced patterns utilizing Table types, heir configuration, :read_concurrency / :write_concurrency optimizations, and ETS vs GenServer selection.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#19 | Stage 5 | Elixir OTP | 📊 Level: Advanced | 🌐 Coding5s.com
**Concept:** ETS Ownership &amp; Advanced Patterns (Table types, heir configuration, :read_concurrency / :write_concurrency optimizations, ETS vs GenServer selection)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ETS ownership and advanced patterns utilizing Table types, heir configuration, :read_concurrency / :write_concurrency optimizations, and ETS vs GenServer selection.. Goal: ETS Ownership &amp; Advanced Patterns (Table types, heir configuration, :read_concurrency / :write_concurrency optimizations, ETS vs GenServer selection)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Elixir OTP | 📊 Level: Advanced
**Topic:** Configure ETS ownership and advanced patterns utilizing Table types, heir configuration, :read_concurrency / :write_concurrency optimizations, and ETS vs GenServer selection.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1"/>
        <v/>
      </c>
      <c r="AA27" s="56" t="str">
        <f t="shared" si="12"/>
        <v/>
      </c>
      <c r="AB27" s="56" t="str">
        <f t="shared" si="13"/>
        <v/>
      </c>
      <c r="AC27" s="56" t="str">
        <f t="shared" si="14"/>
        <v/>
      </c>
      <c r="AD27" s="56" t="str">
        <f t="shared" si="15"/>
        <v/>
      </c>
      <c r="AE27" s="40" t="s">
        <v>146</v>
      </c>
      <c r="AF27" s="40" t="s">
        <v>147</v>
      </c>
      <c r="AG27" s="40" t="s">
        <v>148</v>
      </c>
      <c r="AH27" s="56" t="str">
        <f t="shared" si="16"/>
        <v/>
      </c>
      <c r="AI27" s="54"/>
      <c r="AJ27" s="54"/>
      <c r="AK27" s="54">
        <v>19</v>
      </c>
      <c r="AL27" s="54" t="s">
        <v>106</v>
      </c>
      <c r="AM27" s="54" t="s">
        <v>107</v>
      </c>
    </row>
    <row r="28" spans="1:39">
      <c r="A28" s="95">
        <v>20</v>
      </c>
      <c r="B28" s="45" t="str" cm="1">
        <f t="array" ref="B28">IF(H28="PROJECT", CHAR(10) &amp; "- " &amp; _xlfn.TEXTJOIN(CHAR(10) &amp; "- ", TRUE, _xlfn._xlws.FILTER($I$9:$I$1000, ($C$9:$C$1000=C28) * ($H$9:$H$1000="Topic"))), "")</f>
        <v/>
      </c>
      <c r="C28" s="45">
        <f t="shared" si="0"/>
        <v>3</v>
      </c>
      <c r="D28" s="57">
        <v>3</v>
      </c>
      <c r="E28" s="58" t="s">
        <v>48</v>
      </c>
      <c r="F28" s="59">
        <v>20</v>
      </c>
      <c r="G28" s="60" t="s">
        <v>162</v>
      </c>
      <c r="H28" s="60" t="s">
        <v>50</v>
      </c>
      <c r="I28" s="61" t="s">
        <v>796</v>
      </c>
      <c r="J28" s="62" t="s">
        <v>797</v>
      </c>
      <c r="K28" s="120" t="str">
        <f t="shared" si="1"/>
        <v xml:space="preserve">[ROLE] Friendly tutor specializing in Elixir OTP | [TOPIC] Define Application behavior and environment using use Application, start/2, Config scripts, and Application.get_env/3. | [LEVEL] Advanced | [COUNT] 3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20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Elixir OTP | 📊 Level: Advanced | 🌐 Coding5s.com
**Concept:** Application Behavior &amp; Environment (use Application, start/2, Config scripts, Application.get_env/3)
---
 | [INTRO RULE] Include a short tutor-style sentence in Spanish before the analogy, followed by this EXACT instruction block translated to Spanish: '🚨 **Your objective in this lesson:** To truly learn the new  Elixir OTP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3" t="str">
        <f t="shared" si="2"/>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Application behavior and environment using use Application, start/2, Config scripts, and Application.get_env/3.. Topic details: Application Behavior &amp; Environment (use Application, start/2, Config scripts, Application.get_env/3)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Elixir OTP | 📊 Level: Advanced
**Topic:** Define Application behavior and environment using use Application, start/2, Config scripts, and Application.get_env/3.
---
 | [FOOTER RULE - STRICT] End your response with: '--- ⚡ *Coding5s Mentor System — Eliminating Epistemic Debt*' | </v>
      </c>
      <c r="M28" s="52">
        <v>0</v>
      </c>
      <c r="N28" s="102" t="str">
        <f t="shared" si="3"/>
        <v>[ROLE] Careless Elixir OTP Developer | [TASK] Generate debugging challenges in Elixir OTP | | [TOPIC] Define Application behavior and environment using use Application, start/2, Config scripts, and Application.get_env/3. | | [LEVEL] Advanced |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#20 | Stage 2 🐛 Debug | Elixir OTP | 📊 Level: Advanced | 🌐 Coding5s.com
Concept: Application Behavior &amp; Environment (use Application, start/2, Config scripts, Application.get_env/3)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OTP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3" t="str">
        <f t="shared" si="4"/>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Application behavior and environment using use Application, start/2, Config scripts, and Application.get_env/3.. Topic details: Application Behavior &amp; Environment (use Application, start/2, Config scripts, Application.get_env/3)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Elixir OTP | 📊 Level: Advanced
**Topic:** Define Application behavior and environment using use Application, start/2, Config scripts, and Application.get_env/3.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2" t="str">
        <f t="shared" si="5"/>
        <v>[ROLE] Tech Lead | [TASK] Assign incomplete Elixir OTP script challenges | [TOPIC] Define Application behavior and environment using use Application, start/2, Config scripts, and Application.get_env/3. | [LEVEL] Advanced | [COUNT] 3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#20 | Stage 3 🧩 Complete | Elixir OTP | 📊 Level: Advanced | 🌐 Coding5s.com
**Concept:** Application Behavior &amp; Environment (use Application, start/2, Config scripts, Application.get_env/3)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Application behavior and environment using use Application, start/2, Config scripts, and Application.get_env/3..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3" t="str">
        <f t="shared" si="6"/>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Application behavior and environment using use Application, start/2, Config scripts, and Application.get_env/3.. Topic details: Application Behavior &amp; Environment (use Application, start/2, Config scripts, Application.get_env/3)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Elixir OTP | 📊 Level: Advanced
**Topic:** Define Application behavior and environment using use Application, start/2, Config scripts, and Application.get_env/3.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2" t="str">
        <f t="shared" si="7"/>
        <v>[ROLE] Tech Lead | [TASK] Provide intentionally messy but functional code for learning debugging and improvement | [TOPIC] Define Application behavior and environment using use Application, start/2, Config scripts, and Application.get_env/3. | [LEVEL] Advanced | [COUNT] 3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#20 | Stage 4 🧹 Refactor | Elixir OTP | 📊 Level: Advanced | 🌐 Coding5s.com
**Concept:** Application Behavior &amp; Environment (use Application, start/2, Config scripts, Application.get_env/3)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Define Application behavior and environment using use Application, start/2, Config scripts, and Application.get_env/3.. Topic details: Application Behavior &amp; Environment (use Application, start/2, Config scripts, Application.get_env/3)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Elixir OTP | 📊 Level: Advanced
**Topic:** Define Application behavior and environment using use Application, start/2, Config scripts, and Application.get_env/3.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9"/>
        <v>[ROLE] Tech Product Manager assigning a Elixir OTP Jira Ticket | [TASK] Provide a guided implementation exercise with full solution for learning purposes | [TOPIC] Define Application behavior and environment using use Application, start/2, Config scripts, and Application.get_env/3.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#20 | Stage 5 | Elixir OTP | 📊 Level: Advanced | 🌐 Coding5s.com
**Concept:** Application Behavior &amp; Environment (use Application, start/2, Config scripts, Application.get_env/3)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Application behavior and environment using use Application, start/2, Config scripts, and Application.get_env/3.. Goal: Application Behavior &amp; Environment (use Application, start/2, Config scripts, Application.get_env/3)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Elixir OTP | 📊 Level: Advanced
**Topic:** Define Application behavior and environment using use Application, start/2, Config scripts, and Application.get_env/3.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1"/>
        <v/>
      </c>
      <c r="AA28" s="56" t="str">
        <f t="shared" si="12"/>
        <v/>
      </c>
      <c r="AB28" s="56" t="str">
        <f t="shared" si="13"/>
        <v/>
      </c>
      <c r="AC28" s="56" t="str">
        <f t="shared" si="14"/>
        <v/>
      </c>
      <c r="AD28" s="56" t="str">
        <f t="shared" si="15"/>
        <v/>
      </c>
      <c r="AE28" s="40" t="s">
        <v>149</v>
      </c>
      <c r="AF28" s="40" t="s">
        <v>150</v>
      </c>
      <c r="AG28" s="40" t="s">
        <v>151</v>
      </c>
      <c r="AH28" s="56" t="str">
        <f t="shared" si="16"/>
        <v/>
      </c>
      <c r="AI28" s="54"/>
      <c r="AJ28" s="54"/>
      <c r="AK28" s="54">
        <v>20</v>
      </c>
      <c r="AL28" s="54" t="s">
        <v>111</v>
      </c>
      <c r="AM28" s="54" t="s">
        <v>112</v>
      </c>
    </row>
    <row r="29" spans="1:39">
      <c r="A29" s="95">
        <v>25</v>
      </c>
      <c r="B29" s="45" t="str" cm="1">
        <f t="array" ref="B29">IF(H29="PROJECT", CHAR(10) &amp; "- " &amp; _xlfn.TEXTJOIN(CHAR(10) &amp; "- ", TRUE, _xlfn._xlws.FILTER($I$9:$I$1000, ($C$9:$C$1000=C29) * ($H$9:$H$1000="Topic"))), "")</f>
        <v/>
      </c>
      <c r="C29" s="45">
        <f t="shared" si="0"/>
        <v>3</v>
      </c>
      <c r="D29" s="46">
        <v>5</v>
      </c>
      <c r="E29" s="58" t="s">
        <v>48</v>
      </c>
      <c r="F29" s="48">
        <v>21</v>
      </c>
      <c r="G29" s="49" t="s">
        <v>162</v>
      </c>
      <c r="H29" s="49" t="s">
        <v>50</v>
      </c>
      <c r="I29" s="50" t="s">
        <v>798</v>
      </c>
      <c r="J29" s="51" t="s">
        <v>799</v>
      </c>
      <c r="K29" s="120" t="str">
        <f t="shared" si="1"/>
        <v xml:space="preserve">[ROLE] Friendly tutor specializing in Elixir OTP | [TOPIC] Implement complex initialization and releases using start_phases, mix release, runtime.exs, and connecting to running nodes. | [LEVEL] Advanced | [COUNT] 5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Elixir OTP | 📊 Level: Advanced | 🌐 Coding5s.com
**Concept:** Complex Initialization &amp; Releases (start_phases, mix release, runtime.exs, connecting to running nodes)
---
 | [INTRO RULE] Include a short tutor-style sentence in Spanish before the analogy, followed by this EXACT instruction block translated to Spanish: '🚨 **Your objective in this lesson:** To truly learn the new  Elixir OTP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3" t="str">
        <f t="shared" si="2"/>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complex initialization and releases using start_phases, mix release, runtime.exs, and connecting to running nodes.. Topic details: Complex Initialization &amp; Releases (start_phases, mix release, runtime.exs, connecting to running nodes)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Elixir OTP | 📊 Level: Advanced
**Topic:** Implement complex initialization and releases using start_phases, mix release, runtime.exs, and connecting to running nodes.
---
 | [FOOTER RULE - STRICT] End your response with: '--- ⚡ *Coding5s Mentor System — Eliminating Epistemic Debt*' | </v>
      </c>
      <c r="M29" s="53">
        <v>0</v>
      </c>
      <c r="N29" s="102" t="str">
        <f t="shared" si="3"/>
        <v>[ROLE] Careless Elixir OTP Developer | [TASK] Generate debugging challenges in Elixir OTP | | [TOPIC] Implement complex initialization and releases using start_phases, mix release, runtime.exs, and connecting to running nodes. | | [LEVEL] Advanced |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#21 | Stage 2 🐛 Debug | Elixir OTP | 📊 Level: Advanced | 🌐 Coding5s.com
Concept: Complex Initialization &amp; Releases (start_phases, mix release, runtime.exs, connecting to running nodes)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OTP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3" t="str">
        <f t="shared" si="4"/>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complex initialization and releases using start_phases, mix release, runtime.exs, and connecting to running nodes.. Topic details: Complex Initialization &amp; Releases (start_phases, mix release, runtime.exs, connecting to running nodes)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Elixir OTP | 📊 Level: Advanced
**Topic:** Implement complex initialization and releases using start_phases, mix release, runtime.exs, and connecting to running nodes.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2" t="str">
        <f t="shared" si="5"/>
        <v>[ROLE] Tech Lead | [TASK] Assign incomplete Elixir OTP script challenges | [TOPIC] Implement complex initialization and releases using start_phases, mix release, runtime.exs, and connecting to running nodes. | [LEVEL] Advanced | [COUNT] 5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#21 | Stage 3 🧩 Complete | Elixir OTP | 📊 Level: Advanced | 🌐 Coding5s.com
**Concept:** Complex Initialization &amp; Releases (start_phases, mix release, runtime.exs, connecting to running nodes)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complex initialization and releases using start_phases, mix release, runtime.exs, and connecting to running nodes..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3" t="str">
        <f t="shared" si="6"/>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complex initialization and releases using start_phases, mix release, runtime.exs, and connecting to running nodes.. Topic details: Complex Initialization &amp; Releases (start_phases, mix release, runtime.exs, connecting to running nodes)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Elixir OTP | 📊 Level: Advanced
**Topic:** Implement complex initialization and releases using start_phases, mix release, runtime.exs, and connecting to running nodes.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2" t="str">
        <f t="shared" si="7"/>
        <v>[ROLE] Tech Lead | [TASK] Provide intentionally messy but functional code for learning debugging and improvement | [TOPIC] Implement complex initialization and releases using start_phases, mix release, runtime.exs, and connecting to running nodes. | [LEVEL] Advanced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#21 | Stage 4 🧹 Refactor | Elixir OTP | 📊 Level: Advanced | 🌐 Coding5s.com
**Concept:** Complex Initialization &amp; Releases (start_phases, mix release, runtime.exs, connecting to running nodes)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complex initialization and releases using start_phases, mix release, runtime.exs, and connecting to running nodes.. Topic details: Complex Initialization &amp; Releases (start_phases, mix release, runtime.exs, connecting to running nodes)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Elixir OTP | 📊 Level: Advanced
**Topic:** Implement complex initialization and releases using start_phases, mix release, runtime.exs, and connecting to running nodes.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9"/>
        <v>[ROLE] Tech Product Manager assigning a Elixir OTP Jira Ticket | [TASK] Provide a guided implementation exercise with full solution for learning purposes | [TOPIC] Implement complex initialization and releases using start_phases, mix release, runtime.exs, and connecting to running nodes.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#21 | Stage 5 | Elixir OTP | 📊 Level: Advanced | 🌐 Coding5s.com
**Concept:** Complex Initialization &amp; Releases (start_phases, mix release, runtime.exs, connecting to running nodes)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complex initialization and releases using start_phases, mix release, runtime.exs, and connecting to running nodes.. Goal: Complex Initialization &amp; Releases (start_phases, mix release, runtime.exs, connecting to running nodes)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Elixir OTP | 📊 Level: Advanced
**Topic:** Implement complex initialization and releases using start_phases, mix release, runtime.exs, and connecting to running nodes.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1"/>
        <v/>
      </c>
      <c r="AA29" s="56" t="str">
        <f t="shared" si="12"/>
        <v/>
      </c>
      <c r="AB29" s="56" t="str">
        <f t="shared" si="13"/>
        <v/>
      </c>
      <c r="AC29" s="56" t="str">
        <f t="shared" si="14"/>
        <v/>
      </c>
      <c r="AD29" s="56" t="str">
        <f t="shared" si="15"/>
        <v/>
      </c>
      <c r="AE29" s="40" t="s">
        <v>152</v>
      </c>
      <c r="AF29" s="40" t="s">
        <v>153</v>
      </c>
      <c r="AG29" s="40" t="s">
        <v>154</v>
      </c>
      <c r="AH29" s="56" t="str">
        <f t="shared" si="16"/>
        <v/>
      </c>
      <c r="AI29" s="54"/>
      <c r="AJ29" s="54"/>
      <c r="AK29" s="54">
        <v>21</v>
      </c>
      <c r="AL29" s="54" t="s">
        <v>116</v>
      </c>
      <c r="AM29" s="54" t="s">
        <v>117</v>
      </c>
    </row>
    <row r="30" spans="1:39">
      <c r="A30" s="95">
        <v>15</v>
      </c>
      <c r="B30" s="45" t="str" cm="1">
        <f t="array" ref="B30">IF(H30="PROJECT", CHAR(10) &amp; "- " &amp; _xlfn.TEXTJOIN(CHAR(10) &amp; "- ", TRUE, _xlfn._xlws.FILTER($I$9:$I$1000, ($C$9:$C$1000=C30) * ($H$9:$H$1000="Topic"))), "")</f>
        <v/>
      </c>
      <c r="C30" s="45">
        <f t="shared" si="0"/>
        <v>3</v>
      </c>
      <c r="D30" s="57">
        <v>4</v>
      </c>
      <c r="E30" s="58" t="s">
        <v>619</v>
      </c>
      <c r="F30" s="59">
        <v>22</v>
      </c>
      <c r="G30" s="60" t="s">
        <v>162</v>
      </c>
      <c r="H30" s="60" t="s">
        <v>50</v>
      </c>
      <c r="I30" s="61" t="s">
        <v>800</v>
      </c>
      <c r="J30" s="62" t="s">
        <v>801</v>
      </c>
      <c r="K30" s="120" t="str">
        <f t="shared" si="1"/>
        <v xml:space="preserve">[ROLE] Friendly tutor specializing in Elixir OTP | [TOPIC] Execute Node operations and RPC using Node.self/0, Node.connect/1, :rpc.call/4, and :rpc.multicall/3.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15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Elixir OTP | 📊 Level: Advanced | 🌐 Coding5s.com
**Concept:** Node Operations &amp; RPC (Node.self/0, Node.connect/1, :rpc.call/4, :rpc.multicall/3)
---
 | [INTRO RULE] Include a short tutor-style sentence in Spanish before the analogy, followed by this EXACT instruction block translated to Spanish: '🚨 **Your objective in this lesson:** To truly learn the new  Elixir OTP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3" t="str">
        <f t="shared" si="2"/>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Node operations and RPC using Node.self/0, Node.connect/1, :rpc.call/4, and :rpc.multicall/3.. Topic details: Node Operations &amp; RPC (Node.self/0, Node.connect/1, :rpc.call/4, :rpc.multicall/3)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Elixir OTP | 📊 Level: Advanced
**Topic:** Execute Node operations and RPC using Node.self/0, Node.connect/1, :rpc.call/4, and :rpc.multicall/3.
---
 | [FOOTER RULE - STRICT] End your response with: '--- ⚡ *Coding5s Mentor System — Eliminating Epistemic Debt*' | </v>
      </c>
      <c r="M30" s="52">
        <v>0</v>
      </c>
      <c r="N30" s="102" t="str">
        <f t="shared" si="3"/>
        <v>[ROLE] Careless Elixir OTP Developer | [TASK] Generate debugging challenges in Elixir OTP | | [TOPIC] Execute Node operations and RPC using Node.self/0, Node.connect/1, :rpc.call/4, and :rpc.multicall/3.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#22 | Stage 2 🐛 Debug | Elixir OTP | 📊 Level: Advanced | 🌐 Coding5s.com
Concept: Node Operations &amp; RPC (Node.self/0, Node.connect/1, :rpc.call/4, :rpc.multicall/3)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OTP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3" t="str">
        <f t="shared" si="4"/>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Node operations and RPC using Node.self/0, Node.connect/1, :rpc.call/4, and :rpc.multicall/3.. Topic details: Node Operations &amp; RPC (Node.self/0, Node.connect/1, :rpc.call/4, :rpc.multicall/3)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Elixir OTP | 📊 Level: Advanced
**Topic:** Execute Node operations and RPC using Node.self/0, Node.connect/1, :rpc.call/4, and :rpc.multicall/3.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2" t="str">
        <f t="shared" si="5"/>
        <v>[ROLE] Tech Lead | [TASK] Assign incomplete Elixir OTP script challenges | [TOPIC] Execute Node operations and RPC using Node.self/0, Node.connect/1, :rpc.call/4, and :rpc.multicall/3. | [LEVEL] Advanced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#22 | Stage 3 🧩 Complete | Elixir OTP | 📊 Level: Advanced | 🌐 Coding5s.com
**Concept:** Node Operations &amp; RPC (Node.self/0, Node.connect/1, :rpc.call/4, :rpc.multicall/3)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Node operations and RPC using Node.self/0, Node.connect/1, :rpc.call/4, and :rpc.multicall/3..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3" t="str">
        <f t="shared" si="6"/>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Node operations and RPC using Node.self/0, Node.connect/1, :rpc.call/4, and :rpc.multicall/3.. Topic details: Node Operations &amp; RPC (Node.self/0, Node.connect/1, :rpc.call/4, :rpc.multicall/3)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Elixir OTP | 📊 Level: Advanced
**Topic:** Execute Node operations and RPC using Node.self/0, Node.connect/1, :rpc.call/4, and :rpc.multicall/3.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2" t="str">
        <f t="shared" si="7"/>
        <v>[ROLE] Tech Lead | [TASK] Provide intentionally messy but functional code for learning debugging and improvement | [TOPIC] Execute Node operations and RPC using Node.self/0, Node.connect/1, :rpc.call/4, and :rpc.multicall/3.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#22 | Stage 4 🧹 Refactor | Elixir OTP | 📊 Level: Advanced | 🌐 Coding5s.com
**Concept:** Node Operations &amp; RPC (Node.self/0, Node.connect/1, :rpc.call/4, :rpc.multicall/3)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Execute Node operations and RPC using Node.self/0, Node.connect/1, :rpc.call/4, and :rpc.multicall/3.. Topic details: Node Operations &amp; RPC (Node.self/0, Node.connect/1, :rpc.call/4, :rpc.multicall/3)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Elixir OTP | 📊 Level: Advanced
**Topic:** Execute Node operations and RPC using Node.self/0, Node.connect/1, :rpc.call/4, and :rpc.multicall/3.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9"/>
        <v>[ROLE] Tech Product Manager assigning a Elixir OTP Jira Ticket | [TASK] Provide a guided implementation exercise with full solution for learning purposes | [TOPIC] Execute Node operations and RPC using Node.self/0, Node.connect/1, :rpc.call/4, and :rpc.multicall/3.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#22 | Stage 5 | Elixir OTP | 📊 Level: Advanced | 🌐 Coding5s.com
**Concept:** Node Operations &amp; RPC (Node.self/0, Node.connect/1, :rpc.call/4, :rpc.multicall/3)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Node operations and RPC using Node.self/0, Node.connect/1, :rpc.call/4, and :rpc.multicall/3.. Goal: Node Operations &amp; RPC (Node.self/0, Node.connect/1, :rpc.call/4, :rpc.multicall/3)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Elixir OTP | 📊 Level: Advanced
**Topic:** Execute Node operations and RPC using Node.self/0, Node.connect/1, :rpc.call/4, and :rpc.multicall/3.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1"/>
        <v/>
      </c>
      <c r="AA30" s="56" t="str">
        <f t="shared" si="12"/>
        <v/>
      </c>
      <c r="AB30" s="56" t="str">
        <f t="shared" si="13"/>
        <v/>
      </c>
      <c r="AC30" s="56" t="str">
        <f t="shared" si="14"/>
        <v/>
      </c>
      <c r="AD30" s="56" t="str">
        <f t="shared" si="15"/>
        <v/>
      </c>
      <c r="AE30" s="40" t="s">
        <v>155</v>
      </c>
      <c r="AF30" s="40" t="s">
        <v>156</v>
      </c>
      <c r="AG30" s="40" t="s">
        <v>157</v>
      </c>
      <c r="AH30" s="56" t="str">
        <f t="shared" si="16"/>
        <v/>
      </c>
      <c r="AI30" s="54"/>
      <c r="AJ30" s="54"/>
      <c r="AK30" s="54">
        <v>22</v>
      </c>
      <c r="AL30" s="54" t="s">
        <v>121</v>
      </c>
      <c r="AM30" s="54" t="s">
        <v>122</v>
      </c>
    </row>
    <row r="31" spans="1:39">
      <c r="A31" s="95">
        <v>25</v>
      </c>
      <c r="B31" s="45" t="str" cm="1">
        <f t="array" ref="B31">IF(H31="PROJECT", CHAR(10) &amp; "- " &amp; _xlfn.TEXTJOIN(CHAR(10) &amp; "- ", TRUE, _xlfn._xlws.FILTER($I$9:$I$1000, ($C$9:$C$1000=C31) * ($H$9:$H$1000="Topic"))), "")</f>
        <v/>
      </c>
      <c r="C31" s="45">
        <f t="shared" si="0"/>
        <v>3</v>
      </c>
      <c r="D31" s="46">
        <v>5</v>
      </c>
      <c r="E31" s="58" t="s">
        <v>619</v>
      </c>
      <c r="F31" s="48">
        <v>23</v>
      </c>
      <c r="G31" s="49" t="s">
        <v>162</v>
      </c>
      <c r="H31" s="49" t="s">
        <v>50</v>
      </c>
      <c r="I31" s="50" t="s">
        <v>802</v>
      </c>
      <c r="J31" s="51" t="s">
        <v>803</v>
      </c>
      <c r="K31" s="120" t="str">
        <f t="shared" si="1"/>
        <v xml:space="preserve">[ROLE] Friendly tutor specializing in Elixir OTP | [TOPIC] Design distributed architecture and constraints using Node.monitor/2, :pg Process Groups, and handling network partitions/split-brain. | [LEVEL] Advanced | [COUNT] 5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Elixir OTP | 📊 Level: Advanced | 🌐 Coding5s.com
**Concept:** Distributed Architecture &amp; Constraints (Node.monitor/2, :pg Process Groups, handling network partitions/split-brain)
---
 | [INTRO RULE] Include a short tutor-style sentence in Spanish before the analogy, followed by this EXACT instruction block translated to Spanish: '🚨 **Your objective in this lesson:** To truly learn the new  Elixir OTP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3" t="str">
        <f t="shared" si="2"/>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Design distributed architecture and constraints using Node.monitor/2, :pg Process Groups, and handling network partitions/split-brain.. Topic details: Distributed Architecture &amp; Constraints (Node.monitor/2, :pg Process Groups, handling network partitions/split-brain)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Elixir OTP | 📊 Level: Advanced
**Topic:** Design distributed architecture and constraints using Node.monitor/2, :pg Process Groups, and handling network partitions/split-brain.
---
 | [FOOTER RULE - STRICT] End your response with: '--- ⚡ *Coding5s Mentor System — Eliminating Epistemic Debt*' | </v>
      </c>
      <c r="M31" s="53">
        <v>0</v>
      </c>
      <c r="N31" s="102" t="str">
        <f t="shared" si="3"/>
        <v>[ROLE] Careless Elixir OTP Developer | [TASK] Generate debugging challenges in Elixir OTP | | [TOPIC] Design distributed architecture and constraints using Node.monitor/2, :pg Process Groups, and handling network partitions/split-brain. | | [LEVEL] Advanced |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#23 | Stage 2 🐛 Debug | Elixir OTP | 📊 Level: Advanced | 🌐 Coding5s.com
Concept: Distributed Architecture &amp; Constraints (Node.monitor/2, :pg Process Groups, handling network partitions/split-brain)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OTP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3" t="str">
        <f t="shared" si="4"/>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Design distributed architecture and constraints using Node.monitor/2, :pg Process Groups, and handling network partitions/split-brain.. Topic details: Distributed Architecture &amp; Constraints (Node.monitor/2, :pg Process Groups, handling network partitions/split-brain)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Elixir OTP | 📊 Level: Advanced
**Topic:** Design distributed architecture and constraints using Node.monitor/2, :pg Process Groups, and handling network partitions/split-brain.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2" t="str">
        <f t="shared" si="5"/>
        <v>[ROLE] Tech Lead | [TASK] Assign incomplete Elixir OTP script challenges | [TOPIC] Design distributed architecture and constraints using Node.monitor/2, :pg Process Groups, and handling network partitions/split-brain. | [LEVEL] Advanced | [COUNT] 5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#23 | Stage 3 🧩 Complete | Elixir OTP | 📊 Level: Advanced | 🌐 Coding5s.com
**Concept:** Distributed Architecture &amp; Constraints (Node.monitor/2, :pg Process Groups, handling network partitions/split-brain)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Design distributed architecture and constraints using Node.monitor/2, :pg Process Groups, and handling network partitions/split-brain..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3" t="str">
        <f t="shared" si="6"/>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Design distributed architecture and constraints using Node.monitor/2, :pg Process Groups, and handling network partitions/split-brain.. Topic details: Distributed Architecture &amp; Constraints (Node.monitor/2, :pg Process Groups, handling network partitions/split-brain)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Elixir OTP | 📊 Level: Advanced
**Topic:** Design distributed architecture and constraints using Node.monitor/2, :pg Process Groups, and handling network partitions/split-brain.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2" t="str">
        <f t="shared" si="7"/>
        <v>[ROLE] Tech Lead | [TASK] Provide intentionally messy but functional code for learning debugging and improvement | [TOPIC] Design distributed architecture and constraints using Node.monitor/2, :pg Process Groups, and handling network partitions/split-brain. | [LEVEL] Advanced | [COUNT] 5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#23 | Stage 4 🧹 Refactor | Elixir OTP | 📊 Level: Advanced | 🌐 Coding5s.com
**Concept:** Distributed Architecture &amp; Constraints (Node.monitor/2, :pg Process Groups, handling network partitions/split-brain)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Design distributed architecture and constraints using Node.monitor/2, :pg Process Groups, and handling network partitions/split-brain.. Topic details: Distributed Architecture &amp; Constraints (Node.monitor/2, :pg Process Groups, handling network partitions/split-brain)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Elixir OTP | 📊 Level: Advanced
**Topic:** Design distributed architecture and constraints using Node.monitor/2, :pg Process Groups, and handling network partitions/split-brain.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9"/>
        <v>[ROLE] Tech Product Manager assigning a Elixir OTP Jira Ticket | [TASK] Provide a guided implementation exercise with full solution for learning purposes | [TOPIC] Design distributed architecture and constraints using Node.monitor/2, :pg Process Groups, and handling network partitions/split-brain.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#23 | Stage 5 | Elixir OTP | 📊 Level: Advanced | 🌐 Coding5s.com
**Concept:** Distributed Architecture &amp; Constraints (Node.monitor/2, :pg Process Groups, handling network partitions/split-brain)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Design distributed architecture and constraints using Node.monitor/2, :pg Process Groups, and handling network partitions/split-brain.. Goal: Distributed Architecture &amp; Constraints (Node.monitor/2, :pg Process Groups, handling network partitions/split-brain)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Elixir OTP | 📊 Level: Advanced
**Topic:** Design distributed architecture and constraints using Node.monitor/2, :pg Process Groups, and handling network partitions/split-brain.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1"/>
        <v/>
      </c>
      <c r="AA31" s="56" t="str">
        <f t="shared" si="12"/>
        <v/>
      </c>
      <c r="AB31" s="56" t="str">
        <f t="shared" si="13"/>
        <v/>
      </c>
      <c r="AC31" s="56" t="str">
        <f t="shared" si="14"/>
        <v/>
      </c>
      <c r="AD31" s="56" t="str">
        <f t="shared" si="15"/>
        <v/>
      </c>
      <c r="AE31" s="40" t="s">
        <v>158</v>
      </c>
      <c r="AF31" s="40" t="s">
        <v>159</v>
      </c>
      <c r="AG31" s="40" t="s">
        <v>160</v>
      </c>
      <c r="AH31" s="56" t="str">
        <f t="shared" si="16"/>
        <v/>
      </c>
      <c r="AI31" s="54"/>
      <c r="AJ31" s="54"/>
      <c r="AK31" s="54">
        <v>23</v>
      </c>
      <c r="AL31" s="54" t="s">
        <v>126</v>
      </c>
      <c r="AM31" s="54" t="s">
        <v>127</v>
      </c>
    </row>
    <row r="32" spans="1:39">
      <c r="A32" s="95" t="s">
        <v>79</v>
      </c>
      <c r="B32" s="45" t="str" cm="1">
        <f t="array" ref="B32">IF(H32="PROJECT", CHAR(10) &amp; "- " &amp; _xlfn.TEXTJOIN(CHAR(10) &amp; "- ", TRUE, _xlfn._xlws.FILTER($I$9:$I$1000, ($C$9:$C$1000=C32) * ($H$9:$H$1000="Topic"))), "")</f>
        <v xml:space="preserve">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v>
      </c>
      <c r="C32" s="45">
        <f t="shared" si="0"/>
        <v>3</v>
      </c>
      <c r="D32" s="57">
        <v>0</v>
      </c>
      <c r="E32" s="58" t="s">
        <v>619</v>
      </c>
      <c r="F32" s="59">
        <v>24</v>
      </c>
      <c r="G32" s="60" t="s">
        <v>162</v>
      </c>
      <c r="H32" s="60" t="s">
        <v>80</v>
      </c>
      <c r="I32" s="61" t="s">
        <v>804</v>
      </c>
      <c r="J32" s="62" t="s">
        <v>805</v>
      </c>
      <c r="K32" s="120" t="str">
        <f t="shared" si="1"/>
        <v>[TASK] Teach through a practical Elixir OTP -  project following the micro-learning methodology, acting as a supportive tutor, creating a project about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Standard mix.exs dependencies list (defp deps do [{:package_name, '~&gt; version'}] end) at the top. | [SCOPE_ARCHITECTURE_RULE] Rule: Build fault-tolerant OTP apps with DynamicSupervisor, Registry for process discovery, and handle_info/2 handlers. | [VISUAL_ARCHITECTURE_COMMENTS] 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Elixir OTP | 📊 Level: Advanced | 🌐 Coding5s.com
**Project:** PROJECT: Distributed ETS Cache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2" s="103" t="str">
        <f t="shared" si="2"/>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Construct a distributed caching application utilizing :ets operations, Application lifecycle, and :rpc node calls.. Topics applied in this project: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Project objective: PROJECT: Distributed ETS Cache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Elixir OTP | 📊 Level: Advanced
**Project:** Construct a distributed caching application utilizing :ets operations, Application lifecycle, and :rpc node calls.
---
 | [FOOTER RULE - STRICT] End your response with: '--- ⚡ *Coding5s Mentor System — Eliminating Epistemic Debt*' | </v>
      </c>
      <c r="M32" s="52">
        <v>0</v>
      </c>
      <c r="N32" s="102" t="str">
        <f t="shared" si="3"/>
        <v>[ROLE] Careless Elixir OTP Developer | [TASK] Generate debugging project in Elixir OTP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[OUTPUT] Only header, dataset summary or statement (if any), email intro, objective, expected output, broken code, and footer | [HEADER RULE - STRICT] You MUST start your entire response EXACTLY with this markdown block (do not print anything before it):
### 🚀 Project #24 | Stage 2 | Elixir OTP | 📊 Level: Advanced | 🌐 Coding5s.com
Project: PROJECT: Distributed ETS Cache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Oromo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2" s="103" t="str">
        <f t="shared" si="4"/>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Construct a distributed caching application utilizing :ets operations, Application lifecycle, and :rpc node calls.. Topics involved: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Project objective: PROJECT: Distributed ETS Cache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Elixir OTP | 📊 Level: Advanced
**Project:** Construct a distributed caching application utilizing :ets operations, Application lifecycle, and :rpc node calls.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2" t="str">
        <f t="shared" si="5"/>
        <v>[ROLE] Tech Lead | [TASK] Assign incomplete project script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#24 | Stage 3 | Elixir OTP | 📊 Level: Advanced | 🌐 Coding5s.com
**Project:** PROJECT: Distributed ETS Cache
---
 | [EXTERNAL_PACKAGE_PROTOCOL] Use Mix.install([{:package_name, '~&gt; version'}]) at the top if needed. | [CHALLENGE_CONSTRAINTS_POLICY] MUST be between 40–100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2" s="103" t="str">
        <f t="shared" si="6"/>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Construct a distributed caching application utilizing :ets operations, Application lifecycle, and :rpc node calls.. Topics involved: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Project objective: PROJECT: Distributed ETS Cache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Elixir OTP | 📊 Level: Advanced
**Project:** Construct a distributed caching application utilizing :ets operations, Application lifecycle, and :rpc node calls.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2" t="str">
        <f t="shared" si="7"/>
        <v>[ROLE] Tech Lead | [TASK] Provide a messy but functional project for refactoring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[PERSONA RULE] Act as a Tech Lead. A junior wrote this working but messy code. Tone: professional but exhausted | [HEADER RULE - STRICT] You MUST start your entire response EXACTLY with this markdown block (do not print anything before it):
### 🚀 Project #24 | Stage 4 | Elixir OTP | 📊 Level: Advanced | 🌐 Coding5s.com
**Project:** PROJECT: Distributed ETS Cache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PROJECT: Construct a distributed caching application utilizing :ets operations, Application lifecycle, and :rpc node calls.. Topics involved: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Project objective: PROJECT: Distributed ETS Cache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Elixir OTP | 📊 Level: Advanced
**Project:** Construct a distributed caching application utilizing :ets operations, Application lifecycle, and :rpc node calls.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9"/>
        <v>[ROLE] Tech Product Manager assigning a Elixir OTP Jira Ticket | [TASK] Provide a guided project implementation with full solution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#24 | Stage 5 | Elixir OTP | 📊 Level: Advanced | 🌐 Coding5s.com
**Project:** PROJECT: Distributed ETS Cache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Construct a distributed caching application utilizing :ets operations, Application lifecycle, and :rpc node calls.. Topics integrated: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Business Goal: PROJECT: Distributed ETS Cache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Elixir OTP | 📊 Level: Advanced
**Project:** Construct a distributed caching application utilizing :ets operations, Application lifecycle, and :rpc node calls.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1"/>
        <v>[TASK] Teach through a practical Elixir OTP -  project following the micro-learning methodology, acting as a supportive tutor, creating a project about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Standard mix.exs dependencies list (defp deps do [{:package_name, '~&gt; version'}] end) at the top. | [SCOPE_ARCHITECTURE_RULE] Rule: Build fault-tolerant OTP apps with DynamicSupervisor, Registry for process discovery, and handle_info/2 handlers. | [VISUAL_ARCHITECTURE_COMMENTS] 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Elixir OTP | 📊 Level: Advanced | 🌐 Coding5s.com
**Project:** PROJECT: Distributed ETS Cache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2" s="56" t="str">
        <f t="shared" si="12"/>
        <v>[ROLE] Careless Elixir OTP Developer | [TASK] Generate debugging project in Elixir OTP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[OUTPUT] Only header, dataset summary or statement (if any), email intro, objective, expected output, broken code, and footer | [HEADER RULE - STRICT] You MUST start your entire response EXACTLY with this markdown block (do not print anything before it):
### 🚀 Project #24 | Stage 2 | Elixir OTP | 📊 Level: Advanced | 🌐 Coding5s.com
Project: PROJECT: Distributed ETS Cache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Oromo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2" s="56" t="str">
        <f t="shared" si="13"/>
        <v>[ROLE] Tech Lead | [TASK] Assign incomplete project script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#24 | Stage 3 | Elixir OTP | 📊 Level: Advanced | 🌐 Coding5s.com
**Project:** PROJECT: Distributed ETS Cache
---
 | [EXTERNAL_PACKAGE_PROTOCOL] Use Mix.install([{:package_name, '~&gt; version'}]) at the top if needed. | [CHALLENGE_CONSTRAINTS_POLICY] MUST be between 40–100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2" s="56" t="str">
        <f t="shared" si="14"/>
        <v>[ROLE] Tech Lead | [TASK] Provide a messy but functional project for refactoring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[PERSONA RULE] Act as a Tech Lead. A junior wrote this working but messy code. Tone: professional but exhausted | [HEADER RULE - STRICT] You MUST start your entire response EXACTLY with this markdown block (do not print anything before it):
### 🚀 Project #24 | Stage 4 | Elixir OTP | 📊 Level: Advanced | 🌐 Coding5s.com
**Project:** PROJECT: Distributed ETS Cache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2" s="56" t="str">
        <f t="shared" si="15"/>
        <v>[ROLE] Tech Product Manager assigning a Elixir OTP Jira Ticket | [TASK] Provide a guided project implementation with full solution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#24 | Stage 5 | Elixir OTP | 📊 Level: Advanced | 🌐 Coding5s.com
**Project:** PROJECT: Distributed ETS Cache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2" s="40"/>
      <c r="AF32" s="40"/>
      <c r="AG32" s="40"/>
      <c r="AH32" s="56" t="str">
        <f t="shared" si="16"/>
        <v/>
      </c>
      <c r="AI32" s="54"/>
      <c r="AJ32" s="54"/>
      <c r="AK32" s="54">
        <v>24</v>
      </c>
      <c r="AL32" s="54" t="s">
        <v>131</v>
      </c>
      <c r="AM32" s="54" t="s">
        <v>132</v>
      </c>
    </row>
    <row r="33" spans="1:39">
      <c r="A33" s="95">
        <v>25</v>
      </c>
      <c r="B33" s="45" t="str" cm="1">
        <f t="array" ref="B33">IF(H33="PROJECT", CHAR(10) &amp; "- " &amp; _xlfn.TEXTJOIN(CHAR(10) &amp; "- ", TRUE, _xlfn._xlws.FILTER($I$9:$I$1000, ($C$9:$C$1000=C33) * ($H$9:$H$1000="Topic"))), "")</f>
        <v/>
      </c>
      <c r="C33" s="45">
        <f t="shared" si="0"/>
        <v>4</v>
      </c>
      <c r="D33" s="46">
        <v>4</v>
      </c>
      <c r="E33" s="58" t="s">
        <v>48</v>
      </c>
      <c r="F33" s="48">
        <v>25</v>
      </c>
      <c r="G33" s="49" t="s">
        <v>162</v>
      </c>
      <c r="H33" s="49" t="s">
        <v>50</v>
      </c>
      <c r="I33" s="50" t="s">
        <v>806</v>
      </c>
      <c r="J33" s="51" t="s">
        <v>807</v>
      </c>
      <c r="K33" s="120" t="str">
        <f t="shared" si="1"/>
        <v xml:space="preserve">[ROLE] Friendly tutor specializing in Elixir OTP | [TOPIC] Implement testing for GenServers and internal state using ExUnit with GenServer, asserting synchronous state, and assert_receive/3 for handle_info.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Elixir OTP | 📊 Level: Advanced | 🌐 Coding5s.com
**Concept:** Testing GenServers &amp; Internal State (ExUnit with GenServer, asserting synchronous state, assert_receive/3 for handle_info)
---
 | [INTRO RULE] Include a short tutor-style sentence in Spanish before the analogy, followed by this EXACT instruction block translated to Spanish: '🚨 **Your objective in this lesson:** To truly learn the new  Elixir OTP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3" s="103" t="str">
        <f t="shared" si="2"/>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testing for GenServers and internal state using ExUnit with GenServer, asserting synchronous state, and assert_receive/3 for handle_info.. Topic details: Testing GenServers &amp; Internal State (ExUnit with GenServer, asserting synchronous state, assert_receive/3 for handle_info)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Elixir OTP | 📊 Level: Advanced
**Topic:** Implement testing for GenServers and internal state using ExUnit with GenServer, asserting synchronous state, and assert_receive/3 for handle_info.
---
 | [FOOTER RULE - STRICT] End your response with: '--- ⚡ *Coding5s Mentor System — Eliminating Epistemic Debt*' | </v>
      </c>
      <c r="M33" s="53">
        <v>0</v>
      </c>
      <c r="N33" s="102" t="str">
        <f t="shared" si="3"/>
        <v>[ROLE] Careless Elixir OTP Developer | [TASK] Generate debugging challenges in Elixir OTP | | [TOPIC] Implement testing for GenServers and internal state using ExUnit with GenServer, asserting synchronous state, and assert_receive/3 for handle_info.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#25 | Stage 2 🐛 Debug | Elixir OTP | 📊 Level: Advanced | 🌐 Coding5s.com
Concept: Testing GenServers &amp; Internal State (ExUnit with GenServer, asserting synchronous state, assert_receive/3 for handle_info)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OTP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3" s="103" t="str">
        <f t="shared" si="4"/>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testing for GenServers and internal state using ExUnit with GenServer, asserting synchronous state, and assert_receive/3 for handle_info.. Topic details: Testing GenServers &amp; Internal State (ExUnit with GenServer, asserting synchronous state, assert_receive/3 for handle_info)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Elixir OTP | 📊 Level: Advanced
**Topic:** Implement testing for GenServers and internal state using ExUnit with GenServer, asserting synchronous state, and assert_receive/3 for handle_info.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2" t="str">
        <f t="shared" si="5"/>
        <v>[ROLE] Tech Lead | [TASK] Assign incomplete Elixir OTP script challenges | [TOPIC] Implement testing for GenServers and internal state using ExUnit with GenServer, asserting synchronous state, and assert_receive/3 for handle_info. | [LEVEL] Advanced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#25 | Stage 3 🧩 Complete | Elixir OTP | 📊 Level: Advanced | 🌐 Coding5s.com
**Concept:** Testing GenServers &amp; Internal State (ExUnit with GenServer, asserting synchronous state, assert_receive/3 for handle_info)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testing for GenServers and internal state using ExUnit with GenServer, asserting synchronous state, and assert_receive/3 for handle_info..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3" s="103" t="str">
        <f t="shared" si="6"/>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testing for GenServers and internal state using ExUnit with GenServer, asserting synchronous state, and assert_receive/3 for handle_info.. Topic details: Testing GenServers &amp; Internal State (ExUnit with GenServer, asserting synchronous state, assert_receive/3 for handle_info)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Elixir OTP | 📊 Level: Advanced
**Topic:** Implement testing for GenServers and internal state using ExUnit with GenServer, asserting synchronous state, and assert_receive/3 for handle_info.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2" t="str">
        <f t="shared" si="7"/>
        <v>[ROLE] Tech Lead | [TASK] Provide intentionally messy but functional code for learning debugging and improvement | [TOPIC] Implement testing for GenServers and internal state using ExUnit with GenServer, asserting synchronous state, and assert_receive/3 for handle_info.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#25 | Stage 4 🧹 Refactor | Elixir OTP | 📊 Level: Advanced | 🌐 Coding5s.com
**Concept:** Testing GenServers &amp; Internal State (ExUnit with GenServer, asserting synchronous state, assert_receive/3 for handle_info)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testing for GenServers and internal state using ExUnit with GenServer, asserting synchronous state, and assert_receive/3 for handle_info.. Topic details: Testing GenServers &amp; Internal State (ExUnit with GenServer, asserting synchronous state, assert_receive/3 for handle_info)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Elixir OTP | 📊 Level: Advanced
**Topic:** Implement testing for GenServers and internal state using ExUnit with GenServer, asserting synchronous state, and assert_receive/3 for handle_info.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9"/>
        <v>[ROLE] Tech Product Manager assigning a Elixir OTP Jira Ticket | [TASK] Provide a guided implementation exercise with full solution for learning purposes | [TOPIC] Implement testing for GenServers and internal state using ExUnit with GenServer, asserting synchronous state, and assert_receive/3 for handle_info.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#25 | Stage 5 | Elixir OTP | 📊 Level: Advanced | 🌐 Coding5s.com
**Concept:** Testing GenServers &amp; Internal State (ExUnit with GenServer, asserting synchronous state, assert_receive/3 for handle_info)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testing for GenServers and internal state using ExUnit with GenServer, asserting synchronous state, and assert_receive/3 for handle_info.. Goal: Testing GenServers &amp; Internal State (ExUnit with GenServer, asserting synchronous state, assert_receive/3 for handle_info)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Elixir OTP | 📊 Level: Advanced
**Topic:** Implement testing for GenServers and internal state using ExUnit with GenServer, asserting synchronous state, and assert_receive/3 for handle_info.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1"/>
        <v/>
      </c>
      <c r="AA33" s="56" t="str">
        <f t="shared" si="12"/>
        <v/>
      </c>
      <c r="AB33" s="56" t="str">
        <f t="shared" si="13"/>
        <v/>
      </c>
      <c r="AC33" s="56" t="str">
        <f t="shared" si="14"/>
        <v/>
      </c>
      <c r="AD33" s="56" t="str">
        <f t="shared" si="15"/>
        <v/>
      </c>
      <c r="AE33" s="40"/>
      <c r="AF33" s="40"/>
      <c r="AG33" s="40"/>
      <c r="AH33" s="56" t="str">
        <f t="shared" si="16"/>
        <v/>
      </c>
      <c r="AI33" s="54"/>
      <c r="AJ33" s="54"/>
      <c r="AK33" s="54">
        <v>25</v>
      </c>
      <c r="AL33" s="54" t="s">
        <v>136</v>
      </c>
      <c r="AM33" s="54" t="s">
        <v>137</v>
      </c>
    </row>
    <row r="34" spans="1:39">
      <c r="A34" s="95">
        <v>25</v>
      </c>
      <c r="B34" s="45" t="str" cm="1">
        <f t="array" ref="B34">IF(H34="PROJECT", CHAR(10) &amp; "- " &amp; _xlfn.TEXTJOIN(CHAR(10) &amp; "- ", TRUE, _xlfn._xlws.FILTER($I$9:$I$1000, ($C$9:$C$1000=C34) * ($H$9:$H$1000="Topic"))), "")</f>
        <v/>
      </c>
      <c r="C34" s="45">
        <f t="shared" si="0"/>
        <v>4</v>
      </c>
      <c r="D34" s="57">
        <v>4</v>
      </c>
      <c r="E34" s="58" t="s">
        <v>48</v>
      </c>
      <c r="F34" s="59">
        <v>26</v>
      </c>
      <c r="G34" s="60" t="s">
        <v>162</v>
      </c>
      <c r="H34" s="60" t="s">
        <v>50</v>
      </c>
      <c r="I34" s="61" t="s">
        <v>808</v>
      </c>
      <c r="J34" s="62" t="s">
        <v>809</v>
      </c>
      <c r="K34" s="120" t="str">
        <f t="shared" si="1"/>
        <v xml:space="preserve">[ROLE] Friendly tutor specializing in Elixir OTP | [TOPIC] Formulate testing for Supervisors and fault tolerance using Process.exit/2 simulations, asserting restart behavior, and Task.yield/2 in tests.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Elixir OTP | 📊 Level: Advanced | 🌐 Coding5s.com
**Concept:** Testing Supervisors &amp; Fault Tolerance (Process.exit/2 simulations, asserting restart behavior, Task.yield/2 in tests)
---
 | [INTRO RULE] Include a short tutor-style sentence in Spanish before the analogy, followed by this EXACT instruction block translated to Spanish: '🚨 **Your objective in this lesson:** To truly learn the new  Elixir OTP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3" t="str">
        <f t="shared" si="2"/>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Formulate testing for Supervisors and fault tolerance using Process.exit/2 simulations, asserting restart behavior, and Task.yield/2 in tests.. Topic details: Testing Supervisors &amp; Fault Tolerance (Process.exit/2 simulations, asserting restart behavior, Task.yield/2 in tests)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Elixir OTP | 📊 Level: Advanced
**Topic:** Formulate testing for Supervisors and fault tolerance using Process.exit/2 simulations, asserting restart behavior, and Task.yield/2 in tests.
---
 | [FOOTER RULE - STRICT] End your response with: '--- ⚡ *Coding5s Mentor System — Eliminating Epistemic Debt*' | </v>
      </c>
      <c r="M34" s="52">
        <v>0</v>
      </c>
      <c r="N34" s="102" t="str">
        <f t="shared" si="3"/>
        <v>[ROLE] Careless Elixir OTP Developer | [TASK] Generate debugging challenges in Elixir OTP | | [TOPIC] Formulate testing for Supervisors and fault tolerance using Process.exit/2 simulations, asserting restart behavior, and Task.yield/2 in tests.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#26 | Stage 2 🐛 Debug | Elixir OTP | 📊 Level: Advanced | 🌐 Coding5s.com
Concept: Testing Supervisors &amp; Fault Tolerance (Process.exit/2 simulations, asserting restart behavior, Task.yield/2 in tests)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OTP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3" t="str">
        <f t="shared" si="4"/>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Formulate testing for Supervisors and fault tolerance using Process.exit/2 simulations, asserting restart behavior, and Task.yield/2 in tests.. Topic details: Testing Supervisors &amp; Fault Tolerance (Process.exit/2 simulations, asserting restart behavior, Task.yield/2 in tests)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Elixir OTP | 📊 Level: Advanced
**Topic:** Formulate testing for Supervisors and fault tolerance using Process.exit/2 simulations, asserting restart behavior, and Task.yield/2 in tests.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2" t="str">
        <f t="shared" si="5"/>
        <v>[ROLE] Tech Lead | [TASK] Assign incomplete Elixir OTP script challenges | [TOPIC] Formulate testing for Supervisors and fault tolerance using Process.exit/2 simulations, asserting restart behavior, and Task.yield/2 in tests. | [LEVEL] Advanced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#26 | Stage 3 🧩 Complete | Elixir OTP | 📊 Level: Advanced | 🌐 Coding5s.com
**Concept:** Testing Supervisors &amp; Fault Tolerance (Process.exit/2 simulations, asserting restart behavior, Task.yield/2 in tests)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Formulate testing for Supervisors and fault tolerance using Process.exit/2 simulations, asserting restart behavior, and Task.yield/2 in tests..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3" t="str">
        <f t="shared" si="6"/>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Formulate testing for Supervisors and fault tolerance using Process.exit/2 simulations, asserting restart behavior, and Task.yield/2 in tests.. Topic details: Testing Supervisors &amp; Fault Tolerance (Process.exit/2 simulations, asserting restart behavior, Task.yield/2 in tests)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Elixir OTP | 📊 Level: Advanced
**Topic:** Formulate testing for Supervisors and fault tolerance using Process.exit/2 simulations, asserting restart behavior, and Task.yield/2 in tests.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2" t="str">
        <f t="shared" si="7"/>
        <v>[ROLE] Tech Lead | [TASK] Provide intentionally messy but functional code for learning debugging and improvement | [TOPIC] Formulate testing for Supervisors and fault tolerance using Process.exit/2 simulations, asserting restart behavior, and Task.yield/2 in tests.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#26 | Stage 4 🧹 Refactor | Elixir OTP | 📊 Level: Advanced | 🌐 Coding5s.com
**Concept:** Testing Supervisors &amp; Fault Tolerance (Process.exit/2 simulations, asserting restart behavior, Task.yield/2 in tests)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Formulate testing for Supervisors and fault tolerance using Process.exit/2 simulations, asserting restart behavior, and Task.yield/2 in tests.. Topic details: Testing Supervisors &amp; Fault Tolerance (Process.exit/2 simulations, asserting restart behavior, Task.yield/2 in tests)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Elixir OTP | 📊 Level: Advanced
**Topic:** Formulate testing for Supervisors and fault tolerance using Process.exit/2 simulations, asserting restart behavior, and Task.yield/2 in tests.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9"/>
        <v>[ROLE] Tech Product Manager assigning a Elixir OTP Jira Ticket | [TASK] Provide a guided implementation exercise with full solution for learning purposes | [TOPIC] Formulate testing for Supervisors and fault tolerance using Process.exit/2 simulations, asserting restart behavior, and Task.yield/2 in tests.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#26 | Stage 5 | Elixir OTP | 📊 Level: Advanced | 🌐 Coding5s.com
**Concept:** Testing Supervisors &amp; Fault Tolerance (Process.exit/2 simulations, asserting restart behavior, Task.yield/2 in tests)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Formulate testing for Supervisors and fault tolerance using Process.exit/2 simulations, asserting restart behavior, and Task.yield/2 in tests.. Goal: Testing Supervisors &amp; Fault Tolerance (Process.exit/2 simulations, asserting restart behavior, Task.yield/2 in tests)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Elixir OTP | 📊 Level: Advanced
**Topic:** Formulate testing for Supervisors and fault tolerance using Process.exit/2 simulations, asserting restart behavior, and Task.yield/2 in tests.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1"/>
        <v/>
      </c>
      <c r="AA34" s="56" t="str">
        <f t="shared" si="12"/>
        <v/>
      </c>
      <c r="AB34" s="56" t="str">
        <f t="shared" si="13"/>
        <v/>
      </c>
      <c r="AC34" s="56" t="str">
        <f t="shared" si="14"/>
        <v/>
      </c>
      <c r="AD34" s="56" t="str">
        <f t="shared" si="15"/>
        <v/>
      </c>
      <c r="AE34" s="40"/>
      <c r="AF34" s="40"/>
      <c r="AG34" s="40"/>
      <c r="AH34" s="56" t="str">
        <f t="shared" si="16"/>
        <v/>
      </c>
      <c r="AI34" s="54"/>
      <c r="AJ34" s="54"/>
      <c r="AK34" s="54">
        <v>26</v>
      </c>
      <c r="AL34" s="54" t="s">
        <v>141</v>
      </c>
      <c r="AM34" s="54" t="s">
        <v>142</v>
      </c>
    </row>
    <row r="35" spans="1:39">
      <c r="A35" s="95">
        <v>25</v>
      </c>
      <c r="B35" s="45" t="str" cm="1">
        <f t="array" ref="B35">IF(H35="PROJECT", CHAR(10) &amp; "- " &amp; _xlfn.TEXTJOIN(CHAR(10) &amp; "- ", TRUE, _xlfn._xlws.FILTER($I$9:$I$1000, ($C$9:$C$1000=C35) * ($H$9:$H$1000="Topic"))), "")</f>
        <v/>
      </c>
      <c r="C35" s="45">
        <f t="shared" si="0"/>
        <v>4</v>
      </c>
      <c r="D35" s="46">
        <v>4</v>
      </c>
      <c r="E35" s="58" t="s">
        <v>619</v>
      </c>
      <c r="F35" s="48">
        <v>27</v>
      </c>
      <c r="G35" s="49" t="s">
        <v>162</v>
      </c>
      <c r="H35" s="49" t="s">
        <v>50</v>
      </c>
      <c r="I35" s="50" t="s">
        <v>810</v>
      </c>
      <c r="J35" s="51" t="s">
        <v>811</v>
      </c>
      <c r="K35" s="120" t="str">
        <f t="shared" si="1"/>
        <v xml:space="preserve">[ROLE] Friendly tutor specializing in Elixir OTP | [TOPIC] Design testing for Registries and distributed systems by asserting via tuples, mocking node connections, and testing ETS table state. | [LEVEL] Advanced | [COUNT] 4 examples | [LIBRARY BEING LEARNED]  | [ECOSYSTEM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25 lines of EXECUTABLE code (STRICT: Do NOT count comments or blank lines). - NEVER exceed this limit. | [FUNCTION RULE] Rule: stateful GenServer state or external message passing | [CODE_CONSTRAINTS_RULE] Each example MUST: - Use stateful GenServer state or external message passing - Print steps &amp; result via Logger.info/debug or IO.inspect inside isolated process callbacks - MAX 25 executable lines (comments/blanks excluded) - NEVER exceed limit. | [I_O_PARADIGM] Use standard OTP message passing via send/2 or GenServer.call/3 and gracefully handle {:reply, response, new_state}, {:noreply, new_state}, and {:ok, state} tuples when applicable. | [INLINE_PACKAGE_MANAGER] If using external packages, use Standard mix.exs dependencies list (defp deps do [{:package_name, '~&gt; version'}] end) at the top of the code block. Assume no project configuration file exists. | [TESTING_FRAMEWORK_LIMITS]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[CODE QUALITY RULE] Code MUST be clean, readable, educational, executable, and produce correct results. Handle missing, malformed, or inconsistent data safely, utilizing pattern matching if possible. | [COMMENT CONSTRAINTS] Code MUST include sufficient inline comments explaining WHAT the code does AND WHY it is written that way. Density: Beginner = high, Intermediate = medium, Advanced = 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Elixir OTP | 📊 Level: Advanced | 🌐 Coding5s.com
**Concept:** Testing Registries &amp; Distributed Systems (Asserting via tuples, mocking node connections, testing ETS table state)
---
 | [INTRO RULE] Include a short tutor-style sentence in Spanish before the analogy, followed by this EXACT instruction block translated to Spanish: '🚨 **Your objective in this lesson:** To truly learn the new  Elixir OTP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Spanish),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3" t="str">
        <f t="shared" si="2"/>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Design testing for Registries and distributed systems by asserting via tuples, mocking node connections, and testing ETS table state.. Topic details: Testing Registries &amp; Distributed Systems (Asserting via tuples, mocking node connections, testing ETS table state)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Elixir OTP | 📊 Level: Advanced
**Topic:** Design testing for Registries and distributed systems by asserting via tuples, mocking node connections, and testing ETS table state.
---
 | [FOOTER RULE - STRICT] End your response with: '--- ⚡ *Coding5s Mentor System — Eliminating Epistemic Debt*' | </v>
      </c>
      <c r="M35" s="53">
        <v>0</v>
      </c>
      <c r="N35" s="102" t="str">
        <f t="shared" si="3"/>
        <v>[ROLE] Careless Elixir OTP Developer | [TASK] Generate debugging challenges in Elixir OTP | | [TOPIC] Design testing for Registries and distributed systems by asserting via tuples, mocking node connections, and testing ETS table state. | | [LEVEL] Advanced |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Topic #27 | Stage 2 🐛 Debug | Elixir OTP | 📊 Level: Advanced | 🌐 Coding5s.com
Concept: Testing Registries &amp; Distributed Systems (Asserting via tuples, mocking node connections, testing ETS table state)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[EXUNIT RULE] If the topic involves ExUnit or Testing, NEVER use doctests (@doc iex&gt;). You MUST use standard test macros (test 'test name' do) and assert statements. Doctests cause errors in standalone .exs scripts. | [HEX DEPENDENCIES RULE] If the exercise requires using an external Hex package in a standalone script, you MUST use Mix.install([{:package_name, '~&gt; version'}]) at the very top of the code block. Assume there is NO mix.exs file available in the user's environment. | [CODE CONSTRAINTS] Each challenge MUST include: - Internal data OR dataset usage - At least 1 Enum/List operation or recursion (when applicable) - At least 1 IO.puts or IO.inspect statement - 15–35 lines of EXECUTABLE broken code per example (STRICT: Do NOT count blank lines). Use pure functions and immutability. | All challenges MUST have similar complexity and length. | [INTRO RULE] The intro MUST be a dynamically generated, urgent, unprofessional email in Spanish with this EXACT format: '📥 From: [Random Dev Name]' / '📤 To: [Insert my user name if you know it from context, otherwise use Elixir OTP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Spanish: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Spanish)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3" t="str">
        <f t="shared" si="4"/>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Design testing for Registries and distributed systems by asserting via tuples, mocking node connections, and testing ETS table state.. Topic details: Testing Registries &amp; Distributed Systems (Asserting via tuples, mocking node connections, testing ETS table state)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Elixir OTP | 📊 Level: Advanced
**Topic:** Design testing for Registries and distributed systems by asserting via tuples, mocking node connections, and testing ETS table state.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2" t="str">
        <f t="shared" si="5"/>
        <v>[ROLE] Tech Lead | [TASK] Assign incomplete Elixir OTP script challenges | [TOPIC] Design testing for Registries and distributed systems by asserting via tuples, mocking node connections, and testing ETS table state. | [LEVEL] Advanced | [COUNT] 4 challenges | [LIBRARY BEING LEARNED]  | [ECOSYSTEM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[HEADER RULE - STRICT] You MUST start your entire response EXACTLY with this markdown block (do not print anything before it):
### 🔹 Topic #27 | Stage 3 🧩 Complete | Elixir OTP | 📊 Level: Advanced | 🌐 Coding5s.com
**Concept:** Testing Registries &amp; Distributed Systems (Asserting via tuples, mocking node connections, testing ETS table state)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If the exercise requires using an external Hex package in a standalone script, you MUST use Mix.install([{:package_name, '~&gt; version'}]) at the very top of the code block. | [TESTING_FRAMEWORK_PROTOCOL] If the topic involves ExUnit or Testing, NEVER use doctests (@doc iex&gt;). You MUST use standard test macros (test 'test name' do) and assert statements. | [CHALLENGE_CONSTRAINTS_POLICY] Each challenge MUST include: - Internal data OR dataset usage - 15–35 lines of EXECUTABLE base code (STRICT: Do NOT count comments or TODOs). - Length MUST vary across challenges. Use pure functions and immutability.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Design testing for Registries and distributed systems by asserting via tuples, mocking node connections, and testing ETS table state..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3" t="str">
        <f t="shared" si="6"/>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Design testing for Registries and distributed systems by asserting via tuples, mocking node connections, and testing ETS table state.. Topic details: Testing Registries &amp; Distributed Systems (Asserting via tuples, mocking node connections, testing ETS table state)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Elixir OTP | 📊 Level: Advanced
**Topic:** Design testing for Registries and distributed systems by asserting via tuples, mocking node connections, and testing ETS table state.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2" t="str">
        <f t="shared" si="7"/>
        <v>[ROLE] Tech Lead | [TASK] Provide intentionally messy but functional code for learning debugging and improvement | [TOPIC] Design testing for Registries and distributed systems by asserting via tuples, mocking node connections, and testing ETS table state. | [LEVEL] Advanced | [COUNT] 4 challenges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#27 | Stage 4 🧹 Refactor | Elixir OTP | 📊 Level: Advanced | 🌐 Coding5s.com
**Concept:** Testing Registries &amp; Distributed Systems (Asserting via tuples, mocking node connections, testing ETS table state)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Design testing for Registries and distributed systems by asserting via tuples, mocking node connections, and testing ETS table state.. Topic details: Testing Registries &amp; Distributed Systems (Asserting via tuples, mocking node connections, testing ETS table state)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Elixir OTP | 📊 Level: Advanced
**Topic:** Design testing for Registries and distributed systems by asserting via tuples, mocking node connections, and testing ETS table state.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9"/>
        <v>[ROLE] Tech Product Manager assigning a Elixir OTP Jira Ticket | [TASK] Provide a guided implementation exercise with full solution for learning purposes | [TOPIC] Design testing for Registries and distributed systems by asserting via tuples, mocking node connections, and testing ETS table state. | [LEVEL] Advanced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#27 | Stage 5 | Elixir OTP | 📊 Level: Advanced | 🌐 Coding5s.com
**Concept:** Testing Registries &amp; Distributed Systems (Asserting via tuples, mocking node connections, testing ETS table state)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Design testing for Registries and distributed systems by asserting via tuples, mocking node connections, and testing ETS table state.. Goal: Testing Registries &amp; Distributed Systems (Asserting via tuples, mocking node connections, testing ETS table state)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Elixir OTP | 📊 Level: Advanced
**Topic:** Design testing for Registries and distributed systems by asserting via tuples, mocking node connections, and testing ETS table state.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1"/>
        <v/>
      </c>
      <c r="AA35" s="56" t="str">
        <f t="shared" si="12"/>
        <v/>
      </c>
      <c r="AB35" s="56" t="str">
        <f t="shared" si="13"/>
        <v/>
      </c>
      <c r="AC35" s="56" t="str">
        <f t="shared" si="14"/>
        <v/>
      </c>
      <c r="AD35" s="56" t="str">
        <f t="shared" si="15"/>
        <v/>
      </c>
      <c r="AE35" s="40"/>
      <c r="AF35" s="40"/>
      <c r="AG35" s="40"/>
      <c r="AH35" s="56" t="str">
        <f t="shared" si="16"/>
        <v/>
      </c>
      <c r="AI35" s="54"/>
      <c r="AJ35" s="54"/>
      <c r="AK35" s="54">
        <v>27</v>
      </c>
      <c r="AL35" s="54" t="s">
        <v>146</v>
      </c>
      <c r="AM35" s="54" t="s">
        <v>147</v>
      </c>
    </row>
    <row r="36" spans="1:39">
      <c r="A36" s="95" t="s">
        <v>79</v>
      </c>
      <c r="B36" s="45" t="str" cm="1">
        <f t="array" ref="B36">IF(H36="PROJECT", CHAR(10) &amp; "- " &amp; _xlfn.TEXTJOIN(CHAR(10) &amp; "- ", TRUE, _xlfn._xlws.FILTER($I$9:$I$1000, ($C$9:$C$1000=C36) * ($H$9:$H$1000="Topic"))), "")</f>
        <v xml:space="preserve">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v>
      </c>
      <c r="C36" s="45">
        <f t="shared" si="0"/>
        <v>4</v>
      </c>
      <c r="D36" s="57">
        <v>0</v>
      </c>
      <c r="E36" s="58" t="s">
        <v>48</v>
      </c>
      <c r="F36" s="59">
        <v>28</v>
      </c>
      <c r="G36" s="60" t="s">
        <v>162</v>
      </c>
      <c r="H36" s="60" t="s">
        <v>80</v>
      </c>
      <c r="I36" s="61" t="s">
        <v>812</v>
      </c>
      <c r="J36" s="62" t="s">
        <v>813</v>
      </c>
      <c r="K36" s="120" t="str">
        <f t="shared" si="1"/>
        <v>[TASK] Teach through a practical Elixir OTP -  project following the micro-learning methodology, acting as a supportive tutor, creating a project about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Standard mix.exs dependencies list (defp deps do [{:package_name, '~&gt; version'}] end) at the top. | [SCOPE_ARCHITECTURE_RULE] Rule: Build fault-tolerant OTP apps with DynamicSupervisor, Registry for process discovery, and handle_info/2 handlers. | [VISUAL_ARCHITECTURE_COMMENTS] 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#28 | Stage 1 | Elixir OTP | 📊 Level: Advanced | 🌐 Coding5s.com
**Project:** PROJECT: Master OTP Test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6" s="103" t="str">
        <f t="shared" si="2"/>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comprehensive concurrent test suite for an OTP application validating Supervisors, GenServer state, and Registry via tuples.. Topics applied in this project: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Project objective: PROJECT: Master OTP Test Suite | [LANGUAGE CONSISTENCY RULE] ALL output text MUST be written strictly in (Spanish). | [LANGUAGE SEED CONTEXT] Language Seed Not Necessary | [LANGUAGE] Spanish | [MENTOR_SCOPE_EXPECTATIONS] Expect complete OTP apps with DynamicSupervisor, clean separation of Client API/Server Callbacks, and handle_info/2 pattern matching. | [CODE_QUALITY_POLICIES]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#28 | Practice | Elixir OTP | 📊 Level: Advanced
**Project:** Develop a comprehensive concurrent test suite for an OTP application validating Supervisors, GenServer state, and Registry via tuples.
---
 | [FOOTER RULE - STRICT] End your response with: '--- ⚡ *Coding5s Mentor System — Eliminating Epistemic Debt*' | </v>
      </c>
      <c r="M36" s="52">
        <v>0</v>
      </c>
      <c r="N36" s="102" t="str">
        <f t="shared" si="3"/>
        <v>[ROLE] Careless Elixir OTP Developer | [TASK] Generate debugging project in Elixir OTP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[OUTPUT] Only header, dataset summary or statement (if any), email intro, objective, expected output, broken code, and footer | [HEADER RULE - STRICT] You MUST start your entire response EXACTLY with this markdown block (do not print anything before it):
### 🚀 Project #28 | Stage 2 | Elixir OTP | 📊 Level: Advanced | 🌐 Coding5s.com
Project: PROJECT: Master OTP Test Suite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6" s="103" t="str">
        <f t="shared" si="4"/>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comprehensive concurrent test suite for an OTP application validating Supervisors, GenServer state, and Registry via tuples.. Topics involved: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Project objective: PROJECT: Master OTP Test Suite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#28 | Debug | Elixir OTP | 📊 Level: Advanced
**Project:** Develop a comprehensive concurrent test suite for an OTP application validating Supervisors, GenServer state, and Registry via tuples.
---
 | [PYTHON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2" t="str">
        <f t="shared" si="5"/>
        <v>[ROLE] Tech Lead | [TASK] Assign incomplete project script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#28 | Stage 3 | Elixir OTP | 📊 Level: Advanced | 🌐 Coding5s.com
**Project:** PROJECT: Master OTP Test Suite
---
 | [EXTERNAL_PACKAGE_PROTOCOL] Use Mix.install([{:package_name, '~&gt; version'}]) at the top if needed. | [CHALLENGE_CONSTRAINTS_POLICY] MUST be between 40–100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6" s="103" t="str">
        <f t="shared" si="6"/>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comprehensive concurrent test suite for an OTP application validating Supervisors, GenServer state, and Registry via tuples.. Topics involved: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Project objective: PROJECT: Master OTP Test Suite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#28 | Complete | Elixir OTP | 📊 Level: Advanced
**Project:** Develop a comprehensive concurrent test suite for an OTP application validating Supervisors, GenServer state, and Registry via tuples.
---
 | [PYTHON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2" t="str">
        <f t="shared" si="7"/>
        <v>[ROLE] Tech Lead | [TASK] Provide a messy but functional project for refactoring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[PERSONA RULE] Act as a Tech Lead. A junior wrote this working but messy code. Tone: professional but exhausted | [HEADER RULE - STRICT] You MUST start your entire response EXACTLY with this markdown block (do not print anything before it):
### 🚀 Project #28 | Stage 4 | Elixir OTP | 📊 Level: Advanced | 🌐 Coding5s.com
**Project:** PROJECT: Master OTP Test Suite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PROJECT: Develop a comprehensive concurrent test suite for an OTP application validating Supervisors, GenServer state, and Registry via tuples.. Topics involved: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Project objective: PROJECT: Master OTP Test Suite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#28 | Refactor | Elixir OTP | 📊 Level: Advanced
**Project:** Develop a comprehensive concurrent test suite for an OTP application validating Supervisors, GenServer state, and Registry via tuples.
---
 | [PYTHON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9"/>
        <v>[ROLE] Tech Product Manager assigning a Elixir OTP Jira Ticket | [TASK] Provide a guided project implementation with full solution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#28 | Stage 5 | Elixir OTP | 📊 Level: Advanced | 🌐 Coding5s.com
**Project:** PROJECT: Master OTP Test Suite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comprehensive concurrent test suite for an OTP application validating Supervisors, GenServer state, and Registry via tuples.. Topics integrated: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Business Goal: PROJECT: Master OTP Test Suite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#28 | Extend | Elixir OTP | 📊 Level: Advanced
**Project:** Develop a comprehensive concurrent test suite for an OTP application validating Supervisors, GenServer state, and Registry via tuples.
---
 | [CODE_QUALITY_PROTOCOL]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1"/>
        <v>[TASK] Teach through a practical Elixir OTP -  project following the micro-learning methodology, acting as a supportive tutor, creating a project about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the project requires an external package, you MUST use Standard mix.exs dependencies list (defp deps do [{:package_name, '~&gt; version'}] end) at the top. | [SCOPE_ARCHITECTURE_RULE] Rule: Build fault-tolerant OTP apps with DynamicSupervisor, Registry for process discovery, and handle_info/2 handlers. | [VISUAL_ARCHITECTURE_COMMENTS] 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#28 | Stage 1 | Elixir OTP | 📊 Level: Advanced | 🌐 Coding5s.com
**Project:** PROJECT: Master OTP Test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6" s="56" t="str">
        <f t="shared" si="12"/>
        <v>[ROLE] Careless Elixir OTP Developer | [TASK] Generate debugging project in Elixir OTP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[OUTPUT] Only header, dataset summary or statement (if any), email intro, objective, expected output, broken code, and footer | [HEADER RULE - STRICT] You MUST start your entire response EXACTLY with this markdown block (do not print anything before it):
### 🚀 Project #28 | Stage 2 | Elixir OTP | 📊 Level: Advanced | 🌐 Coding5s.com
Project: PROJECT: Master OTP Test Suite
---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6" s="56" t="str">
        <f t="shared" si="13"/>
        <v>[ROLE] Tech Lead | [TASK] Assign incomplete project script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#28 | Stage 3 | Elixir OTP | 📊 Level: Advanced | 🌐 Coding5s.com
**Project:** PROJECT: Master OTP Test Suite
---
 | [EXTERNAL_PACKAGE_PROTOCOL] Use Mix.install([{:package_name, '~&gt; version'}]) at the top if needed. | [CHALLENGE_CONSTRAINTS_POLICY] MUST be between 40–100 lines of EXECUTABLE base code (STRICT: Do NOT count comments or TODOs). Multi-step flow.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6" s="56" t="str">
        <f t="shared" si="14"/>
        <v>[ROLE] Tech Lead | [TASK] Provide a messy but functional project for refactoring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[PERSONA RULE] Act as a Tech Lead. A junior wrote this working but messy code. Tone: professional but exhausted | [HEADER RULE - STRICT] You MUST start your entire response EXACTLY with this markdown block (do not print anything before it):
### 🚀 Project #28 | Stage 4 | Elixir OTP | 📊 Level: Advanced | 🌐 Coding5s.com
**Project:** PROJECT: Master OTP Test Suite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6" s="56" t="str">
        <f t="shared" si="15"/>
        <v>[ROLE] Tech Product Manager assigning a Elixir OTP Jira Ticket | [TASK] Provide a guided project implementation with full solution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[PERSONA RULE] Act as a professional Tech Product Manager defining a project ticket | [LIBRARY BEING LEARNED]  | [ECOSYSTEM ORIENTATION RULE] If a module or ecosystem like Explorer or Nx is specified in , you are CRITICALLY FORBIDDEN from using manual recursion or nested loop implementations. You MUST enforce the vectorized operations and data structures of that specific library. | [HEADER RULE - STRICT] You MUST start your entire response EXACTLY with this markdown block (do not print anything before it):
### 🚀 Project #28 | Stage 5 | Elixir OTP | 📊 Level: Advanced | 🌐 Coding5s.com
**Project:** PROJECT: Master OTP Test Suite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6" s="40"/>
      <c r="AF36" s="40"/>
      <c r="AG36" s="40"/>
      <c r="AH36" s="56" t="str">
        <f t="shared" si="16"/>
        <v/>
      </c>
      <c r="AI36" s="54"/>
      <c r="AJ36" s="54"/>
      <c r="AK36" s="54">
        <v>28</v>
      </c>
      <c r="AL36" s="54" t="s">
        <v>149</v>
      </c>
      <c r="AM36" s="54" t="s">
        <v>150</v>
      </c>
    </row>
    <row r="37" spans="1:39">
      <c r="A37" s="95"/>
      <c r="B37" s="45" t="str" cm="1">
        <f t="array" ref="B37">IF(H37="PROJECT", CHAR(10) &amp; "- " &amp; _xlfn.TEXTJOIN(CHAR(10) &amp; "- ", TRUE, _xlfn._xlws.FILTER($I$9:$I$1000, ($C$9:$C$1000=C37) * ($H$9:$H$1000="Topic"))), "")</f>
        <v/>
      </c>
      <c r="C37" s="45">
        <f t="shared" si="0"/>
        <v>5</v>
      </c>
      <c r="D37" s="46"/>
      <c r="E37" s="58"/>
      <c r="F37" s="48"/>
      <c r="G37" s="49"/>
      <c r="H37" s="49"/>
      <c r="I37" s="50"/>
      <c r="J37" s="51"/>
      <c r="K37" s="120" t="str">
        <f t="shared" si="1"/>
        <v/>
      </c>
      <c r="L37" s="103" t="str">
        <f t="shared" si="2"/>
        <v/>
      </c>
      <c r="M37" s="53">
        <v>0</v>
      </c>
      <c r="N37" s="102" t="str">
        <f t="shared" si="3"/>
        <v/>
      </c>
      <c r="O37" s="103" t="str">
        <f t="shared" si="4"/>
        <v/>
      </c>
      <c r="P37" s="53">
        <v>0</v>
      </c>
      <c r="Q37" s="102" t="str">
        <f t="shared" si="5"/>
        <v/>
      </c>
      <c r="R37" s="103" t="str">
        <f t="shared" si="6"/>
        <v/>
      </c>
      <c r="S37" s="53">
        <v>0</v>
      </c>
      <c r="T37" s="102" t="str">
        <f t="shared" si="7"/>
        <v/>
      </c>
      <c r="U37" s="103" t="str">
        <f t="shared" si="8"/>
        <v/>
      </c>
      <c r="V37" s="53">
        <v>0</v>
      </c>
      <c r="W37" s="87" t="str">
        <f t="shared" si="9"/>
        <v/>
      </c>
      <c r="X37" s="103" t="str">
        <f t="shared" si="10"/>
        <v/>
      </c>
      <c r="Y37" s="53">
        <v>0</v>
      </c>
      <c r="Z37" s="56" t="str">
        <f t="shared" si="11"/>
        <v/>
      </c>
      <c r="AA37" s="56" t="str">
        <f t="shared" si="12"/>
        <v/>
      </c>
      <c r="AB37" s="56" t="str">
        <f t="shared" si="13"/>
        <v/>
      </c>
      <c r="AC37" s="56" t="str">
        <f t="shared" si="14"/>
        <v/>
      </c>
      <c r="AD37" s="56" t="str">
        <f t="shared" si="15"/>
        <v/>
      </c>
      <c r="AE37" s="40"/>
      <c r="AF37" s="40"/>
      <c r="AG37" s="40"/>
      <c r="AH37" s="56" t="str">
        <f t="shared" si="16"/>
        <v/>
      </c>
      <c r="AI37" s="54"/>
      <c r="AJ37" s="54"/>
      <c r="AK37" s="54">
        <v>29</v>
      </c>
      <c r="AL37" s="54" t="s">
        <v>152</v>
      </c>
      <c r="AM37" s="54" t="s">
        <v>153</v>
      </c>
    </row>
    <row r="38" spans="1:39">
      <c r="A38" s="95"/>
      <c r="B38" s="45" t="str" cm="1">
        <f t="array" ref="B38">IF(H38="PROJECT", CHAR(10) &amp; "- " &amp; _xlfn.TEXTJOIN(CHAR(10) &amp; "- ", TRUE, _xlfn._xlws.FILTER($I$9:$I$1000, ($C$9:$C$1000=C38) * ($H$9:$H$1000="Topic"))), "")</f>
        <v/>
      </c>
      <c r="C38" s="45">
        <f t="shared" si="0"/>
        <v>6</v>
      </c>
      <c r="D38" s="57"/>
      <c r="E38" s="58"/>
      <c r="F38" s="59"/>
      <c r="G38" s="60"/>
      <c r="H38" s="60"/>
      <c r="I38" s="61"/>
      <c r="J38" s="62"/>
      <c r="K38" s="120" t="str">
        <f t="shared" si="1"/>
        <v/>
      </c>
      <c r="L38" s="103" t="str">
        <f t="shared" si="2"/>
        <v/>
      </c>
      <c r="M38" s="52">
        <v>0</v>
      </c>
      <c r="N38" s="102" t="str">
        <f t="shared" si="3"/>
        <v/>
      </c>
      <c r="O38" s="103" t="str">
        <f t="shared" si="4"/>
        <v/>
      </c>
      <c r="P38" s="52">
        <v>0</v>
      </c>
      <c r="Q38" s="102" t="str">
        <f t="shared" si="5"/>
        <v/>
      </c>
      <c r="R38" s="103" t="str">
        <f t="shared" si="6"/>
        <v/>
      </c>
      <c r="S38" s="52">
        <v>0</v>
      </c>
      <c r="T38" s="102" t="str">
        <f t="shared" si="7"/>
        <v/>
      </c>
      <c r="U38" s="103" t="str">
        <f t="shared" si="8"/>
        <v/>
      </c>
      <c r="V38" s="52">
        <v>0</v>
      </c>
      <c r="W38" s="87" t="str">
        <f t="shared" si="9"/>
        <v/>
      </c>
      <c r="X38" s="103" t="str">
        <f t="shared" si="10"/>
        <v/>
      </c>
      <c r="Y38" s="52">
        <v>0</v>
      </c>
      <c r="Z38" s="56" t="str">
        <f t="shared" si="11"/>
        <v/>
      </c>
      <c r="AA38" s="56" t="str">
        <f t="shared" si="12"/>
        <v/>
      </c>
      <c r="AB38" s="56" t="str">
        <f t="shared" si="13"/>
        <v/>
      </c>
      <c r="AC38" s="56" t="str">
        <f t="shared" si="14"/>
        <v/>
      </c>
      <c r="AD38" s="56" t="str">
        <f t="shared" si="15"/>
        <v/>
      </c>
      <c r="AE38" s="40"/>
      <c r="AF38" s="40"/>
      <c r="AG38" s="40"/>
      <c r="AH38" s="56" t="str">
        <f t="shared" si="16"/>
        <v/>
      </c>
      <c r="AI38" s="54"/>
      <c r="AJ38" s="54"/>
      <c r="AK38" s="54">
        <v>30</v>
      </c>
      <c r="AL38" s="54" t="s">
        <v>155</v>
      </c>
      <c r="AM38" s="54" t="s">
        <v>156</v>
      </c>
    </row>
    <row r="39" spans="1:39">
      <c r="A39" s="95"/>
      <c r="B39" s="45" t="str" cm="1">
        <f t="array" ref="B39">IF(H39="PROJECT", CHAR(10) &amp; "- " &amp; _xlfn.TEXTJOIN(CHAR(10) &amp; "- ", TRUE, _xlfn._xlws.FILTER($I$9:$I$1000, ($C$9:$C$1000=C39) * ($H$9:$H$1000="Topic"))), "")</f>
        <v/>
      </c>
      <c r="C39" s="45">
        <f t="shared" si="0"/>
        <v>7</v>
      </c>
      <c r="D39" s="46"/>
      <c r="E39" s="58"/>
      <c r="F39" s="48"/>
      <c r="G39" s="49"/>
      <c r="H39" s="49"/>
      <c r="I39" s="50"/>
      <c r="J39" s="51"/>
      <c r="K39" s="120" t="str">
        <f t="shared" si="1"/>
        <v/>
      </c>
      <c r="L39" s="103" t="str">
        <f t="shared" si="2"/>
        <v/>
      </c>
      <c r="M39" s="53">
        <v>0</v>
      </c>
      <c r="N39" s="102" t="str">
        <f t="shared" si="3"/>
        <v/>
      </c>
      <c r="O39" s="103" t="str">
        <f t="shared" si="4"/>
        <v/>
      </c>
      <c r="P39" s="53">
        <v>0</v>
      </c>
      <c r="Q39" s="102" t="str">
        <f t="shared" si="5"/>
        <v/>
      </c>
      <c r="R39" s="103" t="str">
        <f t="shared" si="6"/>
        <v/>
      </c>
      <c r="S39" s="53">
        <v>0</v>
      </c>
      <c r="T39" s="102" t="str">
        <f t="shared" si="7"/>
        <v/>
      </c>
      <c r="U39" s="103" t="str">
        <f t="shared" si="8"/>
        <v/>
      </c>
      <c r="V39" s="53">
        <v>0</v>
      </c>
      <c r="W39" s="87" t="str">
        <f t="shared" si="9"/>
        <v/>
      </c>
      <c r="X39" s="103" t="str">
        <f t="shared" si="10"/>
        <v/>
      </c>
      <c r="Y39" s="53">
        <v>0</v>
      </c>
      <c r="Z39" s="56" t="str">
        <f t="shared" si="11"/>
        <v/>
      </c>
      <c r="AA39" s="56" t="str">
        <f t="shared" si="12"/>
        <v/>
      </c>
      <c r="AB39" s="56" t="str">
        <f t="shared" si="13"/>
        <v/>
      </c>
      <c r="AC39" s="56" t="str">
        <f t="shared" si="14"/>
        <v/>
      </c>
      <c r="AD39" s="56" t="str">
        <f t="shared" si="15"/>
        <v/>
      </c>
      <c r="AE39" s="40"/>
      <c r="AF39" s="40"/>
      <c r="AG39" s="40"/>
      <c r="AH39" s="56" t="str">
        <f t="shared" si="16"/>
        <v/>
      </c>
      <c r="AI39" s="54"/>
      <c r="AJ39" s="54"/>
      <c r="AK39" s="54">
        <v>31</v>
      </c>
      <c r="AL39" s="54" t="s">
        <v>51</v>
      </c>
      <c r="AM39" s="54" t="s">
        <v>52</v>
      </c>
    </row>
    <row r="40" spans="1:39">
      <c r="A40" s="95"/>
      <c r="B40" s="45" t="str" cm="1">
        <f t="array" ref="B40">IF(H40="PROJECT", CHAR(10) &amp; "- " &amp; _xlfn.TEXTJOIN(CHAR(10) &amp; "- ", TRUE, _xlfn._xlws.FILTER($I$9:$I$1000, ($C$9:$C$1000=C40) * ($H$9:$H$1000="Topic"))), "")</f>
        <v/>
      </c>
      <c r="C40" s="45">
        <f t="shared" si="0"/>
        <v>8</v>
      </c>
      <c r="D40" s="57"/>
      <c r="E40" s="58"/>
      <c r="F40" s="59"/>
      <c r="G40" s="60"/>
      <c r="H40" s="60"/>
      <c r="I40" s="61"/>
      <c r="J40" s="62"/>
      <c r="K40" s="120" t="str">
        <f t="shared" si="1"/>
        <v/>
      </c>
      <c r="L40" s="103" t="str">
        <f t="shared" si="2"/>
        <v/>
      </c>
      <c r="M40" s="52">
        <v>0</v>
      </c>
      <c r="N40" s="102" t="str">
        <f t="shared" si="3"/>
        <v/>
      </c>
      <c r="O40" s="103" t="str">
        <f t="shared" si="4"/>
        <v/>
      </c>
      <c r="P40" s="52">
        <v>0</v>
      </c>
      <c r="Q40" s="102" t="str">
        <f t="shared" si="5"/>
        <v/>
      </c>
      <c r="R40" s="103" t="str">
        <f t="shared" si="6"/>
        <v/>
      </c>
      <c r="S40" s="52">
        <v>0</v>
      </c>
      <c r="T40" s="102" t="str">
        <f t="shared" si="7"/>
        <v/>
      </c>
      <c r="U40" s="103" t="str">
        <f t="shared" si="8"/>
        <v/>
      </c>
      <c r="V40" s="52">
        <v>0</v>
      </c>
      <c r="W40" s="87" t="str">
        <f t="shared" si="9"/>
        <v/>
      </c>
      <c r="X40" s="103" t="str">
        <f t="shared" si="10"/>
        <v/>
      </c>
      <c r="Y40" s="52">
        <v>0</v>
      </c>
      <c r="Z40" s="56" t="str">
        <f t="shared" si="11"/>
        <v/>
      </c>
      <c r="AA40" s="56" t="str">
        <f t="shared" si="12"/>
        <v/>
      </c>
      <c r="AB40" s="56" t="str">
        <f t="shared" si="13"/>
        <v/>
      </c>
      <c r="AC40" s="56" t="str">
        <f t="shared" si="14"/>
        <v/>
      </c>
      <c r="AD40" s="56" t="str">
        <f t="shared" si="15"/>
        <v/>
      </c>
      <c r="AE40" s="40"/>
      <c r="AF40" s="40"/>
      <c r="AG40" s="40"/>
      <c r="AH40" s="56" t="str">
        <f t="shared" si="16"/>
        <v/>
      </c>
      <c r="AI40" s="54"/>
      <c r="AJ40" s="54"/>
      <c r="AK40" s="54">
        <v>32</v>
      </c>
      <c r="AL40" s="54" t="s">
        <v>57</v>
      </c>
      <c r="AM40" s="54" t="s">
        <v>58</v>
      </c>
    </row>
    <row r="41" spans="1:39">
      <c r="A41" s="95"/>
      <c r="B41" s="45" t="str" cm="1">
        <f t="array" ref="B41">IF(H41="PROJECT", CHAR(10) &amp; "- " &amp; _xlfn.TEXTJOIN(CHAR(10) &amp; "- ", TRUE, _xlfn._xlws.FILTER($I$9:$I$1000, ($C$9:$C$1000=C41) * ($H$9:$H$1000="Topic"))), "")</f>
        <v/>
      </c>
      <c r="C41" s="45">
        <f t="shared" si="0"/>
        <v>9</v>
      </c>
      <c r="D41" s="46"/>
      <c r="E41" s="58"/>
      <c r="F41" s="48"/>
      <c r="G41" s="49"/>
      <c r="H41" s="49"/>
      <c r="I41" s="50"/>
      <c r="J41" s="51"/>
      <c r="K41" s="120" t="str">
        <f t="shared" si="1"/>
        <v/>
      </c>
      <c r="L41" s="103" t="str">
        <f t="shared" si="2"/>
        <v/>
      </c>
      <c r="M41" s="53">
        <v>0</v>
      </c>
      <c r="N41" s="102" t="str">
        <f t="shared" si="3"/>
        <v/>
      </c>
      <c r="O41" s="103" t="str">
        <f t="shared" si="4"/>
        <v/>
      </c>
      <c r="P41" s="53">
        <v>0</v>
      </c>
      <c r="Q41" s="102" t="str">
        <f t="shared" si="5"/>
        <v/>
      </c>
      <c r="R41" s="103" t="str">
        <f t="shared" si="6"/>
        <v/>
      </c>
      <c r="S41" s="53">
        <v>0</v>
      </c>
      <c r="T41" s="102" t="str">
        <f t="shared" si="7"/>
        <v/>
      </c>
      <c r="U41" s="103" t="str">
        <f t="shared" si="8"/>
        <v/>
      </c>
      <c r="V41" s="53">
        <v>0</v>
      </c>
      <c r="W41" s="87" t="str">
        <f t="shared" si="9"/>
        <v/>
      </c>
      <c r="X41" s="103" t="str">
        <f t="shared" si="10"/>
        <v/>
      </c>
      <c r="Y41" s="53">
        <v>0</v>
      </c>
      <c r="Z41" s="56" t="str">
        <f t="shared" si="11"/>
        <v/>
      </c>
      <c r="AA41" s="56" t="str">
        <f t="shared" si="12"/>
        <v/>
      </c>
      <c r="AB41" s="56" t="str">
        <f t="shared" si="13"/>
        <v/>
      </c>
      <c r="AC41" s="56" t="str">
        <f t="shared" si="14"/>
        <v/>
      </c>
      <c r="AD41" s="56" t="str">
        <f t="shared" si="15"/>
        <v/>
      </c>
      <c r="AE41" s="40"/>
      <c r="AF41" s="40"/>
      <c r="AG41" s="40"/>
      <c r="AH41" s="56" t="str">
        <f t="shared" si="16"/>
        <v/>
      </c>
      <c r="AI41" s="54"/>
      <c r="AJ41" s="54"/>
      <c r="AK41" s="54">
        <v>33</v>
      </c>
      <c r="AL41" s="54" t="s">
        <v>62</v>
      </c>
      <c r="AM41" s="54" t="s">
        <v>63</v>
      </c>
    </row>
    <row r="42" spans="1:39">
      <c r="A42" s="95"/>
      <c r="B42" s="45" t="str" cm="1">
        <f t="array" ref="B42">IF(H42="PROJECT", CHAR(10) &amp; "- " &amp; _xlfn.TEXTJOIN(CHAR(10) &amp; "- ", TRUE, _xlfn._xlws.FILTER($I$9:$I$1000, ($C$9:$C$1000=C42) * ($H$9:$H$1000="Topic"))), "")</f>
        <v/>
      </c>
      <c r="C42" s="45">
        <f t="shared" si="0"/>
        <v>10</v>
      </c>
      <c r="D42" s="57"/>
      <c r="E42" s="58"/>
      <c r="F42" s="59"/>
      <c r="G42" s="60"/>
      <c r="H42" s="60"/>
      <c r="I42" s="61"/>
      <c r="J42" s="62"/>
      <c r="K42" s="120" t="str">
        <f t="shared" si="1"/>
        <v/>
      </c>
      <c r="L42" s="103" t="str">
        <f t="shared" si="2"/>
        <v/>
      </c>
      <c r="M42" s="52">
        <v>0</v>
      </c>
      <c r="N42" s="102" t="str">
        <f t="shared" si="3"/>
        <v/>
      </c>
      <c r="O42" s="103" t="str">
        <f t="shared" si="4"/>
        <v/>
      </c>
      <c r="P42" s="52">
        <v>0</v>
      </c>
      <c r="Q42" s="102" t="str">
        <f t="shared" si="5"/>
        <v/>
      </c>
      <c r="R42" s="103" t="str">
        <f t="shared" si="6"/>
        <v/>
      </c>
      <c r="S42" s="52">
        <v>0</v>
      </c>
      <c r="T42" s="102" t="str">
        <f t="shared" si="7"/>
        <v/>
      </c>
      <c r="U42" s="103" t="str">
        <f t="shared" si="8"/>
        <v/>
      </c>
      <c r="V42" s="52">
        <v>0</v>
      </c>
      <c r="W42" s="87" t="str">
        <f t="shared" si="9"/>
        <v/>
      </c>
      <c r="X42" s="103" t="str">
        <f t="shared" si="10"/>
        <v/>
      </c>
      <c r="Y42" s="52">
        <v>0</v>
      </c>
      <c r="Z42" s="56" t="str">
        <f t="shared" si="11"/>
        <v/>
      </c>
      <c r="AA42" s="56" t="str">
        <f t="shared" si="12"/>
        <v/>
      </c>
      <c r="AB42" s="56" t="str">
        <f t="shared" si="13"/>
        <v/>
      </c>
      <c r="AC42" s="56" t="str">
        <f t="shared" si="14"/>
        <v/>
      </c>
      <c r="AD42" s="56" t="str">
        <f t="shared" si="15"/>
        <v/>
      </c>
      <c r="AE42" s="40"/>
      <c r="AF42" s="40"/>
      <c r="AG42" s="40"/>
      <c r="AH42" s="56" t="str">
        <f t="shared" si="16"/>
        <v/>
      </c>
      <c r="AI42" s="54"/>
      <c r="AJ42" s="54"/>
      <c r="AK42" s="54">
        <v>34</v>
      </c>
      <c r="AL42" s="54" t="s">
        <v>68</v>
      </c>
      <c r="AM42" s="54" t="s">
        <v>69</v>
      </c>
    </row>
    <row r="43" spans="1:39">
      <c r="A43" s="95"/>
      <c r="B43" s="45" t="str" cm="1">
        <f t="array" ref="B43">IF(H43="PROJECT", CHAR(10) &amp; "- " &amp; _xlfn.TEXTJOIN(CHAR(10) &amp; "- ", TRUE, _xlfn._xlws.FILTER($I$9:$I$1000, ($C$9:$C$1000=C43) * ($H$9:$H$1000="Topic"))), "")</f>
        <v/>
      </c>
      <c r="C43" s="45">
        <f t="shared" si="0"/>
        <v>11</v>
      </c>
      <c r="D43" s="46"/>
      <c r="E43" s="58"/>
      <c r="F43" s="48"/>
      <c r="G43" s="49"/>
      <c r="H43" s="49"/>
      <c r="I43" s="50"/>
      <c r="J43" s="51"/>
      <c r="K43" s="120" t="str">
        <f t="shared" si="1"/>
        <v/>
      </c>
      <c r="L43" s="103" t="str">
        <f t="shared" si="2"/>
        <v/>
      </c>
      <c r="M43" s="53">
        <v>0</v>
      </c>
      <c r="N43" s="102" t="str">
        <f t="shared" si="3"/>
        <v/>
      </c>
      <c r="O43" s="103" t="str">
        <f t="shared" si="4"/>
        <v/>
      </c>
      <c r="P43" s="53">
        <v>0</v>
      </c>
      <c r="Q43" s="102" t="str">
        <f t="shared" si="5"/>
        <v/>
      </c>
      <c r="R43" s="103" t="str">
        <f t="shared" si="6"/>
        <v/>
      </c>
      <c r="S43" s="53">
        <v>0</v>
      </c>
      <c r="T43" s="102" t="str">
        <f t="shared" si="7"/>
        <v/>
      </c>
      <c r="U43" s="103" t="str">
        <f t="shared" si="8"/>
        <v/>
      </c>
      <c r="V43" s="53">
        <v>0</v>
      </c>
      <c r="W43" s="87" t="str">
        <f t="shared" si="9"/>
        <v/>
      </c>
      <c r="X43" s="103" t="str">
        <f t="shared" si="10"/>
        <v/>
      </c>
      <c r="Y43" s="53">
        <v>0</v>
      </c>
      <c r="Z43" s="56" t="str">
        <f t="shared" si="11"/>
        <v/>
      </c>
      <c r="AA43" s="56" t="str">
        <f t="shared" si="12"/>
        <v/>
      </c>
      <c r="AB43" s="56" t="str">
        <f t="shared" si="13"/>
        <v/>
      </c>
      <c r="AC43" s="56" t="str">
        <f t="shared" si="14"/>
        <v/>
      </c>
      <c r="AD43" s="56" t="str">
        <f t="shared" si="15"/>
        <v/>
      </c>
      <c r="AE43" s="40"/>
      <c r="AF43" s="40"/>
      <c r="AG43" s="40"/>
      <c r="AH43" s="56" t="str">
        <f t="shared" si="16"/>
        <v/>
      </c>
      <c r="AI43" s="54"/>
      <c r="AJ43" s="54"/>
      <c r="AK43" s="54">
        <v>35</v>
      </c>
      <c r="AL43" s="54" t="s">
        <v>74</v>
      </c>
      <c r="AM43" s="54" t="s">
        <v>75</v>
      </c>
    </row>
    <row r="44" spans="1:39">
      <c r="A44" s="95"/>
      <c r="B44" s="45" t="str" cm="1">
        <f t="array" ref="B44">IF(H44="PROJECT", CHAR(10) &amp; "- " &amp; _xlfn.TEXTJOIN(CHAR(10) &amp; "- ", TRUE, _xlfn._xlws.FILTER($I$9:$I$1000, ($C$9:$C$1000=C44) * ($H$9:$H$1000="Topic"))), "")</f>
        <v/>
      </c>
      <c r="C44" s="45">
        <f t="shared" si="0"/>
        <v>12</v>
      </c>
      <c r="D44" s="57"/>
      <c r="E44" s="58"/>
      <c r="F44" s="59"/>
      <c r="G44" s="60"/>
      <c r="H44" s="60"/>
      <c r="I44" s="61"/>
      <c r="J44" s="62"/>
      <c r="K44" s="120" t="str">
        <f t="shared" si="1"/>
        <v/>
      </c>
      <c r="L44" s="103" t="str">
        <f t="shared" si="2"/>
        <v/>
      </c>
      <c r="M44" s="52">
        <v>0</v>
      </c>
      <c r="N44" s="102" t="str">
        <f t="shared" si="3"/>
        <v/>
      </c>
      <c r="O44" s="103" t="str">
        <f t="shared" si="4"/>
        <v/>
      </c>
      <c r="P44" s="52">
        <v>0</v>
      </c>
      <c r="Q44" s="102" t="str">
        <f t="shared" si="5"/>
        <v/>
      </c>
      <c r="R44" s="103" t="str">
        <f t="shared" si="6"/>
        <v/>
      </c>
      <c r="S44" s="52">
        <v>0</v>
      </c>
      <c r="T44" s="102" t="str">
        <f t="shared" si="7"/>
        <v/>
      </c>
      <c r="U44" s="103" t="str">
        <f t="shared" si="8"/>
        <v/>
      </c>
      <c r="V44" s="52">
        <v>0</v>
      </c>
      <c r="W44" s="87" t="str">
        <f t="shared" si="9"/>
        <v/>
      </c>
      <c r="X44" s="103" t="str">
        <f t="shared" si="10"/>
        <v/>
      </c>
      <c r="Y44" s="52">
        <v>0</v>
      </c>
      <c r="Z44" s="56" t="str">
        <f t="shared" si="11"/>
        <v/>
      </c>
      <c r="AA44" s="56" t="str">
        <f t="shared" si="12"/>
        <v/>
      </c>
      <c r="AB44" s="56" t="str">
        <f t="shared" si="13"/>
        <v/>
      </c>
      <c r="AC44" s="56" t="str">
        <f t="shared" si="14"/>
        <v/>
      </c>
      <c r="AD44" s="56" t="str">
        <f t="shared" si="15"/>
        <v/>
      </c>
      <c r="AE44" s="40"/>
      <c r="AF44" s="40"/>
      <c r="AG44" s="40"/>
      <c r="AH44" s="56" t="str">
        <f t="shared" si="16"/>
        <v/>
      </c>
      <c r="AI44" s="54"/>
      <c r="AJ44" s="54"/>
      <c r="AK44" s="54">
        <v>36</v>
      </c>
      <c r="AL44" s="54" t="s">
        <v>81</v>
      </c>
      <c r="AM44" s="54" t="s">
        <v>82</v>
      </c>
    </row>
    <row r="45" spans="1:39">
      <c r="A45" s="95"/>
      <c r="B45" s="45" t="str" cm="1">
        <f t="array" ref="B45">IF(H45="PROJECT", CHAR(10) &amp; "- " &amp; _xlfn.TEXTJOIN(CHAR(10) &amp; "- ", TRUE, _xlfn._xlws.FILTER($I$9:$I$1000, ($C$9:$C$1000=C45) * ($H$9:$H$1000="Topic"))), "")</f>
        <v/>
      </c>
      <c r="C45" s="45">
        <f t="shared" si="0"/>
        <v>13</v>
      </c>
      <c r="D45" s="46"/>
      <c r="E45" s="58"/>
      <c r="F45" s="48"/>
      <c r="G45" s="49"/>
      <c r="H45" s="49"/>
      <c r="I45" s="50"/>
      <c r="J45" s="51"/>
      <c r="K45" s="120" t="str">
        <f t="shared" si="1"/>
        <v/>
      </c>
      <c r="L45" s="103" t="str">
        <f t="shared" si="2"/>
        <v/>
      </c>
      <c r="M45" s="53">
        <v>0</v>
      </c>
      <c r="N45" s="102" t="str">
        <f t="shared" si="3"/>
        <v/>
      </c>
      <c r="O45" s="103" t="str">
        <f t="shared" si="4"/>
        <v/>
      </c>
      <c r="P45" s="53">
        <v>0</v>
      </c>
      <c r="Q45" s="102" t="str">
        <f t="shared" si="5"/>
        <v/>
      </c>
      <c r="R45" s="103" t="str">
        <f t="shared" si="6"/>
        <v/>
      </c>
      <c r="S45" s="53">
        <v>0</v>
      </c>
      <c r="T45" s="102" t="str">
        <f t="shared" si="7"/>
        <v/>
      </c>
      <c r="U45" s="103" t="str">
        <f t="shared" si="8"/>
        <v/>
      </c>
      <c r="V45" s="53">
        <v>0</v>
      </c>
      <c r="W45" s="87" t="str">
        <f t="shared" si="9"/>
        <v/>
      </c>
      <c r="X45" s="103" t="str">
        <f t="shared" si="10"/>
        <v/>
      </c>
      <c r="Y45" s="53">
        <v>0</v>
      </c>
      <c r="Z45" s="56" t="str">
        <f t="shared" si="11"/>
        <v/>
      </c>
      <c r="AA45" s="56" t="str">
        <f t="shared" si="12"/>
        <v/>
      </c>
      <c r="AB45" s="56" t="str">
        <f t="shared" si="13"/>
        <v/>
      </c>
      <c r="AC45" s="56" t="str">
        <f t="shared" si="14"/>
        <v/>
      </c>
      <c r="AD45" s="56" t="str">
        <f t="shared" si="15"/>
        <v/>
      </c>
      <c r="AE45" s="40"/>
      <c r="AF45" s="40"/>
      <c r="AG45" s="40"/>
      <c r="AH45" s="56" t="str">
        <f t="shared" si="16"/>
        <v/>
      </c>
      <c r="AI45" s="54"/>
      <c r="AJ45" s="54"/>
      <c r="AK45" s="54">
        <v>37</v>
      </c>
      <c r="AL45" s="54" t="s">
        <v>86</v>
      </c>
      <c r="AM45" s="54" t="s">
        <v>87</v>
      </c>
    </row>
    <row r="46" spans="1:39">
      <c r="A46" s="95"/>
      <c r="B46" s="45" t="str" cm="1">
        <f t="array" ref="B46">IF(H46="PROJECT", CHAR(10) &amp; "- " &amp; _xlfn.TEXTJOIN(CHAR(10) &amp; "- ", TRUE, _xlfn._xlws.FILTER($I$9:$I$1000, ($C$9:$C$1000=C46) * ($H$9:$H$1000="Topic"))), "")</f>
        <v/>
      </c>
      <c r="C46" s="45">
        <f t="shared" si="0"/>
        <v>14</v>
      </c>
      <c r="D46" s="57"/>
      <c r="E46" s="58"/>
      <c r="F46" s="59"/>
      <c r="G46" s="60"/>
      <c r="H46" s="60"/>
      <c r="I46" s="61"/>
      <c r="J46" s="62"/>
      <c r="K46" s="120" t="str">
        <f t="shared" si="1"/>
        <v/>
      </c>
      <c r="L46" s="103" t="str">
        <f t="shared" si="2"/>
        <v/>
      </c>
      <c r="M46" s="52">
        <v>0</v>
      </c>
      <c r="N46" s="102" t="str">
        <f t="shared" si="3"/>
        <v/>
      </c>
      <c r="O46" s="103" t="str">
        <f t="shared" si="4"/>
        <v/>
      </c>
      <c r="P46" s="52">
        <v>0</v>
      </c>
      <c r="Q46" s="102" t="str">
        <f t="shared" si="5"/>
        <v/>
      </c>
      <c r="R46" s="103" t="str">
        <f t="shared" si="6"/>
        <v/>
      </c>
      <c r="S46" s="52">
        <v>0</v>
      </c>
      <c r="T46" s="102" t="str">
        <f t="shared" si="7"/>
        <v/>
      </c>
      <c r="U46" s="103" t="str">
        <f t="shared" si="8"/>
        <v/>
      </c>
      <c r="V46" s="52">
        <v>0</v>
      </c>
      <c r="W46" s="87" t="str">
        <f t="shared" si="9"/>
        <v/>
      </c>
      <c r="X46" s="103" t="str">
        <f t="shared" si="10"/>
        <v/>
      </c>
      <c r="Y46" s="52">
        <v>0</v>
      </c>
      <c r="Z46" s="56" t="str">
        <f t="shared" si="11"/>
        <v/>
      </c>
      <c r="AA46" s="56" t="str">
        <f t="shared" si="12"/>
        <v/>
      </c>
      <c r="AB46" s="56" t="str">
        <f t="shared" si="13"/>
        <v/>
      </c>
      <c r="AC46" s="56" t="str">
        <f t="shared" si="14"/>
        <v/>
      </c>
      <c r="AD46" s="56" t="str">
        <f t="shared" si="15"/>
        <v/>
      </c>
      <c r="AE46" s="40"/>
      <c r="AF46" s="40"/>
      <c r="AG46" s="40"/>
      <c r="AH46" s="56" t="str">
        <f t="shared" si="16"/>
        <v/>
      </c>
      <c r="AI46" s="54"/>
      <c r="AJ46" s="54"/>
      <c r="AK46" s="54">
        <v>38</v>
      </c>
      <c r="AL46" s="54" t="s">
        <v>91</v>
      </c>
      <c r="AM46" s="54" t="s">
        <v>92</v>
      </c>
    </row>
    <row r="47" spans="1:39">
      <c r="A47" s="95"/>
      <c r="B47" s="45" t="str" cm="1">
        <f t="array" ref="B47">IF(H47="PROJECT", CHAR(10) &amp; "- " &amp; _xlfn.TEXTJOIN(CHAR(10) &amp; "- ", TRUE, _xlfn._xlws.FILTER($I$9:$I$1000, ($C$9:$C$1000=C47) * ($H$9:$H$1000="Topic"))), "")</f>
        <v/>
      </c>
      <c r="C47" s="45">
        <f t="shared" si="0"/>
        <v>15</v>
      </c>
      <c r="D47" s="46"/>
      <c r="E47" s="58"/>
      <c r="F47" s="48"/>
      <c r="G47" s="49"/>
      <c r="H47" s="49"/>
      <c r="I47" s="50"/>
      <c r="J47" s="51"/>
      <c r="K47" s="120" t="str">
        <f t="shared" si="1"/>
        <v/>
      </c>
      <c r="L47" s="103" t="str">
        <f t="shared" si="2"/>
        <v/>
      </c>
      <c r="M47" s="53">
        <v>0</v>
      </c>
      <c r="N47" s="102" t="str">
        <f t="shared" si="3"/>
        <v/>
      </c>
      <c r="O47" s="103" t="str">
        <f t="shared" si="4"/>
        <v/>
      </c>
      <c r="P47" s="53">
        <v>0</v>
      </c>
      <c r="Q47" s="102" t="str">
        <f t="shared" si="5"/>
        <v/>
      </c>
      <c r="R47" s="103" t="str">
        <f t="shared" si="6"/>
        <v/>
      </c>
      <c r="S47" s="53">
        <v>0</v>
      </c>
      <c r="T47" s="102" t="str">
        <f t="shared" si="7"/>
        <v/>
      </c>
      <c r="U47" s="103" t="str">
        <f t="shared" si="8"/>
        <v/>
      </c>
      <c r="V47" s="53">
        <v>0</v>
      </c>
      <c r="W47" s="87" t="str">
        <f t="shared" si="9"/>
        <v/>
      </c>
      <c r="X47" s="103" t="str">
        <f t="shared" si="10"/>
        <v/>
      </c>
      <c r="Y47" s="53">
        <v>0</v>
      </c>
      <c r="Z47" s="56" t="str">
        <f t="shared" si="11"/>
        <v/>
      </c>
      <c r="AA47" s="56" t="str">
        <f t="shared" si="12"/>
        <v/>
      </c>
      <c r="AB47" s="56" t="str">
        <f t="shared" si="13"/>
        <v/>
      </c>
      <c r="AC47" s="56" t="str">
        <f t="shared" si="14"/>
        <v/>
      </c>
      <c r="AD47" s="56" t="str">
        <f t="shared" si="15"/>
        <v/>
      </c>
      <c r="AE47" s="40"/>
      <c r="AF47" s="40"/>
      <c r="AG47" s="40"/>
      <c r="AH47" s="56" t="str">
        <f t="shared" si="16"/>
        <v/>
      </c>
      <c r="AI47" s="54"/>
      <c r="AJ47" s="54"/>
      <c r="AK47" s="54">
        <v>39</v>
      </c>
      <c r="AL47" s="54" t="s">
        <v>96</v>
      </c>
      <c r="AM47" s="54" t="s">
        <v>97</v>
      </c>
    </row>
    <row r="48" spans="1:39">
      <c r="A48" s="95"/>
      <c r="B48" s="45" t="str" cm="1">
        <f t="array" ref="B48">IF(H48="PROJECT", CHAR(10) &amp; "- " &amp; _xlfn.TEXTJOIN(CHAR(10) &amp; "- ", TRUE, _xlfn._xlws.FILTER($I$9:$I$1000, ($C$9:$C$1000=C48) * ($H$9:$H$1000="Topic"))), "")</f>
        <v/>
      </c>
      <c r="C48" s="45">
        <f t="shared" si="0"/>
        <v>16</v>
      </c>
      <c r="D48" s="57"/>
      <c r="E48" s="58"/>
      <c r="F48" s="59"/>
      <c r="G48" s="60"/>
      <c r="H48" s="60"/>
      <c r="I48" s="61"/>
      <c r="J48" s="62"/>
      <c r="K48" s="120" t="str">
        <f t="shared" si="1"/>
        <v/>
      </c>
      <c r="L48" s="103" t="str">
        <f t="shared" si="2"/>
        <v/>
      </c>
      <c r="M48" s="52">
        <v>0</v>
      </c>
      <c r="N48" s="102" t="str">
        <f t="shared" si="3"/>
        <v/>
      </c>
      <c r="O48" s="103" t="str">
        <f t="shared" si="4"/>
        <v/>
      </c>
      <c r="P48" s="52">
        <v>0</v>
      </c>
      <c r="Q48" s="102" t="str">
        <f t="shared" si="5"/>
        <v/>
      </c>
      <c r="R48" s="103" t="str">
        <f t="shared" si="6"/>
        <v/>
      </c>
      <c r="S48" s="52">
        <v>0</v>
      </c>
      <c r="T48" s="102" t="str">
        <f t="shared" si="7"/>
        <v/>
      </c>
      <c r="U48" s="103" t="str">
        <f t="shared" si="8"/>
        <v/>
      </c>
      <c r="V48" s="52">
        <v>0</v>
      </c>
      <c r="W48" s="87" t="str">
        <f t="shared" si="9"/>
        <v/>
      </c>
      <c r="X48" s="103" t="str">
        <f t="shared" si="10"/>
        <v/>
      </c>
      <c r="Y48" s="52">
        <v>0</v>
      </c>
      <c r="Z48" s="56" t="str">
        <f t="shared" si="11"/>
        <v/>
      </c>
      <c r="AA48" s="56" t="str">
        <f t="shared" si="12"/>
        <v/>
      </c>
      <c r="AB48" s="56" t="str">
        <f t="shared" si="13"/>
        <v/>
      </c>
      <c r="AC48" s="56" t="str">
        <f t="shared" si="14"/>
        <v/>
      </c>
      <c r="AD48" s="56" t="str">
        <f t="shared" si="15"/>
        <v/>
      </c>
      <c r="AE48" s="40"/>
      <c r="AF48" s="40"/>
      <c r="AG48" s="40"/>
      <c r="AH48" s="56" t="str">
        <f t="shared" si="16"/>
        <v/>
      </c>
      <c r="AI48" s="54"/>
      <c r="AJ48" s="54"/>
      <c r="AK48" s="54">
        <v>40</v>
      </c>
      <c r="AL48" s="54" t="s">
        <v>101</v>
      </c>
      <c r="AM48" s="54" t="s">
        <v>102</v>
      </c>
    </row>
    <row r="49" spans="1:39">
      <c r="A49" s="95"/>
      <c r="B49" s="45" t="str" cm="1">
        <f t="array" ref="B49">IF(H49="PROJECT", CHAR(10) &amp; "- " &amp; _xlfn.TEXTJOIN(CHAR(10) &amp; "- ", TRUE, _xlfn._xlws.FILTER($I$9:$I$1000, ($C$9:$C$1000=C49) * ($H$9:$H$1000="Topic"))), "")</f>
        <v/>
      </c>
      <c r="C49" s="45">
        <f t="shared" si="0"/>
        <v>17</v>
      </c>
      <c r="D49" s="46"/>
      <c r="E49" s="58"/>
      <c r="F49" s="48"/>
      <c r="G49" s="49"/>
      <c r="H49" s="49"/>
      <c r="I49" s="50"/>
      <c r="J49" s="51"/>
      <c r="K49" s="120" t="str">
        <f t="shared" si="1"/>
        <v/>
      </c>
      <c r="L49" s="103" t="str">
        <f t="shared" si="2"/>
        <v/>
      </c>
      <c r="M49" s="53">
        <v>0</v>
      </c>
      <c r="N49" s="102" t="str">
        <f t="shared" si="3"/>
        <v/>
      </c>
      <c r="O49" s="103" t="str">
        <f t="shared" si="4"/>
        <v/>
      </c>
      <c r="P49" s="53">
        <v>0</v>
      </c>
      <c r="Q49" s="102" t="str">
        <f t="shared" si="5"/>
        <v/>
      </c>
      <c r="R49" s="103" t="str">
        <f t="shared" si="6"/>
        <v/>
      </c>
      <c r="S49" s="53">
        <v>0</v>
      </c>
      <c r="T49" s="102" t="str">
        <f t="shared" si="7"/>
        <v/>
      </c>
      <c r="U49" s="103" t="str">
        <f t="shared" si="8"/>
        <v/>
      </c>
      <c r="V49" s="53">
        <v>0</v>
      </c>
      <c r="W49" s="87" t="str">
        <f t="shared" si="9"/>
        <v/>
      </c>
      <c r="X49" s="103" t="str">
        <f t="shared" si="10"/>
        <v/>
      </c>
      <c r="Y49" s="53">
        <v>0</v>
      </c>
      <c r="Z49" s="56" t="str">
        <f t="shared" si="11"/>
        <v/>
      </c>
      <c r="AA49" s="56" t="str">
        <f t="shared" si="12"/>
        <v/>
      </c>
      <c r="AB49" s="56" t="str">
        <f t="shared" si="13"/>
        <v/>
      </c>
      <c r="AC49" s="56" t="str">
        <f t="shared" si="14"/>
        <v/>
      </c>
      <c r="AD49" s="56" t="str">
        <f t="shared" si="15"/>
        <v/>
      </c>
      <c r="AE49" s="40"/>
      <c r="AF49" s="40"/>
      <c r="AG49" s="40"/>
      <c r="AH49" s="56" t="str">
        <f t="shared" si="16"/>
        <v/>
      </c>
      <c r="AI49" s="54"/>
      <c r="AJ49" s="54"/>
      <c r="AK49" s="54"/>
      <c r="AL49" s="54"/>
      <c r="AM49" s="54"/>
    </row>
    <row r="50" spans="1:39">
      <c r="A50" s="95"/>
      <c r="B50" s="45" t="str" cm="1">
        <f t="array" ref="B50">IF(H50="PROJECT", CHAR(10) &amp; "- " &amp; _xlfn.TEXTJOIN(CHAR(10) &amp; "- ", TRUE, _xlfn._xlws.FILTER($I$9:$I$1000, ($C$9:$C$1000=C50) * ($H$9:$H$1000="Topic"))), "")</f>
        <v/>
      </c>
      <c r="C50" s="45">
        <f t="shared" si="0"/>
        <v>18</v>
      </c>
      <c r="D50" s="57"/>
      <c r="E50" s="58"/>
      <c r="F50" s="59"/>
      <c r="G50" s="60"/>
      <c r="H50" s="60"/>
      <c r="I50" s="61"/>
      <c r="J50" s="62"/>
      <c r="K50" s="120" t="str">
        <f t="shared" si="1"/>
        <v/>
      </c>
      <c r="L50" s="103" t="str">
        <f t="shared" si="2"/>
        <v/>
      </c>
      <c r="M50" s="52">
        <v>0</v>
      </c>
      <c r="N50" s="102" t="str">
        <f t="shared" si="3"/>
        <v/>
      </c>
      <c r="O50" s="103" t="str">
        <f t="shared" si="4"/>
        <v/>
      </c>
      <c r="P50" s="52">
        <v>0</v>
      </c>
      <c r="Q50" s="102" t="str">
        <f t="shared" si="5"/>
        <v/>
      </c>
      <c r="R50" s="103" t="str">
        <f t="shared" si="6"/>
        <v/>
      </c>
      <c r="S50" s="52">
        <v>0</v>
      </c>
      <c r="T50" s="102" t="str">
        <f t="shared" si="7"/>
        <v/>
      </c>
      <c r="U50" s="103" t="str">
        <f t="shared" si="8"/>
        <v/>
      </c>
      <c r="V50" s="52">
        <v>0</v>
      </c>
      <c r="W50" s="87" t="str">
        <f t="shared" si="9"/>
        <v/>
      </c>
      <c r="X50" s="103" t="str">
        <f t="shared" si="10"/>
        <v/>
      </c>
      <c r="Y50" s="52">
        <v>0</v>
      </c>
      <c r="Z50" s="56" t="str">
        <f t="shared" si="11"/>
        <v/>
      </c>
      <c r="AA50" s="56" t="str">
        <f t="shared" si="12"/>
        <v/>
      </c>
      <c r="AB50" s="56" t="str">
        <f t="shared" si="13"/>
        <v/>
      </c>
      <c r="AC50" s="56" t="str">
        <f t="shared" si="14"/>
        <v/>
      </c>
      <c r="AD50" s="56" t="str">
        <f t="shared" si="15"/>
        <v/>
      </c>
      <c r="AE50" s="40"/>
      <c r="AF50" s="40"/>
      <c r="AG50" s="40"/>
      <c r="AH50" s="56" t="str">
        <f t="shared" si="16"/>
        <v/>
      </c>
      <c r="AI50" s="54"/>
      <c r="AJ50" s="54"/>
      <c r="AK50" s="54"/>
      <c r="AL50" s="54"/>
      <c r="AM50" s="54"/>
    </row>
    <row r="51" spans="1:39">
      <c r="A51" s="95"/>
      <c r="B51" s="45" t="str" cm="1">
        <f t="array" ref="B51">IF(H51="PROJECT", CHAR(10) &amp; "- " &amp; _xlfn.TEXTJOIN(CHAR(10) &amp; "- ", TRUE, _xlfn._xlws.FILTER($I$9:$I$1000, ($C$9:$C$1000=C51) * ($H$9:$H$1000="Topic"))), "")</f>
        <v/>
      </c>
      <c r="C51" s="45">
        <f t="shared" si="0"/>
        <v>19</v>
      </c>
      <c r="D51" s="46"/>
      <c r="E51" s="58"/>
      <c r="F51" s="48"/>
      <c r="G51" s="49"/>
      <c r="H51" s="49"/>
      <c r="I51" s="50"/>
      <c r="J51" s="51"/>
      <c r="K51" s="120" t="str">
        <f t="shared" si="1"/>
        <v/>
      </c>
      <c r="L51" s="103" t="str">
        <f t="shared" si="2"/>
        <v/>
      </c>
      <c r="M51" s="53">
        <v>0</v>
      </c>
      <c r="N51" s="102" t="str">
        <f t="shared" si="3"/>
        <v/>
      </c>
      <c r="O51" s="103" t="str">
        <f t="shared" si="4"/>
        <v/>
      </c>
      <c r="P51" s="53">
        <v>0</v>
      </c>
      <c r="Q51" s="102" t="str">
        <f t="shared" si="5"/>
        <v/>
      </c>
      <c r="R51" s="103" t="str">
        <f t="shared" si="6"/>
        <v/>
      </c>
      <c r="S51" s="53">
        <v>0</v>
      </c>
      <c r="T51" s="102" t="str">
        <f t="shared" si="7"/>
        <v/>
      </c>
      <c r="U51" s="103" t="str">
        <f t="shared" si="8"/>
        <v/>
      </c>
      <c r="V51" s="53">
        <v>0</v>
      </c>
      <c r="W51" s="87" t="str">
        <f t="shared" si="9"/>
        <v/>
      </c>
      <c r="X51" s="103" t="str">
        <f t="shared" si="10"/>
        <v/>
      </c>
      <c r="Y51" s="53">
        <v>0</v>
      </c>
      <c r="Z51" s="56" t="str">
        <f t="shared" si="11"/>
        <v/>
      </c>
      <c r="AA51" s="56" t="str">
        <f t="shared" si="12"/>
        <v/>
      </c>
      <c r="AB51" s="56" t="str">
        <f t="shared" si="13"/>
        <v/>
      </c>
      <c r="AC51" s="56" t="str">
        <f t="shared" si="14"/>
        <v/>
      </c>
      <c r="AD51" s="56" t="str">
        <f t="shared" si="15"/>
        <v/>
      </c>
      <c r="AE51" s="40"/>
      <c r="AF51" s="40"/>
      <c r="AG51" s="40"/>
      <c r="AH51" s="56" t="str">
        <f t="shared" si="16"/>
        <v/>
      </c>
      <c r="AI51" s="54"/>
      <c r="AJ51" s="54"/>
      <c r="AK51" s="54"/>
      <c r="AL51" s="54"/>
      <c r="AM51" s="54"/>
    </row>
    <row r="52" spans="1:39">
      <c r="A52" s="95"/>
      <c r="B52" s="45" t="str" cm="1">
        <f t="array" ref="B52">IF(H52="PROJECT", CHAR(10) &amp; "- " &amp; _xlfn.TEXTJOIN(CHAR(10) &amp; "- ", TRUE, _xlfn._xlws.FILTER($I$9:$I$1000, ($C$9:$C$1000=C52) * ($H$9:$H$1000="Topic"))), "")</f>
        <v/>
      </c>
      <c r="C52" s="45">
        <f t="shared" si="0"/>
        <v>20</v>
      </c>
      <c r="D52" s="57"/>
      <c r="E52" s="58"/>
      <c r="F52" s="59"/>
      <c r="G52" s="60"/>
      <c r="H52" s="60"/>
      <c r="I52" s="61"/>
      <c r="J52" s="62"/>
      <c r="K52" s="120" t="str">
        <f t="shared" si="1"/>
        <v/>
      </c>
      <c r="L52" s="103" t="str">
        <f t="shared" si="2"/>
        <v/>
      </c>
      <c r="M52" s="52">
        <v>0</v>
      </c>
      <c r="N52" s="102" t="str">
        <f t="shared" si="3"/>
        <v/>
      </c>
      <c r="O52" s="103" t="str">
        <f t="shared" si="4"/>
        <v/>
      </c>
      <c r="P52" s="52">
        <v>0</v>
      </c>
      <c r="Q52" s="102" t="str">
        <f t="shared" si="5"/>
        <v/>
      </c>
      <c r="R52" s="103" t="str">
        <f t="shared" si="6"/>
        <v/>
      </c>
      <c r="S52" s="52">
        <v>0</v>
      </c>
      <c r="T52" s="102" t="str">
        <f t="shared" si="7"/>
        <v/>
      </c>
      <c r="U52" s="103" t="str">
        <f t="shared" si="8"/>
        <v/>
      </c>
      <c r="V52" s="52">
        <v>0</v>
      </c>
      <c r="W52" s="87" t="str">
        <f t="shared" si="9"/>
        <v/>
      </c>
      <c r="X52" s="103" t="str">
        <f t="shared" si="10"/>
        <v/>
      </c>
      <c r="Y52" s="52">
        <v>0</v>
      </c>
      <c r="Z52" s="56" t="str">
        <f t="shared" si="11"/>
        <v/>
      </c>
      <c r="AA52" s="56" t="str">
        <f t="shared" si="12"/>
        <v/>
      </c>
      <c r="AB52" s="56" t="str">
        <f t="shared" si="13"/>
        <v/>
      </c>
      <c r="AC52" s="56" t="str">
        <f t="shared" si="14"/>
        <v/>
      </c>
      <c r="AD52" s="56" t="str">
        <f t="shared" si="15"/>
        <v/>
      </c>
      <c r="AE52" s="40"/>
      <c r="AF52" s="40"/>
      <c r="AG52" s="40"/>
      <c r="AH52" s="56" t="str">
        <f t="shared" si="16"/>
        <v/>
      </c>
      <c r="AI52" s="54"/>
      <c r="AJ52" s="54"/>
      <c r="AK52" s="54"/>
      <c r="AL52" s="54"/>
      <c r="AM52" s="54"/>
    </row>
    <row r="53" spans="1:39">
      <c r="A53" s="95"/>
      <c r="B53" s="45" t="str" cm="1">
        <f t="array" ref="B53">IF(H53="PROJECT", CHAR(10) &amp; "- " &amp; _xlfn.TEXTJOIN(CHAR(10) &amp; "- ", TRUE, _xlfn._xlws.FILTER($I$9:$I$1000, ($C$9:$C$1000=C53) * ($H$9:$H$1000="Topic"))), "")</f>
        <v/>
      </c>
      <c r="C53" s="45">
        <f t="shared" si="0"/>
        <v>21</v>
      </c>
      <c r="D53" s="46"/>
      <c r="E53" s="58"/>
      <c r="F53" s="48"/>
      <c r="G53" s="49"/>
      <c r="H53" s="49"/>
      <c r="I53" s="50"/>
      <c r="J53" s="51"/>
      <c r="K53" s="120" t="str">
        <f t="shared" si="1"/>
        <v/>
      </c>
      <c r="L53" s="103" t="str">
        <f t="shared" si="2"/>
        <v/>
      </c>
      <c r="M53" s="53">
        <v>0</v>
      </c>
      <c r="N53" s="102" t="str">
        <f t="shared" si="3"/>
        <v/>
      </c>
      <c r="O53" s="103" t="str">
        <f t="shared" si="4"/>
        <v/>
      </c>
      <c r="P53" s="53">
        <v>0</v>
      </c>
      <c r="Q53" s="102" t="str">
        <f t="shared" si="5"/>
        <v/>
      </c>
      <c r="R53" s="103" t="str">
        <f t="shared" si="6"/>
        <v/>
      </c>
      <c r="S53" s="53">
        <v>0</v>
      </c>
      <c r="T53" s="102" t="str">
        <f t="shared" si="7"/>
        <v/>
      </c>
      <c r="U53" s="103" t="str">
        <f t="shared" si="8"/>
        <v/>
      </c>
      <c r="V53" s="53">
        <v>0</v>
      </c>
      <c r="W53" s="87" t="str">
        <f t="shared" si="9"/>
        <v/>
      </c>
      <c r="X53" s="103" t="str">
        <f t="shared" si="10"/>
        <v/>
      </c>
      <c r="Y53" s="53">
        <v>0</v>
      </c>
      <c r="Z53" s="56" t="str">
        <f t="shared" si="11"/>
        <v/>
      </c>
      <c r="AA53" s="56" t="str">
        <f t="shared" si="12"/>
        <v/>
      </c>
      <c r="AB53" s="56" t="str">
        <f t="shared" si="13"/>
        <v/>
      </c>
      <c r="AC53" s="56" t="str">
        <f t="shared" si="14"/>
        <v/>
      </c>
      <c r="AD53" s="56" t="str">
        <f t="shared" si="15"/>
        <v/>
      </c>
      <c r="AE53" s="40"/>
      <c r="AF53" s="40"/>
      <c r="AG53" s="40"/>
      <c r="AH53" s="56" t="str">
        <f t="shared" si="16"/>
        <v/>
      </c>
      <c r="AI53" s="54"/>
      <c r="AJ53" s="54"/>
      <c r="AK53" s="54"/>
      <c r="AL53" s="54"/>
      <c r="AM53" s="54"/>
    </row>
    <row r="54" spans="1:39">
      <c r="A54" s="95"/>
      <c r="B54" s="45" t="str" cm="1">
        <f t="array" ref="B54">IF(H54="PROJECT", CHAR(10) &amp; "- " &amp; _xlfn.TEXTJOIN(CHAR(10) &amp; "- ", TRUE, _xlfn._xlws.FILTER($I$9:$I$1000, ($C$9:$C$1000=C54) * ($H$9:$H$1000="Topic"))), "")</f>
        <v/>
      </c>
      <c r="C54" s="45">
        <f t="shared" si="0"/>
        <v>22</v>
      </c>
      <c r="D54" s="57"/>
      <c r="E54" s="58"/>
      <c r="F54" s="59"/>
      <c r="G54" s="60"/>
      <c r="H54" s="60"/>
      <c r="I54" s="61"/>
      <c r="J54" s="62"/>
      <c r="K54" s="120" t="str">
        <f t="shared" si="1"/>
        <v/>
      </c>
      <c r="L54" s="103" t="str">
        <f t="shared" si="2"/>
        <v/>
      </c>
      <c r="M54" s="52">
        <v>0</v>
      </c>
      <c r="N54" s="102" t="str">
        <f t="shared" si="3"/>
        <v/>
      </c>
      <c r="O54" s="103" t="str">
        <f t="shared" si="4"/>
        <v/>
      </c>
      <c r="P54" s="52">
        <v>0</v>
      </c>
      <c r="Q54" s="102" t="str">
        <f t="shared" si="5"/>
        <v/>
      </c>
      <c r="R54" s="103" t="str">
        <f t="shared" si="6"/>
        <v/>
      </c>
      <c r="S54" s="52">
        <v>0</v>
      </c>
      <c r="T54" s="102" t="str">
        <f t="shared" si="7"/>
        <v/>
      </c>
      <c r="U54" s="103" t="str">
        <f t="shared" si="8"/>
        <v/>
      </c>
      <c r="V54" s="52">
        <v>0</v>
      </c>
      <c r="W54" s="87" t="str">
        <f t="shared" si="9"/>
        <v/>
      </c>
      <c r="X54" s="103" t="str">
        <f t="shared" si="10"/>
        <v/>
      </c>
      <c r="Y54" s="52">
        <v>0</v>
      </c>
      <c r="Z54" s="56" t="str">
        <f t="shared" si="11"/>
        <v/>
      </c>
      <c r="AA54" s="56" t="str">
        <f t="shared" si="12"/>
        <v/>
      </c>
      <c r="AB54" s="56" t="str">
        <f t="shared" si="13"/>
        <v/>
      </c>
      <c r="AC54" s="56" t="str">
        <f t="shared" si="14"/>
        <v/>
      </c>
      <c r="AD54" s="56" t="str">
        <f t="shared" si="15"/>
        <v/>
      </c>
      <c r="AE54" s="40"/>
      <c r="AF54" s="40"/>
      <c r="AG54" s="40"/>
      <c r="AH54" s="56" t="str">
        <f t="shared" si="16"/>
        <v/>
      </c>
      <c r="AI54" s="54"/>
      <c r="AJ54" s="54"/>
      <c r="AK54" s="54"/>
      <c r="AL54" s="54"/>
      <c r="AM54" s="54"/>
    </row>
    <row r="55" spans="1:39">
      <c r="A55" s="95"/>
      <c r="B55" s="45" t="str" cm="1">
        <f t="array" ref="B55">IF(H55="PROJECT", CHAR(10) &amp; "- " &amp; _xlfn.TEXTJOIN(CHAR(10) &amp; "- ", TRUE, _xlfn._xlws.FILTER($I$9:$I$1000, ($C$9:$C$1000=C55) * ($H$9:$H$1000="Topic"))), "")</f>
        <v/>
      </c>
      <c r="C55" s="45">
        <f t="shared" si="0"/>
        <v>23</v>
      </c>
      <c r="D55" s="46"/>
      <c r="E55" s="58"/>
      <c r="F55" s="48"/>
      <c r="G55" s="49"/>
      <c r="H55" s="49"/>
      <c r="I55" s="50"/>
      <c r="J55" s="51"/>
      <c r="K55" s="120" t="str">
        <f t="shared" si="1"/>
        <v/>
      </c>
      <c r="L55" s="103" t="str">
        <f t="shared" si="2"/>
        <v/>
      </c>
      <c r="M55" s="53">
        <v>0</v>
      </c>
      <c r="N55" s="102" t="str">
        <f t="shared" si="3"/>
        <v/>
      </c>
      <c r="O55" s="103" t="str">
        <f t="shared" si="4"/>
        <v/>
      </c>
      <c r="P55" s="53">
        <v>0</v>
      </c>
      <c r="Q55" s="102" t="str">
        <f t="shared" si="5"/>
        <v/>
      </c>
      <c r="R55" s="103" t="str">
        <f t="shared" si="6"/>
        <v/>
      </c>
      <c r="S55" s="53">
        <v>0</v>
      </c>
      <c r="T55" s="102" t="str">
        <f t="shared" si="7"/>
        <v/>
      </c>
      <c r="U55" s="103" t="str">
        <f t="shared" si="8"/>
        <v/>
      </c>
      <c r="V55" s="53">
        <v>0</v>
      </c>
      <c r="W55" s="87" t="str">
        <f t="shared" si="9"/>
        <v/>
      </c>
      <c r="X55" s="103" t="str">
        <f t="shared" si="10"/>
        <v/>
      </c>
      <c r="Y55" s="53">
        <v>0</v>
      </c>
      <c r="Z55" s="56" t="str">
        <f t="shared" si="11"/>
        <v/>
      </c>
      <c r="AA55" s="56" t="str">
        <f t="shared" si="12"/>
        <v/>
      </c>
      <c r="AB55" s="56" t="str">
        <f t="shared" si="13"/>
        <v/>
      </c>
      <c r="AC55" s="56" t="str">
        <f t="shared" si="14"/>
        <v/>
      </c>
      <c r="AD55" s="56" t="str">
        <f t="shared" si="15"/>
        <v/>
      </c>
      <c r="AE55" s="40"/>
      <c r="AF55" s="40"/>
      <c r="AG55" s="40"/>
      <c r="AH55" s="56" t="str">
        <f t="shared" si="16"/>
        <v/>
      </c>
      <c r="AI55" s="54"/>
      <c r="AJ55" s="54"/>
      <c r="AK55" s="54"/>
      <c r="AL55" s="54"/>
      <c r="AM55" s="54"/>
    </row>
    <row r="56" spans="1:39">
      <c r="A56" s="95"/>
      <c r="B56" s="45" t="str" cm="1">
        <f t="array" ref="B56">IF(H56="PROJECT", CHAR(10) &amp; "- " &amp; _xlfn.TEXTJOIN(CHAR(10) &amp; "- ", TRUE, _xlfn._xlws.FILTER($I$9:$I$1000, ($C$9:$C$1000=C56) * ($H$9:$H$1000="Topic"))), "")</f>
        <v/>
      </c>
      <c r="C56" s="45">
        <f t="shared" si="0"/>
        <v>24</v>
      </c>
      <c r="D56" s="57"/>
      <c r="E56" s="58"/>
      <c r="F56" s="63"/>
      <c r="G56" s="60"/>
      <c r="H56" s="64"/>
      <c r="I56" s="61"/>
      <c r="J56" s="62"/>
      <c r="K56" s="120" t="str">
        <f t="shared" si="1"/>
        <v/>
      </c>
      <c r="L56" s="103" t="str">
        <f t="shared" si="2"/>
        <v/>
      </c>
      <c r="M56" s="52">
        <v>0</v>
      </c>
      <c r="N56" s="102" t="str">
        <f t="shared" si="3"/>
        <v/>
      </c>
      <c r="O56" s="103" t="str">
        <f t="shared" si="4"/>
        <v/>
      </c>
      <c r="P56" s="52">
        <v>0</v>
      </c>
      <c r="Q56" s="102" t="str">
        <f t="shared" si="5"/>
        <v/>
      </c>
      <c r="R56" s="103" t="str">
        <f t="shared" si="6"/>
        <v/>
      </c>
      <c r="S56" s="52">
        <v>0</v>
      </c>
      <c r="T56" s="102" t="str">
        <f t="shared" si="7"/>
        <v/>
      </c>
      <c r="U56" s="103" t="str">
        <f t="shared" si="8"/>
        <v/>
      </c>
      <c r="V56" s="52">
        <v>0</v>
      </c>
      <c r="W56" s="87" t="str">
        <f t="shared" si="9"/>
        <v/>
      </c>
      <c r="X56" s="103" t="str">
        <f t="shared" si="10"/>
        <v/>
      </c>
      <c r="Y56" s="52">
        <v>0</v>
      </c>
      <c r="Z56" s="56" t="str">
        <f t="shared" si="11"/>
        <v/>
      </c>
      <c r="AA56" s="56" t="str">
        <f t="shared" si="12"/>
        <v/>
      </c>
      <c r="AB56" s="56" t="str">
        <f t="shared" si="13"/>
        <v/>
      </c>
      <c r="AC56" s="56" t="str">
        <f t="shared" si="14"/>
        <v/>
      </c>
      <c r="AD56" s="56" t="str">
        <f t="shared" si="15"/>
        <v/>
      </c>
      <c r="AE56" s="40"/>
      <c r="AF56" s="40"/>
      <c r="AG56" s="40"/>
      <c r="AH56" s="56" t="str">
        <f t="shared" si="16"/>
        <v/>
      </c>
      <c r="AI56" s="54"/>
      <c r="AJ56" s="54"/>
      <c r="AK56" s="54"/>
      <c r="AL56" s="54"/>
      <c r="AM56" s="54"/>
    </row>
    <row r="57" spans="1:39">
      <c r="A57" s="95"/>
      <c r="B57" s="45" t="str" cm="1">
        <f t="array" ref="B57">IF(H57="PROJECT", CHAR(10) &amp; "- " &amp; _xlfn.TEXTJOIN(CHAR(10) &amp; "- ", TRUE, _xlfn._xlws.FILTER($I$9:$I$1000, ($C$9:$C$1000=C57) * ($H$9:$H$1000="Topic"))), "")</f>
        <v/>
      </c>
      <c r="C57" s="45">
        <f t="shared" si="0"/>
        <v>25</v>
      </c>
      <c r="D57" s="46"/>
      <c r="E57" s="58"/>
      <c r="F57" s="65"/>
      <c r="G57" s="49"/>
      <c r="H57" s="66"/>
      <c r="I57" s="50"/>
      <c r="J57" s="51"/>
      <c r="K57" s="120" t="str">
        <f t="shared" si="1"/>
        <v/>
      </c>
      <c r="L57" s="103" t="str">
        <f t="shared" si="2"/>
        <v/>
      </c>
      <c r="M57" s="53">
        <v>0</v>
      </c>
      <c r="N57" s="102" t="str">
        <f t="shared" si="3"/>
        <v/>
      </c>
      <c r="O57" s="103" t="str">
        <f t="shared" si="4"/>
        <v/>
      </c>
      <c r="P57" s="53">
        <v>0</v>
      </c>
      <c r="Q57" s="102" t="str">
        <f t="shared" si="5"/>
        <v/>
      </c>
      <c r="R57" s="103" t="str">
        <f t="shared" si="6"/>
        <v/>
      </c>
      <c r="S57" s="53">
        <v>0</v>
      </c>
      <c r="T57" s="102" t="str">
        <f t="shared" si="7"/>
        <v/>
      </c>
      <c r="U57" s="103" t="str">
        <f t="shared" si="8"/>
        <v/>
      </c>
      <c r="V57" s="53">
        <v>0</v>
      </c>
      <c r="W57" s="87" t="str">
        <f t="shared" si="9"/>
        <v/>
      </c>
      <c r="X57" s="103" t="str">
        <f t="shared" si="10"/>
        <v/>
      </c>
      <c r="Y57" s="53">
        <v>0</v>
      </c>
      <c r="Z57" s="56" t="str">
        <f t="shared" si="11"/>
        <v/>
      </c>
      <c r="AA57" s="56" t="str">
        <f t="shared" si="12"/>
        <v/>
      </c>
      <c r="AB57" s="56" t="str">
        <f t="shared" si="13"/>
        <v/>
      </c>
      <c r="AC57" s="56" t="str">
        <f t="shared" si="14"/>
        <v/>
      </c>
      <c r="AD57" s="56" t="str">
        <f t="shared" si="15"/>
        <v/>
      </c>
      <c r="AE57" s="40"/>
      <c r="AF57" s="40"/>
      <c r="AG57" s="40"/>
      <c r="AH57" s="56" t="str">
        <f t="shared" si="16"/>
        <v/>
      </c>
      <c r="AI57" s="54"/>
      <c r="AJ57" s="54"/>
      <c r="AK57" s="54"/>
      <c r="AL57" s="54"/>
      <c r="AM57" s="54"/>
    </row>
    <row r="58" spans="1:39">
      <c r="A58" s="95"/>
      <c r="B58" s="45" t="str" cm="1">
        <f t="array" ref="B58">IF(H58="PROJECT", CHAR(10) &amp; "- " &amp; _xlfn.TEXTJOIN(CHAR(10) &amp; "- ", TRUE, _xlfn._xlws.FILTER($I$9:$I$1000, ($C$9:$C$1000=C58) * ($H$9:$H$1000="Topic"))), "")</f>
        <v/>
      </c>
      <c r="C58" s="45">
        <f t="shared" si="0"/>
        <v>26</v>
      </c>
      <c r="D58" s="57"/>
      <c r="E58" s="58"/>
      <c r="F58" s="63"/>
      <c r="G58" s="60"/>
      <c r="H58" s="64"/>
      <c r="I58" s="61"/>
      <c r="J58" s="62"/>
      <c r="K58" s="120" t="str">
        <f t="shared" si="1"/>
        <v/>
      </c>
      <c r="L58" s="103" t="str">
        <f t="shared" si="2"/>
        <v/>
      </c>
      <c r="M58" s="52">
        <v>0</v>
      </c>
      <c r="N58" s="102" t="str">
        <f t="shared" si="3"/>
        <v/>
      </c>
      <c r="O58" s="103" t="str">
        <f t="shared" si="4"/>
        <v/>
      </c>
      <c r="P58" s="52">
        <v>0</v>
      </c>
      <c r="Q58" s="102" t="str">
        <f t="shared" si="5"/>
        <v/>
      </c>
      <c r="R58" s="103" t="str">
        <f t="shared" si="6"/>
        <v/>
      </c>
      <c r="S58" s="52">
        <v>0</v>
      </c>
      <c r="T58" s="102" t="str">
        <f t="shared" si="7"/>
        <v/>
      </c>
      <c r="U58" s="103" t="str">
        <f t="shared" si="8"/>
        <v/>
      </c>
      <c r="V58" s="52">
        <v>0</v>
      </c>
      <c r="W58" s="87" t="str">
        <f t="shared" si="9"/>
        <v/>
      </c>
      <c r="X58" s="103" t="str">
        <f t="shared" si="10"/>
        <v/>
      </c>
      <c r="Y58" s="52">
        <v>0</v>
      </c>
      <c r="Z58" s="56" t="str">
        <f t="shared" si="11"/>
        <v/>
      </c>
      <c r="AA58" s="56" t="str">
        <f t="shared" si="12"/>
        <v/>
      </c>
      <c r="AB58" s="56" t="str">
        <f t="shared" si="13"/>
        <v/>
      </c>
      <c r="AC58" s="56" t="str">
        <f t="shared" si="14"/>
        <v/>
      </c>
      <c r="AD58" s="56" t="str">
        <f t="shared" si="15"/>
        <v/>
      </c>
      <c r="AE58" s="40"/>
      <c r="AF58" s="40"/>
      <c r="AG58" s="40"/>
      <c r="AH58" s="56" t="str">
        <f t="shared" si="16"/>
        <v/>
      </c>
      <c r="AI58" s="54"/>
      <c r="AJ58" s="54"/>
      <c r="AK58" s="54"/>
      <c r="AL58" s="54"/>
      <c r="AM58" s="54"/>
    </row>
    <row r="59" spans="1:39">
      <c r="A59" s="95"/>
      <c r="B59" s="45" t="str" cm="1">
        <f t="array" ref="B59">IF(H59="PROJECT", CHAR(10) &amp; "- " &amp; _xlfn.TEXTJOIN(CHAR(10) &amp; "- ", TRUE, _xlfn._xlws.FILTER($I$9:$I$1000, ($C$9:$C$1000=C59) * ($H$9:$H$1000="Topic"))), "")</f>
        <v/>
      </c>
      <c r="C59" s="45">
        <f t="shared" si="0"/>
        <v>27</v>
      </c>
      <c r="D59" s="46"/>
      <c r="E59" s="58"/>
      <c r="F59" s="65"/>
      <c r="G59" s="49"/>
      <c r="H59" s="66"/>
      <c r="I59" s="50"/>
      <c r="J59" s="51"/>
      <c r="K59" s="120" t="str">
        <f t="shared" si="1"/>
        <v/>
      </c>
      <c r="L59" s="103" t="str">
        <f t="shared" si="2"/>
        <v/>
      </c>
      <c r="M59" s="53">
        <v>0</v>
      </c>
      <c r="N59" s="102" t="str">
        <f t="shared" si="3"/>
        <v/>
      </c>
      <c r="O59" s="103" t="str">
        <f t="shared" si="4"/>
        <v/>
      </c>
      <c r="P59" s="53">
        <v>0</v>
      </c>
      <c r="Q59" s="102" t="str">
        <f t="shared" si="5"/>
        <v/>
      </c>
      <c r="R59" s="103" t="str">
        <f t="shared" si="6"/>
        <v/>
      </c>
      <c r="S59" s="53">
        <v>0</v>
      </c>
      <c r="T59" s="102" t="str">
        <f t="shared" si="7"/>
        <v/>
      </c>
      <c r="U59" s="103" t="str">
        <f t="shared" si="8"/>
        <v/>
      </c>
      <c r="V59" s="53">
        <v>0</v>
      </c>
      <c r="W59" s="87" t="str">
        <f t="shared" si="9"/>
        <v/>
      </c>
      <c r="X59" s="103" t="str">
        <f t="shared" si="10"/>
        <v/>
      </c>
      <c r="Y59" s="53">
        <v>0</v>
      </c>
      <c r="Z59" s="56" t="str">
        <f t="shared" si="11"/>
        <v/>
      </c>
      <c r="AA59" s="56" t="str">
        <f t="shared" si="12"/>
        <v/>
      </c>
      <c r="AB59" s="56" t="str">
        <f t="shared" si="13"/>
        <v/>
      </c>
      <c r="AC59" s="56" t="str">
        <f t="shared" si="14"/>
        <v/>
      </c>
      <c r="AD59" s="56" t="str">
        <f t="shared" si="15"/>
        <v/>
      </c>
      <c r="AE59" s="40"/>
      <c r="AF59" s="40"/>
      <c r="AG59" s="40"/>
      <c r="AH59" s="56" t="str">
        <f t="shared" si="16"/>
        <v/>
      </c>
      <c r="AI59" s="54"/>
      <c r="AJ59" s="54"/>
      <c r="AK59" s="54"/>
      <c r="AL59" s="54"/>
      <c r="AM59" s="54"/>
    </row>
    <row r="60" spans="1:39">
      <c r="A60" s="95"/>
      <c r="B60" s="45" t="str" cm="1">
        <f t="array" ref="B60">IF(H60="PROJECT", CHAR(10) &amp; "- " &amp; _xlfn.TEXTJOIN(CHAR(10) &amp; "- ", TRUE, _xlfn._xlws.FILTER($I$9:$I$1000, ($C$9:$C$1000=C60) * ($H$9:$H$1000="Topic"))), "")</f>
        <v/>
      </c>
      <c r="C60" s="45">
        <f t="shared" si="0"/>
        <v>28</v>
      </c>
      <c r="D60" s="57"/>
      <c r="E60" s="58"/>
      <c r="F60" s="63"/>
      <c r="G60" s="60"/>
      <c r="H60" s="64"/>
      <c r="I60" s="61"/>
      <c r="J60" s="62"/>
      <c r="K60" s="120" t="str">
        <f t="shared" si="1"/>
        <v/>
      </c>
      <c r="L60" s="103" t="str">
        <f t="shared" si="2"/>
        <v/>
      </c>
      <c r="M60" s="52">
        <v>0</v>
      </c>
      <c r="N60" s="102" t="str">
        <f t="shared" si="3"/>
        <v/>
      </c>
      <c r="O60" s="103" t="str">
        <f t="shared" si="4"/>
        <v/>
      </c>
      <c r="P60" s="52">
        <v>0</v>
      </c>
      <c r="Q60" s="102" t="str">
        <f t="shared" si="5"/>
        <v/>
      </c>
      <c r="R60" s="103" t="str">
        <f t="shared" si="6"/>
        <v/>
      </c>
      <c r="S60" s="52">
        <v>0</v>
      </c>
      <c r="T60" s="102" t="str">
        <f t="shared" si="7"/>
        <v/>
      </c>
      <c r="U60" s="103" t="str">
        <f t="shared" si="8"/>
        <v/>
      </c>
      <c r="V60" s="52">
        <v>0</v>
      </c>
      <c r="W60" s="87" t="str">
        <f t="shared" si="9"/>
        <v/>
      </c>
      <c r="X60" s="103" t="str">
        <f t="shared" si="10"/>
        <v/>
      </c>
      <c r="Y60" s="52">
        <v>0</v>
      </c>
      <c r="Z60" s="56" t="str">
        <f t="shared" si="11"/>
        <v/>
      </c>
      <c r="AA60" s="56" t="str">
        <f t="shared" si="12"/>
        <v/>
      </c>
      <c r="AB60" s="56" t="str">
        <f t="shared" si="13"/>
        <v/>
      </c>
      <c r="AC60" s="56" t="str">
        <f t="shared" si="14"/>
        <v/>
      </c>
      <c r="AD60" s="56" t="str">
        <f t="shared" si="15"/>
        <v/>
      </c>
      <c r="AE60" s="40"/>
      <c r="AF60" s="40"/>
      <c r="AG60" s="40"/>
      <c r="AH60" s="56" t="str">
        <f t="shared" si="16"/>
        <v/>
      </c>
      <c r="AI60" s="54"/>
      <c r="AJ60" s="54"/>
      <c r="AK60" s="54"/>
      <c r="AL60" s="54"/>
      <c r="AM60" s="54"/>
    </row>
    <row r="61" spans="1:39">
      <c r="A61" s="95"/>
      <c r="B61" s="45" t="str" cm="1">
        <f t="array" ref="B61">IF(H61="PROJECT", CHAR(10) &amp; "- " &amp; _xlfn.TEXTJOIN(CHAR(10) &amp; "- ", TRUE, _xlfn._xlws.FILTER($I$9:$I$1000, ($C$9:$C$1000=C61) * ($H$9:$H$1000="Topic"))), "")</f>
        <v/>
      </c>
      <c r="C61" s="45">
        <f t="shared" si="0"/>
        <v>29</v>
      </c>
      <c r="D61" s="46"/>
      <c r="E61" s="58"/>
      <c r="F61" s="65"/>
      <c r="G61" s="49"/>
      <c r="H61" s="66"/>
      <c r="I61" s="50"/>
      <c r="J61" s="51"/>
      <c r="K61" s="120" t="str">
        <f t="shared" si="1"/>
        <v/>
      </c>
      <c r="L61" s="103" t="str">
        <f t="shared" si="2"/>
        <v/>
      </c>
      <c r="M61" s="53">
        <v>0</v>
      </c>
      <c r="N61" s="102" t="str">
        <f t="shared" si="3"/>
        <v/>
      </c>
      <c r="O61" s="103" t="str">
        <f t="shared" si="4"/>
        <v/>
      </c>
      <c r="P61" s="53">
        <v>0</v>
      </c>
      <c r="Q61" s="102" t="str">
        <f t="shared" si="5"/>
        <v/>
      </c>
      <c r="R61" s="103" t="str">
        <f t="shared" si="6"/>
        <v/>
      </c>
      <c r="S61" s="53">
        <v>0</v>
      </c>
      <c r="T61" s="102" t="str">
        <f t="shared" si="7"/>
        <v/>
      </c>
      <c r="U61" s="103" t="str">
        <f t="shared" si="8"/>
        <v/>
      </c>
      <c r="V61" s="53">
        <v>0</v>
      </c>
      <c r="W61" s="87" t="str">
        <f t="shared" si="9"/>
        <v/>
      </c>
      <c r="X61" s="103" t="str">
        <f t="shared" si="10"/>
        <v/>
      </c>
      <c r="Y61" s="53">
        <v>0</v>
      </c>
      <c r="Z61" s="56" t="str">
        <f t="shared" si="11"/>
        <v/>
      </c>
      <c r="AA61" s="56" t="str">
        <f t="shared" si="12"/>
        <v/>
      </c>
      <c r="AB61" s="56" t="str">
        <f t="shared" si="13"/>
        <v/>
      </c>
      <c r="AC61" s="56" t="str">
        <f t="shared" si="14"/>
        <v/>
      </c>
      <c r="AD61" s="56" t="str">
        <f t="shared" si="15"/>
        <v/>
      </c>
      <c r="AE61" s="40"/>
      <c r="AF61" s="40"/>
      <c r="AG61" s="40"/>
      <c r="AH61" s="56" t="str">
        <f t="shared" si="16"/>
        <v/>
      </c>
      <c r="AI61" s="54"/>
      <c r="AJ61" s="54"/>
      <c r="AK61" s="54"/>
      <c r="AL61" s="54"/>
      <c r="AM61" s="54"/>
    </row>
    <row r="62" spans="1:39">
      <c r="A62" s="95"/>
      <c r="B62" s="45" t="str" cm="1">
        <f t="array" ref="B62">IF(H62="PROJECT", CHAR(10) &amp; "- " &amp; _xlfn.TEXTJOIN(CHAR(10) &amp; "- ", TRUE, _xlfn._xlws.FILTER($I$9:$I$1000, ($C$9:$C$1000=C62) * ($H$9:$H$1000="Topic"))), "")</f>
        <v/>
      </c>
      <c r="C62" s="45">
        <f t="shared" si="0"/>
        <v>30</v>
      </c>
      <c r="D62" s="57"/>
      <c r="E62" s="58"/>
      <c r="F62" s="63"/>
      <c r="G62" s="60"/>
      <c r="H62" s="64"/>
      <c r="I62" s="61"/>
      <c r="J62" s="62"/>
      <c r="K62" s="120" t="str">
        <f t="shared" si="1"/>
        <v/>
      </c>
      <c r="L62" s="103" t="str">
        <f t="shared" si="2"/>
        <v/>
      </c>
      <c r="M62" s="52">
        <v>0</v>
      </c>
      <c r="N62" s="102" t="str">
        <f t="shared" si="3"/>
        <v/>
      </c>
      <c r="O62" s="103" t="str">
        <f t="shared" si="4"/>
        <v/>
      </c>
      <c r="P62" s="52">
        <v>0</v>
      </c>
      <c r="Q62" s="102" t="str">
        <f t="shared" si="5"/>
        <v/>
      </c>
      <c r="R62" s="103" t="str">
        <f t="shared" si="6"/>
        <v/>
      </c>
      <c r="S62" s="52">
        <v>0</v>
      </c>
      <c r="T62" s="102" t="str">
        <f t="shared" si="7"/>
        <v/>
      </c>
      <c r="U62" s="103" t="str">
        <f t="shared" si="8"/>
        <v/>
      </c>
      <c r="V62" s="52">
        <v>0</v>
      </c>
      <c r="W62" s="87" t="str">
        <f t="shared" si="9"/>
        <v/>
      </c>
      <c r="X62" s="103" t="str">
        <f t="shared" si="10"/>
        <v/>
      </c>
      <c r="Y62" s="52">
        <v>0</v>
      </c>
      <c r="Z62" s="56" t="str">
        <f t="shared" si="11"/>
        <v/>
      </c>
      <c r="AA62" s="56" t="str">
        <f t="shared" si="12"/>
        <v/>
      </c>
      <c r="AB62" s="56" t="str">
        <f t="shared" si="13"/>
        <v/>
      </c>
      <c r="AC62" s="56" t="str">
        <f t="shared" si="14"/>
        <v/>
      </c>
      <c r="AD62" s="56" t="str">
        <f t="shared" si="15"/>
        <v/>
      </c>
      <c r="AE62" s="40"/>
      <c r="AF62" s="40"/>
      <c r="AG62" s="40"/>
      <c r="AH62" s="56" t="str">
        <f t="shared" si="16"/>
        <v/>
      </c>
      <c r="AI62" s="54"/>
      <c r="AJ62" s="54"/>
      <c r="AK62" s="54"/>
      <c r="AL62" s="54"/>
      <c r="AM62" s="54"/>
    </row>
    <row r="63" spans="1:39">
      <c r="A63" s="95"/>
      <c r="B63" s="45" t="str" cm="1">
        <f t="array" ref="B63">IF(H63="PROJECT", CHAR(10) &amp; "- " &amp; _xlfn.TEXTJOIN(CHAR(10) &amp; "- ", TRUE, _xlfn._xlws.FILTER($I$9:$I$1000, ($C$9:$C$1000=C63) * ($H$9:$H$1000="Topic"))), "")</f>
        <v/>
      </c>
      <c r="C63" s="45">
        <f t="shared" si="0"/>
        <v>31</v>
      </c>
      <c r="D63" s="46"/>
      <c r="E63" s="58"/>
      <c r="F63" s="65"/>
      <c r="G63" s="49"/>
      <c r="H63" s="66"/>
      <c r="I63" s="50"/>
      <c r="J63" s="51"/>
      <c r="K63" s="120" t="str">
        <f t="shared" si="1"/>
        <v/>
      </c>
      <c r="L63" s="103" t="str">
        <f t="shared" si="2"/>
        <v/>
      </c>
      <c r="M63" s="53">
        <v>0</v>
      </c>
      <c r="N63" s="102" t="str">
        <f t="shared" si="3"/>
        <v/>
      </c>
      <c r="O63" s="103" t="str">
        <f t="shared" si="4"/>
        <v/>
      </c>
      <c r="P63" s="53">
        <v>0</v>
      </c>
      <c r="Q63" s="102" t="str">
        <f t="shared" si="5"/>
        <v/>
      </c>
      <c r="R63" s="103" t="str">
        <f t="shared" si="6"/>
        <v/>
      </c>
      <c r="S63" s="53">
        <v>0</v>
      </c>
      <c r="T63" s="102" t="str">
        <f t="shared" si="7"/>
        <v/>
      </c>
      <c r="U63" s="103" t="str">
        <f t="shared" si="8"/>
        <v/>
      </c>
      <c r="V63" s="53">
        <v>0</v>
      </c>
      <c r="W63" s="87" t="str">
        <f t="shared" si="9"/>
        <v/>
      </c>
      <c r="X63" s="103" t="str">
        <f t="shared" si="10"/>
        <v/>
      </c>
      <c r="Y63" s="53">
        <v>0</v>
      </c>
      <c r="Z63" s="56" t="str">
        <f t="shared" si="11"/>
        <v/>
      </c>
      <c r="AA63" s="56" t="str">
        <f t="shared" si="12"/>
        <v/>
      </c>
      <c r="AB63" s="56" t="str">
        <f t="shared" si="13"/>
        <v/>
      </c>
      <c r="AC63" s="56" t="str">
        <f t="shared" si="14"/>
        <v/>
      </c>
      <c r="AD63" s="56" t="str">
        <f t="shared" si="15"/>
        <v/>
      </c>
      <c r="AE63" s="40"/>
      <c r="AF63" s="40"/>
      <c r="AG63" s="40"/>
      <c r="AH63" s="56" t="str">
        <f t="shared" si="16"/>
        <v/>
      </c>
      <c r="AI63" s="54"/>
      <c r="AJ63" s="54"/>
      <c r="AK63" s="54"/>
      <c r="AL63" s="54"/>
      <c r="AM63" s="54"/>
    </row>
    <row r="64" spans="1:39">
      <c r="A64" s="95"/>
      <c r="B64" s="45" t="str" cm="1">
        <f t="array" ref="B64">IF(H64="PROJECT", CHAR(10) &amp; "- " &amp; _xlfn.TEXTJOIN(CHAR(10) &amp; "- ", TRUE, _xlfn._xlws.FILTER($I$9:$I$1000, ($C$9:$C$1000=C64) * ($H$9:$H$1000="Topic"))), "")</f>
        <v/>
      </c>
      <c r="C64" s="45">
        <f t="shared" si="0"/>
        <v>32</v>
      </c>
      <c r="D64" s="57"/>
      <c r="E64" s="58"/>
      <c r="F64" s="63"/>
      <c r="G64" s="60"/>
      <c r="H64" s="64"/>
      <c r="I64" s="61"/>
      <c r="J64" s="62"/>
      <c r="K64" s="120" t="str">
        <f t="shared" si="1"/>
        <v/>
      </c>
      <c r="L64" s="103" t="str">
        <f t="shared" si="2"/>
        <v/>
      </c>
      <c r="M64" s="52">
        <v>0</v>
      </c>
      <c r="N64" s="102" t="str">
        <f t="shared" si="3"/>
        <v/>
      </c>
      <c r="O64" s="103" t="str">
        <f t="shared" si="4"/>
        <v/>
      </c>
      <c r="P64" s="52">
        <v>0</v>
      </c>
      <c r="Q64" s="102" t="str">
        <f t="shared" si="5"/>
        <v/>
      </c>
      <c r="R64" s="103" t="str">
        <f t="shared" si="6"/>
        <v/>
      </c>
      <c r="S64" s="52">
        <v>0</v>
      </c>
      <c r="T64" s="102" t="str">
        <f t="shared" si="7"/>
        <v/>
      </c>
      <c r="U64" s="103" t="str">
        <f t="shared" si="8"/>
        <v/>
      </c>
      <c r="V64" s="52">
        <v>0</v>
      </c>
      <c r="W64" s="87" t="str">
        <f t="shared" si="9"/>
        <v/>
      </c>
      <c r="X64" s="103" t="str">
        <f t="shared" si="10"/>
        <v/>
      </c>
      <c r="Y64" s="52">
        <v>0</v>
      </c>
      <c r="Z64" s="56" t="str">
        <f t="shared" si="11"/>
        <v/>
      </c>
      <c r="AA64" s="56" t="str">
        <f t="shared" si="12"/>
        <v/>
      </c>
      <c r="AB64" s="56" t="str">
        <f t="shared" si="13"/>
        <v/>
      </c>
      <c r="AC64" s="56" t="str">
        <f t="shared" si="14"/>
        <v/>
      </c>
      <c r="AD64" s="56" t="str">
        <f t="shared" si="15"/>
        <v/>
      </c>
      <c r="AE64" s="40"/>
      <c r="AF64" s="40"/>
      <c r="AG64" s="40"/>
      <c r="AH64" s="56" t="str">
        <f t="shared" si="16"/>
        <v/>
      </c>
      <c r="AI64" s="54"/>
      <c r="AJ64" s="54"/>
      <c r="AK64" s="54"/>
      <c r="AL64" s="54"/>
      <c r="AM64" s="54"/>
    </row>
    <row r="65" spans="1:39">
      <c r="A65" s="95"/>
      <c r="B65" s="45" t="str" cm="1">
        <f t="array" ref="B65">IF(H65="PROJECT", CHAR(10) &amp; "- " &amp; _xlfn.TEXTJOIN(CHAR(10) &amp; "- ", TRUE, _xlfn._xlws.FILTER($I$9:$I$1000, ($C$9:$C$1000=C65) * ($H$9:$H$1000="Topic"))), "")</f>
        <v/>
      </c>
      <c r="C65" s="45">
        <f t="shared" si="0"/>
        <v>33</v>
      </c>
      <c r="D65" s="46"/>
      <c r="E65" s="58"/>
      <c r="F65" s="65"/>
      <c r="G65" s="49"/>
      <c r="H65" s="66"/>
      <c r="I65" s="50"/>
      <c r="J65" s="51"/>
      <c r="K65" s="120" t="str">
        <f t="shared" si="1"/>
        <v/>
      </c>
      <c r="L65" s="103" t="str">
        <f t="shared" si="2"/>
        <v/>
      </c>
      <c r="M65" s="53">
        <v>0</v>
      </c>
      <c r="N65" s="102" t="str">
        <f t="shared" si="3"/>
        <v/>
      </c>
      <c r="O65" s="103" t="str">
        <f t="shared" si="4"/>
        <v/>
      </c>
      <c r="P65" s="53">
        <v>0</v>
      </c>
      <c r="Q65" s="102" t="str">
        <f t="shared" si="5"/>
        <v/>
      </c>
      <c r="R65" s="103" t="str">
        <f t="shared" si="6"/>
        <v/>
      </c>
      <c r="S65" s="53">
        <v>0</v>
      </c>
      <c r="T65" s="102" t="str">
        <f t="shared" si="7"/>
        <v/>
      </c>
      <c r="U65" s="103" t="str">
        <f t="shared" si="8"/>
        <v/>
      </c>
      <c r="V65" s="53">
        <v>0</v>
      </c>
      <c r="W65" s="87" t="str">
        <f t="shared" si="9"/>
        <v/>
      </c>
      <c r="X65" s="103" t="str">
        <f t="shared" si="10"/>
        <v/>
      </c>
      <c r="Y65" s="53">
        <v>0</v>
      </c>
      <c r="Z65" s="56" t="str">
        <f t="shared" si="11"/>
        <v/>
      </c>
      <c r="AA65" s="56" t="str">
        <f t="shared" si="12"/>
        <v/>
      </c>
      <c r="AB65" s="56" t="str">
        <f t="shared" si="13"/>
        <v/>
      </c>
      <c r="AC65" s="56" t="str">
        <f t="shared" si="14"/>
        <v/>
      </c>
      <c r="AD65" s="56" t="str">
        <f t="shared" si="15"/>
        <v/>
      </c>
      <c r="AE65" s="40"/>
      <c r="AF65" s="40"/>
      <c r="AG65" s="40"/>
      <c r="AH65" s="56" t="str">
        <f t="shared" si="16"/>
        <v/>
      </c>
      <c r="AI65" s="54"/>
      <c r="AJ65" s="54"/>
      <c r="AK65" s="54"/>
      <c r="AL65" s="54"/>
      <c r="AM65" s="54"/>
    </row>
    <row r="66" spans="1:39">
      <c r="A66" s="95"/>
      <c r="B66" s="45" t="str" cm="1">
        <f t="array" ref="B66">IF(H66="PROJECT", CHAR(10) &amp; "- " &amp; _xlfn.TEXTJOIN(CHAR(10) &amp; "- ", TRUE, _xlfn._xlws.FILTER($I$9:$I$1000, ($C$9:$C$1000=C66) * ($H$9:$H$1000="Topic"))), "")</f>
        <v/>
      </c>
      <c r="C66" s="45">
        <f t="shared" si="0"/>
        <v>34</v>
      </c>
      <c r="D66" s="57"/>
      <c r="E66" s="58"/>
      <c r="F66" s="63"/>
      <c r="G66" s="60"/>
      <c r="H66" s="64"/>
      <c r="I66" s="61"/>
      <c r="J66" s="62"/>
      <c r="K66" s="120" t="str">
        <f t="shared" si="1"/>
        <v/>
      </c>
      <c r="L66" s="103" t="str">
        <f t="shared" si="2"/>
        <v/>
      </c>
      <c r="M66" s="52">
        <v>0</v>
      </c>
      <c r="N66" s="102" t="str">
        <f t="shared" si="3"/>
        <v/>
      </c>
      <c r="O66" s="103" t="str">
        <f t="shared" si="4"/>
        <v/>
      </c>
      <c r="P66" s="52">
        <v>0</v>
      </c>
      <c r="Q66" s="102" t="str">
        <f t="shared" si="5"/>
        <v/>
      </c>
      <c r="R66" s="103" t="str">
        <f t="shared" si="6"/>
        <v/>
      </c>
      <c r="S66" s="52">
        <v>0</v>
      </c>
      <c r="T66" s="102" t="str">
        <f t="shared" si="7"/>
        <v/>
      </c>
      <c r="U66" s="103" t="str">
        <f t="shared" si="8"/>
        <v/>
      </c>
      <c r="V66" s="52">
        <v>0</v>
      </c>
      <c r="W66" s="87" t="str">
        <f t="shared" si="9"/>
        <v/>
      </c>
      <c r="X66" s="103" t="str">
        <f t="shared" si="10"/>
        <v/>
      </c>
      <c r="Y66" s="52">
        <v>0</v>
      </c>
      <c r="Z66" s="56" t="str">
        <f t="shared" si="11"/>
        <v/>
      </c>
      <c r="AA66" s="56" t="str">
        <f t="shared" si="12"/>
        <v/>
      </c>
      <c r="AB66" s="56" t="str">
        <f t="shared" si="13"/>
        <v/>
      </c>
      <c r="AC66" s="56" t="str">
        <f t="shared" si="14"/>
        <v/>
      </c>
      <c r="AD66" s="56" t="str">
        <f t="shared" si="15"/>
        <v/>
      </c>
      <c r="AE66" s="40"/>
      <c r="AF66" s="40"/>
      <c r="AG66" s="40"/>
      <c r="AH66" s="56" t="str">
        <f t="shared" si="16"/>
        <v/>
      </c>
      <c r="AI66" s="54"/>
      <c r="AJ66" s="54"/>
      <c r="AK66" s="54"/>
      <c r="AL66" s="54"/>
      <c r="AM66" s="54"/>
    </row>
    <row r="67" spans="1:39">
      <c r="A67" s="95"/>
      <c r="B67" s="45" t="str" cm="1">
        <f t="array" ref="B67">IF(H67="PROJECT", CHAR(10) &amp; "- " &amp; _xlfn.TEXTJOIN(CHAR(10) &amp; "- ", TRUE, _xlfn._xlws.FILTER($I$9:$I$1000, ($C$9:$C$1000=C67) * ($H$9:$H$1000="Topic"))), "")</f>
        <v/>
      </c>
      <c r="C67" s="45">
        <f t="shared" si="0"/>
        <v>35</v>
      </c>
      <c r="D67" s="46"/>
      <c r="E67" s="58"/>
      <c r="F67" s="65"/>
      <c r="G67" s="49"/>
      <c r="H67" s="66"/>
      <c r="I67" s="50"/>
      <c r="J67" s="51"/>
      <c r="K67" s="120" t="str">
        <f t="shared" si="1"/>
        <v/>
      </c>
      <c r="L67" s="103" t="str">
        <f t="shared" si="2"/>
        <v/>
      </c>
      <c r="M67" s="53">
        <v>0</v>
      </c>
      <c r="N67" s="102" t="str">
        <f t="shared" si="3"/>
        <v/>
      </c>
      <c r="O67" s="103" t="str">
        <f t="shared" si="4"/>
        <v/>
      </c>
      <c r="P67" s="53">
        <v>0</v>
      </c>
      <c r="Q67" s="102" t="str">
        <f t="shared" si="5"/>
        <v/>
      </c>
      <c r="R67" s="103" t="str">
        <f t="shared" si="6"/>
        <v/>
      </c>
      <c r="S67" s="53">
        <v>0</v>
      </c>
      <c r="T67" s="102" t="str">
        <f t="shared" si="7"/>
        <v/>
      </c>
      <c r="U67" s="103" t="str">
        <f t="shared" si="8"/>
        <v/>
      </c>
      <c r="V67" s="53">
        <v>0</v>
      </c>
      <c r="W67" s="87" t="str">
        <f t="shared" si="9"/>
        <v/>
      </c>
      <c r="X67" s="103" t="str">
        <f t="shared" si="10"/>
        <v/>
      </c>
      <c r="Y67" s="53">
        <v>0</v>
      </c>
      <c r="Z67" s="56" t="str">
        <f t="shared" si="11"/>
        <v/>
      </c>
      <c r="AA67" s="56" t="str">
        <f t="shared" si="12"/>
        <v/>
      </c>
      <c r="AB67" s="56" t="str">
        <f t="shared" si="13"/>
        <v/>
      </c>
      <c r="AC67" s="56" t="str">
        <f t="shared" si="14"/>
        <v/>
      </c>
      <c r="AD67" s="56" t="str">
        <f t="shared" si="15"/>
        <v/>
      </c>
      <c r="AE67" s="40"/>
      <c r="AF67" s="40"/>
      <c r="AG67" s="40"/>
      <c r="AH67" s="56" t="str">
        <f t="shared" si="16"/>
        <v/>
      </c>
      <c r="AI67" s="54"/>
      <c r="AJ67" s="54"/>
      <c r="AK67" s="54"/>
      <c r="AL67" s="54"/>
      <c r="AM67" s="54"/>
    </row>
    <row r="68" spans="1:39">
      <c r="A68" s="95"/>
      <c r="B68" s="45" t="str" cm="1">
        <f t="array" ref="B68">IF(H68="PROJECT", CHAR(10) &amp; "- " &amp; _xlfn.TEXTJOIN(CHAR(10) &amp; "- ", TRUE, _xlfn._xlws.FILTER($I$9:$I$1000, ($C$9:$C$1000=C68) * ($H$9:$H$1000="Topic"))), "")</f>
        <v/>
      </c>
      <c r="C68" s="45">
        <f t="shared" si="0"/>
        <v>36</v>
      </c>
      <c r="D68" s="57"/>
      <c r="E68" s="58"/>
      <c r="F68" s="63"/>
      <c r="G68" s="60"/>
      <c r="H68" s="60"/>
      <c r="I68" s="61"/>
      <c r="J68" s="62"/>
      <c r="K68" s="120" t="str">
        <f t="shared" si="1"/>
        <v/>
      </c>
      <c r="L68" s="103" t="str">
        <f t="shared" si="2"/>
        <v/>
      </c>
      <c r="M68" s="52">
        <v>0</v>
      </c>
      <c r="N68" s="102" t="str">
        <f t="shared" si="3"/>
        <v/>
      </c>
      <c r="O68" s="103" t="str">
        <f t="shared" si="4"/>
        <v/>
      </c>
      <c r="P68" s="52">
        <v>0</v>
      </c>
      <c r="Q68" s="102" t="str">
        <f t="shared" si="5"/>
        <v/>
      </c>
      <c r="R68" s="103" t="str">
        <f t="shared" si="6"/>
        <v/>
      </c>
      <c r="S68" s="52">
        <v>0</v>
      </c>
      <c r="T68" s="102" t="str">
        <f t="shared" si="7"/>
        <v/>
      </c>
      <c r="U68" s="103" t="str">
        <f t="shared" si="8"/>
        <v/>
      </c>
      <c r="V68" s="52">
        <v>0</v>
      </c>
      <c r="W68" s="87" t="str">
        <f t="shared" si="9"/>
        <v/>
      </c>
      <c r="X68" s="103" t="str">
        <f t="shared" si="10"/>
        <v/>
      </c>
      <c r="Y68" s="52">
        <v>0</v>
      </c>
      <c r="Z68" s="56" t="str">
        <f t="shared" si="11"/>
        <v/>
      </c>
      <c r="AA68" s="56" t="str">
        <f t="shared" si="12"/>
        <v/>
      </c>
      <c r="AB68" s="56" t="str">
        <f t="shared" si="13"/>
        <v/>
      </c>
      <c r="AC68" s="56" t="str">
        <f t="shared" si="14"/>
        <v/>
      </c>
      <c r="AD68" s="56" t="str">
        <f t="shared" si="15"/>
        <v/>
      </c>
      <c r="AE68" s="40"/>
      <c r="AF68" s="40"/>
      <c r="AG68" s="40"/>
      <c r="AH68" s="56" t="str">
        <f t="shared" si="16"/>
        <v/>
      </c>
      <c r="AI68" s="54"/>
      <c r="AJ68" s="54"/>
      <c r="AK68" s="54"/>
      <c r="AL68" s="54"/>
      <c r="AM68" s="54"/>
    </row>
    <row r="69" spans="1:39">
      <c r="A69" s="95"/>
      <c r="B69" s="45" t="str" cm="1">
        <f t="array" ref="B69">IF(H69="PROJECT", CHAR(10) &amp; "- " &amp; _xlfn.TEXTJOIN(CHAR(10) &amp; "- ", TRUE, _xlfn._xlws.FILTER($I$9:$I$1000, ($C$9:$C$1000=C69) * ($H$9:$H$1000="Topic"))), "")</f>
        <v/>
      </c>
      <c r="C69" s="45">
        <f t="shared" si="0"/>
        <v>37</v>
      </c>
      <c r="D69" s="46"/>
      <c r="E69" s="58"/>
      <c r="F69" s="65"/>
      <c r="G69" s="49"/>
      <c r="H69" s="66"/>
      <c r="I69" s="50"/>
      <c r="J69" s="51"/>
      <c r="K69" s="120" t="str">
        <f t="shared" si="1"/>
        <v/>
      </c>
      <c r="L69" s="103" t="str">
        <f t="shared" si="2"/>
        <v/>
      </c>
      <c r="M69" s="53">
        <v>0</v>
      </c>
      <c r="N69" s="102" t="str">
        <f t="shared" si="3"/>
        <v/>
      </c>
      <c r="O69" s="103" t="str">
        <f t="shared" si="4"/>
        <v/>
      </c>
      <c r="P69" s="53">
        <v>0</v>
      </c>
      <c r="Q69" s="102" t="str">
        <f t="shared" si="5"/>
        <v/>
      </c>
      <c r="R69" s="103" t="str">
        <f t="shared" si="6"/>
        <v/>
      </c>
      <c r="S69" s="53">
        <v>0</v>
      </c>
      <c r="T69" s="102" t="str">
        <f t="shared" si="7"/>
        <v/>
      </c>
      <c r="U69" s="103" t="str">
        <f t="shared" si="8"/>
        <v/>
      </c>
      <c r="V69" s="53">
        <v>0</v>
      </c>
      <c r="W69" s="87" t="str">
        <f t="shared" si="9"/>
        <v/>
      </c>
      <c r="X69" s="103" t="str">
        <f t="shared" si="10"/>
        <v/>
      </c>
      <c r="Y69" s="53">
        <v>0</v>
      </c>
      <c r="Z69" s="56" t="str">
        <f t="shared" si="11"/>
        <v/>
      </c>
      <c r="AA69" s="56" t="str">
        <f t="shared" si="12"/>
        <v/>
      </c>
      <c r="AB69" s="56" t="str">
        <f t="shared" si="13"/>
        <v/>
      </c>
      <c r="AC69" s="56" t="str">
        <f t="shared" si="14"/>
        <v/>
      </c>
      <c r="AD69" s="56" t="str">
        <f t="shared" si="15"/>
        <v/>
      </c>
      <c r="AE69" s="40"/>
      <c r="AF69" s="40"/>
      <c r="AG69" s="40"/>
      <c r="AH69" s="56" t="str">
        <f t="shared" si="16"/>
        <v/>
      </c>
      <c r="AI69" s="54"/>
      <c r="AJ69" s="54"/>
      <c r="AK69" s="54"/>
      <c r="AL69" s="54"/>
      <c r="AM69" s="54"/>
    </row>
    <row r="70" spans="1:39">
      <c r="A70" s="95"/>
      <c r="B70" s="45" t="str" cm="1">
        <f t="array" ref="B70">IF(H70="PROJECT", CHAR(10) &amp; "- " &amp; _xlfn.TEXTJOIN(CHAR(10) &amp; "- ", TRUE, _xlfn._xlws.FILTER($I$9:$I$1000, ($C$9:$C$1000=C70) * ($H$9:$H$1000="Topic"))), "")</f>
        <v/>
      </c>
      <c r="C70" s="45">
        <f t="shared" si="0"/>
        <v>38</v>
      </c>
      <c r="D70" s="57"/>
      <c r="E70" s="58"/>
      <c r="F70" s="63"/>
      <c r="G70" s="60"/>
      <c r="H70" s="64"/>
      <c r="I70" s="61"/>
      <c r="J70" s="62"/>
      <c r="K70" s="120" t="str">
        <f t="shared" si="1"/>
        <v/>
      </c>
      <c r="L70" s="103" t="str">
        <f t="shared" si="2"/>
        <v/>
      </c>
      <c r="M70" s="52">
        <v>0</v>
      </c>
      <c r="N70" s="102" t="str">
        <f t="shared" si="3"/>
        <v/>
      </c>
      <c r="O70" s="103" t="str">
        <f t="shared" si="4"/>
        <v/>
      </c>
      <c r="P70" s="52">
        <v>0</v>
      </c>
      <c r="Q70" s="102" t="str">
        <f t="shared" si="5"/>
        <v/>
      </c>
      <c r="R70" s="103" t="str">
        <f t="shared" si="6"/>
        <v/>
      </c>
      <c r="S70" s="52">
        <v>0</v>
      </c>
      <c r="T70" s="102" t="str">
        <f t="shared" si="7"/>
        <v/>
      </c>
      <c r="U70" s="103" t="str">
        <f t="shared" si="8"/>
        <v/>
      </c>
      <c r="V70" s="52">
        <v>0</v>
      </c>
      <c r="W70" s="87" t="str">
        <f t="shared" si="9"/>
        <v/>
      </c>
      <c r="X70" s="103" t="str">
        <f t="shared" si="10"/>
        <v/>
      </c>
      <c r="Y70" s="52">
        <v>0</v>
      </c>
      <c r="Z70" s="56" t="str">
        <f t="shared" si="11"/>
        <v/>
      </c>
      <c r="AA70" s="56" t="str">
        <f t="shared" si="12"/>
        <v/>
      </c>
      <c r="AB70" s="56" t="str">
        <f t="shared" si="13"/>
        <v/>
      </c>
      <c r="AC70" s="56" t="str">
        <f t="shared" si="14"/>
        <v/>
      </c>
      <c r="AD70" s="56" t="str">
        <f t="shared" si="15"/>
        <v/>
      </c>
      <c r="AE70" s="40"/>
      <c r="AF70" s="40"/>
      <c r="AG70" s="40"/>
      <c r="AH70" s="56" t="str">
        <f t="shared" si="16"/>
        <v/>
      </c>
      <c r="AI70" s="54"/>
      <c r="AJ70" s="54"/>
      <c r="AK70" s="54"/>
      <c r="AL70" s="54"/>
      <c r="AM70" s="54"/>
    </row>
    <row r="71" spans="1:39">
      <c r="A71" s="95"/>
      <c r="B71" s="45" t="str" cm="1">
        <f t="array" ref="B71">IF(H71="PROJECT", CHAR(10) &amp; "- " &amp; _xlfn.TEXTJOIN(CHAR(10) &amp; "- ", TRUE, _xlfn._xlws.FILTER($I$9:$I$1000, ($C$9:$C$1000=C71) * ($H$9:$H$1000="Topic"))), "")</f>
        <v/>
      </c>
      <c r="C71" s="45">
        <f t="shared" si="0"/>
        <v>39</v>
      </c>
      <c r="D71" s="46"/>
      <c r="E71" s="58"/>
      <c r="F71" s="65"/>
      <c r="G71" s="49"/>
      <c r="H71" s="66"/>
      <c r="I71" s="50"/>
      <c r="J71" s="51"/>
      <c r="K71" s="120" t="str">
        <f t="shared" si="1"/>
        <v/>
      </c>
      <c r="L71" s="103" t="str">
        <f t="shared" si="2"/>
        <v/>
      </c>
      <c r="M71" s="53">
        <v>0</v>
      </c>
      <c r="N71" s="102" t="str">
        <f t="shared" si="3"/>
        <v/>
      </c>
      <c r="O71" s="103" t="str">
        <f t="shared" si="4"/>
        <v/>
      </c>
      <c r="P71" s="53">
        <v>0</v>
      </c>
      <c r="Q71" s="102" t="str">
        <f t="shared" si="5"/>
        <v/>
      </c>
      <c r="R71" s="103" t="str">
        <f t="shared" si="6"/>
        <v/>
      </c>
      <c r="S71" s="53">
        <v>0</v>
      </c>
      <c r="T71" s="102" t="str">
        <f t="shared" si="7"/>
        <v/>
      </c>
      <c r="U71" s="103" t="str">
        <f t="shared" si="8"/>
        <v/>
      </c>
      <c r="V71" s="53">
        <v>0</v>
      </c>
      <c r="W71" s="87" t="str">
        <f t="shared" si="9"/>
        <v/>
      </c>
      <c r="X71" s="103" t="str">
        <f t="shared" si="10"/>
        <v/>
      </c>
      <c r="Y71" s="53">
        <v>0</v>
      </c>
      <c r="Z71" s="56" t="str">
        <f t="shared" si="11"/>
        <v/>
      </c>
      <c r="AA71" s="56" t="str">
        <f t="shared" si="12"/>
        <v/>
      </c>
      <c r="AB71" s="56" t="str">
        <f t="shared" si="13"/>
        <v/>
      </c>
      <c r="AC71" s="56" t="str">
        <f t="shared" si="14"/>
        <v/>
      </c>
      <c r="AD71" s="56" t="str">
        <f t="shared" si="15"/>
        <v/>
      </c>
      <c r="AE71" s="40"/>
      <c r="AF71" s="40"/>
      <c r="AG71" s="40"/>
      <c r="AH71" s="56" t="str">
        <f t="shared" si="16"/>
        <v/>
      </c>
      <c r="AI71" s="54"/>
      <c r="AJ71" s="54"/>
      <c r="AK71" s="54"/>
      <c r="AL71" s="54"/>
      <c r="AM71" s="54"/>
    </row>
    <row r="72" spans="1:39">
      <c r="A72" s="95"/>
      <c r="B72" s="45" t="str" cm="1">
        <f t="array" ref="B72">IF(H72="PROJECT", CHAR(10) &amp; "- " &amp; _xlfn.TEXTJOIN(CHAR(10) &amp; "- ", TRUE, _xlfn._xlws.FILTER($I$9:$I$1000, ($C$9:$C$1000=C72) * ($H$9:$H$1000="Topic"))), "")</f>
        <v/>
      </c>
      <c r="C72" s="45">
        <f t="shared" si="0"/>
        <v>40</v>
      </c>
      <c r="D72" s="57"/>
      <c r="E72" s="58"/>
      <c r="F72" s="63"/>
      <c r="G72" s="60"/>
      <c r="H72" s="64"/>
      <c r="I72" s="61"/>
      <c r="J72" s="62"/>
      <c r="K72" s="120" t="str">
        <f t="shared" si="1"/>
        <v/>
      </c>
      <c r="L72" s="103" t="str">
        <f t="shared" si="2"/>
        <v/>
      </c>
      <c r="M72" s="52">
        <v>0</v>
      </c>
      <c r="N72" s="102" t="str">
        <f t="shared" si="3"/>
        <v/>
      </c>
      <c r="O72" s="103" t="str">
        <f t="shared" si="4"/>
        <v/>
      </c>
      <c r="P72" s="52">
        <v>0</v>
      </c>
      <c r="Q72" s="102" t="str">
        <f t="shared" si="5"/>
        <v/>
      </c>
      <c r="R72" s="103" t="str">
        <f t="shared" si="6"/>
        <v/>
      </c>
      <c r="S72" s="52">
        <v>0</v>
      </c>
      <c r="T72" s="102" t="str">
        <f t="shared" si="7"/>
        <v/>
      </c>
      <c r="U72" s="103" t="str">
        <f t="shared" si="8"/>
        <v/>
      </c>
      <c r="V72" s="52">
        <v>0</v>
      </c>
      <c r="W72" s="87" t="str">
        <f t="shared" si="9"/>
        <v/>
      </c>
      <c r="X72" s="103" t="str">
        <f t="shared" si="10"/>
        <v/>
      </c>
      <c r="Y72" s="52">
        <v>0</v>
      </c>
      <c r="Z72" s="56" t="str">
        <f t="shared" si="11"/>
        <v/>
      </c>
      <c r="AA72" s="56" t="str">
        <f t="shared" si="12"/>
        <v/>
      </c>
      <c r="AB72" s="56" t="str">
        <f t="shared" si="13"/>
        <v/>
      </c>
      <c r="AC72" s="56" t="str">
        <f t="shared" si="14"/>
        <v/>
      </c>
      <c r="AD72" s="56" t="str">
        <f t="shared" si="15"/>
        <v/>
      </c>
      <c r="AE72" s="40"/>
      <c r="AF72" s="40"/>
      <c r="AG72" s="40"/>
      <c r="AH72" s="56" t="str">
        <f t="shared" si="16"/>
        <v/>
      </c>
      <c r="AI72" s="54"/>
      <c r="AJ72" s="54"/>
      <c r="AK72" s="54"/>
      <c r="AL72" s="54"/>
      <c r="AM72" s="54"/>
    </row>
    <row r="73" spans="1:39">
      <c r="A73" s="95"/>
      <c r="B73" s="45" t="str" cm="1">
        <f t="array" ref="B73">IF(H73="PROJECT", CHAR(10) &amp; "- " &amp; _xlfn.TEXTJOIN(CHAR(10) &amp; "- ", TRUE, _xlfn._xlws.FILTER($I$9:$I$1000, ($C$9:$C$1000=C73) * ($H$9:$H$1000="Topic"))), "")</f>
        <v/>
      </c>
      <c r="C73" s="45">
        <f t="shared" ref="C73:C136" si="17">IF(AND(H73="Topic",H72="PROJECT"),C72+1,IF(H73="PROJECT",C72,IF(AND(H73="Topic",H72="Topic"),C72,C72+1)))</f>
        <v>41</v>
      </c>
      <c r="D73" s="46"/>
      <c r="E73" s="58"/>
      <c r="F73" s="67"/>
      <c r="G73" s="53"/>
      <c r="H73" s="49"/>
      <c r="I73" s="50"/>
      <c r="J73" s="51"/>
      <c r="K73" s="120" t="str">
        <f t="shared" si="1"/>
        <v/>
      </c>
      <c r="L73" s="103" t="str">
        <f t="shared" si="2"/>
        <v/>
      </c>
      <c r="M73" s="53">
        <v>0</v>
      </c>
      <c r="N73" s="102" t="str">
        <f t="shared" si="3"/>
        <v/>
      </c>
      <c r="O73" s="103" t="str">
        <f t="shared" si="4"/>
        <v/>
      </c>
      <c r="P73" s="53">
        <v>0</v>
      </c>
      <c r="Q73" s="102" t="str">
        <f t="shared" si="5"/>
        <v/>
      </c>
      <c r="R73" s="103" t="str">
        <f t="shared" si="6"/>
        <v/>
      </c>
      <c r="S73" s="53">
        <v>0</v>
      </c>
      <c r="T73" s="102" t="str">
        <f t="shared" si="7"/>
        <v/>
      </c>
      <c r="U73" s="103" t="str">
        <f t="shared" si="8"/>
        <v/>
      </c>
      <c r="V73" s="53">
        <v>0</v>
      </c>
      <c r="W73" s="87" t="str">
        <f t="shared" si="9"/>
        <v/>
      </c>
      <c r="X73" s="103" t="str">
        <f t="shared" si="10"/>
        <v/>
      </c>
      <c r="Y73" s="53">
        <v>0</v>
      </c>
      <c r="Z73" s="56" t="str">
        <f t="shared" si="11"/>
        <v/>
      </c>
      <c r="AA73" s="56" t="str">
        <f t="shared" si="12"/>
        <v/>
      </c>
      <c r="AB73" s="56" t="str">
        <f t="shared" si="13"/>
        <v/>
      </c>
      <c r="AC73" s="56" t="str">
        <f t="shared" si="14"/>
        <v/>
      </c>
      <c r="AD73" s="56" t="str">
        <f t="shared" si="15"/>
        <v/>
      </c>
      <c r="AE73" s="40"/>
      <c r="AF73" s="40"/>
      <c r="AG73" s="40"/>
      <c r="AH73" s="56" t="str">
        <f t="shared" si="16"/>
        <v/>
      </c>
      <c r="AI73" s="54"/>
      <c r="AJ73" s="54"/>
      <c r="AK73" s="54"/>
      <c r="AL73" s="54"/>
      <c r="AM73" s="54"/>
    </row>
    <row r="74" spans="1:39">
      <c r="A74" s="95"/>
      <c r="B74" s="45" t="str" cm="1">
        <f t="array" ref="B74">IF(H74="PROJECT", CHAR(10) &amp; "- " &amp; _xlfn.TEXTJOIN(CHAR(10) &amp; "- ", TRUE, _xlfn._xlws.FILTER($I$9:$I$1000, ($C$9:$C$1000=C74) * ($H$9:$H$1000="Topic"))), "")</f>
        <v/>
      </c>
      <c r="C74" s="45">
        <f t="shared" si="17"/>
        <v>42</v>
      </c>
      <c r="D74" s="57"/>
      <c r="E74" s="58"/>
      <c r="F74" s="54"/>
      <c r="G74" s="52"/>
      <c r="H74" s="52"/>
      <c r="I74" s="61"/>
      <c r="J74" s="62"/>
      <c r="K74" s="120" t="str">
        <f t="shared" ref="K74:K137" si="18">IF(H74="Topic",
"[ROLE] Friendly tutor specializing in " &amp; $I$2 &amp; " | " &amp;
"[TOPIC] " &amp; I74 &amp; " | " &amp;
"[LEVEL] " &amp; G74 &amp; " | " &amp;
"[COUNT] " &amp; D74 &amp; " examples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$A74 &amp; " lines of EXECUTABLE code (STRICT: Do NOT count comments or blank lines). - NEVER exceed this limit. | " &amp;
"[FUNCTION RULE] Rule: " &amp; IF(G74="Beginner","Focus on basic GenServer implementations with simple init/1 and synchronous handle_call/3 callbacks.", IF(G74="Intermediate", "Integrate GenServer within a Supervisor tree. Use asynchronous handle_cast/2 and explicit state transitions.", "stateful GenServer state or external message passing")) &amp; " | " &amp;
"[CODE_CONSTRAINTS_RULE] Each example MUST: - Use stateful GenServer state or external message passing - Print steps &amp; result via Logger.info/debug or IO.inspect inside isolated process callbacks - MAX " &amp; $A74 &amp; " executable lines (comments/blanks excluded) - NEVER exceed limit. | " &amp;
"[I_O_PARADIGM] Use standard OTP message passing via send/2 or GenServer.call/3 and gracefully handle {:reply, response, new_state}, {:noreply, new_state}, and {:ok, state} tuples when applicable. | " &amp;
"[INLINE_PACKAGE_MANAGER] If using external packages, use Standard mix.exs dependencies list (defp deps do [{:package_name, '~&gt; version'}] end) at the top of the code block. Assume no project configuration file exists. | " &amp;
_xlfn._LONGTEXT("[TESTING_FRAMEWORK_LIMITS]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 &amp;
"[CODE QUALITY RULE] Code MUST be clean, readable, educational, executable, and produce correct results. Handle missing, malformed, or inconsistent data safely, utilizing pattern matching if possible. | " &amp;
"[COMMENT CONSTRAINTS] Code MUST include sufficient inline comments explaining WHAT the code does AND WHY it is written that way. Density: Beginner = high, Intermediate = medium, Advanced = 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D74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c>
      <c r="L74" s="103" t="str">
        <f t="shared" ref="L74:L137" si="19">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B74 &amp; ". Project objective: " &amp; J74, "learning: " &amp; I74 &amp; ". Topic details: " &amp; J74)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IF(G74="Beginner", "Evaluate based on basic GenServer structure (init/1, handle_call/3). Do NOT expect full Supervisor trees unless explicitly demanded.", IF(G74="Intermediate", "Expect GenServer behaviors integrated into a standard Supervisor. Look for proper state isolation and appropriate use of handle_cast/2 to avoid blocking.", "Expect complete OTP apps with DynamicSupervisor, clean separation of Client API/Server Callbacks, and handle_info/2 pattern matching.")) &amp; " | " &amp;
_xlfn._LONGTEXT("[CODE_QUALITY_POLICIES]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c>
      <c r="M74" s="52">
        <v>0</v>
      </c>
      <c r="N74" s="102" t="str">
        <f t="shared" ref="N74:N137" si="20">IF(H74="Topic",
"[ROLE] Careless " &amp; $I$2 &amp; " Developer | " &amp;
"[TASK] Generate debugging challenges in " &amp; $I$2 &amp; " | | " &amp;
"[TOPIC] " &amp; I74 &amp; " | | " &amp;
"[LEVEL] " &amp; G74 &amp; " | | " &amp;
"[COUNT] " &amp; D74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 &amp;
"[EXUNIT RULE] If the topic involves ExUnit or Testing, NEVER use doctests (@doc iex&gt;). You MUST use standard test macros (test 'test name' do) and assert statements. Doctests cause errors in standalone .exs scripts. | " &amp;
_xlfn._LONGTEXT("[HEX DEPENDENCIES RULE] If the exercise requires using an external Hex package in a standalone script, you MUST use Mix.install([{:package_name, '~&gt; version'}]) at the very top of the code block. Assume there is NO mix.exs file available in the user's env","ironment. | ") &amp;
"[CODE CONSTRAINTS] Each challenge MUST include: - Internal data OR dataset usage - At least 1 Enum/List operation or recursion (when applicable) - At least 1 IO.puts or IO.inspect statement - " &amp; IF(G74="Beginner", "5–15", IF(G74="Intermediate", "10–25", "15–35")) &amp; " lines of EXECUTABLE broken code per example (STRICT: Do NOT count blank lines). Use pure functions and immutability. | All challenges MUST have similar complexity and length.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
      </c>
      <c r="O74" s="103" t="str">
        <f t="shared" ref="O74:O137" si="21">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B74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74" s="52">
        <v>0</v>
      </c>
      <c r="Q74" s="102" t="str">
        <f t="shared" ref="Q74:Q137" si="22">IF(H74="Topic",
"[ROLE] Tech Lead | " &amp;
"[TASK] Assign incomplete " &amp; $I$2 &amp; " script challenges | " &amp;
"[TOPIC] " &amp; I74 &amp; " | " &amp;
"[LEVEL] " &amp; G74 &amp; " | " &amp;
"[COUNT] " &amp; D74 &amp; " challenges | " &amp;
"[LIBRARY BEING LEARNED] " &amp; $I$3 &amp; " | " &amp;
_xlfn._LONGTEXT("[ECOSYSTEM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If the exercise requires using an external Hex package in a standalone script, you MUST use Mix.install([{:package_name, '~&gt; version'}]) at the very top of the code block. | " &amp;
"[TESTING_FRAMEWORK_PROTOCOL] If the topic involves ExUnit or Testing, NEVER use doctests (@doc iex&gt;). You MUST use standard test macros (test 'test name' do) and assert statements. | " &amp;
"[CHALLENGE_CONSTRAINTS_POLICY] Each challenge MUST include: - Internal data OR dataset usage - " &amp; IF(G74="Beginner","5–15", IF(G74="Intermediate","10–25","15–35")) &amp; " lines of EXECUTABLE base code (STRICT: Do NOT count comments or TODOs). - Length MUST vary across challenges. Use pure functions and immutability.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
      </c>
      <c r="R74" s="103" t="str">
        <f t="shared" ref="R74:R137" si="23">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B74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74" s="52">
        <v>0</v>
      </c>
      <c r="T74" s="102" t="str">
        <f t="shared" ref="T74:T137" si="24">IF(H74="Topic",
"[ROLE] Tech Lead | " &amp;
"[TASK] Provide intentionally messy but functional code for learning debugging and improvement | " &amp;
"[TOPIC] " &amp; I74 &amp; " | " &amp;
"[LEVEL] " &amp; G74 &amp; " | " &amp;
"[COUNT] " &amp; D74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
      </c>
      <c r="U74" s="103" t="str">
        <f t="shared" ref="U74:U137" si="25">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B74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74" s="52">
        <v>0</v>
      </c>
      <c r="W74" s="87" t="str">
        <f t="shared" ref="W74:W137" si="26">IF(H74="Topic",
"[ROLE] Tech Product Manager assigning a " &amp; $I$2 &amp; " Jira Ticket | " &amp;
"[TASK] Provide a guided implementation exercise with full solution for learning purposes | " &amp;
"[TOPIC] " &amp; I74 &amp; " | " &amp;
"[LEVEL] " &amp; G74 &amp; "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"[FUNCTIONAL_STRUCTURE_POLICY] Rule: " &amp; IF(G74="Beginner", "Use simple scripts or minimal functions. ", IF(G74="Intermediate",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
      </c>
      <c r="X74" s="103" t="str">
        <f t="shared" ref="X74:X137" si="27">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B74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74" s="52">
        <v>0</v>
      </c>
      <c r="Z74" s="56" t="str">
        <f t="shared" ref="Z74:Z137" si="28">IF(H74&lt;&gt;"PROJECT","",
"[TASK] Teach through a practical " &amp; $I$2 &amp; " - " &amp; $I$3 &amp; " project following the micro-learning methodology, acting as a supportive tutor, creating a project about  " &amp; I74 &amp; " | " &amp;
"[TOPICS USED] " &amp; B74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mix.exs dependencies list (defp deps do [{:package_name, '~&gt; version'}] end) at the top. | " &amp;
"[SCOPE_ARCHITECTURE_RULE] Rule: Build fault-tolerant OTP apps with DynamicSupervisor, Registry for process discovery, and handle_info/2 handlers. | " &amp;
_xlfn._LONGTEXT("[VISUAL_ARCHITECTURE_COMMENTS] 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 &amp;
"[DATA ROBUSTNESS RULE] Handle real-world data safely | " &amp;
"[CODE CONSTRAINTS] MUST be between " &amp; IF(G74="Beginner", "25–40", IF(G74="Intermediate",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29">IF(H74&lt;&gt;"PROJECT","",
"[ROLE] Careless " &amp; $I$2 &amp; " Developer | " &amp;
"[TASK] Generate debugging project in " &amp; $I$2 &amp; " | " &amp;
"[PROJECT] " &amp; I74 &amp; " | " &amp;
"[TOPICS USED] " &amp; B74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0">IF(H74&lt;&gt;"PROJECT","",
"[ROLE] Tech Lead | " &amp;
"[TASK] Assign incomplete project script | " &amp;
"[PROJECT] " &amp; I74 &amp; " | " &amp;
"[TOPICS USED] " &amp; B74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"[EXTERNAL_PACKAGE_PROTOCOL] Use Mix.install([{:package_name, '~&gt; version'}]) at the top if needed. | " &amp;
"[CHALLENGE_CONSTRAINTS_POLICY] MUST be between " &amp; IF(G74="Beginner","25–40", IF(G74="Intermediate","30–60","40–100")) &amp; " lines of EXECUTABLE base code (STRICT: Do NOT count comments or TODOs). Multi-step flow.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1">IF(H74&lt;&gt;"PROJECT","",
"[ROLE] Tech Lead | " &amp;
"[TASK] Provide a messy but functional project for refactoring | " &amp;
"[PROJECT] " &amp; I74 &amp; " | " &amp;
"[TOPICS USED] " &amp; B74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2">IF(H74&lt;&gt;"PROJECT","",
"[ROLE] Tech Product Manager assigning a " &amp; $I$2 &amp; " Jira Ticket | " &amp;
"[TASK] Provide a guided project implementation with full solution | " &amp;
"[PROJECT] " &amp; I74 &amp; " | " &amp;
"[TOPICS USED] " &amp; B74 &amp; " | " &amp;
"[LEVEL] " &amp; G74 &amp; " | " &amp;
"[PERSONA RULE] Act as a professional Tech Product Manager defining a project ticket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6"/>
        <v/>
      </c>
      <c r="AI74" s="54"/>
      <c r="AJ74" s="54"/>
      <c r="AK74" s="54"/>
      <c r="AL74" s="54"/>
      <c r="AM74" s="54"/>
    </row>
    <row r="75" spans="1:39">
      <c r="A75" s="95"/>
      <c r="B75" s="45" t="str" cm="1">
        <f t="array" ref="B75">IF(H75="PROJECT", CHAR(10) &amp; "- " &amp; _xlfn.TEXTJOIN(CHAR(10) &amp; "- ", TRUE, _xlfn._xlws.FILTER($I$9:$I$1000, ($C$9:$C$1000=C75) * ($H$9:$H$1000="Topic"))), "")</f>
        <v/>
      </c>
      <c r="C75" s="45">
        <f t="shared" si="17"/>
        <v>43</v>
      </c>
      <c r="D75" s="46"/>
      <c r="E75" s="58"/>
      <c r="F75" s="67"/>
      <c r="G75" s="53"/>
      <c r="H75" s="53"/>
      <c r="I75" s="50"/>
      <c r="J75" s="51"/>
      <c r="K75" s="120" t="str">
        <f t="shared" si="18"/>
        <v/>
      </c>
      <c r="L75" s="103" t="str">
        <f t="shared" si="19"/>
        <v/>
      </c>
      <c r="M75" s="53">
        <v>0</v>
      </c>
      <c r="N75" s="102" t="str">
        <f t="shared" si="20"/>
        <v/>
      </c>
      <c r="O75" s="103" t="str">
        <f t="shared" si="21"/>
        <v/>
      </c>
      <c r="P75" s="53">
        <v>0</v>
      </c>
      <c r="Q75" s="102" t="str">
        <f t="shared" si="22"/>
        <v/>
      </c>
      <c r="R75" s="103" t="str">
        <f t="shared" si="23"/>
        <v/>
      </c>
      <c r="S75" s="53">
        <v>0</v>
      </c>
      <c r="T75" s="102" t="str">
        <f t="shared" si="24"/>
        <v/>
      </c>
      <c r="U75" s="103" t="str">
        <f t="shared" si="25"/>
        <v/>
      </c>
      <c r="V75" s="53">
        <v>0</v>
      </c>
      <c r="W75" s="87" t="str">
        <f t="shared" si="26"/>
        <v/>
      </c>
      <c r="X75" s="103" t="str">
        <f t="shared" si="27"/>
        <v/>
      </c>
      <c r="Y75" s="53">
        <v>0</v>
      </c>
      <c r="Z75" s="56" t="str">
        <f t="shared" si="28"/>
        <v/>
      </c>
      <c r="AA75" s="56" t="str">
        <f t="shared" si="29"/>
        <v/>
      </c>
      <c r="AB75" s="56" t="str">
        <f t="shared" si="30"/>
        <v/>
      </c>
      <c r="AC75" s="56" t="str">
        <f t="shared" si="31"/>
        <v/>
      </c>
      <c r="AD75" s="56" t="str">
        <f t="shared" si="32"/>
        <v/>
      </c>
      <c r="AE75" s="40"/>
      <c r="AF75" s="40"/>
      <c r="AG75" s="40"/>
      <c r="AH75" s="56" t="str">
        <f t="shared" si="16"/>
        <v/>
      </c>
      <c r="AI75" s="54"/>
      <c r="AJ75" s="54"/>
      <c r="AK75" s="54"/>
      <c r="AL75" s="54"/>
      <c r="AM75" s="54"/>
    </row>
    <row r="76" spans="1:39">
      <c r="A76" s="95"/>
      <c r="B76" s="45" t="str" cm="1">
        <f t="array" ref="B76">IF(H76="PROJECT", CHAR(10) &amp; "- " &amp; _xlfn.TEXTJOIN(CHAR(10) &amp; "- ", TRUE, _xlfn._xlws.FILTER($I$9:$I$1000, ($C$9:$C$1000=C76) * ($H$9:$H$1000="Topic"))), "")</f>
        <v/>
      </c>
      <c r="C76" s="45">
        <f t="shared" si="17"/>
        <v>44</v>
      </c>
      <c r="D76" s="57"/>
      <c r="E76" s="58"/>
      <c r="F76" s="54"/>
      <c r="G76" s="52"/>
      <c r="H76" s="52"/>
      <c r="I76" s="61"/>
      <c r="J76" s="62"/>
      <c r="K76" s="120" t="str">
        <f t="shared" si="18"/>
        <v/>
      </c>
      <c r="L76" s="103" t="str">
        <f t="shared" si="19"/>
        <v/>
      </c>
      <c r="M76" s="52">
        <v>0</v>
      </c>
      <c r="N76" s="102" t="str">
        <f t="shared" si="20"/>
        <v/>
      </c>
      <c r="O76" s="103" t="str">
        <f t="shared" si="21"/>
        <v/>
      </c>
      <c r="P76" s="52">
        <v>0</v>
      </c>
      <c r="Q76" s="102" t="str">
        <f t="shared" si="22"/>
        <v/>
      </c>
      <c r="R76" s="103" t="str">
        <f t="shared" si="23"/>
        <v/>
      </c>
      <c r="S76" s="52">
        <v>0</v>
      </c>
      <c r="T76" s="102" t="str">
        <f t="shared" si="24"/>
        <v/>
      </c>
      <c r="U76" s="103" t="str">
        <f t="shared" si="25"/>
        <v/>
      </c>
      <c r="V76" s="52">
        <v>0</v>
      </c>
      <c r="W76" s="87" t="str">
        <f t="shared" si="26"/>
        <v/>
      </c>
      <c r="X76" s="103" t="str">
        <f t="shared" si="27"/>
        <v/>
      </c>
      <c r="Y76" s="52">
        <v>0</v>
      </c>
      <c r="Z76" s="56" t="str">
        <f t="shared" si="28"/>
        <v/>
      </c>
      <c r="AA76" s="56" t="str">
        <f t="shared" si="29"/>
        <v/>
      </c>
      <c r="AB76" s="56" t="str">
        <f t="shared" si="30"/>
        <v/>
      </c>
      <c r="AC76" s="56" t="str">
        <f t="shared" si="31"/>
        <v/>
      </c>
      <c r="AD76" s="56" t="str">
        <f t="shared" si="32"/>
        <v/>
      </c>
      <c r="AE76" s="40"/>
      <c r="AF76" s="40"/>
      <c r="AG76" s="40"/>
      <c r="AH76" s="56" t="str">
        <f t="shared" si="16"/>
        <v/>
      </c>
      <c r="AI76" s="54"/>
      <c r="AJ76" s="54"/>
      <c r="AK76" s="54"/>
      <c r="AL76" s="54"/>
      <c r="AM76" s="54"/>
    </row>
    <row r="77" spans="1:39">
      <c r="A77" s="95"/>
      <c r="B77" s="45" t="str" cm="1">
        <f t="array" ref="B77">IF(H77="PROJECT", CHAR(10) &amp; "- " &amp; _xlfn.TEXTJOIN(CHAR(10) &amp; "- ", TRUE, _xlfn._xlws.FILTER($I$9:$I$1000, ($C$9:$C$1000=C77) * ($H$9:$H$1000="Topic"))), "")</f>
        <v/>
      </c>
      <c r="C77" s="45">
        <f t="shared" si="17"/>
        <v>45</v>
      </c>
      <c r="D77" s="46"/>
      <c r="E77" s="58"/>
      <c r="F77" s="67"/>
      <c r="G77" s="53"/>
      <c r="H77" s="53"/>
      <c r="I77" s="50"/>
      <c r="J77" s="51"/>
      <c r="K77" s="120" t="str">
        <f t="shared" si="18"/>
        <v/>
      </c>
      <c r="L77" s="103" t="str">
        <f t="shared" si="19"/>
        <v/>
      </c>
      <c r="M77" s="53">
        <v>0</v>
      </c>
      <c r="N77" s="102" t="str">
        <f t="shared" si="20"/>
        <v/>
      </c>
      <c r="O77" s="103" t="str">
        <f t="shared" si="21"/>
        <v/>
      </c>
      <c r="P77" s="53">
        <v>0</v>
      </c>
      <c r="Q77" s="102" t="str">
        <f t="shared" si="22"/>
        <v/>
      </c>
      <c r="R77" s="103" t="str">
        <f t="shared" si="23"/>
        <v/>
      </c>
      <c r="S77" s="53">
        <v>0</v>
      </c>
      <c r="T77" s="102" t="str">
        <f t="shared" si="24"/>
        <v/>
      </c>
      <c r="U77" s="103" t="str">
        <f t="shared" si="25"/>
        <v/>
      </c>
      <c r="V77" s="53">
        <v>0</v>
      </c>
      <c r="W77" s="87" t="str">
        <f t="shared" si="26"/>
        <v/>
      </c>
      <c r="X77" s="103" t="str">
        <f t="shared" si="27"/>
        <v/>
      </c>
      <c r="Y77" s="53">
        <v>0</v>
      </c>
      <c r="Z77" s="56" t="str">
        <f t="shared" si="28"/>
        <v/>
      </c>
      <c r="AA77" s="56" t="str">
        <f t="shared" si="29"/>
        <v/>
      </c>
      <c r="AB77" s="56" t="str">
        <f t="shared" si="30"/>
        <v/>
      </c>
      <c r="AC77" s="56" t="str">
        <f t="shared" si="31"/>
        <v/>
      </c>
      <c r="AD77" s="56" t="str">
        <f t="shared" si="32"/>
        <v/>
      </c>
      <c r="AE77" s="40"/>
      <c r="AF77" s="40"/>
      <c r="AG77" s="40"/>
      <c r="AH77" s="56" t="str">
        <f t="shared" ref="AH77:AH140" si="33">IF(AE77=$B$6,AG77,"")</f>
        <v/>
      </c>
      <c r="AI77" s="54"/>
      <c r="AJ77" s="54"/>
      <c r="AK77" s="54"/>
      <c r="AL77" s="54"/>
      <c r="AM77" s="54"/>
    </row>
    <row r="78" spans="1:39">
      <c r="A78" s="95"/>
      <c r="B78" s="45" t="str" cm="1">
        <f t="array" ref="B78">IF(H78="PROJECT", CHAR(10) &amp; "- " &amp; _xlfn.TEXTJOIN(CHAR(10) &amp; "- ", TRUE, _xlfn._xlws.FILTER($I$9:$I$1000, ($C$9:$C$1000=C78) * ($H$9:$H$1000="Topic"))), "")</f>
        <v/>
      </c>
      <c r="C78" s="45">
        <f t="shared" si="17"/>
        <v>46</v>
      </c>
      <c r="D78" s="57"/>
      <c r="E78" s="58"/>
      <c r="F78" s="54"/>
      <c r="G78" s="52"/>
      <c r="H78" s="52"/>
      <c r="I78" s="61"/>
      <c r="J78" s="62"/>
      <c r="K78" s="120" t="str">
        <f t="shared" si="18"/>
        <v/>
      </c>
      <c r="L78" s="103" t="str">
        <f t="shared" si="19"/>
        <v/>
      </c>
      <c r="M78" s="52">
        <v>0</v>
      </c>
      <c r="N78" s="102" t="str">
        <f t="shared" si="20"/>
        <v/>
      </c>
      <c r="O78" s="103" t="str">
        <f t="shared" si="21"/>
        <v/>
      </c>
      <c r="P78" s="52">
        <v>0</v>
      </c>
      <c r="Q78" s="102" t="str">
        <f t="shared" si="22"/>
        <v/>
      </c>
      <c r="R78" s="103" t="str">
        <f t="shared" si="23"/>
        <v/>
      </c>
      <c r="S78" s="52">
        <v>0</v>
      </c>
      <c r="T78" s="102" t="str">
        <f t="shared" si="24"/>
        <v/>
      </c>
      <c r="U78" s="103" t="str">
        <f t="shared" si="25"/>
        <v/>
      </c>
      <c r="V78" s="52">
        <v>0</v>
      </c>
      <c r="W78" s="87" t="str">
        <f t="shared" si="26"/>
        <v/>
      </c>
      <c r="X78" s="103" t="str">
        <f t="shared" si="27"/>
        <v/>
      </c>
      <c r="Y78" s="52">
        <v>0</v>
      </c>
      <c r="Z78" s="56" t="str">
        <f t="shared" si="28"/>
        <v/>
      </c>
      <c r="AA78" s="56" t="str">
        <f t="shared" si="29"/>
        <v/>
      </c>
      <c r="AB78" s="56" t="str">
        <f t="shared" si="30"/>
        <v/>
      </c>
      <c r="AC78" s="56" t="str">
        <f t="shared" si="31"/>
        <v/>
      </c>
      <c r="AD78" s="56" t="str">
        <f t="shared" si="32"/>
        <v/>
      </c>
      <c r="AE78" s="40"/>
      <c r="AF78" s="40"/>
      <c r="AG78" s="40"/>
      <c r="AH78" s="56" t="str">
        <f t="shared" si="33"/>
        <v/>
      </c>
      <c r="AI78" s="54"/>
      <c r="AJ78" s="54"/>
      <c r="AK78" s="54"/>
      <c r="AL78" s="54"/>
      <c r="AM78" s="54"/>
    </row>
    <row r="79" spans="1:39">
      <c r="A79" s="95"/>
      <c r="B79" s="45" t="str" cm="1">
        <f t="array" ref="B79">IF(H79="PROJECT", CHAR(10) &amp; "- " &amp; _xlfn.TEXTJOIN(CHAR(10) &amp; "- ", TRUE, _xlfn._xlws.FILTER($I$9:$I$1000, ($C$9:$C$1000=C79) * ($H$9:$H$1000="Topic"))), "")</f>
        <v/>
      </c>
      <c r="C79" s="45">
        <f t="shared" si="17"/>
        <v>47</v>
      </c>
      <c r="D79" s="46"/>
      <c r="E79" s="58"/>
      <c r="F79" s="67"/>
      <c r="G79" s="53"/>
      <c r="H79" s="53"/>
      <c r="I79" s="50"/>
      <c r="J79" s="51"/>
      <c r="K79" s="120" t="str">
        <f t="shared" si="18"/>
        <v/>
      </c>
      <c r="L79" s="103" t="str">
        <f t="shared" si="19"/>
        <v/>
      </c>
      <c r="M79" s="53">
        <v>0</v>
      </c>
      <c r="N79" s="102" t="str">
        <f t="shared" si="20"/>
        <v/>
      </c>
      <c r="O79" s="103" t="str">
        <f t="shared" si="21"/>
        <v/>
      </c>
      <c r="P79" s="53">
        <v>0</v>
      </c>
      <c r="Q79" s="102" t="str">
        <f t="shared" si="22"/>
        <v/>
      </c>
      <c r="R79" s="103" t="str">
        <f t="shared" si="23"/>
        <v/>
      </c>
      <c r="S79" s="53">
        <v>0</v>
      </c>
      <c r="T79" s="102" t="str">
        <f t="shared" si="24"/>
        <v/>
      </c>
      <c r="U79" s="103" t="str">
        <f t="shared" si="25"/>
        <v/>
      </c>
      <c r="V79" s="53">
        <v>0</v>
      </c>
      <c r="W79" s="87" t="str">
        <f t="shared" si="26"/>
        <v/>
      </c>
      <c r="X79" s="103" t="str">
        <f t="shared" si="27"/>
        <v/>
      </c>
      <c r="Y79" s="53">
        <v>0</v>
      </c>
      <c r="Z79" s="56" t="str">
        <f t="shared" si="28"/>
        <v/>
      </c>
      <c r="AA79" s="56" t="str">
        <f t="shared" si="29"/>
        <v/>
      </c>
      <c r="AB79" s="56" t="str">
        <f t="shared" si="30"/>
        <v/>
      </c>
      <c r="AC79" s="56" t="str">
        <f t="shared" si="31"/>
        <v/>
      </c>
      <c r="AD79" s="56" t="str">
        <f t="shared" si="32"/>
        <v/>
      </c>
      <c r="AE79" s="40"/>
      <c r="AF79" s="40"/>
      <c r="AG79" s="40"/>
      <c r="AH79" s="56" t="str">
        <f t="shared" si="33"/>
        <v/>
      </c>
      <c r="AI79" s="54"/>
      <c r="AJ79" s="54"/>
      <c r="AK79" s="54"/>
      <c r="AL79" s="54"/>
      <c r="AM79" s="54"/>
    </row>
    <row r="80" spans="1:39">
      <c r="A80" s="95"/>
      <c r="B80" s="45" t="str" cm="1">
        <f t="array" ref="B80">IF(H80="PROJECT", CHAR(10) &amp; "- " &amp; _xlfn.TEXTJOIN(CHAR(10) &amp; "- ", TRUE, _xlfn._xlws.FILTER($I$9:$I$1000, ($C$9:$C$1000=C80) * ($H$9:$H$1000="Topic"))), "")</f>
        <v/>
      </c>
      <c r="C80" s="45">
        <f t="shared" si="17"/>
        <v>48</v>
      </c>
      <c r="D80" s="57"/>
      <c r="E80" s="58"/>
      <c r="F80" s="54"/>
      <c r="G80" s="52"/>
      <c r="H80" s="60"/>
      <c r="I80" s="61"/>
      <c r="J80" s="62"/>
      <c r="K80" s="120" t="str">
        <f t="shared" si="18"/>
        <v/>
      </c>
      <c r="L80" s="103" t="str">
        <f t="shared" si="19"/>
        <v/>
      </c>
      <c r="M80" s="52">
        <v>0</v>
      </c>
      <c r="N80" s="102" t="str">
        <f t="shared" si="20"/>
        <v/>
      </c>
      <c r="O80" s="103" t="str">
        <f t="shared" si="21"/>
        <v/>
      </c>
      <c r="P80" s="52">
        <v>0</v>
      </c>
      <c r="Q80" s="102" t="str">
        <f t="shared" si="22"/>
        <v/>
      </c>
      <c r="R80" s="103" t="str">
        <f t="shared" si="23"/>
        <v/>
      </c>
      <c r="S80" s="52">
        <v>0</v>
      </c>
      <c r="T80" s="102" t="str">
        <f t="shared" si="24"/>
        <v/>
      </c>
      <c r="U80" s="103" t="str">
        <f t="shared" si="25"/>
        <v/>
      </c>
      <c r="V80" s="52">
        <v>0</v>
      </c>
      <c r="W80" s="87" t="str">
        <f t="shared" si="26"/>
        <v/>
      </c>
      <c r="X80" s="103" t="str">
        <f t="shared" si="27"/>
        <v/>
      </c>
      <c r="Y80" s="52">
        <v>0</v>
      </c>
      <c r="Z80" s="56" t="str">
        <f t="shared" si="28"/>
        <v/>
      </c>
      <c r="AA80" s="56" t="str">
        <f t="shared" si="29"/>
        <v/>
      </c>
      <c r="AB80" s="56" t="str">
        <f t="shared" si="30"/>
        <v/>
      </c>
      <c r="AC80" s="56" t="str">
        <f t="shared" si="31"/>
        <v/>
      </c>
      <c r="AD80" s="56" t="str">
        <f t="shared" si="32"/>
        <v/>
      </c>
      <c r="AE80" s="40"/>
      <c r="AF80" s="40"/>
      <c r="AG80" s="40"/>
      <c r="AH80" s="56" t="str">
        <f t="shared" si="33"/>
        <v/>
      </c>
      <c r="AI80" s="54"/>
      <c r="AJ80" s="54"/>
      <c r="AK80" s="54"/>
      <c r="AL80" s="54"/>
      <c r="AM80" s="54"/>
    </row>
    <row r="81" spans="1:39">
      <c r="A81" s="95"/>
      <c r="B81" s="45" t="str" cm="1">
        <f t="array" ref="B81">IF(H81="PROJECT", CHAR(10) &amp; "- " &amp; _xlfn.TEXTJOIN(CHAR(10) &amp; "- ", TRUE, _xlfn._xlws.FILTER($I$9:$I$1000, ($C$9:$C$1000=C81) * ($H$9:$H$1000="Topic"))), "")</f>
        <v/>
      </c>
      <c r="C81" s="45">
        <f t="shared" si="17"/>
        <v>49</v>
      </c>
      <c r="D81" s="46"/>
      <c r="E81" s="58"/>
      <c r="F81" s="67"/>
      <c r="G81" s="53"/>
      <c r="H81" s="53"/>
      <c r="I81" s="50"/>
      <c r="J81" s="51"/>
      <c r="K81" s="120" t="str">
        <f t="shared" si="18"/>
        <v/>
      </c>
      <c r="L81" s="103" t="str">
        <f t="shared" si="19"/>
        <v/>
      </c>
      <c r="M81" s="53">
        <v>0</v>
      </c>
      <c r="N81" s="102" t="str">
        <f t="shared" si="20"/>
        <v/>
      </c>
      <c r="O81" s="103" t="str">
        <f t="shared" si="21"/>
        <v/>
      </c>
      <c r="P81" s="53">
        <v>0</v>
      </c>
      <c r="Q81" s="102" t="str">
        <f t="shared" si="22"/>
        <v/>
      </c>
      <c r="R81" s="103" t="str">
        <f t="shared" si="23"/>
        <v/>
      </c>
      <c r="S81" s="53">
        <v>0</v>
      </c>
      <c r="T81" s="102" t="str">
        <f t="shared" si="24"/>
        <v/>
      </c>
      <c r="U81" s="103" t="str">
        <f t="shared" si="25"/>
        <v/>
      </c>
      <c r="V81" s="53">
        <v>0</v>
      </c>
      <c r="W81" s="87" t="str">
        <f t="shared" si="26"/>
        <v/>
      </c>
      <c r="X81" s="103" t="str">
        <f t="shared" si="27"/>
        <v/>
      </c>
      <c r="Y81" s="53">
        <v>0</v>
      </c>
      <c r="Z81" s="56" t="str">
        <f t="shared" si="28"/>
        <v/>
      </c>
      <c r="AA81" s="56" t="str">
        <f t="shared" si="29"/>
        <v/>
      </c>
      <c r="AB81" s="56" t="str">
        <f t="shared" si="30"/>
        <v/>
      </c>
      <c r="AC81" s="56" t="str">
        <f t="shared" si="31"/>
        <v/>
      </c>
      <c r="AD81" s="56" t="str">
        <f t="shared" si="32"/>
        <v/>
      </c>
      <c r="AE81" s="40"/>
      <c r="AF81" s="40"/>
      <c r="AG81" s="40"/>
      <c r="AH81" s="56" t="str">
        <f t="shared" si="33"/>
        <v/>
      </c>
      <c r="AI81" s="54"/>
      <c r="AJ81" s="54"/>
      <c r="AK81" s="54"/>
      <c r="AL81" s="54"/>
      <c r="AM81" s="54"/>
    </row>
    <row r="82" spans="1:39">
      <c r="A82" s="95"/>
      <c r="B82" s="45" t="str" cm="1">
        <f t="array" ref="B82">IF(H82="PROJECT", CHAR(10) &amp; "- " &amp; _xlfn.TEXTJOIN(CHAR(10) &amp; "- ", TRUE, _xlfn._xlws.FILTER($I$9:$I$1000, ($C$9:$C$1000=C82) * ($H$9:$H$1000="Topic"))), "")</f>
        <v/>
      </c>
      <c r="C82" s="45">
        <f t="shared" si="17"/>
        <v>50</v>
      </c>
      <c r="D82" s="57"/>
      <c r="E82" s="58"/>
      <c r="F82" s="54"/>
      <c r="G82" s="52"/>
      <c r="H82" s="52"/>
      <c r="I82" s="61"/>
      <c r="J82" s="62"/>
      <c r="K82" s="120" t="str">
        <f t="shared" si="18"/>
        <v/>
      </c>
      <c r="L82" s="103" t="str">
        <f t="shared" si="19"/>
        <v/>
      </c>
      <c r="M82" s="52">
        <v>0</v>
      </c>
      <c r="N82" s="102" t="str">
        <f t="shared" si="20"/>
        <v/>
      </c>
      <c r="O82" s="103" t="str">
        <f t="shared" si="21"/>
        <v/>
      </c>
      <c r="P82" s="52">
        <v>0</v>
      </c>
      <c r="Q82" s="102" t="str">
        <f t="shared" si="22"/>
        <v/>
      </c>
      <c r="R82" s="103" t="str">
        <f t="shared" si="23"/>
        <v/>
      </c>
      <c r="S82" s="52">
        <v>0</v>
      </c>
      <c r="T82" s="102" t="str">
        <f t="shared" si="24"/>
        <v/>
      </c>
      <c r="U82" s="103" t="str">
        <f t="shared" si="25"/>
        <v/>
      </c>
      <c r="V82" s="52">
        <v>0</v>
      </c>
      <c r="W82" s="87" t="str">
        <f t="shared" si="26"/>
        <v/>
      </c>
      <c r="X82" s="103" t="str">
        <f t="shared" si="27"/>
        <v/>
      </c>
      <c r="Y82" s="52">
        <v>0</v>
      </c>
      <c r="Z82" s="56" t="str">
        <f t="shared" si="28"/>
        <v/>
      </c>
      <c r="AA82" s="56" t="str">
        <f t="shared" si="29"/>
        <v/>
      </c>
      <c r="AB82" s="56" t="str">
        <f t="shared" si="30"/>
        <v/>
      </c>
      <c r="AC82" s="56" t="str">
        <f t="shared" si="31"/>
        <v/>
      </c>
      <c r="AD82" s="56" t="str">
        <f t="shared" si="32"/>
        <v/>
      </c>
      <c r="AE82" s="40"/>
      <c r="AF82" s="40"/>
      <c r="AG82" s="40"/>
      <c r="AH82" s="56" t="str">
        <f t="shared" si="33"/>
        <v/>
      </c>
      <c r="AI82" s="54"/>
      <c r="AJ82" s="54"/>
      <c r="AK82" s="54"/>
      <c r="AL82" s="54"/>
      <c r="AM82" s="54"/>
    </row>
    <row r="83" spans="1:39">
      <c r="A83" s="95"/>
      <c r="B83" s="45" t="str" cm="1">
        <f t="array" ref="B83">IF(H83="PROJECT", CHAR(10) &amp; "- " &amp; _xlfn.TEXTJOIN(CHAR(10) &amp; "- ", TRUE, _xlfn._xlws.FILTER($I$9:$I$1000, ($C$9:$C$1000=C83) * ($H$9:$H$1000="Topic"))), "")</f>
        <v/>
      </c>
      <c r="C83" s="45">
        <f t="shared" si="17"/>
        <v>51</v>
      </c>
      <c r="D83" s="46"/>
      <c r="E83" s="58"/>
      <c r="F83" s="67"/>
      <c r="G83" s="53"/>
      <c r="H83" s="53"/>
      <c r="I83" s="50"/>
      <c r="J83" s="51"/>
      <c r="K83" s="120" t="str">
        <f t="shared" si="18"/>
        <v/>
      </c>
      <c r="L83" s="103" t="str">
        <f t="shared" si="19"/>
        <v/>
      </c>
      <c r="M83" s="53">
        <v>0</v>
      </c>
      <c r="N83" s="102" t="str">
        <f t="shared" si="20"/>
        <v/>
      </c>
      <c r="O83" s="103" t="str">
        <f t="shared" si="21"/>
        <v/>
      </c>
      <c r="P83" s="53">
        <v>0</v>
      </c>
      <c r="Q83" s="102" t="str">
        <f t="shared" si="22"/>
        <v/>
      </c>
      <c r="R83" s="103" t="str">
        <f t="shared" si="23"/>
        <v/>
      </c>
      <c r="S83" s="53">
        <v>0</v>
      </c>
      <c r="T83" s="102" t="str">
        <f t="shared" si="24"/>
        <v/>
      </c>
      <c r="U83" s="103" t="str">
        <f t="shared" si="25"/>
        <v/>
      </c>
      <c r="V83" s="53">
        <v>0</v>
      </c>
      <c r="W83" s="87" t="str">
        <f t="shared" si="26"/>
        <v/>
      </c>
      <c r="X83" s="103" t="str">
        <f t="shared" si="27"/>
        <v/>
      </c>
      <c r="Y83" s="53">
        <v>0</v>
      </c>
      <c r="Z83" s="56" t="str">
        <f t="shared" si="28"/>
        <v/>
      </c>
      <c r="AA83" s="56" t="str">
        <f t="shared" si="29"/>
        <v/>
      </c>
      <c r="AB83" s="56" t="str">
        <f t="shared" si="30"/>
        <v/>
      </c>
      <c r="AC83" s="56" t="str">
        <f t="shared" si="31"/>
        <v/>
      </c>
      <c r="AD83" s="56" t="str">
        <f t="shared" si="32"/>
        <v/>
      </c>
      <c r="AE83" s="40"/>
      <c r="AF83" s="40"/>
      <c r="AG83" s="40"/>
      <c r="AH83" s="56" t="str">
        <f t="shared" si="33"/>
        <v/>
      </c>
      <c r="AI83" s="54"/>
      <c r="AJ83" s="54"/>
      <c r="AK83" s="54"/>
      <c r="AL83" s="54"/>
      <c r="AM83" s="54"/>
    </row>
    <row r="84" spans="1:39">
      <c r="A84" s="95"/>
      <c r="B84" s="45" t="str" cm="1">
        <f t="array" ref="B84">IF(H84="PROJECT", CHAR(10) &amp; "- " &amp; _xlfn.TEXTJOIN(CHAR(10) &amp; "- ", TRUE, _xlfn._xlws.FILTER($I$9:$I$1000, ($C$9:$C$1000=C84) * ($H$9:$H$1000="Topic"))), "")</f>
        <v/>
      </c>
      <c r="C84" s="45">
        <f t="shared" si="17"/>
        <v>52</v>
      </c>
      <c r="D84" s="57"/>
      <c r="E84" s="58"/>
      <c r="F84" s="54"/>
      <c r="G84" s="52"/>
      <c r="H84" s="52"/>
      <c r="I84" s="61"/>
      <c r="J84" s="62"/>
      <c r="K84" s="120" t="str">
        <f t="shared" si="18"/>
        <v/>
      </c>
      <c r="L84" s="103" t="str">
        <f t="shared" si="19"/>
        <v/>
      </c>
      <c r="M84" s="52">
        <v>0</v>
      </c>
      <c r="N84" s="102" t="str">
        <f t="shared" si="20"/>
        <v/>
      </c>
      <c r="O84" s="103" t="str">
        <f t="shared" si="21"/>
        <v/>
      </c>
      <c r="P84" s="52">
        <v>0</v>
      </c>
      <c r="Q84" s="102" t="str">
        <f t="shared" si="22"/>
        <v/>
      </c>
      <c r="R84" s="103" t="str">
        <f t="shared" si="23"/>
        <v/>
      </c>
      <c r="S84" s="52">
        <v>0</v>
      </c>
      <c r="T84" s="102" t="str">
        <f t="shared" si="24"/>
        <v/>
      </c>
      <c r="U84" s="103" t="str">
        <f t="shared" si="25"/>
        <v/>
      </c>
      <c r="V84" s="52">
        <v>0</v>
      </c>
      <c r="W84" s="87" t="str">
        <f t="shared" si="26"/>
        <v/>
      </c>
      <c r="X84" s="103" t="str">
        <f t="shared" si="27"/>
        <v/>
      </c>
      <c r="Y84" s="52">
        <v>0</v>
      </c>
      <c r="Z84" s="56" t="str">
        <f t="shared" si="28"/>
        <v/>
      </c>
      <c r="AA84" s="56" t="str">
        <f t="shared" si="29"/>
        <v/>
      </c>
      <c r="AB84" s="56" t="str">
        <f t="shared" si="30"/>
        <v/>
      </c>
      <c r="AC84" s="56" t="str">
        <f t="shared" si="31"/>
        <v/>
      </c>
      <c r="AD84" s="56" t="str">
        <f t="shared" si="32"/>
        <v/>
      </c>
      <c r="AE84" s="40"/>
      <c r="AF84" s="40"/>
      <c r="AG84" s="40"/>
      <c r="AH84" s="56" t="str">
        <f t="shared" si="33"/>
        <v/>
      </c>
      <c r="AI84" s="54"/>
      <c r="AJ84" s="54"/>
      <c r="AK84" s="54"/>
      <c r="AL84" s="54"/>
      <c r="AM84" s="54"/>
    </row>
    <row r="85" spans="1:39">
      <c r="A85" s="95"/>
      <c r="B85" s="45" t="str" cm="1">
        <f t="array" ref="B85">IF(H85="PROJECT", CHAR(10) &amp; "- " &amp; _xlfn.TEXTJOIN(CHAR(10) &amp; "- ", TRUE, _xlfn._xlws.FILTER($I$9:$I$1000, ($C$9:$C$1000=C85) * ($H$9:$H$1000="Topic"))), "")</f>
        <v/>
      </c>
      <c r="C85" s="45">
        <f t="shared" si="17"/>
        <v>53</v>
      </c>
      <c r="D85" s="46"/>
      <c r="E85" s="58"/>
      <c r="F85" s="67"/>
      <c r="G85" s="53"/>
      <c r="H85" s="53"/>
      <c r="I85" s="50"/>
      <c r="J85" s="51"/>
      <c r="K85" s="120" t="str">
        <f t="shared" si="18"/>
        <v/>
      </c>
      <c r="L85" s="103" t="str">
        <f t="shared" si="19"/>
        <v/>
      </c>
      <c r="M85" s="53">
        <v>0</v>
      </c>
      <c r="N85" s="102" t="str">
        <f t="shared" si="20"/>
        <v/>
      </c>
      <c r="O85" s="103" t="str">
        <f t="shared" si="21"/>
        <v/>
      </c>
      <c r="P85" s="53">
        <v>0</v>
      </c>
      <c r="Q85" s="102" t="str">
        <f t="shared" si="22"/>
        <v/>
      </c>
      <c r="R85" s="103" t="str">
        <f t="shared" si="23"/>
        <v/>
      </c>
      <c r="S85" s="53">
        <v>0</v>
      </c>
      <c r="T85" s="102" t="str">
        <f t="shared" si="24"/>
        <v/>
      </c>
      <c r="U85" s="103" t="str">
        <f t="shared" si="25"/>
        <v/>
      </c>
      <c r="V85" s="53">
        <v>0</v>
      </c>
      <c r="W85" s="87" t="str">
        <f t="shared" si="26"/>
        <v/>
      </c>
      <c r="X85" s="103" t="str">
        <f t="shared" si="27"/>
        <v/>
      </c>
      <c r="Y85" s="53">
        <v>0</v>
      </c>
      <c r="Z85" s="56" t="str">
        <f t="shared" si="28"/>
        <v/>
      </c>
      <c r="AA85" s="56" t="str">
        <f t="shared" si="29"/>
        <v/>
      </c>
      <c r="AB85" s="56" t="str">
        <f t="shared" si="30"/>
        <v/>
      </c>
      <c r="AC85" s="56" t="str">
        <f t="shared" si="31"/>
        <v/>
      </c>
      <c r="AD85" s="56" t="str">
        <f t="shared" si="32"/>
        <v/>
      </c>
      <c r="AE85" s="40"/>
      <c r="AF85" s="40"/>
      <c r="AG85" s="40"/>
      <c r="AH85" s="56" t="str">
        <f t="shared" si="33"/>
        <v/>
      </c>
      <c r="AI85" s="54"/>
      <c r="AJ85" s="54"/>
      <c r="AK85" s="54"/>
      <c r="AL85" s="54"/>
      <c r="AM85" s="54"/>
    </row>
    <row r="86" spans="1:39">
      <c r="A86" s="95"/>
      <c r="B86" s="45" t="str" cm="1">
        <f t="array" ref="B86">IF(H86="PROJECT", CHAR(10) &amp; "- " &amp; _xlfn.TEXTJOIN(CHAR(10) &amp; "- ", TRUE, _xlfn._xlws.FILTER($I$9:$I$1000, ($C$9:$C$1000=C86) * ($H$9:$H$1000="Topic"))), "")</f>
        <v/>
      </c>
      <c r="C86" s="45">
        <f t="shared" si="17"/>
        <v>54</v>
      </c>
      <c r="D86" s="57"/>
      <c r="E86" s="58"/>
      <c r="F86" s="54"/>
      <c r="G86" s="52"/>
      <c r="H86" s="52"/>
      <c r="I86" s="61"/>
      <c r="J86" s="62"/>
      <c r="K86" s="120" t="str">
        <f t="shared" si="18"/>
        <v/>
      </c>
      <c r="L86" s="103" t="str">
        <f t="shared" si="19"/>
        <v/>
      </c>
      <c r="M86" s="52">
        <v>0</v>
      </c>
      <c r="N86" s="102" t="str">
        <f t="shared" si="20"/>
        <v/>
      </c>
      <c r="O86" s="103" t="str">
        <f t="shared" si="21"/>
        <v/>
      </c>
      <c r="P86" s="52">
        <v>0</v>
      </c>
      <c r="Q86" s="102" t="str">
        <f t="shared" si="22"/>
        <v/>
      </c>
      <c r="R86" s="103" t="str">
        <f t="shared" si="23"/>
        <v/>
      </c>
      <c r="S86" s="52">
        <v>0</v>
      </c>
      <c r="T86" s="102" t="str">
        <f t="shared" si="24"/>
        <v/>
      </c>
      <c r="U86" s="103" t="str">
        <f t="shared" si="25"/>
        <v/>
      </c>
      <c r="V86" s="52">
        <v>0</v>
      </c>
      <c r="W86" s="87" t="str">
        <f t="shared" si="26"/>
        <v/>
      </c>
      <c r="X86" s="103" t="str">
        <f t="shared" si="27"/>
        <v/>
      </c>
      <c r="Y86" s="52">
        <v>0</v>
      </c>
      <c r="Z86" s="56" t="str">
        <f t="shared" si="28"/>
        <v/>
      </c>
      <c r="AA86" s="56" t="str">
        <f t="shared" si="29"/>
        <v/>
      </c>
      <c r="AB86" s="56" t="str">
        <f t="shared" si="30"/>
        <v/>
      </c>
      <c r="AC86" s="56" t="str">
        <f t="shared" si="31"/>
        <v/>
      </c>
      <c r="AD86" s="56" t="str">
        <f t="shared" si="32"/>
        <v/>
      </c>
      <c r="AE86" s="40"/>
      <c r="AF86" s="40"/>
      <c r="AG86" s="40"/>
      <c r="AH86" s="56" t="str">
        <f t="shared" si="33"/>
        <v/>
      </c>
      <c r="AI86" s="54"/>
      <c r="AJ86" s="54"/>
      <c r="AK86" s="54"/>
      <c r="AL86" s="54"/>
      <c r="AM86" s="54"/>
    </row>
    <row r="87" spans="1:39">
      <c r="A87" s="95"/>
      <c r="B87" s="45" t="str" cm="1">
        <f t="array" ref="B87">IF(H87="PROJECT", CHAR(10) &amp; "- " &amp; _xlfn.TEXTJOIN(CHAR(10) &amp; "- ", TRUE, _xlfn._xlws.FILTER($I$9:$I$1000, ($C$9:$C$1000=C87) * ($H$9:$H$1000="Topic"))), "")</f>
        <v/>
      </c>
      <c r="C87" s="45">
        <f t="shared" si="17"/>
        <v>55</v>
      </c>
      <c r="D87" s="46"/>
      <c r="E87" s="58"/>
      <c r="F87" s="67"/>
      <c r="G87" s="53"/>
      <c r="H87" s="53"/>
      <c r="I87" s="50"/>
      <c r="J87" s="51"/>
      <c r="K87" s="120" t="str">
        <f t="shared" si="18"/>
        <v/>
      </c>
      <c r="L87" s="103" t="str">
        <f t="shared" si="19"/>
        <v/>
      </c>
      <c r="M87" s="53">
        <v>0</v>
      </c>
      <c r="N87" s="102" t="str">
        <f t="shared" si="20"/>
        <v/>
      </c>
      <c r="O87" s="103" t="str">
        <f t="shared" si="21"/>
        <v/>
      </c>
      <c r="P87" s="53">
        <v>0</v>
      </c>
      <c r="Q87" s="102" t="str">
        <f t="shared" si="22"/>
        <v/>
      </c>
      <c r="R87" s="103" t="str">
        <f t="shared" si="23"/>
        <v/>
      </c>
      <c r="S87" s="53">
        <v>0</v>
      </c>
      <c r="T87" s="102" t="str">
        <f t="shared" si="24"/>
        <v/>
      </c>
      <c r="U87" s="103" t="str">
        <f t="shared" si="25"/>
        <v/>
      </c>
      <c r="V87" s="53">
        <v>0</v>
      </c>
      <c r="W87" s="87" t="str">
        <f t="shared" si="26"/>
        <v/>
      </c>
      <c r="X87" s="103" t="str">
        <f t="shared" si="27"/>
        <v/>
      </c>
      <c r="Y87" s="53">
        <v>0</v>
      </c>
      <c r="Z87" s="56" t="str">
        <f t="shared" si="28"/>
        <v/>
      </c>
      <c r="AA87" s="56" t="str">
        <f t="shared" si="29"/>
        <v/>
      </c>
      <c r="AB87" s="56" t="str">
        <f t="shared" si="30"/>
        <v/>
      </c>
      <c r="AC87" s="56" t="str">
        <f t="shared" si="31"/>
        <v/>
      </c>
      <c r="AD87" s="56" t="str">
        <f t="shared" si="32"/>
        <v/>
      </c>
      <c r="AE87" s="40"/>
      <c r="AF87" s="40"/>
      <c r="AG87" s="40"/>
      <c r="AH87" s="56" t="str">
        <f t="shared" si="33"/>
        <v/>
      </c>
      <c r="AI87" s="54"/>
      <c r="AJ87" s="54"/>
      <c r="AK87" s="54"/>
      <c r="AL87" s="54"/>
      <c r="AM87" s="54"/>
    </row>
    <row r="88" spans="1:39">
      <c r="A88" s="95"/>
      <c r="B88" s="45" t="str" cm="1">
        <f t="array" ref="B88">IF(H88="PROJECT", CHAR(10) &amp; "- " &amp; _xlfn.TEXTJOIN(CHAR(10) &amp; "- ", TRUE, _xlfn._xlws.FILTER($I$9:$I$1000, ($C$9:$C$1000=C88) * ($H$9:$H$1000="Topic"))), "")</f>
        <v/>
      </c>
      <c r="C88" s="45">
        <f t="shared" si="17"/>
        <v>56</v>
      </c>
      <c r="D88" s="57"/>
      <c r="E88" s="58"/>
      <c r="F88" s="54"/>
      <c r="G88" s="52"/>
      <c r="H88" s="52"/>
      <c r="I88" s="61"/>
      <c r="J88" s="62"/>
      <c r="K88" s="120" t="str">
        <f t="shared" si="18"/>
        <v/>
      </c>
      <c r="L88" s="103" t="str">
        <f t="shared" si="19"/>
        <v/>
      </c>
      <c r="M88" s="52">
        <v>0</v>
      </c>
      <c r="N88" s="102" t="str">
        <f t="shared" si="20"/>
        <v/>
      </c>
      <c r="O88" s="103" t="str">
        <f t="shared" si="21"/>
        <v/>
      </c>
      <c r="P88" s="52">
        <v>0</v>
      </c>
      <c r="Q88" s="102" t="str">
        <f t="shared" si="22"/>
        <v/>
      </c>
      <c r="R88" s="103" t="str">
        <f t="shared" si="23"/>
        <v/>
      </c>
      <c r="S88" s="52">
        <v>0</v>
      </c>
      <c r="T88" s="102" t="str">
        <f t="shared" si="24"/>
        <v/>
      </c>
      <c r="U88" s="103" t="str">
        <f t="shared" si="25"/>
        <v/>
      </c>
      <c r="V88" s="52">
        <v>0</v>
      </c>
      <c r="W88" s="87" t="str">
        <f t="shared" si="26"/>
        <v/>
      </c>
      <c r="X88" s="103" t="str">
        <f t="shared" si="27"/>
        <v/>
      </c>
      <c r="Y88" s="52">
        <v>0</v>
      </c>
      <c r="Z88" s="56" t="str">
        <f t="shared" si="28"/>
        <v/>
      </c>
      <c r="AA88" s="56" t="str">
        <f t="shared" si="29"/>
        <v/>
      </c>
      <c r="AB88" s="56" t="str">
        <f t="shared" si="30"/>
        <v/>
      </c>
      <c r="AC88" s="56" t="str">
        <f t="shared" si="31"/>
        <v/>
      </c>
      <c r="AD88" s="56" t="str">
        <f t="shared" si="32"/>
        <v/>
      </c>
      <c r="AE88" s="40"/>
      <c r="AF88" s="40"/>
      <c r="AG88" s="40"/>
      <c r="AH88" s="56" t="str">
        <f t="shared" si="33"/>
        <v/>
      </c>
      <c r="AI88" s="54"/>
      <c r="AJ88" s="54"/>
      <c r="AK88" s="54"/>
      <c r="AL88" s="54"/>
      <c r="AM88" s="54"/>
    </row>
    <row r="89" spans="1:39">
      <c r="A89" s="95"/>
      <c r="B89" s="45" t="str" cm="1">
        <f t="array" ref="B89">IF(H89="PROJECT", CHAR(10) &amp; "- " &amp; _xlfn.TEXTJOIN(CHAR(10) &amp; "- ", TRUE, _xlfn._xlws.FILTER($I$9:$I$1000, ($C$9:$C$1000=C89) * ($H$9:$H$1000="Topic"))), "")</f>
        <v/>
      </c>
      <c r="C89" s="45">
        <f t="shared" si="17"/>
        <v>57</v>
      </c>
      <c r="D89" s="46"/>
      <c r="E89" s="58"/>
      <c r="F89" s="67"/>
      <c r="G89" s="53"/>
      <c r="H89" s="53"/>
      <c r="I89" s="50"/>
      <c r="J89" s="51"/>
      <c r="K89" s="120" t="str">
        <f t="shared" si="18"/>
        <v/>
      </c>
      <c r="L89" s="103" t="str">
        <f t="shared" si="19"/>
        <v/>
      </c>
      <c r="M89" s="53">
        <v>0</v>
      </c>
      <c r="N89" s="102" t="str">
        <f t="shared" si="20"/>
        <v/>
      </c>
      <c r="O89" s="103" t="str">
        <f t="shared" si="21"/>
        <v/>
      </c>
      <c r="P89" s="53">
        <v>0</v>
      </c>
      <c r="Q89" s="102" t="str">
        <f t="shared" si="22"/>
        <v/>
      </c>
      <c r="R89" s="103" t="str">
        <f t="shared" si="23"/>
        <v/>
      </c>
      <c r="S89" s="53">
        <v>0</v>
      </c>
      <c r="T89" s="102" t="str">
        <f t="shared" si="24"/>
        <v/>
      </c>
      <c r="U89" s="103" t="str">
        <f t="shared" si="25"/>
        <v/>
      </c>
      <c r="V89" s="53">
        <v>0</v>
      </c>
      <c r="W89" s="87" t="str">
        <f t="shared" si="26"/>
        <v/>
      </c>
      <c r="X89" s="103" t="str">
        <f t="shared" si="27"/>
        <v/>
      </c>
      <c r="Y89" s="53">
        <v>0</v>
      </c>
      <c r="Z89" s="56" t="str">
        <f t="shared" si="28"/>
        <v/>
      </c>
      <c r="AA89" s="56" t="str">
        <f t="shared" si="29"/>
        <v/>
      </c>
      <c r="AB89" s="56" t="str">
        <f t="shared" si="30"/>
        <v/>
      </c>
      <c r="AC89" s="56" t="str">
        <f t="shared" si="31"/>
        <v/>
      </c>
      <c r="AD89" s="56" t="str">
        <f t="shared" si="32"/>
        <v/>
      </c>
      <c r="AE89" s="40"/>
      <c r="AF89" s="40"/>
      <c r="AG89" s="40"/>
      <c r="AH89" s="56" t="str">
        <f t="shared" si="33"/>
        <v/>
      </c>
      <c r="AI89" s="54"/>
      <c r="AJ89" s="54"/>
      <c r="AK89" s="54"/>
      <c r="AL89" s="54"/>
      <c r="AM89" s="54"/>
    </row>
    <row r="90" spans="1:39">
      <c r="A90" s="95"/>
      <c r="B90" s="45" t="str" cm="1">
        <f t="array" ref="B90">IF(H90="PROJECT", CHAR(10) &amp; "- " &amp; _xlfn.TEXTJOIN(CHAR(10) &amp; "- ", TRUE, _xlfn._xlws.FILTER($I$9:$I$1000, ($C$9:$C$1000=C90) * ($H$9:$H$1000="Topic"))), "")</f>
        <v/>
      </c>
      <c r="C90" s="45">
        <f t="shared" si="17"/>
        <v>58</v>
      </c>
      <c r="D90" s="57"/>
      <c r="E90" s="58"/>
      <c r="F90" s="54"/>
      <c r="G90" s="52"/>
      <c r="H90" s="52"/>
      <c r="I90" s="61"/>
      <c r="J90" s="62"/>
      <c r="K90" s="120" t="str">
        <f t="shared" si="18"/>
        <v/>
      </c>
      <c r="L90" s="103" t="str">
        <f t="shared" si="19"/>
        <v/>
      </c>
      <c r="M90" s="52">
        <v>0</v>
      </c>
      <c r="N90" s="102" t="str">
        <f t="shared" si="20"/>
        <v/>
      </c>
      <c r="O90" s="103" t="str">
        <f t="shared" si="21"/>
        <v/>
      </c>
      <c r="P90" s="52">
        <v>0</v>
      </c>
      <c r="Q90" s="102" t="str">
        <f t="shared" si="22"/>
        <v/>
      </c>
      <c r="R90" s="103" t="str">
        <f t="shared" si="23"/>
        <v/>
      </c>
      <c r="S90" s="52">
        <v>0</v>
      </c>
      <c r="T90" s="102" t="str">
        <f t="shared" si="24"/>
        <v/>
      </c>
      <c r="U90" s="103" t="str">
        <f t="shared" si="25"/>
        <v/>
      </c>
      <c r="V90" s="52">
        <v>0</v>
      </c>
      <c r="W90" s="87" t="str">
        <f t="shared" si="26"/>
        <v/>
      </c>
      <c r="X90" s="103" t="str">
        <f t="shared" si="27"/>
        <v/>
      </c>
      <c r="Y90" s="52">
        <v>0</v>
      </c>
      <c r="Z90" s="56" t="str">
        <f t="shared" si="28"/>
        <v/>
      </c>
      <c r="AA90" s="56" t="str">
        <f t="shared" si="29"/>
        <v/>
      </c>
      <c r="AB90" s="56" t="str">
        <f t="shared" si="30"/>
        <v/>
      </c>
      <c r="AC90" s="56" t="str">
        <f t="shared" si="31"/>
        <v/>
      </c>
      <c r="AD90" s="56" t="str">
        <f t="shared" si="32"/>
        <v/>
      </c>
      <c r="AE90" s="40"/>
      <c r="AF90" s="40"/>
      <c r="AG90" s="40"/>
      <c r="AH90" s="56" t="str">
        <f t="shared" si="33"/>
        <v/>
      </c>
      <c r="AI90" s="54"/>
      <c r="AJ90" s="54"/>
      <c r="AK90" s="54"/>
      <c r="AL90" s="54"/>
      <c r="AM90" s="54"/>
    </row>
    <row r="91" spans="1:39">
      <c r="A91" s="95"/>
      <c r="B91" s="45" t="str" cm="1">
        <f t="array" ref="B91">IF(H91="PROJECT", CHAR(10) &amp; "- " &amp; _xlfn.TEXTJOIN(CHAR(10) &amp; "- ", TRUE, _xlfn._xlws.FILTER($I$9:$I$1000, ($C$9:$C$1000=C91) * ($H$9:$H$1000="Topic"))), "")</f>
        <v/>
      </c>
      <c r="C91" s="45">
        <f t="shared" si="17"/>
        <v>59</v>
      </c>
      <c r="D91" s="46"/>
      <c r="E91" s="58"/>
      <c r="F91" s="67"/>
      <c r="G91" s="53"/>
      <c r="H91" s="53"/>
      <c r="I91" s="50"/>
      <c r="J91" s="51"/>
      <c r="K91" s="120" t="str">
        <f t="shared" si="18"/>
        <v/>
      </c>
      <c r="L91" s="103" t="str">
        <f t="shared" si="19"/>
        <v/>
      </c>
      <c r="M91" s="53">
        <v>0</v>
      </c>
      <c r="N91" s="102" t="str">
        <f t="shared" si="20"/>
        <v/>
      </c>
      <c r="O91" s="103" t="str">
        <f t="shared" si="21"/>
        <v/>
      </c>
      <c r="P91" s="53">
        <v>0</v>
      </c>
      <c r="Q91" s="102" t="str">
        <f t="shared" si="22"/>
        <v/>
      </c>
      <c r="R91" s="103" t="str">
        <f t="shared" si="23"/>
        <v/>
      </c>
      <c r="S91" s="53">
        <v>0</v>
      </c>
      <c r="T91" s="102" t="str">
        <f t="shared" si="24"/>
        <v/>
      </c>
      <c r="U91" s="103" t="str">
        <f t="shared" si="25"/>
        <v/>
      </c>
      <c r="V91" s="53">
        <v>0</v>
      </c>
      <c r="W91" s="87" t="str">
        <f t="shared" si="26"/>
        <v/>
      </c>
      <c r="X91" s="103" t="str">
        <f t="shared" si="27"/>
        <v/>
      </c>
      <c r="Y91" s="53">
        <v>0</v>
      </c>
      <c r="Z91" s="56" t="str">
        <f t="shared" si="28"/>
        <v/>
      </c>
      <c r="AA91" s="56" t="str">
        <f t="shared" si="29"/>
        <v/>
      </c>
      <c r="AB91" s="56" t="str">
        <f t="shared" si="30"/>
        <v/>
      </c>
      <c r="AC91" s="56" t="str">
        <f t="shared" si="31"/>
        <v/>
      </c>
      <c r="AD91" s="56" t="str">
        <f t="shared" si="32"/>
        <v/>
      </c>
      <c r="AE91" s="40"/>
      <c r="AF91" s="40"/>
      <c r="AG91" s="40"/>
      <c r="AH91" s="56" t="str">
        <f t="shared" si="33"/>
        <v/>
      </c>
      <c r="AI91" s="54"/>
      <c r="AJ91" s="54"/>
      <c r="AK91" s="54"/>
      <c r="AL91" s="54"/>
      <c r="AM91" s="54"/>
    </row>
    <row r="92" spans="1:39">
      <c r="A92" s="95"/>
      <c r="B92" s="45" t="str" cm="1">
        <f t="array" ref="B92">IF(H92="PROJECT", CHAR(10) &amp; "- " &amp; _xlfn.TEXTJOIN(CHAR(10) &amp; "- ", TRUE, _xlfn._xlws.FILTER($I$9:$I$1000, ($C$9:$C$1000=C92) * ($H$9:$H$1000="Topic"))), "")</f>
        <v/>
      </c>
      <c r="C92" s="45">
        <f t="shared" si="17"/>
        <v>60</v>
      </c>
      <c r="D92" s="57"/>
      <c r="E92" s="58"/>
      <c r="F92" s="54"/>
      <c r="G92" s="52"/>
      <c r="H92" s="52"/>
      <c r="I92" s="61"/>
      <c r="J92" s="62"/>
      <c r="K92" s="120" t="str">
        <f t="shared" si="18"/>
        <v/>
      </c>
      <c r="L92" s="103" t="str">
        <f t="shared" si="19"/>
        <v/>
      </c>
      <c r="M92" s="52">
        <v>0</v>
      </c>
      <c r="N92" s="102" t="str">
        <f t="shared" si="20"/>
        <v/>
      </c>
      <c r="O92" s="103" t="str">
        <f t="shared" si="21"/>
        <v/>
      </c>
      <c r="P92" s="52">
        <v>0</v>
      </c>
      <c r="Q92" s="102" t="str">
        <f t="shared" si="22"/>
        <v/>
      </c>
      <c r="R92" s="103" t="str">
        <f t="shared" si="23"/>
        <v/>
      </c>
      <c r="S92" s="52">
        <v>0</v>
      </c>
      <c r="T92" s="102" t="str">
        <f t="shared" si="24"/>
        <v/>
      </c>
      <c r="U92" s="103" t="str">
        <f t="shared" si="25"/>
        <v/>
      </c>
      <c r="V92" s="52">
        <v>0</v>
      </c>
      <c r="W92" s="87" t="str">
        <f t="shared" si="26"/>
        <v/>
      </c>
      <c r="X92" s="103" t="str">
        <f t="shared" si="27"/>
        <v/>
      </c>
      <c r="Y92" s="52">
        <v>0</v>
      </c>
      <c r="Z92" s="56" t="str">
        <f t="shared" si="28"/>
        <v/>
      </c>
      <c r="AA92" s="56" t="str">
        <f t="shared" si="29"/>
        <v/>
      </c>
      <c r="AB92" s="56" t="str">
        <f t="shared" si="30"/>
        <v/>
      </c>
      <c r="AC92" s="56" t="str">
        <f t="shared" si="31"/>
        <v/>
      </c>
      <c r="AD92" s="56" t="str">
        <f t="shared" si="32"/>
        <v/>
      </c>
      <c r="AE92" s="40"/>
      <c r="AF92" s="40"/>
      <c r="AG92" s="40"/>
      <c r="AH92" s="56" t="str">
        <f t="shared" si="33"/>
        <v/>
      </c>
      <c r="AI92" s="54"/>
      <c r="AJ92" s="54"/>
      <c r="AK92" s="54"/>
      <c r="AL92" s="54"/>
      <c r="AM92" s="54"/>
    </row>
    <row r="93" spans="1:39">
      <c r="A93" s="95"/>
      <c r="B93" s="45" t="str" cm="1">
        <f t="array" ref="B93">IF(H93="PROJECT", CHAR(10) &amp; "- " &amp; _xlfn.TEXTJOIN(CHAR(10) &amp; "- ", TRUE, _xlfn._xlws.FILTER($I$9:$I$1000, ($C$9:$C$1000=C93) * ($H$9:$H$1000="Topic"))), "")</f>
        <v/>
      </c>
      <c r="C93" s="45">
        <f t="shared" si="17"/>
        <v>61</v>
      </c>
      <c r="D93" s="46"/>
      <c r="E93" s="58"/>
      <c r="F93" s="67"/>
      <c r="G93" s="53"/>
      <c r="H93" s="53"/>
      <c r="I93" s="50"/>
      <c r="J93" s="51"/>
      <c r="K93" s="120" t="str">
        <f t="shared" si="18"/>
        <v/>
      </c>
      <c r="L93" s="103" t="str">
        <f t="shared" si="19"/>
        <v/>
      </c>
      <c r="M93" s="53">
        <v>0</v>
      </c>
      <c r="N93" s="102" t="str">
        <f t="shared" si="20"/>
        <v/>
      </c>
      <c r="O93" s="103" t="str">
        <f t="shared" si="21"/>
        <v/>
      </c>
      <c r="P93" s="53">
        <v>0</v>
      </c>
      <c r="Q93" s="102" t="str">
        <f t="shared" si="22"/>
        <v/>
      </c>
      <c r="R93" s="103" t="str">
        <f t="shared" si="23"/>
        <v/>
      </c>
      <c r="S93" s="53">
        <v>0</v>
      </c>
      <c r="T93" s="102" t="str">
        <f t="shared" si="24"/>
        <v/>
      </c>
      <c r="U93" s="103" t="str">
        <f t="shared" si="25"/>
        <v/>
      </c>
      <c r="V93" s="53">
        <v>0</v>
      </c>
      <c r="W93" s="87" t="str">
        <f t="shared" si="26"/>
        <v/>
      </c>
      <c r="X93" s="103" t="str">
        <f t="shared" si="27"/>
        <v/>
      </c>
      <c r="Y93" s="53">
        <v>0</v>
      </c>
      <c r="Z93" s="56" t="str">
        <f t="shared" si="28"/>
        <v/>
      </c>
      <c r="AA93" s="56" t="str">
        <f t="shared" si="29"/>
        <v/>
      </c>
      <c r="AB93" s="56" t="str">
        <f t="shared" si="30"/>
        <v/>
      </c>
      <c r="AC93" s="56" t="str">
        <f t="shared" si="31"/>
        <v/>
      </c>
      <c r="AD93" s="56" t="str">
        <f t="shared" si="32"/>
        <v/>
      </c>
      <c r="AE93" s="40"/>
      <c r="AF93" s="40"/>
      <c r="AG93" s="40"/>
      <c r="AH93" s="56" t="str">
        <f t="shared" si="33"/>
        <v/>
      </c>
      <c r="AI93" s="54"/>
      <c r="AJ93" s="54"/>
      <c r="AK93" s="54"/>
      <c r="AL93" s="54"/>
      <c r="AM93" s="54"/>
    </row>
    <row r="94" spans="1:39">
      <c r="A94" s="95"/>
      <c r="B94" s="45" t="str" cm="1">
        <f t="array" ref="B94">IF(H94="PROJECT", CHAR(10) &amp; "- " &amp; _xlfn.TEXTJOIN(CHAR(10) &amp; "- ", TRUE, _xlfn._xlws.FILTER($I$9:$I$1000, ($C$9:$C$1000=C94) * ($H$9:$H$1000="Topic"))), "")</f>
        <v/>
      </c>
      <c r="C94" s="45">
        <f t="shared" si="17"/>
        <v>62</v>
      </c>
      <c r="D94" s="57"/>
      <c r="E94" s="58"/>
      <c r="F94" s="54"/>
      <c r="G94" s="52"/>
      <c r="H94" s="52"/>
      <c r="I94" s="61"/>
      <c r="J94" s="62"/>
      <c r="K94" s="120" t="str">
        <f t="shared" si="18"/>
        <v/>
      </c>
      <c r="L94" s="103" t="str">
        <f t="shared" si="19"/>
        <v/>
      </c>
      <c r="M94" s="52">
        <v>0</v>
      </c>
      <c r="N94" s="102" t="str">
        <f t="shared" si="20"/>
        <v/>
      </c>
      <c r="O94" s="103" t="str">
        <f t="shared" si="21"/>
        <v/>
      </c>
      <c r="P94" s="52">
        <v>0</v>
      </c>
      <c r="Q94" s="102" t="str">
        <f t="shared" si="22"/>
        <v/>
      </c>
      <c r="R94" s="103" t="str">
        <f t="shared" si="23"/>
        <v/>
      </c>
      <c r="S94" s="52">
        <v>0</v>
      </c>
      <c r="T94" s="102" t="str">
        <f t="shared" si="24"/>
        <v/>
      </c>
      <c r="U94" s="103" t="str">
        <f t="shared" si="25"/>
        <v/>
      </c>
      <c r="V94" s="52">
        <v>0</v>
      </c>
      <c r="W94" s="87" t="str">
        <f t="shared" si="26"/>
        <v/>
      </c>
      <c r="X94" s="103" t="str">
        <f t="shared" si="27"/>
        <v/>
      </c>
      <c r="Y94" s="52">
        <v>0</v>
      </c>
      <c r="Z94" s="56" t="str">
        <f t="shared" si="28"/>
        <v/>
      </c>
      <c r="AA94" s="56" t="str">
        <f t="shared" si="29"/>
        <v/>
      </c>
      <c r="AB94" s="56" t="str">
        <f t="shared" si="30"/>
        <v/>
      </c>
      <c r="AC94" s="56" t="str">
        <f t="shared" si="31"/>
        <v/>
      </c>
      <c r="AD94" s="56" t="str">
        <f t="shared" si="32"/>
        <v/>
      </c>
      <c r="AE94" s="40"/>
      <c r="AF94" s="40"/>
      <c r="AG94" s="40"/>
      <c r="AH94" s="56" t="str">
        <f t="shared" si="33"/>
        <v/>
      </c>
      <c r="AI94" s="54"/>
      <c r="AJ94" s="54"/>
      <c r="AK94" s="54"/>
      <c r="AL94" s="54"/>
      <c r="AM94" s="54"/>
    </row>
    <row r="95" spans="1:39">
      <c r="A95" s="95"/>
      <c r="B95" s="45" t="str" cm="1">
        <f t="array" ref="B95">IF(H95="PROJECT", CHAR(10) &amp; "- " &amp; _xlfn.TEXTJOIN(CHAR(10) &amp; "- ", TRUE, _xlfn._xlws.FILTER($I$9:$I$1000, ($C$9:$C$1000=C95) * ($H$9:$H$1000="Topic"))), "")</f>
        <v/>
      </c>
      <c r="C95" s="45">
        <f t="shared" si="17"/>
        <v>63</v>
      </c>
      <c r="D95" s="46"/>
      <c r="E95" s="58"/>
      <c r="F95" s="67"/>
      <c r="G95" s="53"/>
      <c r="H95" s="53"/>
      <c r="I95" s="50"/>
      <c r="J95" s="51"/>
      <c r="K95" s="120" t="str">
        <f t="shared" si="18"/>
        <v/>
      </c>
      <c r="L95" s="103" t="str">
        <f t="shared" si="19"/>
        <v/>
      </c>
      <c r="M95" s="53">
        <v>0</v>
      </c>
      <c r="N95" s="102" t="str">
        <f t="shared" si="20"/>
        <v/>
      </c>
      <c r="O95" s="103" t="str">
        <f t="shared" si="21"/>
        <v/>
      </c>
      <c r="P95" s="53">
        <v>0</v>
      </c>
      <c r="Q95" s="102" t="str">
        <f t="shared" si="22"/>
        <v/>
      </c>
      <c r="R95" s="103" t="str">
        <f t="shared" si="23"/>
        <v/>
      </c>
      <c r="S95" s="53">
        <v>0</v>
      </c>
      <c r="T95" s="102" t="str">
        <f t="shared" si="24"/>
        <v/>
      </c>
      <c r="U95" s="103" t="str">
        <f t="shared" si="25"/>
        <v/>
      </c>
      <c r="V95" s="53">
        <v>0</v>
      </c>
      <c r="W95" s="87" t="str">
        <f t="shared" si="26"/>
        <v/>
      </c>
      <c r="X95" s="103" t="str">
        <f t="shared" si="27"/>
        <v/>
      </c>
      <c r="Y95" s="53">
        <v>0</v>
      </c>
      <c r="Z95" s="56" t="str">
        <f t="shared" si="28"/>
        <v/>
      </c>
      <c r="AA95" s="56" t="str">
        <f t="shared" si="29"/>
        <v/>
      </c>
      <c r="AB95" s="56" t="str">
        <f t="shared" si="30"/>
        <v/>
      </c>
      <c r="AC95" s="56" t="str">
        <f t="shared" si="31"/>
        <v/>
      </c>
      <c r="AD95" s="56" t="str">
        <f t="shared" si="32"/>
        <v/>
      </c>
      <c r="AE95" s="40"/>
      <c r="AF95" s="40"/>
      <c r="AG95" s="40"/>
      <c r="AH95" s="56" t="str">
        <f t="shared" si="33"/>
        <v/>
      </c>
      <c r="AI95" s="54"/>
      <c r="AJ95" s="54"/>
      <c r="AK95" s="54"/>
      <c r="AL95" s="54"/>
      <c r="AM95" s="54"/>
    </row>
    <row r="96" spans="1:39">
      <c r="A96" s="95"/>
      <c r="B96" s="45" t="str" cm="1">
        <f t="array" ref="B96">IF(H96="PROJECT", CHAR(10) &amp; "- " &amp; _xlfn.TEXTJOIN(CHAR(10) &amp; "- ", TRUE, _xlfn._xlws.FILTER($I$9:$I$1000, ($C$9:$C$1000=C96) * ($H$9:$H$1000="Topic"))), "")</f>
        <v/>
      </c>
      <c r="C96" s="45">
        <f t="shared" si="17"/>
        <v>64</v>
      </c>
      <c r="D96" s="57"/>
      <c r="E96" s="58"/>
      <c r="F96" s="54"/>
      <c r="G96" s="52"/>
      <c r="H96" s="52"/>
      <c r="I96" s="61"/>
      <c r="J96" s="62"/>
      <c r="K96" s="120" t="str">
        <f t="shared" si="18"/>
        <v/>
      </c>
      <c r="L96" s="103" t="str">
        <f t="shared" si="19"/>
        <v/>
      </c>
      <c r="M96" s="52">
        <v>0</v>
      </c>
      <c r="N96" s="102" t="str">
        <f t="shared" si="20"/>
        <v/>
      </c>
      <c r="O96" s="103" t="str">
        <f t="shared" si="21"/>
        <v/>
      </c>
      <c r="P96" s="52">
        <v>0</v>
      </c>
      <c r="Q96" s="102" t="str">
        <f t="shared" si="22"/>
        <v/>
      </c>
      <c r="R96" s="103" t="str">
        <f t="shared" si="23"/>
        <v/>
      </c>
      <c r="S96" s="52">
        <v>0</v>
      </c>
      <c r="T96" s="102" t="str">
        <f t="shared" si="24"/>
        <v/>
      </c>
      <c r="U96" s="103" t="str">
        <f t="shared" si="25"/>
        <v/>
      </c>
      <c r="V96" s="52">
        <v>0</v>
      </c>
      <c r="W96" s="87" t="str">
        <f t="shared" si="26"/>
        <v/>
      </c>
      <c r="X96" s="103" t="str">
        <f t="shared" si="27"/>
        <v/>
      </c>
      <c r="Y96" s="52">
        <v>0</v>
      </c>
      <c r="Z96" s="56" t="str">
        <f t="shared" si="28"/>
        <v/>
      </c>
      <c r="AA96" s="56" t="str">
        <f t="shared" si="29"/>
        <v/>
      </c>
      <c r="AB96" s="56" t="str">
        <f t="shared" si="30"/>
        <v/>
      </c>
      <c r="AC96" s="56" t="str">
        <f t="shared" si="31"/>
        <v/>
      </c>
      <c r="AD96" s="56" t="str">
        <f t="shared" si="32"/>
        <v/>
      </c>
      <c r="AE96" s="40"/>
      <c r="AF96" s="40"/>
      <c r="AG96" s="40"/>
      <c r="AH96" s="56" t="str">
        <f t="shared" si="33"/>
        <v/>
      </c>
      <c r="AI96" s="54"/>
      <c r="AJ96" s="54"/>
      <c r="AK96" s="54"/>
      <c r="AL96" s="54"/>
      <c r="AM96" s="54"/>
    </row>
    <row r="97" spans="1:39">
      <c r="A97" s="95"/>
      <c r="B97" s="45" t="str" cm="1">
        <f t="array" ref="B97">IF(H97="PROJECT", CHAR(10) &amp; "- " &amp; _xlfn.TEXTJOIN(CHAR(10) &amp; "- ", TRUE, _xlfn._xlws.FILTER($I$9:$I$1000, ($C$9:$C$1000=C97) * ($H$9:$H$1000="Topic"))), "")</f>
        <v/>
      </c>
      <c r="C97" s="45">
        <f t="shared" si="17"/>
        <v>65</v>
      </c>
      <c r="D97" s="46"/>
      <c r="E97" s="58"/>
      <c r="F97" s="67"/>
      <c r="G97" s="53"/>
      <c r="H97" s="53"/>
      <c r="I97" s="50"/>
      <c r="J97" s="51"/>
      <c r="K97" s="120" t="str">
        <f t="shared" si="18"/>
        <v/>
      </c>
      <c r="L97" s="103" t="str">
        <f t="shared" si="19"/>
        <v/>
      </c>
      <c r="M97" s="53">
        <v>0</v>
      </c>
      <c r="N97" s="102" t="str">
        <f t="shared" si="20"/>
        <v/>
      </c>
      <c r="O97" s="103" t="str">
        <f t="shared" si="21"/>
        <v/>
      </c>
      <c r="P97" s="53">
        <v>0</v>
      </c>
      <c r="Q97" s="102" t="str">
        <f t="shared" si="22"/>
        <v/>
      </c>
      <c r="R97" s="103" t="str">
        <f t="shared" si="23"/>
        <v/>
      </c>
      <c r="S97" s="53">
        <v>0</v>
      </c>
      <c r="T97" s="102" t="str">
        <f t="shared" si="24"/>
        <v/>
      </c>
      <c r="U97" s="103" t="str">
        <f t="shared" si="25"/>
        <v/>
      </c>
      <c r="V97" s="53">
        <v>0</v>
      </c>
      <c r="W97" s="87" t="str">
        <f t="shared" si="26"/>
        <v/>
      </c>
      <c r="X97" s="103" t="str">
        <f t="shared" si="27"/>
        <v/>
      </c>
      <c r="Y97" s="53">
        <v>0</v>
      </c>
      <c r="Z97" s="56" t="str">
        <f t="shared" si="28"/>
        <v/>
      </c>
      <c r="AA97" s="56" t="str">
        <f t="shared" si="29"/>
        <v/>
      </c>
      <c r="AB97" s="56" t="str">
        <f t="shared" si="30"/>
        <v/>
      </c>
      <c r="AC97" s="56" t="str">
        <f t="shared" si="31"/>
        <v/>
      </c>
      <c r="AD97" s="56" t="str">
        <f t="shared" si="32"/>
        <v/>
      </c>
      <c r="AE97" s="40"/>
      <c r="AF97" s="40"/>
      <c r="AG97" s="40"/>
      <c r="AH97" s="56" t="str">
        <f t="shared" si="33"/>
        <v/>
      </c>
      <c r="AI97" s="54"/>
      <c r="AJ97" s="54"/>
      <c r="AK97" s="54"/>
      <c r="AL97" s="54"/>
      <c r="AM97" s="54"/>
    </row>
    <row r="98" spans="1:39">
      <c r="A98" s="95"/>
      <c r="B98" s="45" t="str" cm="1">
        <f t="array" ref="B98">IF(H98="PROJECT", CHAR(10) &amp; "- " &amp; _xlfn.TEXTJOIN(CHAR(10) &amp; "- ", TRUE, _xlfn._xlws.FILTER($I$9:$I$1000, ($C$9:$C$1000=C98) * ($H$9:$H$1000="Topic"))), "")</f>
        <v/>
      </c>
      <c r="C98" s="45">
        <f t="shared" si="17"/>
        <v>66</v>
      </c>
      <c r="D98" s="57"/>
      <c r="E98" s="58"/>
      <c r="F98" s="54"/>
      <c r="G98" s="52"/>
      <c r="H98" s="52"/>
      <c r="I98" s="61"/>
      <c r="J98" s="62"/>
      <c r="K98" s="120" t="str">
        <f t="shared" si="18"/>
        <v/>
      </c>
      <c r="L98" s="103" t="str">
        <f t="shared" si="19"/>
        <v/>
      </c>
      <c r="M98" s="52">
        <v>0</v>
      </c>
      <c r="N98" s="102" t="str">
        <f t="shared" si="20"/>
        <v/>
      </c>
      <c r="O98" s="103" t="str">
        <f t="shared" si="21"/>
        <v/>
      </c>
      <c r="P98" s="52">
        <v>0</v>
      </c>
      <c r="Q98" s="102" t="str">
        <f t="shared" si="22"/>
        <v/>
      </c>
      <c r="R98" s="103" t="str">
        <f t="shared" si="23"/>
        <v/>
      </c>
      <c r="S98" s="52">
        <v>0</v>
      </c>
      <c r="T98" s="102" t="str">
        <f t="shared" si="24"/>
        <v/>
      </c>
      <c r="U98" s="103" t="str">
        <f t="shared" si="25"/>
        <v/>
      </c>
      <c r="V98" s="52">
        <v>0</v>
      </c>
      <c r="W98" s="87" t="str">
        <f t="shared" si="26"/>
        <v/>
      </c>
      <c r="X98" s="103" t="str">
        <f t="shared" si="27"/>
        <v/>
      </c>
      <c r="Y98" s="52">
        <v>0</v>
      </c>
      <c r="Z98" s="56" t="str">
        <f t="shared" si="28"/>
        <v/>
      </c>
      <c r="AA98" s="56" t="str">
        <f t="shared" si="29"/>
        <v/>
      </c>
      <c r="AB98" s="56" t="str">
        <f t="shared" si="30"/>
        <v/>
      </c>
      <c r="AC98" s="56" t="str">
        <f t="shared" si="31"/>
        <v/>
      </c>
      <c r="AD98" s="56" t="str">
        <f t="shared" si="32"/>
        <v/>
      </c>
      <c r="AE98" s="40"/>
      <c r="AF98" s="40"/>
      <c r="AG98" s="40"/>
      <c r="AH98" s="56" t="str">
        <f t="shared" si="33"/>
        <v/>
      </c>
      <c r="AI98" s="54"/>
      <c r="AJ98" s="54"/>
      <c r="AK98" s="54"/>
      <c r="AL98" s="54"/>
      <c r="AM98" s="54"/>
    </row>
    <row r="99" spans="1:39">
      <c r="A99" s="95"/>
      <c r="B99" s="45" t="str" cm="1">
        <f t="array" ref="B99">IF(H99="PROJECT", CHAR(10) &amp; "- " &amp; _xlfn.TEXTJOIN(CHAR(10) &amp; "- ", TRUE, _xlfn._xlws.FILTER($I$9:$I$1000, ($C$9:$C$1000=C99) * ($H$9:$H$1000="Topic"))), "")</f>
        <v/>
      </c>
      <c r="C99" s="45">
        <f t="shared" si="17"/>
        <v>67</v>
      </c>
      <c r="D99" s="46"/>
      <c r="E99" s="58"/>
      <c r="F99" s="67"/>
      <c r="G99" s="53"/>
      <c r="H99" s="53"/>
      <c r="I99" s="50"/>
      <c r="J99" s="51"/>
      <c r="K99" s="120" t="str">
        <f t="shared" si="18"/>
        <v/>
      </c>
      <c r="L99" s="103" t="str">
        <f t="shared" si="19"/>
        <v/>
      </c>
      <c r="M99" s="53">
        <v>0</v>
      </c>
      <c r="N99" s="102" t="str">
        <f t="shared" si="20"/>
        <v/>
      </c>
      <c r="O99" s="103" t="str">
        <f t="shared" si="21"/>
        <v/>
      </c>
      <c r="P99" s="53">
        <v>0</v>
      </c>
      <c r="Q99" s="102" t="str">
        <f t="shared" si="22"/>
        <v/>
      </c>
      <c r="R99" s="103" t="str">
        <f t="shared" si="23"/>
        <v/>
      </c>
      <c r="S99" s="53">
        <v>0</v>
      </c>
      <c r="T99" s="102" t="str">
        <f t="shared" si="24"/>
        <v/>
      </c>
      <c r="U99" s="103" t="str">
        <f t="shared" si="25"/>
        <v/>
      </c>
      <c r="V99" s="53">
        <v>0</v>
      </c>
      <c r="W99" s="87" t="str">
        <f t="shared" si="26"/>
        <v/>
      </c>
      <c r="X99" s="103" t="str">
        <f t="shared" si="27"/>
        <v/>
      </c>
      <c r="Y99" s="53">
        <v>0</v>
      </c>
      <c r="Z99" s="56" t="str">
        <f t="shared" si="28"/>
        <v/>
      </c>
      <c r="AA99" s="56" t="str">
        <f t="shared" si="29"/>
        <v/>
      </c>
      <c r="AB99" s="56" t="str">
        <f t="shared" si="30"/>
        <v/>
      </c>
      <c r="AC99" s="56" t="str">
        <f t="shared" si="31"/>
        <v/>
      </c>
      <c r="AD99" s="56" t="str">
        <f t="shared" si="32"/>
        <v/>
      </c>
      <c r="AE99" s="40"/>
      <c r="AF99" s="40"/>
      <c r="AG99" s="40"/>
      <c r="AH99" s="56" t="str">
        <f t="shared" si="33"/>
        <v/>
      </c>
      <c r="AI99" s="54"/>
      <c r="AJ99" s="54"/>
      <c r="AK99" s="54"/>
      <c r="AL99" s="54"/>
      <c r="AM99" s="54"/>
    </row>
    <row r="100" spans="1:39">
      <c r="A100" s="95"/>
      <c r="B100" s="45" t="str" cm="1">
        <f t="array" ref="B100">IF(H100="PROJECT", CHAR(10) &amp; "- " &amp; _xlfn.TEXTJOIN(CHAR(10) &amp; "- ", TRUE, _xlfn._xlws.FILTER($I$9:$I$1000, ($C$9:$C$1000=C100) * ($H$9:$H$1000="Topic"))), "")</f>
        <v/>
      </c>
      <c r="C100" s="45">
        <f t="shared" si="17"/>
        <v>68</v>
      </c>
      <c r="D100" s="57"/>
      <c r="E100" s="58"/>
      <c r="F100" s="54"/>
      <c r="G100" s="52"/>
      <c r="H100" s="52"/>
      <c r="I100" s="61"/>
      <c r="J100" s="62"/>
      <c r="K100" s="120" t="str">
        <f t="shared" si="18"/>
        <v/>
      </c>
      <c r="L100" s="103" t="str">
        <f t="shared" si="19"/>
        <v/>
      </c>
      <c r="M100" s="52">
        <v>0</v>
      </c>
      <c r="N100" s="102" t="str">
        <f t="shared" si="20"/>
        <v/>
      </c>
      <c r="O100" s="103" t="str">
        <f t="shared" si="21"/>
        <v/>
      </c>
      <c r="P100" s="52">
        <v>0</v>
      </c>
      <c r="Q100" s="102" t="str">
        <f t="shared" si="22"/>
        <v/>
      </c>
      <c r="R100" s="103" t="str">
        <f t="shared" si="23"/>
        <v/>
      </c>
      <c r="S100" s="52">
        <v>0</v>
      </c>
      <c r="T100" s="102" t="str">
        <f t="shared" si="24"/>
        <v/>
      </c>
      <c r="U100" s="103" t="str">
        <f t="shared" si="25"/>
        <v/>
      </c>
      <c r="V100" s="52">
        <v>0</v>
      </c>
      <c r="W100" s="87" t="str">
        <f t="shared" si="26"/>
        <v/>
      </c>
      <c r="X100" s="103" t="str">
        <f t="shared" si="27"/>
        <v/>
      </c>
      <c r="Y100" s="52">
        <v>0</v>
      </c>
      <c r="Z100" s="56" t="str">
        <f t="shared" si="28"/>
        <v/>
      </c>
      <c r="AA100" s="56" t="str">
        <f t="shared" si="29"/>
        <v/>
      </c>
      <c r="AB100" s="56" t="str">
        <f t="shared" si="30"/>
        <v/>
      </c>
      <c r="AC100" s="56" t="str">
        <f t="shared" si="31"/>
        <v/>
      </c>
      <c r="AD100" s="56" t="str">
        <f t="shared" si="32"/>
        <v/>
      </c>
      <c r="AE100" s="40"/>
      <c r="AF100" s="40"/>
      <c r="AG100" s="40"/>
      <c r="AH100" s="56" t="str">
        <f t="shared" si="33"/>
        <v/>
      </c>
      <c r="AI100" s="54"/>
      <c r="AJ100" s="54"/>
      <c r="AK100" s="54"/>
      <c r="AL100" s="54"/>
      <c r="AM100" s="54"/>
    </row>
    <row r="101" spans="1:39">
      <c r="A101" s="95"/>
      <c r="B101" s="45" t="str" cm="1">
        <f t="array" ref="B101">IF(H101="PROJECT", CHAR(10) &amp; "- " &amp; _xlfn.TEXTJOIN(CHAR(10) &amp; "- ", TRUE, _xlfn._xlws.FILTER($I$9:$I$1000, ($C$9:$C$1000=C101) * ($H$9:$H$1000="Topic"))), "")</f>
        <v/>
      </c>
      <c r="C101" s="45">
        <f t="shared" si="17"/>
        <v>69</v>
      </c>
      <c r="D101" s="46"/>
      <c r="E101" s="58"/>
      <c r="F101" s="67"/>
      <c r="G101" s="53"/>
      <c r="H101" s="53"/>
      <c r="I101" s="50"/>
      <c r="J101" s="51"/>
      <c r="K101" s="120" t="str">
        <f t="shared" si="18"/>
        <v/>
      </c>
      <c r="L101" s="103" t="str">
        <f t="shared" si="19"/>
        <v/>
      </c>
      <c r="M101" s="53">
        <v>0</v>
      </c>
      <c r="N101" s="102" t="str">
        <f t="shared" si="20"/>
        <v/>
      </c>
      <c r="O101" s="103" t="str">
        <f t="shared" si="21"/>
        <v/>
      </c>
      <c r="P101" s="53">
        <v>0</v>
      </c>
      <c r="Q101" s="102" t="str">
        <f t="shared" si="22"/>
        <v/>
      </c>
      <c r="R101" s="103" t="str">
        <f t="shared" si="23"/>
        <v/>
      </c>
      <c r="S101" s="53">
        <v>0</v>
      </c>
      <c r="T101" s="102" t="str">
        <f t="shared" si="24"/>
        <v/>
      </c>
      <c r="U101" s="103" t="str">
        <f t="shared" si="25"/>
        <v/>
      </c>
      <c r="V101" s="53">
        <v>0</v>
      </c>
      <c r="W101" s="87" t="str">
        <f t="shared" si="26"/>
        <v/>
      </c>
      <c r="X101" s="103" t="str">
        <f t="shared" si="27"/>
        <v/>
      </c>
      <c r="Y101" s="53">
        <v>0</v>
      </c>
      <c r="Z101" s="56" t="str">
        <f t="shared" si="28"/>
        <v/>
      </c>
      <c r="AA101" s="56" t="str">
        <f t="shared" si="29"/>
        <v/>
      </c>
      <c r="AB101" s="56" t="str">
        <f t="shared" si="30"/>
        <v/>
      </c>
      <c r="AC101" s="56" t="str">
        <f t="shared" si="31"/>
        <v/>
      </c>
      <c r="AD101" s="56" t="str">
        <f t="shared" si="32"/>
        <v/>
      </c>
      <c r="AE101" s="40"/>
      <c r="AF101" s="40"/>
      <c r="AG101" s="40"/>
      <c r="AH101" s="56" t="str">
        <f t="shared" si="33"/>
        <v/>
      </c>
      <c r="AI101" s="54"/>
      <c r="AJ101" s="54"/>
      <c r="AK101" s="54"/>
      <c r="AL101" s="54"/>
      <c r="AM101" s="54"/>
    </row>
    <row r="102" spans="1:39">
      <c r="A102" s="95"/>
      <c r="B102" s="45" t="str" cm="1">
        <f t="array" ref="B102">IF(H102="PROJECT", CHAR(10) &amp; "- " &amp; _xlfn.TEXTJOIN(CHAR(10) &amp; "- ", TRUE, _xlfn._xlws.FILTER($I$9:$I$1000, ($C$9:$C$1000=C102) * ($H$9:$H$1000="Topic"))), "")</f>
        <v/>
      </c>
      <c r="C102" s="45">
        <f t="shared" si="17"/>
        <v>70</v>
      </c>
      <c r="D102" s="57"/>
      <c r="E102" s="58"/>
      <c r="F102" s="54"/>
      <c r="G102" s="52"/>
      <c r="H102" s="52"/>
      <c r="I102" s="61"/>
      <c r="J102" s="62"/>
      <c r="K102" s="120" t="str">
        <f t="shared" si="18"/>
        <v/>
      </c>
      <c r="L102" s="103" t="str">
        <f t="shared" si="19"/>
        <v/>
      </c>
      <c r="M102" s="52">
        <v>0</v>
      </c>
      <c r="N102" s="102" t="str">
        <f t="shared" si="20"/>
        <v/>
      </c>
      <c r="O102" s="103" t="str">
        <f t="shared" si="21"/>
        <v/>
      </c>
      <c r="P102" s="52">
        <v>0</v>
      </c>
      <c r="Q102" s="102" t="str">
        <f t="shared" si="22"/>
        <v/>
      </c>
      <c r="R102" s="103" t="str">
        <f t="shared" si="23"/>
        <v/>
      </c>
      <c r="S102" s="52">
        <v>0</v>
      </c>
      <c r="T102" s="102" t="str">
        <f t="shared" si="24"/>
        <v/>
      </c>
      <c r="U102" s="103" t="str">
        <f t="shared" si="25"/>
        <v/>
      </c>
      <c r="V102" s="52">
        <v>0</v>
      </c>
      <c r="W102" s="87" t="str">
        <f t="shared" si="26"/>
        <v/>
      </c>
      <c r="X102" s="103" t="str">
        <f t="shared" si="27"/>
        <v/>
      </c>
      <c r="Y102" s="52">
        <v>0</v>
      </c>
      <c r="Z102" s="56" t="str">
        <f t="shared" si="28"/>
        <v/>
      </c>
      <c r="AA102" s="56" t="str">
        <f t="shared" si="29"/>
        <v/>
      </c>
      <c r="AB102" s="56" t="str">
        <f t="shared" si="30"/>
        <v/>
      </c>
      <c r="AC102" s="56" t="str">
        <f t="shared" si="31"/>
        <v/>
      </c>
      <c r="AD102" s="56" t="str">
        <f t="shared" si="32"/>
        <v/>
      </c>
      <c r="AE102" s="40"/>
      <c r="AF102" s="40"/>
      <c r="AG102" s="40"/>
      <c r="AH102" s="56" t="str">
        <f t="shared" si="33"/>
        <v/>
      </c>
      <c r="AI102" s="54"/>
      <c r="AJ102" s="54"/>
      <c r="AK102" s="54"/>
      <c r="AL102" s="54"/>
      <c r="AM102" s="54"/>
    </row>
    <row r="103" spans="1:39">
      <c r="A103" s="95"/>
      <c r="B103" s="45" t="str" cm="1">
        <f t="array" ref="B103">IF(H103="PROJECT", CHAR(10) &amp; "- " &amp; _xlfn.TEXTJOIN(CHAR(10) &amp; "- ", TRUE, _xlfn._xlws.FILTER($I$9:$I$1000, ($C$9:$C$1000=C103) * ($H$9:$H$1000="Topic"))), "")</f>
        <v/>
      </c>
      <c r="C103" s="45">
        <f t="shared" si="17"/>
        <v>71</v>
      </c>
      <c r="D103" s="46"/>
      <c r="E103" s="58"/>
      <c r="F103" s="67"/>
      <c r="G103" s="53"/>
      <c r="H103" s="53"/>
      <c r="I103" s="50"/>
      <c r="J103" s="51"/>
      <c r="K103" s="120" t="str">
        <f t="shared" si="18"/>
        <v/>
      </c>
      <c r="L103" s="103" t="str">
        <f t="shared" si="19"/>
        <v/>
      </c>
      <c r="M103" s="53">
        <v>0</v>
      </c>
      <c r="N103" s="102" t="str">
        <f t="shared" si="20"/>
        <v/>
      </c>
      <c r="O103" s="103" t="str">
        <f t="shared" si="21"/>
        <v/>
      </c>
      <c r="P103" s="53">
        <v>0</v>
      </c>
      <c r="Q103" s="102" t="str">
        <f t="shared" si="22"/>
        <v/>
      </c>
      <c r="R103" s="103" t="str">
        <f t="shared" si="23"/>
        <v/>
      </c>
      <c r="S103" s="53">
        <v>0</v>
      </c>
      <c r="T103" s="102" t="str">
        <f t="shared" si="24"/>
        <v/>
      </c>
      <c r="U103" s="103" t="str">
        <f t="shared" si="25"/>
        <v/>
      </c>
      <c r="V103" s="53">
        <v>0</v>
      </c>
      <c r="W103" s="87" t="str">
        <f t="shared" si="26"/>
        <v/>
      </c>
      <c r="X103" s="103" t="str">
        <f t="shared" si="27"/>
        <v/>
      </c>
      <c r="Y103" s="53">
        <v>0</v>
      </c>
      <c r="Z103" s="56" t="str">
        <f t="shared" si="28"/>
        <v/>
      </c>
      <c r="AA103" s="56" t="str">
        <f t="shared" si="29"/>
        <v/>
      </c>
      <c r="AB103" s="56" t="str">
        <f t="shared" si="30"/>
        <v/>
      </c>
      <c r="AC103" s="56" t="str">
        <f t="shared" si="31"/>
        <v/>
      </c>
      <c r="AD103" s="56" t="str">
        <f t="shared" si="32"/>
        <v/>
      </c>
      <c r="AE103" s="40"/>
      <c r="AF103" s="40"/>
      <c r="AG103" s="40"/>
      <c r="AH103" s="56" t="str">
        <f t="shared" si="33"/>
        <v/>
      </c>
      <c r="AI103" s="54"/>
      <c r="AJ103" s="54"/>
      <c r="AK103" s="54"/>
      <c r="AL103" s="54"/>
      <c r="AM103" s="54"/>
    </row>
    <row r="104" spans="1:39">
      <c r="A104" s="95"/>
      <c r="B104" s="45" t="str" cm="1">
        <f t="array" ref="B104">IF(H104="PROJECT", CHAR(10) &amp; "- " &amp; _xlfn.TEXTJOIN(CHAR(10) &amp; "- ", TRUE, _xlfn._xlws.FILTER($I$9:$I$1000, ($C$9:$C$1000=C104) * ($H$9:$H$1000="Topic"))), "")</f>
        <v/>
      </c>
      <c r="C104" s="45">
        <f t="shared" si="17"/>
        <v>72</v>
      </c>
      <c r="D104" s="57"/>
      <c r="E104" s="58"/>
      <c r="F104" s="54"/>
      <c r="G104" s="52"/>
      <c r="H104" s="52"/>
      <c r="I104" s="61"/>
      <c r="J104" s="62"/>
      <c r="K104" s="120" t="str">
        <f t="shared" si="18"/>
        <v/>
      </c>
      <c r="L104" s="103" t="str">
        <f t="shared" si="19"/>
        <v/>
      </c>
      <c r="M104" s="52">
        <v>0</v>
      </c>
      <c r="N104" s="102" t="str">
        <f t="shared" si="20"/>
        <v/>
      </c>
      <c r="O104" s="103" t="str">
        <f t="shared" si="21"/>
        <v/>
      </c>
      <c r="P104" s="52">
        <v>0</v>
      </c>
      <c r="Q104" s="102" t="str">
        <f t="shared" si="22"/>
        <v/>
      </c>
      <c r="R104" s="103" t="str">
        <f t="shared" si="23"/>
        <v/>
      </c>
      <c r="S104" s="52">
        <v>0</v>
      </c>
      <c r="T104" s="102" t="str">
        <f t="shared" si="24"/>
        <v/>
      </c>
      <c r="U104" s="103" t="str">
        <f t="shared" si="25"/>
        <v/>
      </c>
      <c r="V104" s="52">
        <v>0</v>
      </c>
      <c r="W104" s="87" t="str">
        <f t="shared" si="26"/>
        <v/>
      </c>
      <c r="X104" s="103" t="str">
        <f t="shared" si="27"/>
        <v/>
      </c>
      <c r="Y104" s="52">
        <v>0</v>
      </c>
      <c r="Z104" s="56" t="str">
        <f t="shared" si="28"/>
        <v/>
      </c>
      <c r="AA104" s="56" t="str">
        <f t="shared" si="29"/>
        <v/>
      </c>
      <c r="AB104" s="56" t="str">
        <f t="shared" si="30"/>
        <v/>
      </c>
      <c r="AC104" s="56" t="str">
        <f t="shared" si="31"/>
        <v/>
      </c>
      <c r="AD104" s="56" t="str">
        <f t="shared" si="32"/>
        <v/>
      </c>
      <c r="AE104" s="40"/>
      <c r="AF104" s="40"/>
      <c r="AG104" s="40"/>
      <c r="AH104" s="56" t="str">
        <f t="shared" si="33"/>
        <v/>
      </c>
      <c r="AI104" s="54"/>
      <c r="AJ104" s="54"/>
      <c r="AK104" s="54"/>
      <c r="AL104" s="54"/>
      <c r="AM104" s="54"/>
    </row>
    <row r="105" spans="1:39">
      <c r="A105" s="95"/>
      <c r="B105" s="45" t="str" cm="1">
        <f t="array" ref="B105">IF(H105="PROJECT", CHAR(10) &amp; "- " &amp; _xlfn.TEXTJOIN(CHAR(10) &amp; "- ", TRUE, _xlfn._xlws.FILTER($I$9:$I$1000, ($C$9:$C$1000=C105) * ($H$9:$H$1000="Topic"))), "")</f>
        <v/>
      </c>
      <c r="C105" s="45">
        <f t="shared" si="17"/>
        <v>73</v>
      </c>
      <c r="D105" s="46"/>
      <c r="E105" s="58"/>
      <c r="F105" s="67"/>
      <c r="G105" s="53"/>
      <c r="H105" s="53"/>
      <c r="I105" s="50"/>
      <c r="J105" s="51"/>
      <c r="K105" s="120" t="str">
        <f t="shared" si="18"/>
        <v/>
      </c>
      <c r="L105" s="103" t="str">
        <f t="shared" si="19"/>
        <v/>
      </c>
      <c r="M105" s="53">
        <v>0</v>
      </c>
      <c r="N105" s="102" t="str">
        <f t="shared" si="20"/>
        <v/>
      </c>
      <c r="O105" s="103" t="str">
        <f t="shared" si="21"/>
        <v/>
      </c>
      <c r="P105" s="53">
        <v>0</v>
      </c>
      <c r="Q105" s="102" t="str">
        <f t="shared" si="22"/>
        <v/>
      </c>
      <c r="R105" s="103" t="str">
        <f t="shared" si="23"/>
        <v/>
      </c>
      <c r="S105" s="53">
        <v>0</v>
      </c>
      <c r="T105" s="102" t="str">
        <f t="shared" si="24"/>
        <v/>
      </c>
      <c r="U105" s="103" t="str">
        <f t="shared" si="25"/>
        <v/>
      </c>
      <c r="V105" s="53">
        <v>0</v>
      </c>
      <c r="W105" s="87" t="str">
        <f t="shared" si="26"/>
        <v/>
      </c>
      <c r="X105" s="103" t="str">
        <f t="shared" si="27"/>
        <v/>
      </c>
      <c r="Y105" s="53">
        <v>0</v>
      </c>
      <c r="Z105" s="56" t="str">
        <f t="shared" si="28"/>
        <v/>
      </c>
      <c r="AA105" s="56" t="str">
        <f t="shared" si="29"/>
        <v/>
      </c>
      <c r="AB105" s="56" t="str">
        <f t="shared" si="30"/>
        <v/>
      </c>
      <c r="AC105" s="56" t="str">
        <f t="shared" si="31"/>
        <v/>
      </c>
      <c r="AD105" s="56" t="str">
        <f t="shared" si="32"/>
        <v/>
      </c>
      <c r="AE105" s="40"/>
      <c r="AF105" s="40"/>
      <c r="AG105" s="40"/>
      <c r="AH105" s="56" t="str">
        <f t="shared" si="33"/>
        <v/>
      </c>
      <c r="AI105" s="54"/>
      <c r="AJ105" s="54"/>
      <c r="AK105" s="54"/>
      <c r="AL105" s="54"/>
      <c r="AM105" s="54"/>
    </row>
    <row r="106" spans="1:39">
      <c r="A106" s="95"/>
      <c r="B106" s="45" t="str" cm="1">
        <f t="array" ref="B106">IF(H106="PROJECT", CHAR(10) &amp; "- " &amp; _xlfn.TEXTJOIN(CHAR(10) &amp; "- ", TRUE, _xlfn._xlws.FILTER($I$9:$I$1000, ($C$9:$C$1000=C106) * ($H$9:$H$1000="Topic"))), "")</f>
        <v/>
      </c>
      <c r="C106" s="45">
        <f t="shared" si="17"/>
        <v>74</v>
      </c>
      <c r="D106" s="57"/>
      <c r="E106" s="58"/>
      <c r="F106" s="54"/>
      <c r="G106" s="52"/>
      <c r="H106" s="52"/>
      <c r="I106" s="61"/>
      <c r="J106" s="62"/>
      <c r="K106" s="120" t="str">
        <f t="shared" si="18"/>
        <v/>
      </c>
      <c r="L106" s="103" t="str">
        <f t="shared" si="19"/>
        <v/>
      </c>
      <c r="M106" s="52">
        <v>0</v>
      </c>
      <c r="N106" s="102" t="str">
        <f t="shared" si="20"/>
        <v/>
      </c>
      <c r="O106" s="103" t="str">
        <f t="shared" si="21"/>
        <v/>
      </c>
      <c r="P106" s="52">
        <v>0</v>
      </c>
      <c r="Q106" s="102" t="str">
        <f t="shared" si="22"/>
        <v/>
      </c>
      <c r="R106" s="103" t="str">
        <f t="shared" si="23"/>
        <v/>
      </c>
      <c r="S106" s="52">
        <v>0</v>
      </c>
      <c r="T106" s="102" t="str">
        <f t="shared" si="24"/>
        <v/>
      </c>
      <c r="U106" s="103" t="str">
        <f t="shared" si="25"/>
        <v/>
      </c>
      <c r="V106" s="52">
        <v>0</v>
      </c>
      <c r="W106" s="87" t="str">
        <f t="shared" si="26"/>
        <v/>
      </c>
      <c r="X106" s="103" t="str">
        <f t="shared" si="27"/>
        <v/>
      </c>
      <c r="Y106" s="52">
        <v>0</v>
      </c>
      <c r="Z106" s="56" t="str">
        <f t="shared" si="28"/>
        <v/>
      </c>
      <c r="AA106" s="56" t="str">
        <f t="shared" si="29"/>
        <v/>
      </c>
      <c r="AB106" s="56" t="str">
        <f t="shared" si="30"/>
        <v/>
      </c>
      <c r="AC106" s="56" t="str">
        <f t="shared" si="31"/>
        <v/>
      </c>
      <c r="AD106" s="56" t="str">
        <f t="shared" si="32"/>
        <v/>
      </c>
      <c r="AE106" s="40"/>
      <c r="AF106" s="40"/>
      <c r="AG106" s="40"/>
      <c r="AH106" s="56" t="str">
        <f t="shared" si="33"/>
        <v/>
      </c>
      <c r="AI106" s="54"/>
      <c r="AJ106" s="54"/>
      <c r="AK106" s="54"/>
      <c r="AL106" s="54"/>
      <c r="AM106" s="54"/>
    </row>
    <row r="107" spans="1:39">
      <c r="A107" s="95"/>
      <c r="B107" s="45" t="str" cm="1">
        <f t="array" ref="B107">IF(H107="PROJECT", CHAR(10) &amp; "- " &amp; _xlfn.TEXTJOIN(CHAR(10) &amp; "- ", TRUE, _xlfn._xlws.FILTER($I$9:$I$1000, ($C$9:$C$1000=C107) * ($H$9:$H$1000="Topic"))), "")</f>
        <v/>
      </c>
      <c r="C107" s="45">
        <f t="shared" si="17"/>
        <v>75</v>
      </c>
      <c r="D107" s="46"/>
      <c r="E107" s="58"/>
      <c r="F107" s="67"/>
      <c r="G107" s="53"/>
      <c r="H107" s="53"/>
      <c r="I107" s="50"/>
      <c r="J107" s="51"/>
      <c r="K107" s="120" t="str">
        <f t="shared" si="18"/>
        <v/>
      </c>
      <c r="L107" s="103" t="str">
        <f t="shared" si="19"/>
        <v/>
      </c>
      <c r="M107" s="53">
        <v>0</v>
      </c>
      <c r="N107" s="102" t="str">
        <f t="shared" si="20"/>
        <v/>
      </c>
      <c r="O107" s="103" t="str">
        <f t="shared" si="21"/>
        <v/>
      </c>
      <c r="P107" s="53">
        <v>0</v>
      </c>
      <c r="Q107" s="102" t="str">
        <f t="shared" si="22"/>
        <v/>
      </c>
      <c r="R107" s="103" t="str">
        <f t="shared" si="23"/>
        <v/>
      </c>
      <c r="S107" s="53">
        <v>0</v>
      </c>
      <c r="T107" s="102" t="str">
        <f t="shared" si="24"/>
        <v/>
      </c>
      <c r="U107" s="103" t="str">
        <f t="shared" si="25"/>
        <v/>
      </c>
      <c r="V107" s="53">
        <v>0</v>
      </c>
      <c r="W107" s="87" t="str">
        <f t="shared" si="26"/>
        <v/>
      </c>
      <c r="X107" s="103" t="str">
        <f t="shared" si="27"/>
        <v/>
      </c>
      <c r="Y107" s="53">
        <v>0</v>
      </c>
      <c r="Z107" s="56" t="str">
        <f t="shared" si="28"/>
        <v/>
      </c>
      <c r="AA107" s="56" t="str">
        <f t="shared" si="29"/>
        <v/>
      </c>
      <c r="AB107" s="56" t="str">
        <f t="shared" si="30"/>
        <v/>
      </c>
      <c r="AC107" s="56" t="str">
        <f t="shared" si="31"/>
        <v/>
      </c>
      <c r="AD107" s="56" t="str">
        <f t="shared" si="32"/>
        <v/>
      </c>
      <c r="AE107" s="40"/>
      <c r="AF107" s="40"/>
      <c r="AG107" s="40"/>
      <c r="AH107" s="56" t="str">
        <f t="shared" si="33"/>
        <v/>
      </c>
      <c r="AI107" s="54"/>
      <c r="AJ107" s="54"/>
      <c r="AK107" s="54"/>
      <c r="AL107" s="54"/>
      <c r="AM107" s="54"/>
    </row>
    <row r="108" spans="1:39">
      <c r="A108" s="95"/>
      <c r="B108" s="45" t="str" cm="1">
        <f t="array" ref="B108">IF(H108="PROJECT", CHAR(10) &amp; "- " &amp; _xlfn.TEXTJOIN(CHAR(10) &amp; "- ", TRUE, _xlfn._xlws.FILTER($I$9:$I$1000, ($C$9:$C$1000=C108) * ($H$9:$H$1000="Topic"))), "")</f>
        <v/>
      </c>
      <c r="C108" s="45">
        <f t="shared" si="17"/>
        <v>76</v>
      </c>
      <c r="D108" s="57"/>
      <c r="E108" s="58"/>
      <c r="F108" s="54"/>
      <c r="G108" s="52"/>
      <c r="H108" s="52"/>
      <c r="I108" s="61"/>
      <c r="J108" s="62"/>
      <c r="K108" s="120" t="str">
        <f t="shared" si="18"/>
        <v/>
      </c>
      <c r="L108" s="103" t="str">
        <f t="shared" si="19"/>
        <v/>
      </c>
      <c r="M108" s="52">
        <v>0</v>
      </c>
      <c r="N108" s="102" t="str">
        <f t="shared" si="20"/>
        <v/>
      </c>
      <c r="O108" s="103" t="str">
        <f t="shared" si="21"/>
        <v/>
      </c>
      <c r="P108" s="52">
        <v>0</v>
      </c>
      <c r="Q108" s="102" t="str">
        <f t="shared" si="22"/>
        <v/>
      </c>
      <c r="R108" s="103" t="str">
        <f t="shared" si="23"/>
        <v/>
      </c>
      <c r="S108" s="52">
        <v>0</v>
      </c>
      <c r="T108" s="102" t="str">
        <f t="shared" si="24"/>
        <v/>
      </c>
      <c r="U108" s="103" t="str">
        <f t="shared" si="25"/>
        <v/>
      </c>
      <c r="V108" s="52">
        <v>0</v>
      </c>
      <c r="W108" s="87" t="str">
        <f t="shared" si="26"/>
        <v/>
      </c>
      <c r="X108" s="103" t="str">
        <f t="shared" si="27"/>
        <v/>
      </c>
      <c r="Y108" s="52">
        <v>0</v>
      </c>
      <c r="Z108" s="56" t="str">
        <f t="shared" si="28"/>
        <v/>
      </c>
      <c r="AA108" s="56" t="str">
        <f t="shared" si="29"/>
        <v/>
      </c>
      <c r="AB108" s="56" t="str">
        <f t="shared" si="30"/>
        <v/>
      </c>
      <c r="AC108" s="56" t="str">
        <f t="shared" si="31"/>
        <v/>
      </c>
      <c r="AD108" s="56" t="str">
        <f t="shared" si="32"/>
        <v/>
      </c>
      <c r="AE108" s="40"/>
      <c r="AF108" s="40"/>
      <c r="AG108" s="40"/>
      <c r="AH108" s="56" t="str">
        <f t="shared" si="33"/>
        <v/>
      </c>
      <c r="AI108" s="54"/>
      <c r="AJ108" s="54"/>
      <c r="AK108" s="54"/>
      <c r="AL108" s="54"/>
      <c r="AM108" s="54"/>
    </row>
    <row r="109" spans="1:39">
      <c r="A109" s="95"/>
      <c r="B109" s="45" t="str" cm="1">
        <f t="array" ref="B109">IF(H109="PROJECT", CHAR(10) &amp; "- " &amp; _xlfn.TEXTJOIN(CHAR(10) &amp; "- ", TRUE, _xlfn._xlws.FILTER($I$9:$I$1000, ($C$9:$C$1000=C109) * ($H$9:$H$1000="Topic"))), "")</f>
        <v/>
      </c>
      <c r="C109" s="45">
        <f t="shared" si="17"/>
        <v>77</v>
      </c>
      <c r="D109" s="46"/>
      <c r="E109" s="58"/>
      <c r="F109" s="67"/>
      <c r="G109" s="53"/>
      <c r="H109" s="53"/>
      <c r="I109" s="50"/>
      <c r="J109" s="51"/>
      <c r="K109" s="120" t="str">
        <f t="shared" si="18"/>
        <v/>
      </c>
      <c r="L109" s="103" t="str">
        <f t="shared" si="19"/>
        <v/>
      </c>
      <c r="M109" s="53">
        <v>0</v>
      </c>
      <c r="N109" s="102" t="str">
        <f t="shared" si="20"/>
        <v/>
      </c>
      <c r="O109" s="103" t="str">
        <f t="shared" si="21"/>
        <v/>
      </c>
      <c r="P109" s="53">
        <v>0</v>
      </c>
      <c r="Q109" s="102" t="str">
        <f t="shared" si="22"/>
        <v/>
      </c>
      <c r="R109" s="103" t="str">
        <f t="shared" si="23"/>
        <v/>
      </c>
      <c r="S109" s="53">
        <v>0</v>
      </c>
      <c r="T109" s="102" t="str">
        <f t="shared" si="24"/>
        <v/>
      </c>
      <c r="U109" s="103" t="str">
        <f t="shared" si="25"/>
        <v/>
      </c>
      <c r="V109" s="53">
        <v>0</v>
      </c>
      <c r="W109" s="87" t="str">
        <f t="shared" si="26"/>
        <v/>
      </c>
      <c r="X109" s="103" t="str">
        <f t="shared" si="27"/>
        <v/>
      </c>
      <c r="Y109" s="53">
        <v>0</v>
      </c>
      <c r="Z109" s="56" t="str">
        <f t="shared" si="28"/>
        <v/>
      </c>
      <c r="AA109" s="56" t="str">
        <f t="shared" si="29"/>
        <v/>
      </c>
      <c r="AB109" s="56" t="str">
        <f t="shared" si="30"/>
        <v/>
      </c>
      <c r="AC109" s="56" t="str">
        <f t="shared" si="31"/>
        <v/>
      </c>
      <c r="AD109" s="56" t="str">
        <f t="shared" si="32"/>
        <v/>
      </c>
      <c r="AE109" s="40"/>
      <c r="AF109" s="40"/>
      <c r="AG109" s="40"/>
      <c r="AH109" s="56" t="str">
        <f t="shared" si="33"/>
        <v/>
      </c>
      <c r="AI109" s="54"/>
      <c r="AJ109" s="54"/>
      <c r="AK109" s="54"/>
      <c r="AL109" s="54"/>
      <c r="AM109" s="54"/>
    </row>
    <row r="110" spans="1:39">
      <c r="A110" s="95"/>
      <c r="B110" s="45" t="str" cm="1">
        <f t="array" ref="B110">IF(H110="PROJECT", CHAR(10) &amp; "- " &amp; _xlfn.TEXTJOIN(CHAR(10) &amp; "- ", TRUE, _xlfn._xlws.FILTER($I$9:$I$1000, ($C$9:$C$1000=C110) * ($H$9:$H$1000="Topic"))), "")</f>
        <v/>
      </c>
      <c r="C110" s="45">
        <f t="shared" si="17"/>
        <v>78</v>
      </c>
      <c r="D110" s="57"/>
      <c r="E110" s="58"/>
      <c r="F110" s="54"/>
      <c r="G110" s="52"/>
      <c r="H110" s="52"/>
      <c r="I110" s="61"/>
      <c r="J110" s="62"/>
      <c r="K110" s="120" t="str">
        <f t="shared" si="18"/>
        <v/>
      </c>
      <c r="L110" s="103" t="str">
        <f t="shared" si="19"/>
        <v/>
      </c>
      <c r="M110" s="52">
        <v>0</v>
      </c>
      <c r="N110" s="102" t="str">
        <f t="shared" si="20"/>
        <v/>
      </c>
      <c r="O110" s="103" t="str">
        <f t="shared" si="21"/>
        <v/>
      </c>
      <c r="P110" s="52">
        <v>0</v>
      </c>
      <c r="Q110" s="102" t="str">
        <f t="shared" si="22"/>
        <v/>
      </c>
      <c r="R110" s="103" t="str">
        <f t="shared" si="23"/>
        <v/>
      </c>
      <c r="S110" s="52">
        <v>0</v>
      </c>
      <c r="T110" s="102" t="str">
        <f t="shared" si="24"/>
        <v/>
      </c>
      <c r="U110" s="103" t="str">
        <f t="shared" si="25"/>
        <v/>
      </c>
      <c r="V110" s="52">
        <v>0</v>
      </c>
      <c r="W110" s="87" t="str">
        <f t="shared" si="26"/>
        <v/>
      </c>
      <c r="X110" s="103" t="str">
        <f t="shared" si="27"/>
        <v/>
      </c>
      <c r="Y110" s="52">
        <v>0</v>
      </c>
      <c r="Z110" s="56" t="str">
        <f t="shared" si="28"/>
        <v/>
      </c>
      <c r="AA110" s="56" t="str">
        <f t="shared" si="29"/>
        <v/>
      </c>
      <c r="AB110" s="56" t="str">
        <f t="shared" si="30"/>
        <v/>
      </c>
      <c r="AC110" s="56" t="str">
        <f t="shared" si="31"/>
        <v/>
      </c>
      <c r="AD110" s="56" t="str">
        <f t="shared" si="32"/>
        <v/>
      </c>
      <c r="AE110" s="40"/>
      <c r="AF110" s="40"/>
      <c r="AG110" s="40"/>
      <c r="AH110" s="56" t="str">
        <f t="shared" si="33"/>
        <v/>
      </c>
      <c r="AI110" s="54"/>
      <c r="AJ110" s="54"/>
      <c r="AK110" s="54"/>
      <c r="AL110" s="54"/>
      <c r="AM110" s="54"/>
    </row>
    <row r="111" spans="1:39">
      <c r="A111" s="95"/>
      <c r="B111" s="45" t="str" cm="1">
        <f t="array" ref="B111">IF(H111="PROJECT", CHAR(10) &amp; "- " &amp; _xlfn.TEXTJOIN(CHAR(10) &amp; "- ", TRUE, _xlfn._xlws.FILTER($I$9:$I$1000, ($C$9:$C$1000=C111) * ($H$9:$H$1000="Topic"))), "")</f>
        <v/>
      </c>
      <c r="C111" s="45">
        <f t="shared" si="17"/>
        <v>79</v>
      </c>
      <c r="D111" s="46"/>
      <c r="E111" s="58"/>
      <c r="F111" s="67"/>
      <c r="G111" s="53"/>
      <c r="H111" s="53"/>
      <c r="I111" s="50"/>
      <c r="J111" s="51"/>
      <c r="K111" s="120" t="str">
        <f t="shared" si="18"/>
        <v/>
      </c>
      <c r="L111" s="103" t="str">
        <f t="shared" si="19"/>
        <v/>
      </c>
      <c r="M111" s="53">
        <v>0</v>
      </c>
      <c r="N111" s="102" t="str">
        <f t="shared" si="20"/>
        <v/>
      </c>
      <c r="O111" s="103" t="str">
        <f t="shared" si="21"/>
        <v/>
      </c>
      <c r="P111" s="53">
        <v>0</v>
      </c>
      <c r="Q111" s="102" t="str">
        <f t="shared" si="22"/>
        <v/>
      </c>
      <c r="R111" s="103" t="str">
        <f t="shared" si="23"/>
        <v/>
      </c>
      <c r="S111" s="53">
        <v>0</v>
      </c>
      <c r="T111" s="102" t="str">
        <f t="shared" si="24"/>
        <v/>
      </c>
      <c r="U111" s="103" t="str">
        <f t="shared" si="25"/>
        <v/>
      </c>
      <c r="V111" s="53">
        <v>0</v>
      </c>
      <c r="W111" s="87" t="str">
        <f t="shared" si="26"/>
        <v/>
      </c>
      <c r="X111" s="103" t="str">
        <f t="shared" si="27"/>
        <v/>
      </c>
      <c r="Y111" s="53">
        <v>0</v>
      </c>
      <c r="Z111" s="56" t="str">
        <f t="shared" si="28"/>
        <v/>
      </c>
      <c r="AA111" s="56" t="str">
        <f t="shared" si="29"/>
        <v/>
      </c>
      <c r="AB111" s="56" t="str">
        <f t="shared" si="30"/>
        <v/>
      </c>
      <c r="AC111" s="56" t="str">
        <f t="shared" si="31"/>
        <v/>
      </c>
      <c r="AD111" s="56" t="str">
        <f t="shared" si="32"/>
        <v/>
      </c>
      <c r="AE111" s="40"/>
      <c r="AF111" s="40"/>
      <c r="AG111" s="40"/>
      <c r="AH111" s="56" t="str">
        <f t="shared" si="33"/>
        <v/>
      </c>
      <c r="AI111" s="54"/>
      <c r="AJ111" s="54"/>
      <c r="AK111" s="54"/>
      <c r="AL111" s="54"/>
      <c r="AM111" s="54"/>
    </row>
    <row r="112" spans="1:39">
      <c r="A112" s="95"/>
      <c r="B112" s="45" t="str" cm="1">
        <f t="array" ref="B112">IF(H112="PROJECT", CHAR(10) &amp; "- " &amp; _xlfn.TEXTJOIN(CHAR(10) &amp; "- ", TRUE, _xlfn._xlws.FILTER($I$9:$I$1000, ($C$9:$C$1000=C112) * ($H$9:$H$1000="Topic"))), "")</f>
        <v/>
      </c>
      <c r="C112" s="45">
        <f t="shared" si="17"/>
        <v>80</v>
      </c>
      <c r="D112" s="57"/>
      <c r="E112" s="58"/>
      <c r="F112" s="54"/>
      <c r="G112" s="52"/>
      <c r="H112" s="52"/>
      <c r="I112" s="61"/>
      <c r="J112" s="62"/>
      <c r="K112" s="120" t="str">
        <f t="shared" si="18"/>
        <v/>
      </c>
      <c r="L112" s="103" t="str">
        <f t="shared" si="19"/>
        <v/>
      </c>
      <c r="M112" s="52">
        <v>0</v>
      </c>
      <c r="N112" s="102" t="str">
        <f t="shared" si="20"/>
        <v/>
      </c>
      <c r="O112" s="103" t="str">
        <f t="shared" si="21"/>
        <v/>
      </c>
      <c r="P112" s="52">
        <v>0</v>
      </c>
      <c r="Q112" s="102" t="str">
        <f t="shared" si="22"/>
        <v/>
      </c>
      <c r="R112" s="103" t="str">
        <f t="shared" si="23"/>
        <v/>
      </c>
      <c r="S112" s="52">
        <v>0</v>
      </c>
      <c r="T112" s="102" t="str">
        <f t="shared" si="24"/>
        <v/>
      </c>
      <c r="U112" s="103" t="str">
        <f t="shared" si="25"/>
        <v/>
      </c>
      <c r="V112" s="52">
        <v>0</v>
      </c>
      <c r="W112" s="87" t="str">
        <f t="shared" si="26"/>
        <v/>
      </c>
      <c r="X112" s="103" t="str">
        <f t="shared" si="27"/>
        <v/>
      </c>
      <c r="Y112" s="52">
        <v>0</v>
      </c>
      <c r="Z112" s="56" t="str">
        <f t="shared" si="28"/>
        <v/>
      </c>
      <c r="AA112" s="56" t="str">
        <f t="shared" si="29"/>
        <v/>
      </c>
      <c r="AB112" s="56" t="str">
        <f t="shared" si="30"/>
        <v/>
      </c>
      <c r="AC112" s="56" t="str">
        <f t="shared" si="31"/>
        <v/>
      </c>
      <c r="AD112" s="56" t="str">
        <f t="shared" si="32"/>
        <v/>
      </c>
      <c r="AE112" s="40"/>
      <c r="AF112" s="40"/>
      <c r="AG112" s="40"/>
      <c r="AH112" s="56" t="str">
        <f t="shared" si="33"/>
        <v/>
      </c>
      <c r="AI112" s="54"/>
      <c r="AJ112" s="54"/>
      <c r="AK112" s="54"/>
      <c r="AL112" s="54"/>
      <c r="AM112" s="54"/>
    </row>
    <row r="113" spans="1:39">
      <c r="A113" s="95"/>
      <c r="B113" s="45" t="str" cm="1">
        <f t="array" ref="B113">IF(H113="PROJECT", CHAR(10) &amp; "- " &amp; _xlfn.TEXTJOIN(CHAR(10) &amp; "- ", TRUE, _xlfn._xlws.FILTER($I$9:$I$1000, ($C$9:$C$1000=C113) * ($H$9:$H$1000="Topic"))), "")</f>
        <v/>
      </c>
      <c r="C113" s="45">
        <f t="shared" si="17"/>
        <v>81</v>
      </c>
      <c r="D113" s="46"/>
      <c r="E113" s="58"/>
      <c r="F113" s="67"/>
      <c r="G113" s="53"/>
      <c r="H113" s="53"/>
      <c r="I113" s="50"/>
      <c r="J113" s="51"/>
      <c r="K113" s="120" t="str">
        <f t="shared" si="18"/>
        <v/>
      </c>
      <c r="L113" s="103" t="str">
        <f t="shared" si="19"/>
        <v/>
      </c>
      <c r="M113" s="53">
        <v>0</v>
      </c>
      <c r="N113" s="102" t="str">
        <f t="shared" si="20"/>
        <v/>
      </c>
      <c r="O113" s="103" t="str">
        <f t="shared" si="21"/>
        <v/>
      </c>
      <c r="P113" s="53">
        <v>0</v>
      </c>
      <c r="Q113" s="102" t="str">
        <f t="shared" si="22"/>
        <v/>
      </c>
      <c r="R113" s="103" t="str">
        <f t="shared" si="23"/>
        <v/>
      </c>
      <c r="S113" s="53">
        <v>0</v>
      </c>
      <c r="T113" s="102" t="str">
        <f t="shared" si="24"/>
        <v/>
      </c>
      <c r="U113" s="103" t="str">
        <f t="shared" si="25"/>
        <v/>
      </c>
      <c r="V113" s="53">
        <v>0</v>
      </c>
      <c r="W113" s="87" t="str">
        <f t="shared" si="26"/>
        <v/>
      </c>
      <c r="X113" s="103" t="str">
        <f t="shared" si="27"/>
        <v/>
      </c>
      <c r="Y113" s="53">
        <v>0</v>
      </c>
      <c r="Z113" s="56" t="str">
        <f t="shared" si="28"/>
        <v/>
      </c>
      <c r="AA113" s="56" t="str">
        <f t="shared" si="29"/>
        <v/>
      </c>
      <c r="AB113" s="56" t="str">
        <f t="shared" si="30"/>
        <v/>
      </c>
      <c r="AC113" s="56" t="str">
        <f t="shared" si="31"/>
        <v/>
      </c>
      <c r="AD113" s="56" t="str">
        <f t="shared" si="32"/>
        <v/>
      </c>
      <c r="AE113" s="40"/>
      <c r="AF113" s="40"/>
      <c r="AG113" s="40"/>
      <c r="AH113" s="56" t="str">
        <f t="shared" si="33"/>
        <v/>
      </c>
      <c r="AI113" s="54"/>
      <c r="AJ113" s="54"/>
      <c r="AK113" s="54"/>
      <c r="AL113" s="54"/>
      <c r="AM113" s="54"/>
    </row>
    <row r="114" spans="1:39">
      <c r="A114" s="95"/>
      <c r="B114" s="45" t="str" cm="1">
        <f t="array" ref="B114">IF(H114="PROJECT", CHAR(10) &amp; "- " &amp; _xlfn.TEXTJOIN(CHAR(10) &amp; "- ", TRUE, _xlfn._xlws.FILTER($I$9:$I$1000, ($C$9:$C$1000=C114) * ($H$9:$H$1000="Topic"))), "")</f>
        <v/>
      </c>
      <c r="C114" s="45">
        <f t="shared" si="17"/>
        <v>82</v>
      </c>
      <c r="D114" s="57"/>
      <c r="E114" s="58"/>
      <c r="F114" s="54"/>
      <c r="G114" s="52"/>
      <c r="H114" s="52"/>
      <c r="I114" s="61"/>
      <c r="J114" s="62"/>
      <c r="K114" s="120" t="str">
        <f t="shared" si="18"/>
        <v/>
      </c>
      <c r="L114" s="103" t="str">
        <f t="shared" si="19"/>
        <v/>
      </c>
      <c r="M114" s="52">
        <v>0</v>
      </c>
      <c r="N114" s="102" t="str">
        <f t="shared" si="20"/>
        <v/>
      </c>
      <c r="O114" s="103" t="str">
        <f t="shared" si="21"/>
        <v/>
      </c>
      <c r="P114" s="52">
        <v>0</v>
      </c>
      <c r="Q114" s="102" t="str">
        <f t="shared" si="22"/>
        <v/>
      </c>
      <c r="R114" s="103" t="str">
        <f t="shared" si="23"/>
        <v/>
      </c>
      <c r="S114" s="52">
        <v>0</v>
      </c>
      <c r="T114" s="102" t="str">
        <f t="shared" si="24"/>
        <v/>
      </c>
      <c r="U114" s="103" t="str">
        <f t="shared" si="25"/>
        <v/>
      </c>
      <c r="V114" s="52">
        <v>0</v>
      </c>
      <c r="W114" s="87" t="str">
        <f t="shared" si="26"/>
        <v/>
      </c>
      <c r="X114" s="103" t="str">
        <f t="shared" si="27"/>
        <v/>
      </c>
      <c r="Y114" s="52">
        <v>0</v>
      </c>
      <c r="Z114" s="56" t="str">
        <f t="shared" si="28"/>
        <v/>
      </c>
      <c r="AA114" s="56" t="str">
        <f t="shared" si="29"/>
        <v/>
      </c>
      <c r="AB114" s="56" t="str">
        <f t="shared" si="30"/>
        <v/>
      </c>
      <c r="AC114" s="56" t="str">
        <f t="shared" si="31"/>
        <v/>
      </c>
      <c r="AD114" s="56" t="str">
        <f t="shared" si="32"/>
        <v/>
      </c>
      <c r="AE114" s="40"/>
      <c r="AF114" s="40"/>
      <c r="AG114" s="40"/>
      <c r="AH114" s="56" t="str">
        <f t="shared" si="33"/>
        <v/>
      </c>
      <c r="AI114" s="54"/>
      <c r="AJ114" s="54"/>
      <c r="AK114" s="54"/>
      <c r="AL114" s="54"/>
      <c r="AM114" s="54"/>
    </row>
    <row r="115" spans="1:39">
      <c r="A115" s="95"/>
      <c r="B115" s="45" t="str" cm="1">
        <f t="array" ref="B115">IF(H115="PROJECT", CHAR(10) &amp; "- " &amp; _xlfn.TEXTJOIN(CHAR(10) &amp; "- ", TRUE, _xlfn._xlws.FILTER($I$9:$I$1000, ($C$9:$C$1000=C115) * ($H$9:$H$1000="Topic"))), "")</f>
        <v/>
      </c>
      <c r="C115" s="45">
        <f t="shared" si="17"/>
        <v>83</v>
      </c>
      <c r="D115" s="46"/>
      <c r="E115" s="58"/>
      <c r="F115" s="67"/>
      <c r="G115" s="53"/>
      <c r="H115" s="53"/>
      <c r="I115" s="50"/>
      <c r="J115" s="51"/>
      <c r="K115" s="120" t="str">
        <f t="shared" si="18"/>
        <v/>
      </c>
      <c r="L115" s="103" t="str">
        <f t="shared" si="19"/>
        <v/>
      </c>
      <c r="M115" s="53">
        <v>0</v>
      </c>
      <c r="N115" s="102" t="str">
        <f t="shared" si="20"/>
        <v/>
      </c>
      <c r="O115" s="103" t="str">
        <f t="shared" si="21"/>
        <v/>
      </c>
      <c r="P115" s="53">
        <v>0</v>
      </c>
      <c r="Q115" s="102" t="str">
        <f t="shared" si="22"/>
        <v/>
      </c>
      <c r="R115" s="103" t="str">
        <f t="shared" si="23"/>
        <v/>
      </c>
      <c r="S115" s="53">
        <v>0</v>
      </c>
      <c r="T115" s="102" t="str">
        <f t="shared" si="24"/>
        <v/>
      </c>
      <c r="U115" s="103" t="str">
        <f t="shared" si="25"/>
        <v/>
      </c>
      <c r="V115" s="53">
        <v>0</v>
      </c>
      <c r="W115" s="87" t="str">
        <f t="shared" si="26"/>
        <v/>
      </c>
      <c r="X115" s="103" t="str">
        <f t="shared" si="27"/>
        <v/>
      </c>
      <c r="Y115" s="53">
        <v>0</v>
      </c>
      <c r="Z115" s="56" t="str">
        <f t="shared" si="28"/>
        <v/>
      </c>
      <c r="AA115" s="56" t="str">
        <f t="shared" si="29"/>
        <v/>
      </c>
      <c r="AB115" s="56" t="str">
        <f t="shared" si="30"/>
        <v/>
      </c>
      <c r="AC115" s="56" t="str">
        <f t="shared" si="31"/>
        <v/>
      </c>
      <c r="AD115" s="56" t="str">
        <f t="shared" si="32"/>
        <v/>
      </c>
      <c r="AE115" s="40"/>
      <c r="AF115" s="40"/>
      <c r="AG115" s="40"/>
      <c r="AH115" s="56" t="str">
        <f t="shared" si="33"/>
        <v/>
      </c>
      <c r="AI115" s="54"/>
      <c r="AJ115" s="54"/>
      <c r="AK115" s="54"/>
      <c r="AL115" s="54"/>
      <c r="AM115" s="54"/>
    </row>
    <row r="116" spans="1:39">
      <c r="A116" s="95"/>
      <c r="B116" s="45" t="str" cm="1">
        <f t="array" ref="B116">IF(H116="PROJECT", CHAR(10) &amp; "- " &amp; _xlfn.TEXTJOIN(CHAR(10) &amp; "- ", TRUE, _xlfn._xlws.FILTER($I$9:$I$1000, ($C$9:$C$1000=C116) * ($H$9:$H$1000="Topic"))), "")</f>
        <v/>
      </c>
      <c r="C116" s="45">
        <f t="shared" si="17"/>
        <v>84</v>
      </c>
      <c r="D116" s="57"/>
      <c r="E116" s="58"/>
      <c r="F116" s="54"/>
      <c r="G116" s="52"/>
      <c r="H116" s="52"/>
      <c r="I116" s="61"/>
      <c r="J116" s="62"/>
      <c r="K116" s="120" t="str">
        <f t="shared" si="18"/>
        <v/>
      </c>
      <c r="L116" s="103" t="str">
        <f t="shared" si="19"/>
        <v/>
      </c>
      <c r="M116" s="52">
        <v>0</v>
      </c>
      <c r="N116" s="102" t="str">
        <f t="shared" si="20"/>
        <v/>
      </c>
      <c r="O116" s="103" t="str">
        <f t="shared" si="21"/>
        <v/>
      </c>
      <c r="P116" s="52">
        <v>0</v>
      </c>
      <c r="Q116" s="102" t="str">
        <f t="shared" si="22"/>
        <v/>
      </c>
      <c r="R116" s="103" t="str">
        <f t="shared" si="23"/>
        <v/>
      </c>
      <c r="S116" s="52">
        <v>0</v>
      </c>
      <c r="T116" s="102" t="str">
        <f t="shared" si="24"/>
        <v/>
      </c>
      <c r="U116" s="103" t="str">
        <f t="shared" si="25"/>
        <v/>
      </c>
      <c r="V116" s="52">
        <v>0</v>
      </c>
      <c r="W116" s="87" t="str">
        <f t="shared" si="26"/>
        <v/>
      </c>
      <c r="X116" s="103" t="str">
        <f t="shared" si="27"/>
        <v/>
      </c>
      <c r="Y116" s="52">
        <v>0</v>
      </c>
      <c r="Z116" s="56" t="str">
        <f t="shared" si="28"/>
        <v/>
      </c>
      <c r="AA116" s="56" t="str">
        <f t="shared" si="29"/>
        <v/>
      </c>
      <c r="AB116" s="56" t="str">
        <f t="shared" si="30"/>
        <v/>
      </c>
      <c r="AC116" s="56" t="str">
        <f t="shared" si="31"/>
        <v/>
      </c>
      <c r="AD116" s="56" t="str">
        <f t="shared" si="32"/>
        <v/>
      </c>
      <c r="AE116" s="40"/>
      <c r="AF116" s="40"/>
      <c r="AG116" s="40"/>
      <c r="AH116" s="56" t="str">
        <f t="shared" si="33"/>
        <v/>
      </c>
      <c r="AI116" s="54"/>
      <c r="AJ116" s="54"/>
      <c r="AK116" s="54"/>
      <c r="AL116" s="54"/>
      <c r="AM116" s="54"/>
    </row>
    <row r="117" spans="1:39">
      <c r="A117" s="95"/>
      <c r="B117" s="45" t="str" cm="1">
        <f t="array" ref="B117">IF(H117="PROJECT", CHAR(10) &amp; "- " &amp; _xlfn.TEXTJOIN(CHAR(10) &amp; "- ", TRUE, _xlfn._xlws.FILTER($I$9:$I$1000, ($C$9:$C$1000=C117) * ($H$9:$H$1000="Topic"))), "")</f>
        <v/>
      </c>
      <c r="C117" s="45">
        <f t="shared" si="17"/>
        <v>85</v>
      </c>
      <c r="D117" s="46"/>
      <c r="E117" s="58"/>
      <c r="F117" s="67"/>
      <c r="G117" s="53"/>
      <c r="H117" s="53"/>
      <c r="I117" s="50"/>
      <c r="J117" s="51"/>
      <c r="K117" s="120" t="str">
        <f t="shared" si="18"/>
        <v/>
      </c>
      <c r="L117" s="103" t="str">
        <f t="shared" si="19"/>
        <v/>
      </c>
      <c r="M117" s="53">
        <v>0</v>
      </c>
      <c r="N117" s="102" t="str">
        <f t="shared" si="20"/>
        <v/>
      </c>
      <c r="O117" s="103" t="str">
        <f t="shared" si="21"/>
        <v/>
      </c>
      <c r="P117" s="53">
        <v>0</v>
      </c>
      <c r="Q117" s="102" t="str">
        <f t="shared" si="22"/>
        <v/>
      </c>
      <c r="R117" s="103" t="str">
        <f t="shared" si="23"/>
        <v/>
      </c>
      <c r="S117" s="53">
        <v>0</v>
      </c>
      <c r="T117" s="102" t="str">
        <f t="shared" si="24"/>
        <v/>
      </c>
      <c r="U117" s="103" t="str">
        <f t="shared" si="25"/>
        <v/>
      </c>
      <c r="V117" s="53">
        <v>0</v>
      </c>
      <c r="W117" s="87" t="str">
        <f t="shared" si="26"/>
        <v/>
      </c>
      <c r="X117" s="103" t="str">
        <f t="shared" si="27"/>
        <v/>
      </c>
      <c r="Y117" s="53">
        <v>0</v>
      </c>
      <c r="Z117" s="56" t="str">
        <f t="shared" si="28"/>
        <v/>
      </c>
      <c r="AA117" s="56" t="str">
        <f t="shared" si="29"/>
        <v/>
      </c>
      <c r="AB117" s="56" t="str">
        <f t="shared" si="30"/>
        <v/>
      </c>
      <c r="AC117" s="56" t="str">
        <f t="shared" si="31"/>
        <v/>
      </c>
      <c r="AD117" s="56" t="str">
        <f t="shared" si="32"/>
        <v/>
      </c>
      <c r="AE117" s="40"/>
      <c r="AF117" s="40"/>
      <c r="AG117" s="40"/>
      <c r="AH117" s="56" t="str">
        <f t="shared" si="33"/>
        <v/>
      </c>
      <c r="AI117" s="54"/>
      <c r="AJ117" s="54"/>
      <c r="AK117" s="54"/>
      <c r="AL117" s="54"/>
      <c r="AM117" s="54"/>
    </row>
    <row r="118" spans="1:39">
      <c r="A118" s="95"/>
      <c r="B118" s="45" t="str" cm="1">
        <f t="array" ref="B118">IF(H118="PROJECT", CHAR(10) &amp; "- " &amp; _xlfn.TEXTJOIN(CHAR(10) &amp; "- ", TRUE, _xlfn._xlws.FILTER($I$9:$I$1000, ($C$9:$C$1000=C118) * ($H$9:$H$1000="Topic"))), "")</f>
        <v/>
      </c>
      <c r="C118" s="45">
        <f t="shared" si="17"/>
        <v>86</v>
      </c>
      <c r="D118" s="57"/>
      <c r="E118" s="58"/>
      <c r="F118" s="54"/>
      <c r="G118" s="52"/>
      <c r="H118" s="52"/>
      <c r="I118" s="61"/>
      <c r="J118" s="62"/>
      <c r="K118" s="120" t="str">
        <f t="shared" si="18"/>
        <v/>
      </c>
      <c r="L118" s="103" t="str">
        <f t="shared" si="19"/>
        <v/>
      </c>
      <c r="M118" s="52">
        <v>0</v>
      </c>
      <c r="N118" s="102" t="str">
        <f t="shared" si="20"/>
        <v/>
      </c>
      <c r="O118" s="103" t="str">
        <f t="shared" si="21"/>
        <v/>
      </c>
      <c r="P118" s="52">
        <v>0</v>
      </c>
      <c r="Q118" s="102" t="str">
        <f t="shared" si="22"/>
        <v/>
      </c>
      <c r="R118" s="103" t="str">
        <f t="shared" si="23"/>
        <v/>
      </c>
      <c r="S118" s="52">
        <v>0</v>
      </c>
      <c r="T118" s="102" t="str">
        <f t="shared" si="24"/>
        <v/>
      </c>
      <c r="U118" s="103" t="str">
        <f t="shared" si="25"/>
        <v/>
      </c>
      <c r="V118" s="52">
        <v>0</v>
      </c>
      <c r="W118" s="87" t="str">
        <f t="shared" si="26"/>
        <v/>
      </c>
      <c r="X118" s="103" t="str">
        <f t="shared" si="27"/>
        <v/>
      </c>
      <c r="Y118" s="52">
        <v>0</v>
      </c>
      <c r="Z118" s="56" t="str">
        <f t="shared" si="28"/>
        <v/>
      </c>
      <c r="AA118" s="56" t="str">
        <f t="shared" si="29"/>
        <v/>
      </c>
      <c r="AB118" s="56" t="str">
        <f t="shared" si="30"/>
        <v/>
      </c>
      <c r="AC118" s="56" t="str">
        <f t="shared" si="31"/>
        <v/>
      </c>
      <c r="AD118" s="56" t="str">
        <f t="shared" si="32"/>
        <v/>
      </c>
      <c r="AE118" s="40"/>
      <c r="AF118" s="40"/>
      <c r="AG118" s="40"/>
      <c r="AH118" s="56" t="str">
        <f t="shared" si="33"/>
        <v/>
      </c>
      <c r="AI118" s="54"/>
      <c r="AJ118" s="54"/>
      <c r="AK118" s="54"/>
      <c r="AL118" s="54"/>
      <c r="AM118" s="54"/>
    </row>
    <row r="119" spans="1:39">
      <c r="A119" s="95"/>
      <c r="B119" s="45" t="str" cm="1">
        <f t="array" ref="B119">IF(H119="PROJECT", CHAR(10) &amp; "- " &amp; _xlfn.TEXTJOIN(CHAR(10) &amp; "- ", TRUE, _xlfn._xlws.FILTER($I$9:$I$1000, ($C$9:$C$1000=C119) * ($H$9:$H$1000="Topic"))), "")</f>
        <v/>
      </c>
      <c r="C119" s="45">
        <f t="shared" si="17"/>
        <v>87</v>
      </c>
      <c r="D119" s="46"/>
      <c r="E119" s="58"/>
      <c r="F119" s="67"/>
      <c r="G119" s="53"/>
      <c r="H119" s="53"/>
      <c r="I119" s="50"/>
      <c r="J119" s="51"/>
      <c r="K119" s="120" t="str">
        <f t="shared" si="18"/>
        <v/>
      </c>
      <c r="L119" s="103" t="str">
        <f t="shared" si="19"/>
        <v/>
      </c>
      <c r="M119" s="53">
        <v>0</v>
      </c>
      <c r="N119" s="102" t="str">
        <f t="shared" si="20"/>
        <v/>
      </c>
      <c r="O119" s="103" t="str">
        <f t="shared" si="21"/>
        <v/>
      </c>
      <c r="P119" s="53">
        <v>0</v>
      </c>
      <c r="Q119" s="102" t="str">
        <f t="shared" si="22"/>
        <v/>
      </c>
      <c r="R119" s="103" t="str">
        <f t="shared" si="23"/>
        <v/>
      </c>
      <c r="S119" s="53">
        <v>0</v>
      </c>
      <c r="T119" s="102" t="str">
        <f t="shared" si="24"/>
        <v/>
      </c>
      <c r="U119" s="103" t="str">
        <f t="shared" si="25"/>
        <v/>
      </c>
      <c r="V119" s="53">
        <v>0</v>
      </c>
      <c r="W119" s="87" t="str">
        <f t="shared" si="26"/>
        <v/>
      </c>
      <c r="X119" s="103" t="str">
        <f t="shared" si="27"/>
        <v/>
      </c>
      <c r="Y119" s="53">
        <v>0</v>
      </c>
      <c r="Z119" s="56" t="str">
        <f t="shared" si="28"/>
        <v/>
      </c>
      <c r="AA119" s="56" t="str">
        <f t="shared" si="29"/>
        <v/>
      </c>
      <c r="AB119" s="56" t="str">
        <f t="shared" si="30"/>
        <v/>
      </c>
      <c r="AC119" s="56" t="str">
        <f t="shared" si="31"/>
        <v/>
      </c>
      <c r="AD119" s="56" t="str">
        <f t="shared" si="32"/>
        <v/>
      </c>
      <c r="AE119" s="40"/>
      <c r="AF119" s="40"/>
      <c r="AG119" s="40"/>
      <c r="AH119" s="56" t="str">
        <f t="shared" si="33"/>
        <v/>
      </c>
      <c r="AI119" s="54"/>
      <c r="AJ119" s="54"/>
      <c r="AK119" s="54"/>
      <c r="AL119" s="54"/>
      <c r="AM119" s="54"/>
    </row>
    <row r="120" spans="1:39">
      <c r="A120" s="95"/>
      <c r="B120" s="45" t="str" cm="1">
        <f t="array" ref="B120">IF(H120="PROJECT", CHAR(10) &amp; "- " &amp; _xlfn.TEXTJOIN(CHAR(10) &amp; "- ", TRUE, _xlfn._xlws.FILTER($I$9:$I$1000, ($C$9:$C$1000=C120) * ($H$9:$H$1000="Topic"))), "")</f>
        <v/>
      </c>
      <c r="C120" s="45">
        <f t="shared" si="17"/>
        <v>88</v>
      </c>
      <c r="D120" s="57"/>
      <c r="E120" s="58"/>
      <c r="F120" s="54"/>
      <c r="G120" s="52"/>
      <c r="H120" s="52"/>
      <c r="I120" s="61"/>
      <c r="J120" s="62"/>
      <c r="K120" s="120" t="str">
        <f t="shared" si="18"/>
        <v/>
      </c>
      <c r="L120" s="103" t="str">
        <f t="shared" si="19"/>
        <v/>
      </c>
      <c r="M120" s="52">
        <v>0</v>
      </c>
      <c r="N120" s="102" t="str">
        <f t="shared" si="20"/>
        <v/>
      </c>
      <c r="O120" s="103" t="str">
        <f t="shared" si="21"/>
        <v/>
      </c>
      <c r="P120" s="52">
        <v>0</v>
      </c>
      <c r="Q120" s="102" t="str">
        <f t="shared" si="22"/>
        <v/>
      </c>
      <c r="R120" s="103" t="str">
        <f t="shared" si="23"/>
        <v/>
      </c>
      <c r="S120" s="52">
        <v>0</v>
      </c>
      <c r="T120" s="102" t="str">
        <f t="shared" si="24"/>
        <v/>
      </c>
      <c r="U120" s="103" t="str">
        <f t="shared" si="25"/>
        <v/>
      </c>
      <c r="V120" s="52">
        <v>0</v>
      </c>
      <c r="W120" s="87" t="str">
        <f t="shared" si="26"/>
        <v/>
      </c>
      <c r="X120" s="103" t="str">
        <f t="shared" si="27"/>
        <v/>
      </c>
      <c r="Y120" s="52">
        <v>0</v>
      </c>
      <c r="Z120" s="56" t="str">
        <f t="shared" si="28"/>
        <v/>
      </c>
      <c r="AA120" s="56" t="str">
        <f t="shared" si="29"/>
        <v/>
      </c>
      <c r="AB120" s="56" t="str">
        <f t="shared" si="30"/>
        <v/>
      </c>
      <c r="AC120" s="56" t="str">
        <f t="shared" si="31"/>
        <v/>
      </c>
      <c r="AD120" s="56" t="str">
        <f t="shared" si="32"/>
        <v/>
      </c>
      <c r="AE120" s="40"/>
      <c r="AF120" s="40"/>
      <c r="AG120" s="40"/>
      <c r="AH120" s="56" t="str">
        <f t="shared" si="33"/>
        <v/>
      </c>
      <c r="AI120" s="54"/>
      <c r="AJ120" s="54"/>
      <c r="AK120" s="54"/>
      <c r="AL120" s="54"/>
      <c r="AM120" s="54"/>
    </row>
    <row r="121" spans="1:39">
      <c r="A121" s="95"/>
      <c r="B121" s="45" t="str" cm="1">
        <f t="array" ref="B121">IF(H121="PROJECT", CHAR(10) &amp; "- " &amp; _xlfn.TEXTJOIN(CHAR(10) &amp; "- ", TRUE, _xlfn._xlws.FILTER($I$9:$I$1000, ($C$9:$C$1000=C121) * ($H$9:$H$1000="Topic"))), "")</f>
        <v/>
      </c>
      <c r="C121" s="45">
        <f t="shared" si="17"/>
        <v>89</v>
      </c>
      <c r="D121" s="46"/>
      <c r="E121" s="58"/>
      <c r="F121" s="67"/>
      <c r="G121" s="53"/>
      <c r="H121" s="53"/>
      <c r="I121" s="50"/>
      <c r="J121" s="51"/>
      <c r="K121" s="120" t="str">
        <f t="shared" si="18"/>
        <v/>
      </c>
      <c r="L121" s="103" t="str">
        <f t="shared" si="19"/>
        <v/>
      </c>
      <c r="M121" s="53">
        <v>0</v>
      </c>
      <c r="N121" s="102" t="str">
        <f t="shared" si="20"/>
        <v/>
      </c>
      <c r="O121" s="103" t="str">
        <f t="shared" si="21"/>
        <v/>
      </c>
      <c r="P121" s="53">
        <v>0</v>
      </c>
      <c r="Q121" s="102" t="str">
        <f t="shared" si="22"/>
        <v/>
      </c>
      <c r="R121" s="103" t="str">
        <f t="shared" si="23"/>
        <v/>
      </c>
      <c r="S121" s="53">
        <v>0</v>
      </c>
      <c r="T121" s="102" t="str">
        <f t="shared" si="24"/>
        <v/>
      </c>
      <c r="U121" s="103" t="str">
        <f t="shared" si="25"/>
        <v/>
      </c>
      <c r="V121" s="53">
        <v>0</v>
      </c>
      <c r="W121" s="87" t="str">
        <f t="shared" si="26"/>
        <v/>
      </c>
      <c r="X121" s="103" t="str">
        <f t="shared" si="27"/>
        <v/>
      </c>
      <c r="Y121" s="53">
        <v>0</v>
      </c>
      <c r="Z121" s="56" t="str">
        <f t="shared" si="28"/>
        <v/>
      </c>
      <c r="AA121" s="56" t="str">
        <f t="shared" si="29"/>
        <v/>
      </c>
      <c r="AB121" s="56" t="str">
        <f t="shared" si="30"/>
        <v/>
      </c>
      <c r="AC121" s="56" t="str">
        <f t="shared" si="31"/>
        <v/>
      </c>
      <c r="AD121" s="56" t="str">
        <f t="shared" si="32"/>
        <v/>
      </c>
      <c r="AE121" s="40"/>
      <c r="AF121" s="40"/>
      <c r="AG121" s="40"/>
      <c r="AH121" s="56" t="str">
        <f t="shared" si="33"/>
        <v/>
      </c>
      <c r="AI121" s="54"/>
      <c r="AJ121" s="54"/>
      <c r="AK121" s="54"/>
      <c r="AL121" s="54"/>
      <c r="AM121" s="54"/>
    </row>
    <row r="122" spans="1:39">
      <c r="A122" s="95"/>
      <c r="B122" s="45" t="str" cm="1">
        <f t="array" ref="B122">IF(H122="PROJECT", CHAR(10) &amp; "- " &amp; _xlfn.TEXTJOIN(CHAR(10) &amp; "- ", TRUE, _xlfn._xlws.FILTER($I$9:$I$1000, ($C$9:$C$1000=C122) * ($H$9:$H$1000="Topic"))), "")</f>
        <v/>
      </c>
      <c r="C122" s="45">
        <f t="shared" si="17"/>
        <v>90</v>
      </c>
      <c r="D122" s="57"/>
      <c r="E122" s="58"/>
      <c r="F122" s="54"/>
      <c r="G122" s="52"/>
      <c r="H122" s="52"/>
      <c r="I122" s="61"/>
      <c r="J122" s="62"/>
      <c r="K122" s="120" t="str">
        <f t="shared" si="18"/>
        <v/>
      </c>
      <c r="L122" s="103" t="str">
        <f t="shared" si="19"/>
        <v/>
      </c>
      <c r="M122" s="52">
        <v>0</v>
      </c>
      <c r="N122" s="102" t="str">
        <f t="shared" si="20"/>
        <v/>
      </c>
      <c r="O122" s="103" t="str">
        <f t="shared" si="21"/>
        <v/>
      </c>
      <c r="P122" s="52">
        <v>0</v>
      </c>
      <c r="Q122" s="102" t="str">
        <f t="shared" si="22"/>
        <v/>
      </c>
      <c r="R122" s="103" t="str">
        <f t="shared" si="23"/>
        <v/>
      </c>
      <c r="S122" s="52">
        <v>0</v>
      </c>
      <c r="T122" s="102" t="str">
        <f t="shared" si="24"/>
        <v/>
      </c>
      <c r="U122" s="103" t="str">
        <f t="shared" si="25"/>
        <v/>
      </c>
      <c r="V122" s="52">
        <v>0</v>
      </c>
      <c r="W122" s="87" t="str">
        <f t="shared" si="26"/>
        <v/>
      </c>
      <c r="X122" s="103" t="str">
        <f t="shared" si="27"/>
        <v/>
      </c>
      <c r="Y122" s="52">
        <v>0</v>
      </c>
      <c r="Z122" s="56" t="str">
        <f t="shared" si="28"/>
        <v/>
      </c>
      <c r="AA122" s="56" t="str">
        <f t="shared" si="29"/>
        <v/>
      </c>
      <c r="AB122" s="56" t="str">
        <f t="shared" si="30"/>
        <v/>
      </c>
      <c r="AC122" s="56" t="str">
        <f t="shared" si="31"/>
        <v/>
      </c>
      <c r="AD122" s="56" t="str">
        <f t="shared" si="32"/>
        <v/>
      </c>
      <c r="AE122" s="40"/>
      <c r="AF122" s="40"/>
      <c r="AG122" s="40"/>
      <c r="AH122" s="56" t="str">
        <f t="shared" si="33"/>
        <v/>
      </c>
      <c r="AI122" s="54"/>
      <c r="AJ122" s="54"/>
      <c r="AK122" s="54"/>
      <c r="AL122" s="54"/>
      <c r="AM122" s="54"/>
    </row>
    <row r="123" spans="1:39">
      <c r="A123" s="95"/>
      <c r="B123" s="45" t="str" cm="1">
        <f t="array" ref="B123">IF(H123="PROJECT", CHAR(10) &amp; "- " &amp; _xlfn.TEXTJOIN(CHAR(10) &amp; "- ", TRUE, _xlfn._xlws.FILTER($I$9:$I$1000, ($C$9:$C$1000=C123) * ($H$9:$H$1000="Topic"))), "")</f>
        <v/>
      </c>
      <c r="C123" s="45">
        <f t="shared" si="17"/>
        <v>91</v>
      </c>
      <c r="D123" s="46"/>
      <c r="E123" s="58"/>
      <c r="F123" s="67"/>
      <c r="G123" s="53"/>
      <c r="H123" s="53"/>
      <c r="I123" s="50"/>
      <c r="J123" s="51"/>
      <c r="K123" s="120" t="str">
        <f t="shared" si="18"/>
        <v/>
      </c>
      <c r="L123" s="103" t="str">
        <f t="shared" si="19"/>
        <v/>
      </c>
      <c r="M123" s="53">
        <v>0</v>
      </c>
      <c r="N123" s="102" t="str">
        <f t="shared" si="20"/>
        <v/>
      </c>
      <c r="O123" s="103" t="str">
        <f t="shared" si="21"/>
        <v/>
      </c>
      <c r="P123" s="53">
        <v>0</v>
      </c>
      <c r="Q123" s="102" t="str">
        <f t="shared" si="22"/>
        <v/>
      </c>
      <c r="R123" s="103" t="str">
        <f t="shared" si="23"/>
        <v/>
      </c>
      <c r="S123" s="53">
        <v>0</v>
      </c>
      <c r="T123" s="102" t="str">
        <f t="shared" si="24"/>
        <v/>
      </c>
      <c r="U123" s="103" t="str">
        <f t="shared" si="25"/>
        <v/>
      </c>
      <c r="V123" s="53">
        <v>0</v>
      </c>
      <c r="W123" s="87" t="str">
        <f t="shared" si="26"/>
        <v/>
      </c>
      <c r="X123" s="103" t="str">
        <f t="shared" si="27"/>
        <v/>
      </c>
      <c r="Y123" s="53">
        <v>0</v>
      </c>
      <c r="Z123" s="56" t="str">
        <f t="shared" si="28"/>
        <v/>
      </c>
      <c r="AA123" s="56" t="str">
        <f t="shared" si="29"/>
        <v/>
      </c>
      <c r="AB123" s="56" t="str">
        <f t="shared" si="30"/>
        <v/>
      </c>
      <c r="AC123" s="56" t="str">
        <f t="shared" si="31"/>
        <v/>
      </c>
      <c r="AD123" s="56" t="str">
        <f t="shared" si="32"/>
        <v/>
      </c>
      <c r="AE123" s="40"/>
      <c r="AF123" s="40"/>
      <c r="AG123" s="40"/>
      <c r="AH123" s="56" t="str">
        <f t="shared" si="33"/>
        <v/>
      </c>
      <c r="AI123" s="54"/>
      <c r="AJ123" s="54"/>
      <c r="AK123" s="54"/>
      <c r="AL123" s="54"/>
      <c r="AM123" s="54"/>
    </row>
    <row r="124" spans="1:39">
      <c r="A124" s="95"/>
      <c r="B124" s="45" t="str" cm="1">
        <f t="array" ref="B124">IF(H124="PROJECT", CHAR(10) &amp; "- " &amp; _xlfn.TEXTJOIN(CHAR(10) &amp; "- ", TRUE, _xlfn._xlws.FILTER($I$9:$I$1000, ($C$9:$C$1000=C124) * ($H$9:$H$1000="Topic"))), "")</f>
        <v/>
      </c>
      <c r="C124" s="45">
        <f t="shared" si="17"/>
        <v>92</v>
      </c>
      <c r="D124" s="57"/>
      <c r="E124" s="58"/>
      <c r="F124" s="54"/>
      <c r="G124" s="52"/>
      <c r="H124" s="52"/>
      <c r="I124" s="61"/>
      <c r="J124" s="62"/>
      <c r="K124" s="120" t="str">
        <f t="shared" si="18"/>
        <v/>
      </c>
      <c r="L124" s="103" t="str">
        <f t="shared" si="19"/>
        <v/>
      </c>
      <c r="M124" s="52">
        <v>0</v>
      </c>
      <c r="N124" s="102" t="str">
        <f t="shared" si="20"/>
        <v/>
      </c>
      <c r="O124" s="103" t="str">
        <f t="shared" si="21"/>
        <v/>
      </c>
      <c r="P124" s="52">
        <v>0</v>
      </c>
      <c r="Q124" s="102" t="str">
        <f t="shared" si="22"/>
        <v/>
      </c>
      <c r="R124" s="103" t="str">
        <f t="shared" si="23"/>
        <v/>
      </c>
      <c r="S124" s="52">
        <v>0</v>
      </c>
      <c r="T124" s="102" t="str">
        <f t="shared" si="24"/>
        <v/>
      </c>
      <c r="U124" s="103" t="str">
        <f t="shared" si="25"/>
        <v/>
      </c>
      <c r="V124" s="52">
        <v>0</v>
      </c>
      <c r="W124" s="87" t="str">
        <f t="shared" si="26"/>
        <v/>
      </c>
      <c r="X124" s="103" t="str">
        <f t="shared" si="27"/>
        <v/>
      </c>
      <c r="Y124" s="52">
        <v>0</v>
      </c>
      <c r="Z124" s="56" t="str">
        <f t="shared" si="28"/>
        <v/>
      </c>
      <c r="AA124" s="56" t="str">
        <f t="shared" si="29"/>
        <v/>
      </c>
      <c r="AB124" s="56" t="str">
        <f t="shared" si="30"/>
        <v/>
      </c>
      <c r="AC124" s="56" t="str">
        <f t="shared" si="31"/>
        <v/>
      </c>
      <c r="AD124" s="56" t="str">
        <f t="shared" si="32"/>
        <v/>
      </c>
      <c r="AE124" s="40"/>
      <c r="AF124" s="40"/>
      <c r="AG124" s="40"/>
      <c r="AH124" s="56" t="str">
        <f t="shared" si="33"/>
        <v/>
      </c>
      <c r="AI124" s="54"/>
      <c r="AJ124" s="54"/>
      <c r="AK124" s="54"/>
      <c r="AL124" s="54"/>
      <c r="AM124" s="54"/>
    </row>
    <row r="125" spans="1:39">
      <c r="A125" s="95"/>
      <c r="B125" s="45" t="str" cm="1">
        <f t="array" ref="B125">IF(H125="PROJECT", CHAR(10) &amp; "- " &amp; _xlfn.TEXTJOIN(CHAR(10) &amp; "- ", TRUE, _xlfn._xlws.FILTER($I$9:$I$1000, ($C$9:$C$1000=C125) * ($H$9:$H$1000="Topic"))), "")</f>
        <v/>
      </c>
      <c r="C125" s="45">
        <f t="shared" si="17"/>
        <v>93</v>
      </c>
      <c r="D125" s="46"/>
      <c r="E125" s="58"/>
      <c r="F125" s="67"/>
      <c r="G125" s="53"/>
      <c r="H125" s="53"/>
      <c r="I125" s="50"/>
      <c r="J125" s="51"/>
      <c r="K125" s="120" t="str">
        <f t="shared" si="18"/>
        <v/>
      </c>
      <c r="L125" s="103" t="str">
        <f t="shared" si="19"/>
        <v/>
      </c>
      <c r="M125" s="53">
        <v>0</v>
      </c>
      <c r="N125" s="102" t="str">
        <f t="shared" si="20"/>
        <v/>
      </c>
      <c r="O125" s="103" t="str">
        <f t="shared" si="21"/>
        <v/>
      </c>
      <c r="P125" s="53">
        <v>0</v>
      </c>
      <c r="Q125" s="102" t="str">
        <f t="shared" si="22"/>
        <v/>
      </c>
      <c r="R125" s="103" t="str">
        <f t="shared" si="23"/>
        <v/>
      </c>
      <c r="S125" s="53">
        <v>0</v>
      </c>
      <c r="T125" s="102" t="str">
        <f t="shared" si="24"/>
        <v/>
      </c>
      <c r="U125" s="103" t="str">
        <f t="shared" si="25"/>
        <v/>
      </c>
      <c r="V125" s="53">
        <v>0</v>
      </c>
      <c r="W125" s="87" t="str">
        <f t="shared" si="26"/>
        <v/>
      </c>
      <c r="X125" s="103" t="str">
        <f t="shared" si="27"/>
        <v/>
      </c>
      <c r="Y125" s="53">
        <v>0</v>
      </c>
      <c r="Z125" s="56" t="str">
        <f t="shared" si="28"/>
        <v/>
      </c>
      <c r="AA125" s="56" t="str">
        <f t="shared" si="29"/>
        <v/>
      </c>
      <c r="AB125" s="56" t="str">
        <f t="shared" si="30"/>
        <v/>
      </c>
      <c r="AC125" s="56" t="str">
        <f t="shared" si="31"/>
        <v/>
      </c>
      <c r="AD125" s="56" t="str">
        <f t="shared" si="32"/>
        <v/>
      </c>
      <c r="AE125" s="40"/>
      <c r="AF125" s="40"/>
      <c r="AG125" s="40"/>
      <c r="AH125" s="56" t="str">
        <f t="shared" si="33"/>
        <v/>
      </c>
      <c r="AI125" s="54"/>
      <c r="AJ125" s="54"/>
      <c r="AK125" s="54"/>
      <c r="AL125" s="54"/>
      <c r="AM125" s="54"/>
    </row>
    <row r="126" spans="1:39">
      <c r="A126" s="95"/>
      <c r="B126" s="45" t="str" cm="1">
        <f t="array" ref="B126">IF(H126="PROJECT", CHAR(10) &amp; "- " &amp; _xlfn.TEXTJOIN(CHAR(10) &amp; "- ", TRUE, _xlfn._xlws.FILTER($I$9:$I$1000, ($C$9:$C$1000=C126) * ($H$9:$H$1000="Topic"))), "")</f>
        <v/>
      </c>
      <c r="C126" s="45">
        <f t="shared" si="17"/>
        <v>94</v>
      </c>
      <c r="D126" s="57"/>
      <c r="E126" s="58"/>
      <c r="F126" s="54"/>
      <c r="G126" s="52"/>
      <c r="H126" s="52"/>
      <c r="I126" s="61"/>
      <c r="J126" s="62"/>
      <c r="K126" s="120" t="str">
        <f t="shared" si="18"/>
        <v/>
      </c>
      <c r="L126" s="103" t="str">
        <f t="shared" si="19"/>
        <v/>
      </c>
      <c r="M126" s="52">
        <v>0</v>
      </c>
      <c r="N126" s="102" t="str">
        <f t="shared" si="20"/>
        <v/>
      </c>
      <c r="O126" s="103" t="str">
        <f t="shared" si="21"/>
        <v/>
      </c>
      <c r="P126" s="52">
        <v>0</v>
      </c>
      <c r="Q126" s="102" t="str">
        <f t="shared" si="22"/>
        <v/>
      </c>
      <c r="R126" s="103" t="str">
        <f t="shared" si="23"/>
        <v/>
      </c>
      <c r="S126" s="52">
        <v>0</v>
      </c>
      <c r="T126" s="102" t="str">
        <f t="shared" si="24"/>
        <v/>
      </c>
      <c r="U126" s="103" t="str">
        <f t="shared" si="25"/>
        <v/>
      </c>
      <c r="V126" s="52">
        <v>0</v>
      </c>
      <c r="W126" s="87" t="str">
        <f t="shared" si="26"/>
        <v/>
      </c>
      <c r="X126" s="103" t="str">
        <f t="shared" si="27"/>
        <v/>
      </c>
      <c r="Y126" s="52">
        <v>0</v>
      </c>
      <c r="Z126" s="56" t="str">
        <f t="shared" si="28"/>
        <v/>
      </c>
      <c r="AA126" s="56" t="str">
        <f t="shared" si="29"/>
        <v/>
      </c>
      <c r="AB126" s="56" t="str">
        <f t="shared" si="30"/>
        <v/>
      </c>
      <c r="AC126" s="56" t="str">
        <f t="shared" si="31"/>
        <v/>
      </c>
      <c r="AD126" s="56" t="str">
        <f t="shared" si="32"/>
        <v/>
      </c>
      <c r="AE126" s="40"/>
      <c r="AF126" s="40"/>
      <c r="AG126" s="40"/>
      <c r="AH126" s="56" t="str">
        <f t="shared" si="33"/>
        <v/>
      </c>
      <c r="AI126" s="54"/>
      <c r="AJ126" s="54"/>
      <c r="AK126" s="54"/>
      <c r="AL126" s="54"/>
      <c r="AM126" s="54"/>
    </row>
    <row r="127" spans="1:39">
      <c r="A127" s="95"/>
      <c r="B127" s="45" t="str" cm="1">
        <f t="array" ref="B127">IF(H127="PROJECT", CHAR(10) &amp; "- " &amp; _xlfn.TEXTJOIN(CHAR(10) &amp; "- ", TRUE, _xlfn._xlws.FILTER($I$9:$I$1000, ($C$9:$C$1000=C127) * ($H$9:$H$1000="Topic"))), "")</f>
        <v/>
      </c>
      <c r="C127" s="45">
        <f t="shared" si="17"/>
        <v>95</v>
      </c>
      <c r="D127" s="46"/>
      <c r="E127" s="58"/>
      <c r="F127" s="67"/>
      <c r="G127" s="53"/>
      <c r="H127" s="53"/>
      <c r="I127" s="50"/>
      <c r="J127" s="51"/>
      <c r="K127" s="120" t="str">
        <f t="shared" si="18"/>
        <v/>
      </c>
      <c r="L127" s="103" t="str">
        <f t="shared" si="19"/>
        <v/>
      </c>
      <c r="M127" s="53">
        <v>0</v>
      </c>
      <c r="N127" s="102" t="str">
        <f t="shared" si="20"/>
        <v/>
      </c>
      <c r="O127" s="103" t="str">
        <f t="shared" si="21"/>
        <v/>
      </c>
      <c r="P127" s="53">
        <v>0</v>
      </c>
      <c r="Q127" s="102" t="str">
        <f t="shared" si="22"/>
        <v/>
      </c>
      <c r="R127" s="103" t="str">
        <f t="shared" si="23"/>
        <v/>
      </c>
      <c r="S127" s="53">
        <v>0</v>
      </c>
      <c r="T127" s="102" t="str">
        <f t="shared" si="24"/>
        <v/>
      </c>
      <c r="U127" s="103" t="str">
        <f t="shared" si="25"/>
        <v/>
      </c>
      <c r="V127" s="53">
        <v>0</v>
      </c>
      <c r="W127" s="87" t="str">
        <f t="shared" si="26"/>
        <v/>
      </c>
      <c r="X127" s="103" t="str">
        <f t="shared" si="27"/>
        <v/>
      </c>
      <c r="Y127" s="53">
        <v>0</v>
      </c>
      <c r="Z127" s="56" t="str">
        <f t="shared" si="28"/>
        <v/>
      </c>
      <c r="AA127" s="56" t="str">
        <f t="shared" si="29"/>
        <v/>
      </c>
      <c r="AB127" s="56" t="str">
        <f t="shared" si="30"/>
        <v/>
      </c>
      <c r="AC127" s="56" t="str">
        <f t="shared" si="31"/>
        <v/>
      </c>
      <c r="AD127" s="56" t="str">
        <f t="shared" si="32"/>
        <v/>
      </c>
      <c r="AE127" s="40"/>
      <c r="AF127" s="40"/>
      <c r="AG127" s="40"/>
      <c r="AH127" s="56" t="str">
        <f t="shared" si="33"/>
        <v/>
      </c>
      <c r="AI127" s="54"/>
      <c r="AJ127" s="54"/>
      <c r="AK127" s="54"/>
      <c r="AL127" s="54"/>
      <c r="AM127" s="54"/>
    </row>
    <row r="128" spans="1:39">
      <c r="A128" s="95"/>
      <c r="B128" s="45" t="str" cm="1">
        <f t="array" ref="B128">IF(H128="PROJECT", CHAR(10) &amp; "- " &amp; _xlfn.TEXTJOIN(CHAR(10) &amp; "- ", TRUE, _xlfn._xlws.FILTER($I$9:$I$1000, ($C$9:$C$1000=C128) * ($H$9:$H$1000="Topic"))), "")</f>
        <v/>
      </c>
      <c r="C128" s="45">
        <f t="shared" si="17"/>
        <v>96</v>
      </c>
      <c r="D128" s="57"/>
      <c r="E128" s="58"/>
      <c r="F128" s="54"/>
      <c r="G128" s="52"/>
      <c r="H128" s="52"/>
      <c r="I128" s="61"/>
      <c r="J128" s="62"/>
      <c r="K128" s="120" t="str">
        <f t="shared" si="18"/>
        <v/>
      </c>
      <c r="L128" s="103" t="str">
        <f t="shared" si="19"/>
        <v/>
      </c>
      <c r="M128" s="52">
        <v>0</v>
      </c>
      <c r="N128" s="102" t="str">
        <f t="shared" si="20"/>
        <v/>
      </c>
      <c r="O128" s="103" t="str">
        <f t="shared" si="21"/>
        <v/>
      </c>
      <c r="P128" s="52">
        <v>0</v>
      </c>
      <c r="Q128" s="102" t="str">
        <f t="shared" si="22"/>
        <v/>
      </c>
      <c r="R128" s="103" t="str">
        <f t="shared" si="23"/>
        <v/>
      </c>
      <c r="S128" s="52">
        <v>0</v>
      </c>
      <c r="T128" s="102" t="str">
        <f t="shared" si="24"/>
        <v/>
      </c>
      <c r="U128" s="103" t="str">
        <f t="shared" si="25"/>
        <v/>
      </c>
      <c r="V128" s="52">
        <v>0</v>
      </c>
      <c r="W128" s="87" t="str">
        <f t="shared" si="26"/>
        <v/>
      </c>
      <c r="X128" s="103" t="str">
        <f t="shared" si="27"/>
        <v/>
      </c>
      <c r="Y128" s="52">
        <v>0</v>
      </c>
      <c r="Z128" s="56" t="str">
        <f t="shared" si="28"/>
        <v/>
      </c>
      <c r="AA128" s="56" t="str">
        <f t="shared" si="29"/>
        <v/>
      </c>
      <c r="AB128" s="56" t="str">
        <f t="shared" si="30"/>
        <v/>
      </c>
      <c r="AC128" s="56" t="str">
        <f t="shared" si="31"/>
        <v/>
      </c>
      <c r="AD128" s="56" t="str">
        <f t="shared" si="32"/>
        <v/>
      </c>
      <c r="AE128" s="40"/>
      <c r="AF128" s="40"/>
      <c r="AG128" s="40"/>
      <c r="AH128" s="56" t="str">
        <f t="shared" si="33"/>
        <v/>
      </c>
      <c r="AI128" s="54"/>
      <c r="AJ128" s="54"/>
      <c r="AK128" s="54"/>
      <c r="AL128" s="54"/>
      <c r="AM128" s="54"/>
    </row>
    <row r="129" spans="1:39">
      <c r="A129" s="95"/>
      <c r="B129" s="45" t="str" cm="1">
        <f t="array" ref="B129">IF(H129="PROJECT", CHAR(10) &amp; "- " &amp; _xlfn.TEXTJOIN(CHAR(10) &amp; "- ", TRUE, _xlfn._xlws.FILTER($I$9:$I$1000, ($C$9:$C$1000=C129) * ($H$9:$H$1000="Topic"))), "")</f>
        <v/>
      </c>
      <c r="C129" s="45">
        <f t="shared" si="17"/>
        <v>97</v>
      </c>
      <c r="D129" s="46"/>
      <c r="E129" s="58"/>
      <c r="F129" s="67"/>
      <c r="G129" s="53"/>
      <c r="H129" s="53"/>
      <c r="I129" s="50"/>
      <c r="J129" s="51"/>
      <c r="K129" s="120" t="str">
        <f t="shared" si="18"/>
        <v/>
      </c>
      <c r="L129" s="103" t="str">
        <f t="shared" si="19"/>
        <v/>
      </c>
      <c r="M129" s="53">
        <v>0</v>
      </c>
      <c r="N129" s="102" t="str">
        <f t="shared" si="20"/>
        <v/>
      </c>
      <c r="O129" s="103" t="str">
        <f t="shared" si="21"/>
        <v/>
      </c>
      <c r="P129" s="53">
        <v>0</v>
      </c>
      <c r="Q129" s="102" t="str">
        <f t="shared" si="22"/>
        <v/>
      </c>
      <c r="R129" s="103" t="str">
        <f t="shared" si="23"/>
        <v/>
      </c>
      <c r="S129" s="53">
        <v>0</v>
      </c>
      <c r="T129" s="102" t="str">
        <f t="shared" si="24"/>
        <v/>
      </c>
      <c r="U129" s="103" t="str">
        <f t="shared" si="25"/>
        <v/>
      </c>
      <c r="V129" s="53">
        <v>0</v>
      </c>
      <c r="W129" s="87" t="str">
        <f t="shared" si="26"/>
        <v/>
      </c>
      <c r="X129" s="103" t="str">
        <f t="shared" si="27"/>
        <v/>
      </c>
      <c r="Y129" s="53">
        <v>0</v>
      </c>
      <c r="Z129" s="56" t="str">
        <f t="shared" si="28"/>
        <v/>
      </c>
      <c r="AA129" s="56" t="str">
        <f t="shared" si="29"/>
        <v/>
      </c>
      <c r="AB129" s="56" t="str">
        <f t="shared" si="30"/>
        <v/>
      </c>
      <c r="AC129" s="56" t="str">
        <f t="shared" si="31"/>
        <v/>
      </c>
      <c r="AD129" s="56" t="str">
        <f t="shared" si="32"/>
        <v/>
      </c>
      <c r="AE129" s="40"/>
      <c r="AF129" s="40"/>
      <c r="AG129" s="40"/>
      <c r="AH129" s="56" t="str">
        <f t="shared" si="33"/>
        <v/>
      </c>
      <c r="AI129" s="54"/>
      <c r="AJ129" s="54"/>
      <c r="AK129" s="54"/>
      <c r="AL129" s="54"/>
      <c r="AM129" s="54"/>
    </row>
    <row r="130" spans="1:39">
      <c r="A130" s="95"/>
      <c r="B130" s="45" t="str" cm="1">
        <f t="array" ref="B130">IF(H130="PROJECT", CHAR(10) &amp; "- " &amp; _xlfn.TEXTJOIN(CHAR(10) &amp; "- ", TRUE, _xlfn._xlws.FILTER($I$9:$I$1000, ($C$9:$C$1000=C130) * ($H$9:$H$1000="Topic"))), "")</f>
        <v/>
      </c>
      <c r="C130" s="45">
        <f t="shared" si="17"/>
        <v>98</v>
      </c>
      <c r="D130" s="57"/>
      <c r="E130" s="58"/>
      <c r="F130" s="54"/>
      <c r="G130" s="52"/>
      <c r="H130" s="52"/>
      <c r="I130" s="61"/>
      <c r="J130" s="62"/>
      <c r="K130" s="120" t="str">
        <f t="shared" si="18"/>
        <v/>
      </c>
      <c r="L130" s="103" t="str">
        <f t="shared" si="19"/>
        <v/>
      </c>
      <c r="M130" s="52">
        <v>0</v>
      </c>
      <c r="N130" s="102" t="str">
        <f t="shared" si="20"/>
        <v/>
      </c>
      <c r="O130" s="103" t="str">
        <f t="shared" si="21"/>
        <v/>
      </c>
      <c r="P130" s="52">
        <v>0</v>
      </c>
      <c r="Q130" s="102" t="str">
        <f t="shared" si="22"/>
        <v/>
      </c>
      <c r="R130" s="103" t="str">
        <f t="shared" si="23"/>
        <v/>
      </c>
      <c r="S130" s="52">
        <v>0</v>
      </c>
      <c r="T130" s="102" t="str">
        <f t="shared" si="24"/>
        <v/>
      </c>
      <c r="U130" s="103" t="str">
        <f t="shared" si="25"/>
        <v/>
      </c>
      <c r="V130" s="52">
        <v>0</v>
      </c>
      <c r="W130" s="87" t="str">
        <f t="shared" si="26"/>
        <v/>
      </c>
      <c r="X130" s="103" t="str">
        <f t="shared" si="27"/>
        <v/>
      </c>
      <c r="Y130" s="52">
        <v>0</v>
      </c>
      <c r="Z130" s="56" t="str">
        <f t="shared" si="28"/>
        <v/>
      </c>
      <c r="AA130" s="56" t="str">
        <f t="shared" si="29"/>
        <v/>
      </c>
      <c r="AB130" s="56" t="str">
        <f t="shared" si="30"/>
        <v/>
      </c>
      <c r="AC130" s="56" t="str">
        <f t="shared" si="31"/>
        <v/>
      </c>
      <c r="AD130" s="56" t="str">
        <f t="shared" si="32"/>
        <v/>
      </c>
      <c r="AE130" s="40"/>
      <c r="AF130" s="40"/>
      <c r="AG130" s="40"/>
      <c r="AH130" s="56" t="str">
        <f t="shared" si="33"/>
        <v/>
      </c>
      <c r="AI130" s="54"/>
      <c r="AJ130" s="54"/>
      <c r="AK130" s="54"/>
      <c r="AL130" s="54"/>
      <c r="AM130" s="54"/>
    </row>
    <row r="131" spans="1:39">
      <c r="A131" s="95"/>
      <c r="B131" s="45" t="str" cm="1">
        <f t="array" ref="B131">IF(H131="PROJECT", CHAR(10) &amp; "- " &amp; _xlfn.TEXTJOIN(CHAR(10) &amp; "- ", TRUE, _xlfn._xlws.FILTER($I$9:$I$1000, ($C$9:$C$1000=C131) * ($H$9:$H$1000="Topic"))), "")</f>
        <v/>
      </c>
      <c r="C131" s="45">
        <f t="shared" si="17"/>
        <v>99</v>
      </c>
      <c r="D131" s="46"/>
      <c r="E131" s="58"/>
      <c r="F131" s="67"/>
      <c r="G131" s="53"/>
      <c r="H131" s="53"/>
      <c r="I131" s="50"/>
      <c r="J131" s="51"/>
      <c r="K131" s="120" t="str">
        <f t="shared" si="18"/>
        <v/>
      </c>
      <c r="L131" s="103" t="str">
        <f t="shared" si="19"/>
        <v/>
      </c>
      <c r="M131" s="53">
        <v>0</v>
      </c>
      <c r="N131" s="102" t="str">
        <f t="shared" si="20"/>
        <v/>
      </c>
      <c r="O131" s="103" t="str">
        <f t="shared" si="21"/>
        <v/>
      </c>
      <c r="P131" s="53">
        <v>0</v>
      </c>
      <c r="Q131" s="102" t="str">
        <f t="shared" si="22"/>
        <v/>
      </c>
      <c r="R131" s="103" t="str">
        <f t="shared" si="23"/>
        <v/>
      </c>
      <c r="S131" s="53">
        <v>0</v>
      </c>
      <c r="T131" s="102" t="str">
        <f t="shared" si="24"/>
        <v/>
      </c>
      <c r="U131" s="103" t="str">
        <f t="shared" si="25"/>
        <v/>
      </c>
      <c r="V131" s="53">
        <v>0</v>
      </c>
      <c r="W131" s="87" t="str">
        <f t="shared" si="26"/>
        <v/>
      </c>
      <c r="X131" s="103" t="str">
        <f t="shared" si="27"/>
        <v/>
      </c>
      <c r="Y131" s="53">
        <v>0</v>
      </c>
      <c r="Z131" s="56" t="str">
        <f t="shared" si="28"/>
        <v/>
      </c>
      <c r="AA131" s="56" t="str">
        <f t="shared" si="29"/>
        <v/>
      </c>
      <c r="AB131" s="56" t="str">
        <f t="shared" si="30"/>
        <v/>
      </c>
      <c r="AC131" s="56" t="str">
        <f t="shared" si="31"/>
        <v/>
      </c>
      <c r="AD131" s="56" t="str">
        <f t="shared" si="32"/>
        <v/>
      </c>
      <c r="AE131" s="40"/>
      <c r="AF131" s="40"/>
      <c r="AG131" s="40"/>
      <c r="AH131" s="56" t="str">
        <f t="shared" si="33"/>
        <v/>
      </c>
      <c r="AI131" s="54"/>
      <c r="AJ131" s="54"/>
      <c r="AK131" s="54"/>
      <c r="AL131" s="54"/>
      <c r="AM131" s="54"/>
    </row>
    <row r="132" spans="1:39">
      <c r="A132" s="95"/>
      <c r="B132" s="45" t="str" cm="1">
        <f t="array" ref="B132">IF(H132="PROJECT", CHAR(10) &amp; "- " &amp; _xlfn.TEXTJOIN(CHAR(10) &amp; "- ", TRUE, _xlfn._xlws.FILTER($I$9:$I$1000, ($C$9:$C$1000=C132) * ($H$9:$H$1000="Topic"))), "")</f>
        <v/>
      </c>
      <c r="C132" s="45">
        <f t="shared" si="17"/>
        <v>100</v>
      </c>
      <c r="D132" s="57"/>
      <c r="E132" s="58"/>
      <c r="F132" s="54"/>
      <c r="G132" s="52"/>
      <c r="H132" s="52"/>
      <c r="I132" s="61"/>
      <c r="J132" s="62"/>
      <c r="K132" s="120" t="str">
        <f t="shared" si="18"/>
        <v/>
      </c>
      <c r="L132" s="103" t="str">
        <f t="shared" si="19"/>
        <v/>
      </c>
      <c r="M132" s="52">
        <v>0</v>
      </c>
      <c r="N132" s="102" t="str">
        <f t="shared" si="20"/>
        <v/>
      </c>
      <c r="O132" s="103" t="str">
        <f t="shared" si="21"/>
        <v/>
      </c>
      <c r="P132" s="52">
        <v>0</v>
      </c>
      <c r="Q132" s="102" t="str">
        <f t="shared" si="22"/>
        <v/>
      </c>
      <c r="R132" s="103" t="str">
        <f t="shared" si="23"/>
        <v/>
      </c>
      <c r="S132" s="52">
        <v>0</v>
      </c>
      <c r="T132" s="102" t="str">
        <f t="shared" si="24"/>
        <v/>
      </c>
      <c r="U132" s="103" t="str">
        <f t="shared" si="25"/>
        <v/>
      </c>
      <c r="V132" s="52">
        <v>0</v>
      </c>
      <c r="W132" s="87" t="str">
        <f t="shared" si="26"/>
        <v/>
      </c>
      <c r="X132" s="103" t="str">
        <f t="shared" si="27"/>
        <v/>
      </c>
      <c r="Y132" s="52">
        <v>0</v>
      </c>
      <c r="Z132" s="56" t="str">
        <f t="shared" si="28"/>
        <v/>
      </c>
      <c r="AA132" s="56" t="str">
        <f t="shared" si="29"/>
        <v/>
      </c>
      <c r="AB132" s="56" t="str">
        <f t="shared" si="30"/>
        <v/>
      </c>
      <c r="AC132" s="56" t="str">
        <f t="shared" si="31"/>
        <v/>
      </c>
      <c r="AD132" s="56" t="str">
        <f t="shared" si="32"/>
        <v/>
      </c>
      <c r="AE132" s="40"/>
      <c r="AF132" s="40"/>
      <c r="AG132" s="40"/>
      <c r="AH132" s="56" t="str">
        <f t="shared" si="33"/>
        <v/>
      </c>
      <c r="AI132" s="54"/>
      <c r="AJ132" s="54"/>
      <c r="AK132" s="54"/>
      <c r="AL132" s="54"/>
      <c r="AM132" s="54"/>
    </row>
    <row r="133" spans="1:39">
      <c r="A133" s="95"/>
      <c r="B133" s="45" t="str" cm="1">
        <f t="array" ref="B133">IF(H133="PROJECT", CHAR(10) &amp; "- " &amp; _xlfn.TEXTJOIN(CHAR(10) &amp; "- ", TRUE, _xlfn._xlws.FILTER($I$9:$I$1000, ($C$9:$C$1000=C133) * ($H$9:$H$1000="Topic"))), "")</f>
        <v/>
      </c>
      <c r="C133" s="45">
        <f t="shared" si="17"/>
        <v>101</v>
      </c>
      <c r="D133" s="46"/>
      <c r="E133" s="58"/>
      <c r="F133" s="67"/>
      <c r="G133" s="53"/>
      <c r="H133" s="53"/>
      <c r="I133" s="50"/>
      <c r="J133" s="51"/>
      <c r="K133" s="120" t="str">
        <f t="shared" si="18"/>
        <v/>
      </c>
      <c r="L133" s="103" t="str">
        <f t="shared" si="19"/>
        <v/>
      </c>
      <c r="M133" s="53">
        <v>0</v>
      </c>
      <c r="N133" s="102" t="str">
        <f t="shared" si="20"/>
        <v/>
      </c>
      <c r="O133" s="103" t="str">
        <f t="shared" si="21"/>
        <v/>
      </c>
      <c r="P133" s="53">
        <v>0</v>
      </c>
      <c r="Q133" s="102" t="str">
        <f t="shared" si="22"/>
        <v/>
      </c>
      <c r="R133" s="103" t="str">
        <f t="shared" si="23"/>
        <v/>
      </c>
      <c r="S133" s="53">
        <v>0</v>
      </c>
      <c r="T133" s="102" t="str">
        <f t="shared" si="24"/>
        <v/>
      </c>
      <c r="U133" s="103" t="str">
        <f t="shared" si="25"/>
        <v/>
      </c>
      <c r="V133" s="53">
        <v>0</v>
      </c>
      <c r="W133" s="87" t="str">
        <f t="shared" si="26"/>
        <v/>
      </c>
      <c r="X133" s="103" t="str">
        <f t="shared" si="27"/>
        <v/>
      </c>
      <c r="Y133" s="53">
        <v>0</v>
      </c>
      <c r="Z133" s="56" t="str">
        <f t="shared" si="28"/>
        <v/>
      </c>
      <c r="AA133" s="56" t="str">
        <f t="shared" si="29"/>
        <v/>
      </c>
      <c r="AB133" s="56" t="str">
        <f t="shared" si="30"/>
        <v/>
      </c>
      <c r="AC133" s="56" t="str">
        <f t="shared" si="31"/>
        <v/>
      </c>
      <c r="AD133" s="56" t="str">
        <f t="shared" si="32"/>
        <v/>
      </c>
      <c r="AE133" s="40"/>
      <c r="AF133" s="40"/>
      <c r="AG133" s="40"/>
      <c r="AH133" s="56" t="str">
        <f t="shared" si="33"/>
        <v/>
      </c>
      <c r="AI133" s="54"/>
      <c r="AJ133" s="54"/>
      <c r="AK133" s="54"/>
      <c r="AL133" s="54"/>
      <c r="AM133" s="54"/>
    </row>
    <row r="134" spans="1:39">
      <c r="A134" s="95"/>
      <c r="B134" s="45" t="str" cm="1">
        <f t="array" ref="B134">IF(H134="PROJECT", CHAR(10) &amp; "- " &amp; _xlfn.TEXTJOIN(CHAR(10) &amp; "- ", TRUE, _xlfn._xlws.FILTER($I$9:$I$1000, ($C$9:$C$1000=C134) * ($H$9:$H$1000="Topic"))), "")</f>
        <v/>
      </c>
      <c r="C134" s="45">
        <f t="shared" si="17"/>
        <v>102</v>
      </c>
      <c r="D134" s="57"/>
      <c r="E134" s="58"/>
      <c r="F134" s="54"/>
      <c r="G134" s="52"/>
      <c r="H134" s="52"/>
      <c r="I134" s="61"/>
      <c r="J134" s="62"/>
      <c r="K134" s="120" t="str">
        <f t="shared" si="18"/>
        <v/>
      </c>
      <c r="L134" s="103" t="str">
        <f t="shared" si="19"/>
        <v/>
      </c>
      <c r="M134" s="52">
        <v>0</v>
      </c>
      <c r="N134" s="102" t="str">
        <f t="shared" si="20"/>
        <v/>
      </c>
      <c r="O134" s="103" t="str">
        <f t="shared" si="21"/>
        <v/>
      </c>
      <c r="P134" s="52">
        <v>0</v>
      </c>
      <c r="Q134" s="102" t="str">
        <f t="shared" si="22"/>
        <v/>
      </c>
      <c r="R134" s="103" t="str">
        <f t="shared" si="23"/>
        <v/>
      </c>
      <c r="S134" s="52">
        <v>0</v>
      </c>
      <c r="T134" s="102" t="str">
        <f t="shared" si="24"/>
        <v/>
      </c>
      <c r="U134" s="103" t="str">
        <f t="shared" si="25"/>
        <v/>
      </c>
      <c r="V134" s="52">
        <v>0</v>
      </c>
      <c r="W134" s="87" t="str">
        <f t="shared" si="26"/>
        <v/>
      </c>
      <c r="X134" s="103" t="str">
        <f t="shared" si="27"/>
        <v/>
      </c>
      <c r="Y134" s="52">
        <v>0</v>
      </c>
      <c r="Z134" s="56" t="str">
        <f t="shared" si="28"/>
        <v/>
      </c>
      <c r="AA134" s="56" t="str">
        <f t="shared" si="29"/>
        <v/>
      </c>
      <c r="AB134" s="56" t="str">
        <f t="shared" si="30"/>
        <v/>
      </c>
      <c r="AC134" s="56" t="str">
        <f t="shared" si="31"/>
        <v/>
      </c>
      <c r="AD134" s="56" t="str">
        <f t="shared" si="32"/>
        <v/>
      </c>
      <c r="AE134" s="40"/>
      <c r="AF134" s="40"/>
      <c r="AG134" s="40"/>
      <c r="AH134" s="56" t="str">
        <f t="shared" si="33"/>
        <v/>
      </c>
      <c r="AI134" s="54"/>
      <c r="AJ134" s="54"/>
      <c r="AK134" s="54"/>
      <c r="AL134" s="54"/>
      <c r="AM134" s="54"/>
    </row>
    <row r="135" spans="1:39">
      <c r="A135" s="95"/>
      <c r="B135" s="45" t="str" cm="1">
        <f t="array" ref="B135">IF(H135="PROJECT", CHAR(10) &amp; "- " &amp; _xlfn.TEXTJOIN(CHAR(10) &amp; "- ", TRUE, _xlfn._xlws.FILTER($I$9:$I$1000, ($C$9:$C$1000=C135) * ($H$9:$H$1000="Topic"))), "")</f>
        <v/>
      </c>
      <c r="C135" s="45">
        <f t="shared" si="17"/>
        <v>103</v>
      </c>
      <c r="D135" s="46"/>
      <c r="E135" s="58"/>
      <c r="F135" s="67"/>
      <c r="G135" s="53"/>
      <c r="H135" s="53"/>
      <c r="I135" s="50"/>
      <c r="J135" s="51"/>
      <c r="K135" s="120" t="str">
        <f t="shared" si="18"/>
        <v/>
      </c>
      <c r="L135" s="103" t="str">
        <f t="shared" si="19"/>
        <v/>
      </c>
      <c r="M135" s="53">
        <v>0</v>
      </c>
      <c r="N135" s="102" t="str">
        <f t="shared" si="20"/>
        <v/>
      </c>
      <c r="O135" s="103" t="str">
        <f t="shared" si="21"/>
        <v/>
      </c>
      <c r="P135" s="53">
        <v>0</v>
      </c>
      <c r="Q135" s="102" t="str">
        <f t="shared" si="22"/>
        <v/>
      </c>
      <c r="R135" s="103" t="str">
        <f t="shared" si="23"/>
        <v/>
      </c>
      <c r="S135" s="53">
        <v>0</v>
      </c>
      <c r="T135" s="102" t="str">
        <f t="shared" si="24"/>
        <v/>
      </c>
      <c r="U135" s="103" t="str">
        <f t="shared" si="25"/>
        <v/>
      </c>
      <c r="V135" s="53">
        <v>0</v>
      </c>
      <c r="W135" s="87" t="str">
        <f t="shared" si="26"/>
        <v/>
      </c>
      <c r="X135" s="103" t="str">
        <f t="shared" si="27"/>
        <v/>
      </c>
      <c r="Y135" s="53">
        <v>0</v>
      </c>
      <c r="Z135" s="56" t="str">
        <f t="shared" si="28"/>
        <v/>
      </c>
      <c r="AA135" s="56" t="str">
        <f t="shared" si="29"/>
        <v/>
      </c>
      <c r="AB135" s="56" t="str">
        <f t="shared" si="30"/>
        <v/>
      </c>
      <c r="AC135" s="56" t="str">
        <f t="shared" si="31"/>
        <v/>
      </c>
      <c r="AD135" s="56" t="str">
        <f t="shared" si="32"/>
        <v/>
      </c>
      <c r="AE135" s="40"/>
      <c r="AF135" s="40"/>
      <c r="AG135" s="40"/>
      <c r="AH135" s="56" t="str">
        <f t="shared" si="33"/>
        <v/>
      </c>
      <c r="AI135" s="54"/>
      <c r="AJ135" s="54"/>
      <c r="AK135" s="54"/>
      <c r="AL135" s="54"/>
      <c r="AM135" s="54"/>
    </row>
    <row r="136" spans="1:39">
      <c r="A136" s="95"/>
      <c r="B136" s="45" t="str" cm="1">
        <f t="array" ref="B136">IF(H136="PROJECT", CHAR(10) &amp; "- " &amp; _xlfn.TEXTJOIN(CHAR(10) &amp; "- ", TRUE, _xlfn._xlws.FILTER($I$9:$I$1000, ($C$9:$C$1000=C136) * ($H$9:$H$1000="Topic"))), "")</f>
        <v/>
      </c>
      <c r="C136" s="45">
        <f t="shared" si="17"/>
        <v>104</v>
      </c>
      <c r="D136" s="57"/>
      <c r="E136" s="58"/>
      <c r="F136" s="54"/>
      <c r="G136" s="52"/>
      <c r="H136" s="52"/>
      <c r="I136" s="61"/>
      <c r="J136" s="62"/>
      <c r="K136" s="120" t="str">
        <f t="shared" si="18"/>
        <v/>
      </c>
      <c r="L136" s="103" t="str">
        <f t="shared" si="19"/>
        <v/>
      </c>
      <c r="M136" s="52">
        <v>0</v>
      </c>
      <c r="N136" s="102" t="str">
        <f t="shared" si="20"/>
        <v/>
      </c>
      <c r="O136" s="103" t="str">
        <f t="shared" si="21"/>
        <v/>
      </c>
      <c r="P136" s="52">
        <v>0</v>
      </c>
      <c r="Q136" s="102" t="str">
        <f t="shared" si="22"/>
        <v/>
      </c>
      <c r="R136" s="103" t="str">
        <f t="shared" si="23"/>
        <v/>
      </c>
      <c r="S136" s="52">
        <v>0</v>
      </c>
      <c r="T136" s="102" t="str">
        <f t="shared" si="24"/>
        <v/>
      </c>
      <c r="U136" s="103" t="str">
        <f t="shared" si="25"/>
        <v/>
      </c>
      <c r="V136" s="52">
        <v>0</v>
      </c>
      <c r="W136" s="87" t="str">
        <f t="shared" si="26"/>
        <v/>
      </c>
      <c r="X136" s="103" t="str">
        <f t="shared" si="27"/>
        <v/>
      </c>
      <c r="Y136" s="52">
        <v>0</v>
      </c>
      <c r="Z136" s="56" t="str">
        <f t="shared" si="28"/>
        <v/>
      </c>
      <c r="AA136" s="56" t="str">
        <f t="shared" si="29"/>
        <v/>
      </c>
      <c r="AB136" s="56" t="str">
        <f t="shared" si="30"/>
        <v/>
      </c>
      <c r="AC136" s="56" t="str">
        <f t="shared" si="31"/>
        <v/>
      </c>
      <c r="AD136" s="56" t="str">
        <f t="shared" si="32"/>
        <v/>
      </c>
      <c r="AE136" s="40"/>
      <c r="AF136" s="40"/>
      <c r="AG136" s="40"/>
      <c r="AH136" s="56" t="str">
        <f t="shared" si="33"/>
        <v/>
      </c>
      <c r="AI136" s="54"/>
      <c r="AJ136" s="54"/>
      <c r="AK136" s="54"/>
      <c r="AL136" s="54"/>
      <c r="AM136" s="54"/>
    </row>
    <row r="137" spans="1:39">
      <c r="A137" s="95"/>
      <c r="B137" s="45" t="str" cm="1">
        <f t="array" ref="B137">IF(H137="PROJECT", CHAR(10) &amp; "- " &amp; _xlfn.TEXTJOIN(CHAR(10) &amp; "- ", TRUE, _xlfn._xlws.FILTER($I$9:$I$1000, ($C$9:$C$1000=C137) * ($H$9:$H$1000="Topic"))), "")</f>
        <v/>
      </c>
      <c r="C137" s="45">
        <f t="shared" ref="C137:C200" si="34">IF(AND(H137="Topic",H136="PROJECT"),C136+1,IF(H137="PROJECT",C136,IF(AND(H137="Topic",H136="Topic"),C136,C136+1)))</f>
        <v>105</v>
      </c>
      <c r="D137" s="46"/>
      <c r="E137" s="58"/>
      <c r="F137" s="67"/>
      <c r="G137" s="53"/>
      <c r="H137" s="53"/>
      <c r="I137" s="50"/>
      <c r="J137" s="51"/>
      <c r="K137" s="120" t="str">
        <f t="shared" si="18"/>
        <v/>
      </c>
      <c r="L137" s="103" t="str">
        <f t="shared" si="19"/>
        <v/>
      </c>
      <c r="M137" s="53">
        <v>0</v>
      </c>
      <c r="N137" s="102" t="str">
        <f t="shared" si="20"/>
        <v/>
      </c>
      <c r="O137" s="103" t="str">
        <f t="shared" si="21"/>
        <v/>
      </c>
      <c r="P137" s="53">
        <v>0</v>
      </c>
      <c r="Q137" s="102" t="str">
        <f t="shared" si="22"/>
        <v/>
      </c>
      <c r="R137" s="103" t="str">
        <f t="shared" si="23"/>
        <v/>
      </c>
      <c r="S137" s="53">
        <v>0</v>
      </c>
      <c r="T137" s="102" t="str">
        <f t="shared" si="24"/>
        <v/>
      </c>
      <c r="U137" s="103" t="str">
        <f t="shared" si="25"/>
        <v/>
      </c>
      <c r="V137" s="53">
        <v>0</v>
      </c>
      <c r="W137" s="87" t="str">
        <f t="shared" si="26"/>
        <v/>
      </c>
      <c r="X137" s="103" t="str">
        <f t="shared" si="27"/>
        <v/>
      </c>
      <c r="Y137" s="53">
        <v>0</v>
      </c>
      <c r="Z137" s="56" t="str">
        <f t="shared" si="28"/>
        <v/>
      </c>
      <c r="AA137" s="56" t="str">
        <f t="shared" si="29"/>
        <v/>
      </c>
      <c r="AB137" s="56" t="str">
        <f t="shared" si="30"/>
        <v/>
      </c>
      <c r="AC137" s="56" t="str">
        <f t="shared" si="31"/>
        <v/>
      </c>
      <c r="AD137" s="56" t="str">
        <f t="shared" si="32"/>
        <v/>
      </c>
      <c r="AE137" s="40"/>
      <c r="AF137" s="40"/>
      <c r="AG137" s="40"/>
      <c r="AH137" s="56" t="str">
        <f t="shared" si="33"/>
        <v/>
      </c>
      <c r="AI137" s="54"/>
      <c r="AJ137" s="54"/>
      <c r="AK137" s="54"/>
      <c r="AL137" s="54"/>
      <c r="AM137" s="54"/>
    </row>
    <row r="138" spans="1:39">
      <c r="A138" s="95"/>
      <c r="B138" s="45" t="str" cm="1">
        <f t="array" ref="B138">IF(H138="PROJECT", CHAR(10) &amp; "- " &amp; _xlfn.TEXTJOIN(CHAR(10) &amp; "- ", TRUE, _xlfn._xlws.FILTER($I$9:$I$1000, ($C$9:$C$1000=C138) * ($H$9:$H$1000="Topic"))), "")</f>
        <v/>
      </c>
      <c r="C138" s="45">
        <f t="shared" si="34"/>
        <v>106</v>
      </c>
      <c r="D138" s="57"/>
      <c r="E138" s="58"/>
      <c r="F138" s="54"/>
      <c r="G138" s="52"/>
      <c r="H138" s="52"/>
      <c r="I138" s="61"/>
      <c r="J138" s="62"/>
      <c r="K138" s="120" t="str">
        <f t="shared" ref="K138:K200" si="35">IF(H138="Topic",
"[ROLE] Friendly tutor specializing in " &amp; $I$2 &amp; " | " &amp;
"[TOPIC] " &amp; I138 &amp; " | " &amp;
"[LEVEL] " &amp; G138 &amp; " | " &amp;
"[COUNT] " &amp; D138 &amp; " examples | " &amp;
"[LIBRARY BEING LEARNED] " &amp; $I$3 &amp; " | " &amp;
_xlfn._LONGTEXT("[ECOSYSTEM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$A138 &amp; " lines of EXECUTABLE code (STRICT: Do NOT count comments or blank lines). - NEVER exceed this limit. | " &amp;
"[FUNCTION RULE] Rule: " &amp; IF(G138="Beginner","Focus on basic GenServer implementations with simple init/1 and synchronous handle_call/3 callbacks.", IF(G138="Intermediate", "Integrate GenServer within a Supervisor tree. Use asynchronous handle_cast/2 and explicit state transitions.", "stateful GenServer state or external message passing")) &amp; " | " &amp;
"[CODE_CONSTRAINTS_RULE] Each example MUST: - Use stateful GenServer state or external message passing - Print steps &amp; result via Logger.info/debug or IO.inspect inside isolated process callbacks - MAX " &amp; $A138 &amp; " executable lines (comments/blanks excluded) - NEVER exceed limit. | " &amp;
"[I_O_PARADIGM] Use standard OTP message passing via send/2 or GenServer.call/3 and gracefully handle {:reply, response, new_state}, {:noreply, new_state}, and {:ok, state} tuples when applicable. | " &amp;
"[INLINE_PACKAGE_MANAGER] If using external packages, use Standard mix.exs dependencies list (defp deps do [{:package_name, '~&gt; version'}] end) at the top of the code block. Assume no project configuration file exists. | " &amp;
_xlfn._LONGTEXT("[TESTING_FRAMEWORK_LIMITS]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 &amp;
"[CODE QUALITY RULE] Code MUST be clean, readable, educational, executable, and produce correct results. Handle missing, malformed, or inconsistent data safely, utilizing pattern matching if possible. | " &amp;
"[COMMENT CONSTRAINTS] Code MUST include sufficient inline comments explaining WHAT the code does AND WHY it is written that way. Density: Beginner = high, Intermediate = medium, Advanced = 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D138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3" t="str">
        <f t="shared" ref="L138:L200" si="36">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B138 &amp; ". Project objective: " &amp; J138, "learning: " &amp; I138 &amp; ". Topic details: " &amp; J138)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IF(G138="Beginner", "Evaluate based on basic GenServer structure (init/1, handle_call/3). Do NOT expect full Supervisor trees unless explicitly demanded.", IF(G138="Intermediate", "Expect GenServer behaviors integrated into a standard Supervisor. Look for proper state isolation and appropriate use of handle_cast/2 to avoid blocking.", "Expect complete OTP apps with DynamicSupervisor, clean separation of Client API/Server Callbacks, and handle_info/2 pattern matching.")) &amp; " | " &amp;
_xlfn._LONGTEXT("[CODE_QUALITY_POLICIES]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2" t="str">
        <f t="shared" ref="N138:N200" si="37">IF(H138="Topic",
"[ROLE] Careless " &amp; $I$2 &amp; " Developer | " &amp;
"[TASK] Generate debugging challenges in " &amp; $I$2 &amp; " | | " &amp;
"[TOPIC] " &amp; I138 &amp; " | | " &amp;
"[LEVEL] " &amp; G138 &amp; " | | " &amp;
"[COUNT] " &amp; D138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Elixir File module and gracefully handle {:ok, data} and {:error, reason} tuples | Environment variables may be used but bugs MUST exist ONLY in code logic, NEVER in config files | If env/config is used, MUST include: 1. ","Instructional sentence 2. File content in markdown code block 3. BEFORE the broken code (Support files MUST contain NO bugs) | ") &amp;
"[EXUNIT RULE] If the topic involves ExUnit or Testing, NEVER use doctests (@doc iex&gt;). You MUST use standard test macros (test 'test name' do) and assert statements. Doctests cause errors in standalone .exs scripts. | " &amp;
_xlfn._LONGTEXT("[HEX DEPENDENCIES RULE] If the exercise requires using an external Hex package in a standalone script, you MUST use Mix.install([{:package_name, '~&gt; version'}]) at the very top of the code block. Assume there is NO mix.exs file available in the user's env","ironment. | ") &amp;
"[CODE CONSTRAINTS] Each challenge MUST include: - Internal data OR dataset usage - At least 1 Enum/List operation or recursion (when applicable) - At least 1 IO.puts or IO.inspect statement - " &amp; IF(G138="Beginner", "5–15", IF(G138="Intermediate", "10–25", "15–35")) &amp; " lines of EXECUTABLE broken code per example (STRICT: Do NOT count blank lines). Use pure functions and immutability. | All challenges MUST have similar complexity and length.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3" t="str">
        <f t="shared" ref="O138:O200" si="38">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B138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_xlfn._LONGTEXT("[PYTHON QUALITY RULE - STRICT] Code MUST be production-like, clean, and idiomatic Elixir. Use descriptive snake_case for variables and functions. Use pure functions and strict immutability. If using default arguments (\\\\) with multiple function clauses,"," you MUST declare a function head without a body to avoid compiler warnings.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2" t="str">
        <f t="shared" ref="Q138:Q200" si="39">IF(H138="Topic",
"[ROLE] Tech Lead | " &amp;
"[TASK] Assign incomplete " &amp; $I$2 &amp; " script challenges | " &amp;
"[TOPIC] " &amp; I138 &amp; " | " &amp;
"[LEVEL] " &amp; G138 &amp; " | " &amp;
"[COUNT] " &amp; D138 &amp; " challenges | " &amp;
"[LIBRARY BEING LEARNED] " &amp; $I$3 &amp; " | " &amp;
_xlfn._LONGTEXT("[ECOSYSTEM ORIENTATION RULE] If a module or ecosystem like Explorer or Nx is specified in [LIBRARY BEING LEARNED], you are CRITICALLY FORBIDDEN from using manual recursion or nested loop implementations. You MUST enforce the native, optimized data structu","res and vectorized operations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If the exercise requires using an external Hex package in a standalone script, you MUST use Mix.install([{:package_name, '~&gt; version'}]) at the very top of the code block. | " &amp;
"[TESTING_FRAMEWORK_PROTOCOL] If the topic involves ExUnit or Testing, NEVER use doctests (@doc iex&gt;). You MUST use standard test macros (test 'test name' do) and assert statements. | " &amp;
"[CHALLENGE_CONSTRAINTS_POLICY] Each challenge MUST include: - Internal data OR dataset usage - " &amp; IF(G138="Beginner","5–15", IF(G138="Intermediate","10–25","15–35")) &amp; " lines of EXECUTABLE base code (STRICT: Do NOT count comments or TODOs). - Length MUST vary across challenges. Use pure functions and immutability.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3" t="str">
        <f t="shared" ref="R138:R200" si="40">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B138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_xlfn._LONGTEXT("[PYTHON QUALITY RULE - STRICT] Code MUST be explicitly idiomatic Elixir. Use descriptive snake_case. Leverage immutability, pattern matching, and the pipe operator ('|&gt;'). Reject imperative smells (no while loops, no mutable state). If using default argum","ents ('\\\\') with multiple function clauses, you MUST declare a function head without a body to avoid compiler warnings.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2" t="str">
        <f t="shared" ref="T138:T200" si="41">IF(H138="Topic",
"[ROLE] Tech Lead | " &amp;
"[TASK] Provide intentionally messy but functional code for learning debugging and improvement | " &amp;
"[TOPIC] " &amp; I138 &amp; " | " &amp;
"[LEVEL] " &amp; G138 &amp; " | " &amp;
"[COUNT] " &amp; D138 &amp; " challenges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3" t="str">
        <f t="shared" ref="U138:U200" si="42">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B138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be explicitly compliant with language-standard style guides. Use descriptive snake_case for variables and functions. Avoid mutable default arguments; use immutable initializers instead. Ensure proper indentation. E","mphasize readability and idiomatic design patterns.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7" t="str">
        <f t="shared" ref="W138:W200" si="43">IF(H138="Topic",
"[ROLE] Tech Product Manager assigning a " &amp; $I$2 &amp; " Jira Ticket | " &amp;
"[TASK] Provide a guided implementation exercise with full solution for learning purposes | " &amp;
"[TOPIC] " &amp; I138 &amp; " | " &amp;
"[LEVEL] " &amp; G138 &amp; "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"[FUNCTIONAL_STRUCTURE_POLICY] Rule: " &amp; IF(G138="Beginner", "Use simple scripts or minimal functions. ", IF(G138="Intermediate",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3" t="str">
        <f t="shared" ref="X138:X200" si="44">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B138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_xlfn._LONGTEXT("[CODE_QUALITY_PROTOCOL] Code MUST be explicitly compliant with language-standard style guides. Use descriptive snake_case for variables and functions. NEVER use mutable default arguments; use immutable initializers instead. Ensure proper indentation. Emph","asize readability and idiomatic design patterns.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5">IF(H138&lt;&gt;"PROJECT","",
"[TASK] Teach through a practical " &amp; $I$2 &amp; " - " &amp; $I$3 &amp; " project following the micro-learning methodology, acting as a supportive tutor, creating a project about  " &amp; I138 &amp; " | " &amp;
"[TOPICS USED] " &amp; B138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mix.exs dependencies list (defp deps do [{:package_name, '~&gt; version'}] end) at the top. | " &amp;
"[SCOPE_ARCHITECTURE_RULE] Rule: Build fault-tolerant OTP apps with DynamicSupervisor, Registry for process discovery, and handle_info/2 handlers. | " &amp;
_xlfn._LONGTEXT("[VISUAL_ARCHITECTURE_COMMENTS] 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 &amp;
"[DATA ROBUSTNESS RULE] Handle real-world data safely | " &amp;
"[CODE CONSTRAINTS] MUST be between " &amp; IF(G138="Beginner", "25–40", IF(G138="Intermediate",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6">IF(H138&lt;&gt;"PROJECT","",
"[ROLE] Careless " &amp; $I$2 &amp; " Developer | " &amp;
"[TASK] Generate debugging project in " &amp; $I$2 &amp; " | " &amp;
"[PROJECT] " &amp; I138 &amp; " | " &amp;
"[TOPICS USED] " &amp; B138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environment. The project MUST contain EXACTLY 2–5 bugs. You MUST randomly select from a wide variety of real-world Elixir errors: 1. Syntax/Compile (e.g., missing 'end', incorrect pipe '|&gt;', TokenMissingError), 2. Lo","gic (produces wrong output), AND 3. Runtime Exceptions (e.g., MatchError, FunctionClauseError, ArithmeticError, BadMapError).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47">IF(H138&lt;&gt;"PROJECT","",
"[ROLE] Tech Lead | " &amp;
"[TASK] Assign incomplete project script | " &amp;
"[PROJECT] " &amp; I138 &amp; " | " &amp;
"[TOPICS USED] " &amp; B138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"[EXTERNAL_PACKAGE_PROTOCOL] Use Mix.install([{:package_name, '~&gt; version'}]) at the top if needed. | " &amp;
"[CHALLENGE_CONSTRAINTS_POLICY] MUST be between " &amp; IF(G138="Beginner","25–40", IF(G138="Intermediate","30–60","40–100")) &amp; " lines of EXECUTABLE base code (STRICT: Do NOT count comments or TODOs). Multi-step flow.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48">IF(H138&lt;&gt;"PROJECT","",
"[ROLE] Tech Lead | " &amp;
"[TASK] Provide a messy but functional project for refactoring | " &amp;
"[PROJECT] " &amp; I138 &amp; " | " &amp;
"[TOPICS USED] " &amp; B138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49">IF(H138&lt;&gt;"PROJECT","",
"[ROLE] Tech Product Manager assigning a " &amp; $I$2 &amp; " Jira Ticket | " &amp;
"[TASK] Provide a guided project implementation with full solution | " &amp;
"[PROJECT] " &amp; I138 &amp; " | " &amp;
"[TOPICS USED] " &amp; B138 &amp; " | " &amp;
"[LEVEL] " &amp; G138 &amp; " | " &amp;
"[PERSONA RULE] Act as a professional Tech Product Manager defining a project ticket | " &amp;
"[LIBRARY BEING LEARNED] " &amp; $I$3 &amp; " | " &amp;
_xlfn._LONGTEXT("[ECOSYSTEM ORIENTATION RULE] If a module or ecosystem like Explorer or Nx is specified in , you are CRITICALLY FORBIDDEN from using manual recursion or nested loop implementations. You MUST enforce the vectorized operations and data structures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3"/>
        <v/>
      </c>
      <c r="AI138" s="54"/>
      <c r="AJ138" s="54"/>
      <c r="AK138" s="54"/>
      <c r="AL138" s="54"/>
      <c r="AM138" s="54"/>
    </row>
    <row r="139" spans="1:39">
      <c r="A139" s="95"/>
      <c r="B139" s="45" t="str" cm="1">
        <f t="array" ref="B139">IF(H139="PROJECT", CHAR(10) &amp; "- " &amp; _xlfn.TEXTJOIN(CHAR(10) &amp; "- ", TRUE, _xlfn._xlws.FILTER($I$9:$I$1000, ($C$9:$C$1000=C139) * ($H$9:$H$1000="Topic"))), "")</f>
        <v/>
      </c>
      <c r="C139" s="45">
        <f t="shared" si="34"/>
        <v>107</v>
      </c>
      <c r="D139" s="46"/>
      <c r="E139" s="58"/>
      <c r="F139" s="67"/>
      <c r="G139" s="53"/>
      <c r="H139" s="53"/>
      <c r="I139" s="50"/>
      <c r="J139" s="51"/>
      <c r="K139" s="120" t="str">
        <f t="shared" si="35"/>
        <v/>
      </c>
      <c r="L139" s="103" t="str">
        <f t="shared" si="36"/>
        <v/>
      </c>
      <c r="M139" s="53">
        <v>0</v>
      </c>
      <c r="N139" s="102" t="str">
        <f t="shared" si="37"/>
        <v/>
      </c>
      <c r="O139" s="103" t="str">
        <f t="shared" si="38"/>
        <v/>
      </c>
      <c r="P139" s="53">
        <v>0</v>
      </c>
      <c r="Q139" s="102" t="str">
        <f t="shared" si="39"/>
        <v/>
      </c>
      <c r="R139" s="103" t="str">
        <f t="shared" si="40"/>
        <v/>
      </c>
      <c r="S139" s="53">
        <v>0</v>
      </c>
      <c r="T139" s="102" t="str">
        <f t="shared" si="41"/>
        <v/>
      </c>
      <c r="U139" s="103" t="str">
        <f t="shared" si="42"/>
        <v/>
      </c>
      <c r="V139" s="53">
        <v>0</v>
      </c>
      <c r="W139" s="87" t="str">
        <f t="shared" si="43"/>
        <v/>
      </c>
      <c r="X139" s="103" t="str">
        <f t="shared" si="44"/>
        <v/>
      </c>
      <c r="Y139" s="53">
        <v>0</v>
      </c>
      <c r="Z139" s="56" t="str">
        <f t="shared" si="45"/>
        <v/>
      </c>
      <c r="AA139" s="56" t="str">
        <f t="shared" si="46"/>
        <v/>
      </c>
      <c r="AB139" s="56" t="str">
        <f t="shared" si="47"/>
        <v/>
      </c>
      <c r="AC139" s="56" t="str">
        <f t="shared" si="48"/>
        <v/>
      </c>
      <c r="AD139" s="56" t="str">
        <f t="shared" si="49"/>
        <v/>
      </c>
      <c r="AE139" s="40"/>
      <c r="AF139" s="40"/>
      <c r="AG139" s="40"/>
      <c r="AH139" s="56" t="str">
        <f t="shared" si="33"/>
        <v/>
      </c>
      <c r="AI139" s="54"/>
      <c r="AJ139" s="54"/>
      <c r="AK139" s="54"/>
      <c r="AL139" s="54"/>
      <c r="AM139" s="54"/>
    </row>
    <row r="140" spans="1:39">
      <c r="A140" s="95"/>
      <c r="B140" s="45" t="str" cm="1">
        <f t="array" ref="B140">IF(H140="PROJECT", CHAR(10) &amp; "- " &amp; _xlfn.TEXTJOIN(CHAR(10) &amp; "- ", TRUE, _xlfn._xlws.FILTER($I$9:$I$1000, ($C$9:$C$1000=C140) * ($H$9:$H$1000="Topic"))), "")</f>
        <v/>
      </c>
      <c r="C140" s="45">
        <f t="shared" si="34"/>
        <v>108</v>
      </c>
      <c r="D140" s="57"/>
      <c r="E140" s="58"/>
      <c r="F140" s="54"/>
      <c r="G140" s="52"/>
      <c r="H140" s="52"/>
      <c r="I140" s="61"/>
      <c r="J140" s="62"/>
      <c r="K140" s="120" t="str">
        <f t="shared" si="35"/>
        <v/>
      </c>
      <c r="L140" s="103" t="str">
        <f t="shared" si="36"/>
        <v/>
      </c>
      <c r="M140" s="52">
        <v>0</v>
      </c>
      <c r="N140" s="102" t="str">
        <f t="shared" si="37"/>
        <v/>
      </c>
      <c r="O140" s="103" t="str">
        <f t="shared" si="38"/>
        <v/>
      </c>
      <c r="P140" s="52">
        <v>0</v>
      </c>
      <c r="Q140" s="102" t="str">
        <f t="shared" si="39"/>
        <v/>
      </c>
      <c r="R140" s="103" t="str">
        <f t="shared" si="40"/>
        <v/>
      </c>
      <c r="S140" s="52">
        <v>0</v>
      </c>
      <c r="T140" s="102" t="str">
        <f t="shared" si="41"/>
        <v/>
      </c>
      <c r="U140" s="103" t="str">
        <f t="shared" si="42"/>
        <v/>
      </c>
      <c r="V140" s="52">
        <v>0</v>
      </c>
      <c r="W140" s="87" t="str">
        <f t="shared" si="43"/>
        <v/>
      </c>
      <c r="X140" s="103" t="str">
        <f t="shared" si="44"/>
        <v/>
      </c>
      <c r="Y140" s="52">
        <v>0</v>
      </c>
      <c r="Z140" s="56" t="str">
        <f t="shared" si="45"/>
        <v/>
      </c>
      <c r="AA140" s="56" t="str">
        <f t="shared" si="46"/>
        <v/>
      </c>
      <c r="AB140" s="56" t="str">
        <f t="shared" si="47"/>
        <v/>
      </c>
      <c r="AC140" s="56" t="str">
        <f t="shared" si="48"/>
        <v/>
      </c>
      <c r="AD140" s="56" t="str">
        <f t="shared" si="49"/>
        <v/>
      </c>
      <c r="AE140" s="40"/>
      <c r="AF140" s="40"/>
      <c r="AG140" s="40"/>
      <c r="AH140" s="56" t="str">
        <f t="shared" si="33"/>
        <v/>
      </c>
      <c r="AI140" s="54"/>
      <c r="AJ140" s="54"/>
      <c r="AK140" s="54"/>
      <c r="AL140" s="54"/>
      <c r="AM140" s="54"/>
    </row>
    <row r="141" spans="1:39">
      <c r="A141" s="95"/>
      <c r="B141" s="45" t="str" cm="1">
        <f t="array" ref="B141">IF(H141="PROJECT", CHAR(10) &amp; "- " &amp; _xlfn.TEXTJOIN(CHAR(10) &amp; "- ", TRUE, _xlfn._xlws.FILTER($I$9:$I$1000, ($C$9:$C$1000=C141) * ($H$9:$H$1000="Topic"))), "")</f>
        <v/>
      </c>
      <c r="C141" s="45">
        <f t="shared" si="34"/>
        <v>109</v>
      </c>
      <c r="D141" s="46"/>
      <c r="E141" s="58"/>
      <c r="F141" s="67"/>
      <c r="G141" s="53"/>
      <c r="H141" s="53"/>
      <c r="I141" s="50"/>
      <c r="J141" s="51"/>
      <c r="K141" s="120" t="str">
        <f t="shared" si="35"/>
        <v/>
      </c>
      <c r="L141" s="103" t="str">
        <f t="shared" si="36"/>
        <v/>
      </c>
      <c r="M141" s="53">
        <v>0</v>
      </c>
      <c r="N141" s="102" t="str">
        <f t="shared" si="37"/>
        <v/>
      </c>
      <c r="O141" s="103" t="str">
        <f t="shared" si="38"/>
        <v/>
      </c>
      <c r="P141" s="53">
        <v>0</v>
      </c>
      <c r="Q141" s="102" t="str">
        <f t="shared" si="39"/>
        <v/>
      </c>
      <c r="R141" s="103" t="str">
        <f t="shared" si="40"/>
        <v/>
      </c>
      <c r="S141" s="53">
        <v>0</v>
      </c>
      <c r="T141" s="102" t="str">
        <f t="shared" si="41"/>
        <v/>
      </c>
      <c r="U141" s="103" t="str">
        <f t="shared" si="42"/>
        <v/>
      </c>
      <c r="V141" s="53">
        <v>0</v>
      </c>
      <c r="W141" s="87" t="str">
        <f t="shared" si="43"/>
        <v/>
      </c>
      <c r="X141" s="103" t="str">
        <f t="shared" si="44"/>
        <v/>
      </c>
      <c r="Y141" s="53">
        <v>0</v>
      </c>
      <c r="Z141" s="56" t="str">
        <f t="shared" si="45"/>
        <v/>
      </c>
      <c r="AA141" s="56" t="str">
        <f t="shared" si="46"/>
        <v/>
      </c>
      <c r="AB141" s="56" t="str">
        <f t="shared" si="47"/>
        <v/>
      </c>
      <c r="AC141" s="56" t="str">
        <f t="shared" si="48"/>
        <v/>
      </c>
      <c r="AD141" s="56" t="str">
        <f t="shared" si="49"/>
        <v/>
      </c>
      <c r="AE141" s="40"/>
      <c r="AF141" s="40"/>
      <c r="AG141" s="40"/>
      <c r="AH141" s="56" t="str">
        <f t="shared" ref="AH141:AH200" si="50">IF(AE141=$B$6,AG141,"")</f>
        <v/>
      </c>
      <c r="AI141" s="54"/>
      <c r="AJ141" s="54"/>
      <c r="AK141" s="54"/>
      <c r="AL141" s="54"/>
      <c r="AM141" s="54"/>
    </row>
    <row r="142" spans="1:39">
      <c r="A142" s="95"/>
      <c r="B142" s="45" t="str" cm="1">
        <f t="array" ref="B142">IF(H142="PROJECT", CHAR(10) &amp; "- " &amp; _xlfn.TEXTJOIN(CHAR(10) &amp; "- ", TRUE, _xlfn._xlws.FILTER($I$9:$I$1000, ($C$9:$C$1000=C142) * ($H$9:$H$1000="Topic"))), "")</f>
        <v/>
      </c>
      <c r="C142" s="45">
        <f t="shared" si="34"/>
        <v>110</v>
      </c>
      <c r="D142" s="57"/>
      <c r="E142" s="58"/>
      <c r="F142" s="54"/>
      <c r="G142" s="52"/>
      <c r="H142" s="52"/>
      <c r="I142" s="61"/>
      <c r="J142" s="62"/>
      <c r="K142" s="120" t="str">
        <f t="shared" si="35"/>
        <v/>
      </c>
      <c r="L142" s="103" t="str">
        <f t="shared" si="36"/>
        <v/>
      </c>
      <c r="M142" s="52">
        <v>0</v>
      </c>
      <c r="N142" s="102" t="str">
        <f t="shared" si="37"/>
        <v/>
      </c>
      <c r="O142" s="103" t="str">
        <f t="shared" si="38"/>
        <v/>
      </c>
      <c r="P142" s="52">
        <v>0</v>
      </c>
      <c r="Q142" s="102" t="str">
        <f t="shared" si="39"/>
        <v/>
      </c>
      <c r="R142" s="103" t="str">
        <f t="shared" si="40"/>
        <v/>
      </c>
      <c r="S142" s="52">
        <v>0</v>
      </c>
      <c r="T142" s="102" t="str">
        <f t="shared" si="41"/>
        <v/>
      </c>
      <c r="U142" s="103" t="str">
        <f t="shared" si="42"/>
        <v/>
      </c>
      <c r="V142" s="52">
        <v>0</v>
      </c>
      <c r="W142" s="87" t="str">
        <f t="shared" si="43"/>
        <v/>
      </c>
      <c r="X142" s="103" t="str">
        <f t="shared" si="44"/>
        <v/>
      </c>
      <c r="Y142" s="52">
        <v>0</v>
      </c>
      <c r="Z142" s="56" t="str">
        <f t="shared" si="45"/>
        <v/>
      </c>
      <c r="AA142" s="56" t="str">
        <f t="shared" si="46"/>
        <v/>
      </c>
      <c r="AB142" s="56" t="str">
        <f t="shared" si="47"/>
        <v/>
      </c>
      <c r="AC142" s="56" t="str">
        <f t="shared" si="48"/>
        <v/>
      </c>
      <c r="AD142" s="56" t="str">
        <f t="shared" si="49"/>
        <v/>
      </c>
      <c r="AE142" s="40"/>
      <c r="AF142" s="40"/>
      <c r="AG142" s="40"/>
      <c r="AH142" s="56" t="str">
        <f t="shared" si="50"/>
        <v/>
      </c>
      <c r="AI142" s="54"/>
      <c r="AJ142" s="54"/>
      <c r="AK142" s="54"/>
      <c r="AL142" s="54"/>
      <c r="AM142" s="54"/>
    </row>
    <row r="143" spans="1:39">
      <c r="A143" s="95"/>
      <c r="B143" s="45" t="str" cm="1">
        <f t="array" ref="B143">IF(H143="PROJECT", CHAR(10) &amp; "- " &amp; _xlfn.TEXTJOIN(CHAR(10) &amp; "- ", TRUE, _xlfn._xlws.FILTER($I$9:$I$1000, ($C$9:$C$1000=C143) * ($H$9:$H$1000="Topic"))), "")</f>
        <v/>
      </c>
      <c r="C143" s="45">
        <f t="shared" si="34"/>
        <v>111</v>
      </c>
      <c r="D143" s="46"/>
      <c r="E143" s="58"/>
      <c r="F143" s="67"/>
      <c r="G143" s="53"/>
      <c r="H143" s="53"/>
      <c r="I143" s="50"/>
      <c r="J143" s="51"/>
      <c r="K143" s="120" t="str">
        <f t="shared" si="35"/>
        <v/>
      </c>
      <c r="L143" s="103" t="str">
        <f t="shared" si="36"/>
        <v/>
      </c>
      <c r="M143" s="53">
        <v>0</v>
      </c>
      <c r="N143" s="102" t="str">
        <f t="shared" si="37"/>
        <v/>
      </c>
      <c r="O143" s="103" t="str">
        <f t="shared" si="38"/>
        <v/>
      </c>
      <c r="P143" s="53">
        <v>0</v>
      </c>
      <c r="Q143" s="102" t="str">
        <f t="shared" si="39"/>
        <v/>
      </c>
      <c r="R143" s="103" t="str">
        <f t="shared" si="40"/>
        <v/>
      </c>
      <c r="S143" s="53">
        <v>0</v>
      </c>
      <c r="T143" s="102" t="str">
        <f t="shared" si="41"/>
        <v/>
      </c>
      <c r="U143" s="103" t="str">
        <f t="shared" si="42"/>
        <v/>
      </c>
      <c r="V143" s="53">
        <v>0</v>
      </c>
      <c r="W143" s="87" t="str">
        <f t="shared" si="43"/>
        <v/>
      </c>
      <c r="X143" s="103" t="str">
        <f t="shared" si="44"/>
        <v/>
      </c>
      <c r="Y143" s="53">
        <v>0</v>
      </c>
      <c r="Z143" s="56" t="str">
        <f t="shared" si="45"/>
        <v/>
      </c>
      <c r="AA143" s="56" t="str">
        <f t="shared" si="46"/>
        <v/>
      </c>
      <c r="AB143" s="56" t="str">
        <f t="shared" si="47"/>
        <v/>
      </c>
      <c r="AC143" s="56" t="str">
        <f t="shared" si="48"/>
        <v/>
      </c>
      <c r="AD143" s="56" t="str">
        <f t="shared" si="49"/>
        <v/>
      </c>
      <c r="AE143" s="40"/>
      <c r="AF143" s="40"/>
      <c r="AG143" s="40"/>
      <c r="AH143" s="56" t="str">
        <f t="shared" si="50"/>
        <v/>
      </c>
      <c r="AI143" s="54"/>
      <c r="AJ143" s="54"/>
      <c r="AK143" s="54"/>
      <c r="AL143" s="54"/>
      <c r="AM143" s="54"/>
    </row>
    <row r="144" spans="1:39">
      <c r="A144" s="95"/>
      <c r="B144" s="45" t="str" cm="1">
        <f t="array" ref="B144">IF(H144="PROJECT", CHAR(10) &amp; "- " &amp; _xlfn.TEXTJOIN(CHAR(10) &amp; "- ", TRUE, _xlfn._xlws.FILTER($I$9:$I$1000, ($C$9:$C$1000=C144) * ($H$9:$H$1000="Topic"))), "")</f>
        <v/>
      </c>
      <c r="C144" s="45">
        <f t="shared" si="34"/>
        <v>112</v>
      </c>
      <c r="D144" s="57"/>
      <c r="E144" s="58"/>
      <c r="F144" s="54"/>
      <c r="G144" s="52"/>
      <c r="H144" s="52"/>
      <c r="I144" s="61"/>
      <c r="J144" s="62"/>
      <c r="K144" s="120" t="str">
        <f t="shared" si="35"/>
        <v/>
      </c>
      <c r="L144" s="103" t="str">
        <f t="shared" si="36"/>
        <v/>
      </c>
      <c r="M144" s="52">
        <v>0</v>
      </c>
      <c r="N144" s="102" t="str">
        <f t="shared" si="37"/>
        <v/>
      </c>
      <c r="O144" s="103" t="str">
        <f t="shared" si="38"/>
        <v/>
      </c>
      <c r="P144" s="52">
        <v>0</v>
      </c>
      <c r="Q144" s="102" t="str">
        <f t="shared" si="39"/>
        <v/>
      </c>
      <c r="R144" s="103" t="str">
        <f t="shared" si="40"/>
        <v/>
      </c>
      <c r="S144" s="52">
        <v>0</v>
      </c>
      <c r="T144" s="102" t="str">
        <f t="shared" si="41"/>
        <v/>
      </c>
      <c r="U144" s="103" t="str">
        <f t="shared" si="42"/>
        <v/>
      </c>
      <c r="V144" s="52">
        <v>0</v>
      </c>
      <c r="W144" s="87" t="str">
        <f t="shared" si="43"/>
        <v/>
      </c>
      <c r="X144" s="103" t="str">
        <f t="shared" si="44"/>
        <v/>
      </c>
      <c r="Y144" s="52">
        <v>0</v>
      </c>
      <c r="Z144" s="56" t="str">
        <f t="shared" si="45"/>
        <v/>
      </c>
      <c r="AA144" s="56" t="str">
        <f t="shared" si="46"/>
        <v/>
      </c>
      <c r="AB144" s="56" t="str">
        <f t="shared" si="47"/>
        <v/>
      </c>
      <c r="AC144" s="56" t="str">
        <f t="shared" si="48"/>
        <v/>
      </c>
      <c r="AD144" s="56" t="str">
        <f t="shared" si="49"/>
        <v/>
      </c>
      <c r="AE144" s="40"/>
      <c r="AF144" s="40"/>
      <c r="AG144" s="40"/>
      <c r="AH144" s="56" t="str">
        <f t="shared" si="50"/>
        <v/>
      </c>
      <c r="AI144" s="54"/>
      <c r="AJ144" s="54"/>
      <c r="AK144" s="54"/>
      <c r="AL144" s="54"/>
      <c r="AM144" s="54"/>
    </row>
    <row r="145" spans="1:39">
      <c r="A145" s="95"/>
      <c r="B145" s="45" t="str" cm="1">
        <f t="array" ref="B145">IF(H145="PROJECT", CHAR(10) &amp; "- " &amp; _xlfn.TEXTJOIN(CHAR(10) &amp; "- ", TRUE, _xlfn._xlws.FILTER($I$9:$I$1000, ($C$9:$C$1000=C145) * ($H$9:$H$1000="Topic"))), "")</f>
        <v/>
      </c>
      <c r="C145" s="45">
        <f t="shared" si="34"/>
        <v>113</v>
      </c>
      <c r="D145" s="46"/>
      <c r="E145" s="58"/>
      <c r="F145" s="67"/>
      <c r="G145" s="53"/>
      <c r="H145" s="53"/>
      <c r="I145" s="50"/>
      <c r="J145" s="51"/>
      <c r="K145" s="120" t="str">
        <f t="shared" si="35"/>
        <v/>
      </c>
      <c r="L145" s="103" t="str">
        <f t="shared" si="36"/>
        <v/>
      </c>
      <c r="M145" s="53">
        <v>0</v>
      </c>
      <c r="N145" s="102" t="str">
        <f t="shared" si="37"/>
        <v/>
      </c>
      <c r="O145" s="103" t="str">
        <f t="shared" si="38"/>
        <v/>
      </c>
      <c r="P145" s="53">
        <v>0</v>
      </c>
      <c r="Q145" s="102" t="str">
        <f t="shared" si="39"/>
        <v/>
      </c>
      <c r="R145" s="103" t="str">
        <f t="shared" si="40"/>
        <v/>
      </c>
      <c r="S145" s="53">
        <v>0</v>
      </c>
      <c r="T145" s="102" t="str">
        <f t="shared" si="41"/>
        <v/>
      </c>
      <c r="U145" s="103" t="str">
        <f t="shared" si="42"/>
        <v/>
      </c>
      <c r="V145" s="53">
        <v>0</v>
      </c>
      <c r="W145" s="87" t="str">
        <f t="shared" si="43"/>
        <v/>
      </c>
      <c r="X145" s="103" t="str">
        <f t="shared" si="44"/>
        <v/>
      </c>
      <c r="Y145" s="53">
        <v>0</v>
      </c>
      <c r="Z145" s="56" t="str">
        <f t="shared" si="45"/>
        <v/>
      </c>
      <c r="AA145" s="56" t="str">
        <f t="shared" si="46"/>
        <v/>
      </c>
      <c r="AB145" s="56" t="str">
        <f t="shared" si="47"/>
        <v/>
      </c>
      <c r="AC145" s="56" t="str">
        <f t="shared" si="48"/>
        <v/>
      </c>
      <c r="AD145" s="56" t="str">
        <f t="shared" si="49"/>
        <v/>
      </c>
      <c r="AE145" s="40"/>
      <c r="AF145" s="40"/>
      <c r="AG145" s="40"/>
      <c r="AH145" s="56" t="str">
        <f t="shared" si="50"/>
        <v/>
      </c>
      <c r="AI145" s="54"/>
      <c r="AJ145" s="54"/>
      <c r="AK145" s="54"/>
      <c r="AL145" s="54"/>
      <c r="AM145" s="54"/>
    </row>
    <row r="146" spans="1:39">
      <c r="A146" s="95"/>
      <c r="B146" s="45" t="str" cm="1">
        <f t="array" ref="B146">IF(H146="PROJECT", CHAR(10) &amp; "- " &amp; _xlfn.TEXTJOIN(CHAR(10) &amp; "- ", TRUE, _xlfn._xlws.FILTER($I$9:$I$1000, ($C$9:$C$1000=C146) * ($H$9:$H$1000="Topic"))), "")</f>
        <v/>
      </c>
      <c r="C146" s="45">
        <f t="shared" si="34"/>
        <v>114</v>
      </c>
      <c r="D146" s="57"/>
      <c r="E146" s="58"/>
      <c r="F146" s="54"/>
      <c r="G146" s="52"/>
      <c r="H146" s="52"/>
      <c r="I146" s="61"/>
      <c r="J146" s="62"/>
      <c r="K146" s="120" t="str">
        <f t="shared" si="35"/>
        <v/>
      </c>
      <c r="L146" s="103" t="str">
        <f t="shared" si="36"/>
        <v/>
      </c>
      <c r="M146" s="52">
        <v>0</v>
      </c>
      <c r="N146" s="102" t="str">
        <f t="shared" si="37"/>
        <v/>
      </c>
      <c r="O146" s="103" t="str">
        <f t="shared" si="38"/>
        <v/>
      </c>
      <c r="P146" s="52">
        <v>0</v>
      </c>
      <c r="Q146" s="102" t="str">
        <f t="shared" si="39"/>
        <v/>
      </c>
      <c r="R146" s="103" t="str">
        <f t="shared" si="40"/>
        <v/>
      </c>
      <c r="S146" s="52">
        <v>0</v>
      </c>
      <c r="T146" s="102" t="str">
        <f t="shared" si="41"/>
        <v/>
      </c>
      <c r="U146" s="103" t="str">
        <f t="shared" si="42"/>
        <v/>
      </c>
      <c r="V146" s="52">
        <v>0</v>
      </c>
      <c r="W146" s="87" t="str">
        <f t="shared" si="43"/>
        <v/>
      </c>
      <c r="X146" s="103" t="str">
        <f t="shared" si="44"/>
        <v/>
      </c>
      <c r="Y146" s="52">
        <v>0</v>
      </c>
      <c r="Z146" s="56" t="str">
        <f t="shared" si="45"/>
        <v/>
      </c>
      <c r="AA146" s="56" t="str">
        <f t="shared" si="46"/>
        <v/>
      </c>
      <c r="AB146" s="56" t="str">
        <f t="shared" si="47"/>
        <v/>
      </c>
      <c r="AC146" s="56" t="str">
        <f t="shared" si="48"/>
        <v/>
      </c>
      <c r="AD146" s="56" t="str">
        <f t="shared" si="49"/>
        <v/>
      </c>
      <c r="AE146" s="40"/>
      <c r="AF146" s="40"/>
      <c r="AG146" s="40"/>
      <c r="AH146" s="56" t="str">
        <f t="shared" si="50"/>
        <v/>
      </c>
      <c r="AI146" s="54"/>
      <c r="AJ146" s="54"/>
      <c r="AK146" s="54"/>
      <c r="AL146" s="54"/>
      <c r="AM146" s="54"/>
    </row>
    <row r="147" spans="1:39">
      <c r="A147" s="95"/>
      <c r="B147" s="45" t="str" cm="1">
        <f t="array" ref="B147">IF(H147="PROJECT", CHAR(10) &amp; "- " &amp; _xlfn.TEXTJOIN(CHAR(10) &amp; "- ", TRUE, _xlfn._xlws.FILTER($I$9:$I$1000, ($C$9:$C$1000=C147) * ($H$9:$H$1000="Topic"))), "")</f>
        <v/>
      </c>
      <c r="C147" s="45">
        <f t="shared" si="34"/>
        <v>115</v>
      </c>
      <c r="D147" s="46"/>
      <c r="E147" s="58"/>
      <c r="F147" s="67"/>
      <c r="G147" s="53"/>
      <c r="H147" s="53"/>
      <c r="I147" s="50"/>
      <c r="J147" s="51"/>
      <c r="K147" s="120" t="str">
        <f t="shared" si="35"/>
        <v/>
      </c>
      <c r="L147" s="103" t="str">
        <f t="shared" si="36"/>
        <v/>
      </c>
      <c r="M147" s="53">
        <v>0</v>
      </c>
      <c r="N147" s="102" t="str">
        <f t="shared" si="37"/>
        <v/>
      </c>
      <c r="O147" s="103" t="str">
        <f t="shared" si="38"/>
        <v/>
      </c>
      <c r="P147" s="53">
        <v>0</v>
      </c>
      <c r="Q147" s="102" t="str">
        <f t="shared" si="39"/>
        <v/>
      </c>
      <c r="R147" s="103" t="str">
        <f t="shared" si="40"/>
        <v/>
      </c>
      <c r="S147" s="53">
        <v>0</v>
      </c>
      <c r="T147" s="102" t="str">
        <f t="shared" si="41"/>
        <v/>
      </c>
      <c r="U147" s="103" t="str">
        <f t="shared" si="42"/>
        <v/>
      </c>
      <c r="V147" s="53">
        <v>0</v>
      </c>
      <c r="W147" s="87" t="str">
        <f t="shared" si="43"/>
        <v/>
      </c>
      <c r="X147" s="103" t="str">
        <f t="shared" si="44"/>
        <v/>
      </c>
      <c r="Y147" s="53">
        <v>0</v>
      </c>
      <c r="Z147" s="56" t="str">
        <f t="shared" si="45"/>
        <v/>
      </c>
      <c r="AA147" s="56" t="str">
        <f t="shared" si="46"/>
        <v/>
      </c>
      <c r="AB147" s="56" t="str">
        <f t="shared" si="47"/>
        <v/>
      </c>
      <c r="AC147" s="56" t="str">
        <f t="shared" si="48"/>
        <v/>
      </c>
      <c r="AD147" s="56" t="str">
        <f t="shared" si="49"/>
        <v/>
      </c>
      <c r="AE147" s="40"/>
      <c r="AF147" s="40"/>
      <c r="AG147" s="40"/>
      <c r="AH147" s="56" t="str">
        <f t="shared" si="50"/>
        <v/>
      </c>
      <c r="AI147" s="54"/>
      <c r="AJ147" s="54"/>
      <c r="AK147" s="54"/>
      <c r="AL147" s="54"/>
      <c r="AM147" s="54"/>
    </row>
    <row r="148" spans="1:39">
      <c r="A148" s="95"/>
      <c r="B148" s="45" t="str" cm="1">
        <f t="array" ref="B148">IF(H148="PROJECT", CHAR(10) &amp; "- " &amp; _xlfn.TEXTJOIN(CHAR(10) &amp; "- ", TRUE, _xlfn._xlws.FILTER($I$9:$I$1000, ($C$9:$C$1000=C148) * ($H$9:$H$1000="Topic"))), "")</f>
        <v/>
      </c>
      <c r="C148" s="45">
        <f t="shared" si="34"/>
        <v>116</v>
      </c>
      <c r="D148" s="57"/>
      <c r="E148" s="58"/>
      <c r="F148" s="54"/>
      <c r="G148" s="52"/>
      <c r="H148" s="52"/>
      <c r="I148" s="61"/>
      <c r="J148" s="62"/>
      <c r="K148" s="120" t="str">
        <f t="shared" si="35"/>
        <v/>
      </c>
      <c r="L148" s="103" t="str">
        <f t="shared" si="36"/>
        <v/>
      </c>
      <c r="M148" s="52">
        <v>0</v>
      </c>
      <c r="N148" s="102" t="str">
        <f t="shared" si="37"/>
        <v/>
      </c>
      <c r="O148" s="103" t="str">
        <f t="shared" si="38"/>
        <v/>
      </c>
      <c r="P148" s="52">
        <v>0</v>
      </c>
      <c r="Q148" s="102" t="str">
        <f t="shared" si="39"/>
        <v/>
      </c>
      <c r="R148" s="103" t="str">
        <f t="shared" si="40"/>
        <v/>
      </c>
      <c r="S148" s="52">
        <v>0</v>
      </c>
      <c r="T148" s="102" t="str">
        <f t="shared" si="41"/>
        <v/>
      </c>
      <c r="U148" s="103" t="str">
        <f t="shared" si="42"/>
        <v/>
      </c>
      <c r="V148" s="52">
        <v>0</v>
      </c>
      <c r="W148" s="87" t="str">
        <f t="shared" si="43"/>
        <v/>
      </c>
      <c r="X148" s="103" t="str">
        <f t="shared" si="44"/>
        <v/>
      </c>
      <c r="Y148" s="52">
        <v>0</v>
      </c>
      <c r="Z148" s="56" t="str">
        <f t="shared" si="45"/>
        <v/>
      </c>
      <c r="AA148" s="56" t="str">
        <f t="shared" si="46"/>
        <v/>
      </c>
      <c r="AB148" s="56" t="str">
        <f t="shared" si="47"/>
        <v/>
      </c>
      <c r="AC148" s="56" t="str">
        <f t="shared" si="48"/>
        <v/>
      </c>
      <c r="AD148" s="56" t="str">
        <f t="shared" si="49"/>
        <v/>
      </c>
      <c r="AE148" s="40"/>
      <c r="AF148" s="40"/>
      <c r="AG148" s="40"/>
      <c r="AH148" s="56" t="str">
        <f t="shared" si="50"/>
        <v/>
      </c>
      <c r="AI148" s="54"/>
      <c r="AJ148" s="54"/>
      <c r="AK148" s="54"/>
      <c r="AL148" s="54"/>
      <c r="AM148" s="54"/>
    </row>
    <row r="149" spans="1:39">
      <c r="A149" s="95"/>
      <c r="B149" s="45" t="str" cm="1">
        <f t="array" ref="B149">IF(H149="PROJECT", CHAR(10) &amp; "- " &amp; _xlfn.TEXTJOIN(CHAR(10) &amp; "- ", TRUE, _xlfn._xlws.FILTER($I$9:$I$1000, ($C$9:$C$1000=C149) * ($H$9:$H$1000="Topic"))), "")</f>
        <v/>
      </c>
      <c r="C149" s="45">
        <f t="shared" si="34"/>
        <v>117</v>
      </c>
      <c r="D149" s="46"/>
      <c r="E149" s="58"/>
      <c r="F149" s="67"/>
      <c r="G149" s="53"/>
      <c r="H149" s="53"/>
      <c r="I149" s="50"/>
      <c r="J149" s="51"/>
      <c r="K149" s="120" t="str">
        <f t="shared" si="35"/>
        <v/>
      </c>
      <c r="L149" s="103" t="str">
        <f t="shared" si="36"/>
        <v/>
      </c>
      <c r="M149" s="53">
        <v>0</v>
      </c>
      <c r="N149" s="102" t="str">
        <f t="shared" si="37"/>
        <v/>
      </c>
      <c r="O149" s="103" t="str">
        <f t="shared" si="38"/>
        <v/>
      </c>
      <c r="P149" s="53">
        <v>0</v>
      </c>
      <c r="Q149" s="102" t="str">
        <f t="shared" si="39"/>
        <v/>
      </c>
      <c r="R149" s="103" t="str">
        <f t="shared" si="40"/>
        <v/>
      </c>
      <c r="S149" s="53">
        <v>0</v>
      </c>
      <c r="T149" s="102" t="str">
        <f t="shared" si="41"/>
        <v/>
      </c>
      <c r="U149" s="103" t="str">
        <f t="shared" si="42"/>
        <v/>
      </c>
      <c r="V149" s="53">
        <v>0</v>
      </c>
      <c r="W149" s="87" t="str">
        <f t="shared" si="43"/>
        <v/>
      </c>
      <c r="X149" s="103" t="str">
        <f t="shared" si="44"/>
        <v/>
      </c>
      <c r="Y149" s="53">
        <v>0</v>
      </c>
      <c r="Z149" s="56" t="str">
        <f t="shared" si="45"/>
        <v/>
      </c>
      <c r="AA149" s="56" t="str">
        <f t="shared" si="46"/>
        <v/>
      </c>
      <c r="AB149" s="56" t="str">
        <f t="shared" si="47"/>
        <v/>
      </c>
      <c r="AC149" s="56" t="str">
        <f t="shared" si="48"/>
        <v/>
      </c>
      <c r="AD149" s="56" t="str">
        <f t="shared" si="49"/>
        <v/>
      </c>
      <c r="AE149" s="40"/>
      <c r="AF149" s="40"/>
      <c r="AG149" s="40"/>
      <c r="AH149" s="56" t="str">
        <f t="shared" si="50"/>
        <v/>
      </c>
      <c r="AI149" s="54"/>
      <c r="AJ149" s="54"/>
      <c r="AK149" s="54"/>
      <c r="AL149" s="54"/>
      <c r="AM149" s="54"/>
    </row>
    <row r="150" spans="1:39">
      <c r="A150" s="95"/>
      <c r="B150" s="45" t="str" cm="1">
        <f t="array" ref="B150">IF(H150="PROJECT", CHAR(10) &amp; "- " &amp; _xlfn.TEXTJOIN(CHAR(10) &amp; "- ", TRUE, _xlfn._xlws.FILTER($I$9:$I$1000, ($C$9:$C$1000=C150) * ($H$9:$H$1000="Topic"))), "")</f>
        <v/>
      </c>
      <c r="C150" s="45">
        <f t="shared" si="34"/>
        <v>118</v>
      </c>
      <c r="D150" s="57"/>
      <c r="E150" s="58"/>
      <c r="F150" s="54"/>
      <c r="G150" s="52"/>
      <c r="H150" s="52"/>
      <c r="I150" s="61"/>
      <c r="J150" s="62"/>
      <c r="K150" s="120" t="str">
        <f t="shared" si="35"/>
        <v/>
      </c>
      <c r="L150" s="103" t="str">
        <f t="shared" si="36"/>
        <v/>
      </c>
      <c r="M150" s="52">
        <v>0</v>
      </c>
      <c r="N150" s="102" t="str">
        <f t="shared" si="37"/>
        <v/>
      </c>
      <c r="O150" s="103" t="str">
        <f t="shared" si="38"/>
        <v/>
      </c>
      <c r="P150" s="52">
        <v>0</v>
      </c>
      <c r="Q150" s="102" t="str">
        <f t="shared" si="39"/>
        <v/>
      </c>
      <c r="R150" s="103" t="str">
        <f t="shared" si="40"/>
        <v/>
      </c>
      <c r="S150" s="52">
        <v>0</v>
      </c>
      <c r="T150" s="102" t="str">
        <f t="shared" si="41"/>
        <v/>
      </c>
      <c r="U150" s="103" t="str">
        <f t="shared" si="42"/>
        <v/>
      </c>
      <c r="V150" s="52">
        <v>0</v>
      </c>
      <c r="W150" s="87" t="str">
        <f t="shared" si="43"/>
        <v/>
      </c>
      <c r="X150" s="103" t="str">
        <f t="shared" si="44"/>
        <v/>
      </c>
      <c r="Y150" s="52">
        <v>0</v>
      </c>
      <c r="Z150" s="56" t="str">
        <f t="shared" si="45"/>
        <v/>
      </c>
      <c r="AA150" s="56" t="str">
        <f t="shared" si="46"/>
        <v/>
      </c>
      <c r="AB150" s="56" t="str">
        <f t="shared" si="47"/>
        <v/>
      </c>
      <c r="AC150" s="56" t="str">
        <f t="shared" si="48"/>
        <v/>
      </c>
      <c r="AD150" s="56" t="str">
        <f t="shared" si="49"/>
        <v/>
      </c>
      <c r="AE150" s="40"/>
      <c r="AF150" s="40"/>
      <c r="AG150" s="40"/>
      <c r="AH150" s="56" t="str">
        <f t="shared" si="50"/>
        <v/>
      </c>
      <c r="AI150" s="54"/>
      <c r="AJ150" s="54"/>
      <c r="AK150" s="54"/>
      <c r="AL150" s="54"/>
      <c r="AM150" s="54"/>
    </row>
    <row r="151" spans="1:39">
      <c r="A151" s="95"/>
      <c r="B151" s="45" t="str" cm="1">
        <f t="array" ref="B151">IF(H151="PROJECT", CHAR(10) &amp; "- " &amp; _xlfn.TEXTJOIN(CHAR(10) &amp; "- ", TRUE, _xlfn._xlws.FILTER($I$9:$I$1000, ($C$9:$C$1000=C151) * ($H$9:$H$1000="Topic"))), "")</f>
        <v/>
      </c>
      <c r="C151" s="45">
        <f t="shared" si="34"/>
        <v>119</v>
      </c>
      <c r="D151" s="46"/>
      <c r="E151" s="58"/>
      <c r="F151" s="67"/>
      <c r="G151" s="53"/>
      <c r="H151" s="53"/>
      <c r="I151" s="50"/>
      <c r="J151" s="51"/>
      <c r="K151" s="120" t="str">
        <f t="shared" si="35"/>
        <v/>
      </c>
      <c r="L151" s="103" t="str">
        <f t="shared" si="36"/>
        <v/>
      </c>
      <c r="M151" s="53">
        <v>0</v>
      </c>
      <c r="N151" s="102" t="str">
        <f t="shared" si="37"/>
        <v/>
      </c>
      <c r="O151" s="103" t="str">
        <f t="shared" si="38"/>
        <v/>
      </c>
      <c r="P151" s="53">
        <v>0</v>
      </c>
      <c r="Q151" s="102" t="str">
        <f t="shared" si="39"/>
        <v/>
      </c>
      <c r="R151" s="103" t="str">
        <f t="shared" si="40"/>
        <v/>
      </c>
      <c r="S151" s="53">
        <v>0</v>
      </c>
      <c r="T151" s="102" t="str">
        <f t="shared" si="41"/>
        <v/>
      </c>
      <c r="U151" s="103" t="str">
        <f t="shared" si="42"/>
        <v/>
      </c>
      <c r="V151" s="53">
        <v>0</v>
      </c>
      <c r="W151" s="87" t="str">
        <f t="shared" si="43"/>
        <v/>
      </c>
      <c r="X151" s="103" t="str">
        <f t="shared" si="44"/>
        <v/>
      </c>
      <c r="Y151" s="53">
        <v>0</v>
      </c>
      <c r="Z151" s="56" t="str">
        <f t="shared" si="45"/>
        <v/>
      </c>
      <c r="AA151" s="56" t="str">
        <f t="shared" si="46"/>
        <v/>
      </c>
      <c r="AB151" s="56" t="str">
        <f t="shared" si="47"/>
        <v/>
      </c>
      <c r="AC151" s="56" t="str">
        <f t="shared" si="48"/>
        <v/>
      </c>
      <c r="AD151" s="56" t="str">
        <f t="shared" si="49"/>
        <v/>
      </c>
      <c r="AE151" s="40"/>
      <c r="AF151" s="40"/>
      <c r="AG151" s="40"/>
      <c r="AH151" s="56" t="str">
        <f t="shared" si="50"/>
        <v/>
      </c>
      <c r="AI151" s="54"/>
      <c r="AJ151" s="54"/>
      <c r="AK151" s="54"/>
      <c r="AL151" s="54"/>
      <c r="AM151" s="54"/>
    </row>
    <row r="152" spans="1:39">
      <c r="A152" s="95"/>
      <c r="B152" s="45" t="str" cm="1">
        <f t="array" ref="B152">IF(H152="PROJECT", CHAR(10) &amp; "- " &amp; _xlfn.TEXTJOIN(CHAR(10) &amp; "- ", TRUE, _xlfn._xlws.FILTER($I$9:$I$1000, ($C$9:$C$1000=C152) * ($H$9:$H$1000="Topic"))), "")</f>
        <v/>
      </c>
      <c r="C152" s="45">
        <f t="shared" si="34"/>
        <v>120</v>
      </c>
      <c r="D152" s="57"/>
      <c r="E152" s="58"/>
      <c r="F152" s="54"/>
      <c r="G152" s="52"/>
      <c r="H152" s="52"/>
      <c r="I152" s="61"/>
      <c r="J152" s="62"/>
      <c r="K152" s="120" t="str">
        <f t="shared" si="35"/>
        <v/>
      </c>
      <c r="L152" s="103" t="str">
        <f t="shared" si="36"/>
        <v/>
      </c>
      <c r="M152" s="52">
        <v>0</v>
      </c>
      <c r="N152" s="102" t="str">
        <f t="shared" si="37"/>
        <v/>
      </c>
      <c r="O152" s="103" t="str">
        <f t="shared" si="38"/>
        <v/>
      </c>
      <c r="P152" s="52">
        <v>0</v>
      </c>
      <c r="Q152" s="102" t="str">
        <f t="shared" si="39"/>
        <v/>
      </c>
      <c r="R152" s="103" t="str">
        <f t="shared" si="40"/>
        <v/>
      </c>
      <c r="S152" s="52">
        <v>0</v>
      </c>
      <c r="T152" s="102" t="str">
        <f t="shared" si="41"/>
        <v/>
      </c>
      <c r="U152" s="103" t="str">
        <f t="shared" si="42"/>
        <v/>
      </c>
      <c r="V152" s="52">
        <v>0</v>
      </c>
      <c r="W152" s="87" t="str">
        <f t="shared" si="43"/>
        <v/>
      </c>
      <c r="X152" s="103" t="str">
        <f t="shared" si="44"/>
        <v/>
      </c>
      <c r="Y152" s="52">
        <v>0</v>
      </c>
      <c r="Z152" s="56" t="str">
        <f t="shared" si="45"/>
        <v/>
      </c>
      <c r="AA152" s="56" t="str">
        <f t="shared" si="46"/>
        <v/>
      </c>
      <c r="AB152" s="56" t="str">
        <f t="shared" si="47"/>
        <v/>
      </c>
      <c r="AC152" s="56" t="str">
        <f t="shared" si="48"/>
        <v/>
      </c>
      <c r="AD152" s="56" t="str">
        <f t="shared" si="49"/>
        <v/>
      </c>
      <c r="AE152" s="40"/>
      <c r="AF152" s="40"/>
      <c r="AG152" s="40"/>
      <c r="AH152" s="56" t="str">
        <f t="shared" si="50"/>
        <v/>
      </c>
      <c r="AI152" s="54"/>
      <c r="AJ152" s="54"/>
      <c r="AK152" s="54"/>
      <c r="AL152" s="54"/>
      <c r="AM152" s="54"/>
    </row>
    <row r="153" spans="1:39">
      <c r="A153" s="95"/>
      <c r="B153" s="45" t="str" cm="1">
        <f t="array" ref="B153">IF(H153="PROJECT", CHAR(10) &amp; "- " &amp; _xlfn.TEXTJOIN(CHAR(10) &amp; "- ", TRUE, _xlfn._xlws.FILTER($I$9:$I$1000, ($C$9:$C$1000=C153) * ($H$9:$H$1000="Topic"))), "")</f>
        <v/>
      </c>
      <c r="C153" s="45">
        <f t="shared" si="34"/>
        <v>121</v>
      </c>
      <c r="D153" s="46"/>
      <c r="E153" s="58"/>
      <c r="F153" s="67"/>
      <c r="G153" s="53"/>
      <c r="H153" s="53"/>
      <c r="I153" s="50"/>
      <c r="J153" s="51"/>
      <c r="K153" s="120" t="str">
        <f t="shared" si="35"/>
        <v/>
      </c>
      <c r="L153" s="103" t="str">
        <f t="shared" si="36"/>
        <v/>
      </c>
      <c r="M153" s="53">
        <v>0</v>
      </c>
      <c r="N153" s="102" t="str">
        <f t="shared" si="37"/>
        <v/>
      </c>
      <c r="O153" s="103" t="str">
        <f t="shared" si="38"/>
        <v/>
      </c>
      <c r="P153" s="53">
        <v>0</v>
      </c>
      <c r="Q153" s="102" t="str">
        <f t="shared" si="39"/>
        <v/>
      </c>
      <c r="R153" s="103" t="str">
        <f t="shared" si="40"/>
        <v/>
      </c>
      <c r="S153" s="53">
        <v>0</v>
      </c>
      <c r="T153" s="102" t="str">
        <f t="shared" si="41"/>
        <v/>
      </c>
      <c r="U153" s="103" t="str">
        <f t="shared" si="42"/>
        <v/>
      </c>
      <c r="V153" s="53">
        <v>0</v>
      </c>
      <c r="W153" s="87" t="str">
        <f t="shared" si="43"/>
        <v/>
      </c>
      <c r="X153" s="103" t="str">
        <f t="shared" si="44"/>
        <v/>
      </c>
      <c r="Y153" s="53">
        <v>0</v>
      </c>
      <c r="Z153" s="56" t="str">
        <f t="shared" si="45"/>
        <v/>
      </c>
      <c r="AA153" s="56" t="str">
        <f t="shared" si="46"/>
        <v/>
      </c>
      <c r="AB153" s="56" t="str">
        <f t="shared" si="47"/>
        <v/>
      </c>
      <c r="AC153" s="56" t="str">
        <f t="shared" si="48"/>
        <v/>
      </c>
      <c r="AD153" s="56" t="str">
        <f t="shared" si="49"/>
        <v/>
      </c>
      <c r="AE153" s="40"/>
      <c r="AF153" s="40"/>
      <c r="AG153" s="40"/>
      <c r="AH153" s="56" t="str">
        <f t="shared" si="50"/>
        <v/>
      </c>
      <c r="AI153" s="54"/>
      <c r="AJ153" s="54"/>
      <c r="AK153" s="54"/>
      <c r="AL153" s="54"/>
      <c r="AM153" s="54"/>
    </row>
    <row r="154" spans="1:39">
      <c r="A154" s="95"/>
      <c r="B154" s="45" t="str" cm="1">
        <f t="array" ref="B154">IF(H154="PROJECT", CHAR(10) &amp; "- " &amp; _xlfn.TEXTJOIN(CHAR(10) &amp; "- ", TRUE, _xlfn._xlws.FILTER($I$9:$I$1000, ($C$9:$C$1000=C154) * ($H$9:$H$1000="Topic"))), "")</f>
        <v/>
      </c>
      <c r="C154" s="45">
        <f t="shared" si="34"/>
        <v>122</v>
      </c>
      <c r="D154" s="57"/>
      <c r="E154" s="58"/>
      <c r="F154" s="54"/>
      <c r="G154" s="52"/>
      <c r="H154" s="52"/>
      <c r="I154" s="61"/>
      <c r="J154" s="62"/>
      <c r="K154" s="120" t="str">
        <f t="shared" si="35"/>
        <v/>
      </c>
      <c r="L154" s="103" t="str">
        <f t="shared" si="36"/>
        <v/>
      </c>
      <c r="M154" s="52">
        <v>0</v>
      </c>
      <c r="N154" s="102" t="str">
        <f t="shared" si="37"/>
        <v/>
      </c>
      <c r="O154" s="103" t="str">
        <f t="shared" si="38"/>
        <v/>
      </c>
      <c r="P154" s="52">
        <v>0</v>
      </c>
      <c r="Q154" s="102" t="str">
        <f t="shared" si="39"/>
        <v/>
      </c>
      <c r="R154" s="103" t="str">
        <f t="shared" si="40"/>
        <v/>
      </c>
      <c r="S154" s="52">
        <v>0</v>
      </c>
      <c r="T154" s="102" t="str">
        <f t="shared" si="41"/>
        <v/>
      </c>
      <c r="U154" s="103" t="str">
        <f t="shared" si="42"/>
        <v/>
      </c>
      <c r="V154" s="52">
        <v>0</v>
      </c>
      <c r="W154" s="87" t="str">
        <f t="shared" si="43"/>
        <v/>
      </c>
      <c r="X154" s="103" t="str">
        <f t="shared" si="44"/>
        <v/>
      </c>
      <c r="Y154" s="52">
        <v>0</v>
      </c>
      <c r="Z154" s="56" t="str">
        <f t="shared" si="45"/>
        <v/>
      </c>
      <c r="AA154" s="56" t="str">
        <f t="shared" si="46"/>
        <v/>
      </c>
      <c r="AB154" s="56" t="str">
        <f t="shared" si="47"/>
        <v/>
      </c>
      <c r="AC154" s="56" t="str">
        <f t="shared" si="48"/>
        <v/>
      </c>
      <c r="AD154" s="56" t="str">
        <f t="shared" si="49"/>
        <v/>
      </c>
      <c r="AE154" s="40"/>
      <c r="AF154" s="40"/>
      <c r="AG154" s="40"/>
      <c r="AH154" s="56" t="str">
        <f t="shared" si="50"/>
        <v/>
      </c>
      <c r="AI154" s="54"/>
      <c r="AJ154" s="54"/>
      <c r="AK154" s="54"/>
      <c r="AL154" s="54"/>
      <c r="AM154" s="54"/>
    </row>
    <row r="155" spans="1:39">
      <c r="A155" s="95"/>
      <c r="B155" s="45" t="str" cm="1">
        <f t="array" ref="B155">IF(H155="PROJECT", CHAR(10) &amp; "- " &amp; _xlfn.TEXTJOIN(CHAR(10) &amp; "- ", TRUE, _xlfn._xlws.FILTER($I$9:$I$1000, ($C$9:$C$1000=C155) * ($H$9:$H$1000="Topic"))), "")</f>
        <v/>
      </c>
      <c r="C155" s="45">
        <f t="shared" si="34"/>
        <v>123</v>
      </c>
      <c r="D155" s="46"/>
      <c r="E155" s="58"/>
      <c r="F155" s="67"/>
      <c r="G155" s="53"/>
      <c r="H155" s="53"/>
      <c r="I155" s="50"/>
      <c r="J155" s="51"/>
      <c r="K155" s="120" t="str">
        <f t="shared" si="35"/>
        <v/>
      </c>
      <c r="L155" s="103" t="str">
        <f t="shared" si="36"/>
        <v/>
      </c>
      <c r="M155" s="53">
        <v>0</v>
      </c>
      <c r="N155" s="102" t="str">
        <f t="shared" si="37"/>
        <v/>
      </c>
      <c r="O155" s="103" t="str">
        <f t="shared" si="38"/>
        <v/>
      </c>
      <c r="P155" s="53">
        <v>0</v>
      </c>
      <c r="Q155" s="102" t="str">
        <f t="shared" si="39"/>
        <v/>
      </c>
      <c r="R155" s="103" t="str">
        <f t="shared" si="40"/>
        <v/>
      </c>
      <c r="S155" s="53">
        <v>0</v>
      </c>
      <c r="T155" s="102" t="str">
        <f t="shared" si="41"/>
        <v/>
      </c>
      <c r="U155" s="103" t="str">
        <f t="shared" si="42"/>
        <v/>
      </c>
      <c r="V155" s="53">
        <v>0</v>
      </c>
      <c r="W155" s="87" t="str">
        <f t="shared" si="43"/>
        <v/>
      </c>
      <c r="X155" s="103" t="str">
        <f t="shared" si="44"/>
        <v/>
      </c>
      <c r="Y155" s="53">
        <v>0</v>
      </c>
      <c r="Z155" s="56" t="str">
        <f t="shared" si="45"/>
        <v/>
      </c>
      <c r="AA155" s="56" t="str">
        <f t="shared" si="46"/>
        <v/>
      </c>
      <c r="AB155" s="56" t="str">
        <f t="shared" si="47"/>
        <v/>
      </c>
      <c r="AC155" s="56" t="str">
        <f t="shared" si="48"/>
        <v/>
      </c>
      <c r="AD155" s="56" t="str">
        <f t="shared" si="49"/>
        <v/>
      </c>
      <c r="AE155" s="40"/>
      <c r="AF155" s="40"/>
      <c r="AG155" s="40"/>
      <c r="AH155" s="56" t="str">
        <f t="shared" si="50"/>
        <v/>
      </c>
      <c r="AI155" s="54"/>
      <c r="AJ155" s="54"/>
      <c r="AK155" s="54"/>
      <c r="AL155" s="54"/>
      <c r="AM155" s="54"/>
    </row>
    <row r="156" spans="1:39">
      <c r="A156" s="95"/>
      <c r="B156" s="45" t="str" cm="1">
        <f t="array" ref="B156">IF(H156="PROJECT", CHAR(10) &amp; "- " &amp; _xlfn.TEXTJOIN(CHAR(10) &amp; "- ", TRUE, _xlfn._xlws.FILTER($I$9:$I$1000, ($C$9:$C$1000=C156) * ($H$9:$H$1000="Topic"))), "")</f>
        <v/>
      </c>
      <c r="C156" s="45">
        <f t="shared" si="34"/>
        <v>124</v>
      </c>
      <c r="D156" s="57"/>
      <c r="E156" s="58"/>
      <c r="F156" s="54"/>
      <c r="G156" s="52"/>
      <c r="H156" s="52"/>
      <c r="I156" s="61"/>
      <c r="J156" s="62"/>
      <c r="K156" s="120" t="str">
        <f t="shared" si="35"/>
        <v/>
      </c>
      <c r="L156" s="103" t="str">
        <f t="shared" si="36"/>
        <v/>
      </c>
      <c r="M156" s="52">
        <v>0</v>
      </c>
      <c r="N156" s="102" t="str">
        <f t="shared" si="37"/>
        <v/>
      </c>
      <c r="O156" s="103" t="str">
        <f t="shared" si="38"/>
        <v/>
      </c>
      <c r="P156" s="52">
        <v>0</v>
      </c>
      <c r="Q156" s="102" t="str">
        <f t="shared" si="39"/>
        <v/>
      </c>
      <c r="R156" s="103" t="str">
        <f t="shared" si="40"/>
        <v/>
      </c>
      <c r="S156" s="52">
        <v>0</v>
      </c>
      <c r="T156" s="102" t="str">
        <f t="shared" si="41"/>
        <v/>
      </c>
      <c r="U156" s="103" t="str">
        <f t="shared" si="42"/>
        <v/>
      </c>
      <c r="V156" s="52">
        <v>0</v>
      </c>
      <c r="W156" s="87" t="str">
        <f t="shared" si="43"/>
        <v/>
      </c>
      <c r="X156" s="103" t="str">
        <f t="shared" si="44"/>
        <v/>
      </c>
      <c r="Y156" s="52">
        <v>0</v>
      </c>
      <c r="Z156" s="56" t="str">
        <f t="shared" si="45"/>
        <v/>
      </c>
      <c r="AA156" s="56" t="str">
        <f t="shared" si="46"/>
        <v/>
      </c>
      <c r="AB156" s="56" t="str">
        <f t="shared" si="47"/>
        <v/>
      </c>
      <c r="AC156" s="56" t="str">
        <f t="shared" si="48"/>
        <v/>
      </c>
      <c r="AD156" s="56" t="str">
        <f t="shared" si="49"/>
        <v/>
      </c>
      <c r="AE156" s="40"/>
      <c r="AF156" s="40"/>
      <c r="AG156" s="40"/>
      <c r="AH156" s="56" t="str">
        <f t="shared" si="50"/>
        <v/>
      </c>
      <c r="AI156" s="54"/>
      <c r="AJ156" s="54"/>
      <c r="AK156" s="54"/>
      <c r="AL156" s="54"/>
      <c r="AM156" s="54"/>
    </row>
    <row r="157" spans="1:39">
      <c r="A157" s="95"/>
      <c r="B157" s="45" t="str" cm="1">
        <f t="array" ref="B157">IF(H157="PROJECT", CHAR(10) &amp; "- " &amp; _xlfn.TEXTJOIN(CHAR(10) &amp; "- ", TRUE, _xlfn._xlws.FILTER($I$9:$I$1000, ($C$9:$C$1000=C157) * ($H$9:$H$1000="Topic"))), "")</f>
        <v/>
      </c>
      <c r="C157" s="45">
        <f t="shared" si="34"/>
        <v>125</v>
      </c>
      <c r="D157" s="46"/>
      <c r="E157" s="58"/>
      <c r="F157" s="67"/>
      <c r="G157" s="53"/>
      <c r="H157" s="53"/>
      <c r="I157" s="50"/>
      <c r="J157" s="51"/>
      <c r="K157" s="120" t="str">
        <f t="shared" si="35"/>
        <v/>
      </c>
      <c r="L157" s="103" t="str">
        <f t="shared" si="36"/>
        <v/>
      </c>
      <c r="M157" s="53">
        <v>0</v>
      </c>
      <c r="N157" s="102" t="str">
        <f t="shared" si="37"/>
        <v/>
      </c>
      <c r="O157" s="103" t="str">
        <f t="shared" si="38"/>
        <v/>
      </c>
      <c r="P157" s="53">
        <v>0</v>
      </c>
      <c r="Q157" s="102" t="str">
        <f t="shared" si="39"/>
        <v/>
      </c>
      <c r="R157" s="103" t="str">
        <f t="shared" si="40"/>
        <v/>
      </c>
      <c r="S157" s="53">
        <v>0</v>
      </c>
      <c r="T157" s="102" t="str">
        <f t="shared" si="41"/>
        <v/>
      </c>
      <c r="U157" s="103" t="str">
        <f t="shared" si="42"/>
        <v/>
      </c>
      <c r="V157" s="53">
        <v>0</v>
      </c>
      <c r="W157" s="87" t="str">
        <f t="shared" si="43"/>
        <v/>
      </c>
      <c r="X157" s="103" t="str">
        <f t="shared" si="44"/>
        <v/>
      </c>
      <c r="Y157" s="53">
        <v>0</v>
      </c>
      <c r="Z157" s="56" t="str">
        <f t="shared" si="45"/>
        <v/>
      </c>
      <c r="AA157" s="56" t="str">
        <f t="shared" si="46"/>
        <v/>
      </c>
      <c r="AB157" s="56" t="str">
        <f t="shared" si="47"/>
        <v/>
      </c>
      <c r="AC157" s="56" t="str">
        <f t="shared" si="48"/>
        <v/>
      </c>
      <c r="AD157" s="56" t="str">
        <f t="shared" si="49"/>
        <v/>
      </c>
      <c r="AE157" s="40"/>
      <c r="AF157" s="40"/>
      <c r="AG157" s="40"/>
      <c r="AH157" s="56" t="str">
        <f t="shared" si="50"/>
        <v/>
      </c>
      <c r="AI157" s="54"/>
      <c r="AJ157" s="54"/>
      <c r="AK157" s="54"/>
      <c r="AL157" s="54"/>
      <c r="AM157" s="54"/>
    </row>
    <row r="158" spans="1:39">
      <c r="A158" s="95"/>
      <c r="B158" s="45" t="str" cm="1">
        <f t="array" ref="B158">IF(H158="PROJECT", CHAR(10) &amp; "- " &amp; _xlfn.TEXTJOIN(CHAR(10) &amp; "- ", TRUE, _xlfn._xlws.FILTER($I$9:$I$1000, ($C$9:$C$1000=C158) * ($H$9:$H$1000="Topic"))), "")</f>
        <v/>
      </c>
      <c r="C158" s="45">
        <f t="shared" si="34"/>
        <v>126</v>
      </c>
      <c r="D158" s="57"/>
      <c r="E158" s="58"/>
      <c r="F158" s="54"/>
      <c r="G158" s="52"/>
      <c r="H158" s="52"/>
      <c r="I158" s="61"/>
      <c r="J158" s="62"/>
      <c r="K158" s="120" t="str">
        <f t="shared" si="35"/>
        <v/>
      </c>
      <c r="L158" s="103" t="str">
        <f t="shared" si="36"/>
        <v/>
      </c>
      <c r="M158" s="52">
        <v>0</v>
      </c>
      <c r="N158" s="102" t="str">
        <f t="shared" si="37"/>
        <v/>
      </c>
      <c r="O158" s="103" t="str">
        <f t="shared" si="38"/>
        <v/>
      </c>
      <c r="P158" s="52">
        <v>0</v>
      </c>
      <c r="Q158" s="102" t="str">
        <f t="shared" si="39"/>
        <v/>
      </c>
      <c r="R158" s="103" t="str">
        <f t="shared" si="40"/>
        <v/>
      </c>
      <c r="S158" s="52">
        <v>0</v>
      </c>
      <c r="T158" s="102" t="str">
        <f t="shared" si="41"/>
        <v/>
      </c>
      <c r="U158" s="103" t="str">
        <f t="shared" si="42"/>
        <v/>
      </c>
      <c r="V158" s="52">
        <v>0</v>
      </c>
      <c r="W158" s="87" t="str">
        <f t="shared" si="43"/>
        <v/>
      </c>
      <c r="X158" s="103" t="str">
        <f t="shared" si="44"/>
        <v/>
      </c>
      <c r="Y158" s="52">
        <v>0</v>
      </c>
      <c r="Z158" s="56" t="str">
        <f t="shared" si="45"/>
        <v/>
      </c>
      <c r="AA158" s="56" t="str">
        <f t="shared" si="46"/>
        <v/>
      </c>
      <c r="AB158" s="56" t="str">
        <f t="shared" si="47"/>
        <v/>
      </c>
      <c r="AC158" s="56" t="str">
        <f t="shared" si="48"/>
        <v/>
      </c>
      <c r="AD158" s="56" t="str">
        <f t="shared" si="49"/>
        <v/>
      </c>
      <c r="AE158" s="40"/>
      <c r="AF158" s="40"/>
      <c r="AG158" s="40"/>
      <c r="AH158" s="56" t="str">
        <f t="shared" si="50"/>
        <v/>
      </c>
      <c r="AI158" s="54"/>
      <c r="AJ158" s="54"/>
      <c r="AK158" s="54"/>
      <c r="AL158" s="54"/>
      <c r="AM158" s="54"/>
    </row>
    <row r="159" spans="1:39">
      <c r="A159" s="95"/>
      <c r="B159" s="45" t="str" cm="1">
        <f t="array" ref="B159">IF(H159="PROJECT", CHAR(10) &amp; "- " &amp; _xlfn.TEXTJOIN(CHAR(10) &amp; "- ", TRUE, _xlfn._xlws.FILTER($I$9:$I$1000, ($C$9:$C$1000=C159) * ($H$9:$H$1000="Topic"))), "")</f>
        <v/>
      </c>
      <c r="C159" s="45">
        <f t="shared" si="34"/>
        <v>127</v>
      </c>
      <c r="D159" s="46"/>
      <c r="E159" s="58"/>
      <c r="F159" s="67"/>
      <c r="G159" s="53"/>
      <c r="H159" s="53"/>
      <c r="I159" s="50"/>
      <c r="J159" s="51"/>
      <c r="K159" s="120" t="str">
        <f t="shared" si="35"/>
        <v/>
      </c>
      <c r="L159" s="103" t="str">
        <f t="shared" si="36"/>
        <v/>
      </c>
      <c r="M159" s="53">
        <v>0</v>
      </c>
      <c r="N159" s="102" t="str">
        <f t="shared" si="37"/>
        <v/>
      </c>
      <c r="O159" s="103" t="str">
        <f t="shared" si="38"/>
        <v/>
      </c>
      <c r="P159" s="53">
        <v>0</v>
      </c>
      <c r="Q159" s="102" t="str">
        <f t="shared" si="39"/>
        <v/>
      </c>
      <c r="R159" s="103" t="str">
        <f t="shared" si="40"/>
        <v/>
      </c>
      <c r="S159" s="53">
        <v>0</v>
      </c>
      <c r="T159" s="102" t="str">
        <f t="shared" si="41"/>
        <v/>
      </c>
      <c r="U159" s="103" t="str">
        <f t="shared" si="42"/>
        <v/>
      </c>
      <c r="V159" s="53">
        <v>0</v>
      </c>
      <c r="W159" s="87" t="str">
        <f t="shared" si="43"/>
        <v/>
      </c>
      <c r="X159" s="103" t="str">
        <f t="shared" si="44"/>
        <v/>
      </c>
      <c r="Y159" s="53">
        <v>0</v>
      </c>
      <c r="Z159" s="56" t="str">
        <f t="shared" si="45"/>
        <v/>
      </c>
      <c r="AA159" s="56" t="str">
        <f t="shared" si="46"/>
        <v/>
      </c>
      <c r="AB159" s="56" t="str">
        <f t="shared" si="47"/>
        <v/>
      </c>
      <c r="AC159" s="56" t="str">
        <f t="shared" si="48"/>
        <v/>
      </c>
      <c r="AD159" s="56" t="str">
        <f t="shared" si="49"/>
        <v/>
      </c>
      <c r="AE159" s="40"/>
      <c r="AF159" s="40"/>
      <c r="AG159" s="40"/>
      <c r="AH159" s="56" t="str">
        <f t="shared" si="50"/>
        <v/>
      </c>
      <c r="AI159" s="54"/>
      <c r="AJ159" s="54"/>
      <c r="AK159" s="54"/>
      <c r="AL159" s="54"/>
      <c r="AM159" s="54"/>
    </row>
    <row r="160" spans="1:39">
      <c r="A160" s="95"/>
      <c r="B160" s="45" t="str" cm="1">
        <f t="array" ref="B160">IF(H160="PROJECT", CHAR(10) &amp; "- " &amp; _xlfn.TEXTJOIN(CHAR(10) &amp; "- ", TRUE, _xlfn._xlws.FILTER($I$9:$I$1000, ($C$9:$C$1000=C160) * ($H$9:$H$1000="Topic"))), "")</f>
        <v/>
      </c>
      <c r="C160" s="45">
        <f t="shared" si="34"/>
        <v>128</v>
      </c>
      <c r="D160" s="57"/>
      <c r="E160" s="58"/>
      <c r="F160" s="54"/>
      <c r="G160" s="52"/>
      <c r="H160" s="52"/>
      <c r="I160" s="61"/>
      <c r="J160" s="62"/>
      <c r="K160" s="120" t="str">
        <f t="shared" si="35"/>
        <v/>
      </c>
      <c r="L160" s="103" t="str">
        <f t="shared" si="36"/>
        <v/>
      </c>
      <c r="M160" s="52">
        <v>0</v>
      </c>
      <c r="N160" s="102" t="str">
        <f t="shared" si="37"/>
        <v/>
      </c>
      <c r="O160" s="103" t="str">
        <f t="shared" si="38"/>
        <v/>
      </c>
      <c r="P160" s="52">
        <v>0</v>
      </c>
      <c r="Q160" s="102" t="str">
        <f t="shared" si="39"/>
        <v/>
      </c>
      <c r="R160" s="103" t="str">
        <f t="shared" si="40"/>
        <v/>
      </c>
      <c r="S160" s="52">
        <v>0</v>
      </c>
      <c r="T160" s="102" t="str">
        <f t="shared" si="41"/>
        <v/>
      </c>
      <c r="U160" s="103" t="str">
        <f t="shared" si="42"/>
        <v/>
      </c>
      <c r="V160" s="52">
        <v>0</v>
      </c>
      <c r="W160" s="87" t="str">
        <f t="shared" si="43"/>
        <v/>
      </c>
      <c r="X160" s="103" t="str">
        <f t="shared" si="44"/>
        <v/>
      </c>
      <c r="Y160" s="52">
        <v>0</v>
      </c>
      <c r="Z160" s="56" t="str">
        <f t="shared" si="45"/>
        <v/>
      </c>
      <c r="AA160" s="56" t="str">
        <f t="shared" si="46"/>
        <v/>
      </c>
      <c r="AB160" s="56" t="str">
        <f t="shared" si="47"/>
        <v/>
      </c>
      <c r="AC160" s="56" t="str">
        <f t="shared" si="48"/>
        <v/>
      </c>
      <c r="AD160" s="56" t="str">
        <f t="shared" si="49"/>
        <v/>
      </c>
      <c r="AE160" s="40"/>
      <c r="AF160" s="40"/>
      <c r="AG160" s="40"/>
      <c r="AH160" s="56" t="str">
        <f t="shared" si="50"/>
        <v/>
      </c>
      <c r="AI160" s="54"/>
      <c r="AJ160" s="54"/>
      <c r="AK160" s="54"/>
      <c r="AL160" s="54"/>
      <c r="AM160" s="54"/>
    </row>
    <row r="161" spans="1:39">
      <c r="A161" s="95"/>
      <c r="B161" s="45" t="str" cm="1">
        <f t="array" ref="B161">IF(H161="PROJECT", CHAR(10) &amp; "- " &amp; _xlfn.TEXTJOIN(CHAR(10) &amp; "- ", TRUE, _xlfn._xlws.FILTER($I$9:$I$1000, ($C$9:$C$1000=C161) * ($H$9:$H$1000="Topic"))), "")</f>
        <v/>
      </c>
      <c r="C161" s="45">
        <f t="shared" si="34"/>
        <v>129</v>
      </c>
      <c r="D161" s="46"/>
      <c r="E161" s="58"/>
      <c r="F161" s="67"/>
      <c r="G161" s="53"/>
      <c r="H161" s="53"/>
      <c r="I161" s="50"/>
      <c r="J161" s="51"/>
      <c r="K161" s="120" t="str">
        <f t="shared" si="35"/>
        <v/>
      </c>
      <c r="L161" s="103" t="str">
        <f t="shared" si="36"/>
        <v/>
      </c>
      <c r="M161" s="53">
        <v>0</v>
      </c>
      <c r="N161" s="102" t="str">
        <f t="shared" si="37"/>
        <v/>
      </c>
      <c r="O161" s="103" t="str">
        <f t="shared" si="38"/>
        <v/>
      </c>
      <c r="P161" s="53">
        <v>0</v>
      </c>
      <c r="Q161" s="102" t="str">
        <f t="shared" si="39"/>
        <v/>
      </c>
      <c r="R161" s="103" t="str">
        <f t="shared" si="40"/>
        <v/>
      </c>
      <c r="S161" s="53">
        <v>0</v>
      </c>
      <c r="T161" s="102" t="str">
        <f t="shared" si="41"/>
        <v/>
      </c>
      <c r="U161" s="103" t="str">
        <f t="shared" si="42"/>
        <v/>
      </c>
      <c r="V161" s="53">
        <v>0</v>
      </c>
      <c r="W161" s="87" t="str">
        <f t="shared" si="43"/>
        <v/>
      </c>
      <c r="X161" s="103" t="str">
        <f t="shared" si="44"/>
        <v/>
      </c>
      <c r="Y161" s="53">
        <v>0</v>
      </c>
      <c r="Z161" s="56" t="str">
        <f t="shared" si="45"/>
        <v/>
      </c>
      <c r="AA161" s="56" t="str">
        <f t="shared" si="46"/>
        <v/>
      </c>
      <c r="AB161" s="56" t="str">
        <f t="shared" si="47"/>
        <v/>
      </c>
      <c r="AC161" s="56" t="str">
        <f t="shared" si="48"/>
        <v/>
      </c>
      <c r="AD161" s="56" t="str">
        <f t="shared" si="49"/>
        <v/>
      </c>
      <c r="AE161" s="40"/>
      <c r="AF161" s="40"/>
      <c r="AG161" s="40"/>
      <c r="AH161" s="56" t="str">
        <f t="shared" si="50"/>
        <v/>
      </c>
      <c r="AI161" s="54"/>
      <c r="AJ161" s="54"/>
      <c r="AK161" s="54"/>
      <c r="AL161" s="54"/>
      <c r="AM161" s="54"/>
    </row>
    <row r="162" spans="1:39">
      <c r="A162" s="95"/>
      <c r="B162" s="45" t="str" cm="1">
        <f t="array" ref="B162">IF(H162="PROJECT", CHAR(10) &amp; "- " &amp; _xlfn.TEXTJOIN(CHAR(10) &amp; "- ", TRUE, _xlfn._xlws.FILTER($I$9:$I$1000, ($C$9:$C$1000=C162) * ($H$9:$H$1000="Topic"))), "")</f>
        <v/>
      </c>
      <c r="C162" s="45">
        <f t="shared" si="34"/>
        <v>130</v>
      </c>
      <c r="D162" s="57"/>
      <c r="E162" s="58"/>
      <c r="F162" s="54"/>
      <c r="G162" s="52"/>
      <c r="H162" s="52"/>
      <c r="I162" s="61"/>
      <c r="J162" s="62"/>
      <c r="K162" s="120" t="str">
        <f t="shared" si="35"/>
        <v/>
      </c>
      <c r="L162" s="103" t="str">
        <f t="shared" si="36"/>
        <v/>
      </c>
      <c r="M162" s="52">
        <v>0</v>
      </c>
      <c r="N162" s="102" t="str">
        <f t="shared" si="37"/>
        <v/>
      </c>
      <c r="O162" s="103" t="str">
        <f t="shared" si="38"/>
        <v/>
      </c>
      <c r="P162" s="52">
        <v>0</v>
      </c>
      <c r="Q162" s="102" t="str">
        <f t="shared" si="39"/>
        <v/>
      </c>
      <c r="R162" s="103" t="str">
        <f t="shared" si="40"/>
        <v/>
      </c>
      <c r="S162" s="52">
        <v>0</v>
      </c>
      <c r="T162" s="102" t="str">
        <f t="shared" si="41"/>
        <v/>
      </c>
      <c r="U162" s="103" t="str">
        <f t="shared" si="42"/>
        <v/>
      </c>
      <c r="V162" s="52">
        <v>0</v>
      </c>
      <c r="W162" s="87" t="str">
        <f t="shared" si="43"/>
        <v/>
      </c>
      <c r="X162" s="103" t="str">
        <f t="shared" si="44"/>
        <v/>
      </c>
      <c r="Y162" s="52">
        <v>0</v>
      </c>
      <c r="Z162" s="56" t="str">
        <f t="shared" si="45"/>
        <v/>
      </c>
      <c r="AA162" s="56" t="str">
        <f t="shared" si="46"/>
        <v/>
      </c>
      <c r="AB162" s="56" t="str">
        <f t="shared" si="47"/>
        <v/>
      </c>
      <c r="AC162" s="56" t="str">
        <f t="shared" si="48"/>
        <v/>
      </c>
      <c r="AD162" s="56" t="str">
        <f t="shared" si="49"/>
        <v/>
      </c>
      <c r="AE162" s="40"/>
      <c r="AF162" s="40"/>
      <c r="AG162" s="40"/>
      <c r="AH162" s="56" t="str">
        <f t="shared" si="50"/>
        <v/>
      </c>
      <c r="AI162" s="54"/>
      <c r="AJ162" s="54"/>
      <c r="AK162" s="54"/>
      <c r="AL162" s="54"/>
      <c r="AM162" s="54"/>
    </row>
    <row r="163" spans="1:39">
      <c r="A163" s="95"/>
      <c r="B163" s="45" t="str" cm="1">
        <f t="array" ref="B163">IF(H163="PROJECT", CHAR(10) &amp; "- " &amp; _xlfn.TEXTJOIN(CHAR(10) &amp; "- ", TRUE, _xlfn._xlws.FILTER($I$9:$I$1000, ($C$9:$C$1000=C163) * ($H$9:$H$1000="Topic"))), "")</f>
        <v/>
      </c>
      <c r="C163" s="45">
        <f t="shared" si="34"/>
        <v>131</v>
      </c>
      <c r="D163" s="46"/>
      <c r="E163" s="58"/>
      <c r="F163" s="67"/>
      <c r="G163" s="53"/>
      <c r="H163" s="53"/>
      <c r="I163" s="50"/>
      <c r="J163" s="51"/>
      <c r="K163" s="120" t="str">
        <f t="shared" si="35"/>
        <v/>
      </c>
      <c r="L163" s="103" t="str">
        <f t="shared" si="36"/>
        <v/>
      </c>
      <c r="M163" s="53">
        <v>0</v>
      </c>
      <c r="N163" s="102" t="str">
        <f t="shared" si="37"/>
        <v/>
      </c>
      <c r="O163" s="103" t="str">
        <f t="shared" si="38"/>
        <v/>
      </c>
      <c r="P163" s="53">
        <v>0</v>
      </c>
      <c r="Q163" s="102" t="str">
        <f t="shared" si="39"/>
        <v/>
      </c>
      <c r="R163" s="103" t="str">
        <f t="shared" si="40"/>
        <v/>
      </c>
      <c r="S163" s="53">
        <v>0</v>
      </c>
      <c r="T163" s="102" t="str">
        <f t="shared" si="41"/>
        <v/>
      </c>
      <c r="U163" s="103" t="str">
        <f t="shared" si="42"/>
        <v/>
      </c>
      <c r="V163" s="53">
        <v>0</v>
      </c>
      <c r="W163" s="87" t="str">
        <f t="shared" si="43"/>
        <v/>
      </c>
      <c r="X163" s="103" t="str">
        <f t="shared" si="44"/>
        <v/>
      </c>
      <c r="Y163" s="53">
        <v>0</v>
      </c>
      <c r="Z163" s="56" t="str">
        <f t="shared" si="45"/>
        <v/>
      </c>
      <c r="AA163" s="56" t="str">
        <f t="shared" si="46"/>
        <v/>
      </c>
      <c r="AB163" s="56" t="str">
        <f t="shared" si="47"/>
        <v/>
      </c>
      <c r="AC163" s="56" t="str">
        <f t="shared" si="48"/>
        <v/>
      </c>
      <c r="AD163" s="56" t="str">
        <f t="shared" si="49"/>
        <v/>
      </c>
      <c r="AE163" s="40"/>
      <c r="AF163" s="40"/>
      <c r="AG163" s="40"/>
      <c r="AH163" s="56" t="str">
        <f t="shared" si="50"/>
        <v/>
      </c>
      <c r="AI163" s="54"/>
      <c r="AJ163" s="54"/>
      <c r="AK163" s="54"/>
      <c r="AL163" s="54"/>
      <c r="AM163" s="54"/>
    </row>
    <row r="164" spans="1:39">
      <c r="A164" s="95"/>
      <c r="B164" s="45" t="str" cm="1">
        <f t="array" ref="B164">IF(H164="PROJECT", CHAR(10) &amp; "- " &amp; _xlfn.TEXTJOIN(CHAR(10) &amp; "- ", TRUE, _xlfn._xlws.FILTER($I$9:$I$1000, ($C$9:$C$1000=C164) * ($H$9:$H$1000="Topic"))), "")</f>
        <v/>
      </c>
      <c r="C164" s="45">
        <f t="shared" si="34"/>
        <v>132</v>
      </c>
      <c r="D164" s="57"/>
      <c r="E164" s="58"/>
      <c r="F164" s="54"/>
      <c r="G164" s="52"/>
      <c r="H164" s="52"/>
      <c r="I164" s="61"/>
      <c r="J164" s="62"/>
      <c r="K164" s="120" t="str">
        <f t="shared" si="35"/>
        <v/>
      </c>
      <c r="L164" s="103" t="str">
        <f t="shared" si="36"/>
        <v/>
      </c>
      <c r="M164" s="52">
        <v>0</v>
      </c>
      <c r="N164" s="102" t="str">
        <f t="shared" si="37"/>
        <v/>
      </c>
      <c r="O164" s="103" t="str">
        <f t="shared" si="38"/>
        <v/>
      </c>
      <c r="P164" s="52">
        <v>0</v>
      </c>
      <c r="Q164" s="102" t="str">
        <f t="shared" si="39"/>
        <v/>
      </c>
      <c r="R164" s="103" t="str">
        <f t="shared" si="40"/>
        <v/>
      </c>
      <c r="S164" s="52">
        <v>0</v>
      </c>
      <c r="T164" s="102" t="str">
        <f t="shared" si="41"/>
        <v/>
      </c>
      <c r="U164" s="103" t="str">
        <f t="shared" si="42"/>
        <v/>
      </c>
      <c r="V164" s="52">
        <v>0</v>
      </c>
      <c r="W164" s="87" t="str">
        <f t="shared" si="43"/>
        <v/>
      </c>
      <c r="X164" s="103" t="str">
        <f t="shared" si="44"/>
        <v/>
      </c>
      <c r="Y164" s="52">
        <v>0</v>
      </c>
      <c r="Z164" s="56" t="str">
        <f t="shared" si="45"/>
        <v/>
      </c>
      <c r="AA164" s="56" t="str">
        <f t="shared" si="46"/>
        <v/>
      </c>
      <c r="AB164" s="56" t="str">
        <f t="shared" si="47"/>
        <v/>
      </c>
      <c r="AC164" s="56" t="str">
        <f t="shared" si="48"/>
        <v/>
      </c>
      <c r="AD164" s="56" t="str">
        <f t="shared" si="49"/>
        <v/>
      </c>
      <c r="AE164" s="40"/>
      <c r="AF164" s="40"/>
      <c r="AG164" s="40"/>
      <c r="AH164" s="56" t="str">
        <f t="shared" si="50"/>
        <v/>
      </c>
      <c r="AI164" s="54"/>
      <c r="AJ164" s="54"/>
      <c r="AK164" s="54"/>
      <c r="AL164" s="54"/>
      <c r="AM164" s="54"/>
    </row>
    <row r="165" spans="1:39">
      <c r="A165" s="95"/>
      <c r="B165" s="45" t="str" cm="1">
        <f t="array" ref="B165">IF(H165="PROJECT", CHAR(10) &amp; "- " &amp; _xlfn.TEXTJOIN(CHAR(10) &amp; "- ", TRUE, _xlfn._xlws.FILTER($I$9:$I$1000, ($C$9:$C$1000=C165) * ($H$9:$H$1000="Topic"))), "")</f>
        <v/>
      </c>
      <c r="C165" s="45">
        <f t="shared" si="34"/>
        <v>133</v>
      </c>
      <c r="D165" s="46"/>
      <c r="E165" s="58"/>
      <c r="F165" s="67"/>
      <c r="G165" s="53"/>
      <c r="H165" s="53"/>
      <c r="I165" s="50"/>
      <c r="J165" s="51"/>
      <c r="K165" s="120" t="str">
        <f t="shared" si="35"/>
        <v/>
      </c>
      <c r="L165" s="103" t="str">
        <f t="shared" si="36"/>
        <v/>
      </c>
      <c r="M165" s="53">
        <v>0</v>
      </c>
      <c r="N165" s="102" t="str">
        <f t="shared" si="37"/>
        <v/>
      </c>
      <c r="O165" s="103" t="str">
        <f t="shared" si="38"/>
        <v/>
      </c>
      <c r="P165" s="53">
        <v>0</v>
      </c>
      <c r="Q165" s="102" t="str">
        <f t="shared" si="39"/>
        <v/>
      </c>
      <c r="R165" s="103" t="str">
        <f t="shared" si="40"/>
        <v/>
      </c>
      <c r="S165" s="53">
        <v>0</v>
      </c>
      <c r="T165" s="102" t="str">
        <f t="shared" si="41"/>
        <v/>
      </c>
      <c r="U165" s="103" t="str">
        <f t="shared" si="42"/>
        <v/>
      </c>
      <c r="V165" s="53">
        <v>0</v>
      </c>
      <c r="W165" s="87" t="str">
        <f t="shared" si="43"/>
        <v/>
      </c>
      <c r="X165" s="103" t="str">
        <f t="shared" si="44"/>
        <v/>
      </c>
      <c r="Y165" s="53">
        <v>0</v>
      </c>
      <c r="Z165" s="56" t="str">
        <f t="shared" si="45"/>
        <v/>
      </c>
      <c r="AA165" s="56" t="str">
        <f t="shared" si="46"/>
        <v/>
      </c>
      <c r="AB165" s="56" t="str">
        <f t="shared" si="47"/>
        <v/>
      </c>
      <c r="AC165" s="56" t="str">
        <f t="shared" si="48"/>
        <v/>
      </c>
      <c r="AD165" s="56" t="str">
        <f t="shared" si="49"/>
        <v/>
      </c>
      <c r="AE165" s="40"/>
      <c r="AF165" s="40"/>
      <c r="AG165" s="40"/>
      <c r="AH165" s="56" t="str">
        <f t="shared" si="50"/>
        <v/>
      </c>
      <c r="AI165" s="54"/>
      <c r="AJ165" s="54"/>
      <c r="AK165" s="54"/>
      <c r="AL165" s="54"/>
      <c r="AM165" s="54"/>
    </row>
    <row r="166" spans="1:39">
      <c r="A166" s="95"/>
      <c r="B166" s="45" t="str" cm="1">
        <f t="array" ref="B166">IF(H166="PROJECT", CHAR(10) &amp; "- " &amp; _xlfn.TEXTJOIN(CHAR(10) &amp; "- ", TRUE, _xlfn._xlws.FILTER($I$9:$I$1000, ($C$9:$C$1000=C166) * ($H$9:$H$1000="Topic"))), "")</f>
        <v/>
      </c>
      <c r="C166" s="45">
        <f t="shared" si="34"/>
        <v>134</v>
      </c>
      <c r="D166" s="57"/>
      <c r="E166" s="58"/>
      <c r="F166" s="54"/>
      <c r="G166" s="52"/>
      <c r="H166" s="52"/>
      <c r="I166" s="61"/>
      <c r="J166" s="62"/>
      <c r="K166" s="120" t="str">
        <f t="shared" si="35"/>
        <v/>
      </c>
      <c r="L166" s="103" t="str">
        <f t="shared" si="36"/>
        <v/>
      </c>
      <c r="M166" s="52">
        <v>0</v>
      </c>
      <c r="N166" s="102" t="str">
        <f t="shared" si="37"/>
        <v/>
      </c>
      <c r="O166" s="103" t="str">
        <f t="shared" si="38"/>
        <v/>
      </c>
      <c r="P166" s="52">
        <v>0</v>
      </c>
      <c r="Q166" s="102" t="str">
        <f t="shared" si="39"/>
        <v/>
      </c>
      <c r="R166" s="103" t="str">
        <f t="shared" si="40"/>
        <v/>
      </c>
      <c r="S166" s="52">
        <v>0</v>
      </c>
      <c r="T166" s="102" t="str">
        <f t="shared" si="41"/>
        <v/>
      </c>
      <c r="U166" s="103" t="str">
        <f t="shared" si="42"/>
        <v/>
      </c>
      <c r="V166" s="52">
        <v>0</v>
      </c>
      <c r="W166" s="87" t="str">
        <f t="shared" si="43"/>
        <v/>
      </c>
      <c r="X166" s="103" t="str">
        <f t="shared" si="44"/>
        <v/>
      </c>
      <c r="Y166" s="52">
        <v>0</v>
      </c>
      <c r="Z166" s="56" t="str">
        <f t="shared" si="45"/>
        <v/>
      </c>
      <c r="AA166" s="56" t="str">
        <f t="shared" si="46"/>
        <v/>
      </c>
      <c r="AB166" s="56" t="str">
        <f t="shared" si="47"/>
        <v/>
      </c>
      <c r="AC166" s="56" t="str">
        <f t="shared" si="48"/>
        <v/>
      </c>
      <c r="AD166" s="56" t="str">
        <f t="shared" si="49"/>
        <v/>
      </c>
      <c r="AE166" s="40"/>
      <c r="AF166" s="40"/>
      <c r="AG166" s="40"/>
      <c r="AH166" s="56" t="str">
        <f t="shared" si="50"/>
        <v/>
      </c>
      <c r="AI166" s="54"/>
      <c r="AJ166" s="54"/>
      <c r="AK166" s="54"/>
      <c r="AL166" s="54"/>
      <c r="AM166" s="54"/>
    </row>
    <row r="167" spans="1:39">
      <c r="A167" s="95"/>
      <c r="B167" s="45" t="str" cm="1">
        <f t="array" ref="B167">IF(H167="PROJECT", CHAR(10) &amp; "- " &amp; _xlfn.TEXTJOIN(CHAR(10) &amp; "- ", TRUE, _xlfn._xlws.FILTER($I$9:$I$1000, ($C$9:$C$1000=C167) * ($H$9:$H$1000="Topic"))), "")</f>
        <v/>
      </c>
      <c r="C167" s="45">
        <f t="shared" si="34"/>
        <v>135</v>
      </c>
      <c r="D167" s="46"/>
      <c r="E167" s="58"/>
      <c r="F167" s="67"/>
      <c r="G167" s="53"/>
      <c r="H167" s="53"/>
      <c r="I167" s="50"/>
      <c r="J167" s="51"/>
      <c r="K167" s="120" t="str">
        <f t="shared" si="35"/>
        <v/>
      </c>
      <c r="L167" s="103" t="str">
        <f t="shared" si="36"/>
        <v/>
      </c>
      <c r="M167" s="53">
        <v>0</v>
      </c>
      <c r="N167" s="102" t="str">
        <f t="shared" si="37"/>
        <v/>
      </c>
      <c r="O167" s="103" t="str">
        <f t="shared" si="38"/>
        <v/>
      </c>
      <c r="P167" s="53">
        <v>0</v>
      </c>
      <c r="Q167" s="102" t="str">
        <f t="shared" si="39"/>
        <v/>
      </c>
      <c r="R167" s="103" t="str">
        <f t="shared" si="40"/>
        <v/>
      </c>
      <c r="S167" s="53">
        <v>0</v>
      </c>
      <c r="T167" s="102" t="str">
        <f t="shared" si="41"/>
        <v/>
      </c>
      <c r="U167" s="103" t="str">
        <f t="shared" si="42"/>
        <v/>
      </c>
      <c r="V167" s="53">
        <v>0</v>
      </c>
      <c r="W167" s="87" t="str">
        <f t="shared" si="43"/>
        <v/>
      </c>
      <c r="X167" s="103" t="str">
        <f t="shared" si="44"/>
        <v/>
      </c>
      <c r="Y167" s="53">
        <v>0</v>
      </c>
      <c r="Z167" s="56" t="str">
        <f t="shared" si="45"/>
        <v/>
      </c>
      <c r="AA167" s="56" t="str">
        <f t="shared" si="46"/>
        <v/>
      </c>
      <c r="AB167" s="56" t="str">
        <f t="shared" si="47"/>
        <v/>
      </c>
      <c r="AC167" s="56" t="str">
        <f t="shared" si="48"/>
        <v/>
      </c>
      <c r="AD167" s="56" t="str">
        <f t="shared" si="49"/>
        <v/>
      </c>
      <c r="AE167" s="40"/>
      <c r="AF167" s="40"/>
      <c r="AG167" s="40"/>
      <c r="AH167" s="56" t="str">
        <f t="shared" si="50"/>
        <v/>
      </c>
      <c r="AI167" s="54"/>
      <c r="AJ167" s="54"/>
      <c r="AK167" s="54"/>
      <c r="AL167" s="54"/>
      <c r="AM167" s="54"/>
    </row>
    <row r="168" spans="1:39">
      <c r="A168" s="95"/>
      <c r="B168" s="45" t="str" cm="1">
        <f t="array" ref="B168">IF(H168="PROJECT", CHAR(10) &amp; "- " &amp; _xlfn.TEXTJOIN(CHAR(10) &amp; "- ", TRUE, _xlfn._xlws.FILTER($I$9:$I$1000, ($C$9:$C$1000=C168) * ($H$9:$H$1000="Topic"))), "")</f>
        <v/>
      </c>
      <c r="C168" s="45">
        <f t="shared" si="34"/>
        <v>136</v>
      </c>
      <c r="D168" s="57"/>
      <c r="E168" s="58"/>
      <c r="F168" s="54"/>
      <c r="G168" s="52"/>
      <c r="H168" s="52"/>
      <c r="I168" s="61"/>
      <c r="J168" s="62"/>
      <c r="K168" s="120" t="str">
        <f t="shared" si="35"/>
        <v/>
      </c>
      <c r="L168" s="103" t="str">
        <f t="shared" si="36"/>
        <v/>
      </c>
      <c r="M168" s="52">
        <v>0</v>
      </c>
      <c r="N168" s="102" t="str">
        <f t="shared" si="37"/>
        <v/>
      </c>
      <c r="O168" s="103" t="str">
        <f t="shared" si="38"/>
        <v/>
      </c>
      <c r="P168" s="52">
        <v>0</v>
      </c>
      <c r="Q168" s="102" t="str">
        <f t="shared" si="39"/>
        <v/>
      </c>
      <c r="R168" s="103" t="str">
        <f t="shared" si="40"/>
        <v/>
      </c>
      <c r="S168" s="52">
        <v>0</v>
      </c>
      <c r="T168" s="102" t="str">
        <f t="shared" si="41"/>
        <v/>
      </c>
      <c r="U168" s="103" t="str">
        <f t="shared" si="42"/>
        <v/>
      </c>
      <c r="V168" s="52">
        <v>0</v>
      </c>
      <c r="W168" s="87" t="str">
        <f t="shared" si="43"/>
        <v/>
      </c>
      <c r="X168" s="103" t="str">
        <f t="shared" si="44"/>
        <v/>
      </c>
      <c r="Y168" s="52">
        <v>0</v>
      </c>
      <c r="Z168" s="56" t="str">
        <f t="shared" si="45"/>
        <v/>
      </c>
      <c r="AA168" s="56" t="str">
        <f t="shared" si="46"/>
        <v/>
      </c>
      <c r="AB168" s="56" t="str">
        <f t="shared" si="47"/>
        <v/>
      </c>
      <c r="AC168" s="56" t="str">
        <f t="shared" si="48"/>
        <v/>
      </c>
      <c r="AD168" s="56" t="str">
        <f t="shared" si="49"/>
        <v/>
      </c>
      <c r="AE168" s="40"/>
      <c r="AF168" s="40"/>
      <c r="AG168" s="40"/>
      <c r="AH168" s="56" t="str">
        <f t="shared" si="50"/>
        <v/>
      </c>
      <c r="AI168" s="54"/>
      <c r="AJ168" s="54"/>
      <c r="AK168" s="54"/>
      <c r="AL168" s="54"/>
      <c r="AM168" s="54"/>
    </row>
    <row r="169" spans="1:39">
      <c r="A169" s="95"/>
      <c r="B169" s="45" t="str" cm="1">
        <f t="array" ref="B169">IF(H169="PROJECT", CHAR(10) &amp; "- " &amp; _xlfn.TEXTJOIN(CHAR(10) &amp; "- ", TRUE, _xlfn._xlws.FILTER($I$9:$I$1000, ($C$9:$C$1000=C169) * ($H$9:$H$1000="Topic"))), "")</f>
        <v/>
      </c>
      <c r="C169" s="45">
        <f t="shared" si="34"/>
        <v>137</v>
      </c>
      <c r="D169" s="46"/>
      <c r="E169" s="58"/>
      <c r="F169" s="67"/>
      <c r="G169" s="53"/>
      <c r="H169" s="53"/>
      <c r="I169" s="50"/>
      <c r="J169" s="51"/>
      <c r="K169" s="120" t="str">
        <f t="shared" si="35"/>
        <v/>
      </c>
      <c r="L169" s="103" t="str">
        <f t="shared" si="36"/>
        <v/>
      </c>
      <c r="M169" s="53">
        <v>0</v>
      </c>
      <c r="N169" s="102" t="str">
        <f t="shared" si="37"/>
        <v/>
      </c>
      <c r="O169" s="103" t="str">
        <f t="shared" si="38"/>
        <v/>
      </c>
      <c r="P169" s="53">
        <v>0</v>
      </c>
      <c r="Q169" s="102" t="str">
        <f t="shared" si="39"/>
        <v/>
      </c>
      <c r="R169" s="103" t="str">
        <f t="shared" si="40"/>
        <v/>
      </c>
      <c r="S169" s="53">
        <v>0</v>
      </c>
      <c r="T169" s="102" t="str">
        <f t="shared" si="41"/>
        <v/>
      </c>
      <c r="U169" s="103" t="str">
        <f t="shared" si="42"/>
        <v/>
      </c>
      <c r="V169" s="53">
        <v>0</v>
      </c>
      <c r="W169" s="87" t="str">
        <f t="shared" si="43"/>
        <v/>
      </c>
      <c r="X169" s="103" t="str">
        <f t="shared" si="44"/>
        <v/>
      </c>
      <c r="Y169" s="53">
        <v>0</v>
      </c>
      <c r="Z169" s="56" t="str">
        <f t="shared" si="45"/>
        <v/>
      </c>
      <c r="AA169" s="56" t="str">
        <f t="shared" si="46"/>
        <v/>
      </c>
      <c r="AB169" s="56" t="str">
        <f t="shared" si="47"/>
        <v/>
      </c>
      <c r="AC169" s="56" t="str">
        <f t="shared" si="48"/>
        <v/>
      </c>
      <c r="AD169" s="56" t="str">
        <f t="shared" si="49"/>
        <v/>
      </c>
      <c r="AE169" s="40"/>
      <c r="AF169" s="40"/>
      <c r="AG169" s="40"/>
      <c r="AH169" s="56" t="str">
        <f t="shared" si="50"/>
        <v/>
      </c>
      <c r="AI169" s="54"/>
      <c r="AJ169" s="54"/>
      <c r="AK169" s="54"/>
      <c r="AL169" s="54"/>
      <c r="AM169" s="54"/>
    </row>
    <row r="170" spans="1:39">
      <c r="A170" s="95"/>
      <c r="B170" s="45" t="str" cm="1">
        <f t="array" ref="B170">IF(H170="PROJECT", CHAR(10) &amp; "- " &amp; _xlfn.TEXTJOIN(CHAR(10) &amp; "- ", TRUE, _xlfn._xlws.FILTER($I$9:$I$1000, ($C$9:$C$1000=C170) * ($H$9:$H$1000="Topic"))), "")</f>
        <v/>
      </c>
      <c r="C170" s="45">
        <f t="shared" si="34"/>
        <v>138</v>
      </c>
      <c r="D170" s="57"/>
      <c r="E170" s="58"/>
      <c r="F170" s="54"/>
      <c r="G170" s="52"/>
      <c r="H170" s="52"/>
      <c r="I170" s="61"/>
      <c r="J170" s="62"/>
      <c r="K170" s="120" t="str">
        <f t="shared" si="35"/>
        <v/>
      </c>
      <c r="L170" s="103" t="str">
        <f t="shared" si="36"/>
        <v/>
      </c>
      <c r="M170" s="52">
        <v>0</v>
      </c>
      <c r="N170" s="102" t="str">
        <f t="shared" si="37"/>
        <v/>
      </c>
      <c r="O170" s="103" t="str">
        <f t="shared" si="38"/>
        <v/>
      </c>
      <c r="P170" s="52">
        <v>0</v>
      </c>
      <c r="Q170" s="102" t="str">
        <f t="shared" si="39"/>
        <v/>
      </c>
      <c r="R170" s="103" t="str">
        <f t="shared" si="40"/>
        <v/>
      </c>
      <c r="S170" s="52">
        <v>0</v>
      </c>
      <c r="T170" s="102" t="str">
        <f t="shared" si="41"/>
        <v/>
      </c>
      <c r="U170" s="103" t="str">
        <f t="shared" si="42"/>
        <v/>
      </c>
      <c r="V170" s="52">
        <v>0</v>
      </c>
      <c r="W170" s="87" t="str">
        <f t="shared" si="43"/>
        <v/>
      </c>
      <c r="X170" s="103" t="str">
        <f t="shared" si="44"/>
        <v/>
      </c>
      <c r="Y170" s="52">
        <v>0</v>
      </c>
      <c r="Z170" s="56" t="str">
        <f t="shared" si="45"/>
        <v/>
      </c>
      <c r="AA170" s="56" t="str">
        <f t="shared" si="46"/>
        <v/>
      </c>
      <c r="AB170" s="56" t="str">
        <f t="shared" si="47"/>
        <v/>
      </c>
      <c r="AC170" s="56" t="str">
        <f t="shared" si="48"/>
        <v/>
      </c>
      <c r="AD170" s="56" t="str">
        <f t="shared" si="49"/>
        <v/>
      </c>
      <c r="AE170" s="40"/>
      <c r="AF170" s="40"/>
      <c r="AG170" s="40"/>
      <c r="AH170" s="56" t="str">
        <f t="shared" si="50"/>
        <v/>
      </c>
      <c r="AI170" s="54"/>
      <c r="AJ170" s="54"/>
      <c r="AK170" s="54"/>
      <c r="AL170" s="54"/>
      <c r="AM170" s="54"/>
    </row>
    <row r="171" spans="1:39">
      <c r="A171" s="95"/>
      <c r="B171" s="45" t="str" cm="1">
        <f t="array" ref="B171">IF(H171="PROJECT", CHAR(10) &amp; "- " &amp; _xlfn.TEXTJOIN(CHAR(10) &amp; "- ", TRUE, _xlfn._xlws.FILTER($I$9:$I$1000, ($C$9:$C$1000=C171) * ($H$9:$H$1000="Topic"))), "")</f>
        <v/>
      </c>
      <c r="C171" s="45">
        <f t="shared" si="34"/>
        <v>139</v>
      </c>
      <c r="D171" s="46"/>
      <c r="E171" s="58"/>
      <c r="F171" s="67"/>
      <c r="G171" s="53"/>
      <c r="H171" s="53"/>
      <c r="I171" s="50"/>
      <c r="J171" s="51"/>
      <c r="K171" s="120" t="str">
        <f t="shared" si="35"/>
        <v/>
      </c>
      <c r="L171" s="103" t="str">
        <f t="shared" si="36"/>
        <v/>
      </c>
      <c r="M171" s="53">
        <v>0</v>
      </c>
      <c r="N171" s="102" t="str">
        <f t="shared" si="37"/>
        <v/>
      </c>
      <c r="O171" s="103" t="str">
        <f t="shared" si="38"/>
        <v/>
      </c>
      <c r="P171" s="53">
        <v>0</v>
      </c>
      <c r="Q171" s="102" t="str">
        <f t="shared" si="39"/>
        <v/>
      </c>
      <c r="R171" s="103" t="str">
        <f t="shared" si="40"/>
        <v/>
      </c>
      <c r="S171" s="53">
        <v>0</v>
      </c>
      <c r="T171" s="102" t="str">
        <f t="shared" si="41"/>
        <v/>
      </c>
      <c r="U171" s="103" t="str">
        <f t="shared" si="42"/>
        <v/>
      </c>
      <c r="V171" s="53">
        <v>0</v>
      </c>
      <c r="W171" s="87" t="str">
        <f t="shared" si="43"/>
        <v/>
      </c>
      <c r="X171" s="103" t="str">
        <f t="shared" si="44"/>
        <v/>
      </c>
      <c r="Y171" s="53">
        <v>0</v>
      </c>
      <c r="Z171" s="56" t="str">
        <f t="shared" si="45"/>
        <v/>
      </c>
      <c r="AA171" s="56" t="str">
        <f t="shared" si="46"/>
        <v/>
      </c>
      <c r="AB171" s="56" t="str">
        <f t="shared" si="47"/>
        <v/>
      </c>
      <c r="AC171" s="56" t="str">
        <f t="shared" si="48"/>
        <v/>
      </c>
      <c r="AD171" s="56" t="str">
        <f t="shared" si="49"/>
        <v/>
      </c>
      <c r="AE171" s="40"/>
      <c r="AF171" s="40"/>
      <c r="AG171" s="40"/>
      <c r="AH171" s="56" t="str">
        <f t="shared" si="50"/>
        <v/>
      </c>
      <c r="AI171" s="54"/>
      <c r="AJ171" s="54"/>
      <c r="AK171" s="54"/>
      <c r="AL171" s="54"/>
      <c r="AM171" s="54"/>
    </row>
    <row r="172" spans="1:39">
      <c r="A172" s="95"/>
      <c r="B172" s="45" t="str" cm="1">
        <f t="array" ref="B172">IF(H172="PROJECT", CHAR(10) &amp; "- " &amp; _xlfn.TEXTJOIN(CHAR(10) &amp; "- ", TRUE, _xlfn._xlws.FILTER($I$9:$I$1000, ($C$9:$C$1000=C172) * ($H$9:$H$1000="Topic"))), "")</f>
        <v/>
      </c>
      <c r="C172" s="45">
        <f t="shared" si="34"/>
        <v>140</v>
      </c>
      <c r="D172" s="57"/>
      <c r="E172" s="58"/>
      <c r="F172" s="54"/>
      <c r="G172" s="52"/>
      <c r="H172" s="52"/>
      <c r="I172" s="61"/>
      <c r="J172" s="62"/>
      <c r="K172" s="120" t="str">
        <f t="shared" si="35"/>
        <v/>
      </c>
      <c r="L172" s="103" t="str">
        <f t="shared" si="36"/>
        <v/>
      </c>
      <c r="M172" s="52">
        <v>0</v>
      </c>
      <c r="N172" s="102" t="str">
        <f t="shared" si="37"/>
        <v/>
      </c>
      <c r="O172" s="103" t="str">
        <f t="shared" si="38"/>
        <v/>
      </c>
      <c r="P172" s="52">
        <v>0</v>
      </c>
      <c r="Q172" s="102" t="str">
        <f t="shared" si="39"/>
        <v/>
      </c>
      <c r="R172" s="103" t="str">
        <f t="shared" si="40"/>
        <v/>
      </c>
      <c r="S172" s="52">
        <v>0</v>
      </c>
      <c r="T172" s="102" t="str">
        <f t="shared" si="41"/>
        <v/>
      </c>
      <c r="U172" s="103" t="str">
        <f t="shared" si="42"/>
        <v/>
      </c>
      <c r="V172" s="52">
        <v>0</v>
      </c>
      <c r="W172" s="87" t="str">
        <f t="shared" si="43"/>
        <v/>
      </c>
      <c r="X172" s="103" t="str">
        <f t="shared" si="44"/>
        <v/>
      </c>
      <c r="Y172" s="52">
        <v>0</v>
      </c>
      <c r="Z172" s="56" t="str">
        <f t="shared" si="45"/>
        <v/>
      </c>
      <c r="AA172" s="56" t="str">
        <f t="shared" si="46"/>
        <v/>
      </c>
      <c r="AB172" s="56" t="str">
        <f t="shared" si="47"/>
        <v/>
      </c>
      <c r="AC172" s="56" t="str">
        <f t="shared" si="48"/>
        <v/>
      </c>
      <c r="AD172" s="56" t="str">
        <f t="shared" si="49"/>
        <v/>
      </c>
      <c r="AE172" s="40"/>
      <c r="AF172" s="40"/>
      <c r="AG172" s="40"/>
      <c r="AH172" s="56" t="str">
        <f t="shared" si="50"/>
        <v/>
      </c>
      <c r="AI172" s="54"/>
      <c r="AJ172" s="54"/>
      <c r="AK172" s="54"/>
      <c r="AL172" s="54"/>
      <c r="AM172" s="54"/>
    </row>
    <row r="173" spans="1:39">
      <c r="A173" s="95"/>
      <c r="B173" s="45" t="str" cm="1">
        <f t="array" ref="B173">IF(H173="PROJECT", CHAR(10) &amp; "- " &amp; _xlfn.TEXTJOIN(CHAR(10) &amp; "- ", TRUE, _xlfn._xlws.FILTER($I$9:$I$1000, ($C$9:$C$1000=C173) * ($H$9:$H$1000="Topic"))), "")</f>
        <v/>
      </c>
      <c r="C173" s="45">
        <f t="shared" si="34"/>
        <v>141</v>
      </c>
      <c r="D173" s="46"/>
      <c r="E173" s="58"/>
      <c r="F173" s="67"/>
      <c r="G173" s="53"/>
      <c r="H173" s="53"/>
      <c r="I173" s="50"/>
      <c r="J173" s="51"/>
      <c r="K173" s="120" t="str">
        <f t="shared" si="35"/>
        <v/>
      </c>
      <c r="L173" s="103" t="str">
        <f t="shared" si="36"/>
        <v/>
      </c>
      <c r="M173" s="53">
        <v>0</v>
      </c>
      <c r="N173" s="102" t="str">
        <f t="shared" si="37"/>
        <v/>
      </c>
      <c r="O173" s="103" t="str">
        <f t="shared" si="38"/>
        <v/>
      </c>
      <c r="P173" s="53">
        <v>0</v>
      </c>
      <c r="Q173" s="102" t="str">
        <f t="shared" si="39"/>
        <v/>
      </c>
      <c r="R173" s="103" t="str">
        <f t="shared" si="40"/>
        <v/>
      </c>
      <c r="S173" s="53">
        <v>0</v>
      </c>
      <c r="T173" s="102" t="str">
        <f t="shared" si="41"/>
        <v/>
      </c>
      <c r="U173" s="103" t="str">
        <f t="shared" si="42"/>
        <v/>
      </c>
      <c r="V173" s="53">
        <v>0</v>
      </c>
      <c r="W173" s="87" t="str">
        <f t="shared" si="43"/>
        <v/>
      </c>
      <c r="X173" s="103" t="str">
        <f t="shared" si="44"/>
        <v/>
      </c>
      <c r="Y173" s="53">
        <v>0</v>
      </c>
      <c r="Z173" s="56" t="str">
        <f t="shared" si="45"/>
        <v/>
      </c>
      <c r="AA173" s="56" t="str">
        <f t="shared" si="46"/>
        <v/>
      </c>
      <c r="AB173" s="56" t="str">
        <f t="shared" si="47"/>
        <v/>
      </c>
      <c r="AC173" s="56" t="str">
        <f t="shared" si="48"/>
        <v/>
      </c>
      <c r="AD173" s="56" t="str">
        <f t="shared" si="49"/>
        <v/>
      </c>
      <c r="AE173" s="40"/>
      <c r="AF173" s="40"/>
      <c r="AG173" s="40"/>
      <c r="AH173" s="56" t="str">
        <f t="shared" si="50"/>
        <v/>
      </c>
      <c r="AI173" s="54"/>
      <c r="AJ173" s="54"/>
      <c r="AK173" s="54"/>
      <c r="AL173" s="54"/>
      <c r="AM173" s="54"/>
    </row>
    <row r="174" spans="1:39">
      <c r="A174" s="95"/>
      <c r="B174" s="45" t="str" cm="1">
        <f t="array" ref="B174">IF(H174="PROJECT", CHAR(10) &amp; "- " &amp; _xlfn.TEXTJOIN(CHAR(10) &amp; "- ", TRUE, _xlfn._xlws.FILTER($I$9:$I$1000, ($C$9:$C$1000=C174) * ($H$9:$H$1000="Topic"))), "")</f>
        <v/>
      </c>
      <c r="C174" s="45">
        <f t="shared" si="34"/>
        <v>142</v>
      </c>
      <c r="D174" s="57"/>
      <c r="E174" s="58"/>
      <c r="F174" s="54"/>
      <c r="G174" s="52"/>
      <c r="H174" s="52"/>
      <c r="I174" s="61"/>
      <c r="J174" s="62"/>
      <c r="K174" s="120" t="str">
        <f t="shared" si="35"/>
        <v/>
      </c>
      <c r="L174" s="103" t="str">
        <f t="shared" si="36"/>
        <v/>
      </c>
      <c r="M174" s="52">
        <v>0</v>
      </c>
      <c r="N174" s="102" t="str">
        <f t="shared" si="37"/>
        <v/>
      </c>
      <c r="O174" s="103" t="str">
        <f t="shared" si="38"/>
        <v/>
      </c>
      <c r="P174" s="52">
        <v>0</v>
      </c>
      <c r="Q174" s="102" t="str">
        <f t="shared" si="39"/>
        <v/>
      </c>
      <c r="R174" s="103" t="str">
        <f t="shared" si="40"/>
        <v/>
      </c>
      <c r="S174" s="52">
        <v>0</v>
      </c>
      <c r="T174" s="102" t="str">
        <f t="shared" si="41"/>
        <v/>
      </c>
      <c r="U174" s="103" t="str">
        <f t="shared" si="42"/>
        <v/>
      </c>
      <c r="V174" s="52">
        <v>0</v>
      </c>
      <c r="W174" s="87" t="str">
        <f t="shared" si="43"/>
        <v/>
      </c>
      <c r="X174" s="103" t="str">
        <f t="shared" si="44"/>
        <v/>
      </c>
      <c r="Y174" s="52">
        <v>0</v>
      </c>
      <c r="Z174" s="56" t="str">
        <f t="shared" si="45"/>
        <v/>
      </c>
      <c r="AA174" s="56" t="str">
        <f t="shared" si="46"/>
        <v/>
      </c>
      <c r="AB174" s="56" t="str">
        <f t="shared" si="47"/>
        <v/>
      </c>
      <c r="AC174" s="56" t="str">
        <f t="shared" si="48"/>
        <v/>
      </c>
      <c r="AD174" s="56" t="str">
        <f t="shared" si="49"/>
        <v/>
      </c>
      <c r="AE174" s="40"/>
      <c r="AF174" s="40"/>
      <c r="AG174" s="40"/>
      <c r="AH174" s="56" t="str">
        <f t="shared" si="50"/>
        <v/>
      </c>
      <c r="AI174" s="54"/>
      <c r="AJ174" s="54"/>
      <c r="AK174" s="54"/>
      <c r="AL174" s="54"/>
      <c r="AM174" s="54"/>
    </row>
    <row r="175" spans="1:39">
      <c r="A175" s="95"/>
      <c r="B175" s="45" t="str" cm="1">
        <f t="array" ref="B175">IF(H175="PROJECT", CHAR(10) &amp; "- " &amp; _xlfn.TEXTJOIN(CHAR(10) &amp; "- ", TRUE, _xlfn._xlws.FILTER($I$9:$I$1000, ($C$9:$C$1000=C175) * ($H$9:$H$1000="Topic"))), "")</f>
        <v/>
      </c>
      <c r="C175" s="45">
        <f t="shared" si="34"/>
        <v>143</v>
      </c>
      <c r="D175" s="46"/>
      <c r="E175" s="58"/>
      <c r="F175" s="67"/>
      <c r="G175" s="53"/>
      <c r="H175" s="53"/>
      <c r="I175" s="50"/>
      <c r="J175" s="51"/>
      <c r="K175" s="120" t="str">
        <f t="shared" si="35"/>
        <v/>
      </c>
      <c r="L175" s="103" t="str">
        <f t="shared" si="36"/>
        <v/>
      </c>
      <c r="M175" s="53">
        <v>0</v>
      </c>
      <c r="N175" s="102" t="str">
        <f t="shared" si="37"/>
        <v/>
      </c>
      <c r="O175" s="103" t="str">
        <f t="shared" si="38"/>
        <v/>
      </c>
      <c r="P175" s="53">
        <v>0</v>
      </c>
      <c r="Q175" s="102" t="str">
        <f t="shared" si="39"/>
        <v/>
      </c>
      <c r="R175" s="103" t="str">
        <f t="shared" si="40"/>
        <v/>
      </c>
      <c r="S175" s="53">
        <v>0</v>
      </c>
      <c r="T175" s="102" t="str">
        <f t="shared" si="41"/>
        <v/>
      </c>
      <c r="U175" s="103" t="str">
        <f t="shared" si="42"/>
        <v/>
      </c>
      <c r="V175" s="53">
        <v>0</v>
      </c>
      <c r="W175" s="87" t="str">
        <f t="shared" si="43"/>
        <v/>
      </c>
      <c r="X175" s="103" t="str">
        <f t="shared" si="44"/>
        <v/>
      </c>
      <c r="Y175" s="53">
        <v>0</v>
      </c>
      <c r="Z175" s="56" t="str">
        <f t="shared" si="45"/>
        <v/>
      </c>
      <c r="AA175" s="56" t="str">
        <f t="shared" si="46"/>
        <v/>
      </c>
      <c r="AB175" s="56" t="str">
        <f t="shared" si="47"/>
        <v/>
      </c>
      <c r="AC175" s="56" t="str">
        <f t="shared" si="48"/>
        <v/>
      </c>
      <c r="AD175" s="56" t="str">
        <f t="shared" si="49"/>
        <v/>
      </c>
      <c r="AE175" s="40"/>
      <c r="AF175" s="40"/>
      <c r="AG175" s="40"/>
      <c r="AH175" s="56" t="str">
        <f t="shared" si="50"/>
        <v/>
      </c>
      <c r="AI175" s="54"/>
      <c r="AJ175" s="54"/>
      <c r="AK175" s="54"/>
      <c r="AL175" s="54"/>
      <c r="AM175" s="54"/>
    </row>
    <row r="176" spans="1:39">
      <c r="A176" s="95"/>
      <c r="B176" s="45" t="str" cm="1">
        <f t="array" ref="B176">IF(H176="PROJECT", CHAR(10) &amp; "- " &amp; _xlfn.TEXTJOIN(CHAR(10) &amp; "- ", TRUE, _xlfn._xlws.FILTER($I$9:$I$1000, ($C$9:$C$1000=C176) * ($H$9:$H$1000="Topic"))), "")</f>
        <v/>
      </c>
      <c r="C176" s="45">
        <f t="shared" si="34"/>
        <v>144</v>
      </c>
      <c r="D176" s="57"/>
      <c r="E176" s="58"/>
      <c r="F176" s="54"/>
      <c r="G176" s="52"/>
      <c r="H176" s="52"/>
      <c r="I176" s="61"/>
      <c r="J176" s="62"/>
      <c r="K176" s="120" t="str">
        <f t="shared" si="35"/>
        <v/>
      </c>
      <c r="L176" s="103" t="str">
        <f t="shared" si="36"/>
        <v/>
      </c>
      <c r="M176" s="52">
        <v>0</v>
      </c>
      <c r="N176" s="102" t="str">
        <f t="shared" si="37"/>
        <v/>
      </c>
      <c r="O176" s="103" t="str">
        <f t="shared" si="38"/>
        <v/>
      </c>
      <c r="P176" s="52">
        <v>0</v>
      </c>
      <c r="Q176" s="102" t="str">
        <f t="shared" si="39"/>
        <v/>
      </c>
      <c r="R176" s="103" t="str">
        <f t="shared" si="40"/>
        <v/>
      </c>
      <c r="S176" s="52">
        <v>0</v>
      </c>
      <c r="T176" s="102" t="str">
        <f t="shared" si="41"/>
        <v/>
      </c>
      <c r="U176" s="103" t="str">
        <f t="shared" si="42"/>
        <v/>
      </c>
      <c r="V176" s="52">
        <v>0</v>
      </c>
      <c r="W176" s="87" t="str">
        <f t="shared" si="43"/>
        <v/>
      </c>
      <c r="X176" s="103" t="str">
        <f t="shared" si="44"/>
        <v/>
      </c>
      <c r="Y176" s="52">
        <v>0</v>
      </c>
      <c r="Z176" s="56" t="str">
        <f t="shared" si="45"/>
        <v/>
      </c>
      <c r="AA176" s="56" t="str">
        <f t="shared" si="46"/>
        <v/>
      </c>
      <c r="AB176" s="56" t="str">
        <f t="shared" si="47"/>
        <v/>
      </c>
      <c r="AC176" s="56" t="str">
        <f t="shared" si="48"/>
        <v/>
      </c>
      <c r="AD176" s="56" t="str">
        <f t="shared" si="49"/>
        <v/>
      </c>
      <c r="AE176" s="40"/>
      <c r="AF176" s="40"/>
      <c r="AG176" s="40"/>
      <c r="AH176" s="56" t="str">
        <f t="shared" si="50"/>
        <v/>
      </c>
      <c r="AI176" s="54"/>
      <c r="AJ176" s="54"/>
      <c r="AK176" s="54"/>
      <c r="AL176" s="54"/>
      <c r="AM176" s="54"/>
    </row>
    <row r="177" spans="1:39">
      <c r="A177" s="95"/>
      <c r="B177" s="45" t="str" cm="1">
        <f t="array" ref="B177">IF(H177="PROJECT", CHAR(10) &amp; "- " &amp; _xlfn.TEXTJOIN(CHAR(10) &amp; "- ", TRUE, _xlfn._xlws.FILTER($I$9:$I$1000, ($C$9:$C$1000=C177) * ($H$9:$H$1000="Topic"))), "")</f>
        <v/>
      </c>
      <c r="C177" s="45">
        <f t="shared" si="34"/>
        <v>145</v>
      </c>
      <c r="D177" s="46"/>
      <c r="E177" s="58"/>
      <c r="F177" s="67"/>
      <c r="G177" s="53"/>
      <c r="H177" s="53"/>
      <c r="I177" s="50"/>
      <c r="J177" s="51"/>
      <c r="K177" s="120" t="str">
        <f t="shared" si="35"/>
        <v/>
      </c>
      <c r="L177" s="103" t="str">
        <f t="shared" si="36"/>
        <v/>
      </c>
      <c r="M177" s="53">
        <v>0</v>
      </c>
      <c r="N177" s="102" t="str">
        <f t="shared" si="37"/>
        <v/>
      </c>
      <c r="O177" s="103" t="str">
        <f t="shared" si="38"/>
        <v/>
      </c>
      <c r="P177" s="53">
        <v>0</v>
      </c>
      <c r="Q177" s="102" t="str">
        <f t="shared" si="39"/>
        <v/>
      </c>
      <c r="R177" s="103" t="str">
        <f t="shared" si="40"/>
        <v/>
      </c>
      <c r="S177" s="53">
        <v>0</v>
      </c>
      <c r="T177" s="102" t="str">
        <f t="shared" si="41"/>
        <v/>
      </c>
      <c r="U177" s="103" t="str">
        <f t="shared" si="42"/>
        <v/>
      </c>
      <c r="V177" s="53">
        <v>0</v>
      </c>
      <c r="W177" s="87" t="str">
        <f t="shared" si="43"/>
        <v/>
      </c>
      <c r="X177" s="103" t="str">
        <f t="shared" si="44"/>
        <v/>
      </c>
      <c r="Y177" s="53">
        <v>0</v>
      </c>
      <c r="Z177" s="56" t="str">
        <f t="shared" si="45"/>
        <v/>
      </c>
      <c r="AA177" s="56" t="str">
        <f t="shared" si="46"/>
        <v/>
      </c>
      <c r="AB177" s="56" t="str">
        <f t="shared" si="47"/>
        <v/>
      </c>
      <c r="AC177" s="56" t="str">
        <f t="shared" si="48"/>
        <v/>
      </c>
      <c r="AD177" s="56" t="str">
        <f t="shared" si="49"/>
        <v/>
      </c>
      <c r="AE177" s="40"/>
      <c r="AF177" s="40"/>
      <c r="AG177" s="40"/>
      <c r="AH177" s="56" t="str">
        <f t="shared" si="50"/>
        <v/>
      </c>
      <c r="AI177" s="54"/>
      <c r="AJ177" s="54"/>
      <c r="AK177" s="54"/>
      <c r="AL177" s="54"/>
      <c r="AM177" s="54"/>
    </row>
    <row r="178" spans="1:39">
      <c r="A178" s="95"/>
      <c r="B178" s="45" t="str" cm="1">
        <f t="array" ref="B178">IF(H178="PROJECT", CHAR(10) &amp; "- " &amp; _xlfn.TEXTJOIN(CHAR(10) &amp; "- ", TRUE, _xlfn._xlws.FILTER($I$9:$I$1000, ($C$9:$C$1000=C178) * ($H$9:$H$1000="Topic"))), "")</f>
        <v/>
      </c>
      <c r="C178" s="45">
        <f t="shared" si="34"/>
        <v>146</v>
      </c>
      <c r="D178" s="57"/>
      <c r="E178" s="58"/>
      <c r="F178" s="54"/>
      <c r="G178" s="52"/>
      <c r="H178" s="52"/>
      <c r="I178" s="61"/>
      <c r="J178" s="62"/>
      <c r="K178" s="120" t="str">
        <f t="shared" si="35"/>
        <v/>
      </c>
      <c r="L178" s="103" t="str">
        <f t="shared" si="36"/>
        <v/>
      </c>
      <c r="M178" s="52">
        <v>0</v>
      </c>
      <c r="N178" s="102" t="str">
        <f t="shared" si="37"/>
        <v/>
      </c>
      <c r="O178" s="103" t="str">
        <f t="shared" si="38"/>
        <v/>
      </c>
      <c r="P178" s="52">
        <v>0</v>
      </c>
      <c r="Q178" s="102" t="str">
        <f t="shared" si="39"/>
        <v/>
      </c>
      <c r="R178" s="103" t="str">
        <f t="shared" si="40"/>
        <v/>
      </c>
      <c r="S178" s="52">
        <v>0</v>
      </c>
      <c r="T178" s="102" t="str">
        <f t="shared" si="41"/>
        <v/>
      </c>
      <c r="U178" s="103" t="str">
        <f t="shared" si="42"/>
        <v/>
      </c>
      <c r="V178" s="52">
        <v>0</v>
      </c>
      <c r="W178" s="87" t="str">
        <f t="shared" si="43"/>
        <v/>
      </c>
      <c r="X178" s="103" t="str">
        <f t="shared" si="44"/>
        <v/>
      </c>
      <c r="Y178" s="52">
        <v>0</v>
      </c>
      <c r="Z178" s="56" t="str">
        <f t="shared" si="45"/>
        <v/>
      </c>
      <c r="AA178" s="56" t="str">
        <f t="shared" si="46"/>
        <v/>
      </c>
      <c r="AB178" s="56" t="str">
        <f t="shared" si="47"/>
        <v/>
      </c>
      <c r="AC178" s="56" t="str">
        <f t="shared" si="48"/>
        <v/>
      </c>
      <c r="AD178" s="56" t="str">
        <f t="shared" si="49"/>
        <v/>
      </c>
      <c r="AE178" s="40"/>
      <c r="AF178" s="40"/>
      <c r="AG178" s="40"/>
      <c r="AH178" s="56" t="str">
        <f t="shared" si="50"/>
        <v/>
      </c>
      <c r="AI178" s="54"/>
      <c r="AJ178" s="54"/>
      <c r="AK178" s="54"/>
      <c r="AL178" s="54"/>
      <c r="AM178" s="54"/>
    </row>
    <row r="179" spans="1:39">
      <c r="A179" s="95"/>
      <c r="B179" s="45" t="str" cm="1">
        <f t="array" ref="B179">IF(H179="PROJECT", CHAR(10) &amp; "- " &amp; _xlfn.TEXTJOIN(CHAR(10) &amp; "- ", TRUE, _xlfn._xlws.FILTER($I$9:$I$1000, ($C$9:$C$1000=C179) * ($H$9:$H$1000="Topic"))), "")</f>
        <v/>
      </c>
      <c r="C179" s="45">
        <f t="shared" si="34"/>
        <v>147</v>
      </c>
      <c r="D179" s="46"/>
      <c r="E179" s="58"/>
      <c r="F179" s="67"/>
      <c r="G179" s="53"/>
      <c r="H179" s="53"/>
      <c r="I179" s="50"/>
      <c r="J179" s="51"/>
      <c r="K179" s="120" t="str">
        <f t="shared" si="35"/>
        <v/>
      </c>
      <c r="L179" s="103" t="str">
        <f t="shared" si="36"/>
        <v/>
      </c>
      <c r="M179" s="53">
        <v>0</v>
      </c>
      <c r="N179" s="102" t="str">
        <f t="shared" si="37"/>
        <v/>
      </c>
      <c r="O179" s="103" t="str">
        <f t="shared" si="38"/>
        <v/>
      </c>
      <c r="P179" s="53">
        <v>0</v>
      </c>
      <c r="Q179" s="102" t="str">
        <f t="shared" si="39"/>
        <v/>
      </c>
      <c r="R179" s="103" t="str">
        <f t="shared" si="40"/>
        <v/>
      </c>
      <c r="S179" s="53">
        <v>0</v>
      </c>
      <c r="T179" s="102" t="str">
        <f t="shared" si="41"/>
        <v/>
      </c>
      <c r="U179" s="103" t="str">
        <f t="shared" si="42"/>
        <v/>
      </c>
      <c r="V179" s="53">
        <v>0</v>
      </c>
      <c r="W179" s="87" t="str">
        <f t="shared" si="43"/>
        <v/>
      </c>
      <c r="X179" s="103" t="str">
        <f t="shared" si="44"/>
        <v/>
      </c>
      <c r="Y179" s="53">
        <v>0</v>
      </c>
      <c r="Z179" s="56" t="str">
        <f t="shared" si="45"/>
        <v/>
      </c>
      <c r="AA179" s="56" t="str">
        <f t="shared" si="46"/>
        <v/>
      </c>
      <c r="AB179" s="56" t="str">
        <f t="shared" si="47"/>
        <v/>
      </c>
      <c r="AC179" s="56" t="str">
        <f t="shared" si="48"/>
        <v/>
      </c>
      <c r="AD179" s="56" t="str">
        <f t="shared" si="49"/>
        <v/>
      </c>
      <c r="AE179" s="40"/>
      <c r="AF179" s="40"/>
      <c r="AG179" s="40"/>
      <c r="AH179" s="56" t="str">
        <f t="shared" si="50"/>
        <v/>
      </c>
      <c r="AI179" s="54"/>
      <c r="AJ179" s="54"/>
      <c r="AK179" s="54"/>
      <c r="AL179" s="54"/>
      <c r="AM179" s="54"/>
    </row>
    <row r="180" spans="1:39">
      <c r="A180" s="95"/>
      <c r="B180" s="45" t="str" cm="1">
        <f t="array" ref="B180">IF(H180="PROJECT", CHAR(10) &amp; "- " &amp; _xlfn.TEXTJOIN(CHAR(10) &amp; "- ", TRUE, _xlfn._xlws.FILTER($I$9:$I$1000, ($C$9:$C$1000=C180) * ($H$9:$H$1000="Topic"))), "")</f>
        <v/>
      </c>
      <c r="C180" s="45">
        <f t="shared" si="34"/>
        <v>148</v>
      </c>
      <c r="D180" s="57"/>
      <c r="E180" s="58"/>
      <c r="F180" s="54"/>
      <c r="G180" s="52"/>
      <c r="H180" s="52"/>
      <c r="I180" s="61"/>
      <c r="J180" s="62"/>
      <c r="K180" s="120" t="str">
        <f t="shared" si="35"/>
        <v/>
      </c>
      <c r="L180" s="103" t="str">
        <f t="shared" si="36"/>
        <v/>
      </c>
      <c r="M180" s="52">
        <v>0</v>
      </c>
      <c r="N180" s="102" t="str">
        <f t="shared" si="37"/>
        <v/>
      </c>
      <c r="O180" s="103" t="str">
        <f t="shared" si="38"/>
        <v/>
      </c>
      <c r="P180" s="52">
        <v>0</v>
      </c>
      <c r="Q180" s="102" t="str">
        <f t="shared" si="39"/>
        <v/>
      </c>
      <c r="R180" s="103" t="str">
        <f t="shared" si="40"/>
        <v/>
      </c>
      <c r="S180" s="52">
        <v>0</v>
      </c>
      <c r="T180" s="102" t="str">
        <f t="shared" si="41"/>
        <v/>
      </c>
      <c r="U180" s="103" t="str">
        <f t="shared" si="42"/>
        <v/>
      </c>
      <c r="V180" s="52">
        <v>0</v>
      </c>
      <c r="W180" s="87" t="str">
        <f t="shared" si="43"/>
        <v/>
      </c>
      <c r="X180" s="103" t="str">
        <f t="shared" si="44"/>
        <v/>
      </c>
      <c r="Y180" s="52">
        <v>0</v>
      </c>
      <c r="Z180" s="56" t="str">
        <f t="shared" si="45"/>
        <v/>
      </c>
      <c r="AA180" s="56" t="str">
        <f t="shared" si="46"/>
        <v/>
      </c>
      <c r="AB180" s="56" t="str">
        <f t="shared" si="47"/>
        <v/>
      </c>
      <c r="AC180" s="56" t="str">
        <f t="shared" si="48"/>
        <v/>
      </c>
      <c r="AD180" s="56" t="str">
        <f t="shared" si="49"/>
        <v/>
      </c>
      <c r="AE180" s="40"/>
      <c r="AF180" s="40"/>
      <c r="AG180" s="40"/>
      <c r="AH180" s="56" t="str">
        <f t="shared" si="50"/>
        <v/>
      </c>
      <c r="AI180" s="54"/>
      <c r="AJ180" s="54"/>
      <c r="AK180" s="54"/>
      <c r="AL180" s="54"/>
      <c r="AM180" s="54"/>
    </row>
    <row r="181" spans="1:39">
      <c r="A181" s="95"/>
      <c r="B181" s="45" t="str" cm="1">
        <f t="array" ref="B181">IF(H181="PROJECT", CHAR(10) &amp; "- " &amp; _xlfn.TEXTJOIN(CHAR(10) &amp; "- ", TRUE, _xlfn._xlws.FILTER($I$9:$I$1000, ($C$9:$C$1000=C181) * ($H$9:$H$1000="Topic"))), "")</f>
        <v/>
      </c>
      <c r="C181" s="45">
        <f t="shared" si="34"/>
        <v>149</v>
      </c>
      <c r="D181" s="46"/>
      <c r="E181" s="58"/>
      <c r="F181" s="67"/>
      <c r="G181" s="53"/>
      <c r="H181" s="53"/>
      <c r="I181" s="50"/>
      <c r="J181" s="51"/>
      <c r="K181" s="120" t="str">
        <f t="shared" si="35"/>
        <v/>
      </c>
      <c r="L181" s="103" t="str">
        <f t="shared" si="36"/>
        <v/>
      </c>
      <c r="M181" s="53">
        <v>0</v>
      </c>
      <c r="N181" s="102" t="str">
        <f t="shared" si="37"/>
        <v/>
      </c>
      <c r="O181" s="103" t="str">
        <f t="shared" si="38"/>
        <v/>
      </c>
      <c r="P181" s="53">
        <v>0</v>
      </c>
      <c r="Q181" s="102" t="str">
        <f t="shared" si="39"/>
        <v/>
      </c>
      <c r="R181" s="103" t="str">
        <f t="shared" si="40"/>
        <v/>
      </c>
      <c r="S181" s="53">
        <v>0</v>
      </c>
      <c r="T181" s="102" t="str">
        <f t="shared" si="41"/>
        <v/>
      </c>
      <c r="U181" s="103" t="str">
        <f t="shared" si="42"/>
        <v/>
      </c>
      <c r="V181" s="53">
        <v>0</v>
      </c>
      <c r="W181" s="87" t="str">
        <f t="shared" si="43"/>
        <v/>
      </c>
      <c r="X181" s="103" t="str">
        <f t="shared" si="44"/>
        <v/>
      </c>
      <c r="Y181" s="53">
        <v>0</v>
      </c>
      <c r="Z181" s="56" t="str">
        <f t="shared" si="45"/>
        <v/>
      </c>
      <c r="AA181" s="56" t="str">
        <f t="shared" si="46"/>
        <v/>
      </c>
      <c r="AB181" s="56" t="str">
        <f t="shared" si="47"/>
        <v/>
      </c>
      <c r="AC181" s="56" t="str">
        <f t="shared" si="48"/>
        <v/>
      </c>
      <c r="AD181" s="56" t="str">
        <f t="shared" si="49"/>
        <v/>
      </c>
      <c r="AE181" s="40"/>
      <c r="AF181" s="40"/>
      <c r="AG181" s="40"/>
      <c r="AH181" s="56" t="str">
        <f t="shared" si="50"/>
        <v/>
      </c>
      <c r="AI181" s="54"/>
      <c r="AJ181" s="54"/>
      <c r="AK181" s="54"/>
      <c r="AL181" s="54"/>
      <c r="AM181" s="54"/>
    </row>
    <row r="182" spans="1:39">
      <c r="A182" s="95"/>
      <c r="B182" s="45" t="str" cm="1">
        <f t="array" ref="B182">IF(H182="PROJECT", CHAR(10) &amp; "- " &amp; _xlfn.TEXTJOIN(CHAR(10) &amp; "- ", TRUE, _xlfn._xlws.FILTER($I$9:$I$1000, ($C$9:$C$1000=C182) * ($H$9:$H$1000="Topic"))), "")</f>
        <v/>
      </c>
      <c r="C182" s="45">
        <f t="shared" si="34"/>
        <v>150</v>
      </c>
      <c r="D182" s="57"/>
      <c r="E182" s="58"/>
      <c r="F182" s="54"/>
      <c r="G182" s="52"/>
      <c r="H182" s="52"/>
      <c r="I182" s="61"/>
      <c r="J182" s="62"/>
      <c r="K182" s="120" t="str">
        <f t="shared" si="35"/>
        <v/>
      </c>
      <c r="L182" s="103" t="str">
        <f t="shared" si="36"/>
        <v/>
      </c>
      <c r="M182" s="52">
        <v>0</v>
      </c>
      <c r="N182" s="102" t="str">
        <f t="shared" si="37"/>
        <v/>
      </c>
      <c r="O182" s="103" t="str">
        <f t="shared" si="38"/>
        <v/>
      </c>
      <c r="P182" s="52">
        <v>0</v>
      </c>
      <c r="Q182" s="102" t="str">
        <f t="shared" si="39"/>
        <v/>
      </c>
      <c r="R182" s="103" t="str">
        <f t="shared" si="40"/>
        <v/>
      </c>
      <c r="S182" s="52">
        <v>0</v>
      </c>
      <c r="T182" s="102" t="str">
        <f t="shared" si="41"/>
        <v/>
      </c>
      <c r="U182" s="103" t="str">
        <f t="shared" si="42"/>
        <v/>
      </c>
      <c r="V182" s="52">
        <v>0</v>
      </c>
      <c r="W182" s="87" t="str">
        <f t="shared" si="43"/>
        <v/>
      </c>
      <c r="X182" s="103" t="str">
        <f t="shared" si="44"/>
        <v/>
      </c>
      <c r="Y182" s="52">
        <v>0</v>
      </c>
      <c r="Z182" s="56" t="str">
        <f t="shared" si="45"/>
        <v/>
      </c>
      <c r="AA182" s="56" t="str">
        <f t="shared" si="46"/>
        <v/>
      </c>
      <c r="AB182" s="56" t="str">
        <f t="shared" si="47"/>
        <v/>
      </c>
      <c r="AC182" s="56" t="str">
        <f t="shared" si="48"/>
        <v/>
      </c>
      <c r="AD182" s="56" t="str">
        <f t="shared" si="49"/>
        <v/>
      </c>
      <c r="AE182" s="40"/>
      <c r="AF182" s="40"/>
      <c r="AG182" s="40"/>
      <c r="AH182" s="56" t="str">
        <f t="shared" si="50"/>
        <v/>
      </c>
      <c r="AI182" s="54"/>
      <c r="AJ182" s="54"/>
      <c r="AK182" s="54"/>
      <c r="AL182" s="54"/>
      <c r="AM182" s="54"/>
    </row>
    <row r="183" spans="1:39">
      <c r="A183" s="95"/>
      <c r="B183" s="45" t="str" cm="1">
        <f t="array" ref="B183">IF(H183="PROJECT", CHAR(10) &amp; "- " &amp; _xlfn.TEXTJOIN(CHAR(10) &amp; "- ", TRUE, _xlfn._xlws.FILTER($I$9:$I$1000, ($C$9:$C$1000=C183) * ($H$9:$H$1000="Topic"))), "")</f>
        <v/>
      </c>
      <c r="C183" s="45">
        <f t="shared" si="34"/>
        <v>151</v>
      </c>
      <c r="D183" s="46"/>
      <c r="E183" s="58"/>
      <c r="F183" s="67"/>
      <c r="G183" s="53"/>
      <c r="H183" s="53"/>
      <c r="I183" s="50"/>
      <c r="J183" s="51"/>
      <c r="K183" s="120" t="str">
        <f t="shared" si="35"/>
        <v/>
      </c>
      <c r="L183" s="103" t="str">
        <f t="shared" si="36"/>
        <v/>
      </c>
      <c r="M183" s="53">
        <v>0</v>
      </c>
      <c r="N183" s="102" t="str">
        <f t="shared" si="37"/>
        <v/>
      </c>
      <c r="O183" s="103" t="str">
        <f t="shared" si="38"/>
        <v/>
      </c>
      <c r="P183" s="53">
        <v>0</v>
      </c>
      <c r="Q183" s="102" t="str">
        <f t="shared" si="39"/>
        <v/>
      </c>
      <c r="R183" s="103" t="str">
        <f t="shared" si="40"/>
        <v/>
      </c>
      <c r="S183" s="53">
        <v>0</v>
      </c>
      <c r="T183" s="102" t="str">
        <f t="shared" si="41"/>
        <v/>
      </c>
      <c r="U183" s="103" t="str">
        <f t="shared" si="42"/>
        <v/>
      </c>
      <c r="V183" s="53">
        <v>0</v>
      </c>
      <c r="W183" s="87" t="str">
        <f t="shared" si="43"/>
        <v/>
      </c>
      <c r="X183" s="103" t="str">
        <f t="shared" si="44"/>
        <v/>
      </c>
      <c r="Y183" s="53">
        <v>0</v>
      </c>
      <c r="Z183" s="56" t="str">
        <f t="shared" si="45"/>
        <v/>
      </c>
      <c r="AA183" s="56" t="str">
        <f t="shared" si="46"/>
        <v/>
      </c>
      <c r="AB183" s="56" t="str">
        <f t="shared" si="47"/>
        <v/>
      </c>
      <c r="AC183" s="56" t="str">
        <f t="shared" si="48"/>
        <v/>
      </c>
      <c r="AD183" s="56" t="str">
        <f t="shared" si="49"/>
        <v/>
      </c>
      <c r="AE183" s="40"/>
      <c r="AF183" s="40"/>
      <c r="AG183" s="40"/>
      <c r="AH183" s="56" t="str">
        <f t="shared" si="50"/>
        <v/>
      </c>
      <c r="AI183" s="54"/>
      <c r="AJ183" s="54"/>
      <c r="AK183" s="54"/>
      <c r="AL183" s="54"/>
      <c r="AM183" s="54"/>
    </row>
    <row r="184" spans="1:39">
      <c r="A184" s="95"/>
      <c r="B184" s="45" t="str" cm="1">
        <f t="array" ref="B184">IF(H184="PROJECT", CHAR(10) &amp; "- " &amp; _xlfn.TEXTJOIN(CHAR(10) &amp; "- ", TRUE, _xlfn._xlws.FILTER($I$9:$I$1000, ($C$9:$C$1000=C184) * ($H$9:$H$1000="Topic"))), "")</f>
        <v/>
      </c>
      <c r="C184" s="45">
        <f t="shared" si="34"/>
        <v>152</v>
      </c>
      <c r="D184" s="57"/>
      <c r="E184" s="58"/>
      <c r="F184" s="54"/>
      <c r="G184" s="52"/>
      <c r="H184" s="52"/>
      <c r="I184" s="61"/>
      <c r="J184" s="62"/>
      <c r="K184" s="120" t="str">
        <f t="shared" si="35"/>
        <v/>
      </c>
      <c r="L184" s="103" t="str">
        <f t="shared" si="36"/>
        <v/>
      </c>
      <c r="M184" s="52">
        <v>0</v>
      </c>
      <c r="N184" s="102" t="str">
        <f t="shared" si="37"/>
        <v/>
      </c>
      <c r="O184" s="103" t="str">
        <f t="shared" si="38"/>
        <v/>
      </c>
      <c r="P184" s="52">
        <v>0</v>
      </c>
      <c r="Q184" s="102" t="str">
        <f t="shared" si="39"/>
        <v/>
      </c>
      <c r="R184" s="103" t="str">
        <f t="shared" si="40"/>
        <v/>
      </c>
      <c r="S184" s="52">
        <v>0</v>
      </c>
      <c r="T184" s="102" t="str">
        <f t="shared" si="41"/>
        <v/>
      </c>
      <c r="U184" s="103" t="str">
        <f t="shared" si="42"/>
        <v/>
      </c>
      <c r="V184" s="52">
        <v>0</v>
      </c>
      <c r="W184" s="87" t="str">
        <f t="shared" si="43"/>
        <v/>
      </c>
      <c r="X184" s="103" t="str">
        <f t="shared" si="44"/>
        <v/>
      </c>
      <c r="Y184" s="52">
        <v>0</v>
      </c>
      <c r="Z184" s="56" t="str">
        <f t="shared" si="45"/>
        <v/>
      </c>
      <c r="AA184" s="56" t="str">
        <f t="shared" si="46"/>
        <v/>
      </c>
      <c r="AB184" s="56" t="str">
        <f t="shared" si="47"/>
        <v/>
      </c>
      <c r="AC184" s="56" t="str">
        <f t="shared" si="48"/>
        <v/>
      </c>
      <c r="AD184" s="56" t="str">
        <f t="shared" si="49"/>
        <v/>
      </c>
      <c r="AE184" s="40"/>
      <c r="AF184" s="40"/>
      <c r="AG184" s="40"/>
      <c r="AH184" s="56" t="str">
        <f t="shared" si="50"/>
        <v/>
      </c>
      <c r="AI184" s="54"/>
      <c r="AJ184" s="54"/>
      <c r="AK184" s="54"/>
      <c r="AL184" s="54"/>
      <c r="AM184" s="54"/>
    </row>
    <row r="185" spans="1:39">
      <c r="A185" s="95"/>
      <c r="B185" s="45" t="str" cm="1">
        <f t="array" ref="B185">IF(H185="PROJECT", CHAR(10) &amp; "- " &amp; _xlfn.TEXTJOIN(CHAR(10) &amp; "- ", TRUE, _xlfn._xlws.FILTER($I$9:$I$1000, ($C$9:$C$1000=C185) * ($H$9:$H$1000="Topic"))), "")</f>
        <v/>
      </c>
      <c r="C185" s="45">
        <f t="shared" si="34"/>
        <v>153</v>
      </c>
      <c r="D185" s="46"/>
      <c r="E185" s="58"/>
      <c r="F185" s="67"/>
      <c r="G185" s="53"/>
      <c r="H185" s="53"/>
      <c r="I185" s="50"/>
      <c r="J185" s="51"/>
      <c r="K185" s="120" t="str">
        <f t="shared" si="35"/>
        <v/>
      </c>
      <c r="L185" s="103" t="str">
        <f t="shared" si="36"/>
        <v/>
      </c>
      <c r="M185" s="53">
        <v>0</v>
      </c>
      <c r="N185" s="102" t="str">
        <f t="shared" si="37"/>
        <v/>
      </c>
      <c r="O185" s="103" t="str">
        <f t="shared" si="38"/>
        <v/>
      </c>
      <c r="P185" s="53">
        <v>0</v>
      </c>
      <c r="Q185" s="102" t="str">
        <f t="shared" si="39"/>
        <v/>
      </c>
      <c r="R185" s="103" t="str">
        <f t="shared" si="40"/>
        <v/>
      </c>
      <c r="S185" s="53">
        <v>0</v>
      </c>
      <c r="T185" s="102" t="str">
        <f t="shared" si="41"/>
        <v/>
      </c>
      <c r="U185" s="103" t="str">
        <f t="shared" si="42"/>
        <v/>
      </c>
      <c r="V185" s="53">
        <v>0</v>
      </c>
      <c r="W185" s="87" t="str">
        <f t="shared" si="43"/>
        <v/>
      </c>
      <c r="X185" s="103" t="str">
        <f t="shared" si="44"/>
        <v/>
      </c>
      <c r="Y185" s="53">
        <v>0</v>
      </c>
      <c r="Z185" s="56" t="str">
        <f t="shared" si="45"/>
        <v/>
      </c>
      <c r="AA185" s="56" t="str">
        <f t="shared" si="46"/>
        <v/>
      </c>
      <c r="AB185" s="56" t="str">
        <f t="shared" si="47"/>
        <v/>
      </c>
      <c r="AC185" s="56" t="str">
        <f t="shared" si="48"/>
        <v/>
      </c>
      <c r="AD185" s="56" t="str">
        <f t="shared" si="49"/>
        <v/>
      </c>
      <c r="AE185" s="40"/>
      <c r="AF185" s="40"/>
      <c r="AG185" s="40"/>
      <c r="AH185" s="56" t="str">
        <f t="shared" si="50"/>
        <v/>
      </c>
      <c r="AI185" s="54"/>
      <c r="AJ185" s="54"/>
      <c r="AK185" s="54"/>
      <c r="AL185" s="54"/>
      <c r="AM185" s="54"/>
    </row>
    <row r="186" spans="1:39">
      <c r="A186" s="95"/>
      <c r="B186" s="45" t="str" cm="1">
        <f t="array" ref="B186">IF(H186="PROJECT", CHAR(10) &amp; "- " &amp; _xlfn.TEXTJOIN(CHAR(10) &amp; "- ", TRUE, _xlfn._xlws.FILTER($I$9:$I$1000, ($C$9:$C$1000=C186) * ($H$9:$H$1000="Topic"))), "")</f>
        <v/>
      </c>
      <c r="C186" s="45">
        <f t="shared" si="34"/>
        <v>154</v>
      </c>
      <c r="D186" s="57"/>
      <c r="E186" s="58"/>
      <c r="F186" s="54"/>
      <c r="G186" s="52"/>
      <c r="H186" s="52"/>
      <c r="I186" s="61"/>
      <c r="J186" s="62"/>
      <c r="K186" s="120" t="str">
        <f t="shared" si="35"/>
        <v/>
      </c>
      <c r="L186" s="103" t="str">
        <f t="shared" si="36"/>
        <v/>
      </c>
      <c r="M186" s="52">
        <v>0</v>
      </c>
      <c r="N186" s="102" t="str">
        <f t="shared" si="37"/>
        <v/>
      </c>
      <c r="O186" s="103" t="str">
        <f t="shared" si="38"/>
        <v/>
      </c>
      <c r="P186" s="52">
        <v>0</v>
      </c>
      <c r="Q186" s="102" t="str">
        <f t="shared" si="39"/>
        <v/>
      </c>
      <c r="R186" s="103" t="str">
        <f t="shared" si="40"/>
        <v/>
      </c>
      <c r="S186" s="52">
        <v>0</v>
      </c>
      <c r="T186" s="102" t="str">
        <f t="shared" si="41"/>
        <v/>
      </c>
      <c r="U186" s="103" t="str">
        <f t="shared" si="42"/>
        <v/>
      </c>
      <c r="V186" s="52">
        <v>0</v>
      </c>
      <c r="W186" s="87" t="str">
        <f t="shared" si="43"/>
        <v/>
      </c>
      <c r="X186" s="103" t="str">
        <f t="shared" si="44"/>
        <v/>
      </c>
      <c r="Y186" s="52">
        <v>0</v>
      </c>
      <c r="Z186" s="56" t="str">
        <f t="shared" si="45"/>
        <v/>
      </c>
      <c r="AA186" s="56" t="str">
        <f t="shared" si="46"/>
        <v/>
      </c>
      <c r="AB186" s="56" t="str">
        <f t="shared" si="47"/>
        <v/>
      </c>
      <c r="AC186" s="56" t="str">
        <f t="shared" si="48"/>
        <v/>
      </c>
      <c r="AD186" s="56" t="str">
        <f t="shared" si="49"/>
        <v/>
      </c>
      <c r="AE186" s="40"/>
      <c r="AF186" s="40"/>
      <c r="AG186" s="40"/>
      <c r="AH186" s="56" t="str">
        <f t="shared" si="50"/>
        <v/>
      </c>
      <c r="AI186" s="54"/>
      <c r="AJ186" s="54"/>
      <c r="AK186" s="54"/>
      <c r="AL186" s="54"/>
      <c r="AM186" s="54"/>
    </row>
    <row r="187" spans="1:39">
      <c r="A187" s="95"/>
      <c r="B187" s="45" t="str" cm="1">
        <f t="array" ref="B187">IF(H187="PROJECT", CHAR(10) &amp; "- " &amp; _xlfn.TEXTJOIN(CHAR(10) &amp; "- ", TRUE, _xlfn._xlws.FILTER($I$9:$I$1000, ($C$9:$C$1000=C187) * ($H$9:$H$1000="Topic"))), "")</f>
        <v/>
      </c>
      <c r="C187" s="45">
        <f t="shared" si="34"/>
        <v>155</v>
      </c>
      <c r="D187" s="46"/>
      <c r="E187" s="58"/>
      <c r="F187" s="67"/>
      <c r="G187" s="53"/>
      <c r="H187" s="53"/>
      <c r="I187" s="50"/>
      <c r="J187" s="51"/>
      <c r="K187" s="120" t="str">
        <f t="shared" si="35"/>
        <v/>
      </c>
      <c r="L187" s="103" t="str">
        <f t="shared" si="36"/>
        <v/>
      </c>
      <c r="M187" s="53">
        <v>0</v>
      </c>
      <c r="N187" s="102" t="str">
        <f t="shared" si="37"/>
        <v/>
      </c>
      <c r="O187" s="103" t="str">
        <f t="shared" si="38"/>
        <v/>
      </c>
      <c r="P187" s="53">
        <v>0</v>
      </c>
      <c r="Q187" s="102" t="str">
        <f t="shared" si="39"/>
        <v/>
      </c>
      <c r="R187" s="103" t="str">
        <f t="shared" si="40"/>
        <v/>
      </c>
      <c r="S187" s="53">
        <v>0</v>
      </c>
      <c r="T187" s="102" t="str">
        <f t="shared" si="41"/>
        <v/>
      </c>
      <c r="U187" s="103" t="str">
        <f t="shared" si="42"/>
        <v/>
      </c>
      <c r="V187" s="53">
        <v>0</v>
      </c>
      <c r="W187" s="87" t="str">
        <f t="shared" si="43"/>
        <v/>
      </c>
      <c r="X187" s="103" t="str">
        <f t="shared" si="44"/>
        <v/>
      </c>
      <c r="Y187" s="53">
        <v>0</v>
      </c>
      <c r="Z187" s="56" t="str">
        <f t="shared" si="45"/>
        <v/>
      </c>
      <c r="AA187" s="56" t="str">
        <f t="shared" si="46"/>
        <v/>
      </c>
      <c r="AB187" s="56" t="str">
        <f t="shared" si="47"/>
        <v/>
      </c>
      <c r="AC187" s="56" t="str">
        <f t="shared" si="48"/>
        <v/>
      </c>
      <c r="AD187" s="56" t="str">
        <f t="shared" si="49"/>
        <v/>
      </c>
      <c r="AE187" s="40"/>
      <c r="AF187" s="40"/>
      <c r="AG187" s="40"/>
      <c r="AH187" s="56" t="str">
        <f t="shared" si="50"/>
        <v/>
      </c>
      <c r="AI187" s="54"/>
      <c r="AJ187" s="54"/>
      <c r="AK187" s="54"/>
      <c r="AL187" s="54"/>
      <c r="AM187" s="54"/>
    </row>
    <row r="188" spans="1:39">
      <c r="A188" s="95"/>
      <c r="B188" s="45" t="str" cm="1">
        <f t="array" ref="B188">IF(H188="PROJECT", CHAR(10) &amp; "- " &amp; _xlfn.TEXTJOIN(CHAR(10) &amp; "- ", TRUE, _xlfn._xlws.FILTER($I$9:$I$1000, ($C$9:$C$1000=C188) * ($H$9:$H$1000="Topic"))), "")</f>
        <v/>
      </c>
      <c r="C188" s="45">
        <f t="shared" si="34"/>
        <v>156</v>
      </c>
      <c r="D188" s="57"/>
      <c r="E188" s="58"/>
      <c r="F188" s="54"/>
      <c r="G188" s="52"/>
      <c r="H188" s="52"/>
      <c r="I188" s="61"/>
      <c r="J188" s="62"/>
      <c r="K188" s="120" t="str">
        <f t="shared" si="35"/>
        <v/>
      </c>
      <c r="L188" s="103" t="str">
        <f t="shared" si="36"/>
        <v/>
      </c>
      <c r="M188" s="52">
        <v>0</v>
      </c>
      <c r="N188" s="102" t="str">
        <f t="shared" si="37"/>
        <v/>
      </c>
      <c r="O188" s="103" t="str">
        <f t="shared" si="38"/>
        <v/>
      </c>
      <c r="P188" s="52">
        <v>0</v>
      </c>
      <c r="Q188" s="102" t="str">
        <f t="shared" si="39"/>
        <v/>
      </c>
      <c r="R188" s="103" t="str">
        <f t="shared" si="40"/>
        <v/>
      </c>
      <c r="S188" s="52">
        <v>0</v>
      </c>
      <c r="T188" s="102" t="str">
        <f t="shared" si="41"/>
        <v/>
      </c>
      <c r="U188" s="103" t="str">
        <f t="shared" si="42"/>
        <v/>
      </c>
      <c r="V188" s="52">
        <v>0</v>
      </c>
      <c r="W188" s="87" t="str">
        <f t="shared" si="43"/>
        <v/>
      </c>
      <c r="X188" s="103" t="str">
        <f t="shared" si="44"/>
        <v/>
      </c>
      <c r="Y188" s="52">
        <v>0</v>
      </c>
      <c r="Z188" s="56" t="str">
        <f t="shared" si="45"/>
        <v/>
      </c>
      <c r="AA188" s="56" t="str">
        <f t="shared" si="46"/>
        <v/>
      </c>
      <c r="AB188" s="56" t="str">
        <f t="shared" si="47"/>
        <v/>
      </c>
      <c r="AC188" s="56" t="str">
        <f t="shared" si="48"/>
        <v/>
      </c>
      <c r="AD188" s="56" t="str">
        <f t="shared" si="49"/>
        <v/>
      </c>
      <c r="AE188" s="40"/>
      <c r="AF188" s="40"/>
      <c r="AG188" s="40"/>
      <c r="AH188" s="56" t="str">
        <f t="shared" si="50"/>
        <v/>
      </c>
      <c r="AI188" s="54"/>
      <c r="AJ188" s="54"/>
      <c r="AK188" s="54"/>
      <c r="AL188" s="54"/>
      <c r="AM188" s="54"/>
    </row>
    <row r="189" spans="1:39">
      <c r="A189" s="95"/>
      <c r="B189" s="45" t="str" cm="1">
        <f t="array" ref="B189">IF(H189="PROJECT", CHAR(10) &amp; "- " &amp; _xlfn.TEXTJOIN(CHAR(10) &amp; "- ", TRUE, _xlfn._xlws.FILTER($I$9:$I$1000, ($C$9:$C$1000=C189) * ($H$9:$H$1000="Topic"))), "")</f>
        <v/>
      </c>
      <c r="C189" s="45">
        <f t="shared" si="34"/>
        <v>157</v>
      </c>
      <c r="D189" s="46"/>
      <c r="E189" s="58"/>
      <c r="F189" s="67"/>
      <c r="G189" s="53"/>
      <c r="H189" s="53"/>
      <c r="I189" s="50"/>
      <c r="J189" s="51"/>
      <c r="K189" s="120" t="str">
        <f t="shared" si="35"/>
        <v/>
      </c>
      <c r="L189" s="103" t="str">
        <f t="shared" si="36"/>
        <v/>
      </c>
      <c r="M189" s="53">
        <v>0</v>
      </c>
      <c r="N189" s="102" t="str">
        <f t="shared" si="37"/>
        <v/>
      </c>
      <c r="O189" s="103" t="str">
        <f t="shared" si="38"/>
        <v/>
      </c>
      <c r="P189" s="53">
        <v>0</v>
      </c>
      <c r="Q189" s="102" t="str">
        <f t="shared" si="39"/>
        <v/>
      </c>
      <c r="R189" s="103" t="str">
        <f t="shared" si="40"/>
        <v/>
      </c>
      <c r="S189" s="53">
        <v>0</v>
      </c>
      <c r="T189" s="102" t="str">
        <f t="shared" si="41"/>
        <v/>
      </c>
      <c r="U189" s="103" t="str">
        <f t="shared" si="42"/>
        <v/>
      </c>
      <c r="V189" s="53">
        <v>0</v>
      </c>
      <c r="W189" s="87" t="str">
        <f t="shared" si="43"/>
        <v/>
      </c>
      <c r="X189" s="103" t="str">
        <f t="shared" si="44"/>
        <v/>
      </c>
      <c r="Y189" s="53">
        <v>0</v>
      </c>
      <c r="Z189" s="56" t="str">
        <f t="shared" si="45"/>
        <v/>
      </c>
      <c r="AA189" s="56" t="str">
        <f t="shared" si="46"/>
        <v/>
      </c>
      <c r="AB189" s="56" t="str">
        <f t="shared" si="47"/>
        <v/>
      </c>
      <c r="AC189" s="56" t="str">
        <f t="shared" si="48"/>
        <v/>
      </c>
      <c r="AD189" s="56" t="str">
        <f t="shared" si="49"/>
        <v/>
      </c>
      <c r="AE189" s="40"/>
      <c r="AF189" s="40"/>
      <c r="AG189" s="40"/>
      <c r="AH189" s="56" t="str">
        <f t="shared" si="50"/>
        <v/>
      </c>
      <c r="AI189" s="54"/>
      <c r="AJ189" s="54"/>
      <c r="AK189" s="54"/>
      <c r="AL189" s="54"/>
      <c r="AM189" s="54"/>
    </row>
    <row r="190" spans="1:39">
      <c r="A190" s="95"/>
      <c r="B190" s="45" t="str" cm="1">
        <f t="array" ref="B190">IF(H190="PROJECT", CHAR(10) &amp; "- " &amp; _xlfn.TEXTJOIN(CHAR(10) &amp; "- ", TRUE, _xlfn._xlws.FILTER($I$9:$I$1000, ($C$9:$C$1000=C190) * ($H$9:$H$1000="Topic"))), "")</f>
        <v/>
      </c>
      <c r="C190" s="45">
        <f t="shared" si="34"/>
        <v>158</v>
      </c>
      <c r="D190" s="57"/>
      <c r="E190" s="58"/>
      <c r="F190" s="54"/>
      <c r="G190" s="52"/>
      <c r="H190" s="52"/>
      <c r="I190" s="61"/>
      <c r="J190" s="62"/>
      <c r="K190" s="120" t="str">
        <f t="shared" si="35"/>
        <v/>
      </c>
      <c r="L190" s="103" t="str">
        <f t="shared" si="36"/>
        <v/>
      </c>
      <c r="M190" s="52">
        <v>0</v>
      </c>
      <c r="N190" s="102" t="str">
        <f t="shared" si="37"/>
        <v/>
      </c>
      <c r="O190" s="103" t="str">
        <f t="shared" si="38"/>
        <v/>
      </c>
      <c r="P190" s="52">
        <v>0</v>
      </c>
      <c r="Q190" s="102" t="str">
        <f t="shared" si="39"/>
        <v/>
      </c>
      <c r="R190" s="103" t="str">
        <f t="shared" si="40"/>
        <v/>
      </c>
      <c r="S190" s="52">
        <v>0</v>
      </c>
      <c r="T190" s="102" t="str">
        <f t="shared" si="41"/>
        <v/>
      </c>
      <c r="U190" s="103" t="str">
        <f t="shared" si="42"/>
        <v/>
      </c>
      <c r="V190" s="52">
        <v>0</v>
      </c>
      <c r="W190" s="87" t="str">
        <f t="shared" si="43"/>
        <v/>
      </c>
      <c r="X190" s="103" t="str">
        <f t="shared" si="44"/>
        <v/>
      </c>
      <c r="Y190" s="52">
        <v>0</v>
      </c>
      <c r="Z190" s="56" t="str">
        <f t="shared" si="45"/>
        <v/>
      </c>
      <c r="AA190" s="56" t="str">
        <f t="shared" si="46"/>
        <v/>
      </c>
      <c r="AB190" s="56" t="str">
        <f t="shared" si="47"/>
        <v/>
      </c>
      <c r="AC190" s="56" t="str">
        <f t="shared" si="48"/>
        <v/>
      </c>
      <c r="AD190" s="56" t="str">
        <f t="shared" si="49"/>
        <v/>
      </c>
      <c r="AE190" s="40"/>
      <c r="AF190" s="40"/>
      <c r="AG190" s="40"/>
      <c r="AH190" s="56" t="str">
        <f t="shared" si="50"/>
        <v/>
      </c>
      <c r="AI190" s="54"/>
      <c r="AJ190" s="54"/>
      <c r="AK190" s="54"/>
      <c r="AL190" s="54"/>
      <c r="AM190" s="54"/>
    </row>
    <row r="191" spans="1:39">
      <c r="A191" s="95"/>
      <c r="B191" s="45" t="str" cm="1">
        <f t="array" ref="B191">IF(H191="PROJECT", CHAR(10) &amp; "- " &amp; _xlfn.TEXTJOIN(CHAR(10) &amp; "- ", TRUE, _xlfn._xlws.FILTER($I$9:$I$1000, ($C$9:$C$1000=C191) * ($H$9:$H$1000="Topic"))), "")</f>
        <v/>
      </c>
      <c r="C191" s="45">
        <f t="shared" si="34"/>
        <v>159</v>
      </c>
      <c r="D191" s="46"/>
      <c r="E191" s="58"/>
      <c r="F191" s="67"/>
      <c r="G191" s="53"/>
      <c r="H191" s="53"/>
      <c r="I191" s="50"/>
      <c r="J191" s="51"/>
      <c r="K191" s="120" t="str">
        <f t="shared" si="35"/>
        <v/>
      </c>
      <c r="L191" s="103" t="str">
        <f t="shared" si="36"/>
        <v/>
      </c>
      <c r="M191" s="53">
        <v>0</v>
      </c>
      <c r="N191" s="102" t="str">
        <f t="shared" si="37"/>
        <v/>
      </c>
      <c r="O191" s="103" t="str">
        <f t="shared" si="38"/>
        <v/>
      </c>
      <c r="P191" s="53">
        <v>0</v>
      </c>
      <c r="Q191" s="102" t="str">
        <f t="shared" si="39"/>
        <v/>
      </c>
      <c r="R191" s="103" t="str">
        <f t="shared" si="40"/>
        <v/>
      </c>
      <c r="S191" s="53">
        <v>0</v>
      </c>
      <c r="T191" s="102" t="str">
        <f t="shared" si="41"/>
        <v/>
      </c>
      <c r="U191" s="103" t="str">
        <f t="shared" si="42"/>
        <v/>
      </c>
      <c r="V191" s="53">
        <v>0</v>
      </c>
      <c r="W191" s="87" t="str">
        <f t="shared" si="43"/>
        <v/>
      </c>
      <c r="X191" s="103" t="str">
        <f t="shared" si="44"/>
        <v/>
      </c>
      <c r="Y191" s="53">
        <v>0</v>
      </c>
      <c r="Z191" s="56" t="str">
        <f t="shared" si="45"/>
        <v/>
      </c>
      <c r="AA191" s="56" t="str">
        <f t="shared" si="46"/>
        <v/>
      </c>
      <c r="AB191" s="56" t="str">
        <f t="shared" si="47"/>
        <v/>
      </c>
      <c r="AC191" s="56" t="str">
        <f t="shared" si="48"/>
        <v/>
      </c>
      <c r="AD191" s="56" t="str">
        <f t="shared" si="49"/>
        <v/>
      </c>
      <c r="AE191" s="40"/>
      <c r="AF191" s="40"/>
      <c r="AG191" s="40"/>
      <c r="AH191" s="56" t="str">
        <f t="shared" si="50"/>
        <v/>
      </c>
      <c r="AI191" s="54"/>
      <c r="AJ191" s="54"/>
      <c r="AK191" s="54"/>
      <c r="AL191" s="54"/>
      <c r="AM191" s="54"/>
    </row>
    <row r="192" spans="1:39">
      <c r="A192" s="95"/>
      <c r="B192" s="45" t="str" cm="1">
        <f t="array" ref="B192">IF(H192="PROJECT", CHAR(10) &amp; "- " &amp; _xlfn.TEXTJOIN(CHAR(10) &amp; "- ", TRUE, _xlfn._xlws.FILTER($I$9:$I$1000, ($C$9:$C$1000=C192) * ($H$9:$H$1000="Topic"))), "")</f>
        <v/>
      </c>
      <c r="C192" s="45">
        <f t="shared" si="34"/>
        <v>160</v>
      </c>
      <c r="D192" s="57"/>
      <c r="E192" s="58"/>
      <c r="F192" s="54"/>
      <c r="G192" s="52"/>
      <c r="H192" s="52"/>
      <c r="I192" s="61"/>
      <c r="J192" s="62"/>
      <c r="K192" s="120" t="str">
        <f t="shared" si="35"/>
        <v/>
      </c>
      <c r="L192" s="103" t="str">
        <f t="shared" si="36"/>
        <v/>
      </c>
      <c r="M192" s="52">
        <v>0</v>
      </c>
      <c r="N192" s="102" t="str">
        <f t="shared" si="37"/>
        <v/>
      </c>
      <c r="O192" s="103" t="str">
        <f t="shared" si="38"/>
        <v/>
      </c>
      <c r="P192" s="52">
        <v>0</v>
      </c>
      <c r="Q192" s="102" t="str">
        <f t="shared" si="39"/>
        <v/>
      </c>
      <c r="R192" s="103" t="str">
        <f t="shared" si="40"/>
        <v/>
      </c>
      <c r="S192" s="52">
        <v>0</v>
      </c>
      <c r="T192" s="102" t="str">
        <f t="shared" si="41"/>
        <v/>
      </c>
      <c r="U192" s="103" t="str">
        <f t="shared" si="42"/>
        <v/>
      </c>
      <c r="V192" s="52">
        <v>0</v>
      </c>
      <c r="W192" s="87" t="str">
        <f t="shared" si="43"/>
        <v/>
      </c>
      <c r="X192" s="103" t="str">
        <f t="shared" si="44"/>
        <v/>
      </c>
      <c r="Y192" s="52">
        <v>0</v>
      </c>
      <c r="Z192" s="56" t="str">
        <f t="shared" si="45"/>
        <v/>
      </c>
      <c r="AA192" s="56" t="str">
        <f t="shared" si="46"/>
        <v/>
      </c>
      <c r="AB192" s="56" t="str">
        <f t="shared" si="47"/>
        <v/>
      </c>
      <c r="AC192" s="56" t="str">
        <f t="shared" si="48"/>
        <v/>
      </c>
      <c r="AD192" s="56" t="str">
        <f t="shared" si="49"/>
        <v/>
      </c>
      <c r="AE192" s="40"/>
      <c r="AF192" s="40"/>
      <c r="AG192" s="40"/>
      <c r="AH192" s="56" t="str">
        <f t="shared" si="50"/>
        <v/>
      </c>
      <c r="AI192" s="54"/>
      <c r="AJ192" s="54"/>
      <c r="AK192" s="54"/>
      <c r="AL192" s="54"/>
      <c r="AM192" s="54"/>
    </row>
    <row r="193" spans="1:39">
      <c r="A193" s="95"/>
      <c r="B193" s="45" t="str" cm="1">
        <f t="array" ref="B193">IF(H193="PROJECT", CHAR(10) &amp; "- " &amp; _xlfn.TEXTJOIN(CHAR(10) &amp; "- ", TRUE, _xlfn._xlws.FILTER($I$9:$I$1000, ($C$9:$C$1000=C193) * ($H$9:$H$1000="Topic"))), "")</f>
        <v/>
      </c>
      <c r="C193" s="45">
        <f t="shared" si="34"/>
        <v>161</v>
      </c>
      <c r="D193" s="46"/>
      <c r="E193" s="58"/>
      <c r="F193" s="67"/>
      <c r="G193" s="53"/>
      <c r="H193" s="53"/>
      <c r="I193" s="50"/>
      <c r="J193" s="51"/>
      <c r="K193" s="120" t="str">
        <f t="shared" si="35"/>
        <v/>
      </c>
      <c r="L193" s="103" t="str">
        <f t="shared" si="36"/>
        <v/>
      </c>
      <c r="M193" s="53">
        <v>0</v>
      </c>
      <c r="N193" s="102" t="str">
        <f t="shared" si="37"/>
        <v/>
      </c>
      <c r="O193" s="103" t="str">
        <f t="shared" si="38"/>
        <v/>
      </c>
      <c r="P193" s="53">
        <v>0</v>
      </c>
      <c r="Q193" s="102" t="str">
        <f t="shared" si="39"/>
        <v/>
      </c>
      <c r="R193" s="103" t="str">
        <f t="shared" si="40"/>
        <v/>
      </c>
      <c r="S193" s="53">
        <v>0</v>
      </c>
      <c r="T193" s="102" t="str">
        <f t="shared" si="41"/>
        <v/>
      </c>
      <c r="U193" s="103" t="str">
        <f t="shared" si="42"/>
        <v/>
      </c>
      <c r="V193" s="53">
        <v>0</v>
      </c>
      <c r="W193" s="87" t="str">
        <f t="shared" si="43"/>
        <v/>
      </c>
      <c r="X193" s="103" t="str">
        <f t="shared" si="44"/>
        <v/>
      </c>
      <c r="Y193" s="53">
        <v>0</v>
      </c>
      <c r="Z193" s="56" t="str">
        <f t="shared" si="45"/>
        <v/>
      </c>
      <c r="AA193" s="56" t="str">
        <f t="shared" si="46"/>
        <v/>
      </c>
      <c r="AB193" s="56" t="str">
        <f t="shared" si="47"/>
        <v/>
      </c>
      <c r="AC193" s="56" t="str">
        <f t="shared" si="48"/>
        <v/>
      </c>
      <c r="AD193" s="56" t="str">
        <f t="shared" si="49"/>
        <v/>
      </c>
      <c r="AE193" s="40"/>
      <c r="AF193" s="40"/>
      <c r="AG193" s="40"/>
      <c r="AH193" s="56" t="str">
        <f t="shared" si="50"/>
        <v/>
      </c>
      <c r="AI193" s="54"/>
      <c r="AJ193" s="54"/>
      <c r="AK193" s="54"/>
      <c r="AL193" s="54"/>
      <c r="AM193" s="54"/>
    </row>
    <row r="194" spans="1:39">
      <c r="A194" s="95"/>
      <c r="B194" s="45" t="str" cm="1">
        <f t="array" ref="B194">IF(H194="PROJECT", CHAR(10) &amp; "- " &amp; _xlfn.TEXTJOIN(CHAR(10) &amp; "- ", TRUE, _xlfn._xlws.FILTER($I$9:$I$1000, ($C$9:$C$1000=C194) * ($H$9:$H$1000="Topic"))), "")</f>
        <v/>
      </c>
      <c r="C194" s="45">
        <f t="shared" si="34"/>
        <v>162</v>
      </c>
      <c r="D194" s="57"/>
      <c r="E194" s="58"/>
      <c r="F194" s="54"/>
      <c r="G194" s="52"/>
      <c r="H194" s="52"/>
      <c r="I194" s="61"/>
      <c r="J194" s="62"/>
      <c r="K194" s="120" t="str">
        <f t="shared" si="35"/>
        <v/>
      </c>
      <c r="L194" s="103" t="str">
        <f t="shared" si="36"/>
        <v/>
      </c>
      <c r="M194" s="52">
        <v>0</v>
      </c>
      <c r="N194" s="102" t="str">
        <f t="shared" si="37"/>
        <v/>
      </c>
      <c r="O194" s="103" t="str">
        <f t="shared" si="38"/>
        <v/>
      </c>
      <c r="P194" s="52">
        <v>0</v>
      </c>
      <c r="Q194" s="102" t="str">
        <f t="shared" si="39"/>
        <v/>
      </c>
      <c r="R194" s="103" t="str">
        <f t="shared" si="40"/>
        <v/>
      </c>
      <c r="S194" s="52">
        <v>0</v>
      </c>
      <c r="T194" s="102" t="str">
        <f t="shared" si="41"/>
        <v/>
      </c>
      <c r="U194" s="103" t="str">
        <f t="shared" si="42"/>
        <v/>
      </c>
      <c r="V194" s="52">
        <v>0</v>
      </c>
      <c r="W194" s="87" t="str">
        <f t="shared" si="43"/>
        <v/>
      </c>
      <c r="X194" s="103" t="str">
        <f t="shared" si="44"/>
        <v/>
      </c>
      <c r="Y194" s="52">
        <v>0</v>
      </c>
      <c r="Z194" s="56" t="str">
        <f t="shared" si="45"/>
        <v/>
      </c>
      <c r="AA194" s="56" t="str">
        <f t="shared" si="46"/>
        <v/>
      </c>
      <c r="AB194" s="56" t="str">
        <f t="shared" si="47"/>
        <v/>
      </c>
      <c r="AC194" s="56" t="str">
        <f t="shared" si="48"/>
        <v/>
      </c>
      <c r="AD194" s="56" t="str">
        <f t="shared" si="49"/>
        <v/>
      </c>
      <c r="AE194" s="40"/>
      <c r="AF194" s="40"/>
      <c r="AG194" s="40"/>
      <c r="AH194" s="56" t="str">
        <f t="shared" si="50"/>
        <v/>
      </c>
      <c r="AI194" s="54"/>
      <c r="AJ194" s="54"/>
      <c r="AK194" s="54"/>
      <c r="AL194" s="54"/>
      <c r="AM194" s="54"/>
    </row>
    <row r="195" spans="1:39">
      <c r="A195" s="95"/>
      <c r="B195" s="45" t="str" cm="1">
        <f t="array" ref="B195">IF(H195="PROJECT", CHAR(10) &amp; "- " &amp; _xlfn.TEXTJOIN(CHAR(10) &amp; "- ", TRUE, _xlfn._xlws.FILTER($I$9:$I$1000, ($C$9:$C$1000=C195) * ($H$9:$H$1000="Topic"))), "")</f>
        <v/>
      </c>
      <c r="C195" s="45">
        <f t="shared" si="34"/>
        <v>163</v>
      </c>
      <c r="D195" s="46"/>
      <c r="E195" s="58"/>
      <c r="F195" s="67"/>
      <c r="G195" s="53"/>
      <c r="H195" s="53"/>
      <c r="I195" s="50"/>
      <c r="J195" s="51"/>
      <c r="K195" s="120" t="str">
        <f t="shared" si="35"/>
        <v/>
      </c>
      <c r="L195" s="103" t="str">
        <f t="shared" si="36"/>
        <v/>
      </c>
      <c r="M195" s="53">
        <v>0</v>
      </c>
      <c r="N195" s="102" t="str">
        <f t="shared" si="37"/>
        <v/>
      </c>
      <c r="O195" s="103" t="str">
        <f t="shared" si="38"/>
        <v/>
      </c>
      <c r="P195" s="53">
        <v>0</v>
      </c>
      <c r="Q195" s="102" t="str">
        <f t="shared" si="39"/>
        <v/>
      </c>
      <c r="R195" s="103" t="str">
        <f t="shared" si="40"/>
        <v/>
      </c>
      <c r="S195" s="53">
        <v>0</v>
      </c>
      <c r="T195" s="102" t="str">
        <f t="shared" si="41"/>
        <v/>
      </c>
      <c r="U195" s="103" t="str">
        <f t="shared" si="42"/>
        <v/>
      </c>
      <c r="V195" s="53">
        <v>0</v>
      </c>
      <c r="W195" s="87" t="str">
        <f t="shared" si="43"/>
        <v/>
      </c>
      <c r="X195" s="103" t="str">
        <f t="shared" si="44"/>
        <v/>
      </c>
      <c r="Y195" s="53">
        <v>0</v>
      </c>
      <c r="Z195" s="56" t="str">
        <f t="shared" si="45"/>
        <v/>
      </c>
      <c r="AA195" s="56" t="str">
        <f t="shared" si="46"/>
        <v/>
      </c>
      <c r="AB195" s="56" t="str">
        <f t="shared" si="47"/>
        <v/>
      </c>
      <c r="AC195" s="56" t="str">
        <f t="shared" si="48"/>
        <v/>
      </c>
      <c r="AD195" s="56" t="str">
        <f t="shared" si="49"/>
        <v/>
      </c>
      <c r="AE195" s="40"/>
      <c r="AF195" s="40"/>
      <c r="AG195" s="40"/>
      <c r="AH195" s="56" t="str">
        <f t="shared" si="50"/>
        <v/>
      </c>
      <c r="AI195" s="54"/>
      <c r="AJ195" s="54"/>
      <c r="AK195" s="54"/>
      <c r="AL195" s="54"/>
      <c r="AM195" s="54"/>
    </row>
    <row r="196" spans="1:39">
      <c r="A196" s="95"/>
      <c r="B196" s="45" t="str" cm="1">
        <f t="array" ref="B196">IF(H196="PROJECT", CHAR(10) &amp; "- " &amp; _xlfn.TEXTJOIN(CHAR(10) &amp; "- ", TRUE, _xlfn._xlws.FILTER($I$9:$I$1000, ($C$9:$C$1000=C196) * ($H$9:$H$1000="Topic"))), "")</f>
        <v/>
      </c>
      <c r="C196" s="45">
        <f t="shared" si="34"/>
        <v>164</v>
      </c>
      <c r="D196" s="57"/>
      <c r="E196" s="58"/>
      <c r="F196" s="54"/>
      <c r="G196" s="52"/>
      <c r="H196" s="52"/>
      <c r="I196" s="61"/>
      <c r="J196" s="62"/>
      <c r="K196" s="120" t="str">
        <f t="shared" si="35"/>
        <v/>
      </c>
      <c r="L196" s="103" t="str">
        <f t="shared" si="36"/>
        <v/>
      </c>
      <c r="M196" s="52">
        <v>0</v>
      </c>
      <c r="N196" s="102" t="str">
        <f t="shared" si="37"/>
        <v/>
      </c>
      <c r="O196" s="103" t="str">
        <f t="shared" si="38"/>
        <v/>
      </c>
      <c r="P196" s="52">
        <v>0</v>
      </c>
      <c r="Q196" s="102" t="str">
        <f t="shared" si="39"/>
        <v/>
      </c>
      <c r="R196" s="103" t="str">
        <f t="shared" si="40"/>
        <v/>
      </c>
      <c r="S196" s="52">
        <v>0</v>
      </c>
      <c r="T196" s="102" t="str">
        <f t="shared" si="41"/>
        <v/>
      </c>
      <c r="U196" s="103" t="str">
        <f t="shared" si="42"/>
        <v/>
      </c>
      <c r="V196" s="52">
        <v>0</v>
      </c>
      <c r="W196" s="87" t="str">
        <f t="shared" si="43"/>
        <v/>
      </c>
      <c r="X196" s="103" t="str">
        <f t="shared" si="44"/>
        <v/>
      </c>
      <c r="Y196" s="52">
        <v>0</v>
      </c>
      <c r="Z196" s="56" t="str">
        <f t="shared" si="45"/>
        <v/>
      </c>
      <c r="AA196" s="56" t="str">
        <f t="shared" si="46"/>
        <v/>
      </c>
      <c r="AB196" s="56" t="str">
        <f t="shared" si="47"/>
        <v/>
      </c>
      <c r="AC196" s="56" t="str">
        <f t="shared" si="48"/>
        <v/>
      </c>
      <c r="AD196" s="56" t="str">
        <f t="shared" si="49"/>
        <v/>
      </c>
      <c r="AE196" s="40"/>
      <c r="AF196" s="40"/>
      <c r="AG196" s="40"/>
      <c r="AH196" s="56" t="str">
        <f t="shared" si="50"/>
        <v/>
      </c>
      <c r="AI196" s="54"/>
      <c r="AJ196" s="54"/>
      <c r="AK196" s="54"/>
      <c r="AL196" s="54"/>
      <c r="AM196" s="54"/>
    </row>
    <row r="197" spans="1:39">
      <c r="A197" s="95"/>
      <c r="B197" s="45" t="str" cm="1">
        <f t="array" ref="B197">IF(H197="PROJECT", CHAR(10) &amp; "- " &amp; _xlfn.TEXTJOIN(CHAR(10) &amp; "- ", TRUE, _xlfn._xlws.FILTER($I$9:$I$1000, ($C$9:$C$1000=C197) * ($H$9:$H$1000="Topic"))), "")</f>
        <v/>
      </c>
      <c r="C197" s="45">
        <f t="shared" si="34"/>
        <v>165</v>
      </c>
      <c r="D197" s="46"/>
      <c r="E197" s="58"/>
      <c r="F197" s="67"/>
      <c r="G197" s="53"/>
      <c r="H197" s="53"/>
      <c r="I197" s="50"/>
      <c r="J197" s="51"/>
      <c r="K197" s="120" t="str">
        <f t="shared" si="35"/>
        <v/>
      </c>
      <c r="L197" s="103" t="str">
        <f t="shared" si="36"/>
        <v/>
      </c>
      <c r="M197" s="53">
        <v>0</v>
      </c>
      <c r="N197" s="102" t="str">
        <f t="shared" si="37"/>
        <v/>
      </c>
      <c r="O197" s="103" t="str">
        <f t="shared" si="38"/>
        <v/>
      </c>
      <c r="P197" s="53">
        <v>0</v>
      </c>
      <c r="Q197" s="102" t="str">
        <f t="shared" si="39"/>
        <v/>
      </c>
      <c r="R197" s="103" t="str">
        <f t="shared" si="40"/>
        <v/>
      </c>
      <c r="S197" s="53">
        <v>0</v>
      </c>
      <c r="T197" s="102" t="str">
        <f t="shared" si="41"/>
        <v/>
      </c>
      <c r="U197" s="103" t="str">
        <f t="shared" si="42"/>
        <v/>
      </c>
      <c r="V197" s="53">
        <v>0</v>
      </c>
      <c r="W197" s="87" t="str">
        <f t="shared" si="43"/>
        <v/>
      </c>
      <c r="X197" s="103" t="str">
        <f t="shared" si="44"/>
        <v/>
      </c>
      <c r="Y197" s="53">
        <v>0</v>
      </c>
      <c r="Z197" s="56" t="str">
        <f t="shared" si="45"/>
        <v/>
      </c>
      <c r="AA197" s="56" t="str">
        <f t="shared" si="46"/>
        <v/>
      </c>
      <c r="AB197" s="56" t="str">
        <f t="shared" si="47"/>
        <v/>
      </c>
      <c r="AC197" s="56" t="str">
        <f t="shared" si="48"/>
        <v/>
      </c>
      <c r="AD197" s="56" t="str">
        <f t="shared" si="49"/>
        <v/>
      </c>
      <c r="AE197" s="40"/>
      <c r="AF197" s="40"/>
      <c r="AG197" s="40"/>
      <c r="AH197" s="56" t="str">
        <f t="shared" si="50"/>
        <v/>
      </c>
      <c r="AI197" s="54"/>
      <c r="AJ197" s="54"/>
      <c r="AK197" s="54"/>
      <c r="AL197" s="54"/>
      <c r="AM197" s="54"/>
    </row>
    <row r="198" spans="1:39">
      <c r="A198" s="95"/>
      <c r="B198" s="45" t="str" cm="1">
        <f t="array" ref="B198">IF(H198="PROJECT", CHAR(10) &amp; "- " &amp; _xlfn.TEXTJOIN(CHAR(10) &amp; "- ", TRUE, _xlfn._xlws.FILTER($I$9:$I$1000, ($C$9:$C$1000=C198) * ($H$9:$H$1000="Topic"))), "")</f>
        <v/>
      </c>
      <c r="C198" s="45">
        <f t="shared" si="34"/>
        <v>166</v>
      </c>
      <c r="D198" s="57"/>
      <c r="E198" s="58"/>
      <c r="F198" s="54"/>
      <c r="G198" s="52"/>
      <c r="H198" s="52"/>
      <c r="I198" s="61"/>
      <c r="J198" s="62"/>
      <c r="K198" s="120" t="str">
        <f t="shared" si="35"/>
        <v/>
      </c>
      <c r="L198" s="103" t="str">
        <f t="shared" si="36"/>
        <v/>
      </c>
      <c r="M198" s="52">
        <v>0</v>
      </c>
      <c r="N198" s="102" t="str">
        <f t="shared" si="37"/>
        <v/>
      </c>
      <c r="O198" s="103" t="str">
        <f t="shared" si="38"/>
        <v/>
      </c>
      <c r="P198" s="52">
        <v>0</v>
      </c>
      <c r="Q198" s="102" t="str">
        <f t="shared" si="39"/>
        <v/>
      </c>
      <c r="R198" s="103" t="str">
        <f t="shared" si="40"/>
        <v/>
      </c>
      <c r="S198" s="52">
        <v>0</v>
      </c>
      <c r="T198" s="102" t="str">
        <f t="shared" si="41"/>
        <v/>
      </c>
      <c r="U198" s="103" t="str">
        <f t="shared" si="42"/>
        <v/>
      </c>
      <c r="V198" s="52">
        <v>0</v>
      </c>
      <c r="W198" s="87" t="str">
        <f t="shared" si="43"/>
        <v/>
      </c>
      <c r="X198" s="103" t="str">
        <f t="shared" si="44"/>
        <v/>
      </c>
      <c r="Y198" s="52">
        <v>0</v>
      </c>
      <c r="Z198" s="56" t="str">
        <f t="shared" si="45"/>
        <v/>
      </c>
      <c r="AA198" s="56" t="str">
        <f t="shared" si="46"/>
        <v/>
      </c>
      <c r="AB198" s="56" t="str">
        <f t="shared" si="47"/>
        <v/>
      </c>
      <c r="AC198" s="56" t="str">
        <f t="shared" si="48"/>
        <v/>
      </c>
      <c r="AD198" s="56" t="str">
        <f t="shared" si="49"/>
        <v/>
      </c>
      <c r="AE198" s="40"/>
      <c r="AF198" s="40"/>
      <c r="AG198" s="40"/>
      <c r="AH198" s="56" t="str">
        <f t="shared" si="50"/>
        <v/>
      </c>
      <c r="AI198" s="54"/>
      <c r="AJ198" s="54"/>
      <c r="AK198" s="54"/>
      <c r="AL198" s="54"/>
      <c r="AM198" s="54"/>
    </row>
    <row r="199" spans="1:39">
      <c r="A199" s="95"/>
      <c r="B199" s="45" t="str" cm="1">
        <f t="array" ref="B199">IF(H199="PROJECT", CHAR(10) &amp; "- " &amp; _xlfn.TEXTJOIN(CHAR(10) &amp; "- ", TRUE, _xlfn._xlws.FILTER($I$9:$I$1000, ($C$9:$C$1000=C199) * ($H$9:$H$1000="Topic"))), "")</f>
        <v/>
      </c>
      <c r="C199" s="45">
        <f t="shared" si="34"/>
        <v>167</v>
      </c>
      <c r="D199" s="46"/>
      <c r="E199" s="58"/>
      <c r="F199" s="67"/>
      <c r="G199" s="53"/>
      <c r="H199" s="53"/>
      <c r="I199" s="50"/>
      <c r="J199" s="51"/>
      <c r="K199" s="120" t="str">
        <f t="shared" si="35"/>
        <v/>
      </c>
      <c r="L199" s="103" t="str">
        <f t="shared" si="36"/>
        <v/>
      </c>
      <c r="M199" s="53">
        <v>0</v>
      </c>
      <c r="N199" s="102" t="str">
        <f t="shared" si="37"/>
        <v/>
      </c>
      <c r="O199" s="103" t="str">
        <f t="shared" si="38"/>
        <v/>
      </c>
      <c r="P199" s="53">
        <v>0</v>
      </c>
      <c r="Q199" s="102" t="str">
        <f t="shared" si="39"/>
        <v/>
      </c>
      <c r="R199" s="103" t="str">
        <f t="shared" si="40"/>
        <v/>
      </c>
      <c r="S199" s="53">
        <v>0</v>
      </c>
      <c r="T199" s="102" t="str">
        <f t="shared" si="41"/>
        <v/>
      </c>
      <c r="U199" s="103" t="str">
        <f t="shared" si="42"/>
        <v/>
      </c>
      <c r="V199" s="53">
        <v>0</v>
      </c>
      <c r="W199" s="87" t="str">
        <f t="shared" si="43"/>
        <v/>
      </c>
      <c r="X199" s="103" t="str">
        <f t="shared" si="44"/>
        <v/>
      </c>
      <c r="Y199" s="53">
        <v>0</v>
      </c>
      <c r="Z199" s="56" t="str">
        <f t="shared" si="45"/>
        <v/>
      </c>
      <c r="AA199" s="56" t="str">
        <f t="shared" si="46"/>
        <v/>
      </c>
      <c r="AB199" s="56" t="str">
        <f t="shared" si="47"/>
        <v/>
      </c>
      <c r="AC199" s="56" t="str">
        <f t="shared" si="48"/>
        <v/>
      </c>
      <c r="AD199" s="56" t="str">
        <f t="shared" si="49"/>
        <v/>
      </c>
      <c r="AE199" s="40"/>
      <c r="AF199" s="40"/>
      <c r="AG199" s="40"/>
      <c r="AH199" s="56" t="str">
        <f t="shared" si="50"/>
        <v/>
      </c>
      <c r="AI199" s="54"/>
      <c r="AJ199" s="54"/>
      <c r="AK199" s="54"/>
      <c r="AL199" s="54"/>
      <c r="AM199" s="54"/>
    </row>
    <row r="200" spans="1:39">
      <c r="A200" s="95"/>
      <c r="B200" s="45" t="str" cm="1">
        <f t="array" ref="B200">IF(H200="PROJECT", CHAR(10) &amp; "- " &amp; _xlfn.TEXTJOIN(CHAR(10) &amp; "- ", TRUE, _xlfn._xlws.FILTER($I$9:$I$1000, ($C$9:$C$1000=C200) * ($H$9:$H$1000="Topic"))), "")</f>
        <v/>
      </c>
      <c r="C200" s="45">
        <f t="shared" si="34"/>
        <v>168</v>
      </c>
      <c r="D200" s="68"/>
      <c r="E200" s="58"/>
      <c r="F200" s="54"/>
      <c r="G200" s="69"/>
      <c r="H200" s="69"/>
      <c r="I200" s="70"/>
      <c r="J200" s="71"/>
      <c r="K200" s="120" t="str">
        <f t="shared" si="35"/>
        <v/>
      </c>
      <c r="L200" s="103" t="str">
        <f t="shared" si="36"/>
        <v/>
      </c>
      <c r="M200" s="69">
        <v>0</v>
      </c>
      <c r="N200" s="102" t="str">
        <f t="shared" si="37"/>
        <v/>
      </c>
      <c r="O200" s="103" t="str">
        <f t="shared" si="38"/>
        <v/>
      </c>
      <c r="P200" s="69">
        <v>0</v>
      </c>
      <c r="Q200" s="102" t="str">
        <f t="shared" si="39"/>
        <v/>
      </c>
      <c r="R200" s="103" t="str">
        <f t="shared" si="40"/>
        <v/>
      </c>
      <c r="S200" s="69">
        <v>0</v>
      </c>
      <c r="T200" s="102" t="str">
        <f t="shared" si="41"/>
        <v/>
      </c>
      <c r="U200" s="103" t="str">
        <f t="shared" si="42"/>
        <v/>
      </c>
      <c r="V200" s="69">
        <v>0</v>
      </c>
      <c r="W200" s="87" t="str">
        <f t="shared" si="43"/>
        <v/>
      </c>
      <c r="X200" s="103" t="str">
        <f t="shared" si="44"/>
        <v/>
      </c>
      <c r="Y200" s="69">
        <v>0</v>
      </c>
      <c r="Z200" s="56" t="str">
        <f t="shared" si="45"/>
        <v/>
      </c>
      <c r="AA200" s="56" t="str">
        <f t="shared" si="46"/>
        <v/>
      </c>
      <c r="AB200" s="56" t="str">
        <f t="shared" si="47"/>
        <v/>
      </c>
      <c r="AC200" s="56" t="str">
        <f t="shared" si="48"/>
        <v/>
      </c>
      <c r="AD200" s="56" t="str">
        <f t="shared" si="49"/>
        <v/>
      </c>
      <c r="AE200" s="40"/>
      <c r="AF200" s="40"/>
      <c r="AG200" s="40"/>
      <c r="AH200" s="56" t="str">
        <f t="shared" si="50"/>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9"/>
  <sheetViews>
    <sheetView topLeftCell="A37" workbookViewId="0">
      <selection activeCell="E59" sqref="E59"/>
    </sheetView>
  </sheetViews>
  <sheetFormatPr defaultRowHeight="15"/>
  <cols>
    <col min="3" max="3" width="34.7109375" bestFit="1" customWidth="1"/>
    <col min="4" max="4" width="33.42578125" bestFit="1" customWidth="1"/>
    <col min="5" max="5" width="66.7109375" bestFit="1" customWidth="1"/>
  </cols>
  <sheetData>
    <row r="1" spans="1:5" ht="26.25">
      <c r="C1" s="123" t="s">
        <v>8</v>
      </c>
      <c r="D1" s="124" t="str">
        <f>PromptGenerator!I2</f>
        <v>Elixir OTP</v>
      </c>
    </row>
    <row r="2" spans="1:5" ht="26.25">
      <c r="C2" s="123" t="s">
        <v>275</v>
      </c>
      <c r="D2" s="124" t="str">
        <f>IF(PromptGenerator!I3="","",PromptGenerator!I3)</f>
        <v/>
      </c>
    </row>
    <row r="5" spans="1:5">
      <c r="A5" s="125" t="s">
        <v>668</v>
      </c>
      <c r="B5" s="125" t="s">
        <v>25</v>
      </c>
      <c r="C5" s="125" t="s">
        <v>596</v>
      </c>
      <c r="D5" s="125" t="s">
        <v>642</v>
      </c>
      <c r="E5" s="125" t="s">
        <v>641</v>
      </c>
    </row>
    <row r="6" spans="1:5">
      <c r="A6" s="126" t="s">
        <v>0</v>
      </c>
      <c r="B6" t="s">
        <v>50</v>
      </c>
      <c r="C6" t="s">
        <v>229</v>
      </c>
      <c r="D6" t="s">
        <v>626</v>
      </c>
      <c r="E6" s="121" t="s">
        <v>707</v>
      </c>
    </row>
    <row r="7" spans="1:5">
      <c r="A7" s="126" t="s">
        <v>0</v>
      </c>
      <c r="B7" t="s">
        <v>50</v>
      </c>
      <c r="C7" t="s">
        <v>229</v>
      </c>
      <c r="D7" t="s">
        <v>234</v>
      </c>
      <c r="E7" s="122"/>
    </row>
    <row r="8" spans="1:5">
      <c r="A8" s="126" t="s">
        <v>0</v>
      </c>
      <c r="B8" t="s">
        <v>50</v>
      </c>
      <c r="C8" t="s">
        <v>229</v>
      </c>
      <c r="D8" t="s">
        <v>627</v>
      </c>
      <c r="E8" t="s">
        <v>708</v>
      </c>
    </row>
    <row r="9" spans="1:5">
      <c r="A9" s="126" t="s">
        <v>0</v>
      </c>
      <c r="B9" t="s">
        <v>50</v>
      </c>
      <c r="C9" t="s">
        <v>229</v>
      </c>
      <c r="D9" t="s">
        <v>628</v>
      </c>
      <c r="E9" t="s">
        <v>709</v>
      </c>
    </row>
    <row r="10" spans="1:5">
      <c r="A10" s="126" t="s">
        <v>0</v>
      </c>
      <c r="B10" t="s">
        <v>50</v>
      </c>
      <c r="C10" t="s">
        <v>183</v>
      </c>
      <c r="D10" t="s">
        <v>629</v>
      </c>
      <c r="E10" s="121" t="s">
        <v>710</v>
      </c>
    </row>
    <row r="11" spans="1:5">
      <c r="A11" s="126" t="s">
        <v>0</v>
      </c>
      <c r="B11" t="s">
        <v>50</v>
      </c>
      <c r="C11" t="s">
        <v>183</v>
      </c>
      <c r="D11" t="s">
        <v>630</v>
      </c>
      <c r="E11" t="s">
        <v>711</v>
      </c>
    </row>
    <row r="12" spans="1:5">
      <c r="A12" s="126" t="s">
        <v>0</v>
      </c>
      <c r="B12" t="s">
        <v>50</v>
      </c>
      <c r="C12" t="s">
        <v>183</v>
      </c>
      <c r="D12" t="s">
        <v>631</v>
      </c>
      <c r="E12" s="121" t="s">
        <v>712</v>
      </c>
    </row>
    <row r="13" spans="1:5">
      <c r="A13" s="126" t="s">
        <v>0</v>
      </c>
      <c r="B13" t="s">
        <v>50</v>
      </c>
      <c r="C13" t="s">
        <v>632</v>
      </c>
      <c r="D13" t="s">
        <v>633</v>
      </c>
      <c r="E13" t="s">
        <v>713</v>
      </c>
    </row>
    <row r="14" spans="1:5">
      <c r="A14" s="126" t="s">
        <v>0</v>
      </c>
      <c r="B14" t="s">
        <v>50</v>
      </c>
      <c r="C14" t="s">
        <v>632</v>
      </c>
      <c r="D14" t="s">
        <v>634</v>
      </c>
      <c r="E14" t="s">
        <v>714</v>
      </c>
    </row>
    <row r="15" spans="1:5">
      <c r="A15" s="126" t="s">
        <v>0</v>
      </c>
      <c r="B15" t="s">
        <v>50</v>
      </c>
      <c r="C15" t="s">
        <v>622</v>
      </c>
      <c r="D15" t="s">
        <v>635</v>
      </c>
      <c r="E15" t="s">
        <v>715</v>
      </c>
    </row>
    <row r="16" spans="1:5">
      <c r="A16" s="126" t="s">
        <v>0</v>
      </c>
      <c r="B16" t="s">
        <v>50</v>
      </c>
      <c r="C16" t="s">
        <v>622</v>
      </c>
      <c r="D16" t="s">
        <v>636</v>
      </c>
      <c r="E16" t="s">
        <v>716</v>
      </c>
    </row>
    <row r="17" spans="1:5">
      <c r="A17" s="126" t="s">
        <v>0</v>
      </c>
      <c r="B17" t="s">
        <v>50</v>
      </c>
      <c r="C17" t="s">
        <v>623</v>
      </c>
      <c r="D17" t="s">
        <v>637</v>
      </c>
      <c r="E17" t="s">
        <v>814</v>
      </c>
    </row>
    <row r="18" spans="1:5">
      <c r="A18" s="126" t="s">
        <v>0</v>
      </c>
      <c r="B18" t="s">
        <v>50</v>
      </c>
      <c r="C18" t="s">
        <v>624</v>
      </c>
      <c r="D18" t="s">
        <v>638</v>
      </c>
      <c r="E18" t="s">
        <v>717</v>
      </c>
    </row>
    <row r="19" spans="1:5">
      <c r="A19" s="126" t="s">
        <v>0</v>
      </c>
      <c r="B19" t="s">
        <v>50</v>
      </c>
      <c r="C19" t="s">
        <v>624</v>
      </c>
      <c r="D19" t="s">
        <v>639</v>
      </c>
      <c r="E19" t="s">
        <v>718</v>
      </c>
    </row>
    <row r="20" spans="1:5">
      <c r="A20" s="126" t="s">
        <v>0</v>
      </c>
      <c r="B20" t="s">
        <v>50</v>
      </c>
      <c r="C20" t="s">
        <v>624</v>
      </c>
      <c r="D20" t="s">
        <v>640</v>
      </c>
      <c r="E20" t="s">
        <v>719</v>
      </c>
    </row>
    <row r="21" spans="1:5">
      <c r="A21" s="126" t="s">
        <v>0</v>
      </c>
      <c r="B21" t="s">
        <v>643</v>
      </c>
      <c r="C21" t="s">
        <v>645</v>
      </c>
      <c r="D21" t="s">
        <v>646</v>
      </c>
      <c r="E21" t="s">
        <v>720</v>
      </c>
    </row>
    <row r="22" spans="1:5">
      <c r="A22" s="126" t="s">
        <v>0</v>
      </c>
      <c r="B22" t="s">
        <v>643</v>
      </c>
      <c r="C22" t="s">
        <v>645</v>
      </c>
      <c r="D22" t="s">
        <v>648</v>
      </c>
      <c r="E22" t="s">
        <v>721</v>
      </c>
    </row>
    <row r="23" spans="1:5">
      <c r="A23" s="126" t="s">
        <v>0</v>
      </c>
      <c r="B23" t="s">
        <v>643</v>
      </c>
      <c r="C23" t="s">
        <v>645</v>
      </c>
      <c r="D23" t="s">
        <v>649</v>
      </c>
      <c r="E23" t="s">
        <v>647</v>
      </c>
    </row>
    <row r="24" spans="1:5">
      <c r="A24" s="126" t="s">
        <v>0</v>
      </c>
      <c r="B24" t="s">
        <v>625</v>
      </c>
      <c r="C24" t="s">
        <v>650</v>
      </c>
      <c r="D24" t="s">
        <v>49</v>
      </c>
      <c r="E24" t="s">
        <v>722</v>
      </c>
    </row>
    <row r="25" spans="1:5">
      <c r="A25" s="126" t="s">
        <v>0</v>
      </c>
      <c r="B25" t="s">
        <v>625</v>
      </c>
      <c r="C25" t="s">
        <v>650</v>
      </c>
      <c r="D25" t="s">
        <v>161</v>
      </c>
      <c r="E25" t="s">
        <v>723</v>
      </c>
    </row>
    <row r="26" spans="1:5">
      <c r="A26" s="126" t="s">
        <v>0</v>
      </c>
      <c r="B26" t="s">
        <v>625</v>
      </c>
      <c r="C26" t="s">
        <v>650</v>
      </c>
      <c r="D26" t="s">
        <v>162</v>
      </c>
      <c r="E26" t="s">
        <v>724</v>
      </c>
    </row>
    <row r="27" spans="1:5">
      <c r="A27" s="126" t="s">
        <v>0</v>
      </c>
      <c r="B27" t="s">
        <v>625</v>
      </c>
      <c r="C27" t="s">
        <v>651</v>
      </c>
      <c r="D27" t="s">
        <v>652</v>
      </c>
      <c r="E27" t="s">
        <v>725</v>
      </c>
    </row>
    <row r="28" spans="1:5">
      <c r="A28" s="126" t="s">
        <v>0</v>
      </c>
      <c r="B28" t="s">
        <v>625</v>
      </c>
      <c r="C28" t="s">
        <v>651</v>
      </c>
      <c r="D28" t="s">
        <v>653</v>
      </c>
      <c r="E28" t="s">
        <v>726</v>
      </c>
    </row>
    <row r="29" spans="1:5">
      <c r="A29" s="126" t="s">
        <v>0</v>
      </c>
      <c r="B29" t="s">
        <v>625</v>
      </c>
      <c r="C29" t="s">
        <v>651</v>
      </c>
      <c r="D29" t="s">
        <v>654</v>
      </c>
      <c r="E29" t="s">
        <v>727</v>
      </c>
    </row>
    <row r="30" spans="1:5">
      <c r="A30" s="126" t="s">
        <v>0</v>
      </c>
      <c r="B30" t="s">
        <v>625</v>
      </c>
      <c r="C30" t="s">
        <v>651</v>
      </c>
      <c r="D30" t="s">
        <v>655</v>
      </c>
      <c r="E30" t="s">
        <v>728</v>
      </c>
    </row>
    <row r="31" spans="1:5">
      <c r="A31" s="127" t="s">
        <v>280</v>
      </c>
      <c r="B31" t="s">
        <v>50</v>
      </c>
      <c r="C31" t="s">
        <v>656</v>
      </c>
      <c r="D31" t="s">
        <v>657</v>
      </c>
      <c r="E31" t="s">
        <v>729</v>
      </c>
    </row>
    <row r="32" spans="1:5">
      <c r="A32" s="127" t="s">
        <v>280</v>
      </c>
      <c r="B32" t="s">
        <v>50</v>
      </c>
      <c r="C32" t="s">
        <v>656</v>
      </c>
      <c r="D32" t="s">
        <v>658</v>
      </c>
      <c r="E32" t="s">
        <v>730</v>
      </c>
    </row>
    <row r="33" spans="1:5">
      <c r="A33" s="127" t="s">
        <v>280</v>
      </c>
      <c r="B33" t="s">
        <v>50</v>
      </c>
      <c r="C33" t="s">
        <v>656</v>
      </c>
      <c r="D33" t="s">
        <v>659</v>
      </c>
      <c r="E33" t="s">
        <v>731</v>
      </c>
    </row>
    <row r="34" spans="1:5">
      <c r="A34" s="127" t="s">
        <v>280</v>
      </c>
      <c r="B34" t="s">
        <v>50</v>
      </c>
      <c r="C34" t="s">
        <v>660</v>
      </c>
      <c r="D34" t="s">
        <v>661</v>
      </c>
      <c r="E34" t="s">
        <v>732</v>
      </c>
    </row>
    <row r="35" spans="1:5">
      <c r="A35" s="127" t="s">
        <v>280</v>
      </c>
      <c r="B35" t="s">
        <v>50</v>
      </c>
      <c r="C35" t="s">
        <v>662</v>
      </c>
      <c r="D35" t="s">
        <v>663</v>
      </c>
      <c r="E35" t="s">
        <v>733</v>
      </c>
    </row>
    <row r="36" spans="1:5">
      <c r="A36" s="127" t="s">
        <v>280</v>
      </c>
      <c r="B36" t="s">
        <v>50</v>
      </c>
      <c r="C36" t="s">
        <v>664</v>
      </c>
      <c r="D36" t="s">
        <v>665</v>
      </c>
      <c r="E36" t="s">
        <v>734</v>
      </c>
    </row>
    <row r="37" spans="1:5">
      <c r="A37" s="127" t="s">
        <v>280</v>
      </c>
      <c r="B37" t="s">
        <v>50</v>
      </c>
      <c r="C37" t="s">
        <v>664</v>
      </c>
      <c r="D37" t="s">
        <v>666</v>
      </c>
      <c r="E37" t="s">
        <v>735</v>
      </c>
    </row>
    <row r="38" spans="1:5">
      <c r="A38" s="127" t="s">
        <v>280</v>
      </c>
      <c r="B38" t="s">
        <v>50</v>
      </c>
      <c r="C38" t="s">
        <v>664</v>
      </c>
      <c r="D38" t="s">
        <v>667</v>
      </c>
      <c r="E38" t="s">
        <v>736</v>
      </c>
    </row>
    <row r="39" spans="1:5">
      <c r="A39" s="127" t="s">
        <v>280</v>
      </c>
      <c r="B39" t="s">
        <v>643</v>
      </c>
      <c r="C39" t="s">
        <v>669</v>
      </c>
      <c r="D39" t="s">
        <v>670</v>
      </c>
      <c r="E39" t="s">
        <v>737</v>
      </c>
    </row>
    <row r="40" spans="1:5">
      <c r="A40" s="127" t="s">
        <v>280</v>
      </c>
      <c r="B40" t="s">
        <v>643</v>
      </c>
      <c r="C40" t="s">
        <v>669</v>
      </c>
      <c r="D40" t="s">
        <v>671</v>
      </c>
      <c r="E40" t="s">
        <v>738</v>
      </c>
    </row>
    <row r="41" spans="1:5">
      <c r="A41" s="127" t="s">
        <v>280</v>
      </c>
      <c r="B41" t="s">
        <v>643</v>
      </c>
      <c r="C41" t="s">
        <v>669</v>
      </c>
      <c r="D41" t="s">
        <v>672</v>
      </c>
      <c r="E41" t="s">
        <v>739</v>
      </c>
    </row>
    <row r="42" spans="1:5">
      <c r="A42" s="127" t="s">
        <v>280</v>
      </c>
      <c r="B42" t="s">
        <v>643</v>
      </c>
      <c r="C42" t="s">
        <v>669</v>
      </c>
      <c r="D42" t="s">
        <v>673</v>
      </c>
      <c r="E42" t="s">
        <v>740</v>
      </c>
    </row>
    <row r="43" spans="1:5">
      <c r="A43" s="127" t="s">
        <v>280</v>
      </c>
      <c r="B43" t="s">
        <v>625</v>
      </c>
      <c r="C43" t="s">
        <v>674</v>
      </c>
      <c r="D43" t="s">
        <v>675</v>
      </c>
      <c r="E43" t="s">
        <v>741</v>
      </c>
    </row>
    <row r="44" spans="1:5">
      <c r="A44" s="127" t="s">
        <v>280</v>
      </c>
      <c r="B44" t="s">
        <v>625</v>
      </c>
      <c r="C44" t="s">
        <v>674</v>
      </c>
      <c r="D44" t="s">
        <v>676</v>
      </c>
      <c r="E44" t="s">
        <v>742</v>
      </c>
    </row>
    <row r="45" spans="1:5">
      <c r="A45" s="127" t="s">
        <v>280</v>
      </c>
      <c r="B45" t="s">
        <v>625</v>
      </c>
      <c r="C45" t="s">
        <v>674</v>
      </c>
      <c r="D45" t="s">
        <v>677</v>
      </c>
      <c r="E45" t="s">
        <v>743</v>
      </c>
    </row>
    <row r="46" spans="1:5">
      <c r="A46" s="127" t="s">
        <v>280</v>
      </c>
      <c r="B46" t="s">
        <v>625</v>
      </c>
      <c r="C46" t="s">
        <v>674</v>
      </c>
      <c r="D46" t="s">
        <v>678</v>
      </c>
      <c r="E46" t="s">
        <v>744</v>
      </c>
    </row>
    <row r="47" spans="1:5">
      <c r="A47" s="128" t="s">
        <v>351</v>
      </c>
      <c r="B47" t="s">
        <v>50</v>
      </c>
      <c r="C47" t="s">
        <v>662</v>
      </c>
      <c r="D47" t="s">
        <v>680</v>
      </c>
      <c r="E47" t="s">
        <v>745</v>
      </c>
    </row>
    <row r="48" spans="1:5">
      <c r="A48" s="128" t="s">
        <v>351</v>
      </c>
      <c r="B48" t="s">
        <v>50</v>
      </c>
      <c r="C48" t="s">
        <v>660</v>
      </c>
      <c r="D48" t="s">
        <v>681</v>
      </c>
      <c r="E48" t="s">
        <v>746</v>
      </c>
    </row>
    <row r="49" spans="1:5">
      <c r="A49" s="128" t="s">
        <v>351</v>
      </c>
      <c r="B49" t="s">
        <v>50</v>
      </c>
      <c r="C49" t="s">
        <v>664</v>
      </c>
      <c r="D49" t="s">
        <v>682</v>
      </c>
      <c r="E49" t="s">
        <v>747</v>
      </c>
    </row>
    <row r="50" spans="1:5">
      <c r="A50" s="128" t="s">
        <v>351</v>
      </c>
      <c r="B50" t="s">
        <v>50</v>
      </c>
      <c r="C50" t="s">
        <v>664</v>
      </c>
      <c r="D50" t="s">
        <v>683</v>
      </c>
      <c r="E50" t="s">
        <v>748</v>
      </c>
    </row>
    <row r="51" spans="1:5">
      <c r="A51" s="128" t="s">
        <v>351</v>
      </c>
      <c r="B51" t="s">
        <v>643</v>
      </c>
      <c r="C51" t="s">
        <v>684</v>
      </c>
      <c r="D51" t="s">
        <v>687</v>
      </c>
      <c r="E51" t="s">
        <v>749</v>
      </c>
    </row>
    <row r="52" spans="1:5">
      <c r="A52" s="128" t="s">
        <v>351</v>
      </c>
      <c r="B52" t="s">
        <v>643</v>
      </c>
      <c r="C52" t="s">
        <v>686</v>
      </c>
      <c r="D52" t="s">
        <v>688</v>
      </c>
      <c r="E52" t="s">
        <v>689</v>
      </c>
    </row>
    <row r="53" spans="1:5">
      <c r="A53" s="128" t="s">
        <v>351</v>
      </c>
      <c r="B53" t="s">
        <v>643</v>
      </c>
      <c r="C53" t="s">
        <v>686</v>
      </c>
      <c r="D53" t="s">
        <v>690</v>
      </c>
      <c r="E53" t="s">
        <v>750</v>
      </c>
    </row>
    <row r="54" spans="1:5">
      <c r="A54" s="128" t="s">
        <v>351</v>
      </c>
      <c r="B54" t="s">
        <v>625</v>
      </c>
      <c r="C54" t="s">
        <v>674</v>
      </c>
      <c r="D54" t="s">
        <v>691</v>
      </c>
      <c r="E54" t="s">
        <v>751</v>
      </c>
    </row>
    <row r="55" spans="1:5">
      <c r="A55" s="128" t="s">
        <v>351</v>
      </c>
      <c r="B55" t="s">
        <v>625</v>
      </c>
      <c r="C55" t="s">
        <v>674</v>
      </c>
      <c r="D55" t="s">
        <v>676</v>
      </c>
      <c r="E55" t="s">
        <v>752</v>
      </c>
    </row>
    <row r="56" spans="1:5">
      <c r="A56" s="128" t="s">
        <v>351</v>
      </c>
      <c r="B56" t="s">
        <v>625</v>
      </c>
      <c r="C56" t="s">
        <v>674</v>
      </c>
      <c r="D56" t="s">
        <v>692</v>
      </c>
      <c r="E56" t="s">
        <v>753</v>
      </c>
    </row>
    <row r="57" spans="1:5">
      <c r="A57" s="128" t="s">
        <v>351</v>
      </c>
      <c r="B57" t="s">
        <v>625</v>
      </c>
      <c r="C57" t="s">
        <v>674</v>
      </c>
      <c r="D57" t="s">
        <v>693</v>
      </c>
      <c r="E57" t="s">
        <v>754</v>
      </c>
    </row>
    <row r="58" spans="1:5">
      <c r="A58" s="122" t="s">
        <v>428</v>
      </c>
      <c r="B58" t="s">
        <v>625</v>
      </c>
      <c r="C58" t="s">
        <v>697</v>
      </c>
      <c r="D58" t="s">
        <v>698</v>
      </c>
      <c r="E58" t="s">
        <v>755</v>
      </c>
    </row>
    <row r="59" spans="1:5">
      <c r="A59" s="129" t="s">
        <v>466</v>
      </c>
      <c r="B59" t="s">
        <v>625</v>
      </c>
      <c r="C59" t="s">
        <v>697</v>
      </c>
      <c r="D59" t="s">
        <v>698</v>
      </c>
      <c r="E59" t="s">
        <v>756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B2:AD104"/>
  <sheetViews>
    <sheetView showGridLines="0" zoomScaleNormal="100" workbookViewId="0"/>
  </sheetViews>
  <sheetFormatPr defaultRowHeight="15"/>
  <cols>
    <col min="1" max="1" width="5.42578125" customWidth="1"/>
    <col min="2" max="2" width="35.85546875" customWidth="1"/>
    <col min="3" max="3" width="33" customWidth="1"/>
    <col min="4" max="4" width="85.28515625" customWidth="1"/>
    <col min="5" max="5" width="26.28515625" customWidth="1"/>
    <col min="6" max="6" width="39.5703125" style="85" customWidth="1"/>
    <col min="7" max="7" width="4" customWidth="1"/>
  </cols>
  <sheetData>
    <row r="2" spans="2:30" ht="36">
      <c r="B2" s="78" t="s">
        <v>464</v>
      </c>
      <c r="D2" s="81" t="s">
        <v>0</v>
      </c>
      <c r="E2" s="81"/>
      <c r="I2" s="82"/>
      <c r="U2" s="82"/>
    </row>
    <row r="3" spans="2:30">
      <c r="B3" s="76" t="s">
        <v>225</v>
      </c>
      <c r="C3" s="76" t="s">
        <v>596</v>
      </c>
      <c r="D3" s="76" t="s">
        <v>597</v>
      </c>
      <c r="E3" s="76"/>
      <c r="F3" s="88" t="s">
        <v>233</v>
      </c>
      <c r="G3" s="4" t="s">
        <v>228</v>
      </c>
      <c r="AD3" t="s">
        <v>228</v>
      </c>
    </row>
    <row r="4" spans="2:30">
      <c r="B4" s="75" t="s">
        <v>226</v>
      </c>
      <c r="C4" s="54" t="s">
        <v>163</v>
      </c>
      <c r="D4" s="94" t="s">
        <v>164</v>
      </c>
      <c r="E4" s="94"/>
      <c r="F4" s="77" t="str">
        <f t="shared" ref="F4:F48" si="0">IF(D4="","",""""&amp;C4&amp;" "&amp;IF(C4="[FOOTER RULE - STRICT]",D4,IF(RIGHT(D4,6)=" | "&amp;CHAR(34)&amp;" &amp;",D4,D4&amp;" | "&amp;CHAR(34)&amp;" &amp;")))</f>
        <v>"[ROLE] Friendly tutor specializing in " &amp; $I$2 &amp; " | " &amp;</v>
      </c>
      <c r="G4" s="54" t="s">
        <v>228</v>
      </c>
    </row>
    <row r="5" spans="2:30">
      <c r="B5" s="75" t="s">
        <v>226</v>
      </c>
      <c r="C5" s="54" t="s">
        <v>167</v>
      </c>
      <c r="D5" s="94" t="s">
        <v>168</v>
      </c>
      <c r="E5" s="94"/>
      <c r="F5" s="77" t="str">
        <f t="shared" si="0"/>
        <v>"[TOPIC] " &amp; I9 &amp; " | " &amp;</v>
      </c>
      <c r="G5" s="54" t="s">
        <v>228</v>
      </c>
    </row>
    <row r="6" spans="2:30">
      <c r="B6" s="75" t="s">
        <v>226</v>
      </c>
      <c r="C6" s="54" t="s">
        <v>169</v>
      </c>
      <c r="D6" s="94" t="s">
        <v>170</v>
      </c>
      <c r="E6" s="94"/>
      <c r="F6" s="77" t="str">
        <f t="shared" si="0"/>
        <v>"[LEVEL] " &amp; G9 &amp; " | " &amp;</v>
      </c>
      <c r="G6" s="54" t="s">
        <v>228</v>
      </c>
    </row>
    <row r="7" spans="2:30">
      <c r="B7" s="75" t="s">
        <v>226</v>
      </c>
      <c r="C7" s="54" t="s">
        <v>171</v>
      </c>
      <c r="D7" s="94" t="s">
        <v>172</v>
      </c>
      <c r="E7" s="94"/>
      <c r="F7" s="77" t="str">
        <f t="shared" si="0"/>
        <v>"[COUNT] " &amp; D9 &amp; " examples | " &amp;</v>
      </c>
      <c r="G7" s="54" t="s">
        <v>228</v>
      </c>
    </row>
    <row r="8" spans="2:30">
      <c r="B8" s="75" t="s">
        <v>226</v>
      </c>
      <c r="C8" s="54" t="s">
        <v>234</v>
      </c>
      <c r="D8" s="94" t="s">
        <v>276</v>
      </c>
      <c r="E8" s="94"/>
      <c r="F8" s="77" t="str">
        <f t="shared" si="0"/>
        <v>"[LIBRARY BEING LEARNED] " &amp; $I$3 &amp; " | " &amp;</v>
      </c>
      <c r="G8" s="54" t="s">
        <v>228</v>
      </c>
    </row>
    <row r="9" spans="2:30">
      <c r="B9" s="75" t="s">
        <v>226</v>
      </c>
      <c r="C9" s="32" t="s">
        <v>229</v>
      </c>
      <c r="D9" s="94" t="str">
        <f>"If a module or ecosystem like "&amp; Variables!E6 &amp;" is specified in "&amp; Variables!E7 &amp;", you are CRITICALLY FORBIDDEN from using "&amp; Variables!E8 &amp;". You MUST enforce the "&amp; Variables!E9 &amp;" and data structures of that specific library."</f>
        <v>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v>
      </c>
      <c r="E9" s="94"/>
      <c r="F9" s="77" t="str">
        <f t="shared" si="0"/>
        <v>"[ECOSYSTEM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v>
      </c>
      <c r="G9" s="54" t="s">
        <v>228</v>
      </c>
    </row>
    <row r="10" spans="2:30">
      <c r="B10" s="75" t="s">
        <v>226</v>
      </c>
      <c r="C10" s="54" t="s">
        <v>175</v>
      </c>
      <c r="D10" s="94" t="s">
        <v>176</v>
      </c>
      <c r="E10" s="94"/>
      <c r="F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G10" s="54" t="s">
        <v>228</v>
      </c>
    </row>
    <row r="11" spans="2:30">
      <c r="B11" s="75" t="s">
        <v>226</v>
      </c>
      <c r="C11" s="54" t="s">
        <v>508</v>
      </c>
      <c r="D11" s="94" t="s">
        <v>500</v>
      </c>
      <c r="E11" s="94"/>
      <c r="F11" s="77" t="str">
        <f t="shared" si="0"/>
        <v>"[LANGUAGE SEED CONTEXT] " &amp; IF($AE$7 = "", "Language Seed Not Necessary", "You MUST strictly follow this seed context to enhance, adapt, and naturalize your tone, vocabulary, and instructional quality in " &amp; $B$6 &amp; ": " &amp; $AE$7) &amp; " | " &amp;</v>
      </c>
      <c r="G11" s="54" t="s">
        <v>228</v>
      </c>
    </row>
    <row r="12" spans="2:30">
      <c r="B12" s="75" t="s">
        <v>226</v>
      </c>
      <c r="C12" s="54" t="s">
        <v>222</v>
      </c>
      <c r="D12" s="94" t="s">
        <v>223</v>
      </c>
      <c r="E12" s="94"/>
      <c r="F12" s="77" t="str">
        <f t="shared" si="0"/>
        <v>"[LANGUAGE] " &amp; $B$6 &amp; " | " &amp;</v>
      </c>
      <c r="G12" s="54" t="s">
        <v>228</v>
      </c>
    </row>
    <row r="13" spans="2:30">
      <c r="B13" s="75" t="s">
        <v>226</v>
      </c>
      <c r="C13" s="54" t="s">
        <v>237</v>
      </c>
      <c r="D13" s="94" t="s">
        <v>238</v>
      </c>
      <c r="E13" s="94"/>
      <c r="F13" s="77" t="str">
        <f t="shared" si="0"/>
        <v>"[EXECUTIVE CONSTRAINTS] Each example MUST include: - Internal data OR dataset usage - Print key intermediate steps and the final result - MUST NOT exceed exactly " &amp; $A9 &amp; " lines of EXECUTABLE code (STRICT: Do NOT count comments or blank lines). - NEVER exceed this limit. | " &amp;</v>
      </c>
      <c r="G13" s="54" t="s">
        <v>228</v>
      </c>
    </row>
    <row r="14" spans="2:30">
      <c r="B14" s="75" t="s">
        <v>226</v>
      </c>
      <c r="C14" s="32" t="s">
        <v>183</v>
      </c>
      <c r="D14" s="94" t="str">
        <f>"Rule: " &amp; CHAR(34) &amp; " &amp; IF(G9=" &amp; CHAR(34) &amp; "Beginner" &amp; CHAR(34) &amp; "," &amp; CHAR(34) &amp; Variables!E10 &amp; CHAR(34) &amp; ", IF(G9=" &amp; CHAR(34) &amp; "Intermediate" &amp; CHAR(34) &amp; ", " &amp; CHAR(34) &amp; Variables!E11 &amp; CHAR(34) &amp; ", " &amp; CHAR(34) &amp; Variables!E13 &amp; CHAR(34) &amp; ")) &amp; " &amp; CHAR(34) &amp; " | " &amp; CHAR(34) &amp; " &amp;"</f>
        <v>Rule: " &amp; IF(G9="Beginner","Focus on basic GenServer implementations with simple init/1 and synchronous handle_call/3 callbacks.", IF(G9="Intermediate", "Integrate GenServer within a Supervisor tree. Use asynchronous handle_cast/2 and explicit state transitions.", "stateful GenServer state or external message passing")) &amp; " | " &amp;</v>
      </c>
      <c r="E14" s="94"/>
      <c r="F14" s="77" t="str">
        <f t="shared" si="0"/>
        <v>"[FUNCTION RULE] Rule: " &amp; IF(G9="Beginner","Focus on basic GenServer implementations with simple init/1 and synchronous handle_call/3 callbacks.", IF(G9="Intermediate", "Integrate GenServer within a Supervisor tree. Use asynchronous handle_cast/2 and explicit state transitions.", "stateful GenServer state or external message passing")) &amp; " | " &amp;</v>
      </c>
      <c r="G14" s="54" t="s">
        <v>228</v>
      </c>
    </row>
    <row r="15" spans="2:30">
      <c r="B15" s="83" t="s">
        <v>227</v>
      </c>
      <c r="C15" s="54" t="s">
        <v>236</v>
      </c>
      <c r="D15" s="94"/>
      <c r="E15" s="94"/>
      <c r="F15" s="77" t="str">
        <f t="shared" si="0"/>
        <v/>
      </c>
      <c r="G15" s="54" t="s">
        <v>228</v>
      </c>
    </row>
    <row r="16" spans="2:30">
      <c r="B16" s="83" t="s">
        <v>227</v>
      </c>
      <c r="C16" s="54" t="s">
        <v>236</v>
      </c>
      <c r="D16" s="94"/>
      <c r="E16" s="94"/>
      <c r="F16" s="77" t="str">
        <f t="shared" si="0"/>
        <v/>
      </c>
      <c r="G16" s="54" t="s">
        <v>228</v>
      </c>
    </row>
    <row r="17" spans="2:7">
      <c r="B17" s="83" t="s">
        <v>227</v>
      </c>
      <c r="C17" s="54" t="s">
        <v>236</v>
      </c>
      <c r="D17" s="94"/>
      <c r="E17" s="94"/>
      <c r="F17" s="77" t="str">
        <f t="shared" si="0"/>
        <v/>
      </c>
      <c r="G17" s="54" t="s">
        <v>228</v>
      </c>
    </row>
    <row r="18" spans="2:7">
      <c r="B18" s="83" t="s">
        <v>227</v>
      </c>
      <c r="C18" s="32" t="s">
        <v>632</v>
      </c>
      <c r="D18" s="94" t="str">
        <f>"Each example MUST: - Use " &amp; Variables!E13 &amp; " - Print steps &amp; result via " &amp; Variables!E14 &amp; " - MAX " &amp; CHAR(34) &amp; " &amp; $A9 &amp; " &amp; CHAR(34) &amp; " executable lines (comments/blanks excluded) - NEVER exceed limit. | " &amp; CHAR(34) &amp; " &amp;"</f>
        <v>Each example MUST: - Use stateful GenServer state or external message passing - Print steps &amp; result via Logger.info/debug or IO.inspect inside isolated process callbacks - MAX " &amp; $A9 &amp; " executable lines (comments/blanks excluded) - NEVER exceed limit. | " &amp;</v>
      </c>
      <c r="E18" s="94"/>
      <c r="F18" s="77" t="str">
        <f t="shared" si="0"/>
        <v>"[CODE_CONSTRAINTS_RULE] Each example MUST: - Use stateful GenServer state or external message passing - Print steps &amp; result via Logger.info/debug or IO.inspect inside isolated process callbacks - MAX " &amp; $A9 &amp; " executable lines (comments/blanks excluded) - NEVER exceed limit. | " &amp;</v>
      </c>
      <c r="G18" s="54" t="s">
        <v>228</v>
      </c>
    </row>
    <row r="19" spans="2:7">
      <c r="B19" s="84" t="s">
        <v>227</v>
      </c>
      <c r="C19" s="32" t="s">
        <v>622</v>
      </c>
      <c r="D19" s="94" t="str">
        <f>"Use " &amp; Variables!E15 &amp; " and gracefully handle " &amp; Variables!E16 &amp; " when applicable. | " &amp; CHAR(34) &amp; " &amp;"</f>
        <v>Use standard OTP message passing via send/2 or GenServer.call/3 and gracefully handle {:reply, response, new_state}, {:noreply, new_state}, and {:ok, state} tuples when applicable. | " &amp;</v>
      </c>
      <c r="E19" s="94"/>
      <c r="F19" s="77" t="str">
        <f t="shared" si="0"/>
        <v>"[I_O_PARADIGM] Use standard OTP message passing via send/2 or GenServer.call/3 and gracefully handle {:reply, response, new_state}, {:noreply, new_state}, and {:ok, state} tuples when applicable. | " &amp;</v>
      </c>
      <c r="G19" s="54" t="s">
        <v>228</v>
      </c>
    </row>
    <row r="20" spans="2:7">
      <c r="B20" s="84" t="s">
        <v>227</v>
      </c>
      <c r="C20" s="32" t="s">
        <v>623</v>
      </c>
      <c r="D20" s="94" t="str">
        <f>"If using external packages, use " &amp; Variables!E17 &amp; " at the top of the code block. Assume no project configuration file exists. | " &amp; CHAR(34) &amp; " &amp;"</f>
        <v>If using external packages, use Standard mix.exs dependencies list (defp deps do [{:package_name, '~&gt; version'}] end) at the top of the code block. Assume no project configuration file exists. | " &amp;</v>
      </c>
      <c r="E20" s="94"/>
      <c r="F20" s="77" t="str">
        <f t="shared" si="0"/>
        <v>"[INLINE_PACKAGE_MANAGER] If using external packages, use Standard mix.exs dependencies list (defp deps do [{:package_name, '~&gt; version'}] end) at the top of the code block. Assume no project configuration file exists. | " &amp;</v>
      </c>
      <c r="G20" s="54" t="s">
        <v>228</v>
      </c>
    </row>
    <row r="21" spans="2:7">
      <c r="B21" s="83" t="s">
        <v>227</v>
      </c>
      <c r="C21" s="32" t="s">
        <v>624</v>
      </c>
      <c r="D21" s="94" t="str">
        <f>"For " &amp; Variables!E18 &amp; ", NEVER use " &amp; Variables!E19 &amp; ". Use " &amp; Variables!E20 &amp; ", as " &amp; Variables!E19 &amp; " fail in standalone execution environments. | " &amp; CHAR(34) &amp; " &amp;"</f>
        <v>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 &amp;</v>
      </c>
      <c r="E21" s="94"/>
      <c r="F21" s="77" t="str">
        <f t="shared" si="0"/>
        <v>"[TESTING_FRAMEWORK_LIMITS] For ExUnit with isolated async processes (use ExUnit.Case, async: true), NEVER use manual process link hacking outside of standard OTP abstractions. Use standard test macros and assert_receive/assert_received for message validation, as manual process link hacking outside of standard OTP abstractions fail in standalone execution environments. | " &amp;</v>
      </c>
      <c r="G21" s="54" t="s">
        <v>228</v>
      </c>
    </row>
    <row r="22" spans="2:7">
      <c r="B22" s="84" t="s">
        <v>281</v>
      </c>
      <c r="C22" s="54" t="s">
        <v>184</v>
      </c>
      <c r="D22" s="94" t="s">
        <v>613</v>
      </c>
      <c r="E22" s="94"/>
      <c r="F22" s="77" t="str">
        <f t="shared" si="0"/>
        <v>"[CODE QUALITY RULE] Code MUST be clean, readable, educational, executable, and produce correct results. Handle missing, malformed, or inconsistent data safely, utilizing pattern matching if possible. | " &amp;</v>
      </c>
      <c r="G22" s="54" t="s">
        <v>228</v>
      </c>
    </row>
    <row r="23" spans="2:7">
      <c r="B23" s="84" t="s">
        <v>281</v>
      </c>
      <c r="C23" s="54" t="s">
        <v>614</v>
      </c>
      <c r="D23" s="94" t="s">
        <v>615</v>
      </c>
      <c r="E23" s="94"/>
      <c r="F23" s="77" t="str">
        <f t="shared" si="0"/>
        <v>"[COMMENT CONSTRAINTS] Code MUST include sufficient inline comments explaining WHAT the code does AND WHY it is written that way. Density: Beginner = high, Intermediate = medium, Advanced = lower but present in key logic. | " &amp;</v>
      </c>
      <c r="G23" s="54" t="s">
        <v>228</v>
      </c>
    </row>
    <row r="24" spans="2:7">
      <c r="B24" s="84" t="s">
        <v>281</v>
      </c>
      <c r="C24" s="54" t="s">
        <v>211</v>
      </c>
      <c r="D24" s="94" t="s">
        <v>291</v>
      </c>
      <c r="E24" s="94"/>
      <c r="F24" s="77" t="str">
        <f t="shared" si="0"/>
        <v>"[FORMAT RULE] Only valid markdown code blocks allowed | " &amp;</v>
      </c>
      <c r="G24" s="54" t="s">
        <v>228</v>
      </c>
    </row>
    <row r="25" spans="2:7">
      <c r="B25" s="84" t="s">
        <v>281</v>
      </c>
      <c r="C25" s="54" t="s">
        <v>213</v>
      </c>
      <c r="D25" s="94" t="s">
        <v>618</v>
      </c>
      <c r="E25" s="94"/>
      <c r="F25" s="77" t="str">
        <f t="shared" si="0"/>
        <v>"[LANGUAGE TAG RULE] ALWAYS label markdown code blocks with the correct underlying programming language (e.g., elixir, javascript, sql) | " &amp;</v>
      </c>
      <c r="G25" s="54" t="s">
        <v>228</v>
      </c>
    </row>
    <row r="26" spans="2:7">
      <c r="B26" s="84" t="s">
        <v>281</v>
      </c>
      <c r="C26" s="54" t="s">
        <v>219</v>
      </c>
      <c r="D26" s="94" t="s">
        <v>598</v>
      </c>
      <c r="E26" s="94"/>
      <c r="F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G26" s="54" t="s">
        <v>228</v>
      </c>
    </row>
    <row r="27" spans="2:7">
      <c r="B27" s="84" t="s">
        <v>281</v>
      </c>
      <c r="C27" s="54" t="s">
        <v>191</v>
      </c>
      <c r="D27" s="94" t="s">
        <v>231</v>
      </c>
      <c r="E27" s="94"/>
      <c r="F27" s="77" t="str">
        <f t="shared" si="0"/>
        <v>"[INTRO RULE] Include a short tutor-style sentence in " &amp; $B$6 &amp; " before the analogy, followed by this EXACT instruction block translated to " &amp; $B$6 &amp; ": '🚨 **Your objective in this lesson:** To truly learn the new  " &amp; $I$2 &amp; "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v>
      </c>
      <c r="G27" s="54" t="s">
        <v>228</v>
      </c>
    </row>
    <row r="28" spans="2:7">
      <c r="B28" s="84" t="s">
        <v>281</v>
      </c>
      <c r="C28" s="54" t="s">
        <v>173</v>
      </c>
      <c r="D28" s="94" t="s">
        <v>174</v>
      </c>
      <c r="E28" s="94"/>
      <c r="F28" s="77" t="str">
        <f t="shared" si="0"/>
        <v>"[PERSONA RULE] Act as a friendly, clear tutor | " &amp;</v>
      </c>
      <c r="G28" s="54" t="s">
        <v>228</v>
      </c>
    </row>
    <row r="29" spans="2:7">
      <c r="B29" s="84" t="s">
        <v>281</v>
      </c>
      <c r="C29" s="54" t="s">
        <v>165</v>
      </c>
      <c r="D29" s="94" t="s">
        <v>166</v>
      </c>
      <c r="E29" s="94"/>
      <c r="F29" s="77" t="str">
        <f t="shared" si="0"/>
        <v>"[TASK] Teach and explain concepts clearly with correct code examples | " &amp;</v>
      </c>
      <c r="G29" s="54" t="s">
        <v>228</v>
      </c>
    </row>
    <row r="30" spans="2:7">
      <c r="B30" s="84" t="s">
        <v>281</v>
      </c>
      <c r="C30" s="54" t="s">
        <v>180</v>
      </c>
      <c r="D30" s="94" t="s">
        <v>181</v>
      </c>
      <c r="E30" s="94"/>
      <c r="F30" s="77" t="str">
        <f t="shared" si="0"/>
        <v>"[OUTPUT CONTRACT] EXACTLY " &amp; D9 &amp; "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v>
      </c>
      <c r="G30" s="54" t="s">
        <v>228</v>
      </c>
    </row>
    <row r="31" spans="2:7">
      <c r="B31" s="84" t="s">
        <v>281</v>
      </c>
      <c r="C31" s="54" t="s">
        <v>184</v>
      </c>
      <c r="D31" s="94" t="s">
        <v>232</v>
      </c>
      <c r="E31" s="94"/>
      <c r="F31" s="77" t="str">
        <f t="shared" si="0"/>
        <v>"[CODE QUALITY RULE] Code MUST be clean, readable, educational, executable, and produce correct and accurate results | " &amp;</v>
      </c>
      <c r="G31" s="54" t="s">
        <v>228</v>
      </c>
    </row>
    <row r="32" spans="2:7">
      <c r="B32" s="84" t="s">
        <v>281</v>
      </c>
      <c r="C32" s="54" t="s">
        <v>185</v>
      </c>
      <c r="D32" s="94" t="s">
        <v>186</v>
      </c>
      <c r="E32" s="94"/>
      <c r="F32" s="77" t="str">
        <f t="shared" si="0"/>
        <v>"[COMMENT RULE - STRICT] Code MUST include sufficient inline comments explaining important lines and logical blocks | " &amp;</v>
      </c>
      <c r="G32" s="54" t="s">
        <v>228</v>
      </c>
    </row>
    <row r="33" spans="2:7">
      <c r="B33" s="84" t="s">
        <v>281</v>
      </c>
      <c r="C33" s="54" t="s">
        <v>187</v>
      </c>
      <c r="D33" s="94" t="s">
        <v>188</v>
      </c>
      <c r="E33" s="94"/>
      <c r="F33" s="77" t="str">
        <f t="shared" si="0"/>
        <v>"[COMMENT DEPTH RULE] Comments MUST explain WHAT the code does AND WHY it is written that way | " &amp;</v>
      </c>
      <c r="G33" s="54" t="s">
        <v>228</v>
      </c>
    </row>
    <row r="34" spans="2:7">
      <c r="B34" s="84" t="s">
        <v>281</v>
      </c>
      <c r="C34" s="54" t="s">
        <v>201</v>
      </c>
      <c r="D34" s="94" t="s">
        <v>202</v>
      </c>
      <c r="E34" s="94"/>
      <c r="F34" s="77" t="str">
        <f t="shared" si="0"/>
        <v>"[EXPLANATION RULE] Explanation within 'Mini-Lección' MUST explain WHAT, WHY, HOW, and real-world context concisely | " &amp;</v>
      </c>
      <c r="G34" s="54" t="s">
        <v>228</v>
      </c>
    </row>
    <row r="35" spans="2:7">
      <c r="B35" s="84" t="s">
        <v>281</v>
      </c>
      <c r="C35" s="54" t="s">
        <v>203</v>
      </c>
      <c r="D35" s="94" t="s">
        <v>204</v>
      </c>
      <c r="E35" s="94"/>
      <c r="F35" s="77" t="str">
        <f t="shared" si="0"/>
        <v>"[LEARNING RULE] Each example MUST highlight a key insight | " &amp;</v>
      </c>
      <c r="G35" s="54" t="s">
        <v>228</v>
      </c>
    </row>
    <row r="36" spans="2:7">
      <c r="B36" s="84" t="s">
        <v>281</v>
      </c>
      <c r="C36" s="54" t="s">
        <v>205</v>
      </c>
      <c r="D36" s="94" t="s">
        <v>206</v>
      </c>
      <c r="E36" s="94"/>
      <c r="F36" s="77" t="str">
        <f t="shared" si="0"/>
        <v>"[COMMON MISTAKES RULE] Include a short mistake note after each example | " &amp;</v>
      </c>
      <c r="G36" s="54" t="s">
        <v>228</v>
      </c>
    </row>
    <row r="37" spans="2:7">
      <c r="B37" s="84" t="s">
        <v>281</v>
      </c>
      <c r="C37" s="54" t="s">
        <v>207</v>
      </c>
      <c r="D37" s="94" t="s">
        <v>208</v>
      </c>
      <c r="E37" s="94"/>
      <c r="F37" s="77" t="str">
        <f t="shared" si="0"/>
        <v>"[MINI CHALLENGE RULE] Include a short reinforcement question after each example | " &amp;</v>
      </c>
      <c r="G37" s="54" t="s">
        <v>228</v>
      </c>
    </row>
    <row r="38" spans="2:7">
      <c r="B38" s="84" t="s">
        <v>281</v>
      </c>
      <c r="C38" s="54" t="s">
        <v>209</v>
      </c>
      <c r="D38" s="94" t="s">
        <v>210</v>
      </c>
      <c r="E38" s="94"/>
      <c r="F38" s="77" t="str">
        <f t="shared" si="0"/>
        <v>"[REAL WORLD RULE] Connect each example to a real-world use case | " &amp;</v>
      </c>
      <c r="G38" s="54" t="s">
        <v>228</v>
      </c>
    </row>
    <row r="39" spans="2:7">
      <c r="B39" s="84" t="s">
        <v>281</v>
      </c>
      <c r="C39" s="54" t="s">
        <v>211</v>
      </c>
      <c r="D39" s="94" t="s">
        <v>212</v>
      </c>
      <c r="E39" s="94"/>
      <c r="F39" s="77" t="str">
        <f t="shared" si="0"/>
        <v>"[FORMAT RULE] Only valid markdown code blocks allowed | " &amp;</v>
      </c>
      <c r="G39" s="54" t="s">
        <v>228</v>
      </c>
    </row>
    <row r="40" spans="2:7">
      <c r="B40" s="84" t="s">
        <v>281</v>
      </c>
      <c r="C40" s="54" t="s">
        <v>213</v>
      </c>
      <c r="D40" s="94" t="s">
        <v>214</v>
      </c>
      <c r="E40" s="94"/>
      <c r="F40" s="77" t="str">
        <f t="shared" si="0"/>
        <v>"[LANGUAGE TAG RULE] ALWAYS label markdown code blocks with the correct underlying programming language (e.g., python, javascript, sql) | " &amp;</v>
      </c>
      <c r="G40" s="54" t="s">
        <v>228</v>
      </c>
    </row>
    <row r="41" spans="2:7">
      <c r="B41" s="84" t="s">
        <v>281</v>
      </c>
      <c r="C41" s="54" t="s">
        <v>216</v>
      </c>
      <c r="D41" s="94" t="s">
        <v>217</v>
      </c>
      <c r="E41" s="94"/>
      <c r="F41" s="77" t="str">
        <f t="shared" si="0"/>
        <v>"[CONSISTENCY RULE] All examples MUST have similar complexity and length | " &amp;</v>
      </c>
      <c r="G41" s="54" t="s">
        <v>228</v>
      </c>
    </row>
    <row r="42" spans="2:7">
      <c r="B42" s="84" t="s">
        <v>281</v>
      </c>
      <c r="C42" s="54" t="s">
        <v>218</v>
      </c>
      <c r="D42" s="94" t="s">
        <v>239</v>
      </c>
      <c r="E42" s="94"/>
      <c r="F42" s="77" t="str">
        <f t="shared" si="0"/>
        <v>"[FINAL OUTPUT RULE] Include Key Takeaway section at the end | " &amp; IF(AJ9&lt;&gt;"", AJ9, "") &amp;" | " &amp;</v>
      </c>
      <c r="G42" s="54" t="s">
        <v>228</v>
      </c>
    </row>
    <row r="43" spans="2:7">
      <c r="B43" s="84" t="s">
        <v>281</v>
      </c>
      <c r="C43" s="54" t="s">
        <v>177</v>
      </c>
      <c r="D43" s="94" t="s">
        <v>235</v>
      </c>
      <c r="E43" s="94"/>
      <c r="F43" s="77" t="str">
        <f t="shared" si="0"/>
        <v>"[DATA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v>
      </c>
      <c r="G43" s="54" t="s">
        <v>228</v>
      </c>
    </row>
    <row r="44" spans="2:7">
      <c r="B44" s="84" t="s">
        <v>281</v>
      </c>
      <c r="C44" s="54" t="s">
        <v>178</v>
      </c>
      <c r="D44" s="94" t="s">
        <v>179</v>
      </c>
      <c r="E44" s="94"/>
      <c r="F44" s="77" t="str">
        <f t="shared" si="0"/>
        <v>"[DATA SUMMARY FORMAT RULE] When a dataset is present, you MUST display IMMEDIATELY AFTER THE HEADER: Dataset Summary: - File Type: - Columns / Fields: - Data Types: - Notes: | " &amp;</v>
      </c>
      <c r="G44" s="54" t="s">
        <v>228</v>
      </c>
    </row>
    <row r="45" spans="2:7">
      <c r="B45" s="84" t="s">
        <v>281</v>
      </c>
      <c r="C45" s="54" t="s">
        <v>196</v>
      </c>
      <c r="D45" s="94" t="s">
        <v>197</v>
      </c>
      <c r="E45" s="94"/>
      <c r="F45" s="77" t="str">
        <f t="shared" si="0"/>
        <v>"[DATA CONSISTENCY RULE] Respect dataset schema | " &amp;</v>
      </c>
      <c r="G45" s="54" t="s">
        <v>228</v>
      </c>
    </row>
    <row r="46" spans="2:7">
      <c r="B46" s="84" t="s">
        <v>281</v>
      </c>
      <c r="C46" s="54" t="s">
        <v>189</v>
      </c>
      <c r="D46" s="94" t="s">
        <v>190</v>
      </c>
      <c r="E46" s="94"/>
      <c r="F46" s="77" t="str">
        <f t="shared" si="0"/>
        <v>"[COMMENT DENSITY RULE] Beginner = high, Intermediate = medium, Advanced = lower but present in key logic | " &amp;</v>
      </c>
      <c r="G46" s="54" t="s">
        <v>228</v>
      </c>
    </row>
    <row r="47" spans="2:7">
      <c r="B47" s="84" t="s">
        <v>281</v>
      </c>
      <c r="C47" s="54" t="s">
        <v>199</v>
      </c>
      <c r="D47" s="94" t="s">
        <v>200</v>
      </c>
      <c r="E47" s="94"/>
      <c r="F47" s="77" t="str">
        <f t="shared" si="0"/>
        <v>"[DIFFICULTY RULE] Complexity MUST match level | " &amp;</v>
      </c>
      <c r="G47" s="54" t="s">
        <v>228</v>
      </c>
    </row>
    <row r="48" spans="2:7">
      <c r="B48" s="84" t="s">
        <v>281</v>
      </c>
      <c r="C48" s="54" t="s">
        <v>220</v>
      </c>
      <c r="D48" s="94" t="s">
        <v>221</v>
      </c>
      <c r="E48" s="94"/>
      <c r="F48" s="77" t="str">
        <f t="shared" si="0"/>
        <v>"[OUTPUT] Only header, introduction, examples, outputs, notes, summary, and footer | " &amp;</v>
      </c>
      <c r="G48" s="54" t="s">
        <v>228</v>
      </c>
    </row>
    <row r="49" spans="2:7">
      <c r="B49" s="84" t="s">
        <v>281</v>
      </c>
      <c r="C49" s="54" t="s">
        <v>224</v>
      </c>
      <c r="D49" s="94" t="s">
        <v>240</v>
      </c>
      <c r="E49" s="94"/>
      <c r="F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G49" s="54" t="s">
        <v>228</v>
      </c>
    </row>
    <row r="50" spans="2:7">
      <c r="B50" s="84"/>
      <c r="C50" s="54"/>
      <c r="D50" s="94"/>
      <c r="E50" s="94"/>
      <c r="F50" s="88" t="str">
        <f>"IF(H9=""PROJECT"", Z9, """"))"</f>
        <v>IF(H9="PROJECT", Z9, ""))</v>
      </c>
      <c r="G50" s="54"/>
    </row>
    <row r="51" spans="2:7">
      <c r="B51" s="74"/>
      <c r="C51" s="74"/>
      <c r="F51" s="86"/>
    </row>
    <row r="52" spans="2:7">
      <c r="B52" s="74"/>
      <c r="C52" s="74"/>
      <c r="F52" s="86"/>
    </row>
    <row r="53" spans="2:7" ht="36">
      <c r="B53" s="79" t="s">
        <v>463</v>
      </c>
      <c r="C53" s="74"/>
      <c r="D53" t="str">
        <f>_xlfn._LONGTEXT("[VISUAL_ARCHITECTURE_COMMENTS] 1. Use visual block tags (e.g., '# --- BLOQUE 1: [NAME] ---') to map code to the planning phase. 2. Use comprehensive documentation using @moduledoc and @doc. 3. CRITICAL: NO comment or docstring line may exceed 80 character","s in width. | ") &amp;
"[DATA ROBUSTNESS RULE] Handle real-world data safely | "</f>
        <v xml:space="preserve">[VISUAL_ARCHITECTURE_COMMENTS] 1. Use visual block tags (e.g., '# --- BLOQUE 1: [NAME] ---') to map code to the planning phase. 2. Use comprehensive documentation using @moduledoc and @doc. 3. CRITICAL: NO comment or docstring line may exceed 80 characters in width. | [DATA ROBUSTNESS RULE] Handle real-world data safely | </v>
      </c>
      <c r="F53" s="86"/>
    </row>
    <row r="54" spans="2:7">
      <c r="B54" s="76" t="s">
        <v>273</v>
      </c>
      <c r="C54" s="76" t="s">
        <v>596</v>
      </c>
      <c r="D54" s="76" t="s">
        <v>597</v>
      </c>
      <c r="E54" s="76"/>
      <c r="F54" s="88" t="s">
        <v>274</v>
      </c>
      <c r="G54" s="32" t="s">
        <v>228</v>
      </c>
    </row>
    <row r="55" spans="2:7">
      <c r="B55" s="54" t="s">
        <v>226</v>
      </c>
      <c r="C55" s="54" t="s">
        <v>165</v>
      </c>
      <c r="D55" s="94" t="s">
        <v>277</v>
      </c>
      <c r="E55" s="94"/>
      <c r="F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G55" s="32" t="s">
        <v>228</v>
      </c>
    </row>
    <row r="56" spans="2:7">
      <c r="B56" s="54" t="s">
        <v>226</v>
      </c>
      <c r="C56" s="54" t="s">
        <v>261</v>
      </c>
      <c r="D56" s="94" t="s">
        <v>262</v>
      </c>
      <c r="E56" s="94"/>
      <c r="F56" s="77" t="str">
        <f t="shared" ref="F56:F79" si="1">IF(D56="","",""""&amp;C56&amp;" "&amp;IF(C56="[FOOTER RULE - STRICT]",D56,IF(RIGHT(D56,6)=" | "&amp;CHAR(34)&amp;" &amp;",D56,D56&amp;" | "&amp;CHAR(34)&amp;" &amp;")))</f>
        <v>"[TOPICS USED] " &amp; B9 &amp; " | " &amp;</v>
      </c>
      <c r="G56" s="32" t="s">
        <v>228</v>
      </c>
    </row>
    <row r="57" spans="2:7">
      <c r="B57" s="54" t="s">
        <v>226</v>
      </c>
      <c r="C57" s="54" t="s">
        <v>169</v>
      </c>
      <c r="D57" s="94" t="s">
        <v>170</v>
      </c>
      <c r="E57" s="94"/>
      <c r="F57" s="77" t="str">
        <f t="shared" si="1"/>
        <v>"[LEVEL] " &amp; G9 &amp; " | " &amp;</v>
      </c>
      <c r="G57" s="32" t="s">
        <v>228</v>
      </c>
    </row>
    <row r="58" spans="2:7">
      <c r="B58" s="54" t="s">
        <v>226</v>
      </c>
      <c r="C58" s="54" t="s">
        <v>234</v>
      </c>
      <c r="D58" s="94" t="s">
        <v>276</v>
      </c>
      <c r="E58" s="94"/>
      <c r="F58" s="77" t="str">
        <f t="shared" si="1"/>
        <v>"[LIBRARY BEING LEARNED] " &amp; $I$3 &amp; " | " &amp;</v>
      </c>
      <c r="G58" s="32" t="s">
        <v>228</v>
      </c>
    </row>
    <row r="59" spans="2:7">
      <c r="B59" s="75" t="s">
        <v>226</v>
      </c>
      <c r="C59" s="54" t="s">
        <v>229</v>
      </c>
      <c r="D59" s="94" t="str">
        <f>"If a module or ecosystem like "&amp; Variables!E6 &amp;" is specified in "&amp; Variables!E7 &amp;", you are CRITICALLY FORBIDDEN from using "&amp; Variables!E8 &amp;". You MUST enforce the "&amp; Variables!E9 &amp;" and data structures of that specific library."</f>
        <v>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v>
      </c>
      <c r="E59" s="94"/>
      <c r="F59" s="77"/>
      <c r="G59" s="32"/>
    </row>
    <row r="60" spans="2:7">
      <c r="B60" s="54" t="s">
        <v>226</v>
      </c>
      <c r="C60" s="54" t="s">
        <v>175</v>
      </c>
      <c r="D60" s="94" t="s">
        <v>263</v>
      </c>
      <c r="E60" s="94"/>
      <c r="F60"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G60" s="32" t="s">
        <v>228</v>
      </c>
    </row>
    <row r="61" spans="2:7">
      <c r="B61" s="54" t="s">
        <v>226</v>
      </c>
      <c r="C61" s="54" t="s">
        <v>508</v>
      </c>
      <c r="D61" s="94" t="s">
        <v>500</v>
      </c>
      <c r="E61" s="94"/>
      <c r="F61" s="77" t="str">
        <f t="shared" si="1"/>
        <v>"[LANGUAGE SEED CONTEXT] " &amp; IF($AE$7 = "", "Language Seed Not Necessary", "You MUST strictly follow this seed context to enhance, adapt, and naturalize your tone, vocabulary, and instructional quality in " &amp; $B$6 &amp; ": " &amp; $AE$7) &amp; " | " &amp;</v>
      </c>
      <c r="G61" s="32" t="s">
        <v>228</v>
      </c>
    </row>
    <row r="62" spans="2:7">
      <c r="B62" s="54" t="s">
        <v>226</v>
      </c>
      <c r="C62" s="54" t="s">
        <v>222</v>
      </c>
      <c r="D62" s="94" t="s">
        <v>223</v>
      </c>
      <c r="E62" s="94"/>
      <c r="F62" s="77" t="str">
        <f t="shared" si="1"/>
        <v>"[LANGUAGE] " &amp; $B$6 &amp; " | " &amp;</v>
      </c>
      <c r="G62" s="32" t="s">
        <v>228</v>
      </c>
    </row>
    <row r="63" spans="2:7">
      <c r="B63" s="54" t="s">
        <v>227</v>
      </c>
      <c r="C63" s="54" t="s">
        <v>236</v>
      </c>
      <c r="D63" s="94"/>
      <c r="E63" s="94"/>
      <c r="F63" s="77" t="str">
        <f t="shared" ref="F63:F64" si="2">IF(D63="","",""""&amp;C63&amp;" "&amp;IF(C63="[FOOTER RULE - STRICT]",D63,IF(RIGHT(D63,6)=" | "&amp;CHAR(34)&amp;" &amp;",D63,D63&amp;" | "&amp;CHAR(34)&amp;" &amp;")))</f>
        <v/>
      </c>
      <c r="G63" s="32" t="s">
        <v>228</v>
      </c>
    </row>
    <row r="64" spans="2:7">
      <c r="B64" s="54" t="s">
        <v>227</v>
      </c>
      <c r="C64" s="54" t="s">
        <v>236</v>
      </c>
      <c r="D64" s="94"/>
      <c r="E64" s="94"/>
      <c r="F64" s="77" t="str">
        <f t="shared" si="2"/>
        <v/>
      </c>
      <c r="G64" s="32" t="s">
        <v>228</v>
      </c>
    </row>
    <row r="65" spans="2:7">
      <c r="B65" s="54" t="s">
        <v>227</v>
      </c>
      <c r="C65" s="54" t="s">
        <v>623</v>
      </c>
      <c r="D65" s="94" t="str">
        <f>"If the project requires an external package, you MUST use " &amp; Variables!E17 &amp; " at the top. | " &amp; CHAR(34) &amp; " &amp;"</f>
        <v>If the project requires an external package, you MUST use Standard mix.exs dependencies list (defp deps do [{:package_name, '~&gt; version'}] end) at the top. | " &amp;</v>
      </c>
      <c r="E65" s="94"/>
      <c r="F65" s="77" t="str">
        <f t="shared" si="1"/>
        <v>"[INLINE_PACKAGE_MANAGER] If the project requires an external package, you MUST use Standard mix.exs dependencies list (defp deps do [{:package_name, '~&gt; version'}] end) at the top. | " &amp;</v>
      </c>
      <c r="G65" s="32" t="s">
        <v>228</v>
      </c>
    </row>
    <row r="66" spans="2:7">
      <c r="B66" s="54" t="s">
        <v>227</v>
      </c>
      <c r="C66" s="54" t="s">
        <v>644</v>
      </c>
      <c r="D66" s="94" t="str">
        <f>"Rule: " &amp; IF(G9="Beginner", Variables!E10, IF(G9="Intermediate", Variables!E11, Variables!E12)) &amp; " | " &amp; CHAR(34) &amp; " &amp;"</f>
        <v>Rule: Build fault-tolerant OTP apps with DynamicSupervisor, Registry for process discovery, and handle_info/2 handlers. | " &amp;</v>
      </c>
      <c r="E66" s="94"/>
      <c r="F66" s="77" t="str">
        <f t="shared" si="1"/>
        <v>"[SCOPE_ARCHITECTURE_RULE] Rule: Build fault-tolerant OTP apps with DynamicSupervisor, Registry for process discovery, and handle_info/2 handlers. | " &amp;</v>
      </c>
      <c r="G66" s="32" t="s">
        <v>228</v>
      </c>
    </row>
    <row r="67" spans="2:7">
      <c r="B67" s="54" t="s">
        <v>227</v>
      </c>
      <c r="C67" s="54" t="s">
        <v>645</v>
      </c>
      <c r="D67" s="94" t="str">
        <f>"1. Use " &amp; Variables!E21 &amp; " to map code to the planning phase. 2. Use " &amp; Variables!E22 &amp; ". 3. CRITICAL: NO comment or docstring line may exceed " &amp; Variables!E23 &amp; " in width. | " &amp; CHAR(34) &amp; " &amp;"</f>
        <v>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 &amp;</v>
      </c>
      <c r="E67" s="94"/>
      <c r="F67" s="77" t="str">
        <f t="shared" si="1"/>
        <v>"[VISUAL_ARCHITECTURE_COMMENTS] 1. Use visual block tags separating OTP layers (e.g., '# --- CLIENT API ---', '# --- SERVER CALLBACKS ---') to map code to the planning phase. 2. Use comprehensive documentation using @moduledoc and @doc explaining process state APIs. 3. CRITICAL: NO comment or docstring line may exceed 80 characters in width. | " &amp;</v>
      </c>
      <c r="G67" s="32" t="s">
        <v>228</v>
      </c>
    </row>
    <row r="68" spans="2:7">
      <c r="B68" s="84" t="s">
        <v>281</v>
      </c>
      <c r="C68" s="54" t="s">
        <v>194</v>
      </c>
      <c r="D68" s="94" t="s">
        <v>434</v>
      </c>
      <c r="E68" s="94"/>
      <c r="F68" s="77" t="str">
        <f t="shared" si="1"/>
        <v>"[DATA ROBUSTNESS RULE] Handle real-world data safely | " &amp;</v>
      </c>
      <c r="G68" s="32" t="s">
        <v>228</v>
      </c>
    </row>
    <row r="69" spans="2:7">
      <c r="B69" s="84" t="s">
        <v>281</v>
      </c>
      <c r="C69" s="54" t="s">
        <v>182</v>
      </c>
      <c r="D69" s="94" t="s">
        <v>620</v>
      </c>
      <c r="E69" s="94"/>
      <c r="F69" s="77" t="str">
        <f t="shared" si="1"/>
        <v>"[CODE CONSTRAINTS] MUST be between " &amp; IF(G9="Beginner", "25–40", IF(G9="Intermediate", "30–60", "40–100")) &amp; " lines (STRICT) - Multi-step flow | " &amp;</v>
      </c>
      <c r="G69" s="32" t="s">
        <v>228</v>
      </c>
    </row>
    <row r="70" spans="2:7">
      <c r="B70" s="84" t="s">
        <v>281</v>
      </c>
      <c r="C70" s="54" t="s">
        <v>198</v>
      </c>
      <c r="D70" s="94" t="s">
        <v>440</v>
      </c>
      <c r="E70" s="94"/>
      <c r="F70" s="77" t="str">
        <f t="shared" si="1"/>
        <v>"[SUPPORT FILES RULE] Include config files before code if needed | " &amp;</v>
      </c>
      <c r="G70" s="32" t="s">
        <v>228</v>
      </c>
    </row>
    <row r="71" spans="2:7">
      <c r="B71" s="84" t="s">
        <v>281</v>
      </c>
      <c r="C71" s="54" t="s">
        <v>177</v>
      </c>
      <c r="D71" s="94" t="s">
        <v>264</v>
      </c>
      <c r="E71" s="94"/>
      <c r="F71"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G71" s="32" t="s">
        <v>228</v>
      </c>
    </row>
    <row r="72" spans="2:7">
      <c r="B72" s="84" t="s">
        <v>281</v>
      </c>
      <c r="C72" s="54" t="s">
        <v>180</v>
      </c>
      <c r="D72" s="94" t="s">
        <v>265</v>
      </c>
      <c r="E72" s="94"/>
      <c r="F72" s="77" t="str">
        <f t="shared" si="1"/>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G72" s="32" t="s">
        <v>228</v>
      </c>
    </row>
    <row r="73" spans="2:7">
      <c r="B73" s="84" t="s">
        <v>281</v>
      </c>
      <c r="C73" s="54" t="s">
        <v>184</v>
      </c>
      <c r="D73" s="94" t="s">
        <v>266</v>
      </c>
      <c r="E73" s="94"/>
      <c r="F73" s="77" t="str">
        <f t="shared" si="1"/>
        <v>"[CODE QUALITY RULE] Code MUST be clean, readable, correct, and educational | " &amp;</v>
      </c>
      <c r="G73" s="32" t="s">
        <v>228</v>
      </c>
    </row>
    <row r="74" spans="2:7">
      <c r="B74" s="84" t="s">
        <v>281</v>
      </c>
      <c r="C74" s="54" t="s">
        <v>211</v>
      </c>
      <c r="D74" s="94" t="s">
        <v>267</v>
      </c>
      <c r="E74" s="94"/>
      <c r="F74" s="77" t="str">
        <f t="shared" si="1"/>
        <v>"[FORMAT RULE] Only markdown code blocks allowed | " &amp;</v>
      </c>
      <c r="G74" s="32" t="s">
        <v>228</v>
      </c>
    </row>
    <row r="75" spans="2:7">
      <c r="B75" s="84" t="s">
        <v>281</v>
      </c>
      <c r="C75" s="54" t="s">
        <v>268</v>
      </c>
      <c r="D75" s="94" t="s">
        <v>269</v>
      </c>
      <c r="E75" s="94"/>
      <c r="F75" s="77" t="str">
        <f t="shared" si="1"/>
        <v>"[EXECUTION RULE] Code MUST run and produce correct output | " &amp;</v>
      </c>
      <c r="G75" s="32" t="s">
        <v>228</v>
      </c>
    </row>
    <row r="76" spans="2:7">
      <c r="B76" s="84" t="s">
        <v>281</v>
      </c>
      <c r="C76" s="54" t="s">
        <v>216</v>
      </c>
      <c r="D76" s="94" t="s">
        <v>270</v>
      </c>
      <c r="E76" s="94"/>
      <c r="F76" s="77" t="str">
        <f t="shared" si="1"/>
        <v>"[CONSISTENCY RULE] Project must match objective | " &amp;</v>
      </c>
      <c r="G76" s="32" t="s">
        <v>228</v>
      </c>
    </row>
    <row r="77" spans="2:7">
      <c r="B77" s="84" t="s">
        <v>281</v>
      </c>
      <c r="C77" s="54" t="s">
        <v>219</v>
      </c>
      <c r="D77" s="94" t="s">
        <v>599</v>
      </c>
      <c r="E77" s="94"/>
      <c r="F77" s="77" t="str">
        <f t="shared" si="1"/>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G77" s="32" t="s">
        <v>228</v>
      </c>
    </row>
    <row r="78" spans="2:7">
      <c r="B78" s="84" t="s">
        <v>281</v>
      </c>
      <c r="C78" s="54" t="s">
        <v>220</v>
      </c>
      <c r="D78" s="94" t="s">
        <v>271</v>
      </c>
      <c r="E78" s="94"/>
      <c r="F78" s="77" t="str">
        <f t="shared" si="1"/>
        <v>"[OUTPUT] Only header, dataset notice, objective, support file, code planning, expected output, code, and footer | " &amp;</v>
      </c>
      <c r="G78" s="32" t="s">
        <v>228</v>
      </c>
    </row>
    <row r="79" spans="2:7">
      <c r="B79" s="84" t="s">
        <v>281</v>
      </c>
      <c r="C79" s="54" t="s">
        <v>224</v>
      </c>
      <c r="D79" s="94" t="s">
        <v>272</v>
      </c>
      <c r="E79" s="94"/>
      <c r="F79" s="77" t="str">
        <f t="shared" si="1"/>
        <v>"[FOOTER RULE - STRICT] End your entire response EXACTLY with this markdown string (ensure all code blocks are closed before it):" &amp; CHAR(10) &amp; "---" &amp; CHAR(10) &amp; "⚡ *Coding5s System — Learn Programming by Writing Code*")</v>
      </c>
      <c r="G79" s="32" t="s">
        <v>228</v>
      </c>
    </row>
    <row r="80" spans="2:7">
      <c r="F80" s="86"/>
      <c r="G80" t="s">
        <v>228</v>
      </c>
    </row>
    <row r="82" spans="2:7" ht="36">
      <c r="B82" s="80" t="s">
        <v>279</v>
      </c>
    </row>
    <row r="83" spans="2:7">
      <c r="B83" s="76" t="s">
        <v>225</v>
      </c>
      <c r="C83" s="76" t="s">
        <v>596</v>
      </c>
      <c r="D83" s="76" t="s">
        <v>597</v>
      </c>
      <c r="E83" s="76"/>
      <c r="F83" s="88" t="s">
        <v>241</v>
      </c>
      <c r="G83" s="54" t="s">
        <v>228</v>
      </c>
    </row>
    <row r="84" spans="2:7">
      <c r="B84" s="54" t="s">
        <v>226</v>
      </c>
      <c r="C84" s="54" t="s">
        <v>242</v>
      </c>
      <c r="D84" s="94" t="s">
        <v>257</v>
      </c>
      <c r="E84" s="94"/>
      <c r="F84" s="77" t="str">
        <f t="shared" ref="F84:F104" si="3">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G84" s="54" t="s">
        <v>228</v>
      </c>
    </row>
    <row r="85" spans="2:7">
      <c r="B85" s="54" t="s">
        <v>226</v>
      </c>
      <c r="C85" s="54" t="s">
        <v>243</v>
      </c>
      <c r="D85" s="94" t="s">
        <v>252</v>
      </c>
      <c r="E85" s="94"/>
      <c r="F85" s="77" t="str">
        <f t="shared" si="3"/>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G85" s="54" t="s">
        <v>228</v>
      </c>
    </row>
    <row r="86" spans="2:7">
      <c r="B86" s="54" t="s">
        <v>226</v>
      </c>
      <c r="C86" s="54" t="s">
        <v>244</v>
      </c>
      <c r="D86" s="94" t="s">
        <v>253</v>
      </c>
      <c r="E86" s="94"/>
      <c r="F86" s="77" t="str">
        <f t="shared" si="3"/>
        <v>"[CONTEXT] You are helping a Junior Developer who is " &amp; IF(UPPER(H9)="PROJECT", "building a PROJECT: " &amp; I9 &amp; ". Topics applied in this project: " &amp; B9 &amp; ". Project objective: " &amp; J9, "learning: " &amp; I9 &amp; ". Topic details: " &amp; J9) &amp; " | " &amp;</v>
      </c>
      <c r="G86" s="54" t="s">
        <v>228</v>
      </c>
    </row>
    <row r="87" spans="2:7">
      <c r="B87" s="54" t="s">
        <v>226</v>
      </c>
      <c r="C87" s="54" t="s">
        <v>234</v>
      </c>
      <c r="D87" s="94" t="s">
        <v>276</v>
      </c>
      <c r="E87" s="94"/>
      <c r="F87" s="77"/>
      <c r="G87" s="54"/>
    </row>
    <row r="88" spans="2:7">
      <c r="B88" s="54" t="s">
        <v>226</v>
      </c>
      <c r="C88" s="54" t="s">
        <v>175</v>
      </c>
      <c r="D88" s="94" t="s">
        <v>255</v>
      </c>
      <c r="E88" s="94"/>
      <c r="F88" s="77" t="str">
        <f t="shared" si="3"/>
        <v>"[LANGUAGE CONSISTENCY RULE] ALL output text MUST be written strictly in (" &amp; $B$6 &amp; "). | " &amp;</v>
      </c>
      <c r="G88" s="54" t="s">
        <v>228</v>
      </c>
    </row>
    <row r="89" spans="2:7">
      <c r="B89" s="54" t="s">
        <v>226</v>
      </c>
      <c r="C89" s="54" t="s">
        <v>508</v>
      </c>
      <c r="D89" s="94" t="s">
        <v>500</v>
      </c>
      <c r="E89" s="94"/>
      <c r="F89" s="77" t="str">
        <f t="shared" si="3"/>
        <v>"[LANGUAGE SEED CONTEXT] " &amp; IF($AE$7 = "", "Language Seed Not Necessary", "You MUST strictly follow this seed context to enhance, adapt, and naturalize your tone, vocabulary, and instructional quality in " &amp; $B$6 &amp; ": " &amp; $AE$7) &amp; " | " &amp;</v>
      </c>
      <c r="G89" s="54" t="s">
        <v>228</v>
      </c>
    </row>
    <row r="90" spans="2:7">
      <c r="B90" s="54" t="s">
        <v>226</v>
      </c>
      <c r="C90" s="54" t="s">
        <v>222</v>
      </c>
      <c r="D90" s="94" t="s">
        <v>258</v>
      </c>
      <c r="E90" s="94"/>
      <c r="F90" s="77" t="str">
        <f>IF(D90="","",""""&amp;C90&amp;" "&amp;IF(C90="[FOOTER RULE - STRICT]",D90,IF(RIGHT(D90,6)=" | "&amp;CHAR(34)&amp;" &amp;",D90,D90&amp;" | "&amp;CHAR(34)&amp;" &amp;")))</f>
        <v>"[LANGUAGE] " &amp; $B$6 &amp;" | " &amp;</v>
      </c>
      <c r="G90" s="54" t="s">
        <v>228</v>
      </c>
    </row>
    <row r="91" spans="2:7">
      <c r="B91" s="54" t="s">
        <v>227</v>
      </c>
      <c r="C91" s="54" t="s">
        <v>236</v>
      </c>
      <c r="D91" s="94"/>
      <c r="E91" s="94"/>
      <c r="F91" s="77" t="str">
        <f t="shared" ref="F91:F92" si="4">IF(D91="","",""""&amp;C91&amp;" "&amp;IF(C91="[FOOTER RULE - STRICT]",D91,IF(RIGHT(D91,6)=" | "&amp;CHAR(34)&amp;" &amp;",D91,D91&amp;" | "&amp;CHAR(34)&amp;" &amp;")))</f>
        <v/>
      </c>
      <c r="G91" s="54" t="s">
        <v>228</v>
      </c>
    </row>
    <row r="92" spans="2:7">
      <c r="B92" s="54" t="s">
        <v>227</v>
      </c>
      <c r="C92" s="54" t="s">
        <v>236</v>
      </c>
      <c r="D92" s="94"/>
      <c r="E92" s="94"/>
      <c r="F92" s="77" t="str">
        <f t="shared" si="4"/>
        <v/>
      </c>
      <c r="G92" s="54" t="s">
        <v>228</v>
      </c>
    </row>
    <row r="93" spans="2:7">
      <c r="B93" s="54" t="s">
        <v>227</v>
      </c>
      <c r="C93" s="54" t="s">
        <v>650</v>
      </c>
      <c r="D93" s="94" t="str">
        <f>CHAR(34) &amp; "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&amp; IF(G9="Beginner", "Evaluate based on basic GenServer structure (init/1, handle_call/3). Do NOT expect full Supervisor trees unless explicitly demanded.", IF(G9="Intermediate", "Expect GenServer behaviors integrated into a standard Supervisor. Look for proper state isolation and appropriate use of handle_cast/2 to avoid blocking.", "Expect complete OTP apps with DynamicSupervisor, clean separation of Client API/Server Callbacks, and handle_info/2 pattern matching.")) &amp; " | " &amp;</v>
      </c>
      <c r="E93" s="94" t="str">
        <f>"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xml:space="preserve"> &amp; IF(G9="Beginner", "Evaluate based on basic GenServer structure (init/1, handle_call/3). Do NOT expect full Supervisor trees unless explicitly demanded.", IF(G9="Intermediate", "Expect GenServer behaviors integrated into a standard Supervisor. Look for proper state isolation and appropriate use of handle_cast/2 to avoid blocking.", "Expect complete OTP apps with DynamicSupervisor, clean separation of Client API/Server Callbacks, and handle_info/2 pattern matching.")) &amp; " | " &amp;</v>
      </c>
      <c r="F93" s="77" t="str">
        <f>IF(D93="","",""""&amp;C93&amp;" "&amp;IF(C93="[FOOTER RULE - STRICT]",D93,IF(RIGHT(D93,6)=" | "&amp;CHAR(34)&amp;" &amp;",D93,D93&amp;" | "&amp;CHAR(34)&amp;" &amp;")))</f>
        <v>"[MENTOR_SCOPE_EXPECTATIONS] " &amp; IF(G9="Beginner", "Evaluate based on basic GenServer structure (init/1, handle_call/3). Do NOT expect full Supervisor trees unless explicitly demanded.", IF(G9="Intermediate", "Expect GenServer behaviors integrated into a standard Supervisor. Look for proper state isolation and appropriate use of handle_cast/2 to avoid blocking.", "Expect complete OTP apps with DynamicSupervisor, clean separation of Client API/Server Callbacks, and handle_info/2 pattern matching.")) &amp; " | " &amp;</v>
      </c>
      <c r="G93" s="54" t="s">
        <v>228</v>
      </c>
    </row>
    <row r="94" spans="2:7">
      <c r="B94" s="54" t="s">
        <v>227</v>
      </c>
      <c r="C94" s="54" t="s">
        <v>651</v>
      </c>
      <c r="D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&amp; IF(AJ9&lt;&gt;"", "[MENTOR CONTEXT ALERT] Be aware of the following infrastructure limitation for this exercise: " &amp; AJ9 &amp; " Use this knowledge to reassure the student if they present an environment error. | ", "") &amp; " | " &amp;</v>
      </c>
      <c r="E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&amp; IF(AJ9&lt;&gt;"", "[MENTOR CONTEXT ALERT] Be aware of the following infrastructure limitation for this exercise: " &amp; AJ9 &amp; " Use this knowledge to reassure the student if they present an environment error. | ", "") &amp; " | " &amp;</v>
      </c>
      <c r="F94" s="77" t="str">
        <f>IF(D94="","",""""&amp;C94&amp;" "&amp;IF(C94="[FOOTER RULE - STRICT]",D94,IF(RIGHT(D94,6)=" | "&amp;CHAR(34)&amp;" &amp;",D94,D94&amp;" | "&amp;CHAR(34)&amp;" &amp;")))</f>
        <v>"[CODE_QUALITY_POLICIES] Code MUST be idiomatic Elixir. Use descriptive snake_case for functions/variables, and PascalCase for module aliases. Leverage proper tuple pattern matching (e.g., {:noreply, new_state}) and strict immutability within process boundaries. Reject process mailbox clogging, blocking callbacks, bypassing OTP behaviors, or modifying external global state. If using default arguments ('\\') with multiple function clauses or callbacks, you MUST declare a function head without a body. | " &amp; IF(AJ9&lt;&gt;"", "[MENTOR CONTEXT ALERT] Be aware of the following infrastructure limitation for this exercise: " &amp; AJ9 &amp; " Use this knowledge to reassure the student if they present an environment error. | ", "") &amp; " | " &amp;</v>
      </c>
      <c r="G94" s="54" t="s">
        <v>228</v>
      </c>
    </row>
    <row r="95" spans="2:7">
      <c r="B95" s="84" t="s">
        <v>281</v>
      </c>
      <c r="C95" s="54" t="s">
        <v>177</v>
      </c>
      <c r="D95" s="94" t="s">
        <v>256</v>
      </c>
      <c r="E95" s="94"/>
      <c r="F95" s="77" t="str">
        <f t="shared" si="3"/>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G95" s="54" t="s">
        <v>228</v>
      </c>
    </row>
    <row r="96" spans="2:7">
      <c r="B96" s="84" t="s">
        <v>281</v>
      </c>
      <c r="C96" s="54" t="s">
        <v>245</v>
      </c>
      <c r="D96" s="94" t="s">
        <v>259</v>
      </c>
      <c r="E96" s="94"/>
      <c r="F96" s="77" t="str">
        <f t="shared" si="3"/>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G96" s="54" t="s">
        <v>228</v>
      </c>
    </row>
    <row r="97" spans="2:7">
      <c r="B97" s="84" t="s">
        <v>281</v>
      </c>
      <c r="C97" s="54" t="s">
        <v>165</v>
      </c>
      <c r="D97" s="94" t="s">
        <v>254</v>
      </c>
      <c r="E97" s="94"/>
      <c r="F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G97" s="54" t="s">
        <v>228</v>
      </c>
    </row>
    <row r="98" spans="2:7">
      <c r="B98" s="84" t="s">
        <v>281</v>
      </c>
      <c r="C98" s="54" t="s">
        <v>246</v>
      </c>
      <c r="D98" s="94" t="s">
        <v>324</v>
      </c>
      <c r="E98" s="94"/>
      <c r="F98" s="77" t="str">
        <f t="shared" si="3"/>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G98" s="54" t="s">
        <v>228</v>
      </c>
    </row>
    <row r="99" spans="2:7">
      <c r="B99" s="84" t="s">
        <v>281</v>
      </c>
      <c r="C99" s="54" t="s">
        <v>247</v>
      </c>
      <c r="D99" s="94" t="s">
        <v>320</v>
      </c>
      <c r="E99" s="94"/>
      <c r="F99" s="77" t="str">
        <f t="shared" si="3"/>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G99" s="54" t="s">
        <v>228</v>
      </c>
    </row>
    <row r="100" spans="2:7">
      <c r="B100" s="84" t="s">
        <v>281</v>
      </c>
      <c r="C100" s="54" t="s">
        <v>248</v>
      </c>
      <c r="D100" s="94" t="s">
        <v>323</v>
      </c>
      <c r="E100" s="94"/>
      <c r="F100" s="77" t="str">
        <f t="shared" si="3"/>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G100" s="54" t="s">
        <v>228</v>
      </c>
    </row>
    <row r="101" spans="2:7">
      <c r="B101" s="84" t="s">
        <v>281</v>
      </c>
      <c r="C101" s="54" t="s">
        <v>249</v>
      </c>
      <c r="D101" s="94" t="s">
        <v>260</v>
      </c>
      <c r="E101" s="94"/>
      <c r="F101" s="77" t="str">
        <f t="shared" si="3"/>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G101" s="54" t="s">
        <v>228</v>
      </c>
    </row>
    <row r="102" spans="2:7">
      <c r="B102" s="84" t="s">
        <v>281</v>
      </c>
      <c r="C102" s="54" t="s">
        <v>251</v>
      </c>
      <c r="D102" s="94" t="s">
        <v>321</v>
      </c>
      <c r="E102" s="94"/>
      <c r="F102" s="77" t="str">
        <f t="shared" si="3"/>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G102" s="54" t="s">
        <v>228</v>
      </c>
    </row>
    <row r="103" spans="2:7">
      <c r="B103" s="84" t="s">
        <v>281</v>
      </c>
      <c r="C103" s="54" t="s">
        <v>219</v>
      </c>
      <c r="D103" s="94" t="s">
        <v>600</v>
      </c>
      <c r="E103" s="94"/>
      <c r="F103" s="77" t="str">
        <f t="shared" si="3"/>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G103" s="54" t="s">
        <v>228</v>
      </c>
    </row>
    <row r="104" spans="2:7">
      <c r="B104" s="84" t="s">
        <v>281</v>
      </c>
      <c r="C104" s="54" t="s">
        <v>224</v>
      </c>
      <c r="D104" s="94" t="s">
        <v>322</v>
      </c>
      <c r="E104" s="94"/>
      <c r="F104" s="77" t="str">
        <f t="shared" si="3"/>
        <v>"[FOOTER RULE - STRICT] End your response with: '--- ⚡ *Coding5s Mentor System — Eliminating Epistemic Debt*' | ","")</v>
      </c>
      <c r="G104" s="54" t="s">
        <v>228</v>
      </c>
    </row>
  </sheetData>
  <conditionalFormatting sqref="B1:B1048576">
    <cfRule type="cellIs" dxfId="56" priority="16" operator="equal">
      <formula>"The Immutable ""Kernel"""</formula>
    </cfRule>
    <cfRule type="cellIs" dxfId="55" priority="17" operator="equal">
      <formula>"Paradigm &amp; Ecosystem"</formula>
    </cfRule>
    <cfRule type="cellIs" dxfId="54" priority="18" operator="equal">
      <formula>"Global Variables &amp; Configuration"</formula>
    </cfRule>
  </conditionalFormatting>
  <conditionalFormatting sqref="C4:C50">
    <cfRule type="expression" dxfId="53" priority="13">
      <formula>$B4="The Immutable Kernel"</formula>
    </cfRule>
    <cfRule type="expression" dxfId="52" priority="14">
      <formula>$B4="Paradigm &amp; Ecosystem"</formula>
    </cfRule>
    <cfRule type="expression" dxfId="51" priority="15">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7">
      <formula>$B84="The Immutable Kernel"</formula>
    </cfRule>
    <cfRule type="expression" dxfId="46" priority="8">
      <formula>$B84="Paradigm &amp; Ecosystem"</formula>
    </cfRule>
    <cfRule type="expression" dxfId="45" priority="9">
      <formula>$B84="Global Variables &amp; Configuration"</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B2:AC100"/>
  <sheetViews>
    <sheetView showGridLines="0" zoomScaleNormal="100" workbookViewId="0">
      <selection activeCell="B2" sqref="B2"/>
    </sheetView>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2:29" ht="36">
      <c r="B2" s="78" t="s">
        <v>462</v>
      </c>
      <c r="D2" s="81" t="s">
        <v>280</v>
      </c>
      <c r="H2" s="82"/>
      <c r="T2" s="82"/>
    </row>
    <row r="3" spans="2:29">
      <c r="B3" s="76" t="s">
        <v>225</v>
      </c>
      <c r="C3" s="76" t="s">
        <v>596</v>
      </c>
      <c r="D3" s="76" t="s">
        <v>597</v>
      </c>
      <c r="E3" s="88" t="s">
        <v>233</v>
      </c>
      <c r="F3" s="4" t="s">
        <v>228</v>
      </c>
      <c r="AC3" t="s">
        <v>228</v>
      </c>
    </row>
    <row r="4" spans="2:29">
      <c r="B4" s="75" t="s">
        <v>226</v>
      </c>
      <c r="C4" s="54" t="s">
        <v>163</v>
      </c>
      <c r="D4" s="93" t="s">
        <v>282</v>
      </c>
      <c r="E4" s="77" t="str">
        <f t="shared" ref="E4:E41" si="0">IF(D4="","",""""&amp;C4&amp;" "&amp;IF(C4="[FOOTER RULE - STRICT]",D4,IF(RIGHT(D4,6)=" | "&amp;CHAR(34)&amp;" &amp;",D4,D4&amp;" | "&amp;CHAR(34)&amp;" &amp;")))</f>
        <v>"[ROLE] Careless " &amp; $I$2 &amp; " Developer | " &amp;</v>
      </c>
      <c r="F4" s="54" t="s">
        <v>228</v>
      </c>
    </row>
    <row r="5" spans="2:29">
      <c r="B5" s="75" t="s">
        <v>226</v>
      </c>
      <c r="C5" s="54" t="s">
        <v>165</v>
      </c>
      <c r="D5" s="93" t="s">
        <v>283</v>
      </c>
      <c r="E5" s="77" t="str">
        <f t="shared" si="0"/>
        <v>"[TASK] Generate debugging challenges in " &amp; $I$2 &amp; " | | " &amp;</v>
      </c>
      <c r="F5" s="54" t="s">
        <v>228</v>
      </c>
    </row>
    <row r="6" spans="2:29">
      <c r="B6" s="75" t="s">
        <v>226</v>
      </c>
      <c r="C6" s="54" t="s">
        <v>167</v>
      </c>
      <c r="D6" s="93" t="s">
        <v>284</v>
      </c>
      <c r="E6" s="77" t="str">
        <f t="shared" si="0"/>
        <v>"[TOPIC] " &amp; I9 &amp; " | | " &amp;</v>
      </c>
      <c r="F6" s="54" t="s">
        <v>228</v>
      </c>
    </row>
    <row r="7" spans="2:29">
      <c r="B7" s="75" t="s">
        <v>226</v>
      </c>
      <c r="C7" s="54" t="s">
        <v>169</v>
      </c>
      <c r="D7" s="93" t="s">
        <v>285</v>
      </c>
      <c r="E7" s="77" t="str">
        <f t="shared" si="0"/>
        <v>"[LEVEL] " &amp; G9 &amp; " | | " &amp;</v>
      </c>
      <c r="F7" s="54" t="s">
        <v>228</v>
      </c>
    </row>
    <row r="8" spans="2:29">
      <c r="B8" s="75" t="s">
        <v>226</v>
      </c>
      <c r="C8" s="54" t="s">
        <v>171</v>
      </c>
      <c r="D8" s="93" t="s">
        <v>286</v>
      </c>
      <c r="E8" s="77" t="str">
        <f t="shared" si="0"/>
        <v>"[COUNT] " &amp; D9 &amp; " challenges | " &amp;</v>
      </c>
      <c r="F8" s="54" t="s">
        <v>228</v>
      </c>
    </row>
    <row r="9" spans="2:29">
      <c r="B9" s="75" t="s">
        <v>226</v>
      </c>
      <c r="C9" s="54" t="s">
        <v>234</v>
      </c>
      <c r="D9" s="93" t="s">
        <v>276</v>
      </c>
      <c r="E9" s="77" t="str">
        <f t="shared" si="0"/>
        <v>"[LIBRARY BEING LEARNED] " &amp; $I$3 &amp; " | " &amp;</v>
      </c>
      <c r="F9" s="54" t="s">
        <v>228</v>
      </c>
    </row>
    <row r="10" spans="2:29">
      <c r="B10" s="75" t="s">
        <v>226</v>
      </c>
      <c r="C10" s="32" t="s">
        <v>229</v>
      </c>
      <c r="D10" s="93" t="str">
        <f>"If a module or ecosystem like "&amp; Variables!E6 &amp;" is specified in "&amp; Variables!E7 &amp;", you are CRITICALLY FORBIDDEN from using "&amp; Variables!E8 &amp;". You MUST enforce the "&amp; Variables!E9 &amp;" and data structures of that specific library."</f>
        <v>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v>
      </c>
      <c r="E10" s="77" t="str">
        <f t="shared" si="0"/>
        <v>"[ECOSYSTEM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v>
      </c>
      <c r="F10" s="54" t="s">
        <v>228</v>
      </c>
    </row>
    <row r="11" spans="2:29">
      <c r="B11" s="75" t="s">
        <v>226</v>
      </c>
      <c r="C11" s="54" t="s">
        <v>219</v>
      </c>
      <c r="D11" s="93" t="s">
        <v>601</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228</v>
      </c>
    </row>
    <row r="12" spans="2:29">
      <c r="B12" s="75" t="s">
        <v>226</v>
      </c>
      <c r="C12" s="54" t="s">
        <v>175</v>
      </c>
      <c r="D12" s="93" t="s">
        <v>176</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228</v>
      </c>
    </row>
    <row r="13" spans="2:29">
      <c r="B13" s="75" t="s">
        <v>226</v>
      </c>
      <c r="C13" s="54" t="s">
        <v>508</v>
      </c>
      <c r="D13" s="93" t="s">
        <v>500</v>
      </c>
      <c r="E13" s="77" t="str">
        <f t="shared" si="0"/>
        <v>"[LANGUAGE SEED CONTEXT] " &amp; IF($AE$7 = "", "Language Seed Not Necessary", "You MUST strictly follow this seed context to enhance, adapt, and naturalize your tone, vocabulary, and instructional quality in " &amp; $B$6 &amp; ": " &amp; $AE$7) &amp; " | " &amp;</v>
      </c>
      <c r="F13" s="54" t="s">
        <v>228</v>
      </c>
    </row>
    <row r="14" spans="2:29">
      <c r="B14" s="83" t="s">
        <v>227</v>
      </c>
      <c r="C14" s="54" t="s">
        <v>236</v>
      </c>
      <c r="D14" s="93"/>
      <c r="E14" s="77" t="str">
        <f t="shared" si="0"/>
        <v/>
      </c>
      <c r="F14" s="54" t="s">
        <v>228</v>
      </c>
    </row>
    <row r="15" spans="2:29">
      <c r="B15" s="83" t="s">
        <v>227</v>
      </c>
      <c r="C15" s="54" t="s">
        <v>236</v>
      </c>
      <c r="D15" s="93"/>
      <c r="E15" s="77" t="str">
        <f t="shared" si="0"/>
        <v/>
      </c>
      <c r="F15" s="54" t="s">
        <v>228</v>
      </c>
    </row>
    <row r="16" spans="2:29">
      <c r="B16" s="83" t="s">
        <v>227</v>
      </c>
      <c r="C16" s="32" t="s">
        <v>192</v>
      </c>
      <c r="D16" s="93" t="str">
        <f>Variables!E31 &amp; " | " &amp; Variables!E32 &amp; " | " &amp; Variables!E33 &amp; " | " &amp; CHAR(34) &amp; " &amp;"</f>
        <v>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 &amp;</v>
      </c>
      <c r="E16" s="77" t="str">
        <f t="shared" si="0"/>
        <v>"[FILE HANDLING RULE] Use standard GenServer message passing and gracefully handle tuple returns like {:reply, response, state} or {:stop, reason, state}. | Application environment config may be used but bugs MUST exist ONLY in GenServer/Supervisor logic, NEVER in config/config.exs. | If supervision trees/application logic are externalized, MUST include: 1. Instructional sentence 2. Setup module block 3. BEFORE the broken OTP module (Support files MUST contain NO bugs) | " &amp;</v>
      </c>
      <c r="F16" s="54" t="s">
        <v>228</v>
      </c>
    </row>
    <row r="17" spans="2:6">
      <c r="B17" s="83" t="s">
        <v>227</v>
      </c>
      <c r="C17" s="32" t="s">
        <v>617</v>
      </c>
      <c r="D17" s="93" t="str">
        <f>Variables!E34 &amp; " | " &amp; CHAR(34) &amp; " &amp;"</f>
        <v>Always use use ExUnit.Case, async: true. You MUST use assert_receive or sys.get_state/1 for process testing. Avoid doctests for stateful OTP processes. | " &amp;</v>
      </c>
      <c r="E17" s="77" t="str">
        <f t="shared" si="0"/>
        <v>"[EXUNIT RULE] Always use use ExUnit.Case, async: true. You MUST use assert_receive or sys.get_state/1 for process testing. Avoid doctests for stateful OTP processes. | " &amp;</v>
      </c>
      <c r="F17" s="54" t="s">
        <v>228</v>
      </c>
    </row>
    <row r="18" spans="2:6">
      <c r="B18" s="54" t="s">
        <v>227</v>
      </c>
      <c r="C18" s="32" t="s">
        <v>616</v>
      </c>
      <c r="D18" s="93" t="str">
        <f>Variables!E35 &amp; " | " &amp; CHAR(34) &amp; " &amp;"</f>
        <v>Assume a standard Mix project context. External Hex dependencies MUST be specified strictly within the deps/0 block of mix.exs. NEVER use Mix.install/2. | " &amp;</v>
      </c>
      <c r="E18" s="77" t="str">
        <f t="shared" si="0"/>
        <v>"[HEX DEPENDENCIES RULE] Assume a standard Mix project context. External Hex dependencies MUST be specified strictly within the deps/0 block of mix.exs. NEVER use Mix.install/2. | " &amp;</v>
      </c>
      <c r="F18" s="54" t="s">
        <v>228</v>
      </c>
    </row>
    <row r="19" spans="2:6">
      <c r="B19" s="54" t="s">
        <v>227</v>
      </c>
      <c r="C19" s="32" t="s">
        <v>182</v>
      </c>
      <c r="D19" s="93" t="str">
        <f>Variables!E36 &amp; " - " &amp; CHAR(34) &amp; " &amp; IF(G9=" &amp; CHAR(34) &amp; "Beginner" &amp; CHAR(34) &amp; ", " &amp; CHAR(34) &amp; "5–15" &amp; CHAR(34) &amp; ", IF(G9=" &amp; CHAR(34) &amp; "Intermediate" &amp; CHAR(34) &amp; ", " &amp; CHAR(34) &amp; "10–25" &amp; CHAR(34) &amp; ", " &amp; CHAR(34) &amp; "15–35" &amp; CHAR(34) &amp; ")) &amp; " &amp; CHAR(34) &amp; " " &amp; Variables!E37 &amp; " | " &amp; Variables!E38 &amp; " | " &amp; CHAR(34) &amp; " &amp;"</f>
        <v>Each challenge MUST include: - At least 1 GenServer or Supervisor - Explicit state initialization (init/1) - At least 1 synchronous or asynchronous OTP callback handler - " &amp; IF(G9="Beginner", "5–15", IF(G9="Intermediate", "10–25", "15–35")) &amp; " lines of EXECUTABLE broken OTP code per example (STRICT: Do NOT count blank lines). Enforce immutable state transitions across process boundaries. | All challenges MUST have similar process tree depth and architectural complexity. | " &amp;</v>
      </c>
      <c r="E19" s="77" t="str">
        <f t="shared" si="0"/>
        <v>"[CODE CONSTRAINTS] Each challenge MUST include: - At least 1 GenServer or Supervisor - Explicit state initialization (init/1) - At least 1 synchronous or asynchronous OTP callback handler - " &amp; IF(G9="Beginner", "5–15", IF(G9="Intermediate", "10–25", "15–35")) &amp; " lines of EXECUTABLE broken OTP code per example (STRICT: Do NOT count blank lines). Enforce immutable state transitions across process boundaries. | All challenges MUST have similar process tree depth and architectural complexity. | " &amp;</v>
      </c>
      <c r="F19" s="54" t="s">
        <v>228</v>
      </c>
    </row>
    <row r="20" spans="2:6">
      <c r="B20" s="54" t="s">
        <v>281</v>
      </c>
      <c r="C20" s="54" t="s">
        <v>191</v>
      </c>
      <c r="D20" s="93" t="s">
        <v>288</v>
      </c>
      <c r="E20" s="77" t="str">
        <f t="shared" si="0"/>
        <v>"[INTRO RULE] The intro MUST be a dynamically generated, urgent, unprofessional email in " &amp; $B$6 &amp; " with this EXACT format: '📥 From: [Random Dev Name]' / '📤 To: [Insert my user name if you know it from context, otherwise use " &amp; $I$2 &amp; "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 '🚨 Your objective in this lesson: You must copy the code blocks from each Challenge exactly as they are and paste them into your IDE. Then you have to fix all the errors in the code until you achieve the exact Expected Output when running the program.' | " &amp;</v>
      </c>
      <c r="F20" s="54" t="s">
        <v>228</v>
      </c>
    </row>
    <row r="21" spans="2:6">
      <c r="B21" s="54" t="s">
        <v>281</v>
      </c>
      <c r="C21" s="54" t="s">
        <v>289</v>
      </c>
      <c r="D21" s="93" t="s">
        <v>290</v>
      </c>
      <c r="E21" s="77" t="str">
        <f t="shared" si="0"/>
        <v>"[COMMENT RULE] Do NOT include comments that reveal bugs | " &amp;</v>
      </c>
      <c r="F21" s="54" t="s">
        <v>228</v>
      </c>
    </row>
    <row r="22" spans="2:6">
      <c r="B22" s="54" t="s">
        <v>281</v>
      </c>
      <c r="C22" s="54" t="s">
        <v>211</v>
      </c>
      <c r="D22" s="93" t="s">
        <v>291</v>
      </c>
      <c r="E22" s="77" t="str">
        <f t="shared" si="0"/>
        <v>"[FORMAT RULE] Only valid markdown code blocks allowed | " &amp;</v>
      </c>
      <c r="F22" s="54" t="s">
        <v>228</v>
      </c>
    </row>
    <row r="23" spans="2:6">
      <c r="B23" s="54" t="s">
        <v>281</v>
      </c>
      <c r="C23" s="54" t="s">
        <v>213</v>
      </c>
      <c r="D23" s="93" t="s">
        <v>292</v>
      </c>
      <c r="E23" s="77" t="str">
        <f t="shared" si="0"/>
        <v>"[LANGUAGE TAG RULE] ALWAYS label markdown code blocks with the correct underlying programming language (e.g., python, javascript, sql) | " &amp;</v>
      </c>
      <c r="F23" s="54" t="s">
        <v>228</v>
      </c>
    </row>
    <row r="24" spans="2:6">
      <c r="B24" s="54" t="s">
        <v>281</v>
      </c>
      <c r="C24" s="54" t="s">
        <v>293</v>
      </c>
      <c r="D24" s="93" t="s">
        <v>294</v>
      </c>
      <c r="E24" s="77" t="str">
        <f t="shared" si="0"/>
        <v>"[STRICT MODE] If ANY rule is violated, regenerate entire response | " &amp;</v>
      </c>
      <c r="F24" s="54" t="s">
        <v>228</v>
      </c>
    </row>
    <row r="25" spans="2:6">
      <c r="B25" s="54" t="s">
        <v>281</v>
      </c>
      <c r="C25" s="54" t="s">
        <v>173</v>
      </c>
      <c r="D25" s="93" t="s">
        <v>295</v>
      </c>
      <c r="E25" s="77" t="str">
        <f t="shared" si="0"/>
        <v>"[PERSONA RULE] Use a careless, messy, slightly frustrated developer tone | " &amp;</v>
      </c>
      <c r="F25" s="54" t="s">
        <v>228</v>
      </c>
    </row>
    <row r="26" spans="2:6">
      <c r="B26" s="54" t="s">
        <v>281</v>
      </c>
      <c r="C26" s="54" t="s">
        <v>180</v>
      </c>
      <c r="D26" s="93" t="s">
        <v>296</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228</v>
      </c>
    </row>
    <row r="27" spans="2:6">
      <c r="B27" s="54" t="s">
        <v>281</v>
      </c>
      <c r="C27" s="54" t="s">
        <v>220</v>
      </c>
      <c r="D27" s="93" t="s">
        <v>297</v>
      </c>
      <c r="E27" s="77" t="str">
        <f t="shared" si="0"/>
        <v>"[OUTPUT] Only header, dataset summary (if any), email intro, challenges, and footer | " &amp;</v>
      </c>
      <c r="F27" s="54" t="s">
        <v>228</v>
      </c>
    </row>
    <row r="28" spans="2:6">
      <c r="B28" s="54" t="s">
        <v>281</v>
      </c>
      <c r="C28" s="54" t="s">
        <v>298</v>
      </c>
      <c r="D28" s="93" t="s">
        <v>299</v>
      </c>
      <c r="E28" s="77" t="str">
        <f t="shared" si="0"/>
        <v>"[STRUCTURE RULE] Do NOT rename sections. Do NOT add titles. Do NOT add extra text (except when required by SUPPORT FILES RULE) | " &amp;</v>
      </c>
      <c r="F28" s="54" t="s">
        <v>228</v>
      </c>
    </row>
    <row r="29" spans="2:6">
      <c r="B29" s="54" t="s">
        <v>281</v>
      </c>
      <c r="C29" s="54" t="s">
        <v>216</v>
      </c>
      <c r="D29" s="93" t="s">
        <v>300</v>
      </c>
      <c r="E29" s="77" t="str">
        <f t="shared" si="0"/>
        <v>"[CONSISTENCY RULE] All challenges MUST have similar complexity and length | " &amp;</v>
      </c>
      <c r="F29" s="54" t="s">
        <v>228</v>
      </c>
    </row>
    <row r="30" spans="2:6">
      <c r="B30" s="54" t="s">
        <v>281</v>
      </c>
      <c r="C30" s="54" t="s">
        <v>301</v>
      </c>
      <c r="D30" s="93" t="s">
        <v>302</v>
      </c>
      <c r="E30" s="77" t="str">
        <f t="shared" si="0"/>
        <v>"[BUG COMPLEXITY RULE] Must align with score (3 basic, 4 intermediate, 5 multi-step) | " &amp;</v>
      </c>
      <c r="F30" s="54" t="s">
        <v>228</v>
      </c>
    </row>
    <row r="31" spans="2:6">
      <c r="B31" s="54" t="s">
        <v>281</v>
      </c>
      <c r="C31" s="54" t="s">
        <v>303</v>
      </c>
      <c r="D31" s="93" t="s">
        <v>304</v>
      </c>
      <c r="E31" s="77" t="str">
        <f t="shared" si="0"/>
        <v>"[BUG RULE] Each challenge MUST include 2–3 bugs. | " &amp;</v>
      </c>
      <c r="F31" s="54" t="s">
        <v>228</v>
      </c>
    </row>
    <row r="32" spans="2:6">
      <c r="B32" s="54" t="s">
        <v>281</v>
      </c>
      <c r="C32" s="54" t="s">
        <v>305</v>
      </c>
      <c r="D32" s="93" t="s">
        <v>306</v>
      </c>
      <c r="E32" s="77" t="str">
        <f t="shared" si="0"/>
        <v>"[CORRECTNESS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v>
      </c>
      <c r="F32" s="54" t="s">
        <v>228</v>
      </c>
    </row>
    <row r="33" spans="2:6">
      <c r="B33" s="54" t="s">
        <v>281</v>
      </c>
      <c r="C33" s="54" t="s">
        <v>268</v>
      </c>
      <c r="D33" s="93" t="s">
        <v>307</v>
      </c>
      <c r="E33" s="77" t="str">
        <f t="shared" si="0"/>
        <v>"[EXECUTION RULE] Code must fail due to syntax errors, runtime exceptions, or produce incorrect output | " &amp;</v>
      </c>
      <c r="F33" s="54" t="s">
        <v>228</v>
      </c>
    </row>
    <row r="34" spans="2:6">
      <c r="B34" s="54" t="s">
        <v>281</v>
      </c>
      <c r="C34" s="54" t="s">
        <v>177</v>
      </c>
      <c r="D34" s="93" t="s">
        <v>308</v>
      </c>
      <c r="E34" s="77" t="str">
        <f t="shared" si="0"/>
        <v>"[DATA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v>
      </c>
      <c r="F34" s="54" t="s">
        <v>228</v>
      </c>
    </row>
    <row r="35" spans="2:6">
      <c r="B35" s="54" t="s">
        <v>281</v>
      </c>
      <c r="C35" s="54" t="s">
        <v>309</v>
      </c>
      <c r="D35" s="93" t="s">
        <v>310</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228</v>
      </c>
    </row>
    <row r="36" spans="2:6">
      <c r="B36" s="54" t="s">
        <v>281</v>
      </c>
      <c r="C36" s="54" t="s">
        <v>178</v>
      </c>
      <c r="D36" s="93" t="s">
        <v>311</v>
      </c>
      <c r="E36" s="77" t="str">
        <f t="shared" si="0"/>
        <v>"[DATA SUMMARY FORMAT RULE] Dataset Summary: - File Type: - Columns / Fields: - Data Types: - Notes: | " &amp;</v>
      </c>
      <c r="F36" s="54" t="s">
        <v>228</v>
      </c>
    </row>
    <row r="37" spans="2:6">
      <c r="B37" s="54" t="s">
        <v>281</v>
      </c>
      <c r="C37" s="54" t="s">
        <v>312</v>
      </c>
      <c r="D37" s="93" t="s">
        <v>313</v>
      </c>
      <c r="E37" s="77" t="str">
        <f t="shared" si="0"/>
        <v>"[SUPPORT FILES RULE - STRICT] If env/config is used, MUST include: 1. Instructional sentence 2. File content in markdown code block 3. BEFORE the broken code | | " &amp;</v>
      </c>
      <c r="F37" s="54" t="s">
        <v>228</v>
      </c>
    </row>
    <row r="38" spans="2:6">
      <c r="B38" s="54" t="s">
        <v>281</v>
      </c>
      <c r="C38" s="54" t="s">
        <v>314</v>
      </c>
      <c r="D38" s="93" t="s">
        <v>315</v>
      </c>
      <c r="E38" s="77" t="str">
        <f t="shared" si="0"/>
        <v>"[SUPPORT FILES QUALITY RULE] Support files (.env, .env.example, .gitignore) MUST be fully correct and contain NO bugs | " &amp;</v>
      </c>
      <c r="F38" s="54" t="s">
        <v>228</v>
      </c>
    </row>
    <row r="39" spans="2:6">
      <c r="B39" s="54" t="s">
        <v>281</v>
      </c>
      <c r="C39" s="54" t="s">
        <v>316</v>
      </c>
      <c r="D39" s="93" t="s">
        <v>317</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228</v>
      </c>
    </row>
    <row r="40" spans="2:6">
      <c r="B40" s="54" t="s">
        <v>281</v>
      </c>
      <c r="C40" s="54" t="s">
        <v>224</v>
      </c>
      <c r="D40" s="93" t="s">
        <v>319</v>
      </c>
      <c r="E40" s="77" t="str">
        <f t="shared" si="0"/>
        <v>"[FOOTER RULE - STRICT] End your entire response EXACTLY with this markdown string (ensure all code blocks are closed before it):" &amp; CHAR(10) &amp; "---" &amp; CHAR(10) &amp; "⚡ Coding5s System - Learn Programming by Writing Code - Coding5S.com",</v>
      </c>
      <c r="F40" s="54" t="s">
        <v>228</v>
      </c>
    </row>
    <row r="41" spans="2:6">
      <c r="B41" s="54" t="s">
        <v>281</v>
      </c>
      <c r="C41" s="54"/>
      <c r="D41" s="93"/>
      <c r="E41" s="77" t="str">
        <f t="shared" si="0"/>
        <v/>
      </c>
      <c r="F41" s="54" t="s">
        <v>228</v>
      </c>
    </row>
    <row r="42" spans="2:6">
      <c r="B42" s="54" t="s">
        <v>281</v>
      </c>
      <c r="C42" s="54"/>
      <c r="D42" s="93"/>
      <c r="E42" s="88" t="s">
        <v>318</v>
      </c>
      <c r="F42" s="54"/>
    </row>
    <row r="43" spans="2:6">
      <c r="B43" s="74"/>
      <c r="C43" s="74"/>
      <c r="E43" s="86"/>
    </row>
    <row r="44" spans="2:6">
      <c r="B44" s="74"/>
      <c r="C44" s="74"/>
      <c r="E44" s="86"/>
    </row>
    <row r="45" spans="2:6" ht="36">
      <c r="B45" s="79" t="s">
        <v>461</v>
      </c>
      <c r="C45" s="74"/>
      <c r="E45" s="86"/>
    </row>
    <row r="46" spans="2:6">
      <c r="B46" s="76" t="s">
        <v>273</v>
      </c>
      <c r="C46" s="76" t="s">
        <v>596</v>
      </c>
      <c r="D46" s="76" t="s">
        <v>597</v>
      </c>
      <c r="E46" s="88" t="s">
        <v>274</v>
      </c>
      <c r="F46" s="32" t="s">
        <v>228</v>
      </c>
    </row>
    <row r="47" spans="2:6">
      <c r="B47" s="54" t="s">
        <v>226</v>
      </c>
      <c r="C47" s="54" t="s">
        <v>163</v>
      </c>
      <c r="D47" s="93" t="s">
        <v>282</v>
      </c>
      <c r="E47" s="77" t="str">
        <f>IF(D47="","",""""&amp;C47&amp;" "&amp;IF(C47="[FOOTER RULE - STRICT]",D47,IF(RIGHT(D47,6)=" | "&amp;CHAR(34)&amp;" &amp;",D47,D47&amp;" | "&amp;CHAR(34)&amp;" &amp;")))</f>
        <v>"[ROLE] Careless " &amp; $I$2 &amp; " Developer | " &amp;</v>
      </c>
      <c r="F47" s="32" t="s">
        <v>228</v>
      </c>
    </row>
    <row r="48" spans="2:6">
      <c r="B48" s="54" t="s">
        <v>226</v>
      </c>
      <c r="C48" s="54" t="s">
        <v>165</v>
      </c>
      <c r="D48" s="93" t="s">
        <v>325</v>
      </c>
      <c r="E48" s="77" t="str">
        <f t="shared" ref="E48:E76" si="1">IF(D48="","",""""&amp;C48&amp;" "&amp;IF(C48="[FOOTER RULE - STRICT]",D48,IF(RIGHT(D48,6)=" | "&amp;CHAR(34)&amp;" &amp;",D48,D48&amp;" | "&amp;CHAR(34)&amp;" &amp;")))</f>
        <v>"[TASK] Generate debugging project in " &amp; $I$2 &amp; " | " &amp;</v>
      </c>
      <c r="F48" s="32" t="s">
        <v>228</v>
      </c>
    </row>
    <row r="49" spans="2:6">
      <c r="B49" s="54" t="s">
        <v>226</v>
      </c>
      <c r="C49" s="54" t="s">
        <v>326</v>
      </c>
      <c r="D49" s="93" t="s">
        <v>168</v>
      </c>
      <c r="E49" s="77" t="str">
        <f t="shared" si="1"/>
        <v>"[PROJECT] " &amp; I9 &amp; " | " &amp;</v>
      </c>
      <c r="F49" s="32" t="s">
        <v>228</v>
      </c>
    </row>
    <row r="50" spans="2:6">
      <c r="B50" s="54" t="s">
        <v>226</v>
      </c>
      <c r="C50" s="54" t="s">
        <v>261</v>
      </c>
      <c r="D50" s="93" t="s">
        <v>262</v>
      </c>
      <c r="E50" s="77" t="str">
        <f t="shared" si="1"/>
        <v>"[TOPICS USED] " &amp; B9 &amp; " | " &amp;</v>
      </c>
      <c r="F50" s="32" t="s">
        <v>228</v>
      </c>
    </row>
    <row r="51" spans="2:6">
      <c r="B51" s="54" t="s">
        <v>226</v>
      </c>
      <c r="C51" s="54" t="s">
        <v>169</v>
      </c>
      <c r="D51" s="93" t="s">
        <v>170</v>
      </c>
      <c r="E51" s="77" t="str">
        <f t="shared" si="1"/>
        <v>"[LEVEL] " &amp; G9 &amp; " | " &amp;</v>
      </c>
      <c r="F51" s="32" t="s">
        <v>228</v>
      </c>
    </row>
    <row r="52" spans="2:6">
      <c r="B52" s="54" t="s">
        <v>226</v>
      </c>
      <c r="C52" s="54" t="s">
        <v>220</v>
      </c>
      <c r="D52" s="93" t="s">
        <v>327</v>
      </c>
      <c r="E52" s="77" t="str">
        <f t="shared" si="1"/>
        <v>"[OUTPUT] Only header, dataset summary or statement (if any), email intro, objective, expected output, broken code, and footer | " &amp;</v>
      </c>
      <c r="F52" s="32" t="s">
        <v>228</v>
      </c>
    </row>
    <row r="53" spans="2:6">
      <c r="B53" s="54" t="s">
        <v>226</v>
      </c>
      <c r="C53" s="54" t="s">
        <v>219</v>
      </c>
      <c r="D53" s="93" t="s">
        <v>602</v>
      </c>
      <c r="E53" s="77" t="str">
        <f t="shared" si="1"/>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228</v>
      </c>
    </row>
    <row r="54" spans="2:6">
      <c r="B54" s="54" t="s">
        <v>226</v>
      </c>
      <c r="C54" s="54" t="s">
        <v>234</v>
      </c>
      <c r="D54" s="93" t="s">
        <v>276</v>
      </c>
      <c r="E54" s="77" t="str">
        <f t="shared" si="1"/>
        <v>"[LIBRARY BEING LEARNED] " &amp; $I$3 &amp; " | " &amp;</v>
      </c>
      <c r="F54" s="32" t="s">
        <v>228</v>
      </c>
    </row>
    <row r="55" spans="2:6">
      <c r="B55" s="54" t="s">
        <v>226</v>
      </c>
      <c r="C55" s="54" t="s">
        <v>229</v>
      </c>
      <c r="D55" s="93" t="str">
        <f>"If a module or ecosystem like "&amp; Variables!E6 &amp;" is specified in "&amp; Variables!E7 &amp;", you are CRITICALLY FORBIDDEN from using "&amp; Variables!E8 &amp;". You MUST enforce the "&amp; Variables!E9 &amp;" and data structures of that specific library."</f>
        <v>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v>
      </c>
      <c r="E55" s="77" t="str">
        <f t="shared" si="1"/>
        <v>"[ECOSYSTEM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v>
      </c>
      <c r="F55" s="32" t="s">
        <v>228</v>
      </c>
    </row>
    <row r="56" spans="2:6">
      <c r="B56" s="54" t="s">
        <v>226</v>
      </c>
      <c r="C56" s="54" t="s">
        <v>175</v>
      </c>
      <c r="D56" s="93" t="s">
        <v>328</v>
      </c>
      <c r="E56" s="77" t="str">
        <f t="shared" si="1"/>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228</v>
      </c>
    </row>
    <row r="57" spans="2:6">
      <c r="B57" s="54" t="s">
        <v>226</v>
      </c>
      <c r="C57" s="54" t="s">
        <v>508</v>
      </c>
      <c r="D57" s="93" t="s">
        <v>500</v>
      </c>
      <c r="E57" s="77" t="str">
        <f t="shared" si="1"/>
        <v>"[LANGUAGE SEED CONTEXT] " &amp; IF($AE$7 = "", "Language Seed Not Necessary", "You MUST strictly follow this seed context to enhance, adapt, and naturalize your tone, vocabulary, and instructional quality in " &amp; $B$6 &amp; ": " &amp; $AE$7) &amp; " | " &amp;</v>
      </c>
      <c r="F57" s="32" t="s">
        <v>228</v>
      </c>
    </row>
    <row r="58" spans="2:6">
      <c r="B58" s="54" t="s">
        <v>227</v>
      </c>
      <c r="C58" s="54" t="s">
        <v>236</v>
      </c>
      <c r="D58" s="93"/>
      <c r="E58" s="77" t="str">
        <f t="shared" si="1"/>
        <v/>
      </c>
      <c r="F58" s="32" t="s">
        <v>228</v>
      </c>
    </row>
    <row r="59" spans="2:6">
      <c r="B59" s="54" t="s">
        <v>227</v>
      </c>
      <c r="C59" s="54" t="s">
        <v>303</v>
      </c>
      <c r="D59" s="93" t="str">
        <f>Variables!E39 &amp; " " &amp; Variables!E40 &amp; " " &amp; Variables!E41 &amp; " " &amp; Variables!E42 &amp; " | " &amp; CHAR(34) &amp; " &amp;"</f>
        <v>Simulate a messy production OTP environment. The project MUST contain EXACTLY 2–5 bugs. You MUST randomly select from real-world concurrency/OTP errors: 1. OTP API Setup (e.g., missing start_link/1, unhandled init/1 tuples, missing behavior implementations), 2. State/Logic (e.g., returning wrong state tuple format, mutating state incorrectly, blocking handle_call), AND 3. Concurrency/Runtime (e.g., GenServer timeout, deadlocks, crashed Supervisor children, unhandled handle_info messages). | " &amp;</v>
      </c>
      <c r="E59" s="77" t="str">
        <f t="shared" si="1"/>
        <v>"[BUG RULE] Simulate a messy production OTP environment. The project MUST contain EXACTLY 2–5 bugs. You MUST randomly select from real-world concurrency/OTP errors: 1. OTP API Setup (e.g., missing start_link/1, unhandled init/1 tuples, missing behavior implementations), 2. State/Logic (e.g., returning wrong state tuple format, mutating state incorrectly, blocking handle_call), AND 3. Concurrency/Runtime (e.g., GenServer timeout, deadlocks, crashed Supervisor children, unhandled handle_info messages). | " &amp;</v>
      </c>
      <c r="F59" s="32" t="s">
        <v>228</v>
      </c>
    </row>
    <row r="60" spans="2:6">
      <c r="B60" s="54" t="s">
        <v>281</v>
      </c>
      <c r="C60" s="54" t="s">
        <v>287</v>
      </c>
      <c r="D60" s="93" t="s">
        <v>329</v>
      </c>
      <c r="E60" s="77" t="str">
        <f t="shared" si="1"/>
        <v>"[ENV USAGE RULE] Bugs ONLY in code logic, not config files | " &amp;</v>
      </c>
      <c r="F60" s="32" t="s">
        <v>228</v>
      </c>
    </row>
    <row r="61" spans="2:6">
      <c r="B61" s="54" t="s">
        <v>281</v>
      </c>
      <c r="C61" s="54" t="s">
        <v>198</v>
      </c>
      <c r="D61" s="93" t="s">
        <v>330</v>
      </c>
      <c r="E61" s="77" t="str">
        <f t="shared" si="1"/>
        <v>"[SUPPORT FILES RULE] IF an external configuration or data file is needed, include: 1. Short instructional sentence 2. File content in markdown code block 3. Place it strictly BEFORE the main code. | " &amp;</v>
      </c>
      <c r="F61" s="32" t="s">
        <v>228</v>
      </c>
    </row>
    <row r="62" spans="2:6">
      <c r="B62" s="54" t="s">
        <v>281</v>
      </c>
      <c r="C62" s="54" t="s">
        <v>316</v>
      </c>
      <c r="D62" s="93" t="s">
        <v>621</v>
      </c>
      <c r="E62" s="77" t="str">
        <f t="shared" si="1"/>
        <v>"[NO SOLUTION RULE - STRICT] You are generating an EXAM. Do NOT provide the fixed code, diagnosis, hints, or explanations. Output ONLY the broken code. Do NOT include comments that reveal the bugs. Let the student find them. | " &amp;</v>
      </c>
      <c r="F62" s="32" t="s">
        <v>228</v>
      </c>
    </row>
    <row r="63" spans="2:6">
      <c r="B63" s="54" t="s">
        <v>281</v>
      </c>
      <c r="C63" s="54" t="s">
        <v>173</v>
      </c>
      <c r="D63" s="93" t="s">
        <v>331</v>
      </c>
      <c r="E63" s="77" t="str">
        <f t="shared" si="1"/>
        <v>"[PERSONA RULE] Use a messy, careless developer tone | " &amp;</v>
      </c>
      <c r="F63" s="32" t="s">
        <v>228</v>
      </c>
    </row>
    <row r="64" spans="2:6">
      <c r="B64" s="54" t="s">
        <v>281</v>
      </c>
      <c r="C64" s="54" t="s">
        <v>191</v>
      </c>
      <c r="D64" s="93" t="s">
        <v>332</v>
      </c>
      <c r="E64" s="77" t="str">
        <f t="shared" si="1"/>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228</v>
      </c>
    </row>
    <row r="65" spans="2:6">
      <c r="B65" s="54" t="s">
        <v>281</v>
      </c>
      <c r="C65" s="54" t="s">
        <v>180</v>
      </c>
      <c r="D65" s="93" t="s">
        <v>333</v>
      </c>
      <c r="E65" s="77" t="str">
        <f t="shared" si="1"/>
        <v>"[OUTPUT CONTRACT] EXACTLY 1 project. Structure MUST be: 'Project:' followed by 'Objective: maximum 6 lines.', then 'Expected Output: standalone markdown code block.', and finally 'Broken Code' | " &amp;</v>
      </c>
      <c r="F65" s="32" t="s">
        <v>228</v>
      </c>
    </row>
    <row r="66" spans="2:6">
      <c r="B66" s="54" t="s">
        <v>281</v>
      </c>
      <c r="C66" s="54" t="s">
        <v>298</v>
      </c>
      <c r="D66" s="93" t="s">
        <v>334</v>
      </c>
      <c r="E66" s="77" t="str">
        <f t="shared" si="1"/>
        <v>"[STRUCTURE RULE] Do NOT add extra sections or explanations (except when required by SUPPORT FILES RULE) | " &amp;</v>
      </c>
      <c r="F66" s="32" t="s">
        <v>228</v>
      </c>
    </row>
    <row r="67" spans="2:6">
      <c r="B67" s="54" t="s">
        <v>281</v>
      </c>
      <c r="C67" s="54" t="s">
        <v>182</v>
      </c>
      <c r="D67" s="93" t="s">
        <v>335</v>
      </c>
      <c r="E67" s="77" t="str">
        <f t="shared" si="1"/>
        <v>"[CODE CONSTRAINTS] - " &amp; IF(G9="Beginner", "25–40", IF(G9="Intermediate", "30–60", "40–100")) &amp; " lines of EXECUTABLE code (STRICT: Do NOT count blank lines towards this limit) - Multi-step flow - 2–4 functions ONLY - main() as entry point " &amp; IF(G9&lt;&gt;"Advanced", "- NO classes | ", "") &amp; " | " &amp;</v>
      </c>
      <c r="F67" s="32" t="s">
        <v>228</v>
      </c>
    </row>
    <row r="68" spans="2:6">
      <c r="B68" s="54" t="s">
        <v>281</v>
      </c>
      <c r="C68" s="54" t="s">
        <v>268</v>
      </c>
      <c r="D68" s="93" t="s">
        <v>307</v>
      </c>
      <c r="E68" s="77" t="str">
        <f t="shared" si="1"/>
        <v>"[EXECUTION RULE] Code must fail due to syntax errors, runtime exceptions, or produce incorrect output | " &amp;</v>
      </c>
      <c r="F68" s="32" t="s">
        <v>228</v>
      </c>
    </row>
    <row r="69" spans="2:6">
      <c r="B69" s="54" t="s">
        <v>281</v>
      </c>
      <c r="C69" s="54" t="s">
        <v>177</v>
      </c>
      <c r="D69" s="93" t="s">
        <v>336</v>
      </c>
      <c r="E69"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228</v>
      </c>
    </row>
    <row r="70" spans="2:6">
      <c r="B70" s="54" t="s">
        <v>281</v>
      </c>
      <c r="C70" s="54" t="s">
        <v>211</v>
      </c>
      <c r="D70" s="93" t="s">
        <v>337</v>
      </c>
      <c r="E70" s="77" t="str">
        <f t="shared" si="1"/>
        <v>"[FORMAT RULE] Only valid markdown code blocks | " &amp;</v>
      </c>
      <c r="F70" s="32" t="s">
        <v>228</v>
      </c>
    </row>
    <row r="71" spans="2:6">
      <c r="B71" s="54" t="s">
        <v>281</v>
      </c>
      <c r="C71" s="54" t="s">
        <v>213</v>
      </c>
      <c r="D71" s="93" t="s">
        <v>292</v>
      </c>
      <c r="E71" s="77" t="str">
        <f t="shared" si="1"/>
        <v>"[LANGUAGE TAG RULE] ALWAYS label markdown code blocks with the correct underlying programming language (e.g., python, javascript, sql) | " &amp;</v>
      </c>
      <c r="F71" s="32" t="s">
        <v>228</v>
      </c>
    </row>
    <row r="72" spans="2:6">
      <c r="B72" s="54" t="s">
        <v>281</v>
      </c>
      <c r="C72" s="54" t="s">
        <v>293</v>
      </c>
      <c r="D72" s="93" t="s">
        <v>338</v>
      </c>
      <c r="E72" s="77" t="str">
        <f t="shared" si="1"/>
        <v>"[STRICT MODE] Enforce all rules strictly | " &amp;</v>
      </c>
      <c r="F72" s="32" t="s">
        <v>228</v>
      </c>
    </row>
    <row r="73" spans="2:6">
      <c r="B73" s="54" t="s">
        <v>281</v>
      </c>
      <c r="C73" s="54" t="s">
        <v>224</v>
      </c>
      <c r="D73" s="93" t="s">
        <v>339</v>
      </c>
      <c r="E73" s="77" t="str">
        <f t="shared" si="1"/>
        <v>"[FOOTER RULE - STRICT] End your entire response EXACTLY with this markdown string (ensure all code blocks are closed before it):" &amp; CHAR(10) &amp; "---" &amp; CHAR(10) &amp; "⚡ Coding5s System - Learn Programming by Writing Code - Coding5S.com" )</v>
      </c>
      <c r="F73" s="32" t="s">
        <v>228</v>
      </c>
    </row>
    <row r="74" spans="2:6">
      <c r="B74" s="54"/>
      <c r="C74" s="54"/>
      <c r="D74" s="93"/>
      <c r="E74" s="77" t="str">
        <f t="shared" si="1"/>
        <v/>
      </c>
      <c r="F74" s="32" t="s">
        <v>228</v>
      </c>
    </row>
    <row r="75" spans="2:6">
      <c r="B75" s="54"/>
      <c r="C75" s="54"/>
      <c r="D75" s="93"/>
      <c r="E75" s="77" t="str">
        <f t="shared" si="1"/>
        <v/>
      </c>
      <c r="F75" s="32" t="s">
        <v>228</v>
      </c>
    </row>
    <row r="76" spans="2:6">
      <c r="B76" s="54"/>
      <c r="C76" s="54"/>
      <c r="D76" s="93"/>
      <c r="E76" s="77" t="str">
        <f t="shared" si="1"/>
        <v/>
      </c>
      <c r="F76" s="32" t="s">
        <v>228</v>
      </c>
    </row>
    <row r="77" spans="2:6">
      <c r="E77" s="86"/>
      <c r="F77" t="s">
        <v>228</v>
      </c>
    </row>
    <row r="79" spans="2:6" ht="36">
      <c r="B79" s="80" t="s">
        <v>460</v>
      </c>
    </row>
    <row r="80" spans="2:6">
      <c r="B80" s="76" t="s">
        <v>225</v>
      </c>
      <c r="C80" s="76" t="s">
        <v>596</v>
      </c>
      <c r="D80" s="76" t="s">
        <v>597</v>
      </c>
      <c r="E80" s="88" t="s">
        <v>241</v>
      </c>
      <c r="F80" s="54" t="s">
        <v>228</v>
      </c>
    </row>
    <row r="81" spans="2:6">
      <c r="B81" s="54" t="s">
        <v>226</v>
      </c>
      <c r="C81" s="54" t="s">
        <v>340</v>
      </c>
      <c r="D81" s="93" t="s">
        <v>395</v>
      </c>
      <c r="E81" s="17" t="str">
        <f t="shared" ref="E81:E94" si="2">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228</v>
      </c>
    </row>
    <row r="82" spans="2:6">
      <c r="B82" s="54" t="s">
        <v>226</v>
      </c>
      <c r="C82" s="54" t="s">
        <v>243</v>
      </c>
      <c r="D82" s="93" t="s">
        <v>341</v>
      </c>
      <c r="E82" s="17" t="str">
        <f t="shared" si="2"/>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228</v>
      </c>
    </row>
    <row r="83" spans="2:6">
      <c r="B83" s="54" t="s">
        <v>226</v>
      </c>
      <c r="C83" s="54" t="s">
        <v>244</v>
      </c>
      <c r="D83" s="93" t="s">
        <v>344</v>
      </c>
      <c r="E83" s="17" t="str">
        <f t="shared" si="2"/>
        <v>"[CONTEXT] You are helping a Junior Developer debug a " &amp; IF(UPPER(H9)="PROJECT", "PROJECT: " &amp; I9 &amp; ". Topics involved: " &amp; B9 &amp; ". Project objective: " &amp; J9, "TOPIC: " &amp; I9 &amp; ". Topic details: " &amp; J9) &amp; " | " &amp;</v>
      </c>
      <c r="F83" s="54" t="s">
        <v>228</v>
      </c>
    </row>
    <row r="84" spans="2:6">
      <c r="B84" s="54" t="s">
        <v>226</v>
      </c>
      <c r="C84" s="54" t="s">
        <v>165</v>
      </c>
      <c r="D84" s="93" t="s">
        <v>342</v>
      </c>
      <c r="E84" s="17" t="str">
        <f t="shared" si="2"/>
        <v>"[TASK] Analyze the student's code, explanation, and error. If the code is already fixed and correct, recognize their 'debugging skill' and provide a 'Pro-Tip' for prevention. Otherwise, follow the 2-PHASE MENTORING PROTOCOL | " &amp;</v>
      </c>
      <c r="F84" s="54" t="s">
        <v>228</v>
      </c>
    </row>
    <row r="85" spans="2:6">
      <c r="B85" s="54" t="s">
        <v>226</v>
      </c>
      <c r="C85" s="54" t="s">
        <v>234</v>
      </c>
      <c r="D85" s="93" t="s">
        <v>276</v>
      </c>
      <c r="E85" s="17" t="str">
        <f t="shared" si="2"/>
        <v>"[LIBRARY BEING LEARNED] " &amp; $I$3 &amp; " | " &amp;</v>
      </c>
      <c r="F85" s="54" t="s">
        <v>228</v>
      </c>
    </row>
    <row r="86" spans="2:6">
      <c r="B86" s="54" t="s">
        <v>226</v>
      </c>
      <c r="C86" s="54" t="s">
        <v>175</v>
      </c>
      <c r="D86" s="93" t="s">
        <v>263</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228</v>
      </c>
    </row>
    <row r="87" spans="2:6">
      <c r="B87" s="54" t="s">
        <v>226</v>
      </c>
      <c r="C87" s="54" t="s">
        <v>508</v>
      </c>
      <c r="D87" s="93" t="s">
        <v>500</v>
      </c>
      <c r="E87" s="17" t="str">
        <f t="shared" si="2"/>
        <v>"[LANGUAGE SEED CONTEXT] " &amp; IF($AE$7 = "", "Language Seed Not Necessary", "You MUST strictly follow this seed context to enhance, adapt, and naturalize your tone, vocabulary, and instructional quality in " &amp; $B$6 &amp; ": " &amp; $AE$7) &amp; " | " &amp;</v>
      </c>
      <c r="F87" s="54" t="s">
        <v>228</v>
      </c>
    </row>
    <row r="88" spans="2:6">
      <c r="B88" s="54" t="s">
        <v>226</v>
      </c>
      <c r="C88" s="54" t="s">
        <v>219</v>
      </c>
      <c r="D88" s="93" t="s">
        <v>603</v>
      </c>
      <c r="E88" s="17" t="str">
        <f t="shared" si="2"/>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228</v>
      </c>
    </row>
    <row r="89" spans="2:6">
      <c r="B89" s="54" t="s">
        <v>227</v>
      </c>
      <c r="C89" s="54" t="s">
        <v>236</v>
      </c>
      <c r="D89" s="93"/>
      <c r="E89" s="17" t="str">
        <f t="shared" si="2"/>
        <v/>
      </c>
      <c r="F89" s="54" t="s">
        <v>228</v>
      </c>
    </row>
    <row r="90" spans="2:6">
      <c r="B90" s="54" t="s">
        <v>227</v>
      </c>
      <c r="C90" s="54" t="s">
        <v>250</v>
      </c>
      <c r="D90" s="93" t="str">
        <f>Variables!E43 &amp; " " &amp; Variables!E44 &amp; " " &amp; Variables!E45 &amp; " " &amp; Variables!E46 &amp; " | " &amp; CHAR(34) &amp; " &amp;"</f>
        <v>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 &amp;</v>
      </c>
      <c r="E90" s="17" t="str">
        <f t="shared" si="2"/>
        <v>"[PYTHON QUALITY RULE - STRICT] Code MUST be production-like, cleanly implementing standard OTP behaviors and fault-tolerant supervision. Use descriptive snake_case for variables/functions, and PascalCase for modules. Enforce isolated process state and strict immutability within all OTP callbacks. If using default arguments ('\\') with multiple function clauses in Client APIs, you MUST declare a function head without a body. | " &amp;</v>
      </c>
      <c r="F90" s="54" t="s">
        <v>228</v>
      </c>
    </row>
    <row r="91" spans="2:6">
      <c r="B91" s="54" t="s">
        <v>281</v>
      </c>
      <c r="C91" s="54" t="s">
        <v>245</v>
      </c>
      <c r="D91" s="93" t="s">
        <v>346</v>
      </c>
      <c r="E91" s="17" t="str">
        <f t="shared" si="2"/>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228</v>
      </c>
    </row>
    <row r="92" spans="2:6">
      <c r="B92" s="54" t="s">
        <v>281</v>
      </c>
      <c r="C92" s="54" t="s">
        <v>247</v>
      </c>
      <c r="D92" s="93" t="s">
        <v>347</v>
      </c>
      <c r="E92" s="17" t="str">
        <f t="shared" si="2"/>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228</v>
      </c>
    </row>
    <row r="93" spans="2:6">
      <c r="B93" s="54" t="s">
        <v>281</v>
      </c>
      <c r="C93" s="54" t="s">
        <v>248</v>
      </c>
      <c r="D93" s="93" t="s">
        <v>345</v>
      </c>
      <c r="E93" s="17" t="str">
        <f t="shared" si="2"/>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228</v>
      </c>
    </row>
    <row r="94" spans="2:6">
      <c r="B94" s="54" t="s">
        <v>281</v>
      </c>
      <c r="C94" s="54" t="s">
        <v>251</v>
      </c>
      <c r="D94" s="93" t="s">
        <v>348</v>
      </c>
      <c r="E94" s="17" t="str">
        <f t="shared" si="2"/>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228</v>
      </c>
    </row>
    <row r="95" spans="2:6">
      <c r="B95" s="54" t="s">
        <v>281</v>
      </c>
      <c r="C95" s="54" t="s">
        <v>509</v>
      </c>
      <c r="D95" s="93" t="s">
        <v>510</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228</v>
      </c>
    </row>
    <row r="96" spans="2:6">
      <c r="B96" s="54" t="s">
        <v>281</v>
      </c>
      <c r="C96" s="54" t="s">
        <v>343</v>
      </c>
      <c r="D96" s="93" t="s">
        <v>349</v>
      </c>
      <c r="E96" s="17" t="str">
        <f>IF(D96="","",""""&amp;C96&amp;" "&amp;IF(OR(C96="[FOOTER RULE - STRICT]",C96="[FOOTER RULE]"),D96,IF(RIGHT(D96,6)=" | "&amp;CHAR(34)&amp;" &amp;",D96,D96&amp;" | "&amp;CHAR(34)&amp;" &amp;")))</f>
        <v>"[FOOTER RULE] End your response with: '--- ⚡ *Coding5s Mentor System — Eliminating Epistemic Debt &amp; Hunting Bugs*</v>
      </c>
      <c r="F96" s="54" t="s">
        <v>228</v>
      </c>
    </row>
    <row r="97" spans="2:6">
      <c r="B97" s="54"/>
      <c r="C97" s="54"/>
      <c r="D97" s="93"/>
      <c r="E97" s="88" t="s">
        <v>350</v>
      </c>
      <c r="F97" s="54" t="s">
        <v>228</v>
      </c>
    </row>
    <row r="98" spans="2:6">
      <c r="B98" s="54"/>
      <c r="C98" s="54"/>
      <c r="D98" s="93"/>
      <c r="E98" s="77" t="str">
        <f t="shared" ref="E98:E100" si="3">IF(D98="","",""""&amp;C98&amp;" "&amp;IF(C98="[FOOTER RULE - STRICT]",D98,IF(RIGHT(D98,6)=" | "&amp;CHAR(34)&amp;" &amp;",D98,D98&amp;" | "&amp;CHAR(34)&amp;" &amp;")))</f>
        <v/>
      </c>
      <c r="F98" s="54" t="s">
        <v>228</v>
      </c>
    </row>
    <row r="99" spans="2:6">
      <c r="B99" s="54"/>
      <c r="C99" s="54"/>
      <c r="D99" s="93"/>
      <c r="E99" s="77" t="str">
        <f t="shared" si="3"/>
        <v/>
      </c>
      <c r="F99" s="54" t="s">
        <v>228</v>
      </c>
    </row>
    <row r="100" spans="2:6">
      <c r="B100" s="54"/>
      <c r="C100" s="54"/>
      <c r="D100" s="93"/>
      <c r="E100" s="77" t="str">
        <f t="shared" si="3"/>
        <v/>
      </c>
      <c r="F100" s="54" t="s">
        <v>228</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zoomScaleNormal="100" workbookViewId="0"/>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458</v>
      </c>
      <c r="D2" s="81" t="s">
        <v>351</v>
      </c>
      <c r="H2" s="82"/>
      <c r="T2" s="82"/>
    </row>
    <row r="3" spans="2:29">
      <c r="B3" s="76" t="s">
        <v>225</v>
      </c>
      <c r="C3" s="76" t="s">
        <v>596</v>
      </c>
      <c r="D3" s="76" t="s">
        <v>597</v>
      </c>
      <c r="E3" s="88" t="s">
        <v>233</v>
      </c>
      <c r="F3" s="4" t="s">
        <v>228</v>
      </c>
      <c r="AC3" t="s">
        <v>228</v>
      </c>
    </row>
    <row r="4" spans="2:29">
      <c r="B4" s="75" t="s">
        <v>226</v>
      </c>
      <c r="C4" s="54" t="s">
        <v>163</v>
      </c>
      <c r="D4" s="92" t="s">
        <v>352</v>
      </c>
      <c r="E4" s="77" t="str">
        <f t="shared" ref="E4:E37" si="0">IF(D4="","",""""&amp;C4&amp;" "&amp;IF(C4="[FOOTER RULE - STRICT]",D4,IF(RIGHT(D4,6)=" | "&amp;CHAR(34)&amp;" &amp;",D4,D4&amp;" | "&amp;CHAR(34)&amp;" &amp;")))</f>
        <v>"[ROLE] Tech Lead | " &amp;</v>
      </c>
      <c r="F4" s="54" t="s">
        <v>228</v>
      </c>
    </row>
    <row r="5" spans="2:29">
      <c r="B5" s="75" t="s">
        <v>226</v>
      </c>
      <c r="C5" s="54" t="s">
        <v>165</v>
      </c>
      <c r="D5" s="92" t="s">
        <v>353</v>
      </c>
      <c r="E5" s="77" t="str">
        <f t="shared" si="0"/>
        <v>"[TASK] Assign incomplete " &amp; $I$2 &amp; " script challenges | " &amp;</v>
      </c>
      <c r="F5" s="54" t="s">
        <v>228</v>
      </c>
    </row>
    <row r="6" spans="2:29">
      <c r="B6" s="75" t="s">
        <v>226</v>
      </c>
      <c r="C6" s="54" t="s">
        <v>167</v>
      </c>
      <c r="D6" s="92" t="s">
        <v>168</v>
      </c>
      <c r="E6" s="77" t="str">
        <f t="shared" si="0"/>
        <v>"[TOPIC] " &amp; I9 &amp; " | " &amp;</v>
      </c>
      <c r="F6" s="54" t="s">
        <v>228</v>
      </c>
    </row>
    <row r="7" spans="2:29">
      <c r="B7" s="75" t="s">
        <v>226</v>
      </c>
      <c r="C7" s="54" t="s">
        <v>169</v>
      </c>
      <c r="D7" s="92" t="s">
        <v>170</v>
      </c>
      <c r="E7" s="77" t="str">
        <f t="shared" si="0"/>
        <v>"[LEVEL] " &amp; G9 &amp; " | " &amp;</v>
      </c>
      <c r="F7" s="54" t="s">
        <v>228</v>
      </c>
    </row>
    <row r="8" spans="2:29">
      <c r="B8" s="75" t="s">
        <v>226</v>
      </c>
      <c r="C8" s="54" t="s">
        <v>171</v>
      </c>
      <c r="D8" s="92" t="s">
        <v>286</v>
      </c>
      <c r="E8" s="77" t="str">
        <f t="shared" si="0"/>
        <v>"[COUNT] " &amp; D9 &amp; " challenges | " &amp;</v>
      </c>
      <c r="F8" s="54" t="s">
        <v>228</v>
      </c>
    </row>
    <row r="9" spans="2:29">
      <c r="B9" s="75" t="s">
        <v>226</v>
      </c>
      <c r="C9" s="54" t="s">
        <v>234</v>
      </c>
      <c r="D9" s="92" t="s">
        <v>276</v>
      </c>
      <c r="E9" s="77" t="str">
        <f t="shared" si="0"/>
        <v>"[LIBRARY BEING LEARNED] " &amp; $I$3 &amp; " | " &amp;</v>
      </c>
      <c r="F9" s="54" t="s">
        <v>228</v>
      </c>
    </row>
    <row r="10" spans="2:29">
      <c r="B10" s="75" t="s">
        <v>226</v>
      </c>
      <c r="C10" s="54" t="s">
        <v>229</v>
      </c>
      <c r="D10" s="92" t="str">
        <f>"If a module or ecosystem like "&amp; Variables!E6 &amp;" is specified in "&amp; Variables!E7 &amp;", you are CRITICALLY FORBIDDEN from using "&amp; Variables!E8 &amp;". You MUST enforce the "&amp; Variables!E9 &amp;" and data structures of that specific library."</f>
        <v>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v>
      </c>
      <c r="E10" s="77" t="str">
        <f t="shared" si="0"/>
        <v>"[ECOSYSTEM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v>
      </c>
      <c r="F10" s="54" t="s">
        <v>228</v>
      </c>
    </row>
    <row r="11" spans="2:29">
      <c r="B11" s="75" t="s">
        <v>226</v>
      </c>
      <c r="C11" s="54" t="s">
        <v>219</v>
      </c>
      <c r="D11" s="92" t="s">
        <v>604</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228</v>
      </c>
    </row>
    <row r="12" spans="2:29">
      <c r="B12" s="75" t="s">
        <v>226</v>
      </c>
      <c r="C12" s="54" t="s">
        <v>175</v>
      </c>
      <c r="D12" s="92" t="s">
        <v>176</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228</v>
      </c>
    </row>
    <row r="13" spans="2:29">
      <c r="B13" s="75" t="s">
        <v>226</v>
      </c>
      <c r="C13" s="54" t="s">
        <v>508</v>
      </c>
      <c r="D13" s="92" t="s">
        <v>500</v>
      </c>
      <c r="E13" s="77" t="str">
        <f t="shared" si="0"/>
        <v>"[LANGUAGE SEED CONTEXT] " &amp; IF($AE$7 = "", "Language Seed Not Necessary", "You MUST strictly follow this seed context to enhance, adapt, and naturalize your tone, vocabulary, and instructional quality in " &amp; $B$6 &amp; ": " &amp; $AE$7) &amp; " | " &amp;</v>
      </c>
      <c r="F13" s="54" t="s">
        <v>228</v>
      </c>
    </row>
    <row r="14" spans="2:29">
      <c r="B14" s="83" t="s">
        <v>227</v>
      </c>
      <c r="C14" s="54" t="s">
        <v>236</v>
      </c>
      <c r="D14" s="92"/>
      <c r="E14" s="77" t="str">
        <f t="shared" si="0"/>
        <v/>
      </c>
      <c r="F14" s="54" t="s">
        <v>228</v>
      </c>
    </row>
    <row r="15" spans="2:29">
      <c r="B15" s="83" t="s">
        <v>227</v>
      </c>
      <c r="C15" s="54" t="s">
        <v>684</v>
      </c>
      <c r="D15" s="92" t="str">
        <f>Variables!E47 &amp; " | " &amp; CHAR(34) &amp; " &amp;"</f>
        <v>External Hex packages MUST be added to the deps/0 function in a standard mix.exs file. Do not use standalone scripts or Mix.install/2. | " &amp;</v>
      </c>
      <c r="E15" s="77" t="str">
        <f t="shared" si="0"/>
        <v>"[EXTERNAL_PACKAGE_PROTOCOL] External Hex packages MUST be added to the deps/0 function in a standard mix.exs file. Do not use standalone scripts or Mix.install/2. | " &amp;</v>
      </c>
      <c r="F15" s="54" t="s">
        <v>228</v>
      </c>
    </row>
    <row r="16" spans="2:29">
      <c r="B16" s="83" t="s">
        <v>227</v>
      </c>
      <c r="C16" s="54" t="s">
        <v>685</v>
      </c>
      <c r="D16" s="92" t="str">
        <f>Variables!E48 &amp; " | " &amp; CHAR(34) &amp; " &amp;"</f>
        <v>Tests MUST run isolated async processes (use ExUnit.Case, async: true). NEVER hack process links manually; use assert_receive to verify OTP flows. | " &amp;</v>
      </c>
      <c r="E16" s="77" t="str">
        <f t="shared" si="0"/>
        <v>"[TESTING_FRAMEWORK_PROTOCOL] Tests MUST run isolated async processes (use ExUnit.Case, async: true). NEVER hack process links manually; use assert_receive to verify OTP flows. | " &amp;</v>
      </c>
      <c r="F16" s="54" t="s">
        <v>228</v>
      </c>
    </row>
    <row r="17" spans="2:6">
      <c r="B17" s="83" t="s">
        <v>227</v>
      </c>
      <c r="C17" s="54" t="s">
        <v>686</v>
      </c>
      <c r="D17" s="92" t="str">
        <f>Variables!E49 &amp; " - " &amp; CHAR(34) &amp; " &amp; IF(G9=" &amp; CHAR(34) &amp; "Beginner" &amp; CHAR(34) &amp; "," &amp; CHAR(34) &amp; "5–15" &amp; CHAR(34) &amp; ", IF(G9=" &amp; CHAR(34) &amp; "Intermediate" &amp; CHAR(34) &amp; "," &amp; CHAR(34) &amp; "10–25" &amp; CHAR(34) &amp; "," &amp; CHAR(34) &amp; "15–35" &amp; CHAR(34) &amp; ")) &amp; " &amp; CHAR(34) &amp; " " &amp; Variables!E50 &amp; " | " &amp; CHAR(34) &amp; " &amp;"</f>
        <v>Each challenge MUST include: - A functional GenServer or Supervisor tree managing continuous isolated state. - " &amp; IF(G9="Beginner","5–15", IF(G9="Intermediate","10–25","15–35")) &amp; " lines of EXECUTABLE base OTP code (STRICT: Do NOT count comments or TODOs). Length MUST vary. Enforce isolated immutable process state. | " &amp;</v>
      </c>
      <c r="E17" s="77" t="str">
        <f t="shared" si="0"/>
        <v>"[CHALLENGE_CONSTRAINTS_POLICY] Each challenge MUST include: - A functional GenServer or Supervisor tree managing continuous isolated state. - " &amp; IF(G9="Beginner","5–15", IF(G9="Intermediate","10–25","15–35")) &amp; " lines of EXECUTABLE base OTP code (STRICT: Do NOT count comments or TODOs). Length MUST vary. Enforce isolated immutable process state. | " &amp;</v>
      </c>
      <c r="F17" s="54" t="s">
        <v>228</v>
      </c>
    </row>
    <row r="18" spans="2:6">
      <c r="B18" s="83" t="s">
        <v>281</v>
      </c>
      <c r="C18" s="54" t="s">
        <v>211</v>
      </c>
      <c r="D18" s="92" t="s">
        <v>679</v>
      </c>
      <c r="E18" s="77" t="str">
        <f t="shared" si="0"/>
        <v>"[FORMAT RULE] ALWAYS label markdown code blocks with the correct underlying programming language (e.g., elixir, python, javascript, sql) | " &amp;</v>
      </c>
      <c r="F18" s="54" t="s">
        <v>228</v>
      </c>
    </row>
    <row r="19" spans="2:6">
      <c r="B19" s="84" t="s">
        <v>281</v>
      </c>
      <c r="C19" s="54" t="s">
        <v>211</v>
      </c>
      <c r="D19" s="92" t="s">
        <v>291</v>
      </c>
      <c r="E19" s="77" t="str">
        <f t="shared" si="0"/>
        <v>"[FORMAT RULE] Only valid markdown code blocks allowed | " &amp;</v>
      </c>
      <c r="F19" s="54" t="s">
        <v>228</v>
      </c>
    </row>
    <row r="20" spans="2:6">
      <c r="B20" s="84" t="s">
        <v>281</v>
      </c>
      <c r="C20" s="54" t="s">
        <v>354</v>
      </c>
      <c r="D20" s="92" t="s">
        <v>381</v>
      </c>
      <c r="E20" s="77" t="str">
        <f t="shared" si="0"/>
        <v>"[SCORING ENFORCEMENT RULE] Score MUST be ONLY 3, 4, or 5 | " &amp;</v>
      </c>
      <c r="F20" s="54" t="s">
        <v>228</v>
      </c>
    </row>
    <row r="21" spans="2:6">
      <c r="B21" s="84" t="s">
        <v>281</v>
      </c>
      <c r="C21" s="54" t="s">
        <v>355</v>
      </c>
      <c r="D21" s="92" t="s">
        <v>356</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228</v>
      </c>
    </row>
    <row r="22" spans="2:6">
      <c r="B22" s="84" t="s">
        <v>281</v>
      </c>
      <c r="C22" s="54" t="s">
        <v>213</v>
      </c>
      <c r="D22" s="92" t="s">
        <v>292</v>
      </c>
      <c r="E22" s="77" t="str">
        <f t="shared" si="0"/>
        <v>"[LANGUAGE TAG RULE] ALWAYS label markdown code blocks with the correct underlying programming language (e.g., python, javascript, sql) | " &amp;</v>
      </c>
      <c r="F22" s="54" t="s">
        <v>228</v>
      </c>
    </row>
    <row r="23" spans="2:6">
      <c r="B23" s="84" t="s">
        <v>281</v>
      </c>
      <c r="C23" s="54" t="s">
        <v>191</v>
      </c>
      <c r="D23" s="92" t="s">
        <v>357</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228</v>
      </c>
    </row>
    <row r="24" spans="2:6">
      <c r="B24" s="84" t="s">
        <v>281</v>
      </c>
      <c r="C24" s="54" t="s">
        <v>180</v>
      </c>
      <c r="D24" s="92" t="s">
        <v>358</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228</v>
      </c>
    </row>
    <row r="25" spans="2:6">
      <c r="B25" s="54" t="s">
        <v>281</v>
      </c>
      <c r="C25" s="54" t="s">
        <v>359</v>
      </c>
      <c r="D25" s="92" t="s">
        <v>360</v>
      </c>
      <c r="E25" s="77" t="str">
        <f t="shared" si="0"/>
        <v>"[OUTPUT TRUNCATION RULE - STRICT] If expected output is long, display ONLY the first 5 lines. Ensure accuracy. Do NOT use ellipsis (...) | " &amp;</v>
      </c>
      <c r="F25" s="54" t="s">
        <v>228</v>
      </c>
    </row>
    <row r="26" spans="2:6">
      <c r="B26" s="54" t="s">
        <v>281</v>
      </c>
      <c r="C26" s="54" t="s">
        <v>361</v>
      </c>
      <c r="D26" s="92" t="s">
        <v>362</v>
      </c>
      <c r="E26" s="77" t="str">
        <f t="shared" si="0"/>
        <v>"[OUTPUT EXECUTION RULE - STRICT] Expected output MUST be explicit, complete, and produced via print() (at least one print already in base code). Monetary values must include '$' | " &amp;</v>
      </c>
      <c r="F26" s="54" t="s">
        <v>228</v>
      </c>
    </row>
    <row r="27" spans="2:6">
      <c r="B27" s="54" t="s">
        <v>281</v>
      </c>
      <c r="C27" s="54" t="s">
        <v>363</v>
      </c>
      <c r="D27" s="92" t="s">
        <v>364</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228</v>
      </c>
    </row>
    <row r="28" spans="2:6">
      <c r="B28" s="54" t="s">
        <v>281</v>
      </c>
      <c r="C28" s="54" t="s">
        <v>365</v>
      </c>
      <c r="D28" s="92" t="s">
        <v>366</v>
      </c>
      <c r="E28" s="77" t="str">
        <f t="shared" si="0"/>
        <v>"[TODO VARIATION RULE] TODO sections MUST vary: Single-line TODO, Multiple TODOs, Small blocks (2–4 lines). | " &amp;</v>
      </c>
      <c r="F28" s="54" t="s">
        <v>228</v>
      </c>
    </row>
    <row r="29" spans="2:6">
      <c r="B29" s="54" t="s">
        <v>281</v>
      </c>
      <c r="C29" s="54" t="s">
        <v>367</v>
      </c>
      <c r="D29" s="92" t="s">
        <v>368</v>
      </c>
      <c r="E29" s="77" t="str">
        <f t="shared" si="0"/>
        <v>"[VARIABILITY RULE - STRICT] Each challenge MUST be structurally different. Vary: Code length, Logic type, Position of TODO, Number of TODOs (1–3), Data flow. | " &amp;</v>
      </c>
      <c r="F29" s="54" t="s">
        <v>228</v>
      </c>
    </row>
    <row r="30" spans="2:6">
      <c r="B30" s="54" t="s">
        <v>281</v>
      </c>
      <c r="C30" s="54" t="s">
        <v>369</v>
      </c>
      <c r="D30" s="92" t="s">
        <v>370</v>
      </c>
      <c r="E30" s="77" t="str">
        <f t="shared" si="0"/>
        <v>"[TODO REALISM RULE - STRICT] TODOs MUST represent realistic mistakes based on the topic: " &amp; I9 &amp; ". Describe what is incorrect or incomplete. Avoid imperative instructions. | " &amp;</v>
      </c>
      <c r="F30" s="54" t="s">
        <v>228</v>
      </c>
    </row>
    <row r="31" spans="2:6">
      <c r="B31" s="54" t="s">
        <v>281</v>
      </c>
      <c r="C31" s="54" t="s">
        <v>371</v>
      </c>
      <c r="D31" s="92" t="s">
        <v>372</v>
      </c>
      <c r="E31" s="77" t="str">
        <f t="shared" si="0"/>
        <v>"[TODO ISOLATION RULE - STRICT] ALL missing, incorrect, or output-affecting logic MUST exist ONLY inside the TODO block. | " &amp;</v>
      </c>
      <c r="F31" s="54" t="s">
        <v>228</v>
      </c>
    </row>
    <row r="32" spans="2:6">
      <c r="B32" s="54" t="s">
        <v>281</v>
      </c>
      <c r="C32" s="54" t="s">
        <v>316</v>
      </c>
      <c r="D32" s="92" t="s">
        <v>373</v>
      </c>
      <c r="E32" s="77" t="str">
        <f t="shared" si="0"/>
        <v>"[NO SOLUTION RULE - STRICT] The code under the # TODO MUST be left empty or with a 'pass'. DO NOT write the actual solution. | " &amp;</v>
      </c>
      <c r="F32" s="54" t="s">
        <v>228</v>
      </c>
    </row>
    <row r="33" spans="2:6">
      <c r="B33" s="54" t="s">
        <v>281</v>
      </c>
      <c r="C33" s="54" t="s">
        <v>374</v>
      </c>
      <c r="D33" s="92" t="s">
        <v>375</v>
      </c>
      <c r="E33" s="77" t="str">
        <f t="shared" si="0"/>
        <v>"[OUTPUT VERIFICATION RULE] The base code MUST print the final variables/results evaluated in the TODO block to verify correctness. | " &amp;</v>
      </c>
      <c r="F33" s="54" t="s">
        <v>228</v>
      </c>
    </row>
    <row r="34" spans="2:6">
      <c r="B34" s="54" t="s">
        <v>281</v>
      </c>
      <c r="C34" s="54" t="s">
        <v>376</v>
      </c>
      <c r="D34" s="92" t="s">
        <v>377</v>
      </c>
      <c r="E34" s="77" t="str">
        <f t="shared" si="0"/>
        <v>"[TODO GUIDANCE RULE] Rule " &amp; IF(G9="Beginner", "Clear explicit hint (no code) | ", IF(G9="Intermediate", "Brief hint | ", "Minimal hint | ")) &amp; " | " &amp;</v>
      </c>
      <c r="F34" s="54" t="s">
        <v>228</v>
      </c>
    </row>
    <row r="35" spans="2:6">
      <c r="B35" s="54" t="s">
        <v>281</v>
      </c>
      <c r="C35" s="54" t="s">
        <v>220</v>
      </c>
      <c r="D35" s="92" t="s">
        <v>378</v>
      </c>
      <c r="E35" s="77" t="str">
        <f t="shared" si="0"/>
        <v>"[OUTPUT] Only header, dataset summary or statement (if any), intro message, challenges (objective, expected output, incomplete code), and footer | " &amp;</v>
      </c>
      <c r="F35" s="54" t="s">
        <v>228</v>
      </c>
    </row>
    <row r="36" spans="2:6">
      <c r="B36" s="54" t="s">
        <v>281</v>
      </c>
      <c r="C36" s="54" t="s">
        <v>224</v>
      </c>
      <c r="D36" s="92" t="s">
        <v>380</v>
      </c>
      <c r="E36" s="77" t="str">
        <f t="shared" si="0"/>
        <v>"[FOOTER RULE - STRICT] End your entire response EXACTLY with this markdown string (ensure all code blocks are closed before it):" &amp; CHAR(10) &amp; "---" &amp; CHAR(10) &amp; "⚡ *Coding5s System - Learn Programming by Writing Code - Coding5S.com*",</v>
      </c>
      <c r="F36" s="54" t="s">
        <v>228</v>
      </c>
    </row>
    <row r="37" spans="2:6">
      <c r="B37" s="54"/>
      <c r="C37" s="54"/>
      <c r="D37" s="92"/>
      <c r="E37" s="77" t="str">
        <f t="shared" si="0"/>
        <v/>
      </c>
      <c r="F37" s="54" t="s">
        <v>228</v>
      </c>
    </row>
    <row r="38" spans="2:6">
      <c r="B38" s="54"/>
      <c r="C38" s="54"/>
      <c r="D38" s="92"/>
      <c r="E38" s="88" t="s">
        <v>379</v>
      </c>
      <c r="F38" s="54" t="s">
        <v>228</v>
      </c>
    </row>
    <row r="39" spans="2:6">
      <c r="B39" s="54"/>
      <c r="C39" s="54"/>
      <c r="D39" s="92"/>
      <c r="E39" s="77"/>
      <c r="F39" s="54" t="s">
        <v>228</v>
      </c>
    </row>
    <row r="40" spans="2:6">
      <c r="B40" s="54"/>
      <c r="C40" s="54"/>
      <c r="D40" s="92"/>
      <c r="E40" s="77"/>
      <c r="F40" s="54" t="s">
        <v>228</v>
      </c>
    </row>
    <row r="41" spans="2:6">
      <c r="B41" s="54"/>
      <c r="C41" s="54"/>
      <c r="D41" s="92"/>
      <c r="E41" s="77"/>
      <c r="F41" s="54" t="s">
        <v>228</v>
      </c>
    </row>
    <row r="42" spans="2:6">
      <c r="B42" s="54"/>
      <c r="C42" s="54"/>
      <c r="D42" s="92"/>
      <c r="E42" s="77"/>
      <c r="F42" s="54"/>
    </row>
    <row r="43" spans="2:6">
      <c r="B43" s="74"/>
      <c r="C43" s="74"/>
      <c r="E43" s="86"/>
    </row>
    <row r="44" spans="2:6">
      <c r="B44" s="74"/>
      <c r="C44" s="74"/>
      <c r="E44" s="86"/>
    </row>
    <row r="45" spans="2:6" ht="36">
      <c r="B45" s="79" t="s">
        <v>459</v>
      </c>
      <c r="C45" s="74"/>
      <c r="E45" s="86"/>
    </row>
    <row r="46" spans="2:6">
      <c r="B46" s="76" t="s">
        <v>273</v>
      </c>
      <c r="C46" s="76" t="s">
        <v>596</v>
      </c>
      <c r="D46" s="76" t="s">
        <v>597</v>
      </c>
      <c r="E46" s="88" t="s">
        <v>274</v>
      </c>
      <c r="F46" s="32" t="s">
        <v>228</v>
      </c>
    </row>
    <row r="47" spans="2:6">
      <c r="B47" s="54" t="s">
        <v>226</v>
      </c>
      <c r="C47" s="54" t="s">
        <v>163</v>
      </c>
      <c r="D47" s="92" t="s">
        <v>352</v>
      </c>
      <c r="E47" s="77" t="str">
        <f t="shared" ref="E47:E52" si="1">IF(D47="","",""""&amp;C47&amp;" "&amp;IF(C47="[FOOTER RULE - STRICT]",D47,IF(RIGHT(D47,6)=" | "&amp;CHAR(34)&amp;" &amp;",D47,D47&amp;" | "&amp;CHAR(34)&amp;" &amp;")))</f>
        <v>"[ROLE] Tech Lead | " &amp;</v>
      </c>
      <c r="F47" s="32" t="s">
        <v>228</v>
      </c>
    </row>
    <row r="48" spans="2:6">
      <c r="B48" s="54" t="s">
        <v>226</v>
      </c>
      <c r="C48" s="54" t="s">
        <v>165</v>
      </c>
      <c r="D48" s="92" t="s">
        <v>382</v>
      </c>
      <c r="E48" s="77" t="str">
        <f t="shared" si="1"/>
        <v>"[TASK] Assign incomplete project script | " &amp;</v>
      </c>
      <c r="F48" s="32" t="s">
        <v>228</v>
      </c>
    </row>
    <row r="49" spans="2:6">
      <c r="B49" s="54" t="s">
        <v>226</v>
      </c>
      <c r="C49" s="54" t="s">
        <v>326</v>
      </c>
      <c r="D49" s="92" t="s">
        <v>168</v>
      </c>
      <c r="E49" s="77" t="str">
        <f t="shared" si="1"/>
        <v>"[PROJECT] " &amp; I9 &amp; " | " &amp;</v>
      </c>
      <c r="F49" s="32" t="s">
        <v>228</v>
      </c>
    </row>
    <row r="50" spans="2:6">
      <c r="B50" s="54" t="s">
        <v>226</v>
      </c>
      <c r="C50" s="54" t="s">
        <v>261</v>
      </c>
      <c r="D50" s="92" t="s">
        <v>262</v>
      </c>
      <c r="E50" s="77" t="str">
        <f t="shared" si="1"/>
        <v>"[TOPICS USED] " &amp; B9 &amp; " | " &amp;</v>
      </c>
      <c r="F50" s="32" t="s">
        <v>228</v>
      </c>
    </row>
    <row r="51" spans="2:6">
      <c r="B51" s="54" t="s">
        <v>226</v>
      </c>
      <c r="C51" s="54" t="s">
        <v>169</v>
      </c>
      <c r="D51" s="92" t="s">
        <v>170</v>
      </c>
      <c r="E51" s="77" t="str">
        <f t="shared" si="1"/>
        <v>"[LEVEL] " &amp; G9 &amp; " | " &amp;</v>
      </c>
      <c r="F51" s="32" t="s">
        <v>228</v>
      </c>
    </row>
    <row r="52" spans="2:6">
      <c r="B52" s="54" t="s">
        <v>226</v>
      </c>
      <c r="C52" s="54" t="s">
        <v>234</v>
      </c>
      <c r="D52" s="92" t="s">
        <v>276</v>
      </c>
      <c r="E52" s="77" t="str">
        <f t="shared" si="1"/>
        <v>"[LIBRARY BEING LEARNED] " &amp; $I$3 &amp; " | " &amp;</v>
      </c>
      <c r="F52" s="32" t="s">
        <v>228</v>
      </c>
    </row>
    <row r="53" spans="2:6">
      <c r="B53" s="75" t="s">
        <v>226</v>
      </c>
      <c r="C53" s="54" t="s">
        <v>229</v>
      </c>
      <c r="D53" s="92" t="str">
        <f>"If a module or ecosystem like "&amp; Variables!E6 &amp;" is specified in "&amp; Variables!E7 &amp;", you are CRITICALLY FORBIDDEN from using "&amp; Variables!E8 &amp;". You MUST enforce the "&amp; Variables!E9 &amp;" and data structures of that specific library."</f>
        <v>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v>
      </c>
      <c r="E53" s="77"/>
      <c r="F53" s="32"/>
    </row>
    <row r="54" spans="2:6">
      <c r="B54" s="54" t="s">
        <v>226</v>
      </c>
      <c r="C54" s="54" t="s">
        <v>175</v>
      </c>
      <c r="D54" s="92" t="s">
        <v>263</v>
      </c>
      <c r="E54" s="77" t="str">
        <f t="shared" ref="E54:E76" si="2">IF(D54="","",""""&amp;C54&amp;" "&amp;IF(C54="[FOOTER RULE - STRICT]",D54,IF(RIGHT(D54,6)=" | "&amp;CHAR(34)&amp;" &amp;",D54,D54&amp;" | "&amp;CHAR(34)&amp;" &amp;")))</f>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228</v>
      </c>
    </row>
    <row r="55" spans="2:6">
      <c r="B55" s="54" t="s">
        <v>226</v>
      </c>
      <c r="C55" s="54" t="s">
        <v>508</v>
      </c>
      <c r="D55" s="92" t="s">
        <v>500</v>
      </c>
      <c r="E55" s="77" t="str">
        <f t="shared" si="2"/>
        <v>"[LANGUAGE SEED CONTEXT] " &amp; IF($AE$7 = "", "Language Seed Not Necessary", "You MUST strictly follow this seed context to enhance, adapt, and naturalize your tone, vocabulary, and instructional quality in " &amp; $B$6 &amp; ": " &amp; $AE$7) &amp; " | " &amp;</v>
      </c>
      <c r="F55" s="32" t="s">
        <v>228</v>
      </c>
    </row>
    <row r="56" spans="2:6">
      <c r="B56" s="54" t="s">
        <v>226</v>
      </c>
      <c r="C56" s="54" t="s">
        <v>219</v>
      </c>
      <c r="D56" s="92" t="s">
        <v>605</v>
      </c>
      <c r="E56" s="77" t="str">
        <f t="shared" si="2"/>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228</v>
      </c>
    </row>
    <row r="57" spans="2:6">
      <c r="B57" s="54" t="s">
        <v>227</v>
      </c>
      <c r="C57" s="54" t="s">
        <v>684</v>
      </c>
      <c r="D57" s="92" t="str">
        <f>Variables!E51 &amp; " | " &amp; CHAR(34) &amp; " &amp;"</f>
        <v>Require standard mix.exs tooling for dependencies. Do NOT use Mix.install/2. | " &amp;</v>
      </c>
      <c r="E57" s="77" t="str">
        <f t="shared" si="2"/>
        <v>"[EXTERNAL_PACKAGE_PROTOCOL] Require standard mix.exs tooling for dependencies. Do NOT use Mix.install/2. | " &amp;</v>
      </c>
      <c r="F57" s="32" t="s">
        <v>228</v>
      </c>
    </row>
    <row r="58" spans="2:6">
      <c r="B58" s="54" t="s">
        <v>227</v>
      </c>
      <c r="C58" s="54" t="s">
        <v>686</v>
      </c>
      <c r="D58" s="92" t="str">
        <f>Variables!E52 &amp; " " &amp; CHAR(34) &amp; " &amp; IF(G9=" &amp; CHAR(34) &amp; "Beginner" &amp; CHAR(34) &amp; "," &amp; CHAR(34) &amp; "25–40" &amp; CHAR(34) &amp; ", IF(G9=" &amp; CHAR(34) &amp; "Intermediate" &amp; CHAR(34) &amp; "," &amp; CHAR(34) &amp; "30–60" &amp; CHAR(34) &amp; "," &amp; CHAR(34) &amp; "40–100" &amp; CHAR(34) &amp; ")) &amp; " &amp; CHAR(34) &amp; " " &amp; Variables!E53 &amp; " | " &amp; CHAR(34) &amp; " &amp;"</f>
        <v>MUST be between " &amp; IF(G9="Beginner","25–40", IF(G9="Intermediate","30–60","40–100")) &amp; " lines of EXECUTABLE base OTP code (STRICT: Do NOT count comments or TODOs). Must feature inter-process communication or supervision tree flows. | " &amp;</v>
      </c>
      <c r="E58" s="77" t="str">
        <f t="shared" si="2"/>
        <v>"[CHALLENGE_CONSTRAINTS_POLICY] MUST be between " &amp; IF(G9="Beginner","25–40", IF(G9="Intermediate","30–60","40–100")) &amp; " lines of EXECUTABLE base OTP code (STRICT: Do NOT count comments or TODOs). Must feature inter-process communication or supervision tree flows. | " &amp;</v>
      </c>
      <c r="F58" s="32" t="s">
        <v>228</v>
      </c>
    </row>
    <row r="59" spans="2:6">
      <c r="B59" s="54" t="s">
        <v>281</v>
      </c>
      <c r="C59" s="54" t="s">
        <v>211</v>
      </c>
      <c r="D59" s="92" t="s">
        <v>291</v>
      </c>
      <c r="E59" s="77" t="str">
        <f t="shared" si="2"/>
        <v>"[FORMAT RULE] Only valid markdown code blocks allowed | " &amp;</v>
      </c>
      <c r="F59" s="32" t="s">
        <v>228</v>
      </c>
    </row>
    <row r="60" spans="2:6">
      <c r="B60" s="54" t="s">
        <v>281</v>
      </c>
      <c r="C60" s="54" t="s">
        <v>213</v>
      </c>
      <c r="D60" s="92" t="s">
        <v>292</v>
      </c>
      <c r="E60" s="77" t="str">
        <f t="shared" si="2"/>
        <v>"[LANGUAGE TAG RULE] ALWAYS label markdown code blocks with the correct underlying programming language (e.g., python, javascript, sql) | " &amp;</v>
      </c>
      <c r="F60" s="32" t="s">
        <v>228</v>
      </c>
    </row>
    <row r="61" spans="2:6">
      <c r="B61" s="54" t="s">
        <v>281</v>
      </c>
      <c r="C61" s="54" t="s">
        <v>355</v>
      </c>
      <c r="D61" s="92" t="s">
        <v>383</v>
      </c>
      <c r="E61" s="77" t="str">
        <f t="shared" si="2"/>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228</v>
      </c>
    </row>
    <row r="62" spans="2:6">
      <c r="B62" s="54" t="s">
        <v>281</v>
      </c>
      <c r="C62" s="54" t="s">
        <v>191</v>
      </c>
      <c r="D62" s="92" t="s">
        <v>384</v>
      </c>
      <c r="E62" s="77" t="str">
        <f t="shared" si="2"/>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228</v>
      </c>
    </row>
    <row r="63" spans="2:6">
      <c r="B63" s="54" t="s">
        <v>281</v>
      </c>
      <c r="C63" s="54" t="s">
        <v>180</v>
      </c>
      <c r="D63" s="92" t="s">
        <v>385</v>
      </c>
      <c r="E63" s="77" t="str">
        <f t="shared" si="2"/>
        <v>"[OUTPUT CONTRACT] EXACTLY 1 project. Structure MUST be: Tech Lead Intro Message, Project: Objective (max 6 lines), Expected Output (code block), Incomplete Code | " &amp;</v>
      </c>
      <c r="F63" s="32" t="s">
        <v>228</v>
      </c>
    </row>
    <row r="64" spans="2:6">
      <c r="B64" s="54" t="s">
        <v>281</v>
      </c>
      <c r="C64" s="54" t="s">
        <v>386</v>
      </c>
      <c r="D64" s="92" t="s">
        <v>387</v>
      </c>
      <c r="E64" s="77" t="str">
        <f t="shared" si="2"/>
        <v>"[OUTPUT TRUNCATION RULE] If output is large, show only first 5 lines. Do NOT use ellipsis (...) | " &amp;</v>
      </c>
      <c r="F64" s="32" t="s">
        <v>228</v>
      </c>
    </row>
    <row r="65" spans="2:6">
      <c r="B65" s="54" t="s">
        <v>281</v>
      </c>
      <c r="C65" s="54" t="s">
        <v>361</v>
      </c>
      <c r="D65" s="92" t="s">
        <v>388</v>
      </c>
      <c r="E65" s="77" t="str">
        <f t="shared" si="2"/>
        <v>"[OUTPUT EXECUTION RULE - STRICT] Expected output MUST be explicit, complete, and produced via final print(). | " &amp;</v>
      </c>
      <c r="F65" s="32" t="s">
        <v>228</v>
      </c>
    </row>
    <row r="66" spans="2:6">
      <c r="B66" s="54" t="s">
        <v>281</v>
      </c>
      <c r="C66" s="54" t="s">
        <v>363</v>
      </c>
      <c r="D66" s="92" t="s">
        <v>389</v>
      </c>
      <c r="E66" s="77" t="str">
        <f t="shared" si="2"/>
        <v>"[BASE CODE INTEGRITY RULE - STRICT] Code outside the TODO block MUST be 100% valid, logically correct, and run without errors. Do NOT use 'pass', '...', or empty placeholders outside the TODO. | " &amp;</v>
      </c>
      <c r="F66" s="32" t="s">
        <v>228</v>
      </c>
    </row>
    <row r="67" spans="2:6">
      <c r="B67" s="54" t="s">
        <v>281</v>
      </c>
      <c r="C67" s="54" t="s">
        <v>390</v>
      </c>
      <c r="D67" s="92" t="s">
        <v>391</v>
      </c>
      <c r="E67" s="77" t="str">
        <f t="shared" si="2"/>
        <v>"[TODO REALISM RULE] TODO must represent realistic integration bugs. Describe what is incorrect/incomplete. | " &amp;</v>
      </c>
      <c r="F67" s="32" t="s">
        <v>228</v>
      </c>
    </row>
    <row r="68" spans="2:6">
      <c r="B68" s="54" t="s">
        <v>281</v>
      </c>
      <c r="C68" s="54" t="s">
        <v>371</v>
      </c>
      <c r="D68" s="92" t="s">
        <v>392</v>
      </c>
      <c r="E68" s="77" t="str">
        <f t="shared" si="2"/>
        <v>"[TODO ISOLATION RULE - STRICT] ALL missing, incorrect, or output-affecting logic MUST exist ONLY inside the TODO block. Replace ONLY integration logic. | " &amp;</v>
      </c>
      <c r="F68" s="32" t="s">
        <v>228</v>
      </c>
    </row>
    <row r="69" spans="2:6">
      <c r="B69" s="54" t="s">
        <v>281</v>
      </c>
      <c r="C69" s="54" t="s">
        <v>316</v>
      </c>
      <c r="D69" s="92" t="s">
        <v>373</v>
      </c>
      <c r="E69" s="77" t="str">
        <f t="shared" si="2"/>
        <v>"[NO SOLUTION RULE - STRICT] The code under the # TODO MUST be left empty or with a 'pass'. DO NOT write the actual solution. | " &amp;</v>
      </c>
      <c r="F69" s="32" t="s">
        <v>228</v>
      </c>
    </row>
    <row r="70" spans="2:6">
      <c r="B70" s="54" t="s">
        <v>281</v>
      </c>
      <c r="C70" s="54" t="s">
        <v>220</v>
      </c>
      <c r="D70" s="92" t="s">
        <v>393</v>
      </c>
      <c r="E70" s="77" t="str">
        <f t="shared" si="2"/>
        <v>"[OUTPUT] Only header, dataset summary or statement (if any), intro message, objective, expected output, incomplete code, and footer | " &amp;</v>
      </c>
      <c r="F70" s="32" t="s">
        <v>228</v>
      </c>
    </row>
    <row r="71" spans="2:6">
      <c r="B71" s="54" t="s">
        <v>281</v>
      </c>
      <c r="C71" s="54" t="s">
        <v>224</v>
      </c>
      <c r="D71" s="92" t="s">
        <v>394</v>
      </c>
      <c r="E71" s="77" t="str">
        <f t="shared" si="2"/>
        <v>"[FOOTER RULE - STRICT] End your entire response EXACTLY with this markdown string (ensure all code blocks are closed before it):" &amp; CHAR(10) &amp; "---" &amp; CHAR(10) &amp; "⚡ *Coding5s System - Learn Programming by Writing Code - Coding5S.com*")</v>
      </c>
      <c r="F71" s="32" t="s">
        <v>228</v>
      </c>
    </row>
    <row r="72" spans="2:6">
      <c r="B72" s="54"/>
      <c r="C72" s="54"/>
      <c r="D72" s="92"/>
      <c r="E72" s="77" t="str">
        <f t="shared" si="2"/>
        <v/>
      </c>
      <c r="F72" s="32" t="s">
        <v>228</v>
      </c>
    </row>
    <row r="73" spans="2:6">
      <c r="B73" s="54"/>
      <c r="C73" s="54"/>
      <c r="D73" s="92"/>
      <c r="E73" s="77" t="str">
        <f t="shared" si="2"/>
        <v/>
      </c>
      <c r="F73" s="32" t="s">
        <v>228</v>
      </c>
    </row>
    <row r="74" spans="2:6">
      <c r="B74" s="54"/>
      <c r="C74" s="54"/>
      <c r="D74" s="92"/>
      <c r="E74" s="77" t="str">
        <f t="shared" si="2"/>
        <v/>
      </c>
      <c r="F74" s="32" t="s">
        <v>228</v>
      </c>
    </row>
    <row r="75" spans="2:6">
      <c r="B75" s="54"/>
      <c r="C75" s="54"/>
      <c r="D75" s="92"/>
      <c r="E75" s="77" t="str">
        <f t="shared" si="2"/>
        <v/>
      </c>
      <c r="F75" s="32" t="s">
        <v>228</v>
      </c>
    </row>
    <row r="76" spans="2:6">
      <c r="B76" s="54"/>
      <c r="C76" s="54"/>
      <c r="D76" s="92"/>
      <c r="E76" s="77" t="str">
        <f t="shared" si="2"/>
        <v/>
      </c>
      <c r="F76" s="32" t="s">
        <v>228</v>
      </c>
    </row>
    <row r="77" spans="2:6">
      <c r="E77" s="86"/>
      <c r="F77" t="s">
        <v>228</v>
      </c>
    </row>
    <row r="79" spans="2:6" ht="36">
      <c r="B79" s="80" t="s">
        <v>457</v>
      </c>
    </row>
    <row r="80" spans="2:6">
      <c r="B80" s="76" t="s">
        <v>225</v>
      </c>
      <c r="C80" s="76" t="s">
        <v>596</v>
      </c>
      <c r="D80" s="76" t="s">
        <v>597</v>
      </c>
      <c r="E80" s="89" t="s">
        <v>241</v>
      </c>
      <c r="F80" s="54" t="s">
        <v>228</v>
      </c>
    </row>
    <row r="81" spans="2:6">
      <c r="B81" s="54" t="s">
        <v>226</v>
      </c>
      <c r="C81" s="54" t="s">
        <v>396</v>
      </c>
      <c r="D81" s="92" t="s">
        <v>397</v>
      </c>
      <c r="E81" s="17" t="str">
        <f t="shared" ref="E81:E95" si="3">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228</v>
      </c>
    </row>
    <row r="82" spans="2:6">
      <c r="B82" s="54" t="s">
        <v>226</v>
      </c>
      <c r="C82" s="54" t="s">
        <v>243</v>
      </c>
      <c r="D82" s="92" t="s">
        <v>398</v>
      </c>
      <c r="E82" s="17" t="str">
        <f t="shared" si="3"/>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228</v>
      </c>
    </row>
    <row r="83" spans="2:6">
      <c r="B83" s="54" t="s">
        <v>226</v>
      </c>
      <c r="C83" s="54" t="s">
        <v>244</v>
      </c>
      <c r="D83" s="92" t="s">
        <v>399</v>
      </c>
      <c r="E83" s="17" t="str">
        <f t="shared" si="3"/>
        <v>"[CONTEXT] You are helping a Junior Developer complete a " &amp; IF(UPPER(H9)="PROJECT", "PROJECT: " &amp; I9 &amp; ". Topics involved: " &amp; B9 &amp; ". Project objective: " &amp; J9, "TOPIC: " &amp; I9 &amp; ". Topic details: " &amp; J9) &amp; " | " &amp;</v>
      </c>
      <c r="F83" s="54" t="s">
        <v>228</v>
      </c>
    </row>
    <row r="84" spans="2:6">
      <c r="B84" s="54" t="s">
        <v>226</v>
      </c>
      <c r="C84" s="54" t="s">
        <v>165</v>
      </c>
      <c r="D84" s="92" t="s">
        <v>400</v>
      </c>
      <c r="E84" s="17" t="str">
        <f t="shared" si="3"/>
        <v>"[TASK] Analyze the student's code and explanation. If they completed the data flow perfectly, celebrate the 'solid foundation' and offer a 'System Extension' challenge. Otherwise, follow the 2-PHASE MENTORING PROTOCOL | " &amp;</v>
      </c>
      <c r="F84" s="54" t="s">
        <v>228</v>
      </c>
    </row>
    <row r="85" spans="2:6">
      <c r="B85" s="54" t="s">
        <v>226</v>
      </c>
      <c r="C85" s="54" t="s">
        <v>234</v>
      </c>
      <c r="D85" s="92" t="s">
        <v>276</v>
      </c>
      <c r="E85" s="17" t="str">
        <f t="shared" si="3"/>
        <v>"[LIBRARY BEING LEARNED] " &amp; $I$3 &amp; " | " &amp;</v>
      </c>
      <c r="F85" s="54" t="s">
        <v>228</v>
      </c>
    </row>
    <row r="86" spans="2:6">
      <c r="B86" s="54" t="s">
        <v>226</v>
      </c>
      <c r="C86" s="54" t="s">
        <v>175</v>
      </c>
      <c r="D86" s="92" t="s">
        <v>263</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228</v>
      </c>
    </row>
    <row r="87" spans="2:6">
      <c r="B87" s="54" t="s">
        <v>226</v>
      </c>
      <c r="C87" s="54" t="s">
        <v>508</v>
      </c>
      <c r="D87" s="92" t="s">
        <v>500</v>
      </c>
      <c r="E87" s="17" t="str">
        <f t="shared" si="3"/>
        <v>"[LANGUAGE SEED CONTEXT] " &amp; IF($AE$7 = "", "Language Seed Not Necessary", "You MUST strictly follow this seed context to enhance, adapt, and naturalize your tone, vocabulary, and instructional quality in " &amp; $B$6 &amp; ": " &amp; $AE$7) &amp; " | " &amp;</v>
      </c>
      <c r="F87" s="54" t="s">
        <v>228</v>
      </c>
    </row>
    <row r="88" spans="2:6">
      <c r="B88" s="54" t="s">
        <v>226</v>
      </c>
      <c r="C88" s="54" t="s">
        <v>219</v>
      </c>
      <c r="D88" s="92" t="s">
        <v>606</v>
      </c>
      <c r="E88" s="17" t="str">
        <f t="shared" si="3"/>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228</v>
      </c>
    </row>
    <row r="89" spans="2:6">
      <c r="B89" s="54" t="s">
        <v>227</v>
      </c>
      <c r="C89" s="54" t="s">
        <v>236</v>
      </c>
      <c r="D89" s="92"/>
      <c r="E89" s="17" t="str">
        <f t="shared" si="3"/>
        <v/>
      </c>
      <c r="F89" s="54" t="s">
        <v>228</v>
      </c>
    </row>
    <row r="90" spans="2:6">
      <c r="B90" s="54" t="s">
        <v>227</v>
      </c>
      <c r="C90" s="54" t="s">
        <v>250</v>
      </c>
      <c r="D90" s="92" t="str">
        <f>Variables!E54 &amp; " " &amp; Variables!E55 &amp; " " &amp; Variables!E56 &amp; " " &amp; Variables!E57 &amp; " | " &amp; CHAR(34) &amp; " &amp;"</f>
        <v>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 &amp;</v>
      </c>
      <c r="E90" s="17" t="str">
        <f t="shared" si="3"/>
        <v>"[PYTHON QUALITY RULE - STRICT] Code MUST perfectly model idiomatic OTP architectural paradigms utilizing standard Mix ecosystem tools. Use descriptive snake_case for variables/functions, PascalCase for modules. Enforce pattern matching on strict OTP return tuples (e.g., {:reply, response, state}) and maintain flawless process isolation. Reject manual thread spawns, blocking OTP callbacks, and unprotected state modification. Use function heads for default arguments on multi-clause definitions. | " &amp;</v>
      </c>
      <c r="F90" s="54" t="s">
        <v>228</v>
      </c>
    </row>
    <row r="91" spans="2:6">
      <c r="B91" s="54" t="s">
        <v>281</v>
      </c>
      <c r="C91" s="54" t="s">
        <v>245</v>
      </c>
      <c r="D91" s="92" t="s">
        <v>401</v>
      </c>
      <c r="E91" s="17" t="str">
        <f t="shared" si="3"/>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228</v>
      </c>
    </row>
    <row r="92" spans="2:6">
      <c r="B92" s="54" t="s">
        <v>281</v>
      </c>
      <c r="C92" s="54" t="s">
        <v>247</v>
      </c>
      <c r="D92" s="92" t="s">
        <v>402</v>
      </c>
      <c r="E92" s="17" t="str">
        <f t="shared" si="3"/>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228</v>
      </c>
    </row>
    <row r="93" spans="2:6">
      <c r="B93" s="54" t="s">
        <v>281</v>
      </c>
      <c r="C93" s="54" t="s">
        <v>248</v>
      </c>
      <c r="D93" s="92" t="s">
        <v>403</v>
      </c>
      <c r="E93" s="17" t="str">
        <f t="shared" si="3"/>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228</v>
      </c>
    </row>
    <row r="94" spans="2:6">
      <c r="B94" s="54" t="s">
        <v>281</v>
      </c>
      <c r="C94" s="54" t="s">
        <v>251</v>
      </c>
      <c r="D94" s="92" t="s">
        <v>404</v>
      </c>
      <c r="E94" s="17" t="str">
        <f t="shared" si="3"/>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228</v>
      </c>
    </row>
    <row r="95" spans="2:6">
      <c r="B95" s="54" t="s">
        <v>281</v>
      </c>
      <c r="C95" s="54" t="s">
        <v>343</v>
      </c>
      <c r="D95" s="92" t="s">
        <v>405</v>
      </c>
      <c r="E95" s="17" t="str">
        <f t="shared" si="3"/>
        <v>"[FOOTER RULE] End your response with: '--- ⚡ *Coding5s Mentor System — Eliminating Epistemic Debt &amp; Connecting the Flow*',</v>
      </c>
      <c r="F95" s="54" t="s">
        <v>228</v>
      </c>
    </row>
    <row r="96" spans="2:6">
      <c r="B96" s="54"/>
      <c r="C96" s="54"/>
      <c r="D96" s="54"/>
      <c r="E96" s="89" t="s">
        <v>350</v>
      </c>
      <c r="F96" s="54" t="s">
        <v>228</v>
      </c>
    </row>
    <row r="97" spans="2:6">
      <c r="B97" s="54"/>
      <c r="C97" s="54"/>
      <c r="D97" s="54"/>
      <c r="E97" s="77" t="str">
        <f t="shared" ref="E97:E100" si="4">IF(D97="","",""""&amp;C97&amp;" "&amp;IF(C97="[FOOTER RULE - STRICT]",D97,IF(RIGHT(D97,6)=" | "&amp;CHAR(34)&amp;" &amp;",D97,D97&amp;" | "&amp;CHAR(34)&amp;" &amp;")))</f>
        <v/>
      </c>
      <c r="F97" s="54" t="s">
        <v>228</v>
      </c>
    </row>
    <row r="98" spans="2:6">
      <c r="B98" s="54"/>
      <c r="C98" s="54"/>
      <c r="D98" s="54"/>
      <c r="E98" s="77" t="str">
        <f t="shared" si="4"/>
        <v/>
      </c>
      <c r="F98" s="54" t="s">
        <v>228</v>
      </c>
    </row>
    <row r="99" spans="2:6">
      <c r="B99" s="54"/>
      <c r="C99" s="54"/>
      <c r="D99" s="54"/>
      <c r="E99" s="77" t="str">
        <f t="shared" si="4"/>
        <v/>
      </c>
      <c r="F99" s="54" t="s">
        <v>228</v>
      </c>
    </row>
    <row r="100" spans="2:6">
      <c r="B100" s="54"/>
      <c r="C100" s="54"/>
      <c r="D100" s="54"/>
      <c r="E100" s="77" t="str">
        <f t="shared" si="4"/>
        <v/>
      </c>
      <c r="F100" s="54" t="s">
        <v>228</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zoomScaleNormal="100" workbookViewId="0">
      <selection activeCell="A7" sqref="A7"/>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456</v>
      </c>
      <c r="D2" s="81" t="s">
        <v>428</v>
      </c>
      <c r="H2" s="82"/>
      <c r="T2" s="82"/>
    </row>
    <row r="3" spans="2:29">
      <c r="B3" s="76" t="s">
        <v>225</v>
      </c>
      <c r="C3" s="76" t="s">
        <v>596</v>
      </c>
      <c r="D3" s="76" t="s">
        <v>597</v>
      </c>
      <c r="E3" s="88" t="s">
        <v>233</v>
      </c>
      <c r="F3" s="4" t="s">
        <v>228</v>
      </c>
      <c r="AC3" t="s">
        <v>228</v>
      </c>
    </row>
    <row r="4" spans="2:29">
      <c r="B4" s="75" t="s">
        <v>226</v>
      </c>
      <c r="C4" s="54" t="s">
        <v>163</v>
      </c>
      <c r="D4" s="90" t="s">
        <v>352</v>
      </c>
      <c r="E4" s="77" t="str">
        <f t="shared" ref="E4:E39" si="0">IF(D4="","",""""&amp;C4&amp;" "&amp;IF(C4="[FOOTER RULE - STRICT]",D4,IF(RIGHT(D4,6)=" | "&amp;CHAR(34)&amp;" &amp;",D4,D4&amp;" | "&amp;CHAR(34)&amp;" &amp;")))</f>
        <v>"[ROLE] Tech Lead | " &amp;</v>
      </c>
      <c r="F4" s="54" t="s">
        <v>228</v>
      </c>
    </row>
    <row r="5" spans="2:29">
      <c r="B5" s="75" t="s">
        <v>226</v>
      </c>
      <c r="C5" s="54" t="s">
        <v>165</v>
      </c>
      <c r="D5" s="90" t="s">
        <v>406</v>
      </c>
      <c r="E5" s="77" t="str">
        <f t="shared" si="0"/>
        <v>"[TASK] Provide intentionally messy but functional code for learning debugging and improvement | " &amp;</v>
      </c>
      <c r="F5" s="54" t="s">
        <v>228</v>
      </c>
    </row>
    <row r="6" spans="2:29">
      <c r="B6" s="75" t="s">
        <v>226</v>
      </c>
      <c r="C6" s="54" t="s">
        <v>167</v>
      </c>
      <c r="D6" s="90" t="s">
        <v>168</v>
      </c>
      <c r="E6" s="77" t="str">
        <f t="shared" si="0"/>
        <v>"[TOPIC] " &amp; I9 &amp; " | " &amp;</v>
      </c>
      <c r="F6" s="54" t="s">
        <v>228</v>
      </c>
    </row>
    <row r="7" spans="2:29">
      <c r="B7" s="75" t="s">
        <v>226</v>
      </c>
      <c r="C7" s="54" t="s">
        <v>169</v>
      </c>
      <c r="D7" s="90" t="s">
        <v>170</v>
      </c>
      <c r="E7" s="77" t="str">
        <f t="shared" si="0"/>
        <v>"[LEVEL] " &amp; G9 &amp; " | " &amp;</v>
      </c>
      <c r="F7" s="54" t="s">
        <v>228</v>
      </c>
    </row>
    <row r="8" spans="2:29">
      <c r="B8" s="75" t="s">
        <v>226</v>
      </c>
      <c r="C8" s="54" t="s">
        <v>171</v>
      </c>
      <c r="D8" s="90" t="s">
        <v>286</v>
      </c>
      <c r="E8" s="77" t="str">
        <f t="shared" si="0"/>
        <v>"[COUNT] " &amp; D9 &amp; " challenges | " &amp;</v>
      </c>
      <c r="F8" s="54" t="s">
        <v>228</v>
      </c>
    </row>
    <row r="9" spans="2:29">
      <c r="B9" s="75" t="s">
        <v>226</v>
      </c>
      <c r="C9" s="54" t="s">
        <v>234</v>
      </c>
      <c r="D9" s="90" t="s">
        <v>276</v>
      </c>
      <c r="E9" s="77" t="str">
        <f t="shared" si="0"/>
        <v>"[LIBRARY BEING LEARNED] " &amp; $I$3 &amp; " | " &amp;</v>
      </c>
      <c r="F9" s="54" t="s">
        <v>228</v>
      </c>
    </row>
    <row r="10" spans="2:29">
      <c r="B10" s="75" t="s">
        <v>226</v>
      </c>
      <c r="C10" s="54" t="s">
        <v>229</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v>
      </c>
      <c r="E10" s="77" t="str">
        <f t="shared" si="0"/>
        <v>"[ECOSYSTEM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v>
      </c>
      <c r="F10" s="54" t="s">
        <v>228</v>
      </c>
    </row>
    <row r="11" spans="2:29">
      <c r="B11" s="75" t="s">
        <v>226</v>
      </c>
      <c r="C11" s="54" t="s">
        <v>173</v>
      </c>
      <c r="D11" s="90" t="s">
        <v>407</v>
      </c>
      <c r="E11" s="77" t="str">
        <f t="shared" si="0"/>
        <v>"[PERSONA RULE] Act as a Tech Lead. A junior wrote this working but messy code. Tone: professional but exhausted by the code quality | " &amp;</v>
      </c>
      <c r="F11" s="54" t="s">
        <v>228</v>
      </c>
    </row>
    <row r="12" spans="2:29">
      <c r="B12" s="75" t="s">
        <v>226</v>
      </c>
      <c r="C12" s="54" t="s">
        <v>175</v>
      </c>
      <c r="D12" s="90" t="s">
        <v>408</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228</v>
      </c>
    </row>
    <row r="13" spans="2:29">
      <c r="B13" s="75" t="s">
        <v>226</v>
      </c>
      <c r="C13" s="54" t="s">
        <v>219</v>
      </c>
      <c r="D13" s="90" t="s">
        <v>607</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228</v>
      </c>
    </row>
    <row r="14" spans="2:29">
      <c r="B14" s="83" t="s">
        <v>226</v>
      </c>
      <c r="C14" s="54" t="s">
        <v>508</v>
      </c>
      <c r="D14" s="90" t="s">
        <v>500</v>
      </c>
      <c r="E14" s="77" t="str">
        <f t="shared" si="0"/>
        <v>"[LANGUAGE SEED CONTEXT] " &amp; IF($AE$7 = "", "Language Seed Not Necessary", "You MUST strictly follow this seed context to enhance, adapt, and naturalize your tone, vocabulary, and instructional quality in " &amp; $B$6 &amp; ": " &amp; $AE$7) &amp; " | " &amp;</v>
      </c>
      <c r="F14" s="54" t="s">
        <v>228</v>
      </c>
    </row>
    <row r="15" spans="2:29">
      <c r="B15" s="83" t="s">
        <v>227</v>
      </c>
      <c r="C15" s="54" t="s">
        <v>236</v>
      </c>
      <c r="D15" s="90"/>
      <c r="E15" s="77" t="str">
        <f t="shared" si="0"/>
        <v/>
      </c>
      <c r="F15" s="54" t="s">
        <v>228</v>
      </c>
    </row>
    <row r="16" spans="2:29">
      <c r="B16" s="83" t="s">
        <v>227</v>
      </c>
      <c r="C16" s="54" t="s">
        <v>236</v>
      </c>
      <c r="D16" s="90"/>
      <c r="E16" s="77" t="str">
        <f t="shared" si="0"/>
        <v/>
      </c>
      <c r="F16" s="54" t="s">
        <v>228</v>
      </c>
    </row>
    <row r="17" spans="2:6">
      <c r="B17" s="83" t="s">
        <v>227</v>
      </c>
      <c r="C17" s="54" t="s">
        <v>236</v>
      </c>
      <c r="D17" s="90"/>
      <c r="E17" s="77" t="str">
        <f t="shared" si="0"/>
        <v/>
      </c>
      <c r="F17" s="54" t="s">
        <v>228</v>
      </c>
    </row>
    <row r="18" spans="2:6">
      <c r="B18" s="54" t="s">
        <v>281</v>
      </c>
      <c r="C18" s="54" t="s">
        <v>184</v>
      </c>
      <c r="D18" s="90" t="s">
        <v>409</v>
      </c>
      <c r="E18" s="77" t="str">
        <f t="shared" si="0"/>
        <v>"[CODE QUALITY RULE] Code MUST be executable and correct BUT intentionally messy, inconsistent, or suboptimal | " &amp;</v>
      </c>
      <c r="F18" s="54" t="s">
        <v>228</v>
      </c>
    </row>
    <row r="19" spans="2:6">
      <c r="B19" s="54" t="s">
        <v>281</v>
      </c>
      <c r="C19" s="54" t="s">
        <v>410</v>
      </c>
      <c r="D19" s="90" t="s">
        <v>411</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228</v>
      </c>
    </row>
    <row r="20" spans="2:6">
      <c r="B20" s="54" t="s">
        <v>281</v>
      </c>
      <c r="C20" s="54" t="s">
        <v>412</v>
      </c>
      <c r="D20" s="90" t="s">
        <v>413</v>
      </c>
      <c r="E20" s="77" t="str">
        <f t="shared" si="0"/>
        <v>"[STYLE INCONSISTENCY RULE] Each challenge should feel like it was written at a different time with different formatting styles | " &amp;</v>
      </c>
      <c r="F20" s="54" t="s">
        <v>228</v>
      </c>
    </row>
    <row r="21" spans="2:6">
      <c r="B21" s="54" t="s">
        <v>281</v>
      </c>
      <c r="C21" s="54" t="s">
        <v>192</v>
      </c>
      <c r="D21" s="90" t="s">
        <v>696</v>
      </c>
      <c r="E21" s="77" t="str">
        <f t="shared" si="0"/>
        <v>"[FILE HANDLING RULE] Use correct loaders and enforce encoding='utf-8' and newline='' when applicable if the programming language supports it. | " &amp;</v>
      </c>
      <c r="F21" s="54" t="s">
        <v>228</v>
      </c>
    </row>
    <row r="22" spans="2:6">
      <c r="B22" s="54" t="s">
        <v>281</v>
      </c>
      <c r="C22" s="54" t="s">
        <v>193</v>
      </c>
      <c r="D22" s="90" t="s">
        <v>695</v>
      </c>
      <c r="E22" s="77" t="str">
        <f t="shared" si="0"/>
        <v>"[DATA TYPE RULE] Explicit casting required before calculations when the programming language requires it. | " &amp;</v>
      </c>
      <c r="F22" s="54" t="s">
        <v>228</v>
      </c>
    </row>
    <row r="23" spans="2:6">
      <c r="B23" s="54" t="s">
        <v>281</v>
      </c>
      <c r="C23" s="54" t="s">
        <v>194</v>
      </c>
      <c r="D23" s="90" t="s">
        <v>414</v>
      </c>
      <c r="E23" s="77" t="str">
        <f t="shared" si="0"/>
        <v>"[DATA ROBUSTNESS RULE] Handle missing, malformed, or inconsistent data safely | " &amp;</v>
      </c>
      <c r="F23" s="54" t="s">
        <v>228</v>
      </c>
    </row>
    <row r="24" spans="2:6">
      <c r="B24" s="54" t="s">
        <v>281</v>
      </c>
      <c r="C24" s="54" t="s">
        <v>195</v>
      </c>
      <c r="D24" s="90" t="s">
        <v>694</v>
      </c>
      <c r="E24" s="77" t="str">
        <f t="shared" si="0"/>
        <v>"[BOOLEAN HANDLING RULE] Normalize boolean values before comparison when the programming language requires it. | " &amp;</v>
      </c>
      <c r="F24" s="54" t="s">
        <v>228</v>
      </c>
    </row>
    <row r="25" spans="2:6">
      <c r="B25" s="54" t="s">
        <v>281</v>
      </c>
      <c r="C25" s="54" t="s">
        <v>196</v>
      </c>
      <c r="D25" s="90" t="s">
        <v>415</v>
      </c>
      <c r="E25" s="77" t="str">
        <f t="shared" si="0"/>
        <v>"[DATA CONSISTENCY RULE] Respect dataset schema | " &amp;</v>
      </c>
      <c r="F25" s="54" t="s">
        <v>228</v>
      </c>
    </row>
    <row r="26" spans="2:6">
      <c r="B26" s="54" t="s">
        <v>281</v>
      </c>
      <c r="C26" s="54" t="s">
        <v>211</v>
      </c>
      <c r="D26" s="90" t="s">
        <v>291</v>
      </c>
      <c r="E26" s="77" t="str">
        <f t="shared" si="0"/>
        <v>"[FORMAT RULE] Only valid markdown code blocks allowed | " &amp;</v>
      </c>
      <c r="F26" s="54" t="s">
        <v>228</v>
      </c>
    </row>
    <row r="27" spans="2:6">
      <c r="B27" s="54" t="s">
        <v>281</v>
      </c>
      <c r="C27" s="54" t="s">
        <v>213</v>
      </c>
      <c r="D27" s="90" t="s">
        <v>292</v>
      </c>
      <c r="E27" s="77" t="str">
        <f t="shared" si="0"/>
        <v>"[LANGUAGE TAG RULE] ALWAYS label markdown code blocks with the correct underlying programming language (e.g., python, javascript, sql) | " &amp;</v>
      </c>
      <c r="F27" s="54" t="s">
        <v>228</v>
      </c>
    </row>
    <row r="28" spans="2:6">
      <c r="B28" s="54" t="s">
        <v>281</v>
      </c>
      <c r="C28" s="54" t="s">
        <v>215</v>
      </c>
      <c r="D28" s="90" t="s">
        <v>416</v>
      </c>
      <c r="E28" s="77" t="str">
        <f t="shared" si="0"/>
        <v>"[OUTPUT FORMAT RULE] Monetary values formatted with '$', commas, 2 decimals | " &amp;</v>
      </c>
      <c r="F28" s="54" t="s">
        <v>228</v>
      </c>
    </row>
    <row r="29" spans="2:6">
      <c r="B29" s="54" t="s">
        <v>281</v>
      </c>
      <c r="C29" s="54" t="s">
        <v>220</v>
      </c>
      <c r="D29" s="90" t="s">
        <v>417</v>
      </c>
      <c r="E29" s="77" t="str">
        <f t="shared" si="0"/>
        <v>"[OUTPUT] Only header, dataset summary or statement (if any), intro, challenges, code, outputs, and footer | " &amp;</v>
      </c>
      <c r="F29" s="54" t="s">
        <v>228</v>
      </c>
    </row>
    <row r="30" spans="2:6">
      <c r="B30" s="54" t="s">
        <v>281</v>
      </c>
      <c r="C30" s="54" t="s">
        <v>177</v>
      </c>
      <c r="D30" s="90" t="s">
        <v>356</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228</v>
      </c>
    </row>
    <row r="31" spans="2:6">
      <c r="B31" s="54" t="s">
        <v>281</v>
      </c>
      <c r="C31" s="54" t="s">
        <v>178</v>
      </c>
      <c r="D31" s="90" t="s">
        <v>418</v>
      </c>
      <c r="E31" s="77" t="str">
        <f t="shared" si="0"/>
        <v>"[DATA SUMMARY FORMAT RULE] When a dataset is present, you MUST display IMMEDIATELY AFTER THE HEADER: Dataset Summary: - File Type: - Columns / Fields: - Data Types: - Notes: | " &amp;</v>
      </c>
      <c r="F31" s="54" t="s">
        <v>228</v>
      </c>
    </row>
    <row r="32" spans="2:6">
      <c r="B32" s="54" t="s">
        <v>281</v>
      </c>
      <c r="C32" s="54" t="s">
        <v>191</v>
      </c>
      <c r="D32" s="90" t="s">
        <v>419</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228</v>
      </c>
    </row>
    <row r="33" spans="2:6">
      <c r="B33" s="54" t="s">
        <v>281</v>
      </c>
      <c r="C33" s="54" t="s">
        <v>180</v>
      </c>
      <c r="D33" s="90" t="s">
        <v>420</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228</v>
      </c>
    </row>
    <row r="34" spans="2:6">
      <c r="B34" s="54" t="s">
        <v>281</v>
      </c>
      <c r="C34" s="54" t="s">
        <v>421</v>
      </c>
      <c r="D34" s="90" t="s">
        <v>422</v>
      </c>
      <c r="E34" s="77" t="str">
        <f t="shared" si="0"/>
        <v>"[REVIEW INTENT RULE] The user is expected to review, identify issues, and refactor the code to production-level quality | " &amp;</v>
      </c>
      <c r="F34" s="54" t="s">
        <v>228</v>
      </c>
    </row>
    <row r="35" spans="2:6">
      <c r="B35" s="54" t="s">
        <v>281</v>
      </c>
      <c r="C35" s="54" t="s">
        <v>182</v>
      </c>
      <c r="D35" s="90" t="s">
        <v>423</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228</v>
      </c>
    </row>
    <row r="36" spans="2:6">
      <c r="B36" s="54" t="s">
        <v>281</v>
      </c>
      <c r="C36" s="54" t="s">
        <v>198</v>
      </c>
      <c r="D36" s="90" t="s">
        <v>424</v>
      </c>
      <c r="E36" s="77" t="str">
        <f t="shared" si="0"/>
        <v>"[SUPPORT FILES RULE] If env/config is used, include: 1. Instructional sentence 2. File content in markdown code block 3. BEFORE the main code | " &amp;</v>
      </c>
      <c r="F36" s="54" t="s">
        <v>228</v>
      </c>
    </row>
    <row r="37" spans="2:6">
      <c r="B37" s="54" t="s">
        <v>281</v>
      </c>
      <c r="C37" s="54" t="s">
        <v>199</v>
      </c>
      <c r="D37" s="90" t="s">
        <v>425</v>
      </c>
      <c r="E37" s="77" t="str">
        <f t="shared" si="0"/>
        <v>"[DIFFICULTY RULE] Complexity MUST match level | " &amp;</v>
      </c>
      <c r="F37" s="54" t="s">
        <v>228</v>
      </c>
    </row>
    <row r="38" spans="2:6">
      <c r="B38" s="54" t="s">
        <v>281</v>
      </c>
      <c r="C38" s="54" t="s">
        <v>426</v>
      </c>
      <c r="D38" s="90" t="s">
        <v>427</v>
      </c>
      <c r="E38" s="77" t="str">
        <f t="shared" si="0"/>
        <v>"[DIFFICULTY CONSISTENCY RULE] All challenges MUST have similar complexity and length, even if coding styles differ | " &amp;</v>
      </c>
      <c r="F38" s="54" t="s">
        <v>228</v>
      </c>
    </row>
    <row r="39" spans="2:6">
      <c r="B39" s="54" t="s">
        <v>281</v>
      </c>
      <c r="C39" s="54" t="s">
        <v>224</v>
      </c>
      <c r="D39" s="90" t="s">
        <v>380</v>
      </c>
      <c r="E39" s="77" t="str">
        <f t="shared" si="0"/>
        <v>"[FOOTER RULE - STRICT] End your entire response EXACTLY with this markdown string (ensure all code blocks are closed before it):" &amp; CHAR(10) &amp; "---" &amp; CHAR(10) &amp; "⚡ *Coding5s System - Learn Programming by Writing Code - Coding5S.com*",</v>
      </c>
      <c r="F39" s="54" t="s">
        <v>228</v>
      </c>
    </row>
    <row r="40" spans="2:6">
      <c r="B40" s="54"/>
      <c r="C40" s="54"/>
      <c r="D40" s="90"/>
      <c r="E40" s="88" t="s">
        <v>429</v>
      </c>
      <c r="F40" s="54" t="s">
        <v>228</v>
      </c>
    </row>
    <row r="41" spans="2:6">
      <c r="B41" s="54"/>
      <c r="C41" s="54"/>
      <c r="D41" s="90"/>
      <c r="E41" s="77"/>
      <c r="F41" s="54"/>
    </row>
    <row r="42" spans="2:6">
      <c r="B42" s="74"/>
      <c r="C42" s="74"/>
      <c r="E42" s="86"/>
    </row>
    <row r="43" spans="2:6">
      <c r="B43" s="74"/>
      <c r="C43" s="74"/>
      <c r="E43" s="86"/>
    </row>
    <row r="44" spans="2:6" ht="36">
      <c r="B44" s="79" t="s">
        <v>455</v>
      </c>
      <c r="C44" s="74"/>
      <c r="E44" s="86"/>
    </row>
    <row r="45" spans="2:6">
      <c r="B45" s="76" t="s">
        <v>273</v>
      </c>
      <c r="C45" s="76" t="s">
        <v>596</v>
      </c>
      <c r="D45" s="76" t="s">
        <v>597</v>
      </c>
      <c r="E45" s="88" t="s">
        <v>274</v>
      </c>
      <c r="F45" s="32" t="s">
        <v>228</v>
      </c>
    </row>
    <row r="46" spans="2:6">
      <c r="B46" s="54" t="s">
        <v>226</v>
      </c>
      <c r="C46" s="54" t="s">
        <v>163</v>
      </c>
      <c r="D46" s="90" t="s">
        <v>352</v>
      </c>
      <c r="E46" s="77" t="str">
        <f>IF(D46="","",""""&amp;C46&amp;" "&amp;IF(C46="[FOOTER RULE - STRICT]",D46,IF(RIGHT(D46,6)=" | "&amp;CHAR(34)&amp;" &amp;",D46,D46&amp;" | "&amp;CHAR(34)&amp;" &amp;")))</f>
        <v>"[ROLE] Tech Lead | " &amp;</v>
      </c>
      <c r="F46" s="32" t="s">
        <v>228</v>
      </c>
    </row>
    <row r="47" spans="2:6">
      <c r="B47" s="54" t="s">
        <v>226</v>
      </c>
      <c r="C47" s="54" t="s">
        <v>165</v>
      </c>
      <c r="D47" s="90" t="s">
        <v>430</v>
      </c>
      <c r="E47" s="77" t="str">
        <f t="shared" ref="E47:E76" si="1">IF(D47="","",""""&amp;C47&amp;" "&amp;IF(C47="[FOOTER RULE - STRICT]",D47,IF(RIGHT(D47,6)=" | "&amp;CHAR(34)&amp;" &amp;",D47,D47&amp;" | "&amp;CHAR(34)&amp;" &amp;")))</f>
        <v>"[TASK] Provide a messy but functional project for refactoring | " &amp;</v>
      </c>
      <c r="F47" s="32" t="s">
        <v>228</v>
      </c>
    </row>
    <row r="48" spans="2:6">
      <c r="B48" s="54" t="s">
        <v>226</v>
      </c>
      <c r="C48" s="54" t="s">
        <v>326</v>
      </c>
      <c r="D48" s="90" t="s">
        <v>168</v>
      </c>
      <c r="E48" s="77" t="str">
        <f t="shared" si="1"/>
        <v>"[PROJECT] " &amp; I9 &amp; " | " &amp;</v>
      </c>
      <c r="F48" s="32" t="s">
        <v>228</v>
      </c>
    </row>
    <row r="49" spans="2:6">
      <c r="B49" s="54" t="s">
        <v>226</v>
      </c>
      <c r="C49" s="54" t="s">
        <v>261</v>
      </c>
      <c r="D49" s="90" t="s">
        <v>262</v>
      </c>
      <c r="E49" s="77" t="str">
        <f t="shared" si="1"/>
        <v>"[TOPICS USED] " &amp; B9 &amp; " | " &amp;</v>
      </c>
      <c r="F49" s="32" t="s">
        <v>228</v>
      </c>
    </row>
    <row r="50" spans="2:6">
      <c r="B50" s="54" t="s">
        <v>226</v>
      </c>
      <c r="C50" s="54" t="s">
        <v>169</v>
      </c>
      <c r="D50" s="90" t="s">
        <v>170</v>
      </c>
      <c r="E50" s="77" t="str">
        <f t="shared" si="1"/>
        <v>"[LEVEL] " &amp; G9 &amp; " | " &amp;</v>
      </c>
      <c r="F50" s="32" t="s">
        <v>228</v>
      </c>
    </row>
    <row r="51" spans="2:6">
      <c r="B51" s="54" t="s">
        <v>226</v>
      </c>
      <c r="C51" s="54" t="s">
        <v>173</v>
      </c>
      <c r="D51" s="90" t="s">
        <v>431</v>
      </c>
      <c r="E51" s="77" t="str">
        <f t="shared" si="1"/>
        <v>"[PERSONA RULE] Act as a Tech Lead. A junior wrote this working but messy code. Tone: professional but exhausted | " &amp;</v>
      </c>
      <c r="F51" s="32" t="s">
        <v>228</v>
      </c>
    </row>
    <row r="52" spans="2:6">
      <c r="B52" s="54" t="s">
        <v>226</v>
      </c>
      <c r="C52" s="54" t="s">
        <v>219</v>
      </c>
      <c r="D52" s="90" t="s">
        <v>608</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228</v>
      </c>
    </row>
    <row r="53" spans="2:6">
      <c r="B53" s="54" t="s">
        <v>226</v>
      </c>
      <c r="C53" s="54" t="s">
        <v>234</v>
      </c>
      <c r="D53" s="90" t="s">
        <v>276</v>
      </c>
      <c r="E53" s="77" t="str">
        <f t="shared" si="1"/>
        <v>"[LIBRARY BEING LEARNED] " &amp; $I$3 &amp; " | " &amp;</v>
      </c>
      <c r="F53" s="32" t="s">
        <v>228</v>
      </c>
    </row>
    <row r="54" spans="2:6">
      <c r="B54" s="75" t="s">
        <v>226</v>
      </c>
      <c r="C54" s="54" t="s">
        <v>229</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v>
      </c>
      <c r="E54" s="77"/>
      <c r="F54" s="32"/>
    </row>
    <row r="55" spans="2:6">
      <c r="B55" s="54" t="s">
        <v>226</v>
      </c>
      <c r="C55" s="54" t="s">
        <v>175</v>
      </c>
      <c r="D55" s="90" t="s">
        <v>263</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228</v>
      </c>
    </row>
    <row r="56" spans="2:6">
      <c r="B56" s="54" t="s">
        <v>226</v>
      </c>
      <c r="C56" s="54" t="s">
        <v>508</v>
      </c>
      <c r="D56" s="90" t="s">
        <v>500</v>
      </c>
      <c r="E56" s="77" t="str">
        <f t="shared" si="1"/>
        <v>"[LANGUAGE SEED CONTEXT] " &amp; IF($AE$7 = "", "Language Seed Not Necessary", "You MUST strictly follow this seed context to enhance, adapt, and naturalize your tone, vocabulary, and instructional quality in " &amp; $B$6 &amp; ": " &amp; $AE$7) &amp; " | " &amp;</v>
      </c>
      <c r="F56" s="32" t="s">
        <v>228</v>
      </c>
    </row>
    <row r="57" spans="2:6">
      <c r="B57" s="54" t="s">
        <v>227</v>
      </c>
      <c r="C57" s="54" t="s">
        <v>236</v>
      </c>
      <c r="D57" s="90"/>
      <c r="E57" s="77" t="str">
        <f t="shared" si="1"/>
        <v/>
      </c>
      <c r="F57" s="32" t="s">
        <v>228</v>
      </c>
    </row>
    <row r="58" spans="2:6">
      <c r="B58" s="54" t="s">
        <v>227</v>
      </c>
      <c r="C58" s="54" t="s">
        <v>236</v>
      </c>
      <c r="D58" s="90"/>
      <c r="E58" s="77" t="str">
        <f t="shared" si="1"/>
        <v/>
      </c>
      <c r="F58" s="32" t="s">
        <v>228</v>
      </c>
    </row>
    <row r="59" spans="2:6">
      <c r="B59" s="54" t="s">
        <v>227</v>
      </c>
      <c r="C59" s="54" t="s">
        <v>236</v>
      </c>
      <c r="D59" s="90"/>
      <c r="E59" s="77" t="str">
        <f t="shared" si="1"/>
        <v/>
      </c>
      <c r="F59" s="32" t="s">
        <v>228</v>
      </c>
    </row>
    <row r="60" spans="2:6">
      <c r="B60" s="54" t="s">
        <v>281</v>
      </c>
      <c r="C60" s="54" t="s">
        <v>184</v>
      </c>
      <c r="D60" s="90" t="s">
        <v>432</v>
      </c>
      <c r="E60" s="77" t="str">
        <f t="shared" si="1"/>
        <v>"[CODE QUALITY RULE] Code MUST be correct and executable but not perfectly clean | " &amp;</v>
      </c>
      <c r="F60" s="32" t="s">
        <v>228</v>
      </c>
    </row>
    <row r="61" spans="2:6">
      <c r="B61" s="54" t="s">
        <v>281</v>
      </c>
      <c r="C61" s="54" t="s">
        <v>410</v>
      </c>
      <c r="D61" s="90" t="s">
        <v>433</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228</v>
      </c>
    </row>
    <row r="62" spans="2:6">
      <c r="B62" s="54" t="s">
        <v>281</v>
      </c>
      <c r="C62" s="54" t="s">
        <v>194</v>
      </c>
      <c r="D62" s="90" t="s">
        <v>434</v>
      </c>
      <c r="E62" s="77" t="str">
        <f t="shared" si="1"/>
        <v>"[DATA ROBUSTNESS RULE] Handle real-world data safely | " &amp;</v>
      </c>
      <c r="F62" s="32" t="s">
        <v>228</v>
      </c>
    </row>
    <row r="63" spans="2:6">
      <c r="B63" s="54" t="s">
        <v>281</v>
      </c>
      <c r="C63" s="54" t="s">
        <v>211</v>
      </c>
      <c r="D63" s="90" t="s">
        <v>291</v>
      </c>
      <c r="E63" s="77" t="str">
        <f t="shared" si="1"/>
        <v>"[FORMAT RULE] Only valid markdown code blocks allowed | " &amp;</v>
      </c>
      <c r="F63" s="32" t="s">
        <v>228</v>
      </c>
    </row>
    <row r="64" spans="2:6">
      <c r="B64" s="54" t="s">
        <v>281</v>
      </c>
      <c r="C64" s="54" t="s">
        <v>213</v>
      </c>
      <c r="D64" s="90" t="s">
        <v>292</v>
      </c>
      <c r="E64" s="77" t="str">
        <f t="shared" si="1"/>
        <v>"[LANGUAGE TAG RULE] ALWAYS label markdown code blocks with the correct underlying programming language (e.g., python, javascript, sql) | " &amp;</v>
      </c>
      <c r="F64" s="32" t="s">
        <v>228</v>
      </c>
    </row>
    <row r="65" spans="2:6">
      <c r="B65" s="54" t="s">
        <v>281</v>
      </c>
      <c r="C65" s="54" t="s">
        <v>177</v>
      </c>
      <c r="D65" s="90" t="s">
        <v>435</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228</v>
      </c>
    </row>
    <row r="66" spans="2:6">
      <c r="B66" s="54" t="s">
        <v>281</v>
      </c>
      <c r="C66" s="54" t="s">
        <v>191</v>
      </c>
      <c r="D66" s="90" t="s">
        <v>436</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228</v>
      </c>
    </row>
    <row r="67" spans="2:6">
      <c r="B67" s="54" t="s">
        <v>281</v>
      </c>
      <c r="C67" s="54" t="s">
        <v>180</v>
      </c>
      <c r="D67" s="90" t="s">
        <v>437</v>
      </c>
      <c r="E67" s="77" t="str">
        <f t="shared" si="1"/>
        <v>"[OUTPUT CONTRACT] EXACTLY 1 project. Structure MUST be: 1. Tech Lead Intro Email 2. Project: Objective (max 6 lines), Expected Output (code block), Dirty Code | " &amp;</v>
      </c>
      <c r="F67" s="32" t="s">
        <v>228</v>
      </c>
    </row>
    <row r="68" spans="2:6">
      <c r="B68" s="54" t="s">
        <v>281</v>
      </c>
      <c r="C68" s="54" t="s">
        <v>421</v>
      </c>
      <c r="D68" s="90" t="s">
        <v>438</v>
      </c>
      <c r="E68" s="77" t="str">
        <f t="shared" si="1"/>
        <v>"[REVIEW INTENT RULE] The user is expected to review and refactor the project to improve structure, readability, and maintainability | " &amp;</v>
      </c>
      <c r="F68" s="32" t="s">
        <v>228</v>
      </c>
    </row>
    <row r="69" spans="2:6">
      <c r="B69" s="54" t="s">
        <v>281</v>
      </c>
      <c r="C69" s="54" t="s">
        <v>182</v>
      </c>
      <c r="D69" s="90" t="s">
        <v>439</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228</v>
      </c>
    </row>
    <row r="70" spans="2:6">
      <c r="B70" s="54" t="s">
        <v>281</v>
      </c>
      <c r="C70" s="54" t="s">
        <v>198</v>
      </c>
      <c r="D70" s="90" t="s">
        <v>440</v>
      </c>
      <c r="E70" s="77" t="str">
        <f t="shared" si="1"/>
        <v>"[SUPPORT FILES RULE] Include config files before code if needed | " &amp;</v>
      </c>
      <c r="F70" s="32" t="s">
        <v>228</v>
      </c>
    </row>
    <row r="71" spans="2:6">
      <c r="B71" s="54" t="s">
        <v>281</v>
      </c>
      <c r="C71" s="54" t="s">
        <v>268</v>
      </c>
      <c r="D71" s="90" t="s">
        <v>441</v>
      </c>
      <c r="E71" s="77" t="str">
        <f t="shared" si="1"/>
        <v>"[EXECUTION RULE] Code MUST run and produce correct output | " &amp;</v>
      </c>
      <c r="F71" s="32" t="s">
        <v>228</v>
      </c>
    </row>
    <row r="72" spans="2:6">
      <c r="B72" s="54" t="s">
        <v>281</v>
      </c>
      <c r="C72" s="54" t="s">
        <v>216</v>
      </c>
      <c r="D72" s="90" t="s">
        <v>442</v>
      </c>
      <c r="E72" s="77" t="str">
        <f t="shared" si="1"/>
        <v>"[CONSISTENCY RULE] Project must match objective | " &amp;</v>
      </c>
      <c r="F72" s="32" t="s">
        <v>228</v>
      </c>
    </row>
    <row r="73" spans="2:6">
      <c r="B73" s="54" t="s">
        <v>281</v>
      </c>
      <c r="C73" s="54" t="s">
        <v>220</v>
      </c>
      <c r="D73" s="90" t="s">
        <v>443</v>
      </c>
      <c r="E73" s="77" t="str">
        <f t="shared" si="1"/>
        <v>"[OUTPUT] Only header, dataset summary or statement (if any), intro email, objective, expected output, code, and footer | " &amp;</v>
      </c>
      <c r="F73" s="32" t="s">
        <v>228</v>
      </c>
    </row>
    <row r="74" spans="2:6">
      <c r="B74" s="54" t="s">
        <v>281</v>
      </c>
      <c r="C74" s="54" t="s">
        <v>224</v>
      </c>
      <c r="D74" s="90" t="s">
        <v>394</v>
      </c>
      <c r="E74" s="77" t="str">
        <f t="shared" si="1"/>
        <v>"[FOOTER RULE - STRICT] End your entire response EXACTLY with this markdown string (ensure all code blocks are closed before it):" &amp; CHAR(10) &amp; "---" &amp; CHAR(10) &amp; "⚡ *Coding5s System - Learn Programming by Writing Code - Coding5S.com*")</v>
      </c>
      <c r="F74" s="32" t="s">
        <v>228</v>
      </c>
    </row>
    <row r="75" spans="2:6">
      <c r="B75" s="54"/>
      <c r="C75" s="54"/>
      <c r="D75" s="90"/>
      <c r="E75" s="77" t="str">
        <f t="shared" si="1"/>
        <v/>
      </c>
      <c r="F75" s="32" t="s">
        <v>228</v>
      </c>
    </row>
    <row r="76" spans="2:6">
      <c r="B76" s="54"/>
      <c r="C76" s="54"/>
      <c r="D76" s="90"/>
      <c r="E76" s="77" t="str">
        <f t="shared" si="1"/>
        <v/>
      </c>
      <c r="F76" s="32" t="s">
        <v>228</v>
      </c>
    </row>
    <row r="77" spans="2:6">
      <c r="E77" s="86"/>
      <c r="F77" t="s">
        <v>228</v>
      </c>
    </row>
    <row r="79" spans="2:6" ht="36">
      <c r="B79" s="80" t="s">
        <v>454</v>
      </c>
    </row>
    <row r="80" spans="2:6">
      <c r="B80" s="76" t="s">
        <v>225</v>
      </c>
      <c r="C80" s="76" t="s">
        <v>596</v>
      </c>
      <c r="D80" s="76" t="s">
        <v>597</v>
      </c>
      <c r="E80" s="89" t="s">
        <v>241</v>
      </c>
      <c r="F80" s="54" t="s">
        <v>228</v>
      </c>
    </row>
    <row r="81" spans="2:6">
      <c r="B81" s="54" t="s">
        <v>226</v>
      </c>
      <c r="C81" s="54" t="s">
        <v>444</v>
      </c>
      <c r="D81" s="90" t="s">
        <v>445</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228</v>
      </c>
    </row>
    <row r="82" spans="2:6">
      <c r="B82" s="54" t="s">
        <v>226</v>
      </c>
      <c r="C82" s="54" t="s">
        <v>243</v>
      </c>
      <c r="D82" s="90" t="s">
        <v>446</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228</v>
      </c>
    </row>
    <row r="83" spans="2:6">
      <c r="B83" s="54" t="s">
        <v>226</v>
      </c>
      <c r="C83" s="54" t="s">
        <v>244</v>
      </c>
      <c r="D83" s="90" t="s">
        <v>447</v>
      </c>
      <c r="E83" s="17" t="str">
        <f t="shared" si="2"/>
        <v>"[CONTEXT] You are performing a Code Review for a " &amp; IF(UPPER(H9)="PROJECT", "PROJECT: " &amp; I9 &amp; ". Topics involved: " &amp; B9 &amp; ". Project objective: " &amp; J9, "TOPIC: " &amp; I9 &amp; ". Topic details: " &amp; J9) &amp; " | " &amp;</v>
      </c>
      <c r="F83" s="54" t="s">
        <v>228</v>
      </c>
    </row>
    <row r="84" spans="2:6">
      <c r="B84" s="54" t="s">
        <v>226</v>
      </c>
      <c r="C84" s="54" t="s">
        <v>165</v>
      </c>
      <c r="D84" s="90" t="s">
        <v>448</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228</v>
      </c>
    </row>
    <row r="85" spans="2:6">
      <c r="B85" s="54" t="s">
        <v>226</v>
      </c>
      <c r="C85" s="54" t="s">
        <v>234</v>
      </c>
      <c r="D85" s="90" t="s">
        <v>276</v>
      </c>
      <c r="E85" s="17" t="str">
        <f t="shared" si="2"/>
        <v>"[LIBRARY BEING LEARNED] " &amp; $I$3 &amp; " | " &amp;</v>
      </c>
      <c r="F85" s="54" t="s">
        <v>228</v>
      </c>
    </row>
    <row r="86" spans="2:6">
      <c r="B86" s="54" t="s">
        <v>226</v>
      </c>
      <c r="C86" s="54" t="s">
        <v>175</v>
      </c>
      <c r="D86" s="90" t="s">
        <v>263</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228</v>
      </c>
    </row>
    <row r="87" spans="2:6">
      <c r="B87" s="54" t="s">
        <v>226</v>
      </c>
      <c r="C87" s="54" t="s">
        <v>508</v>
      </c>
      <c r="D87" s="90" t="s">
        <v>500</v>
      </c>
      <c r="E87" s="17" t="str">
        <f t="shared" si="2"/>
        <v>"[LANGUAGE SEED CONTEXT] " &amp; IF($AE$7 = "", "Language Seed Not Necessary", "You MUST strictly follow this seed context to enhance, adapt, and naturalize your tone, vocabulary, and instructional quality in " &amp; $B$6 &amp; ": " &amp; $AE$7) &amp; " | " &amp;</v>
      </c>
      <c r="F87" s="54" t="s">
        <v>228</v>
      </c>
    </row>
    <row r="88" spans="2:6">
      <c r="B88" s="54" t="s">
        <v>226</v>
      </c>
      <c r="C88" s="54" t="s">
        <v>219</v>
      </c>
      <c r="D88" s="90" t="s">
        <v>609</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228</v>
      </c>
    </row>
    <row r="89" spans="2:6">
      <c r="B89" s="54" t="s">
        <v>227</v>
      </c>
      <c r="C89" s="54" t="s">
        <v>236</v>
      </c>
      <c r="D89" s="90"/>
      <c r="E89" s="17" t="str">
        <f t="shared" si="2"/>
        <v/>
      </c>
      <c r="F89" s="54" t="s">
        <v>228</v>
      </c>
    </row>
    <row r="90" spans="2:6">
      <c r="B90" s="54" t="s">
        <v>227</v>
      </c>
      <c r="C90" s="54" t="s">
        <v>236</v>
      </c>
      <c r="D90" s="90"/>
      <c r="E90" s="17" t="str">
        <f t="shared" si="2"/>
        <v/>
      </c>
      <c r="F90" s="54" t="s">
        <v>228</v>
      </c>
    </row>
    <row r="91" spans="2:6">
      <c r="B91" s="54" t="s">
        <v>227</v>
      </c>
      <c r="C91" s="54" t="s">
        <v>250</v>
      </c>
      <c r="D91" s="90" t="str">
        <f>Variables!E58 &amp; " | " &amp; CHAR(34) &amp; " &amp;"</f>
        <v>Code MUST adhere strictly to Elixir Style Guide and OTP standards. Use snake_case for functions/variables, PascalCase for modules. Use only isolated GenServer state. Emphasize fault-tolerant Supervisor designs. | " &amp;</v>
      </c>
      <c r="E91" s="17" t="str">
        <f t="shared" si="2"/>
        <v>"[PYTHON QUALITY RULE - STRICT] Code MUST adhere strictly to Elixir Style Guide and OTP standards. Use snake_case for functions/variables, PascalCase for modules. Use only isolated GenServer state. Emphasize fault-tolerant Supervisor designs. | " &amp;</v>
      </c>
      <c r="F91" s="54" t="s">
        <v>228</v>
      </c>
    </row>
    <row r="92" spans="2:6">
      <c r="B92" s="54" t="s">
        <v>281</v>
      </c>
      <c r="C92" s="54" t="s">
        <v>245</v>
      </c>
      <c r="D92" s="90" t="s">
        <v>449</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228</v>
      </c>
    </row>
    <row r="93" spans="2:6">
      <c r="B93" s="54" t="s">
        <v>281</v>
      </c>
      <c r="C93" s="54" t="s">
        <v>247</v>
      </c>
      <c r="D93" s="90" t="s">
        <v>450</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228</v>
      </c>
    </row>
    <row r="94" spans="2:6">
      <c r="B94" s="54" t="s">
        <v>281</v>
      </c>
      <c r="C94" s="54" t="s">
        <v>248</v>
      </c>
      <c r="D94" s="90" t="s">
        <v>451</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228</v>
      </c>
    </row>
    <row r="95" spans="2:6">
      <c r="B95" s="54" t="s">
        <v>281</v>
      </c>
      <c r="C95" s="54" t="s">
        <v>251</v>
      </c>
      <c r="D95" s="90" t="s">
        <v>452</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228</v>
      </c>
    </row>
    <row r="96" spans="2:6">
      <c r="B96" s="54" t="s">
        <v>281</v>
      </c>
      <c r="C96" s="54" t="s">
        <v>343</v>
      </c>
      <c r="D96" s="90" t="s">
        <v>517</v>
      </c>
      <c r="E96" s="17" t="str">
        <f t="shared" si="2"/>
        <v>"[FOOTER RULE] End your response with: '--- ⚡ *Coding5s Mentor System — Eliminating Technical Debt with Elegance*'",</v>
      </c>
      <c r="F96" s="54" t="s">
        <v>228</v>
      </c>
    </row>
    <row r="97" spans="2:6">
      <c r="B97" s="54"/>
      <c r="C97" s="54"/>
      <c r="D97" s="90"/>
      <c r="E97" s="88" t="s">
        <v>453</v>
      </c>
      <c r="F97" s="54" t="s">
        <v>228</v>
      </c>
    </row>
    <row r="98" spans="2:6">
      <c r="B98" s="54"/>
      <c r="C98" s="54"/>
      <c r="D98" s="90"/>
      <c r="E98" s="77" t="str">
        <f t="shared" ref="E98:E100" si="3">IF(D98="","",""""&amp;C98&amp;" "&amp;IF(C98="[FOOTER RULE - STRICT]",D98,IF(RIGHT(D98,6)=" | "&amp;CHAR(34)&amp;" &amp;",D98,D98&amp;" | "&amp;CHAR(34)&amp;" &amp;")))</f>
        <v/>
      </c>
      <c r="F98" s="54" t="s">
        <v>228</v>
      </c>
    </row>
    <row r="99" spans="2:6">
      <c r="B99" s="54"/>
      <c r="C99" s="54"/>
      <c r="D99" s="90"/>
      <c r="E99" s="77" t="str">
        <f t="shared" si="3"/>
        <v/>
      </c>
      <c r="F99" s="54" t="s">
        <v>228</v>
      </c>
    </row>
    <row r="100" spans="2:6">
      <c r="B100" s="54"/>
      <c r="C100" s="54"/>
      <c r="D100" s="90"/>
      <c r="E100" s="77" t="str">
        <f t="shared" si="3"/>
        <v/>
      </c>
      <c r="F100" s="54" t="s">
        <v>228</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zoomScaleNormal="100" workbookViewId="0"/>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465</v>
      </c>
      <c r="D2" s="81" t="s">
        <v>466</v>
      </c>
      <c r="H2" s="82"/>
      <c r="T2" s="82"/>
    </row>
    <row r="3" spans="2:29">
      <c r="B3" s="76" t="s">
        <v>225</v>
      </c>
      <c r="C3" s="76" t="s">
        <v>596</v>
      </c>
      <c r="D3" s="76" t="s">
        <v>597</v>
      </c>
      <c r="E3" s="88" t="s">
        <v>233</v>
      </c>
      <c r="F3" s="4" t="s">
        <v>228</v>
      </c>
      <c r="AC3" t="s">
        <v>228</v>
      </c>
    </row>
    <row r="4" spans="2:29">
      <c r="B4" s="75" t="s">
        <v>226</v>
      </c>
      <c r="C4" s="54" t="s">
        <v>163</v>
      </c>
      <c r="D4" s="91" t="s">
        <v>469</v>
      </c>
      <c r="E4" s="77" t="str">
        <f t="shared" ref="E4:E41" si="0">IF(D4="","",""""&amp;C4&amp;" "&amp;IF(C4="[FOOTER RULE - STRICT]",D4,IF(RIGHT(D4,6)=" | "&amp;CHAR(34)&amp;" &amp;",D4,D4&amp;" | "&amp;CHAR(34)&amp;" &amp;")))</f>
        <v>"[ROLE] Tech Product Manager assigning a " &amp; $I$2 &amp; " Jira Ticket | " &amp;</v>
      </c>
      <c r="F4" s="54" t="s">
        <v>228</v>
      </c>
    </row>
    <row r="5" spans="2:29">
      <c r="B5" s="75" t="s">
        <v>226</v>
      </c>
      <c r="C5" s="54" t="s">
        <v>165</v>
      </c>
      <c r="D5" s="91" t="s">
        <v>470</v>
      </c>
      <c r="E5" s="77" t="str">
        <f t="shared" si="0"/>
        <v>"[TASK] Provide a guided implementation exercise with full solution for learning purposes | " &amp;</v>
      </c>
      <c r="F5" s="54" t="s">
        <v>228</v>
      </c>
    </row>
    <row r="6" spans="2:29">
      <c r="B6" s="75" t="s">
        <v>226</v>
      </c>
      <c r="C6" s="54" t="s">
        <v>167</v>
      </c>
      <c r="D6" s="91" t="s">
        <v>168</v>
      </c>
      <c r="E6" s="77" t="str">
        <f t="shared" si="0"/>
        <v>"[TOPIC] " &amp; I9 &amp; " | " &amp;</v>
      </c>
      <c r="F6" s="54" t="s">
        <v>228</v>
      </c>
    </row>
    <row r="7" spans="2:29">
      <c r="B7" s="75" t="s">
        <v>226</v>
      </c>
      <c r="C7" s="54" t="s">
        <v>169</v>
      </c>
      <c r="D7" s="91" t="s">
        <v>170</v>
      </c>
      <c r="E7" s="77" t="str">
        <f t="shared" si="0"/>
        <v>"[LEVEL] " &amp; G9 &amp; " | " &amp;</v>
      </c>
      <c r="F7" s="54" t="s">
        <v>228</v>
      </c>
    </row>
    <row r="8" spans="2:29">
      <c r="B8" s="75" t="s">
        <v>226</v>
      </c>
      <c r="C8" s="54" t="s">
        <v>234</v>
      </c>
      <c r="D8" s="91" t="s">
        <v>276</v>
      </c>
      <c r="E8" s="77" t="str">
        <f t="shared" si="0"/>
        <v>"[LIBRARY BEING LEARNED] " &amp; $I$3 &amp; " | " &amp;</v>
      </c>
      <c r="F8" s="54" t="s">
        <v>228</v>
      </c>
    </row>
    <row r="9" spans="2:29">
      <c r="B9" s="75" t="s">
        <v>226</v>
      </c>
      <c r="C9" s="54" t="s">
        <v>229</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v>
      </c>
      <c r="E9" s="77" t="str">
        <f t="shared" si="0"/>
        <v>"[ECOSYSTEM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v>
      </c>
      <c r="F9" s="54" t="s">
        <v>228</v>
      </c>
    </row>
    <row r="10" spans="2:29">
      <c r="B10" s="75" t="s">
        <v>226</v>
      </c>
      <c r="C10" s="54" t="s">
        <v>173</v>
      </c>
      <c r="D10" s="91" t="s">
        <v>471</v>
      </c>
      <c r="E10" s="77" t="str">
        <f t="shared" si="0"/>
        <v>"[PERSONA RULE] Act as a professional Tech Product Manager writing clear Jira tickets | " &amp;</v>
      </c>
      <c r="F10" s="54" t="s">
        <v>228</v>
      </c>
    </row>
    <row r="11" spans="2:29">
      <c r="B11" s="75" t="s">
        <v>226</v>
      </c>
      <c r="C11" s="54" t="s">
        <v>175</v>
      </c>
      <c r="D11" s="91" t="s">
        <v>408</v>
      </c>
      <c r="E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228</v>
      </c>
    </row>
    <row r="12" spans="2:29">
      <c r="B12" s="75" t="s">
        <v>226</v>
      </c>
      <c r="C12" s="54" t="s">
        <v>508</v>
      </c>
      <c r="D12" s="91" t="s">
        <v>500</v>
      </c>
      <c r="E12" s="77" t="str">
        <f t="shared" si="0"/>
        <v>"[LANGUAGE SEED CONTEXT] " &amp; IF($AE$7 = "", "Language Seed Not Necessary", "You MUST strictly follow this seed context to enhance, adapt, and naturalize your tone, vocabulary, and instructional quality in " &amp; $B$6 &amp; ": " &amp; $AE$7) &amp; " | " &amp;</v>
      </c>
      <c r="F12" s="54" t="s">
        <v>228</v>
      </c>
    </row>
    <row r="13" spans="2:29">
      <c r="B13" s="75" t="s">
        <v>226</v>
      </c>
      <c r="C13" s="54" t="s">
        <v>219</v>
      </c>
      <c r="D13" s="91" t="s">
        <v>610</v>
      </c>
      <c r="E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228</v>
      </c>
    </row>
    <row r="14" spans="2:29">
      <c r="B14" s="83" t="s">
        <v>227</v>
      </c>
      <c r="C14" s="54" t="s">
        <v>236</v>
      </c>
      <c r="D14" s="91"/>
      <c r="E14" s="77" t="str">
        <f t="shared" si="0"/>
        <v/>
      </c>
      <c r="F14" s="54" t="s">
        <v>228</v>
      </c>
    </row>
    <row r="15" spans="2:29">
      <c r="B15" s="83" t="s">
        <v>227</v>
      </c>
      <c r="C15" s="54" t="s">
        <v>236</v>
      </c>
      <c r="D15" s="91"/>
      <c r="E15" s="77" t="str">
        <f t="shared" si="0"/>
        <v/>
      </c>
      <c r="F15" s="54" t="s">
        <v>228</v>
      </c>
    </row>
    <row r="16" spans="2:29">
      <c r="B16" s="54" t="s">
        <v>281</v>
      </c>
      <c r="C16" s="54" t="s">
        <v>703</v>
      </c>
      <c r="D16" s="91" t="s">
        <v>476</v>
      </c>
      <c r="E16" s="77" t="str">
        <f t="shared" si="0"/>
        <v>"[FUNCTIONAL_STRUCTURE_POLICY] Rule: " &amp; IF(G9="Beginner", "Use simple scripts or minimal functions. ", IF(G9="Intermediate", "Use functions where appropriate. ", "Use modular functions with clear structure. ")) &amp; " | " &amp;</v>
      </c>
      <c r="F16" s="54" t="s">
        <v>228</v>
      </c>
    </row>
    <row r="17" spans="2:6">
      <c r="B17" s="54" t="s">
        <v>281</v>
      </c>
      <c r="C17" s="54" t="s">
        <v>702</v>
      </c>
      <c r="D17" s="91" t="s">
        <v>704</v>
      </c>
      <c r="E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228</v>
      </c>
    </row>
    <row r="18" spans="2:6">
      <c r="B18" s="54" t="s">
        <v>281</v>
      </c>
      <c r="C18" s="54" t="s">
        <v>184</v>
      </c>
      <c r="D18" s="91" t="s">
        <v>477</v>
      </c>
      <c r="E18" s="77" t="str">
        <f t="shared" si="0"/>
        <v>"[CODE QUALITY RULE] Code MUST be clean, readable, and production-like | " &amp;</v>
      </c>
      <c r="F18" s="54" t="s">
        <v>228</v>
      </c>
    </row>
    <row r="19" spans="2:6">
      <c r="B19" s="54" t="s">
        <v>281</v>
      </c>
      <c r="C19" s="54" t="s">
        <v>192</v>
      </c>
      <c r="D19" s="91" t="s">
        <v>701</v>
      </c>
      <c r="E19" s="77" t="str">
        <f t="shared" si="0"/>
        <v>"[FILE HANDLING RULE] Use correct loaders and enforce encoding='utf-8' and newline=' when applicable or supported by the programming language. | " &amp;</v>
      </c>
      <c r="F19" s="54" t="s">
        <v>228</v>
      </c>
    </row>
    <row r="20" spans="2:6">
      <c r="B20" s="54" t="s">
        <v>281</v>
      </c>
      <c r="C20" s="54" t="s">
        <v>193</v>
      </c>
      <c r="D20" s="91" t="s">
        <v>700</v>
      </c>
      <c r="E20" s="77" t="str">
        <f t="shared" si="0"/>
        <v>"[DATA TYPE RULE] Explicit casting required before calculations if the programming language requires it. | " &amp;</v>
      </c>
      <c r="F20" s="54" t="s">
        <v>228</v>
      </c>
    </row>
    <row r="21" spans="2:6">
      <c r="B21" s="54" t="s">
        <v>281</v>
      </c>
      <c r="C21" s="54" t="s">
        <v>194</v>
      </c>
      <c r="D21" s="91" t="s">
        <v>478</v>
      </c>
      <c r="E21" s="77" t="str">
        <f t="shared" si="0"/>
        <v>"[DATA ROBUSTNESS RULE] Handle missing or malformed data safely | " &amp;</v>
      </c>
      <c r="F21" s="54" t="s">
        <v>228</v>
      </c>
    </row>
    <row r="22" spans="2:6">
      <c r="B22" s="54" t="s">
        <v>281</v>
      </c>
      <c r="C22" s="54" t="s">
        <v>195</v>
      </c>
      <c r="D22" s="91" t="s">
        <v>699</v>
      </c>
      <c r="E22" s="77" t="str">
        <f t="shared" si="0"/>
        <v>"[BOOLEAN HANDLING RULE] Normalize boolean values before comparison if the programming language requires it. | " &amp;</v>
      </c>
      <c r="F22" s="54" t="s">
        <v>228</v>
      </c>
    </row>
    <row r="23" spans="2:6">
      <c r="B23" s="54" t="s">
        <v>281</v>
      </c>
      <c r="C23" s="54" t="s">
        <v>196</v>
      </c>
      <c r="D23" s="91" t="s">
        <v>415</v>
      </c>
      <c r="E23" s="77" t="str">
        <f t="shared" si="0"/>
        <v>"[DATA CONSISTENCY RULE] Respect dataset schema | " &amp;</v>
      </c>
      <c r="F23" s="54" t="s">
        <v>228</v>
      </c>
    </row>
    <row r="24" spans="2:6">
      <c r="B24" s="54" t="s">
        <v>281</v>
      </c>
      <c r="C24" s="54" t="s">
        <v>472</v>
      </c>
      <c r="D24" s="91" t="s">
        <v>473</v>
      </c>
      <c r="E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228</v>
      </c>
    </row>
    <row r="25" spans="2:6">
      <c r="B25" s="54" t="s">
        <v>281</v>
      </c>
      <c r="C25" s="54" t="s">
        <v>177</v>
      </c>
      <c r="D25" s="91" t="s">
        <v>706</v>
      </c>
      <c r="E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228</v>
      </c>
    </row>
    <row r="26" spans="2:6">
      <c r="B26" s="54" t="s">
        <v>281</v>
      </c>
      <c r="C26" s="54" t="s">
        <v>178</v>
      </c>
      <c r="D26" s="91" t="s">
        <v>418</v>
      </c>
      <c r="E26" s="77" t="str">
        <f t="shared" si="0"/>
        <v>"[DATA SUMMARY FORMAT RULE] When a dataset is present, you MUST display IMMEDIATELY AFTER THE HEADER: Dataset Summary: - File Type: - Columns / Fields: - Data Types: - Notes: | " &amp;</v>
      </c>
      <c r="F26" s="54" t="s">
        <v>228</v>
      </c>
    </row>
    <row r="27" spans="2:6">
      <c r="B27" s="54" t="s">
        <v>281</v>
      </c>
      <c r="C27" s="54" t="s">
        <v>180</v>
      </c>
      <c r="D27" s="91" t="s">
        <v>507</v>
      </c>
      <c r="E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228</v>
      </c>
    </row>
    <row r="28" spans="2:6">
      <c r="B28" s="54" t="s">
        <v>281</v>
      </c>
      <c r="C28" s="54" t="s">
        <v>182</v>
      </c>
      <c r="D28" s="91" t="s">
        <v>474</v>
      </c>
      <c r="E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228</v>
      </c>
    </row>
    <row r="29" spans="2:6">
      <c r="B29" s="54" t="s">
        <v>281</v>
      </c>
      <c r="C29" s="54" t="s">
        <v>312</v>
      </c>
      <c r="D29" s="91" t="s">
        <v>479</v>
      </c>
      <c r="E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228</v>
      </c>
    </row>
    <row r="30" spans="2:6">
      <c r="B30" s="54" t="s">
        <v>281</v>
      </c>
      <c r="C30" s="54" t="s">
        <v>199</v>
      </c>
      <c r="D30" s="91" t="s">
        <v>425</v>
      </c>
      <c r="E30" s="77" t="str">
        <f t="shared" si="0"/>
        <v>"[DIFFICULTY RULE] Complexity MUST match level | " &amp;</v>
      </c>
      <c r="F30" s="54" t="s">
        <v>228</v>
      </c>
    </row>
    <row r="31" spans="2:6">
      <c r="B31" s="54" t="s">
        <v>281</v>
      </c>
      <c r="C31" s="54" t="s">
        <v>211</v>
      </c>
      <c r="D31" s="91" t="s">
        <v>291</v>
      </c>
      <c r="E31" s="77" t="str">
        <f t="shared" si="0"/>
        <v>"[FORMAT RULE] Only valid markdown code blocks allowed | " &amp;</v>
      </c>
      <c r="F31" s="54" t="s">
        <v>228</v>
      </c>
    </row>
    <row r="32" spans="2:6">
      <c r="B32" s="54" t="s">
        <v>281</v>
      </c>
      <c r="C32" s="54" t="s">
        <v>213</v>
      </c>
      <c r="D32" s="91" t="s">
        <v>292</v>
      </c>
      <c r="E32" s="77" t="str">
        <f t="shared" si="0"/>
        <v>"[LANGUAGE TAG RULE] ALWAYS label markdown code blocks with the correct underlying programming language (e.g., python, javascript, sql) | " &amp;</v>
      </c>
      <c r="F32" s="54" t="s">
        <v>228</v>
      </c>
    </row>
    <row r="33" spans="2:6">
      <c r="B33" s="54" t="s">
        <v>281</v>
      </c>
      <c r="C33" s="54" t="s">
        <v>220</v>
      </c>
      <c r="D33" s="91" t="s">
        <v>480</v>
      </c>
      <c r="E33" s="77" t="str">
        <f t="shared" si="0"/>
        <v>"[OUTPUT] Only header, dataset summary or statement (if any), the defined sections, and footer | " &amp;</v>
      </c>
      <c r="F33" s="54" t="s">
        <v>228</v>
      </c>
    </row>
    <row r="34" spans="2:6">
      <c r="B34" s="54" t="s">
        <v>281</v>
      </c>
      <c r="C34" s="54" t="s">
        <v>224</v>
      </c>
      <c r="D34" s="91" t="s">
        <v>481</v>
      </c>
      <c r="E34" s="77" t="str">
        <f t="shared" si="0"/>
        <v>"[FOOTER RULE - STRICT] End your entire response EXACTLY with this markdown string (ensure all code blocks are closed before it):" &amp; CHAR(10) &amp; "---" &amp; CHAR(10) &amp; "⚡ *Coding5s System — Learn Programming by Writing Code*",</v>
      </c>
      <c r="F34" s="54" t="s">
        <v>228</v>
      </c>
    </row>
    <row r="35" spans="2:6">
      <c r="B35" s="54"/>
      <c r="C35" s="54"/>
      <c r="D35" s="91"/>
      <c r="E35" s="88" t="s">
        <v>482</v>
      </c>
      <c r="F35" s="54" t="s">
        <v>228</v>
      </c>
    </row>
    <row r="36" spans="2:6">
      <c r="B36" s="54"/>
      <c r="C36" s="54"/>
      <c r="D36" s="91"/>
      <c r="E36" s="77" t="str">
        <f t="shared" si="0"/>
        <v/>
      </c>
      <c r="F36" s="54" t="s">
        <v>228</v>
      </c>
    </row>
    <row r="37" spans="2:6">
      <c r="B37" s="54"/>
      <c r="C37" s="54"/>
      <c r="D37" s="91"/>
      <c r="E37" s="77" t="str">
        <f t="shared" si="0"/>
        <v/>
      </c>
      <c r="F37" s="54" t="s">
        <v>228</v>
      </c>
    </row>
    <row r="38" spans="2:6">
      <c r="B38" s="54"/>
      <c r="C38" s="54"/>
      <c r="D38" s="91"/>
      <c r="E38" s="77" t="str">
        <f t="shared" si="0"/>
        <v/>
      </c>
      <c r="F38" s="54" t="s">
        <v>228</v>
      </c>
    </row>
    <row r="39" spans="2:6">
      <c r="B39" s="54"/>
      <c r="C39" s="54"/>
      <c r="D39" s="91"/>
      <c r="E39" s="77" t="str">
        <f t="shared" si="0"/>
        <v/>
      </c>
      <c r="F39" s="54" t="s">
        <v>228</v>
      </c>
    </row>
    <row r="40" spans="2:6">
      <c r="B40" s="54"/>
      <c r="C40" s="54"/>
      <c r="D40" s="91"/>
      <c r="E40" s="77" t="str">
        <f t="shared" si="0"/>
        <v/>
      </c>
      <c r="F40" s="54" t="s">
        <v>228</v>
      </c>
    </row>
    <row r="41" spans="2:6">
      <c r="B41" s="54"/>
      <c r="C41" s="54"/>
      <c r="D41" s="91"/>
      <c r="E41" s="77" t="str">
        <f t="shared" si="0"/>
        <v/>
      </c>
      <c r="F41" s="54" t="s">
        <v>228</v>
      </c>
    </row>
    <row r="42" spans="2:6">
      <c r="B42" s="54"/>
      <c r="C42" s="54"/>
      <c r="D42" s="91"/>
      <c r="E42" s="77"/>
      <c r="F42" s="54"/>
    </row>
    <row r="43" spans="2:6">
      <c r="B43" s="74"/>
      <c r="C43" s="74"/>
      <c r="E43" s="86"/>
    </row>
    <row r="44" spans="2:6">
      <c r="B44" s="74"/>
      <c r="C44" s="74"/>
      <c r="E44" s="86"/>
    </row>
    <row r="45" spans="2:6" ht="36">
      <c r="B45" s="79" t="s">
        <v>467</v>
      </c>
      <c r="C45" s="74"/>
      <c r="E45" s="86"/>
    </row>
    <row r="46" spans="2:6">
      <c r="B46" s="76" t="s">
        <v>273</v>
      </c>
      <c r="C46" s="76" t="s">
        <v>596</v>
      </c>
      <c r="D46" s="76" t="s">
        <v>597</v>
      </c>
      <c r="E46" s="88" t="s">
        <v>274</v>
      </c>
      <c r="F46" s="32" t="s">
        <v>228</v>
      </c>
    </row>
    <row r="47" spans="2:6">
      <c r="B47" s="54" t="s">
        <v>226</v>
      </c>
      <c r="C47" s="54" t="s">
        <v>163</v>
      </c>
      <c r="D47" s="91" t="s">
        <v>469</v>
      </c>
      <c r="E47" s="77" t="str">
        <f>IF(D47="","",""""&amp;C47&amp;" "&amp;IF(C47="[FOOTER RULE - STRICT]",D47,IF(RIGHT(D47,6)=" | "&amp;CHAR(34)&amp;" &amp;",D47,D47&amp;" | "&amp;CHAR(34)&amp;" &amp;")))</f>
        <v>"[ROLE] Tech Product Manager assigning a " &amp; $I$2 &amp; " Jira Ticket | " &amp;</v>
      </c>
      <c r="F47" s="32" t="s">
        <v>228</v>
      </c>
    </row>
    <row r="48" spans="2:6">
      <c r="B48" s="54" t="s">
        <v>226</v>
      </c>
      <c r="C48" s="54" t="s">
        <v>165</v>
      </c>
      <c r="D48" s="91" t="s">
        <v>483</v>
      </c>
      <c r="E48" s="77" t="str">
        <f t="shared" ref="E48:E76" si="1">IF(D48="","",""""&amp;C48&amp;" "&amp;IF(C48="[FOOTER RULE - STRICT]",D48,IF(RIGHT(D48,6)=" | "&amp;CHAR(34)&amp;" &amp;",D48,D48&amp;" | "&amp;CHAR(34)&amp;" &amp;")))</f>
        <v>"[TASK] Provide a guided project implementation with full solution | " &amp;</v>
      </c>
      <c r="F48" s="32" t="s">
        <v>228</v>
      </c>
    </row>
    <row r="49" spans="2:6">
      <c r="B49" s="54" t="s">
        <v>226</v>
      </c>
      <c r="C49" s="54" t="s">
        <v>326</v>
      </c>
      <c r="D49" s="91" t="s">
        <v>168</v>
      </c>
      <c r="E49" s="77" t="str">
        <f t="shared" si="1"/>
        <v>"[PROJECT] " &amp; I9 &amp; " | " &amp;</v>
      </c>
      <c r="F49" s="32" t="s">
        <v>228</v>
      </c>
    </row>
    <row r="50" spans="2:6">
      <c r="B50" s="54" t="s">
        <v>226</v>
      </c>
      <c r="C50" s="54" t="s">
        <v>261</v>
      </c>
      <c r="D50" s="91" t="s">
        <v>262</v>
      </c>
      <c r="E50" s="77" t="str">
        <f t="shared" si="1"/>
        <v>"[TOPICS USED] " &amp; B9 &amp; " | " &amp;</v>
      </c>
      <c r="F50" s="32" t="s">
        <v>228</v>
      </c>
    </row>
    <row r="51" spans="2:6">
      <c r="B51" s="54" t="s">
        <v>226</v>
      </c>
      <c r="C51" s="54" t="s">
        <v>169</v>
      </c>
      <c r="D51" s="91" t="s">
        <v>170</v>
      </c>
      <c r="E51" s="77" t="str">
        <f t="shared" si="1"/>
        <v>"[LEVEL] " &amp; G9 &amp; " | " &amp;</v>
      </c>
      <c r="F51" s="32" t="s">
        <v>228</v>
      </c>
    </row>
    <row r="52" spans="2:6">
      <c r="B52" s="54" t="s">
        <v>226</v>
      </c>
      <c r="C52" s="54" t="s">
        <v>173</v>
      </c>
      <c r="D52" s="91" t="s">
        <v>484</v>
      </c>
      <c r="E52" s="77" t="str">
        <f t="shared" si="1"/>
        <v>"[PERSONA RULE] Act as a professional Tech Product Manager defining a project ticket | " &amp;</v>
      </c>
      <c r="F52" s="32" t="s">
        <v>228</v>
      </c>
    </row>
    <row r="53" spans="2:6">
      <c r="B53" s="54" t="s">
        <v>226</v>
      </c>
      <c r="C53" s="54" t="s">
        <v>234</v>
      </c>
      <c r="D53" s="91" t="s">
        <v>276</v>
      </c>
      <c r="E53" s="77" t="str">
        <f t="shared" si="1"/>
        <v>"[LIBRARY BEING LEARNED] " &amp; $I$3 &amp; " | " &amp;</v>
      </c>
      <c r="F53" s="32" t="s">
        <v>228</v>
      </c>
    </row>
    <row r="54" spans="2:6">
      <c r="B54" s="54" t="s">
        <v>226</v>
      </c>
      <c r="C54" s="54" t="s">
        <v>229</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v>
      </c>
      <c r="E54" s="77" t="str">
        <f t="shared" si="1"/>
        <v>"[ECOSYSTEM ORIENTATION RULE] If a module or ecosystem like GenServer, Supervisor, Registry, or DynamicSupervisor is specified in , you are CRITICALLY FORBIDDEN from using manual process linking (spawn/1, spawn_link/1) outside standard OTP behaviors. You MUST enforce the concurrent asynchronous processes and proper Supervisor tree state isolation and data structures of that specific library. | " &amp;</v>
      </c>
      <c r="F54" s="32" t="s">
        <v>228</v>
      </c>
    </row>
    <row r="55" spans="2:6">
      <c r="B55" s="54" t="s">
        <v>226</v>
      </c>
      <c r="C55" s="54" t="s">
        <v>219</v>
      </c>
      <c r="D55" s="91" t="s">
        <v>611</v>
      </c>
      <c r="E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228</v>
      </c>
    </row>
    <row r="56" spans="2:6">
      <c r="B56" s="54" t="s">
        <v>226</v>
      </c>
      <c r="C56" s="54" t="s">
        <v>175</v>
      </c>
      <c r="D56" s="91" t="s">
        <v>485</v>
      </c>
      <c r="E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228</v>
      </c>
    </row>
    <row r="57" spans="2:6">
      <c r="B57" s="54" t="s">
        <v>226</v>
      </c>
      <c r="C57" s="54" t="s">
        <v>508</v>
      </c>
      <c r="D57" s="91" t="s">
        <v>500</v>
      </c>
      <c r="E57" s="77" t="str">
        <f t="shared" si="1"/>
        <v>"[LANGUAGE SEED CONTEXT] " &amp; IF($AE$7 = "", "Language Seed Not Necessary", "You MUST strictly follow this seed context to enhance, adapt, and naturalize your tone, vocabulary, and instructional quality in " &amp; $B$6 &amp; ": " &amp; $AE$7) &amp; " | " &amp;</v>
      </c>
      <c r="F57" s="32" t="s">
        <v>228</v>
      </c>
    </row>
    <row r="58" spans="2:6">
      <c r="B58" s="54" t="s">
        <v>227</v>
      </c>
      <c r="C58" s="54" t="s">
        <v>236</v>
      </c>
      <c r="D58" s="91"/>
      <c r="E58" s="77" t="str">
        <f t="shared" si="1"/>
        <v/>
      </c>
      <c r="F58" s="32" t="s">
        <v>228</v>
      </c>
    </row>
    <row r="59" spans="2:6">
      <c r="B59" s="54" t="s">
        <v>227</v>
      </c>
      <c r="C59" s="54" t="s">
        <v>236</v>
      </c>
      <c r="D59" s="91"/>
      <c r="E59" s="77" t="str">
        <f t="shared" si="1"/>
        <v/>
      </c>
      <c r="F59" s="32" t="s">
        <v>228</v>
      </c>
    </row>
    <row r="60" spans="2:6">
      <c r="B60" s="54" t="s">
        <v>281</v>
      </c>
      <c r="C60" s="54" t="s">
        <v>182</v>
      </c>
      <c r="D60" s="91" t="s">
        <v>705</v>
      </c>
      <c r="E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228</v>
      </c>
    </row>
    <row r="61" spans="2:6">
      <c r="B61" s="54" t="s">
        <v>281</v>
      </c>
      <c r="C61" s="54" t="s">
        <v>475</v>
      </c>
      <c r="D61" s="91" t="s">
        <v>486</v>
      </c>
      <c r="E61" s="77" t="str">
        <f t="shared" si="1"/>
        <v>"[CRITICAL OUTPUT RULE] Output MUST match real execution - Convert sets to sorted lists before printing | " &amp;</v>
      </c>
      <c r="F61" s="32" t="s">
        <v>228</v>
      </c>
    </row>
    <row r="62" spans="2:6">
      <c r="B62" s="54" t="s">
        <v>281</v>
      </c>
      <c r="C62" s="54" t="s">
        <v>183</v>
      </c>
      <c r="D62" s="91" t="s">
        <v>487</v>
      </c>
      <c r="E62" s="77" t="str">
        <f t="shared" si="1"/>
        <v>"[FUNCTION RULE] " &amp; IF(G9="Beginner", "Avoid complex structure. ", IF(G9="Intermediate", "Functions optional. ", "Use structured modular functions. ")) &amp; " | " &amp;</v>
      </c>
      <c r="F62" s="32" t="s">
        <v>228</v>
      </c>
    </row>
    <row r="63" spans="2:6">
      <c r="B63" s="54" t="s">
        <v>281</v>
      </c>
      <c r="C63" s="54" t="s">
        <v>472</v>
      </c>
      <c r="D63" s="91" t="s">
        <v>488</v>
      </c>
      <c r="E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228</v>
      </c>
    </row>
    <row r="64" spans="2:6">
      <c r="B64" s="54" t="s">
        <v>281</v>
      </c>
      <c r="C64" s="54" t="s">
        <v>177</v>
      </c>
      <c r="D64" s="91" t="s">
        <v>489</v>
      </c>
      <c r="E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228</v>
      </c>
    </row>
    <row r="65" spans="2:6">
      <c r="B65" s="54" t="s">
        <v>281</v>
      </c>
      <c r="C65" s="54" t="s">
        <v>180</v>
      </c>
      <c r="D65" s="91" t="s">
        <v>490</v>
      </c>
      <c r="E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228</v>
      </c>
    </row>
    <row r="66" spans="2:6">
      <c r="B66" s="54" t="s">
        <v>281</v>
      </c>
      <c r="C66" s="54" t="s">
        <v>184</v>
      </c>
      <c r="D66" s="91" t="s">
        <v>491</v>
      </c>
      <c r="E66" s="77" t="str">
        <f t="shared" si="1"/>
        <v>"[CODE QUALITY RULE] Code MUST be clean and realistic | " &amp;</v>
      </c>
      <c r="F66" s="32" t="s">
        <v>228</v>
      </c>
    </row>
    <row r="67" spans="2:6">
      <c r="B67" s="54" t="s">
        <v>281</v>
      </c>
      <c r="C67" s="54" t="s">
        <v>194</v>
      </c>
      <c r="D67" s="91" t="s">
        <v>434</v>
      </c>
      <c r="E67" s="77" t="str">
        <f t="shared" si="1"/>
        <v>"[DATA ROBUSTNESS RULE] Handle real-world data safely | " &amp;</v>
      </c>
      <c r="F67" s="32" t="s">
        <v>228</v>
      </c>
    </row>
    <row r="68" spans="2:6">
      <c r="B68" s="54" t="s">
        <v>281</v>
      </c>
      <c r="C68" s="54" t="s">
        <v>211</v>
      </c>
      <c r="D68" s="91" t="s">
        <v>492</v>
      </c>
      <c r="E68" s="77" t="str">
        <f t="shared" si="1"/>
        <v>"[FORMAT RULE] Only markdown code blocks allowed | " &amp;</v>
      </c>
      <c r="F68" s="32" t="s">
        <v>228</v>
      </c>
    </row>
    <row r="69" spans="2:6">
      <c r="B69" s="54" t="s">
        <v>281</v>
      </c>
      <c r="C69" s="54" t="s">
        <v>213</v>
      </c>
      <c r="D69" s="91" t="s">
        <v>292</v>
      </c>
      <c r="E69" s="77" t="str">
        <f t="shared" si="1"/>
        <v>"[LANGUAGE TAG RULE] ALWAYS label markdown code blocks with the correct underlying programming language (e.g., python, javascript, sql) | " &amp;</v>
      </c>
      <c r="F69" s="32" t="s">
        <v>228</v>
      </c>
    </row>
    <row r="70" spans="2:6">
      <c r="B70" s="54" t="s">
        <v>281</v>
      </c>
      <c r="C70" s="54" t="s">
        <v>268</v>
      </c>
      <c r="D70" s="91" t="s">
        <v>493</v>
      </c>
      <c r="E70" s="77" t="str">
        <f t="shared" si="1"/>
        <v>"[EXECUTION RULE] Code MUST run correctly | " &amp;</v>
      </c>
      <c r="F70" s="32" t="s">
        <v>228</v>
      </c>
    </row>
    <row r="71" spans="2:6">
      <c r="B71" s="54" t="s">
        <v>281</v>
      </c>
      <c r="C71" s="54" t="s">
        <v>220</v>
      </c>
      <c r="D71" s="91" t="s">
        <v>494</v>
      </c>
      <c r="E71" s="77" t="str">
        <f t="shared" si="1"/>
        <v>"[OUTPUT] Only header, dataset summary or statement (if any), defined sections, and footer, | " &amp;</v>
      </c>
      <c r="F71" s="32" t="s">
        <v>228</v>
      </c>
    </row>
    <row r="72" spans="2:6">
      <c r="B72" s="54" t="s">
        <v>281</v>
      </c>
      <c r="C72" s="54" t="s">
        <v>224</v>
      </c>
      <c r="D72" s="91" t="s">
        <v>272</v>
      </c>
      <c r="E72" s="77" t="str">
        <f t="shared" si="1"/>
        <v>"[FOOTER RULE - STRICT] End your entire response EXACTLY with this markdown string (ensure all code blocks are closed before it):" &amp; CHAR(10) &amp; "---" &amp; CHAR(10) &amp; "⚡ *Coding5s System — Learn Programming by Writing Code*")</v>
      </c>
      <c r="F72" s="32" t="s">
        <v>228</v>
      </c>
    </row>
    <row r="73" spans="2:6">
      <c r="B73" s="54"/>
      <c r="C73" s="54"/>
      <c r="D73" s="91"/>
      <c r="E73" s="77" t="str">
        <f t="shared" si="1"/>
        <v/>
      </c>
      <c r="F73" s="32" t="s">
        <v>228</v>
      </c>
    </row>
    <row r="74" spans="2:6">
      <c r="B74" s="54"/>
      <c r="C74" s="54"/>
      <c r="D74" s="91"/>
      <c r="E74" s="77" t="str">
        <f t="shared" si="1"/>
        <v/>
      </c>
      <c r="F74" s="32" t="s">
        <v>228</v>
      </c>
    </row>
    <row r="75" spans="2:6">
      <c r="B75" s="54"/>
      <c r="C75" s="54"/>
      <c r="D75" s="91"/>
      <c r="E75" s="77" t="str">
        <f t="shared" si="1"/>
        <v/>
      </c>
      <c r="F75" s="32" t="s">
        <v>228</v>
      </c>
    </row>
    <row r="76" spans="2:6">
      <c r="B76" s="54"/>
      <c r="C76" s="54"/>
      <c r="D76" s="91"/>
      <c r="E76" s="77" t="str">
        <f t="shared" si="1"/>
        <v/>
      </c>
      <c r="F76" s="32" t="s">
        <v>228</v>
      </c>
    </row>
    <row r="77" spans="2:6">
      <c r="E77" s="86"/>
      <c r="F77" t="s">
        <v>228</v>
      </c>
    </row>
    <row r="79" spans="2:6" ht="36">
      <c r="B79" s="80" t="s">
        <v>468</v>
      </c>
    </row>
    <row r="80" spans="2:6">
      <c r="B80" s="76" t="s">
        <v>225</v>
      </c>
      <c r="C80" s="76" t="s">
        <v>596</v>
      </c>
      <c r="D80" s="76" t="s">
        <v>597</v>
      </c>
      <c r="E80" s="89" t="s">
        <v>241</v>
      </c>
      <c r="F80" s="54" t="s">
        <v>228</v>
      </c>
    </row>
    <row r="81" spans="2:6">
      <c r="B81" s="54" t="s">
        <v>226</v>
      </c>
      <c r="C81" s="54" t="s">
        <v>495</v>
      </c>
      <c r="D81" s="91" t="s">
        <v>496</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228</v>
      </c>
    </row>
    <row r="82" spans="2:6">
      <c r="B82" s="54" t="s">
        <v>226</v>
      </c>
      <c r="C82" s="54" t="s">
        <v>243</v>
      </c>
      <c r="D82" s="91" t="s">
        <v>497</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228</v>
      </c>
    </row>
    <row r="83" spans="2:6">
      <c r="B83" s="54" t="s">
        <v>226</v>
      </c>
      <c r="C83" s="54" t="s">
        <v>244</v>
      </c>
      <c r="D83" s="91" t="s">
        <v>498</v>
      </c>
      <c r="E83" s="17" t="str">
        <f t="shared" si="2"/>
        <v>"[CONTEXT] You are reviewing the final implementation of a new feature for a " &amp; IF(UPPER(H9)="PROJECT", "PROJECT: " &amp; I9 &amp; ". Topics integrated: " &amp; B9 &amp; ". Business Goal: " &amp; J9, "TOPIC: " &amp; I9 &amp; ". Goal: " &amp; J9) &amp; " | " &amp;</v>
      </c>
      <c r="F83" s="54" t="s">
        <v>228</v>
      </c>
    </row>
    <row r="84" spans="2:6">
      <c r="B84" s="54" t="s">
        <v>226</v>
      </c>
      <c r="C84" s="54" t="s">
        <v>165</v>
      </c>
      <c r="D84" s="91" t="s">
        <v>499</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228</v>
      </c>
    </row>
    <row r="85" spans="2:6">
      <c r="B85" s="54" t="s">
        <v>226</v>
      </c>
      <c r="C85" s="54" t="s">
        <v>234</v>
      </c>
      <c r="D85" s="91" t="s">
        <v>276</v>
      </c>
      <c r="E85" s="17" t="str">
        <f t="shared" si="2"/>
        <v>"[LIBRARY BEING LEARNED] " &amp; $I$3 &amp; " | " &amp;</v>
      </c>
      <c r="F85" s="54" t="s">
        <v>228</v>
      </c>
    </row>
    <row r="86" spans="2:6">
      <c r="B86" s="54" t="s">
        <v>226</v>
      </c>
      <c r="C86" s="54" t="s">
        <v>175</v>
      </c>
      <c r="D86" s="91" t="s">
        <v>263</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228</v>
      </c>
    </row>
    <row r="87" spans="2:6">
      <c r="B87" s="54" t="s">
        <v>226</v>
      </c>
      <c r="C87" s="54" t="s">
        <v>508</v>
      </c>
      <c r="D87" s="91" t="s">
        <v>500</v>
      </c>
      <c r="E87" s="17" t="str">
        <f t="shared" si="2"/>
        <v>"[LANGUAGE SEED CONTEXT] " &amp; IF($AE$7 = "", "Language Seed Not Necessary", "You MUST strictly follow this seed context to enhance, adapt, and naturalize your tone, vocabulary, and instructional quality in " &amp; $B$6 &amp; ": " &amp; $AE$7) &amp; " | " &amp;</v>
      </c>
      <c r="F87" s="54" t="s">
        <v>228</v>
      </c>
    </row>
    <row r="88" spans="2:6">
      <c r="B88" s="54" t="s">
        <v>226</v>
      </c>
      <c r="C88" s="54" t="s">
        <v>219</v>
      </c>
      <c r="D88" s="91" t="s">
        <v>612</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228</v>
      </c>
    </row>
    <row r="89" spans="2:6">
      <c r="B89" s="54" t="s">
        <v>227</v>
      </c>
      <c r="C89" s="54" t="s">
        <v>236</v>
      </c>
      <c r="D89" s="91"/>
      <c r="E89" s="17" t="str">
        <f t="shared" si="2"/>
        <v/>
      </c>
      <c r="F89" s="54" t="s">
        <v>228</v>
      </c>
    </row>
    <row r="90" spans="2:6">
      <c r="B90" s="54" t="s">
        <v>227</v>
      </c>
      <c r="C90" s="54" t="s">
        <v>697</v>
      </c>
      <c r="D90" s="91" t="str">
        <f>Variables!E59 &amp; " | " &amp; CHAR(34) &amp; " &amp;"</f>
        <v>Code MUST adhere strictly to Elixir Style Guide and OTP standards. Use snake_case for functions/variables, PascalCase for modules. NEVER leak state globally; enforce strict callback immutability. Prioritize highly fault-tolerant OTP architectures. | " &amp;</v>
      </c>
      <c r="E90" s="17" t="str">
        <f t="shared" si="2"/>
        <v>"[CODE_QUALITY_PROTOCOL] Code MUST adhere strictly to Elixir Style Guide and OTP standards. Use snake_case for functions/variables, PascalCase for modules. NEVER leak state globally; enforce strict callback immutability. Prioritize highly fault-tolerant OTP architectures. | " &amp;</v>
      </c>
      <c r="F90" s="54" t="s">
        <v>228</v>
      </c>
    </row>
    <row r="91" spans="2:6">
      <c r="B91" s="54" t="s">
        <v>281</v>
      </c>
      <c r="C91" s="54" t="s">
        <v>245</v>
      </c>
      <c r="D91" s="91" t="s">
        <v>501</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228</v>
      </c>
    </row>
    <row r="92" spans="2:6">
      <c r="B92" s="54" t="s">
        <v>281</v>
      </c>
      <c r="C92" s="54" t="s">
        <v>247</v>
      </c>
      <c r="D92" s="91" t="s">
        <v>502</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228</v>
      </c>
    </row>
    <row r="93" spans="2:6">
      <c r="B93" s="54" t="s">
        <v>281</v>
      </c>
      <c r="C93" s="54" t="s">
        <v>248</v>
      </c>
      <c r="D93" s="91" t="s">
        <v>503</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228</v>
      </c>
    </row>
    <row r="94" spans="2:6">
      <c r="B94" s="54" t="s">
        <v>281</v>
      </c>
      <c r="C94" s="54" t="s">
        <v>504</v>
      </c>
      <c r="D94" s="91" t="s">
        <v>505</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228</v>
      </c>
    </row>
    <row r="95" spans="2:6">
      <c r="B95" s="54" t="s">
        <v>281</v>
      </c>
      <c r="C95" s="54" t="s">
        <v>343</v>
      </c>
      <c r="D95" s="91" t="s">
        <v>506</v>
      </c>
      <c r="E95" s="17" t="str">
        <f t="shared" si="2"/>
        <v>"[FOOTER RULE] End your response with: '--- ⚡ *Coding5s Mentor System — Eliminating Epistemic Debt &amp; Shipping to Production*'",</v>
      </c>
      <c r="F95" s="54" t="s">
        <v>228</v>
      </c>
    </row>
    <row r="96" spans="2:6">
      <c r="B96" s="54"/>
      <c r="C96" s="54"/>
      <c r="D96" s="91"/>
      <c r="E96" s="89" t="s">
        <v>453</v>
      </c>
      <c r="F96" s="54" t="s">
        <v>228</v>
      </c>
    </row>
    <row r="97" spans="2:6">
      <c r="B97" s="54"/>
      <c r="C97" s="54"/>
      <c r="D97" s="91"/>
      <c r="E97" s="77" t="str">
        <f t="shared" ref="E97:E100" si="3">IF(D97="","",""""&amp;C97&amp;" "&amp;IF(C97="[FOOTER RULE - STRICT]",D97,IF(RIGHT(D97,6)=" | "&amp;CHAR(34)&amp;" &amp;",D97,D97&amp;" | "&amp;CHAR(34)&amp;" &amp;")))</f>
        <v/>
      </c>
      <c r="F97" s="54" t="s">
        <v>228</v>
      </c>
    </row>
    <row r="98" spans="2:6">
      <c r="B98" s="54"/>
      <c r="C98" s="54"/>
      <c r="D98" s="91"/>
      <c r="E98" s="77" t="str">
        <f t="shared" si="3"/>
        <v/>
      </c>
      <c r="F98" s="54" t="s">
        <v>228</v>
      </c>
    </row>
    <row r="99" spans="2:6">
      <c r="B99" s="54"/>
      <c r="C99" s="54"/>
      <c r="D99" s="91"/>
      <c r="E99" s="77" t="str">
        <f t="shared" si="3"/>
        <v/>
      </c>
      <c r="F99" s="54" t="s">
        <v>228</v>
      </c>
    </row>
    <row r="100" spans="2:6">
      <c r="B100" s="54"/>
      <c r="C100" s="54"/>
      <c r="D100" s="91"/>
      <c r="E100" s="77" t="str">
        <f t="shared" si="3"/>
        <v/>
      </c>
      <c r="F100" s="54" t="s">
        <v>228</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567</v>
      </c>
      <c r="C2" t="s">
        <v>538</v>
      </c>
      <c r="D2" t="s">
        <v>25</v>
      </c>
      <c r="E2" t="s">
        <v>568</v>
      </c>
    </row>
    <row r="3" spans="2:5">
      <c r="B3" t="s">
        <v>539</v>
      </c>
      <c r="C3" t="s">
        <v>20</v>
      </c>
      <c r="D3" t="s">
        <v>540</v>
      </c>
      <c r="E3" t="s">
        <v>569</v>
      </c>
    </row>
    <row r="4" spans="2:5">
      <c r="B4" t="s">
        <v>541</v>
      </c>
      <c r="C4" t="s">
        <v>559</v>
      </c>
      <c r="D4" t="s">
        <v>540</v>
      </c>
      <c r="E4" t="s">
        <v>570</v>
      </c>
    </row>
    <row r="5" spans="2:5">
      <c r="B5" t="s">
        <v>542</v>
      </c>
      <c r="C5" t="s">
        <v>23</v>
      </c>
      <c r="D5" t="s">
        <v>540</v>
      </c>
      <c r="E5" t="s">
        <v>571</v>
      </c>
    </row>
    <row r="6" spans="2:5">
      <c r="B6" t="s">
        <v>543</v>
      </c>
      <c r="C6" t="s">
        <v>24</v>
      </c>
      <c r="D6" t="s">
        <v>540</v>
      </c>
      <c r="E6" t="s">
        <v>572</v>
      </c>
    </row>
    <row r="7" spans="2:5">
      <c r="B7" t="s">
        <v>544</v>
      </c>
      <c r="C7" t="s">
        <v>25</v>
      </c>
      <c r="D7" t="s">
        <v>540</v>
      </c>
      <c r="E7" t="s">
        <v>573</v>
      </c>
    </row>
    <row r="8" spans="2:5">
      <c r="B8" t="s">
        <v>545</v>
      </c>
      <c r="C8" t="s">
        <v>26</v>
      </c>
      <c r="D8" t="s">
        <v>540</v>
      </c>
      <c r="E8" t="s">
        <v>574</v>
      </c>
    </row>
    <row r="9" spans="2:5">
      <c r="B9" t="s">
        <v>546</v>
      </c>
      <c r="C9" t="s">
        <v>27</v>
      </c>
      <c r="D9" t="s">
        <v>540</v>
      </c>
      <c r="E9" t="s">
        <v>575</v>
      </c>
    </row>
    <row r="10" spans="2:5">
      <c r="B10" t="s">
        <v>547</v>
      </c>
      <c r="C10" t="s">
        <v>47</v>
      </c>
      <c r="D10" t="s">
        <v>548</v>
      </c>
      <c r="E10" t="s">
        <v>576</v>
      </c>
    </row>
    <row r="11" spans="2:5">
      <c r="B11" t="s">
        <v>549</v>
      </c>
      <c r="C11" t="s">
        <v>550</v>
      </c>
      <c r="D11" t="s">
        <v>548</v>
      </c>
      <c r="E11" t="s">
        <v>577</v>
      </c>
    </row>
    <row r="12" spans="2:5">
      <c r="B12" t="s">
        <v>551</v>
      </c>
      <c r="C12" t="s">
        <v>560</v>
      </c>
      <c r="D12" t="s">
        <v>548</v>
      </c>
      <c r="E12" t="s">
        <v>578</v>
      </c>
    </row>
    <row r="13" spans="2:5">
      <c r="B13" t="s">
        <v>552</v>
      </c>
      <c r="C13" t="s">
        <v>515</v>
      </c>
      <c r="D13" t="s">
        <v>548</v>
      </c>
      <c r="E13" t="s">
        <v>579</v>
      </c>
    </row>
    <row r="14" spans="2:5">
      <c r="B14" t="s">
        <v>553</v>
      </c>
      <c r="C14" t="s">
        <v>561</v>
      </c>
      <c r="D14" t="s">
        <v>540</v>
      </c>
      <c r="E14" t="s">
        <v>580</v>
      </c>
    </row>
    <row r="15" spans="2:5">
      <c r="B15" t="s">
        <v>554</v>
      </c>
      <c r="C15" t="s">
        <v>562</v>
      </c>
      <c r="D15" t="s">
        <v>540</v>
      </c>
      <c r="E15" t="s">
        <v>581</v>
      </c>
    </row>
    <row r="16" spans="2:5">
      <c r="B16" t="s">
        <v>555</v>
      </c>
      <c r="C16" t="s">
        <v>563</v>
      </c>
      <c r="D16" t="s">
        <v>540</v>
      </c>
      <c r="E16" t="s">
        <v>582</v>
      </c>
    </row>
    <row r="17" spans="2:5">
      <c r="B17" t="s">
        <v>556</v>
      </c>
      <c r="C17" t="s">
        <v>564</v>
      </c>
      <c r="D17" t="s">
        <v>540</v>
      </c>
      <c r="E17" t="s">
        <v>583</v>
      </c>
    </row>
    <row r="18" spans="2:5">
      <c r="B18" t="s">
        <v>557</v>
      </c>
      <c r="C18" t="s">
        <v>565</v>
      </c>
      <c r="D18" t="s">
        <v>540</v>
      </c>
      <c r="E18" t="s">
        <v>584</v>
      </c>
    </row>
    <row r="19" spans="2:5">
      <c r="B19" t="s">
        <v>558</v>
      </c>
      <c r="C19" t="s">
        <v>566</v>
      </c>
      <c r="D19" t="s">
        <v>540</v>
      </c>
      <c r="E19" t="s">
        <v>585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heetViews>
  <sheetFormatPr defaultRowHeight="15"/>
  <cols>
    <col min="1" max="1" width="3.140625" customWidth="1"/>
  </cols>
  <sheetData>
    <row r="2" spans="2:11">
      <c r="B2" s="105" t="s">
        <v>519</v>
      </c>
      <c r="C2" s="106"/>
      <c r="D2" s="106"/>
      <c r="E2" s="106"/>
      <c r="F2" s="106"/>
      <c r="G2" s="106"/>
      <c r="H2" s="106"/>
      <c r="I2" s="106"/>
      <c r="J2" s="106"/>
      <c r="K2" s="107"/>
    </row>
    <row r="3" spans="2:11">
      <c r="B3" s="108"/>
      <c r="K3" s="109"/>
    </row>
    <row r="4" spans="2:11">
      <c r="B4" s="108" t="s">
        <v>520</v>
      </c>
      <c r="K4" s="109"/>
    </row>
    <row r="5" spans="2:11">
      <c r="B5" s="108"/>
      <c r="K5" s="109"/>
    </row>
    <row r="6" spans="2:11">
      <c r="B6" s="110" t="s">
        <v>521</v>
      </c>
      <c r="K6" s="109"/>
    </row>
    <row r="7" spans="2:11">
      <c r="B7" s="110" t="s">
        <v>522</v>
      </c>
      <c r="K7" s="109"/>
    </row>
    <row r="8" spans="2:11">
      <c r="B8" s="110" t="s">
        <v>523</v>
      </c>
      <c r="K8" s="109"/>
    </row>
    <row r="9" spans="2:11">
      <c r="B9" s="110" t="s">
        <v>524</v>
      </c>
      <c r="K9" s="109"/>
    </row>
    <row r="10" spans="2:11">
      <c r="B10" s="110" t="s">
        <v>525</v>
      </c>
      <c r="K10" s="109"/>
    </row>
    <row r="11" spans="2:11">
      <c r="B11" s="110" t="s">
        <v>526</v>
      </c>
      <c r="K11" s="109"/>
    </row>
    <row r="12" spans="2:11">
      <c r="B12" s="110"/>
      <c r="K12" s="109"/>
    </row>
    <row r="13" spans="2:11">
      <c r="B13" s="110" t="s">
        <v>527</v>
      </c>
      <c r="K13" s="109"/>
    </row>
    <row r="14" spans="2:11">
      <c r="B14" s="110" t="s">
        <v>528</v>
      </c>
      <c r="K14" s="109"/>
    </row>
    <row r="15" spans="2:11">
      <c r="B15" s="110"/>
      <c r="K15" s="109"/>
    </row>
    <row r="16" spans="2:11">
      <c r="B16" s="110" t="s">
        <v>529</v>
      </c>
      <c r="K16" s="109"/>
    </row>
    <row r="17" spans="2:11">
      <c r="B17" s="110" t="s">
        <v>530</v>
      </c>
      <c r="K17" s="109"/>
    </row>
    <row r="18" spans="2:11">
      <c r="B18" s="110" t="s">
        <v>531</v>
      </c>
      <c r="K18" s="109"/>
    </row>
    <row r="19" spans="2:11">
      <c r="B19" s="110" t="s">
        <v>532</v>
      </c>
      <c r="K19" s="109"/>
    </row>
    <row r="20" spans="2:11">
      <c r="B20" s="110" t="s">
        <v>533</v>
      </c>
      <c r="K20" s="109"/>
    </row>
    <row r="21" spans="2:11">
      <c r="B21" s="110" t="s">
        <v>534</v>
      </c>
      <c r="K21" s="109"/>
    </row>
    <row r="22" spans="2:11">
      <c r="B22" s="110" t="s">
        <v>535</v>
      </c>
      <c r="K22" s="109"/>
    </row>
    <row r="23" spans="2:11">
      <c r="B23" s="110"/>
      <c r="K23" s="109"/>
    </row>
    <row r="24" spans="2:11">
      <c r="B24" s="110" t="s">
        <v>536</v>
      </c>
      <c r="D24" s="114" t="s">
        <v>537</v>
      </c>
      <c r="K24" s="109"/>
    </row>
    <row r="25" spans="2:11">
      <c r="B25" s="111"/>
      <c r="C25" s="112"/>
      <c r="D25" s="112"/>
      <c r="E25" s="112"/>
      <c r="F25" s="112"/>
      <c r="G25" s="112"/>
      <c r="H25" s="112"/>
      <c r="I25" s="112"/>
      <c r="J25" s="112"/>
      <c r="K25" s="113"/>
    </row>
  </sheetData>
  <hyperlinks>
    <hyperlink ref="D24" r:id="rId1" xr:uid="{C1585F6D-E84E-4BDD-BFC6-8C9DE04D69FF}"/>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23"/>
  <sheetViews>
    <sheetView showGridLines="0" workbookViewId="0"/>
  </sheetViews>
  <sheetFormatPr defaultRowHeight="15"/>
  <sheetData>
    <row r="1" spans="1:1" ht="18">
      <c r="A1" s="115" t="s">
        <v>586</v>
      </c>
    </row>
    <row r="3" spans="1:1">
      <c r="A3" t="s">
        <v>587</v>
      </c>
    </row>
    <row r="4" spans="1:1">
      <c r="A4" s="116"/>
    </row>
    <row r="5" spans="1:1">
      <c r="A5" s="117" t="s">
        <v>588</v>
      </c>
    </row>
    <row r="6" spans="1:1">
      <c r="A6" s="116"/>
    </row>
    <row r="7" spans="1:1">
      <c r="A7" s="116"/>
    </row>
    <row r="8" spans="1:1">
      <c r="A8" s="118"/>
    </row>
    <row r="9" spans="1:1">
      <c r="A9" s="119" t="s">
        <v>589</v>
      </c>
    </row>
    <row r="10" spans="1:1">
      <c r="A10" s="118"/>
    </row>
    <row r="11" spans="1:1">
      <c r="A11" s="119" t="s">
        <v>590</v>
      </c>
    </row>
    <row r="12" spans="1:1">
      <c r="A12" s="116"/>
    </row>
    <row r="13" spans="1:1">
      <c r="A13" s="117" t="s">
        <v>591</v>
      </c>
    </row>
    <row r="14" spans="1:1">
      <c r="A14" s="116"/>
    </row>
    <row r="15" spans="1:1">
      <c r="A15" s="116"/>
    </row>
    <row r="16" spans="1:1">
      <c r="A16" s="118"/>
    </row>
    <row r="17" spans="1:1">
      <c r="A17" s="118" t="s">
        <v>592</v>
      </c>
    </row>
    <row r="18" spans="1:1">
      <c r="A18" s="118"/>
    </row>
    <row r="19" spans="1:1">
      <c r="A19" s="118" t="s">
        <v>593</v>
      </c>
    </row>
    <row r="20" spans="1:1">
      <c r="A20" s="118"/>
    </row>
    <row r="21" spans="1:1">
      <c r="A21" s="118" t="s">
        <v>594</v>
      </c>
    </row>
    <row r="22" spans="1:1">
      <c r="A22" s="116"/>
    </row>
    <row r="23" spans="1:1">
      <c r="A23" s="117" t="s">
        <v>595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PromptGenerator</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2026-07-19T04:38:12Z</dcterms:modified>
</cp:coreProperties>
</file>