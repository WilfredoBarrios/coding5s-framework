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github_repositories\coding5s-framework\pillar_1\coding5s_creator_kits\elixir\"/>
    </mc:Choice>
  </mc:AlternateContent>
  <xr:revisionPtr revIDLastSave="0" documentId="13_ncr:1_{57BB7F5F-E866-4B97-964B-8AC2712AB695}" xr6:coauthVersionLast="47" xr6:coauthVersionMax="47" xr10:uidLastSave="{00000000-0000-0000-0000-000000000000}"/>
  <workbookProtection workbookAlgorithmName="SHA-512" workbookHashValue="H7F67/msRmIOJzjPBVAIUpyCGZGfWhSJP3HI5+pM5NTQCPgNZRCc2ZwqM8gYu6Gp9t6OBz3sQzpwGRK3/lmsIg==" workbookSaltValue="al5aPiRqMsX+NAmoDluATg==" workbookSpinCount="100000" lockStructure="1"/>
  <bookViews>
    <workbookView xWindow="29160" yWindow="1080" windowWidth="27540" windowHeight="13785" tabRatio="732" xr2:uid="{A9A38741-1811-4719-B778-C7D2DA3EDF0A}"/>
  </bookViews>
  <sheets>
    <sheet name="PromptGenerator" sheetId="1" r:id="rId1"/>
    <sheet name="HowToStudy" sheetId="25" r:id="rId2"/>
    <sheet name="Variables" sheetId="24" r:id="rId3"/>
    <sheet name="FGen_S1" sheetId="2" r:id="rId4"/>
    <sheet name="FGen_S2" sheetId="15" r:id="rId5"/>
    <sheet name="FGen_S3" sheetId="16" r:id="rId6"/>
    <sheet name="FGen_S4" sheetId="17" r:id="rId7"/>
    <sheet name="FGen_S5" sheetId="18" r:id="rId8"/>
    <sheet name="CellReference" sheetId="22" r:id="rId9"/>
    <sheet name="License" sheetId="19" r:id="rId10"/>
    <sheet name="HowTo" sheetId="23" r:id="rId1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L10" i="1" l="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L116" i="1"/>
  <c r="L117" i="1"/>
  <c r="L118" i="1"/>
  <c r="L119" i="1"/>
  <c r="L120" i="1"/>
  <c r="L121" i="1"/>
  <c r="L122" i="1"/>
  <c r="L123" i="1"/>
  <c r="L124" i="1"/>
  <c r="L125" i="1"/>
  <c r="L126" i="1"/>
  <c r="L127" i="1"/>
  <c r="L128" i="1"/>
  <c r="L129" i="1"/>
  <c r="L130" i="1"/>
  <c r="L131" i="1"/>
  <c r="L132" i="1"/>
  <c r="L133" i="1"/>
  <c r="L134" i="1"/>
  <c r="L135" i="1"/>
  <c r="L136" i="1"/>
  <c r="L137" i="1"/>
  <c r="L138" i="1"/>
  <c r="L139" i="1"/>
  <c r="L140" i="1"/>
  <c r="L141" i="1"/>
  <c r="L142" i="1"/>
  <c r="L143" i="1"/>
  <c r="L144" i="1"/>
  <c r="L145" i="1"/>
  <c r="L146" i="1"/>
  <c r="L147" i="1"/>
  <c r="L148" i="1"/>
  <c r="L149" i="1"/>
  <c r="L150" i="1"/>
  <c r="L151" i="1"/>
  <c r="L152" i="1"/>
  <c r="L153" i="1"/>
  <c r="L154" i="1"/>
  <c r="L155" i="1"/>
  <c r="L156" i="1"/>
  <c r="L157" i="1"/>
  <c r="L158" i="1"/>
  <c r="L159" i="1"/>
  <c r="L160" i="1"/>
  <c r="L161" i="1"/>
  <c r="L162" i="1"/>
  <c r="L163" i="1"/>
  <c r="L164" i="1"/>
  <c r="L165" i="1"/>
  <c r="L166" i="1"/>
  <c r="L167" i="1"/>
  <c r="L168" i="1"/>
  <c r="L169" i="1"/>
  <c r="L170" i="1"/>
  <c r="L171" i="1"/>
  <c r="L172" i="1"/>
  <c r="L173" i="1"/>
  <c r="L174" i="1"/>
  <c r="L175" i="1"/>
  <c r="L176" i="1"/>
  <c r="L177" i="1"/>
  <c r="L178" i="1"/>
  <c r="L179" i="1"/>
  <c r="L180" i="1"/>
  <c r="L181" i="1"/>
  <c r="L182" i="1"/>
  <c r="L183" i="1"/>
  <c r="L184" i="1"/>
  <c r="L185" i="1"/>
  <c r="L186" i="1"/>
  <c r="L187" i="1"/>
  <c r="L188" i="1"/>
  <c r="L189" i="1"/>
  <c r="L190" i="1"/>
  <c r="L191" i="1"/>
  <c r="L192" i="1"/>
  <c r="L193" i="1"/>
  <c r="L194" i="1"/>
  <c r="L195" i="1"/>
  <c r="L196" i="1"/>
  <c r="L197" i="1"/>
  <c r="L198" i="1"/>
  <c r="L199" i="1"/>
  <c r="L200" i="1"/>
  <c r="L9" i="1"/>
  <c r="Z10" i="1"/>
  <c r="Z11" i="1"/>
  <c r="Z12" i="1"/>
  <c r="Z13" i="1"/>
  <c r="Z14" i="1"/>
  <c r="Z15" i="1"/>
  <c r="Z16" i="1"/>
  <c r="Z17" i="1"/>
  <c r="Z18" i="1"/>
  <c r="Z19" i="1"/>
  <c r="Z20" i="1"/>
  <c r="Z21" i="1"/>
  <c r="Z22" i="1"/>
  <c r="Z23" i="1"/>
  <c r="Z24" i="1"/>
  <c r="Z25" i="1"/>
  <c r="Z26" i="1"/>
  <c r="Z27" i="1"/>
  <c r="Z28" i="1"/>
  <c r="Z29" i="1"/>
  <c r="Z30" i="1"/>
  <c r="Z31" i="1"/>
  <c r="Z32" i="1"/>
  <c r="Z33" i="1"/>
  <c r="Z34" i="1"/>
  <c r="Z35" i="1"/>
  <c r="Z36" i="1"/>
  <c r="Z37" i="1"/>
  <c r="Z38" i="1"/>
  <c r="Z39" i="1"/>
  <c r="Z40" i="1"/>
  <c r="Z41" i="1"/>
  <c r="Z42" i="1"/>
  <c r="Z43" i="1"/>
  <c r="Z44" i="1"/>
  <c r="Z45" i="1"/>
  <c r="Z46" i="1"/>
  <c r="Z47" i="1"/>
  <c r="Z48" i="1"/>
  <c r="Z49" i="1"/>
  <c r="Z50" i="1"/>
  <c r="Z51" i="1"/>
  <c r="Z52" i="1"/>
  <c r="Z53" i="1"/>
  <c r="Z54" i="1"/>
  <c r="Z55" i="1"/>
  <c r="Z56" i="1"/>
  <c r="Z57" i="1"/>
  <c r="Z58" i="1"/>
  <c r="Z59" i="1"/>
  <c r="Z60" i="1"/>
  <c r="Z61" i="1"/>
  <c r="Z62" i="1"/>
  <c r="Z63" i="1"/>
  <c r="Z64" i="1"/>
  <c r="Z65" i="1"/>
  <c r="Z66" i="1"/>
  <c r="Z67" i="1"/>
  <c r="Z68" i="1"/>
  <c r="Z69" i="1"/>
  <c r="Z70" i="1"/>
  <c r="Z71" i="1"/>
  <c r="Z72" i="1"/>
  <c r="Z73" i="1"/>
  <c r="Z74" i="1"/>
  <c r="Z75" i="1"/>
  <c r="Z76" i="1"/>
  <c r="Z77" i="1"/>
  <c r="Z78" i="1"/>
  <c r="Z79" i="1"/>
  <c r="Z80" i="1"/>
  <c r="Z81" i="1"/>
  <c r="Z82" i="1"/>
  <c r="Z83" i="1"/>
  <c r="Z84" i="1"/>
  <c r="Z85" i="1"/>
  <c r="Z86" i="1"/>
  <c r="Z87" i="1"/>
  <c r="Z88" i="1"/>
  <c r="Z89" i="1"/>
  <c r="Z90" i="1"/>
  <c r="Z91" i="1"/>
  <c r="Z92" i="1"/>
  <c r="Z93" i="1"/>
  <c r="Z94" i="1"/>
  <c r="Z95" i="1"/>
  <c r="Z96" i="1"/>
  <c r="Z97" i="1"/>
  <c r="Z98" i="1"/>
  <c r="Z99" i="1"/>
  <c r="Z100" i="1"/>
  <c r="Z101" i="1"/>
  <c r="Z102" i="1"/>
  <c r="Z103" i="1"/>
  <c r="Z104" i="1"/>
  <c r="Z105" i="1"/>
  <c r="Z106" i="1"/>
  <c r="Z107" i="1"/>
  <c r="Z108" i="1"/>
  <c r="Z109" i="1"/>
  <c r="Z110" i="1"/>
  <c r="Z111" i="1"/>
  <c r="Z112" i="1"/>
  <c r="Z113" i="1"/>
  <c r="Z114" i="1"/>
  <c r="Z115" i="1"/>
  <c r="Z116" i="1"/>
  <c r="Z117" i="1"/>
  <c r="Z118" i="1"/>
  <c r="Z119" i="1"/>
  <c r="Z120" i="1"/>
  <c r="Z121" i="1"/>
  <c r="Z122" i="1"/>
  <c r="Z123" i="1"/>
  <c r="Z124" i="1"/>
  <c r="Z125" i="1"/>
  <c r="Z126" i="1"/>
  <c r="Z127" i="1"/>
  <c r="Z128" i="1"/>
  <c r="Z129" i="1"/>
  <c r="Z130" i="1"/>
  <c r="Z131" i="1"/>
  <c r="Z132" i="1"/>
  <c r="Z133" i="1"/>
  <c r="Z134" i="1"/>
  <c r="Z135" i="1"/>
  <c r="Z136" i="1"/>
  <c r="Z137" i="1"/>
  <c r="Z138" i="1"/>
  <c r="Z139" i="1"/>
  <c r="Z140" i="1"/>
  <c r="Z141" i="1"/>
  <c r="Z142" i="1"/>
  <c r="Z143" i="1"/>
  <c r="Z144" i="1"/>
  <c r="Z145" i="1"/>
  <c r="Z146" i="1"/>
  <c r="Z147" i="1"/>
  <c r="Z148" i="1"/>
  <c r="Z149" i="1"/>
  <c r="Z150" i="1"/>
  <c r="Z151" i="1"/>
  <c r="Z152" i="1"/>
  <c r="Z153" i="1"/>
  <c r="Z154" i="1"/>
  <c r="Z155" i="1"/>
  <c r="Z156" i="1"/>
  <c r="Z157" i="1"/>
  <c r="Z158" i="1"/>
  <c r="Z159" i="1"/>
  <c r="Z160" i="1"/>
  <c r="Z161" i="1"/>
  <c r="Z162" i="1"/>
  <c r="Z163" i="1"/>
  <c r="Z164" i="1"/>
  <c r="Z165" i="1"/>
  <c r="Z166" i="1"/>
  <c r="Z167" i="1"/>
  <c r="Z168" i="1"/>
  <c r="Z169" i="1"/>
  <c r="Z170" i="1"/>
  <c r="Z171" i="1"/>
  <c r="Z172" i="1"/>
  <c r="Z173" i="1"/>
  <c r="Z174" i="1"/>
  <c r="Z175" i="1"/>
  <c r="Z176" i="1"/>
  <c r="Z177" i="1"/>
  <c r="Z178" i="1"/>
  <c r="Z179" i="1"/>
  <c r="Z180" i="1"/>
  <c r="Z181" i="1"/>
  <c r="Z182" i="1"/>
  <c r="Z183" i="1"/>
  <c r="Z184" i="1"/>
  <c r="Z185" i="1"/>
  <c r="Z186" i="1"/>
  <c r="Z187" i="1"/>
  <c r="Z188" i="1"/>
  <c r="Z189" i="1"/>
  <c r="Z190" i="1"/>
  <c r="Z191" i="1"/>
  <c r="Z192" i="1"/>
  <c r="Z193" i="1"/>
  <c r="Z194" i="1"/>
  <c r="Z195" i="1"/>
  <c r="Z196" i="1"/>
  <c r="Z197" i="1"/>
  <c r="Z198" i="1"/>
  <c r="Z199" i="1"/>
  <c r="Z200" i="1"/>
  <c r="Z9" i="1"/>
  <c r="K10" i="1"/>
  <c r="K11" i="1"/>
  <c r="K12" i="1"/>
  <c r="K13" i="1"/>
  <c r="K14" i="1"/>
  <c r="K15" i="1"/>
  <c r="K16" i="1"/>
  <c r="K17" i="1"/>
  <c r="K18" i="1"/>
  <c r="K19" i="1"/>
  <c r="K20" i="1"/>
  <c r="K21" i="1"/>
  <c r="K22" i="1"/>
  <c r="K23" i="1"/>
  <c r="K24" i="1"/>
  <c r="K25" i="1"/>
  <c r="K26" i="1"/>
  <c r="K27" i="1"/>
  <c r="K28" i="1"/>
  <c r="K29" i="1"/>
  <c r="K30" i="1"/>
  <c r="K31" i="1"/>
  <c r="K32" i="1"/>
  <c r="K33" i="1"/>
  <c r="K34" i="1"/>
  <c r="K35" i="1"/>
  <c r="K36" i="1"/>
  <c r="K37" i="1"/>
  <c r="K38" i="1"/>
  <c r="K39" i="1"/>
  <c r="K40" i="1"/>
  <c r="K41" i="1"/>
  <c r="K42" i="1"/>
  <c r="K43" i="1"/>
  <c r="K44" i="1"/>
  <c r="K45" i="1"/>
  <c r="K46" i="1"/>
  <c r="K47" i="1"/>
  <c r="K48" i="1"/>
  <c r="K49" i="1"/>
  <c r="K50" i="1"/>
  <c r="K51" i="1"/>
  <c r="K52" i="1"/>
  <c r="K53" i="1"/>
  <c r="K54" i="1"/>
  <c r="K55" i="1"/>
  <c r="K56" i="1"/>
  <c r="K57" i="1"/>
  <c r="K58" i="1"/>
  <c r="K59" i="1"/>
  <c r="K60" i="1"/>
  <c r="K61" i="1"/>
  <c r="K62" i="1"/>
  <c r="K63" i="1"/>
  <c r="K64" i="1"/>
  <c r="K65" i="1"/>
  <c r="K66" i="1"/>
  <c r="K67" i="1"/>
  <c r="K68" i="1"/>
  <c r="K69" i="1"/>
  <c r="K70" i="1"/>
  <c r="K71" i="1"/>
  <c r="K72" i="1"/>
  <c r="K73" i="1"/>
  <c r="K74" i="1"/>
  <c r="K75" i="1"/>
  <c r="K76" i="1"/>
  <c r="K77" i="1"/>
  <c r="K78" i="1"/>
  <c r="K79" i="1"/>
  <c r="K80" i="1"/>
  <c r="K81" i="1"/>
  <c r="K82" i="1"/>
  <c r="K83" i="1"/>
  <c r="K84" i="1"/>
  <c r="K85" i="1"/>
  <c r="K86" i="1"/>
  <c r="K87" i="1"/>
  <c r="K88" i="1"/>
  <c r="K89" i="1"/>
  <c r="K90" i="1"/>
  <c r="K91" i="1"/>
  <c r="K92" i="1"/>
  <c r="K93" i="1"/>
  <c r="K94" i="1"/>
  <c r="K95" i="1"/>
  <c r="K96" i="1"/>
  <c r="K97" i="1"/>
  <c r="K98" i="1"/>
  <c r="K99" i="1"/>
  <c r="K100" i="1"/>
  <c r="K101" i="1"/>
  <c r="K102" i="1"/>
  <c r="K103" i="1"/>
  <c r="K104" i="1"/>
  <c r="K105" i="1"/>
  <c r="K106" i="1"/>
  <c r="K107" i="1"/>
  <c r="K108" i="1"/>
  <c r="K109" i="1"/>
  <c r="K110" i="1"/>
  <c r="K111" i="1"/>
  <c r="K112" i="1"/>
  <c r="K113" i="1"/>
  <c r="K114" i="1"/>
  <c r="K115" i="1"/>
  <c r="K116" i="1"/>
  <c r="K117" i="1"/>
  <c r="K118" i="1"/>
  <c r="K119" i="1"/>
  <c r="K120" i="1"/>
  <c r="K121" i="1"/>
  <c r="K122" i="1"/>
  <c r="K123" i="1"/>
  <c r="K124" i="1"/>
  <c r="K125" i="1"/>
  <c r="K126" i="1"/>
  <c r="K127" i="1"/>
  <c r="K128" i="1"/>
  <c r="K129" i="1"/>
  <c r="K130" i="1"/>
  <c r="K131" i="1"/>
  <c r="K132" i="1"/>
  <c r="K133" i="1"/>
  <c r="K134" i="1"/>
  <c r="K135" i="1"/>
  <c r="K136" i="1"/>
  <c r="K137" i="1"/>
  <c r="K138" i="1"/>
  <c r="K139" i="1"/>
  <c r="K140" i="1"/>
  <c r="K141" i="1"/>
  <c r="K142" i="1"/>
  <c r="K143" i="1"/>
  <c r="K144" i="1"/>
  <c r="K145" i="1"/>
  <c r="K146" i="1"/>
  <c r="K147" i="1"/>
  <c r="K148" i="1"/>
  <c r="K149" i="1"/>
  <c r="K150" i="1"/>
  <c r="K151" i="1"/>
  <c r="K152" i="1"/>
  <c r="K153" i="1"/>
  <c r="K154" i="1"/>
  <c r="K155" i="1"/>
  <c r="K156" i="1"/>
  <c r="K157" i="1"/>
  <c r="K158" i="1"/>
  <c r="K159" i="1"/>
  <c r="K160" i="1"/>
  <c r="K161" i="1"/>
  <c r="K162" i="1"/>
  <c r="K163" i="1"/>
  <c r="K164" i="1"/>
  <c r="K165" i="1"/>
  <c r="K166" i="1"/>
  <c r="K167" i="1"/>
  <c r="K168" i="1"/>
  <c r="K169" i="1"/>
  <c r="K170" i="1"/>
  <c r="K171" i="1"/>
  <c r="K172" i="1"/>
  <c r="K173" i="1"/>
  <c r="K174" i="1"/>
  <c r="K175" i="1"/>
  <c r="K176" i="1"/>
  <c r="K177" i="1"/>
  <c r="K178" i="1"/>
  <c r="K179" i="1"/>
  <c r="K180" i="1"/>
  <c r="K181" i="1"/>
  <c r="K182" i="1"/>
  <c r="K183" i="1"/>
  <c r="K184" i="1"/>
  <c r="K185" i="1"/>
  <c r="K186" i="1"/>
  <c r="K187" i="1"/>
  <c r="K188" i="1"/>
  <c r="K189" i="1"/>
  <c r="K190" i="1"/>
  <c r="K191" i="1"/>
  <c r="K192" i="1"/>
  <c r="K193" i="1"/>
  <c r="K194" i="1"/>
  <c r="K195" i="1"/>
  <c r="K196" i="1"/>
  <c r="K197" i="1"/>
  <c r="K198" i="1"/>
  <c r="K199" i="1"/>
  <c r="K200" i="1"/>
  <c r="K9" i="1"/>
  <c r="D14" i="2"/>
  <c r="W10" i="1" l="1"/>
  <c r="W11" i="1"/>
  <c r="W12" i="1"/>
  <c r="W13" i="1"/>
  <c r="W14" i="1"/>
  <c r="W15" i="1"/>
  <c r="W17" i="1"/>
  <c r="W18" i="1"/>
  <c r="W19" i="1"/>
  <c r="W20" i="1"/>
  <c r="W21" i="1"/>
  <c r="W22" i="1"/>
  <c r="W23" i="1"/>
  <c r="W25" i="1"/>
  <c r="W26" i="1"/>
  <c r="W27" i="1"/>
  <c r="W28" i="1"/>
  <c r="W29" i="1"/>
  <c r="W30" i="1"/>
  <c r="W31" i="1"/>
  <c r="W33" i="1"/>
  <c r="W34" i="1"/>
  <c r="W35" i="1"/>
  <c r="W37" i="1"/>
  <c r="W38" i="1"/>
  <c r="W39" i="1"/>
  <c r="W40" i="1"/>
  <c r="W41" i="1"/>
  <c r="W43" i="1"/>
  <c r="W44" i="1"/>
  <c r="W45" i="1"/>
  <c r="W46" i="1"/>
  <c r="W48" i="1"/>
  <c r="W49" i="1"/>
  <c r="W50" i="1"/>
  <c r="W51" i="1"/>
  <c r="W52" i="1"/>
  <c r="W53" i="1"/>
  <c r="W54" i="1"/>
  <c r="W56" i="1"/>
  <c r="W57" i="1"/>
  <c r="W58" i="1"/>
  <c r="W59" i="1"/>
  <c r="W60" i="1"/>
  <c r="W62" i="1"/>
  <c r="W63" i="1"/>
  <c r="W64" i="1"/>
  <c r="W65" i="1"/>
  <c r="W67" i="1"/>
  <c r="W68" i="1"/>
  <c r="W69" i="1"/>
  <c r="W70" i="1"/>
  <c r="W71" i="1"/>
  <c r="W72" i="1"/>
  <c r="W74" i="1"/>
  <c r="W75" i="1"/>
  <c r="W76" i="1"/>
  <c r="W77" i="1"/>
  <c r="W78" i="1"/>
  <c r="W79" i="1"/>
  <c r="W80" i="1"/>
  <c r="W82" i="1"/>
  <c r="W83" i="1"/>
  <c r="W84" i="1"/>
  <c r="W86" i="1"/>
  <c r="W87" i="1"/>
  <c r="W88" i="1"/>
  <c r="W89" i="1"/>
  <c r="W90" i="1"/>
  <c r="W91" i="1"/>
  <c r="W92" i="1"/>
  <c r="W93" i="1"/>
  <c r="W94" i="1"/>
  <c r="W95" i="1"/>
  <c r="W96" i="1"/>
  <c r="W97" i="1"/>
  <c r="W98" i="1"/>
  <c r="W99" i="1"/>
  <c r="W100" i="1"/>
  <c r="W101" i="1"/>
  <c r="W102" i="1"/>
  <c r="W103" i="1"/>
  <c r="W104" i="1"/>
  <c r="W105" i="1"/>
  <c r="W106" i="1"/>
  <c r="W107" i="1"/>
  <c r="W108" i="1"/>
  <c r="W109" i="1"/>
  <c r="W110" i="1"/>
  <c r="W111" i="1"/>
  <c r="W112" i="1"/>
  <c r="W113" i="1"/>
  <c r="W114" i="1"/>
  <c r="W115" i="1"/>
  <c r="W116" i="1"/>
  <c r="W117" i="1"/>
  <c r="W118" i="1"/>
  <c r="W119" i="1"/>
  <c r="W120" i="1"/>
  <c r="W121" i="1"/>
  <c r="W122" i="1"/>
  <c r="W123" i="1"/>
  <c r="W124" i="1"/>
  <c r="W125" i="1"/>
  <c r="W126" i="1"/>
  <c r="W127" i="1"/>
  <c r="W128" i="1"/>
  <c r="W129" i="1"/>
  <c r="W130" i="1"/>
  <c r="W131" i="1"/>
  <c r="W132" i="1"/>
  <c r="W133" i="1"/>
  <c r="W134" i="1"/>
  <c r="W135" i="1"/>
  <c r="W136" i="1"/>
  <c r="W137" i="1"/>
  <c r="W138" i="1"/>
  <c r="W139" i="1"/>
  <c r="W140" i="1"/>
  <c r="W141" i="1"/>
  <c r="W142" i="1"/>
  <c r="W143" i="1"/>
  <c r="W144" i="1"/>
  <c r="W145" i="1"/>
  <c r="W146" i="1"/>
  <c r="W147" i="1"/>
  <c r="W148" i="1"/>
  <c r="W149" i="1"/>
  <c r="W150" i="1"/>
  <c r="W151" i="1"/>
  <c r="W152" i="1"/>
  <c r="W153" i="1"/>
  <c r="W154" i="1"/>
  <c r="W155" i="1"/>
  <c r="W156" i="1"/>
  <c r="W157" i="1"/>
  <c r="W158" i="1"/>
  <c r="W159" i="1"/>
  <c r="W160" i="1"/>
  <c r="W161" i="1"/>
  <c r="W162" i="1"/>
  <c r="W163" i="1"/>
  <c r="W164" i="1"/>
  <c r="W165" i="1"/>
  <c r="W166" i="1"/>
  <c r="W167" i="1"/>
  <c r="W168" i="1"/>
  <c r="W169" i="1"/>
  <c r="W170" i="1"/>
  <c r="W171" i="1"/>
  <c r="W172" i="1"/>
  <c r="W173" i="1"/>
  <c r="W174" i="1"/>
  <c r="W175" i="1"/>
  <c r="W176" i="1"/>
  <c r="W177" i="1"/>
  <c r="W178" i="1"/>
  <c r="W179" i="1"/>
  <c r="W180" i="1"/>
  <c r="W181" i="1"/>
  <c r="W182" i="1"/>
  <c r="W183" i="1"/>
  <c r="W184" i="1"/>
  <c r="W185" i="1"/>
  <c r="W186" i="1"/>
  <c r="W187" i="1"/>
  <c r="W188" i="1"/>
  <c r="W189" i="1"/>
  <c r="W190" i="1"/>
  <c r="W191" i="1"/>
  <c r="W192" i="1"/>
  <c r="W193" i="1"/>
  <c r="W194" i="1"/>
  <c r="W195" i="1"/>
  <c r="W196" i="1"/>
  <c r="W197" i="1"/>
  <c r="W198" i="1"/>
  <c r="W199" i="1"/>
  <c r="W200" i="1"/>
  <c r="W9" i="1"/>
  <c r="AD10" i="1"/>
  <c r="AD11" i="1"/>
  <c r="AD12" i="1"/>
  <c r="AD13" i="1"/>
  <c r="AD14" i="1"/>
  <c r="AD15" i="1"/>
  <c r="AD17" i="1"/>
  <c r="AD18" i="1"/>
  <c r="AD19" i="1"/>
  <c r="AD20" i="1"/>
  <c r="AD21" i="1"/>
  <c r="AD22" i="1"/>
  <c r="AD23" i="1"/>
  <c r="AD25" i="1"/>
  <c r="AD26" i="1"/>
  <c r="AD27" i="1"/>
  <c r="AD28" i="1"/>
  <c r="AD29" i="1"/>
  <c r="AD30" i="1"/>
  <c r="AD31" i="1"/>
  <c r="AD33" i="1"/>
  <c r="AD34" i="1"/>
  <c r="AD35" i="1"/>
  <c r="AD37" i="1"/>
  <c r="AD38" i="1"/>
  <c r="AD39" i="1"/>
  <c r="AD40" i="1"/>
  <c r="AD41" i="1"/>
  <c r="AD43" i="1"/>
  <c r="AD44" i="1"/>
  <c r="AD45" i="1"/>
  <c r="AD46" i="1"/>
  <c r="AD48" i="1"/>
  <c r="AD49" i="1"/>
  <c r="AD50" i="1"/>
  <c r="AD51" i="1"/>
  <c r="AD52" i="1"/>
  <c r="AD53" i="1"/>
  <c r="AD54" i="1"/>
  <c r="AD56" i="1"/>
  <c r="AD57" i="1"/>
  <c r="AD58" i="1"/>
  <c r="AD59" i="1"/>
  <c r="AD60" i="1"/>
  <c r="AD62" i="1"/>
  <c r="AD63" i="1"/>
  <c r="AD64" i="1"/>
  <c r="AD65" i="1"/>
  <c r="AD67" i="1"/>
  <c r="AD68" i="1"/>
  <c r="AD69" i="1"/>
  <c r="AD70" i="1"/>
  <c r="AD71" i="1"/>
  <c r="AD72" i="1"/>
  <c r="AD74" i="1"/>
  <c r="AD75" i="1"/>
  <c r="AD76" i="1"/>
  <c r="AD77" i="1"/>
  <c r="AD78" i="1"/>
  <c r="AD79" i="1"/>
  <c r="AD80" i="1"/>
  <c r="AD82" i="1"/>
  <c r="AD83" i="1"/>
  <c r="AD84" i="1"/>
  <c r="AD86" i="1"/>
  <c r="AD87" i="1"/>
  <c r="AD88" i="1"/>
  <c r="AD89" i="1"/>
  <c r="AD90" i="1"/>
  <c r="AD91" i="1"/>
  <c r="AD92" i="1"/>
  <c r="AD93" i="1"/>
  <c r="AD94" i="1"/>
  <c r="AD95" i="1"/>
  <c r="AD96" i="1"/>
  <c r="AD97" i="1"/>
  <c r="AD98" i="1"/>
  <c r="AD99" i="1"/>
  <c r="AD100" i="1"/>
  <c r="AD101" i="1"/>
  <c r="AD102" i="1"/>
  <c r="AD103" i="1"/>
  <c r="AD104" i="1"/>
  <c r="AD105" i="1"/>
  <c r="AD106" i="1"/>
  <c r="AD107" i="1"/>
  <c r="AD108" i="1"/>
  <c r="AD109" i="1"/>
  <c r="AD110" i="1"/>
  <c r="AD111" i="1"/>
  <c r="AD112" i="1"/>
  <c r="AD113" i="1"/>
  <c r="AD114" i="1"/>
  <c r="AD115" i="1"/>
  <c r="AD116" i="1"/>
  <c r="AD117" i="1"/>
  <c r="AD118" i="1"/>
  <c r="AD119" i="1"/>
  <c r="AD120" i="1"/>
  <c r="AD121" i="1"/>
  <c r="AD122" i="1"/>
  <c r="AD123" i="1"/>
  <c r="AD124" i="1"/>
  <c r="AD125" i="1"/>
  <c r="AD126" i="1"/>
  <c r="AD127" i="1"/>
  <c r="AD128" i="1"/>
  <c r="AD129" i="1"/>
  <c r="AD130" i="1"/>
  <c r="AD131" i="1"/>
  <c r="AD132" i="1"/>
  <c r="AD133" i="1"/>
  <c r="AD134" i="1"/>
  <c r="AD135" i="1"/>
  <c r="AD136" i="1"/>
  <c r="AD137" i="1"/>
  <c r="AD138" i="1"/>
  <c r="AD139" i="1"/>
  <c r="AD140" i="1"/>
  <c r="AD141" i="1"/>
  <c r="AD142" i="1"/>
  <c r="AD143" i="1"/>
  <c r="AD144" i="1"/>
  <c r="AD145" i="1"/>
  <c r="AD146" i="1"/>
  <c r="AD147" i="1"/>
  <c r="AD148" i="1"/>
  <c r="AD149" i="1"/>
  <c r="AD150" i="1"/>
  <c r="AD151" i="1"/>
  <c r="AD152" i="1"/>
  <c r="AD153" i="1"/>
  <c r="AD154" i="1"/>
  <c r="AD155" i="1"/>
  <c r="AD156" i="1"/>
  <c r="AD157" i="1"/>
  <c r="AD158" i="1"/>
  <c r="AD159" i="1"/>
  <c r="AD160" i="1"/>
  <c r="AD161" i="1"/>
  <c r="AD162" i="1"/>
  <c r="AD163" i="1"/>
  <c r="AD164" i="1"/>
  <c r="AD165" i="1"/>
  <c r="AD166" i="1"/>
  <c r="AD167" i="1"/>
  <c r="AD168" i="1"/>
  <c r="AD169" i="1"/>
  <c r="AD170" i="1"/>
  <c r="AD171" i="1"/>
  <c r="AD172" i="1"/>
  <c r="AD173" i="1"/>
  <c r="AD174" i="1"/>
  <c r="AD175" i="1"/>
  <c r="AD176" i="1"/>
  <c r="AD177" i="1"/>
  <c r="AD178" i="1"/>
  <c r="AD179" i="1"/>
  <c r="AD180" i="1"/>
  <c r="AD181" i="1"/>
  <c r="AD182" i="1"/>
  <c r="AD183" i="1"/>
  <c r="AD184" i="1"/>
  <c r="AD185" i="1"/>
  <c r="AD186" i="1"/>
  <c r="AD187" i="1"/>
  <c r="AD188" i="1"/>
  <c r="AD189" i="1"/>
  <c r="AD190" i="1"/>
  <c r="AD191" i="1"/>
  <c r="AD192" i="1"/>
  <c r="AD193" i="1"/>
  <c r="AD194" i="1"/>
  <c r="AD195" i="1"/>
  <c r="AD196" i="1"/>
  <c r="AD197" i="1"/>
  <c r="AD198" i="1"/>
  <c r="AD199" i="1"/>
  <c r="AD200" i="1"/>
  <c r="AD9" i="1"/>
  <c r="X10" i="1"/>
  <c r="X11" i="1"/>
  <c r="X12" i="1"/>
  <c r="X13" i="1"/>
  <c r="X14" i="1"/>
  <c r="X15" i="1"/>
  <c r="X17" i="1"/>
  <c r="X18" i="1"/>
  <c r="X19" i="1"/>
  <c r="X20" i="1"/>
  <c r="X21" i="1"/>
  <c r="X22" i="1"/>
  <c r="X23" i="1"/>
  <c r="X25" i="1"/>
  <c r="X26" i="1"/>
  <c r="X27" i="1"/>
  <c r="X28" i="1"/>
  <c r="X29" i="1"/>
  <c r="X30" i="1"/>
  <c r="X31" i="1"/>
  <c r="X33" i="1"/>
  <c r="X34" i="1"/>
  <c r="X35" i="1"/>
  <c r="X37" i="1"/>
  <c r="X38" i="1"/>
  <c r="X39" i="1"/>
  <c r="X40" i="1"/>
  <c r="X41" i="1"/>
  <c r="X43" i="1"/>
  <c r="X44" i="1"/>
  <c r="X45" i="1"/>
  <c r="X46" i="1"/>
  <c r="X48" i="1"/>
  <c r="X49" i="1"/>
  <c r="X50" i="1"/>
  <c r="X51" i="1"/>
  <c r="X52" i="1"/>
  <c r="X53" i="1"/>
  <c r="X54" i="1"/>
  <c r="X56" i="1"/>
  <c r="X57" i="1"/>
  <c r="X58" i="1"/>
  <c r="X59" i="1"/>
  <c r="X60" i="1"/>
  <c r="X62" i="1"/>
  <c r="X63" i="1"/>
  <c r="X64" i="1"/>
  <c r="X65" i="1"/>
  <c r="X67" i="1"/>
  <c r="X68" i="1"/>
  <c r="X69" i="1"/>
  <c r="X70" i="1"/>
  <c r="X71" i="1"/>
  <c r="X72" i="1"/>
  <c r="X74" i="1"/>
  <c r="X75" i="1"/>
  <c r="X76" i="1"/>
  <c r="X77" i="1"/>
  <c r="X78" i="1"/>
  <c r="X79" i="1"/>
  <c r="X80" i="1"/>
  <c r="X82" i="1"/>
  <c r="X83" i="1"/>
  <c r="X84" i="1"/>
  <c r="X86" i="1"/>
  <c r="X87" i="1"/>
  <c r="X88" i="1"/>
  <c r="X89" i="1"/>
  <c r="X90" i="1"/>
  <c r="X91" i="1"/>
  <c r="X92" i="1"/>
  <c r="X93" i="1"/>
  <c r="X94" i="1"/>
  <c r="X95" i="1"/>
  <c r="X96" i="1"/>
  <c r="X97" i="1"/>
  <c r="X98" i="1"/>
  <c r="X99" i="1"/>
  <c r="X100" i="1"/>
  <c r="X101" i="1"/>
  <c r="X102" i="1"/>
  <c r="X103" i="1"/>
  <c r="X104" i="1"/>
  <c r="X105" i="1"/>
  <c r="X106" i="1"/>
  <c r="X107" i="1"/>
  <c r="X108" i="1"/>
  <c r="X109" i="1"/>
  <c r="X110" i="1"/>
  <c r="X111" i="1"/>
  <c r="X112" i="1"/>
  <c r="X113" i="1"/>
  <c r="X114" i="1"/>
  <c r="X115" i="1"/>
  <c r="X116" i="1"/>
  <c r="X117" i="1"/>
  <c r="X118" i="1"/>
  <c r="X119" i="1"/>
  <c r="X120" i="1"/>
  <c r="X121" i="1"/>
  <c r="X122" i="1"/>
  <c r="X123" i="1"/>
  <c r="X124" i="1"/>
  <c r="X125" i="1"/>
  <c r="X126" i="1"/>
  <c r="X127" i="1"/>
  <c r="X128" i="1"/>
  <c r="X129" i="1"/>
  <c r="X130" i="1"/>
  <c r="X131" i="1"/>
  <c r="X132" i="1"/>
  <c r="X133" i="1"/>
  <c r="X134" i="1"/>
  <c r="X135" i="1"/>
  <c r="X136" i="1"/>
  <c r="X137" i="1"/>
  <c r="X138" i="1"/>
  <c r="X139" i="1"/>
  <c r="X140" i="1"/>
  <c r="X141" i="1"/>
  <c r="X142" i="1"/>
  <c r="X143" i="1"/>
  <c r="X144" i="1"/>
  <c r="X145" i="1"/>
  <c r="X146" i="1"/>
  <c r="X147" i="1"/>
  <c r="X148" i="1"/>
  <c r="X149" i="1"/>
  <c r="X150" i="1"/>
  <c r="X151" i="1"/>
  <c r="X152" i="1"/>
  <c r="X153" i="1"/>
  <c r="X154" i="1"/>
  <c r="X155" i="1"/>
  <c r="X156" i="1"/>
  <c r="X157" i="1"/>
  <c r="X158" i="1"/>
  <c r="X159" i="1"/>
  <c r="X160" i="1"/>
  <c r="X161" i="1"/>
  <c r="X162" i="1"/>
  <c r="X163" i="1"/>
  <c r="X164" i="1"/>
  <c r="X165" i="1"/>
  <c r="X166" i="1"/>
  <c r="X167" i="1"/>
  <c r="X168" i="1"/>
  <c r="X169" i="1"/>
  <c r="X170" i="1"/>
  <c r="X171" i="1"/>
  <c r="X172" i="1"/>
  <c r="X173" i="1"/>
  <c r="X174" i="1"/>
  <c r="X175" i="1"/>
  <c r="X176" i="1"/>
  <c r="X177" i="1"/>
  <c r="X178" i="1"/>
  <c r="X179" i="1"/>
  <c r="X180" i="1"/>
  <c r="X181" i="1"/>
  <c r="X182" i="1"/>
  <c r="X183" i="1"/>
  <c r="X184" i="1"/>
  <c r="X185" i="1"/>
  <c r="X186" i="1"/>
  <c r="X187" i="1"/>
  <c r="X188" i="1"/>
  <c r="X189" i="1"/>
  <c r="X190" i="1"/>
  <c r="X191" i="1"/>
  <c r="X192" i="1"/>
  <c r="X193" i="1"/>
  <c r="X194" i="1"/>
  <c r="X195" i="1"/>
  <c r="X196" i="1"/>
  <c r="X197" i="1"/>
  <c r="X198" i="1"/>
  <c r="X199" i="1"/>
  <c r="X200" i="1"/>
  <c r="X9" i="1"/>
  <c r="D90" i="18"/>
  <c r="U10" i="1"/>
  <c r="U11" i="1"/>
  <c r="U12" i="1"/>
  <c r="U13" i="1"/>
  <c r="U14" i="1"/>
  <c r="U15" i="1"/>
  <c r="U17" i="1"/>
  <c r="U18" i="1"/>
  <c r="U19" i="1"/>
  <c r="U20" i="1"/>
  <c r="U21" i="1"/>
  <c r="U22" i="1"/>
  <c r="U23" i="1"/>
  <c r="U25" i="1"/>
  <c r="U26" i="1"/>
  <c r="U27" i="1"/>
  <c r="U28" i="1"/>
  <c r="U29" i="1"/>
  <c r="U30" i="1"/>
  <c r="U31" i="1"/>
  <c r="U33" i="1"/>
  <c r="U34" i="1"/>
  <c r="U35" i="1"/>
  <c r="U37" i="1"/>
  <c r="U38" i="1"/>
  <c r="U39" i="1"/>
  <c r="U40" i="1"/>
  <c r="U41" i="1"/>
  <c r="U43" i="1"/>
  <c r="U44" i="1"/>
  <c r="U45" i="1"/>
  <c r="U46" i="1"/>
  <c r="U48" i="1"/>
  <c r="U49" i="1"/>
  <c r="U50" i="1"/>
  <c r="U51" i="1"/>
  <c r="U52" i="1"/>
  <c r="U53" i="1"/>
  <c r="U54" i="1"/>
  <c r="U56" i="1"/>
  <c r="U57" i="1"/>
  <c r="U58" i="1"/>
  <c r="U59" i="1"/>
  <c r="U60" i="1"/>
  <c r="U62" i="1"/>
  <c r="U63" i="1"/>
  <c r="U64" i="1"/>
  <c r="U65" i="1"/>
  <c r="U67" i="1"/>
  <c r="U68" i="1"/>
  <c r="U69" i="1"/>
  <c r="U70" i="1"/>
  <c r="U71" i="1"/>
  <c r="U72" i="1"/>
  <c r="U74" i="1"/>
  <c r="U75" i="1"/>
  <c r="U76" i="1"/>
  <c r="U77" i="1"/>
  <c r="U78" i="1"/>
  <c r="U79" i="1"/>
  <c r="U80" i="1"/>
  <c r="U82" i="1"/>
  <c r="U83" i="1"/>
  <c r="U84" i="1"/>
  <c r="U86" i="1"/>
  <c r="U87" i="1"/>
  <c r="U88" i="1"/>
  <c r="U89" i="1"/>
  <c r="U90" i="1"/>
  <c r="U91" i="1"/>
  <c r="U92" i="1"/>
  <c r="U93" i="1"/>
  <c r="U94" i="1"/>
  <c r="U95" i="1"/>
  <c r="U96" i="1"/>
  <c r="U97" i="1"/>
  <c r="U98" i="1"/>
  <c r="U99" i="1"/>
  <c r="U100" i="1"/>
  <c r="U101" i="1"/>
  <c r="U102" i="1"/>
  <c r="U103" i="1"/>
  <c r="U104" i="1"/>
  <c r="U105" i="1"/>
  <c r="U106" i="1"/>
  <c r="U107" i="1"/>
  <c r="U108" i="1"/>
  <c r="U109" i="1"/>
  <c r="U110" i="1"/>
  <c r="U111" i="1"/>
  <c r="U112" i="1"/>
  <c r="U113" i="1"/>
  <c r="U114" i="1"/>
  <c r="U115" i="1"/>
  <c r="U116" i="1"/>
  <c r="U117" i="1"/>
  <c r="U118" i="1"/>
  <c r="U119" i="1"/>
  <c r="U120" i="1"/>
  <c r="U121" i="1"/>
  <c r="U122" i="1"/>
  <c r="U123" i="1"/>
  <c r="U124" i="1"/>
  <c r="U125" i="1"/>
  <c r="U126" i="1"/>
  <c r="U127" i="1"/>
  <c r="U128" i="1"/>
  <c r="U129" i="1"/>
  <c r="U130" i="1"/>
  <c r="U131" i="1"/>
  <c r="U132" i="1"/>
  <c r="U133" i="1"/>
  <c r="U134" i="1"/>
  <c r="U135" i="1"/>
  <c r="U136" i="1"/>
  <c r="U137" i="1"/>
  <c r="U138" i="1"/>
  <c r="U139" i="1"/>
  <c r="U140" i="1"/>
  <c r="U141" i="1"/>
  <c r="U142" i="1"/>
  <c r="U143" i="1"/>
  <c r="U144" i="1"/>
  <c r="U145" i="1"/>
  <c r="U146" i="1"/>
  <c r="U147" i="1"/>
  <c r="U148" i="1"/>
  <c r="U149" i="1"/>
  <c r="U150" i="1"/>
  <c r="U151" i="1"/>
  <c r="U152" i="1"/>
  <c r="U153" i="1"/>
  <c r="U154" i="1"/>
  <c r="U155" i="1"/>
  <c r="U156" i="1"/>
  <c r="U157" i="1"/>
  <c r="U158" i="1"/>
  <c r="U159" i="1"/>
  <c r="U160" i="1"/>
  <c r="U161" i="1"/>
  <c r="U162" i="1"/>
  <c r="U163" i="1"/>
  <c r="U164" i="1"/>
  <c r="U165" i="1"/>
  <c r="U166" i="1"/>
  <c r="U167" i="1"/>
  <c r="U168" i="1"/>
  <c r="U169" i="1"/>
  <c r="U170" i="1"/>
  <c r="U171" i="1"/>
  <c r="U172" i="1"/>
  <c r="U173" i="1"/>
  <c r="U174" i="1"/>
  <c r="U175" i="1"/>
  <c r="U176" i="1"/>
  <c r="U177" i="1"/>
  <c r="U178" i="1"/>
  <c r="U179" i="1"/>
  <c r="U180" i="1"/>
  <c r="U181" i="1"/>
  <c r="U182" i="1"/>
  <c r="U183" i="1"/>
  <c r="U184" i="1"/>
  <c r="U185" i="1"/>
  <c r="U186" i="1"/>
  <c r="U187" i="1"/>
  <c r="U188" i="1"/>
  <c r="U189" i="1"/>
  <c r="U190" i="1"/>
  <c r="U191" i="1"/>
  <c r="U192" i="1"/>
  <c r="U193" i="1"/>
  <c r="U194" i="1"/>
  <c r="U195" i="1"/>
  <c r="U196" i="1"/>
  <c r="U197" i="1"/>
  <c r="U198" i="1"/>
  <c r="U199" i="1"/>
  <c r="U200" i="1"/>
  <c r="U9" i="1"/>
  <c r="AC10" i="1"/>
  <c r="AC11" i="1"/>
  <c r="AC12" i="1"/>
  <c r="AC13" i="1"/>
  <c r="AC14" i="1"/>
  <c r="AC15" i="1"/>
  <c r="AC17" i="1"/>
  <c r="AC18" i="1"/>
  <c r="AC19" i="1"/>
  <c r="AC20" i="1"/>
  <c r="AC21" i="1"/>
  <c r="AC22" i="1"/>
  <c r="AC23" i="1"/>
  <c r="AC25" i="1"/>
  <c r="AC26" i="1"/>
  <c r="AC27" i="1"/>
  <c r="AC28" i="1"/>
  <c r="AC29" i="1"/>
  <c r="AC30" i="1"/>
  <c r="AC31" i="1"/>
  <c r="AC33" i="1"/>
  <c r="AC34" i="1"/>
  <c r="AC35" i="1"/>
  <c r="AC37" i="1"/>
  <c r="AC38" i="1"/>
  <c r="AC39" i="1"/>
  <c r="AC40" i="1"/>
  <c r="AC41" i="1"/>
  <c r="AC43" i="1"/>
  <c r="AC44" i="1"/>
  <c r="AC45" i="1"/>
  <c r="AC46" i="1"/>
  <c r="AC48" i="1"/>
  <c r="AC49" i="1"/>
  <c r="AC50" i="1"/>
  <c r="AC51" i="1"/>
  <c r="AC52" i="1"/>
  <c r="AC53" i="1"/>
  <c r="AC54" i="1"/>
  <c r="AC56" i="1"/>
  <c r="AC57" i="1"/>
  <c r="AC58" i="1"/>
  <c r="AC59" i="1"/>
  <c r="AC60" i="1"/>
  <c r="AC62" i="1"/>
  <c r="AC63" i="1"/>
  <c r="AC64" i="1"/>
  <c r="AC65" i="1"/>
  <c r="AC67" i="1"/>
  <c r="AC68" i="1"/>
  <c r="AC69" i="1"/>
  <c r="AC70" i="1"/>
  <c r="AC71" i="1"/>
  <c r="AC72" i="1"/>
  <c r="AC74" i="1"/>
  <c r="AC75" i="1"/>
  <c r="AC76" i="1"/>
  <c r="AC77" i="1"/>
  <c r="AC78" i="1"/>
  <c r="AC79" i="1"/>
  <c r="AC80" i="1"/>
  <c r="AC82" i="1"/>
  <c r="AC83" i="1"/>
  <c r="AC84" i="1"/>
  <c r="AC86" i="1"/>
  <c r="AC87" i="1"/>
  <c r="AC88" i="1"/>
  <c r="AC89" i="1"/>
  <c r="AC90" i="1"/>
  <c r="AC91" i="1"/>
  <c r="AC92" i="1"/>
  <c r="AC93" i="1"/>
  <c r="AC94" i="1"/>
  <c r="AC95" i="1"/>
  <c r="AC96" i="1"/>
  <c r="AC97" i="1"/>
  <c r="AC98" i="1"/>
  <c r="AC99" i="1"/>
  <c r="AC100" i="1"/>
  <c r="AC101" i="1"/>
  <c r="AC102" i="1"/>
  <c r="AC103" i="1"/>
  <c r="AC104" i="1"/>
  <c r="AC105" i="1"/>
  <c r="AC106" i="1"/>
  <c r="AC107" i="1"/>
  <c r="AC108" i="1"/>
  <c r="AC109" i="1"/>
  <c r="AC110" i="1"/>
  <c r="AC111" i="1"/>
  <c r="AC112" i="1"/>
  <c r="AC113" i="1"/>
  <c r="AC114" i="1"/>
  <c r="AC115" i="1"/>
  <c r="AC116" i="1"/>
  <c r="AC117" i="1"/>
  <c r="AC118" i="1"/>
  <c r="AC119" i="1"/>
  <c r="AC120" i="1"/>
  <c r="AC121" i="1"/>
  <c r="AC122" i="1"/>
  <c r="AC123" i="1"/>
  <c r="AC124" i="1"/>
  <c r="AC125" i="1"/>
  <c r="AC126" i="1"/>
  <c r="AC127" i="1"/>
  <c r="AC128" i="1"/>
  <c r="AC129" i="1"/>
  <c r="AC130" i="1"/>
  <c r="AC131" i="1"/>
  <c r="AC132" i="1"/>
  <c r="AC133" i="1"/>
  <c r="AC134" i="1"/>
  <c r="AC135" i="1"/>
  <c r="AC136" i="1"/>
  <c r="AC137" i="1"/>
  <c r="AC138" i="1"/>
  <c r="AC139" i="1"/>
  <c r="AC140" i="1"/>
  <c r="AC141" i="1"/>
  <c r="AC142" i="1"/>
  <c r="AC143" i="1"/>
  <c r="AC144" i="1"/>
  <c r="AC145" i="1"/>
  <c r="AC146" i="1"/>
  <c r="AC147" i="1"/>
  <c r="AC148" i="1"/>
  <c r="AC149" i="1"/>
  <c r="AC150" i="1"/>
  <c r="AC151" i="1"/>
  <c r="AC152" i="1"/>
  <c r="AC153" i="1"/>
  <c r="AC154" i="1"/>
  <c r="AC155" i="1"/>
  <c r="AC156" i="1"/>
  <c r="AC157" i="1"/>
  <c r="AC158" i="1"/>
  <c r="AC159" i="1"/>
  <c r="AC160" i="1"/>
  <c r="AC161" i="1"/>
  <c r="AC162" i="1"/>
  <c r="AC163" i="1"/>
  <c r="AC164" i="1"/>
  <c r="AC165" i="1"/>
  <c r="AC166" i="1"/>
  <c r="AC167" i="1"/>
  <c r="AC168" i="1"/>
  <c r="AC169" i="1"/>
  <c r="AC170" i="1"/>
  <c r="AC171" i="1"/>
  <c r="AC172" i="1"/>
  <c r="AC173" i="1"/>
  <c r="AC174" i="1"/>
  <c r="AC175" i="1"/>
  <c r="AC176" i="1"/>
  <c r="AC177" i="1"/>
  <c r="AC178" i="1"/>
  <c r="AC179" i="1"/>
  <c r="AC180" i="1"/>
  <c r="AC181" i="1"/>
  <c r="AC182" i="1"/>
  <c r="AC183" i="1"/>
  <c r="AC184" i="1"/>
  <c r="AC185" i="1"/>
  <c r="AC186" i="1"/>
  <c r="AC187" i="1"/>
  <c r="AC188" i="1"/>
  <c r="AC189" i="1"/>
  <c r="AC190" i="1"/>
  <c r="AC191" i="1"/>
  <c r="AC192" i="1"/>
  <c r="AC193" i="1"/>
  <c r="AC194" i="1"/>
  <c r="AC195" i="1"/>
  <c r="AC196" i="1"/>
  <c r="AC197" i="1"/>
  <c r="AC198" i="1"/>
  <c r="AC199" i="1"/>
  <c r="AC200" i="1"/>
  <c r="AC9" i="1"/>
  <c r="T10" i="1"/>
  <c r="T11" i="1"/>
  <c r="T12" i="1"/>
  <c r="T13" i="1"/>
  <c r="T14" i="1"/>
  <c r="T15" i="1"/>
  <c r="T17" i="1"/>
  <c r="T18" i="1"/>
  <c r="T19" i="1"/>
  <c r="T20" i="1"/>
  <c r="T21" i="1"/>
  <c r="T22" i="1"/>
  <c r="T23" i="1"/>
  <c r="T25" i="1"/>
  <c r="T26" i="1"/>
  <c r="T27" i="1"/>
  <c r="T28" i="1"/>
  <c r="T29" i="1"/>
  <c r="T30" i="1"/>
  <c r="T31" i="1"/>
  <c r="T33" i="1"/>
  <c r="T34" i="1"/>
  <c r="T35" i="1"/>
  <c r="T37" i="1"/>
  <c r="T38" i="1"/>
  <c r="T39" i="1"/>
  <c r="T40" i="1"/>
  <c r="T41" i="1"/>
  <c r="T43" i="1"/>
  <c r="T44" i="1"/>
  <c r="T45" i="1"/>
  <c r="T46" i="1"/>
  <c r="T48" i="1"/>
  <c r="T49" i="1"/>
  <c r="T50" i="1"/>
  <c r="T51" i="1"/>
  <c r="T52" i="1"/>
  <c r="T53" i="1"/>
  <c r="T54" i="1"/>
  <c r="T56" i="1"/>
  <c r="T57" i="1"/>
  <c r="T58" i="1"/>
  <c r="T59" i="1"/>
  <c r="T60" i="1"/>
  <c r="T62" i="1"/>
  <c r="T63" i="1"/>
  <c r="T64" i="1"/>
  <c r="T65" i="1"/>
  <c r="T67" i="1"/>
  <c r="T68" i="1"/>
  <c r="T69" i="1"/>
  <c r="T70" i="1"/>
  <c r="T71" i="1"/>
  <c r="T72" i="1"/>
  <c r="T74" i="1"/>
  <c r="T75" i="1"/>
  <c r="T76" i="1"/>
  <c r="T77" i="1"/>
  <c r="T78" i="1"/>
  <c r="T79" i="1"/>
  <c r="T80" i="1"/>
  <c r="T82" i="1"/>
  <c r="T83" i="1"/>
  <c r="T84" i="1"/>
  <c r="T86" i="1"/>
  <c r="T87" i="1"/>
  <c r="T88" i="1"/>
  <c r="T89" i="1"/>
  <c r="T90" i="1"/>
  <c r="T91" i="1"/>
  <c r="T92" i="1"/>
  <c r="T93" i="1"/>
  <c r="T94" i="1"/>
  <c r="T95" i="1"/>
  <c r="T96" i="1"/>
  <c r="T97" i="1"/>
  <c r="T98" i="1"/>
  <c r="T99" i="1"/>
  <c r="T100" i="1"/>
  <c r="T101" i="1"/>
  <c r="T102" i="1"/>
  <c r="T103" i="1"/>
  <c r="T104" i="1"/>
  <c r="T105" i="1"/>
  <c r="T106" i="1"/>
  <c r="T107" i="1"/>
  <c r="T108" i="1"/>
  <c r="T109" i="1"/>
  <c r="T110" i="1"/>
  <c r="T111" i="1"/>
  <c r="T112" i="1"/>
  <c r="T113" i="1"/>
  <c r="T114" i="1"/>
  <c r="T115" i="1"/>
  <c r="T116" i="1"/>
  <c r="T117" i="1"/>
  <c r="T118" i="1"/>
  <c r="T119" i="1"/>
  <c r="T120" i="1"/>
  <c r="T121" i="1"/>
  <c r="T122" i="1"/>
  <c r="T123" i="1"/>
  <c r="T124" i="1"/>
  <c r="T125" i="1"/>
  <c r="T126" i="1"/>
  <c r="T127" i="1"/>
  <c r="T128" i="1"/>
  <c r="T129" i="1"/>
  <c r="T130" i="1"/>
  <c r="T131" i="1"/>
  <c r="T132" i="1"/>
  <c r="T133" i="1"/>
  <c r="T134" i="1"/>
  <c r="T135" i="1"/>
  <c r="T136" i="1"/>
  <c r="T137" i="1"/>
  <c r="T138" i="1"/>
  <c r="T139" i="1"/>
  <c r="T140" i="1"/>
  <c r="T141" i="1"/>
  <c r="T142" i="1"/>
  <c r="T143" i="1"/>
  <c r="T144" i="1"/>
  <c r="T145" i="1"/>
  <c r="T146" i="1"/>
  <c r="T147" i="1"/>
  <c r="T148" i="1"/>
  <c r="T149" i="1"/>
  <c r="T150" i="1"/>
  <c r="T151" i="1"/>
  <c r="T152" i="1"/>
  <c r="T153" i="1"/>
  <c r="T154" i="1"/>
  <c r="T155" i="1"/>
  <c r="T156" i="1"/>
  <c r="T157" i="1"/>
  <c r="T158" i="1"/>
  <c r="T159" i="1"/>
  <c r="T160" i="1"/>
  <c r="T161" i="1"/>
  <c r="T162" i="1"/>
  <c r="T163" i="1"/>
  <c r="T164" i="1"/>
  <c r="T165" i="1"/>
  <c r="T166" i="1"/>
  <c r="T167" i="1"/>
  <c r="T168" i="1"/>
  <c r="T169" i="1"/>
  <c r="T170" i="1"/>
  <c r="T171" i="1"/>
  <c r="T172" i="1"/>
  <c r="T173" i="1"/>
  <c r="T174" i="1"/>
  <c r="T175" i="1"/>
  <c r="T176" i="1"/>
  <c r="T177" i="1"/>
  <c r="T178" i="1"/>
  <c r="T179" i="1"/>
  <c r="T180" i="1"/>
  <c r="T181" i="1"/>
  <c r="T182" i="1"/>
  <c r="T183" i="1"/>
  <c r="T184" i="1"/>
  <c r="T185" i="1"/>
  <c r="T186" i="1"/>
  <c r="T187" i="1"/>
  <c r="T188" i="1"/>
  <c r="T189" i="1"/>
  <c r="T190" i="1"/>
  <c r="T191" i="1"/>
  <c r="T192" i="1"/>
  <c r="T193" i="1"/>
  <c r="T194" i="1"/>
  <c r="T195" i="1"/>
  <c r="T196" i="1"/>
  <c r="T197" i="1"/>
  <c r="T198" i="1"/>
  <c r="T199" i="1"/>
  <c r="T200" i="1"/>
  <c r="T9" i="1"/>
  <c r="D91" i="17"/>
  <c r="D93" i="2"/>
  <c r="N10" i="1"/>
  <c r="N11" i="1"/>
  <c r="N12" i="1"/>
  <c r="N13" i="1"/>
  <c r="N14" i="1"/>
  <c r="N15" i="1"/>
  <c r="N17" i="1"/>
  <c r="N18" i="1"/>
  <c r="N19" i="1"/>
  <c r="N20" i="1"/>
  <c r="N21" i="1"/>
  <c r="N22" i="1"/>
  <c r="N23" i="1"/>
  <c r="N25" i="1"/>
  <c r="N26" i="1"/>
  <c r="N27" i="1"/>
  <c r="N28" i="1"/>
  <c r="N29" i="1"/>
  <c r="N30" i="1"/>
  <c r="N31" i="1"/>
  <c r="N33" i="1"/>
  <c r="N34" i="1"/>
  <c r="N35" i="1"/>
  <c r="N37" i="1"/>
  <c r="N38" i="1"/>
  <c r="N39" i="1"/>
  <c r="N40" i="1"/>
  <c r="N41" i="1"/>
  <c r="N43" i="1"/>
  <c r="N44" i="1"/>
  <c r="N45" i="1"/>
  <c r="N46" i="1"/>
  <c r="N48" i="1"/>
  <c r="N49" i="1"/>
  <c r="N50" i="1"/>
  <c r="N51" i="1"/>
  <c r="N52" i="1"/>
  <c r="N53" i="1"/>
  <c r="N54" i="1"/>
  <c r="N56" i="1"/>
  <c r="N57" i="1"/>
  <c r="N58" i="1"/>
  <c r="N59" i="1"/>
  <c r="N60" i="1"/>
  <c r="N62" i="1"/>
  <c r="N63" i="1"/>
  <c r="N64" i="1"/>
  <c r="N65" i="1"/>
  <c r="N67" i="1"/>
  <c r="N68" i="1"/>
  <c r="N69" i="1"/>
  <c r="N70" i="1"/>
  <c r="N71" i="1"/>
  <c r="N72" i="1"/>
  <c r="N74" i="1"/>
  <c r="N75" i="1"/>
  <c r="N76" i="1"/>
  <c r="N77" i="1"/>
  <c r="N78" i="1"/>
  <c r="N79" i="1"/>
  <c r="N80" i="1"/>
  <c r="N82" i="1"/>
  <c r="N83" i="1"/>
  <c r="N84" i="1"/>
  <c r="N86" i="1"/>
  <c r="N87" i="1"/>
  <c r="N88" i="1"/>
  <c r="N89" i="1"/>
  <c r="N90" i="1"/>
  <c r="N91" i="1"/>
  <c r="N92" i="1"/>
  <c r="N93" i="1"/>
  <c r="N94" i="1"/>
  <c r="N95" i="1"/>
  <c r="N96" i="1"/>
  <c r="N97" i="1"/>
  <c r="N98" i="1"/>
  <c r="N99" i="1"/>
  <c r="N100" i="1"/>
  <c r="N101" i="1"/>
  <c r="N102" i="1"/>
  <c r="N103" i="1"/>
  <c r="N104" i="1"/>
  <c r="N105" i="1"/>
  <c r="N106" i="1"/>
  <c r="N107" i="1"/>
  <c r="N108" i="1"/>
  <c r="N109" i="1"/>
  <c r="N110" i="1"/>
  <c r="N111" i="1"/>
  <c r="N112" i="1"/>
  <c r="N113" i="1"/>
  <c r="N114" i="1"/>
  <c r="N115" i="1"/>
  <c r="N116" i="1"/>
  <c r="N117" i="1"/>
  <c r="N118" i="1"/>
  <c r="N119" i="1"/>
  <c r="N120" i="1"/>
  <c r="N121" i="1"/>
  <c r="N122" i="1"/>
  <c r="N123" i="1"/>
  <c r="N124" i="1"/>
  <c r="N125" i="1"/>
  <c r="N126" i="1"/>
  <c r="N127" i="1"/>
  <c r="N128" i="1"/>
  <c r="N129" i="1"/>
  <c r="N130" i="1"/>
  <c r="N131" i="1"/>
  <c r="N132" i="1"/>
  <c r="N133" i="1"/>
  <c r="N134" i="1"/>
  <c r="N135" i="1"/>
  <c r="N136" i="1"/>
  <c r="N137" i="1"/>
  <c r="N138" i="1"/>
  <c r="N139" i="1"/>
  <c r="N140" i="1"/>
  <c r="N141" i="1"/>
  <c r="N142" i="1"/>
  <c r="N143" i="1"/>
  <c r="N144" i="1"/>
  <c r="N145" i="1"/>
  <c r="N146" i="1"/>
  <c r="N147" i="1"/>
  <c r="N148" i="1"/>
  <c r="N149" i="1"/>
  <c r="N150" i="1"/>
  <c r="N151" i="1"/>
  <c r="N152" i="1"/>
  <c r="N153" i="1"/>
  <c r="N154" i="1"/>
  <c r="N155" i="1"/>
  <c r="N156" i="1"/>
  <c r="N157" i="1"/>
  <c r="N158" i="1"/>
  <c r="N159" i="1"/>
  <c r="N160" i="1"/>
  <c r="N161" i="1"/>
  <c r="N162" i="1"/>
  <c r="N163" i="1"/>
  <c r="N164" i="1"/>
  <c r="N165" i="1"/>
  <c r="N166" i="1"/>
  <c r="N167" i="1"/>
  <c r="N168" i="1"/>
  <c r="N169" i="1"/>
  <c r="N170" i="1"/>
  <c r="N171" i="1"/>
  <c r="N172" i="1"/>
  <c r="N173" i="1"/>
  <c r="N174" i="1"/>
  <c r="N175" i="1"/>
  <c r="N176" i="1"/>
  <c r="N177" i="1"/>
  <c r="N178" i="1"/>
  <c r="N179" i="1"/>
  <c r="N180" i="1"/>
  <c r="N181" i="1"/>
  <c r="N182" i="1"/>
  <c r="N183" i="1"/>
  <c r="N184" i="1"/>
  <c r="N185" i="1"/>
  <c r="N186" i="1"/>
  <c r="N187" i="1"/>
  <c r="N188" i="1"/>
  <c r="N189" i="1"/>
  <c r="N190" i="1"/>
  <c r="N191" i="1"/>
  <c r="N192" i="1"/>
  <c r="N193" i="1"/>
  <c r="N194" i="1"/>
  <c r="N195" i="1"/>
  <c r="N196" i="1"/>
  <c r="N197" i="1"/>
  <c r="N198" i="1"/>
  <c r="N199" i="1"/>
  <c r="N200" i="1"/>
  <c r="N9" i="1"/>
  <c r="AA10" i="1"/>
  <c r="AA11" i="1"/>
  <c r="AA12" i="1"/>
  <c r="AA13" i="1"/>
  <c r="AA14" i="1"/>
  <c r="AA15" i="1"/>
  <c r="AA17" i="1"/>
  <c r="AA18" i="1"/>
  <c r="AA19" i="1"/>
  <c r="AA20" i="1"/>
  <c r="AA21" i="1"/>
  <c r="AA22" i="1"/>
  <c r="AA23" i="1"/>
  <c r="AA25" i="1"/>
  <c r="AA26" i="1"/>
  <c r="AA27" i="1"/>
  <c r="AA28" i="1"/>
  <c r="AA29" i="1"/>
  <c r="AA30" i="1"/>
  <c r="AA31" i="1"/>
  <c r="AA33" i="1"/>
  <c r="AA34" i="1"/>
  <c r="AA35" i="1"/>
  <c r="AA37" i="1"/>
  <c r="AA38" i="1"/>
  <c r="AA39" i="1"/>
  <c r="AA40" i="1"/>
  <c r="AA41" i="1"/>
  <c r="AA43" i="1"/>
  <c r="AA44" i="1"/>
  <c r="AA45" i="1"/>
  <c r="AA46" i="1"/>
  <c r="AA48" i="1"/>
  <c r="AA49" i="1"/>
  <c r="AA50" i="1"/>
  <c r="AA51" i="1"/>
  <c r="AA52" i="1"/>
  <c r="AA53" i="1"/>
  <c r="AA54" i="1"/>
  <c r="AA56" i="1"/>
  <c r="AA57" i="1"/>
  <c r="AA58" i="1"/>
  <c r="AA59" i="1"/>
  <c r="AA60" i="1"/>
  <c r="AA62" i="1"/>
  <c r="AA63" i="1"/>
  <c r="AA64" i="1"/>
  <c r="AA65" i="1"/>
  <c r="AA67" i="1"/>
  <c r="AA68" i="1"/>
  <c r="AA69" i="1"/>
  <c r="AA70" i="1"/>
  <c r="AA71" i="1"/>
  <c r="AA72" i="1"/>
  <c r="AA74" i="1"/>
  <c r="AA75" i="1"/>
  <c r="AA76" i="1"/>
  <c r="AA77" i="1"/>
  <c r="AA78" i="1"/>
  <c r="AA79" i="1"/>
  <c r="AA80" i="1"/>
  <c r="AA82" i="1"/>
  <c r="AA83" i="1"/>
  <c r="AA84" i="1"/>
  <c r="AA86" i="1"/>
  <c r="AA87" i="1"/>
  <c r="AA88" i="1"/>
  <c r="AA89" i="1"/>
  <c r="AA90" i="1"/>
  <c r="AA91" i="1"/>
  <c r="AA92" i="1"/>
  <c r="AA93" i="1"/>
  <c r="AA94" i="1"/>
  <c r="AA95" i="1"/>
  <c r="AA96" i="1"/>
  <c r="AA97" i="1"/>
  <c r="AA98" i="1"/>
  <c r="AA99" i="1"/>
  <c r="AA100" i="1"/>
  <c r="AA101" i="1"/>
  <c r="AA102" i="1"/>
  <c r="AA103" i="1"/>
  <c r="AA104" i="1"/>
  <c r="AA105" i="1"/>
  <c r="AA106" i="1"/>
  <c r="AA107" i="1"/>
  <c r="AA108" i="1"/>
  <c r="AA109" i="1"/>
  <c r="AA110" i="1"/>
  <c r="AA111" i="1"/>
  <c r="AA112" i="1"/>
  <c r="AA113" i="1"/>
  <c r="AA114" i="1"/>
  <c r="AA115" i="1"/>
  <c r="AA116" i="1"/>
  <c r="AA117" i="1"/>
  <c r="AA118" i="1"/>
  <c r="AA119" i="1"/>
  <c r="AA120" i="1"/>
  <c r="AA121" i="1"/>
  <c r="AA122" i="1"/>
  <c r="AA123" i="1"/>
  <c r="AA124" i="1"/>
  <c r="AA125" i="1"/>
  <c r="AA126" i="1"/>
  <c r="AA127" i="1"/>
  <c r="AA128" i="1"/>
  <c r="AA129" i="1"/>
  <c r="AA130" i="1"/>
  <c r="AA131" i="1"/>
  <c r="AA132" i="1"/>
  <c r="AA133" i="1"/>
  <c r="AA134" i="1"/>
  <c r="AA135" i="1"/>
  <c r="AA136" i="1"/>
  <c r="AA137" i="1"/>
  <c r="AA138" i="1"/>
  <c r="AA139" i="1"/>
  <c r="AA140" i="1"/>
  <c r="AA141" i="1"/>
  <c r="AA142" i="1"/>
  <c r="AA143" i="1"/>
  <c r="AA144" i="1"/>
  <c r="AA145" i="1"/>
  <c r="AA146" i="1"/>
  <c r="AA147" i="1"/>
  <c r="AA148" i="1"/>
  <c r="AA149" i="1"/>
  <c r="AA150" i="1"/>
  <c r="AA151" i="1"/>
  <c r="AA152" i="1"/>
  <c r="AA153" i="1"/>
  <c r="AA154" i="1"/>
  <c r="AA155" i="1"/>
  <c r="AA156" i="1"/>
  <c r="AA157" i="1"/>
  <c r="AA158" i="1"/>
  <c r="AA159" i="1"/>
  <c r="AA160" i="1"/>
  <c r="AA161" i="1"/>
  <c r="AA162" i="1"/>
  <c r="AA163" i="1"/>
  <c r="AA164" i="1"/>
  <c r="AA165" i="1"/>
  <c r="AA166" i="1"/>
  <c r="AA167" i="1"/>
  <c r="AA168" i="1"/>
  <c r="AA169" i="1"/>
  <c r="AA170" i="1"/>
  <c r="AA171" i="1"/>
  <c r="AA172" i="1"/>
  <c r="AA173" i="1"/>
  <c r="AA174" i="1"/>
  <c r="AA175" i="1"/>
  <c r="AA176" i="1"/>
  <c r="AA177" i="1"/>
  <c r="AA178" i="1"/>
  <c r="AA179" i="1"/>
  <c r="AA180" i="1"/>
  <c r="AA181" i="1"/>
  <c r="AA182" i="1"/>
  <c r="AA183" i="1"/>
  <c r="AA184" i="1"/>
  <c r="AA185" i="1"/>
  <c r="AA186" i="1"/>
  <c r="AA187" i="1"/>
  <c r="AA188" i="1"/>
  <c r="AA189" i="1"/>
  <c r="AA190" i="1"/>
  <c r="AA191" i="1"/>
  <c r="AA192" i="1"/>
  <c r="AA193" i="1"/>
  <c r="AA194" i="1"/>
  <c r="AA195" i="1"/>
  <c r="AA196" i="1"/>
  <c r="AA197" i="1"/>
  <c r="AA198" i="1"/>
  <c r="AA199" i="1"/>
  <c r="AA200" i="1"/>
  <c r="AA9" i="1"/>
  <c r="Q10" i="1"/>
  <c r="Q11" i="1"/>
  <c r="Q12" i="1"/>
  <c r="Q13" i="1"/>
  <c r="Q14" i="1"/>
  <c r="Q15" i="1"/>
  <c r="Q17" i="1"/>
  <c r="Q18" i="1"/>
  <c r="Q19" i="1"/>
  <c r="Q20" i="1"/>
  <c r="Q21" i="1"/>
  <c r="Q22" i="1"/>
  <c r="Q23" i="1"/>
  <c r="Q25" i="1"/>
  <c r="Q26" i="1"/>
  <c r="Q27" i="1"/>
  <c r="Q28" i="1"/>
  <c r="Q29" i="1"/>
  <c r="Q30" i="1"/>
  <c r="Q31" i="1"/>
  <c r="Q33" i="1"/>
  <c r="Q34" i="1"/>
  <c r="Q35" i="1"/>
  <c r="Q37" i="1"/>
  <c r="Q38" i="1"/>
  <c r="Q39" i="1"/>
  <c r="Q40" i="1"/>
  <c r="Q41" i="1"/>
  <c r="Q43" i="1"/>
  <c r="Q44" i="1"/>
  <c r="Q45" i="1"/>
  <c r="Q46" i="1"/>
  <c r="Q48" i="1"/>
  <c r="Q49" i="1"/>
  <c r="Q50" i="1"/>
  <c r="Q51" i="1"/>
  <c r="Q52" i="1"/>
  <c r="Q53" i="1"/>
  <c r="Q54" i="1"/>
  <c r="Q56" i="1"/>
  <c r="Q57" i="1"/>
  <c r="Q58" i="1"/>
  <c r="Q59" i="1"/>
  <c r="Q60" i="1"/>
  <c r="Q62" i="1"/>
  <c r="Q63" i="1"/>
  <c r="Q64" i="1"/>
  <c r="Q65" i="1"/>
  <c r="Q67" i="1"/>
  <c r="Q68" i="1"/>
  <c r="Q69" i="1"/>
  <c r="Q70" i="1"/>
  <c r="Q71" i="1"/>
  <c r="Q72" i="1"/>
  <c r="Q74" i="1"/>
  <c r="Q75" i="1"/>
  <c r="Q76" i="1"/>
  <c r="Q77" i="1"/>
  <c r="Q78" i="1"/>
  <c r="Q79" i="1"/>
  <c r="Q80" i="1"/>
  <c r="Q82" i="1"/>
  <c r="Q83" i="1"/>
  <c r="Q84" i="1"/>
  <c r="Q86" i="1"/>
  <c r="Q87" i="1"/>
  <c r="Q88" i="1"/>
  <c r="Q89" i="1"/>
  <c r="Q90" i="1"/>
  <c r="Q91" i="1"/>
  <c r="Q92" i="1"/>
  <c r="Q93" i="1"/>
  <c r="Q94" i="1"/>
  <c r="Q95" i="1"/>
  <c r="Q96" i="1"/>
  <c r="Q97" i="1"/>
  <c r="Q98" i="1"/>
  <c r="Q99" i="1"/>
  <c r="Q100" i="1"/>
  <c r="Q101" i="1"/>
  <c r="Q102" i="1"/>
  <c r="Q103" i="1"/>
  <c r="Q104" i="1"/>
  <c r="Q105" i="1"/>
  <c r="Q106" i="1"/>
  <c r="Q107" i="1"/>
  <c r="Q108" i="1"/>
  <c r="Q109" i="1"/>
  <c r="Q110" i="1"/>
  <c r="Q111" i="1"/>
  <c r="Q112" i="1"/>
  <c r="Q113" i="1"/>
  <c r="Q114" i="1"/>
  <c r="Q115" i="1"/>
  <c r="Q116" i="1"/>
  <c r="Q117" i="1"/>
  <c r="Q118" i="1"/>
  <c r="Q119" i="1"/>
  <c r="Q120" i="1"/>
  <c r="Q121" i="1"/>
  <c r="Q122" i="1"/>
  <c r="Q123" i="1"/>
  <c r="Q124" i="1"/>
  <c r="Q125" i="1"/>
  <c r="Q126" i="1"/>
  <c r="Q127" i="1"/>
  <c r="Q128" i="1"/>
  <c r="Q129" i="1"/>
  <c r="Q130" i="1"/>
  <c r="Q131" i="1"/>
  <c r="Q132" i="1"/>
  <c r="Q133" i="1"/>
  <c r="Q134" i="1"/>
  <c r="Q135" i="1"/>
  <c r="Q136" i="1"/>
  <c r="Q137" i="1"/>
  <c r="Q138" i="1"/>
  <c r="Q139" i="1"/>
  <c r="Q140" i="1"/>
  <c r="Q141" i="1"/>
  <c r="Q142" i="1"/>
  <c r="Q143" i="1"/>
  <c r="Q144" i="1"/>
  <c r="Q145" i="1"/>
  <c r="Q146" i="1"/>
  <c r="Q147" i="1"/>
  <c r="Q148" i="1"/>
  <c r="Q149" i="1"/>
  <c r="Q150" i="1"/>
  <c r="Q151" i="1"/>
  <c r="Q152" i="1"/>
  <c r="Q153" i="1"/>
  <c r="Q154" i="1"/>
  <c r="Q155" i="1"/>
  <c r="Q156" i="1"/>
  <c r="Q157" i="1"/>
  <c r="Q158" i="1"/>
  <c r="Q159" i="1"/>
  <c r="Q160" i="1"/>
  <c r="Q161" i="1"/>
  <c r="Q162" i="1"/>
  <c r="Q163" i="1"/>
  <c r="Q164" i="1"/>
  <c r="Q165" i="1"/>
  <c r="Q166" i="1"/>
  <c r="Q167" i="1"/>
  <c r="Q168" i="1"/>
  <c r="Q169" i="1"/>
  <c r="Q170" i="1"/>
  <c r="Q171" i="1"/>
  <c r="Q172" i="1"/>
  <c r="Q173" i="1"/>
  <c r="Q174" i="1"/>
  <c r="Q175" i="1"/>
  <c r="Q176" i="1"/>
  <c r="Q177" i="1"/>
  <c r="Q178" i="1"/>
  <c r="Q179" i="1"/>
  <c r="Q180" i="1"/>
  <c r="Q181" i="1"/>
  <c r="Q182" i="1"/>
  <c r="Q183" i="1"/>
  <c r="Q184" i="1"/>
  <c r="Q185" i="1"/>
  <c r="Q186" i="1"/>
  <c r="Q187" i="1"/>
  <c r="Q188" i="1"/>
  <c r="Q189" i="1"/>
  <c r="Q190" i="1"/>
  <c r="Q191" i="1"/>
  <c r="Q192" i="1"/>
  <c r="Q193" i="1"/>
  <c r="Q194" i="1"/>
  <c r="Q195" i="1"/>
  <c r="Q196" i="1"/>
  <c r="Q197" i="1"/>
  <c r="Q198" i="1"/>
  <c r="Q199" i="1"/>
  <c r="Q200" i="1"/>
  <c r="Q9" i="1"/>
  <c r="R10" i="1"/>
  <c r="R11" i="1"/>
  <c r="R12" i="1"/>
  <c r="R13" i="1"/>
  <c r="R14" i="1"/>
  <c r="R15" i="1"/>
  <c r="R17" i="1"/>
  <c r="R18" i="1"/>
  <c r="R19" i="1"/>
  <c r="R20" i="1"/>
  <c r="R21" i="1"/>
  <c r="R22" i="1"/>
  <c r="R23" i="1"/>
  <c r="R25" i="1"/>
  <c r="R26" i="1"/>
  <c r="R27" i="1"/>
  <c r="R28" i="1"/>
  <c r="R29" i="1"/>
  <c r="R30" i="1"/>
  <c r="R31" i="1"/>
  <c r="R33" i="1"/>
  <c r="R34" i="1"/>
  <c r="R35" i="1"/>
  <c r="R37" i="1"/>
  <c r="R38" i="1"/>
  <c r="R39" i="1"/>
  <c r="R40" i="1"/>
  <c r="R41" i="1"/>
  <c r="R43" i="1"/>
  <c r="R44" i="1"/>
  <c r="R45" i="1"/>
  <c r="R46" i="1"/>
  <c r="R48" i="1"/>
  <c r="R49" i="1"/>
  <c r="R50" i="1"/>
  <c r="R51" i="1"/>
  <c r="R52" i="1"/>
  <c r="R53" i="1"/>
  <c r="R54" i="1"/>
  <c r="R56" i="1"/>
  <c r="R57" i="1"/>
  <c r="R58" i="1"/>
  <c r="R59" i="1"/>
  <c r="R60" i="1"/>
  <c r="R62" i="1"/>
  <c r="R63" i="1"/>
  <c r="R64" i="1"/>
  <c r="R65" i="1"/>
  <c r="R67" i="1"/>
  <c r="R68" i="1"/>
  <c r="R69" i="1"/>
  <c r="R70" i="1"/>
  <c r="R71" i="1"/>
  <c r="R72" i="1"/>
  <c r="R74" i="1"/>
  <c r="R75" i="1"/>
  <c r="R76" i="1"/>
  <c r="R77" i="1"/>
  <c r="R78" i="1"/>
  <c r="R79" i="1"/>
  <c r="R80" i="1"/>
  <c r="R82" i="1"/>
  <c r="R83" i="1"/>
  <c r="R84" i="1"/>
  <c r="R86" i="1"/>
  <c r="R87" i="1"/>
  <c r="R88" i="1"/>
  <c r="R89" i="1"/>
  <c r="R90" i="1"/>
  <c r="R91" i="1"/>
  <c r="R92" i="1"/>
  <c r="R93" i="1"/>
  <c r="R94" i="1"/>
  <c r="R95" i="1"/>
  <c r="R96" i="1"/>
  <c r="R97" i="1"/>
  <c r="R98" i="1"/>
  <c r="R99" i="1"/>
  <c r="R100" i="1"/>
  <c r="R101" i="1"/>
  <c r="R102" i="1"/>
  <c r="R103" i="1"/>
  <c r="R104" i="1"/>
  <c r="R105" i="1"/>
  <c r="R106" i="1"/>
  <c r="R107" i="1"/>
  <c r="R108" i="1"/>
  <c r="R109" i="1"/>
  <c r="R110" i="1"/>
  <c r="R111" i="1"/>
  <c r="R112" i="1"/>
  <c r="R113" i="1"/>
  <c r="R114" i="1"/>
  <c r="R115" i="1"/>
  <c r="R116" i="1"/>
  <c r="R117" i="1"/>
  <c r="R118" i="1"/>
  <c r="R119" i="1"/>
  <c r="R120" i="1"/>
  <c r="R121" i="1"/>
  <c r="R122" i="1"/>
  <c r="R123" i="1"/>
  <c r="R124" i="1"/>
  <c r="R125" i="1"/>
  <c r="R126" i="1"/>
  <c r="R127" i="1"/>
  <c r="R128" i="1"/>
  <c r="R129" i="1"/>
  <c r="R130" i="1"/>
  <c r="R131" i="1"/>
  <c r="R132" i="1"/>
  <c r="R133" i="1"/>
  <c r="R134" i="1"/>
  <c r="R135" i="1"/>
  <c r="R136" i="1"/>
  <c r="R137" i="1"/>
  <c r="R138" i="1"/>
  <c r="R139" i="1"/>
  <c r="R140" i="1"/>
  <c r="R141" i="1"/>
  <c r="R142" i="1"/>
  <c r="R143" i="1"/>
  <c r="R144" i="1"/>
  <c r="R145" i="1"/>
  <c r="R146" i="1"/>
  <c r="R147" i="1"/>
  <c r="R148" i="1"/>
  <c r="R149" i="1"/>
  <c r="R150" i="1"/>
  <c r="R151" i="1"/>
  <c r="R152" i="1"/>
  <c r="R153" i="1"/>
  <c r="R154" i="1"/>
  <c r="R155" i="1"/>
  <c r="R156" i="1"/>
  <c r="R157" i="1"/>
  <c r="R158" i="1"/>
  <c r="R159" i="1"/>
  <c r="R160" i="1"/>
  <c r="R161" i="1"/>
  <c r="R162" i="1"/>
  <c r="R163" i="1"/>
  <c r="R164" i="1"/>
  <c r="R165" i="1"/>
  <c r="R166" i="1"/>
  <c r="R167" i="1"/>
  <c r="R168" i="1"/>
  <c r="R169" i="1"/>
  <c r="R170" i="1"/>
  <c r="R171" i="1"/>
  <c r="R172" i="1"/>
  <c r="R173" i="1"/>
  <c r="R174" i="1"/>
  <c r="R175" i="1"/>
  <c r="R176" i="1"/>
  <c r="R177" i="1"/>
  <c r="R178" i="1"/>
  <c r="R179" i="1"/>
  <c r="R180" i="1"/>
  <c r="R181" i="1"/>
  <c r="R182" i="1"/>
  <c r="R183" i="1"/>
  <c r="R184" i="1"/>
  <c r="R185" i="1"/>
  <c r="R186" i="1"/>
  <c r="R187" i="1"/>
  <c r="R188" i="1"/>
  <c r="R189" i="1"/>
  <c r="R190" i="1"/>
  <c r="R191" i="1"/>
  <c r="R192" i="1"/>
  <c r="R193" i="1"/>
  <c r="R194" i="1"/>
  <c r="R195" i="1"/>
  <c r="R196" i="1"/>
  <c r="R197" i="1"/>
  <c r="R198" i="1"/>
  <c r="R199" i="1"/>
  <c r="R200" i="1"/>
  <c r="R9" i="1"/>
  <c r="AB10" i="1"/>
  <c r="AB11" i="1"/>
  <c r="AB12" i="1"/>
  <c r="AB13" i="1"/>
  <c r="AB14" i="1"/>
  <c r="AB15" i="1"/>
  <c r="AB17" i="1"/>
  <c r="AB18" i="1"/>
  <c r="AB19" i="1"/>
  <c r="AB20" i="1"/>
  <c r="AB21" i="1"/>
  <c r="AB22" i="1"/>
  <c r="AB23" i="1"/>
  <c r="AB25" i="1"/>
  <c r="AB26" i="1"/>
  <c r="AB27" i="1"/>
  <c r="AB28" i="1"/>
  <c r="AB29" i="1"/>
  <c r="AB30" i="1"/>
  <c r="AB31" i="1"/>
  <c r="AB33" i="1"/>
  <c r="AB34" i="1"/>
  <c r="AB35" i="1"/>
  <c r="AB37" i="1"/>
  <c r="AB38" i="1"/>
  <c r="AB39" i="1"/>
  <c r="AB40" i="1"/>
  <c r="AB41" i="1"/>
  <c r="AB43" i="1"/>
  <c r="AB44" i="1"/>
  <c r="AB45" i="1"/>
  <c r="AB46" i="1"/>
  <c r="AB48" i="1"/>
  <c r="AB49" i="1"/>
  <c r="AB50" i="1"/>
  <c r="AB51" i="1"/>
  <c r="AB52" i="1"/>
  <c r="AB53" i="1"/>
  <c r="AB54" i="1"/>
  <c r="AB56" i="1"/>
  <c r="AB57" i="1"/>
  <c r="AB58" i="1"/>
  <c r="AB59" i="1"/>
  <c r="AB60" i="1"/>
  <c r="AB62" i="1"/>
  <c r="AB63" i="1"/>
  <c r="AB64" i="1"/>
  <c r="AB65" i="1"/>
  <c r="AB67" i="1"/>
  <c r="AB68" i="1"/>
  <c r="AB69" i="1"/>
  <c r="AB70" i="1"/>
  <c r="AB71" i="1"/>
  <c r="AB72" i="1"/>
  <c r="AB74" i="1"/>
  <c r="AB75" i="1"/>
  <c r="AB76" i="1"/>
  <c r="AB77" i="1"/>
  <c r="AB78" i="1"/>
  <c r="AB79" i="1"/>
  <c r="AB80" i="1"/>
  <c r="AB82" i="1"/>
  <c r="AB83" i="1"/>
  <c r="AB84" i="1"/>
  <c r="AB86" i="1"/>
  <c r="AB87" i="1"/>
  <c r="AB88" i="1"/>
  <c r="AB89" i="1"/>
  <c r="AB90" i="1"/>
  <c r="AB91" i="1"/>
  <c r="AB92" i="1"/>
  <c r="AB93" i="1"/>
  <c r="AB94" i="1"/>
  <c r="AB95" i="1"/>
  <c r="AB96" i="1"/>
  <c r="AB97" i="1"/>
  <c r="AB98" i="1"/>
  <c r="AB99" i="1"/>
  <c r="AB100" i="1"/>
  <c r="AB101" i="1"/>
  <c r="AB102" i="1"/>
  <c r="AB103" i="1"/>
  <c r="AB104" i="1"/>
  <c r="AB105" i="1"/>
  <c r="AB106" i="1"/>
  <c r="AB107" i="1"/>
  <c r="AB108" i="1"/>
  <c r="AB109" i="1"/>
  <c r="AB110" i="1"/>
  <c r="AB111" i="1"/>
  <c r="AB112" i="1"/>
  <c r="AB113" i="1"/>
  <c r="AB114" i="1"/>
  <c r="AB115" i="1"/>
  <c r="AB116" i="1"/>
  <c r="AB117" i="1"/>
  <c r="AB118" i="1"/>
  <c r="AB119" i="1"/>
  <c r="AB120" i="1"/>
  <c r="AB121" i="1"/>
  <c r="AB122" i="1"/>
  <c r="AB123" i="1"/>
  <c r="AB124" i="1"/>
  <c r="AB125" i="1"/>
  <c r="AB126" i="1"/>
  <c r="AB127" i="1"/>
  <c r="AB128" i="1"/>
  <c r="AB129" i="1"/>
  <c r="AB130" i="1"/>
  <c r="AB131" i="1"/>
  <c r="AB132" i="1"/>
  <c r="AB133" i="1"/>
  <c r="AB134" i="1"/>
  <c r="AB135" i="1"/>
  <c r="AB136" i="1"/>
  <c r="AB137" i="1"/>
  <c r="AB138" i="1"/>
  <c r="AB139" i="1"/>
  <c r="AB140" i="1"/>
  <c r="AB141" i="1"/>
  <c r="AB142" i="1"/>
  <c r="AB143" i="1"/>
  <c r="AB144" i="1"/>
  <c r="AB145" i="1"/>
  <c r="AB146" i="1"/>
  <c r="AB147" i="1"/>
  <c r="AB148" i="1"/>
  <c r="AB149" i="1"/>
  <c r="AB150" i="1"/>
  <c r="AB151" i="1"/>
  <c r="AB152" i="1"/>
  <c r="AB153" i="1"/>
  <c r="AB154" i="1"/>
  <c r="AB155" i="1"/>
  <c r="AB156" i="1"/>
  <c r="AB157" i="1"/>
  <c r="AB158" i="1"/>
  <c r="AB159" i="1"/>
  <c r="AB160" i="1"/>
  <c r="AB161" i="1"/>
  <c r="AB162" i="1"/>
  <c r="AB163" i="1"/>
  <c r="AB164" i="1"/>
  <c r="AB165" i="1"/>
  <c r="AB166" i="1"/>
  <c r="AB167" i="1"/>
  <c r="AB168" i="1"/>
  <c r="AB169" i="1"/>
  <c r="AB170" i="1"/>
  <c r="AB171" i="1"/>
  <c r="AB172" i="1"/>
  <c r="AB173" i="1"/>
  <c r="AB174" i="1"/>
  <c r="AB175" i="1"/>
  <c r="AB176" i="1"/>
  <c r="AB177" i="1"/>
  <c r="AB178" i="1"/>
  <c r="AB179" i="1"/>
  <c r="AB180" i="1"/>
  <c r="AB181" i="1"/>
  <c r="AB182" i="1"/>
  <c r="AB183" i="1"/>
  <c r="AB184" i="1"/>
  <c r="AB185" i="1"/>
  <c r="AB186" i="1"/>
  <c r="AB187" i="1"/>
  <c r="AB188" i="1"/>
  <c r="AB189" i="1"/>
  <c r="AB190" i="1"/>
  <c r="AB191" i="1"/>
  <c r="AB192" i="1"/>
  <c r="AB193" i="1"/>
  <c r="AB194" i="1"/>
  <c r="AB195" i="1"/>
  <c r="AB196" i="1"/>
  <c r="AB197" i="1"/>
  <c r="AB198" i="1"/>
  <c r="AB199" i="1"/>
  <c r="AB200" i="1"/>
  <c r="AB9" i="1"/>
  <c r="D94" i="2"/>
  <c r="D19" i="15"/>
  <c r="D18" i="15"/>
  <c r="D17" i="15"/>
  <c r="D16" i="15"/>
  <c r="D59" i="15"/>
  <c r="D90" i="15"/>
  <c r="D17" i="16"/>
  <c r="D16" i="16"/>
  <c r="D15" i="16"/>
  <c r="D58" i="16"/>
  <c r="D57" i="16"/>
  <c r="D90" i="16"/>
  <c r="O10" i="1"/>
  <c r="O11" i="1"/>
  <c r="O12" i="1"/>
  <c r="O13" i="1"/>
  <c r="O14" i="1"/>
  <c r="O15" i="1"/>
  <c r="O17" i="1"/>
  <c r="O18" i="1"/>
  <c r="O19" i="1"/>
  <c r="O20" i="1"/>
  <c r="O21" i="1"/>
  <c r="O22" i="1"/>
  <c r="O23" i="1"/>
  <c r="O25" i="1"/>
  <c r="O26" i="1"/>
  <c r="O27" i="1"/>
  <c r="O28" i="1"/>
  <c r="O29" i="1"/>
  <c r="O30" i="1"/>
  <c r="O31" i="1"/>
  <c r="O33" i="1"/>
  <c r="O34" i="1"/>
  <c r="O35" i="1"/>
  <c r="O37" i="1"/>
  <c r="O38" i="1"/>
  <c r="O39" i="1"/>
  <c r="O40" i="1"/>
  <c r="O41" i="1"/>
  <c r="O43" i="1"/>
  <c r="O44" i="1"/>
  <c r="O45" i="1"/>
  <c r="O46" i="1"/>
  <c r="O48" i="1"/>
  <c r="O49" i="1"/>
  <c r="O50" i="1"/>
  <c r="O51" i="1"/>
  <c r="O52" i="1"/>
  <c r="O53" i="1"/>
  <c r="O54" i="1"/>
  <c r="O56" i="1"/>
  <c r="O57" i="1"/>
  <c r="O58" i="1"/>
  <c r="O59" i="1"/>
  <c r="O60" i="1"/>
  <c r="O62" i="1"/>
  <c r="O63" i="1"/>
  <c r="O64" i="1"/>
  <c r="O65" i="1"/>
  <c r="O67" i="1"/>
  <c r="O68" i="1"/>
  <c r="O69" i="1"/>
  <c r="O70" i="1"/>
  <c r="O71" i="1"/>
  <c r="O72" i="1"/>
  <c r="O74" i="1"/>
  <c r="O75" i="1"/>
  <c r="O76" i="1"/>
  <c r="O77" i="1"/>
  <c r="O78" i="1"/>
  <c r="O79" i="1"/>
  <c r="O80" i="1"/>
  <c r="O82" i="1"/>
  <c r="O83" i="1"/>
  <c r="O84" i="1"/>
  <c r="O86" i="1"/>
  <c r="O87" i="1"/>
  <c r="O88" i="1"/>
  <c r="O89" i="1"/>
  <c r="O90" i="1"/>
  <c r="O91" i="1"/>
  <c r="O92" i="1"/>
  <c r="O93" i="1"/>
  <c r="O94" i="1"/>
  <c r="O95" i="1"/>
  <c r="O96" i="1"/>
  <c r="O97" i="1"/>
  <c r="O98" i="1"/>
  <c r="O99" i="1"/>
  <c r="O100" i="1"/>
  <c r="O101" i="1"/>
  <c r="O102" i="1"/>
  <c r="O103" i="1"/>
  <c r="O104" i="1"/>
  <c r="O105" i="1"/>
  <c r="O106" i="1"/>
  <c r="O107" i="1"/>
  <c r="O108" i="1"/>
  <c r="O109" i="1"/>
  <c r="O110" i="1"/>
  <c r="O111" i="1"/>
  <c r="O112" i="1"/>
  <c r="O113" i="1"/>
  <c r="O114" i="1"/>
  <c r="O115" i="1"/>
  <c r="O116" i="1"/>
  <c r="O117" i="1"/>
  <c r="O118" i="1"/>
  <c r="O119" i="1"/>
  <c r="O120" i="1"/>
  <c r="O121" i="1"/>
  <c r="O122" i="1"/>
  <c r="O123" i="1"/>
  <c r="O124" i="1"/>
  <c r="O125" i="1"/>
  <c r="O126" i="1"/>
  <c r="O127" i="1"/>
  <c r="O128" i="1"/>
  <c r="O129" i="1"/>
  <c r="O130" i="1"/>
  <c r="O131" i="1"/>
  <c r="O132" i="1"/>
  <c r="O133" i="1"/>
  <c r="O134" i="1"/>
  <c r="O135" i="1"/>
  <c r="O136" i="1"/>
  <c r="O137" i="1"/>
  <c r="O138" i="1"/>
  <c r="O139" i="1"/>
  <c r="O140" i="1"/>
  <c r="O141" i="1"/>
  <c r="O142" i="1"/>
  <c r="O143" i="1"/>
  <c r="O144" i="1"/>
  <c r="O145" i="1"/>
  <c r="O146" i="1"/>
  <c r="O147" i="1"/>
  <c r="O148" i="1"/>
  <c r="O149" i="1"/>
  <c r="O150" i="1"/>
  <c r="O151" i="1"/>
  <c r="O152" i="1"/>
  <c r="O153" i="1"/>
  <c r="O154" i="1"/>
  <c r="O155" i="1"/>
  <c r="O156" i="1"/>
  <c r="O157" i="1"/>
  <c r="O158" i="1"/>
  <c r="O159" i="1"/>
  <c r="O160" i="1"/>
  <c r="O161" i="1"/>
  <c r="O162" i="1"/>
  <c r="O163" i="1"/>
  <c r="O164" i="1"/>
  <c r="O165" i="1"/>
  <c r="O166" i="1"/>
  <c r="O167" i="1"/>
  <c r="O168" i="1"/>
  <c r="O169" i="1"/>
  <c r="O170" i="1"/>
  <c r="O171" i="1"/>
  <c r="O172" i="1"/>
  <c r="O173" i="1"/>
  <c r="O174" i="1"/>
  <c r="O175" i="1"/>
  <c r="O176" i="1"/>
  <c r="O177" i="1"/>
  <c r="O178" i="1"/>
  <c r="O179" i="1"/>
  <c r="O180" i="1"/>
  <c r="O181" i="1"/>
  <c r="O182" i="1"/>
  <c r="O183" i="1"/>
  <c r="O184" i="1"/>
  <c r="O185" i="1"/>
  <c r="O186" i="1"/>
  <c r="O187" i="1"/>
  <c r="O188" i="1"/>
  <c r="O189" i="1"/>
  <c r="O190" i="1"/>
  <c r="O191" i="1"/>
  <c r="O192" i="1"/>
  <c r="O193" i="1"/>
  <c r="O194" i="1"/>
  <c r="O195" i="1"/>
  <c r="O196" i="1"/>
  <c r="O197" i="1"/>
  <c r="O198" i="1"/>
  <c r="O199" i="1"/>
  <c r="O200" i="1"/>
  <c r="O9" i="1"/>
  <c r="D66" i="2"/>
  <c r="D53" i="2"/>
  <c r="E94" i="2"/>
  <c r="E93" i="2"/>
  <c r="D67" i="2"/>
  <c r="D65" i="2"/>
  <c r="D2" i="24"/>
  <c r="D21" i="2"/>
  <c r="D20" i="2"/>
  <c r="D19" i="2"/>
  <c r="D18" i="2"/>
  <c r="D1" i="24"/>
  <c r="D9" i="2" l="1"/>
  <c r="D10" i="16"/>
  <c r="D53" i="16"/>
  <c r="D10" i="17"/>
  <c r="D54" i="17"/>
  <c r="D54" i="18"/>
  <c r="D9" i="18"/>
  <c r="D10" i="15"/>
  <c r="D55" i="15"/>
  <c r="D59" i="2"/>
  <c r="E96" i="17" l="1"/>
  <c r="E96" i="15"/>
  <c r="E40" i="18"/>
  <c r="E41" i="18"/>
  <c r="E100" i="18"/>
  <c r="E99" i="18"/>
  <c r="E98" i="18"/>
  <c r="E97" i="18"/>
  <c r="E95" i="18"/>
  <c r="E94" i="18"/>
  <c r="E93" i="18"/>
  <c r="E92" i="18"/>
  <c r="E91" i="18"/>
  <c r="E90" i="18"/>
  <c r="E89" i="18"/>
  <c r="E88" i="18"/>
  <c r="E87" i="18"/>
  <c r="E86" i="18"/>
  <c r="E85" i="18"/>
  <c r="E84" i="18"/>
  <c r="E83" i="18"/>
  <c r="E82" i="18"/>
  <c r="E81" i="18"/>
  <c r="E76" i="18"/>
  <c r="E75" i="18"/>
  <c r="E74" i="18"/>
  <c r="E73" i="18"/>
  <c r="E72" i="18"/>
  <c r="E71" i="18"/>
  <c r="E70" i="18"/>
  <c r="E69" i="18"/>
  <c r="E68" i="18"/>
  <c r="E67" i="18"/>
  <c r="E66" i="18"/>
  <c r="E65" i="18"/>
  <c r="E64" i="18"/>
  <c r="E63" i="18"/>
  <c r="E62" i="18"/>
  <c r="E61" i="18"/>
  <c r="E60" i="18"/>
  <c r="E59" i="18"/>
  <c r="E58" i="18"/>
  <c r="E57" i="18"/>
  <c r="E56" i="18"/>
  <c r="E55" i="18"/>
  <c r="E54" i="18"/>
  <c r="E53" i="18"/>
  <c r="E52" i="18"/>
  <c r="E51" i="18"/>
  <c r="E50" i="18"/>
  <c r="E49" i="18"/>
  <c r="E48" i="18"/>
  <c r="E47" i="18"/>
  <c r="E39" i="18"/>
  <c r="E38" i="18"/>
  <c r="E37" i="18"/>
  <c r="E36" i="18"/>
  <c r="E34" i="18"/>
  <c r="E33" i="18"/>
  <c r="E32" i="18"/>
  <c r="E31" i="18"/>
  <c r="E30" i="18"/>
  <c r="E29" i="18"/>
  <c r="E28" i="18"/>
  <c r="E27" i="18"/>
  <c r="E26" i="18"/>
  <c r="E25" i="18"/>
  <c r="E24" i="18"/>
  <c r="E23" i="18"/>
  <c r="E22" i="18"/>
  <c r="E21" i="18"/>
  <c r="E20" i="18"/>
  <c r="E19" i="18"/>
  <c r="E18" i="18"/>
  <c r="E17" i="18"/>
  <c r="E16" i="18"/>
  <c r="E15" i="18"/>
  <c r="E14" i="18"/>
  <c r="E13" i="18"/>
  <c r="E12" i="18"/>
  <c r="E11" i="18"/>
  <c r="E10" i="18"/>
  <c r="E9" i="18"/>
  <c r="E8" i="18"/>
  <c r="E7" i="18"/>
  <c r="E6" i="18"/>
  <c r="E5" i="18"/>
  <c r="E4" i="18"/>
  <c r="E37" i="17"/>
  <c r="E38" i="17"/>
  <c r="E39" i="17"/>
  <c r="E100" i="17"/>
  <c r="E99" i="17"/>
  <c r="E98" i="17"/>
  <c r="E95" i="17"/>
  <c r="E94" i="17"/>
  <c r="E93" i="17"/>
  <c r="E92" i="17"/>
  <c r="E91" i="17"/>
  <c r="E90" i="17"/>
  <c r="E89" i="17"/>
  <c r="E88" i="17"/>
  <c r="E87" i="17"/>
  <c r="E86" i="17"/>
  <c r="E85" i="17"/>
  <c r="E84" i="17"/>
  <c r="E83" i="17"/>
  <c r="E82" i="17"/>
  <c r="E81" i="17"/>
  <c r="E76" i="17"/>
  <c r="E75" i="17"/>
  <c r="E74" i="17"/>
  <c r="E73" i="17"/>
  <c r="E72" i="17"/>
  <c r="E71" i="17"/>
  <c r="E70" i="17"/>
  <c r="E69" i="17"/>
  <c r="E68" i="17"/>
  <c r="E67" i="17"/>
  <c r="E66" i="17"/>
  <c r="E65" i="17"/>
  <c r="E64" i="17"/>
  <c r="E63" i="17"/>
  <c r="E62" i="17"/>
  <c r="E61" i="17"/>
  <c r="E60" i="17"/>
  <c r="E59" i="17"/>
  <c r="E58" i="17"/>
  <c r="E57" i="17"/>
  <c r="E56" i="17"/>
  <c r="E55" i="17"/>
  <c r="E53" i="17"/>
  <c r="E52" i="17"/>
  <c r="E51" i="17"/>
  <c r="E50" i="17"/>
  <c r="E49" i="17"/>
  <c r="E48" i="17"/>
  <c r="E47" i="17"/>
  <c r="E46" i="17"/>
  <c r="E36" i="17"/>
  <c r="E35" i="17"/>
  <c r="E34" i="17"/>
  <c r="E33" i="17"/>
  <c r="E32" i="17"/>
  <c r="E31" i="17"/>
  <c r="E30" i="17"/>
  <c r="E29" i="17"/>
  <c r="E28" i="17"/>
  <c r="E27" i="17"/>
  <c r="E26" i="17"/>
  <c r="E25" i="17"/>
  <c r="E24" i="17"/>
  <c r="E23" i="17"/>
  <c r="E22" i="17"/>
  <c r="E21" i="17"/>
  <c r="E20" i="17"/>
  <c r="E19" i="17"/>
  <c r="E18" i="17"/>
  <c r="E17" i="17"/>
  <c r="E16" i="17"/>
  <c r="E15" i="17"/>
  <c r="E14" i="17"/>
  <c r="E13" i="17"/>
  <c r="E12" i="17"/>
  <c r="E11" i="17"/>
  <c r="E10" i="17"/>
  <c r="E9" i="17"/>
  <c r="E8" i="17"/>
  <c r="E7" i="17"/>
  <c r="E6" i="17"/>
  <c r="E5" i="17"/>
  <c r="E4" i="17"/>
  <c r="E82" i="16"/>
  <c r="E83" i="16"/>
  <c r="E84" i="16"/>
  <c r="E85" i="16"/>
  <c r="E86" i="16"/>
  <c r="E87" i="16"/>
  <c r="E88" i="16"/>
  <c r="E89" i="16"/>
  <c r="E90" i="16"/>
  <c r="E91" i="16"/>
  <c r="E92" i="16"/>
  <c r="E93" i="16"/>
  <c r="E94" i="16"/>
  <c r="E95" i="16"/>
  <c r="E57" i="15"/>
  <c r="E58" i="15"/>
  <c r="E59" i="15"/>
  <c r="E60" i="15"/>
  <c r="E61" i="15"/>
  <c r="E62" i="15"/>
  <c r="E63" i="15"/>
  <c r="E64" i="15"/>
  <c r="E65" i="15"/>
  <c r="E66" i="15"/>
  <c r="E67" i="15"/>
  <c r="E68" i="15"/>
  <c r="E69" i="15"/>
  <c r="E70" i="15"/>
  <c r="E71" i="15"/>
  <c r="E72" i="15"/>
  <c r="E73" i="15"/>
  <c r="E48" i="16"/>
  <c r="E49" i="16"/>
  <c r="E50" i="16"/>
  <c r="E51" i="16"/>
  <c r="E52" i="16"/>
  <c r="E54" i="16"/>
  <c r="E55" i="16"/>
  <c r="E56" i="16"/>
  <c r="E57" i="16"/>
  <c r="E58" i="16"/>
  <c r="E59" i="16"/>
  <c r="E60" i="16"/>
  <c r="E61" i="16"/>
  <c r="E62" i="16"/>
  <c r="E63" i="16"/>
  <c r="E64" i="16"/>
  <c r="E65" i="16"/>
  <c r="E66" i="16"/>
  <c r="E67" i="16"/>
  <c r="E68" i="16"/>
  <c r="E69" i="16"/>
  <c r="E70" i="16"/>
  <c r="E71" i="16"/>
  <c r="E72" i="16"/>
  <c r="E73" i="16"/>
  <c r="E74" i="16"/>
  <c r="E75" i="16"/>
  <c r="E76" i="16"/>
  <c r="E100" i="16"/>
  <c r="E99" i="16"/>
  <c r="E98" i="16"/>
  <c r="E97" i="16"/>
  <c r="E81" i="16"/>
  <c r="E47" i="16"/>
  <c r="E37" i="16"/>
  <c r="E36" i="16"/>
  <c r="E35" i="16"/>
  <c r="E34" i="16"/>
  <c r="E33" i="16"/>
  <c r="E32" i="16"/>
  <c r="E31" i="16"/>
  <c r="E30" i="16"/>
  <c r="E29" i="16"/>
  <c r="E28" i="16"/>
  <c r="E27" i="16"/>
  <c r="E26" i="16"/>
  <c r="E25" i="16"/>
  <c r="E24" i="16"/>
  <c r="E23" i="16"/>
  <c r="E22" i="16"/>
  <c r="E21" i="16"/>
  <c r="E20" i="16"/>
  <c r="E19" i="16"/>
  <c r="E18" i="16"/>
  <c r="E17" i="16"/>
  <c r="E16" i="16"/>
  <c r="E15" i="16"/>
  <c r="E14" i="16"/>
  <c r="E13" i="16"/>
  <c r="E12" i="16"/>
  <c r="E11" i="16"/>
  <c r="E10" i="16"/>
  <c r="E9" i="16"/>
  <c r="E8" i="16"/>
  <c r="E7" i="16"/>
  <c r="E6" i="16"/>
  <c r="E5" i="16"/>
  <c r="E4" i="16"/>
  <c r="E81" i="15"/>
  <c r="E82" i="15"/>
  <c r="E83" i="15"/>
  <c r="E84" i="15"/>
  <c r="E85" i="15"/>
  <c r="E86" i="15"/>
  <c r="E87" i="15"/>
  <c r="E88" i="15"/>
  <c r="E89" i="15"/>
  <c r="E90" i="15"/>
  <c r="E91" i="15"/>
  <c r="E92" i="15"/>
  <c r="E93" i="15"/>
  <c r="E94" i="15"/>
  <c r="E95" i="15"/>
  <c r="E100" i="15"/>
  <c r="E99" i="15"/>
  <c r="E98" i="15"/>
  <c r="E76" i="15"/>
  <c r="E75" i="15"/>
  <c r="E74" i="15"/>
  <c r="E56" i="15"/>
  <c r="E55" i="15"/>
  <c r="E54" i="15"/>
  <c r="E53" i="15"/>
  <c r="E52" i="15"/>
  <c r="E51" i="15"/>
  <c r="E50" i="15"/>
  <c r="E49" i="15"/>
  <c r="E48" i="15"/>
  <c r="E47" i="15"/>
  <c r="E41" i="15"/>
  <c r="E40" i="15"/>
  <c r="E39" i="15"/>
  <c r="E38" i="15"/>
  <c r="E37" i="15"/>
  <c r="E36" i="15"/>
  <c r="E35" i="15"/>
  <c r="E34" i="15"/>
  <c r="E33" i="15"/>
  <c r="E32" i="15"/>
  <c r="E31" i="15"/>
  <c r="E30" i="15"/>
  <c r="E29" i="15"/>
  <c r="E28" i="15"/>
  <c r="E27" i="15"/>
  <c r="E26" i="15"/>
  <c r="E25" i="15"/>
  <c r="E24" i="15"/>
  <c r="E23" i="15"/>
  <c r="E22" i="15"/>
  <c r="E21" i="15"/>
  <c r="E20" i="15"/>
  <c r="E19" i="15"/>
  <c r="E18" i="15"/>
  <c r="E17" i="15"/>
  <c r="E16" i="15"/>
  <c r="E15" i="15"/>
  <c r="E14" i="15"/>
  <c r="E13" i="15"/>
  <c r="E12" i="15"/>
  <c r="E11" i="15"/>
  <c r="E10" i="15"/>
  <c r="E9" i="15"/>
  <c r="E8" i="15"/>
  <c r="E7" i="15"/>
  <c r="E6" i="15"/>
  <c r="E5" i="15"/>
  <c r="E4" i="15"/>
  <c r="F4" i="2"/>
  <c r="F5" i="2"/>
  <c r="F6" i="2"/>
  <c r="F7" i="2"/>
  <c r="F8" i="2"/>
  <c r="F9" i="2"/>
  <c r="F10" i="2"/>
  <c r="F11" i="2"/>
  <c r="F12" i="2"/>
  <c r="F13" i="2"/>
  <c r="F14" i="2"/>
  <c r="F15" i="2"/>
  <c r="F16" i="2"/>
  <c r="F17" i="2"/>
  <c r="F18" i="2"/>
  <c r="F19" i="2"/>
  <c r="F20" i="2"/>
  <c r="F21" i="2"/>
  <c r="F22" i="2"/>
  <c r="F23" i="2"/>
  <c r="F24" i="2"/>
  <c r="F25" i="2"/>
  <c r="F26" i="2"/>
  <c r="F27" i="2"/>
  <c r="F28" i="2"/>
  <c r="F29" i="2"/>
  <c r="F30" i="2"/>
  <c r="F31" i="2"/>
  <c r="F32" i="2"/>
  <c r="F33" i="2"/>
  <c r="F34" i="2"/>
  <c r="F35" i="2"/>
  <c r="F36" i="2"/>
  <c r="F37" i="2"/>
  <c r="F38" i="2"/>
  <c r="F39" i="2"/>
  <c r="F40" i="2"/>
  <c r="F41" i="2"/>
  <c r="F42" i="2"/>
  <c r="F43" i="2"/>
  <c r="F44" i="2"/>
  <c r="F45" i="2"/>
  <c r="F46" i="2"/>
  <c r="F47" i="2"/>
  <c r="F48" i="2"/>
  <c r="F49" i="2"/>
  <c r="F55" i="2"/>
  <c r="F56" i="2"/>
  <c r="F57" i="2"/>
  <c r="F58" i="2"/>
  <c r="F60" i="2"/>
  <c r="F61" i="2"/>
  <c r="F62" i="2"/>
  <c r="F63" i="2"/>
  <c r="F91" i="2"/>
  <c r="F92" i="2"/>
  <c r="F64" i="2"/>
  <c r="F68" i="2"/>
  <c r="F69" i="2"/>
  <c r="F70" i="2"/>
  <c r="F65" i="2"/>
  <c r="F66" i="2"/>
  <c r="F67" i="2"/>
  <c r="F71" i="2"/>
  <c r="F72" i="2"/>
  <c r="F73" i="2"/>
  <c r="F74" i="2"/>
  <c r="F75" i="2"/>
  <c r="F76" i="2"/>
  <c r="F77" i="2"/>
  <c r="F78" i="2"/>
  <c r="F79" i="2"/>
  <c r="F50" i="2"/>
  <c r="F84" i="2"/>
  <c r="F85" i="2"/>
  <c r="F86" i="2"/>
  <c r="F97" i="2"/>
  <c r="F88" i="2"/>
  <c r="F89" i="2"/>
  <c r="F95" i="2"/>
  <c r="F96" i="2"/>
  <c r="F98" i="2"/>
  <c r="F99" i="2"/>
  <c r="F100" i="2"/>
  <c r="F101" i="2"/>
  <c r="F102" i="2"/>
  <c r="F93" i="2"/>
  <c r="F94" i="2"/>
  <c r="F103" i="2"/>
  <c r="F104" i="2"/>
  <c r="F90" i="2"/>
  <c r="A3" i="1" l="1"/>
  <c r="AH200" i="1"/>
  <c r="B200" i="1" a="1"/>
  <c r="B200" i="1" s="1"/>
  <c r="AH199" i="1"/>
  <c r="B199" i="1" a="1"/>
  <c r="B199" i="1" s="1"/>
  <c r="AH198" i="1"/>
  <c r="B198" i="1" a="1"/>
  <c r="B198" i="1" s="1"/>
  <c r="AH197" i="1"/>
  <c r="B197" i="1" a="1"/>
  <c r="B197" i="1" s="1"/>
  <c r="AH196" i="1"/>
  <c r="B196" i="1" a="1"/>
  <c r="B196" i="1" s="1"/>
  <c r="AH195" i="1"/>
  <c r="B195" i="1" a="1"/>
  <c r="B195" i="1" s="1"/>
  <c r="AH194" i="1"/>
  <c r="B194" i="1" a="1"/>
  <c r="B194" i="1" s="1"/>
  <c r="AH193" i="1"/>
  <c r="B193" i="1" a="1"/>
  <c r="B193" i="1" s="1"/>
  <c r="AH192" i="1"/>
  <c r="B192" i="1" a="1"/>
  <c r="B192" i="1" s="1"/>
  <c r="AH191" i="1"/>
  <c r="B191" i="1" a="1"/>
  <c r="B191" i="1" s="1"/>
  <c r="AH190" i="1"/>
  <c r="B190" i="1" a="1"/>
  <c r="B190" i="1" s="1"/>
  <c r="AH189" i="1"/>
  <c r="B189" i="1" a="1"/>
  <c r="B189" i="1" s="1"/>
  <c r="AH188" i="1"/>
  <c r="B188" i="1" a="1"/>
  <c r="B188" i="1" s="1"/>
  <c r="AH187" i="1"/>
  <c r="B187" i="1" a="1"/>
  <c r="B187" i="1" s="1"/>
  <c r="AH186" i="1"/>
  <c r="B186" i="1" a="1"/>
  <c r="B186" i="1" s="1"/>
  <c r="AH185" i="1"/>
  <c r="B185" i="1" a="1"/>
  <c r="B185" i="1" s="1"/>
  <c r="AH184" i="1"/>
  <c r="B184" i="1" a="1"/>
  <c r="B184" i="1" s="1"/>
  <c r="AH183" i="1"/>
  <c r="B183" i="1" a="1"/>
  <c r="B183" i="1" s="1"/>
  <c r="AH182" i="1"/>
  <c r="B182" i="1" a="1"/>
  <c r="B182" i="1" s="1"/>
  <c r="AH181" i="1"/>
  <c r="B181" i="1" a="1"/>
  <c r="B181" i="1" s="1"/>
  <c r="AH180" i="1"/>
  <c r="B180" i="1" a="1"/>
  <c r="B180" i="1" s="1"/>
  <c r="AH179" i="1"/>
  <c r="B179" i="1" a="1"/>
  <c r="B179" i="1" s="1"/>
  <c r="AH178" i="1"/>
  <c r="B178" i="1" a="1"/>
  <c r="B178" i="1" s="1"/>
  <c r="AH177" i="1"/>
  <c r="B177" i="1" a="1"/>
  <c r="B177" i="1" s="1"/>
  <c r="AH176" i="1"/>
  <c r="B176" i="1" a="1"/>
  <c r="B176" i="1" s="1"/>
  <c r="AH175" i="1"/>
  <c r="B175" i="1" a="1"/>
  <c r="B175" i="1" s="1"/>
  <c r="AH174" i="1"/>
  <c r="B174" i="1" a="1"/>
  <c r="B174" i="1" s="1"/>
  <c r="AH173" i="1"/>
  <c r="B173" i="1" a="1"/>
  <c r="B173" i="1" s="1"/>
  <c r="AH172" i="1"/>
  <c r="B172" i="1" a="1"/>
  <c r="B172" i="1" s="1"/>
  <c r="AH171" i="1"/>
  <c r="B171" i="1" a="1"/>
  <c r="B171" i="1" s="1"/>
  <c r="AH170" i="1"/>
  <c r="B170" i="1" a="1"/>
  <c r="B170" i="1" s="1"/>
  <c r="AH169" i="1"/>
  <c r="B169" i="1" a="1"/>
  <c r="B169" i="1" s="1"/>
  <c r="AH168" i="1"/>
  <c r="B168" i="1" a="1"/>
  <c r="B168" i="1" s="1"/>
  <c r="AH167" i="1"/>
  <c r="B167" i="1" a="1"/>
  <c r="B167" i="1" s="1"/>
  <c r="AH166" i="1"/>
  <c r="B166" i="1" a="1"/>
  <c r="B166" i="1" s="1"/>
  <c r="AH165" i="1"/>
  <c r="B165" i="1" a="1"/>
  <c r="B165" i="1" s="1"/>
  <c r="AH164" i="1"/>
  <c r="B164" i="1" a="1"/>
  <c r="B164" i="1" s="1"/>
  <c r="AH163" i="1"/>
  <c r="B163" i="1" a="1"/>
  <c r="B163" i="1" s="1"/>
  <c r="AH162" i="1"/>
  <c r="B162" i="1" a="1"/>
  <c r="B162" i="1" s="1"/>
  <c r="AH161" i="1"/>
  <c r="B161" i="1" a="1"/>
  <c r="B161" i="1" s="1"/>
  <c r="AH160" i="1"/>
  <c r="B160" i="1" a="1"/>
  <c r="B160" i="1" s="1"/>
  <c r="AH159" i="1"/>
  <c r="B159" i="1" a="1"/>
  <c r="B159" i="1" s="1"/>
  <c r="AH158" i="1"/>
  <c r="B158" i="1" a="1"/>
  <c r="B158" i="1" s="1"/>
  <c r="AH157" i="1"/>
  <c r="B157" i="1" a="1"/>
  <c r="B157" i="1" s="1"/>
  <c r="AH156" i="1"/>
  <c r="B156" i="1" a="1"/>
  <c r="B156" i="1" s="1"/>
  <c r="AH155" i="1"/>
  <c r="B155" i="1" a="1"/>
  <c r="B155" i="1" s="1"/>
  <c r="AH154" i="1"/>
  <c r="B154" i="1" a="1"/>
  <c r="B154" i="1" s="1"/>
  <c r="AH153" i="1"/>
  <c r="B153" i="1" a="1"/>
  <c r="B153" i="1" s="1"/>
  <c r="AH152" i="1"/>
  <c r="B152" i="1" a="1"/>
  <c r="B152" i="1" s="1"/>
  <c r="AH151" i="1"/>
  <c r="B151" i="1" a="1"/>
  <c r="B151" i="1" s="1"/>
  <c r="AH150" i="1"/>
  <c r="B150" i="1" a="1"/>
  <c r="B150" i="1" s="1"/>
  <c r="AH149" i="1"/>
  <c r="B149" i="1" a="1"/>
  <c r="B149" i="1" s="1"/>
  <c r="AH148" i="1"/>
  <c r="B148" i="1" a="1"/>
  <c r="B148" i="1" s="1"/>
  <c r="AH147" i="1"/>
  <c r="B147" i="1" a="1"/>
  <c r="B147" i="1" s="1"/>
  <c r="AH146" i="1"/>
  <c r="B146" i="1" a="1"/>
  <c r="B146" i="1" s="1"/>
  <c r="AH145" i="1"/>
  <c r="B145" i="1" a="1"/>
  <c r="B145" i="1" s="1"/>
  <c r="AH144" i="1"/>
  <c r="B144" i="1" a="1"/>
  <c r="B144" i="1" s="1"/>
  <c r="AH143" i="1"/>
  <c r="B143" i="1" a="1"/>
  <c r="B143" i="1" s="1"/>
  <c r="AH142" i="1"/>
  <c r="B142" i="1" a="1"/>
  <c r="B142" i="1" s="1"/>
  <c r="AH141" i="1"/>
  <c r="B141" i="1" a="1"/>
  <c r="B141" i="1" s="1"/>
  <c r="AH140" i="1"/>
  <c r="B140" i="1" a="1"/>
  <c r="B140" i="1" s="1"/>
  <c r="AH139" i="1"/>
  <c r="B139" i="1" a="1"/>
  <c r="B139" i="1" s="1"/>
  <c r="AH138" i="1"/>
  <c r="B138" i="1" a="1"/>
  <c r="B138" i="1" s="1"/>
  <c r="AH137" i="1"/>
  <c r="B137" i="1" a="1"/>
  <c r="B137" i="1" s="1"/>
  <c r="AH136" i="1"/>
  <c r="B136" i="1" a="1"/>
  <c r="B136" i="1" s="1"/>
  <c r="AH135" i="1"/>
  <c r="B135" i="1" a="1"/>
  <c r="B135" i="1" s="1"/>
  <c r="AH134" i="1"/>
  <c r="B134" i="1" a="1"/>
  <c r="B134" i="1" s="1"/>
  <c r="AH133" i="1"/>
  <c r="B133" i="1" a="1"/>
  <c r="B133" i="1" s="1"/>
  <c r="AH132" i="1"/>
  <c r="B132" i="1" a="1"/>
  <c r="B132" i="1" s="1"/>
  <c r="AH131" i="1"/>
  <c r="B131" i="1" a="1"/>
  <c r="B131" i="1" s="1"/>
  <c r="AH130" i="1"/>
  <c r="B130" i="1" a="1"/>
  <c r="B130" i="1" s="1"/>
  <c r="AH129" i="1"/>
  <c r="B129" i="1" a="1"/>
  <c r="B129" i="1" s="1"/>
  <c r="AH128" i="1"/>
  <c r="B128" i="1" a="1"/>
  <c r="B128" i="1" s="1"/>
  <c r="AH127" i="1"/>
  <c r="B127" i="1" a="1"/>
  <c r="B127" i="1" s="1"/>
  <c r="AH126" i="1"/>
  <c r="B126" i="1" a="1"/>
  <c r="B126" i="1" s="1"/>
  <c r="AH125" i="1"/>
  <c r="B125" i="1" a="1"/>
  <c r="B125" i="1" s="1"/>
  <c r="AH124" i="1"/>
  <c r="B124" i="1" a="1"/>
  <c r="B124" i="1" s="1"/>
  <c r="AH123" i="1"/>
  <c r="B123" i="1" a="1"/>
  <c r="B123" i="1" s="1"/>
  <c r="AH122" i="1"/>
  <c r="B122" i="1"/>
  <c r="B122" i="1" a="1"/>
  <c r="AH121" i="1"/>
  <c r="B121" i="1" a="1"/>
  <c r="B121" i="1" s="1"/>
  <c r="AH120" i="1"/>
  <c r="AH119" i="1"/>
  <c r="B119" i="1" a="1"/>
  <c r="B119" i="1" s="1"/>
  <c r="AH118" i="1"/>
  <c r="B118" i="1" a="1"/>
  <c r="B118" i="1" s="1"/>
  <c r="AH117" i="1"/>
  <c r="B117" i="1" a="1"/>
  <c r="B117" i="1" s="1"/>
  <c r="AH116" i="1"/>
  <c r="B116" i="1" a="1"/>
  <c r="B116" i="1" s="1"/>
  <c r="AH115" i="1"/>
  <c r="B115" i="1" a="1"/>
  <c r="B115" i="1" s="1"/>
  <c r="AH114" i="1"/>
  <c r="B114" i="1" a="1"/>
  <c r="B114" i="1" s="1"/>
  <c r="AH113" i="1"/>
  <c r="B113" i="1" a="1"/>
  <c r="B113" i="1" s="1"/>
  <c r="AH112" i="1"/>
  <c r="AH111" i="1"/>
  <c r="B111" i="1" a="1"/>
  <c r="B111" i="1" s="1"/>
  <c r="AH110" i="1"/>
  <c r="B110" i="1" a="1"/>
  <c r="B110" i="1" s="1"/>
  <c r="AH109" i="1"/>
  <c r="B109" i="1" a="1"/>
  <c r="B109" i="1" s="1"/>
  <c r="AH108" i="1"/>
  <c r="B108" i="1" a="1"/>
  <c r="B108" i="1" s="1"/>
  <c r="AH107" i="1"/>
  <c r="B107" i="1" a="1"/>
  <c r="B107" i="1" s="1"/>
  <c r="AH106" i="1"/>
  <c r="B106" i="1" a="1"/>
  <c r="B106" i="1" s="1"/>
  <c r="AH105" i="1"/>
  <c r="AH104" i="1"/>
  <c r="B104" i="1" a="1"/>
  <c r="B104" i="1" s="1"/>
  <c r="AH103" i="1"/>
  <c r="B103" i="1" a="1"/>
  <c r="B103" i="1" s="1"/>
  <c r="AH102" i="1"/>
  <c r="B102" i="1" a="1"/>
  <c r="B102" i="1" s="1"/>
  <c r="AH101" i="1"/>
  <c r="B101" i="1" a="1"/>
  <c r="B101" i="1" s="1"/>
  <c r="AH100" i="1"/>
  <c r="B100" i="1" a="1"/>
  <c r="B100" i="1" s="1"/>
  <c r="AH99" i="1"/>
  <c r="B99" i="1" a="1"/>
  <c r="B99" i="1" s="1"/>
  <c r="AH98" i="1"/>
  <c r="AH97" i="1"/>
  <c r="B97" i="1" a="1"/>
  <c r="B97" i="1" s="1"/>
  <c r="AH96" i="1"/>
  <c r="B96" i="1" a="1"/>
  <c r="B96" i="1" s="1"/>
  <c r="AH95" i="1"/>
  <c r="B95" i="1" a="1"/>
  <c r="B95" i="1" s="1"/>
  <c r="AH94" i="1"/>
  <c r="B94" i="1" a="1"/>
  <c r="B94" i="1" s="1"/>
  <c r="AH93" i="1"/>
  <c r="B93" i="1" a="1"/>
  <c r="B93" i="1" s="1"/>
  <c r="AH92" i="1"/>
  <c r="B92" i="1" a="1"/>
  <c r="B92" i="1" s="1"/>
  <c r="AH91" i="1"/>
  <c r="AH90" i="1"/>
  <c r="B90" i="1" a="1"/>
  <c r="B90" i="1" s="1"/>
  <c r="AH89" i="1"/>
  <c r="B89" i="1" a="1"/>
  <c r="B89" i="1" s="1"/>
  <c r="AH88" i="1"/>
  <c r="B88" i="1" a="1"/>
  <c r="B88" i="1" s="1"/>
  <c r="AH87" i="1"/>
  <c r="B87" i="1" a="1"/>
  <c r="B87" i="1" s="1"/>
  <c r="AH86" i="1"/>
  <c r="B86" i="1" a="1"/>
  <c r="B86" i="1" s="1"/>
  <c r="AH85" i="1"/>
  <c r="AH84" i="1"/>
  <c r="B84" i="1" a="1"/>
  <c r="B84" i="1" s="1"/>
  <c r="AH83" i="1"/>
  <c r="AH82" i="1"/>
  <c r="B82" i="1" a="1"/>
  <c r="B82" i="1" s="1"/>
  <c r="AH81" i="1"/>
  <c r="AH80" i="1"/>
  <c r="B80" i="1" a="1"/>
  <c r="B80" i="1" s="1"/>
  <c r="AH79" i="1"/>
  <c r="B79" i="1" a="1"/>
  <c r="B79" i="1" s="1"/>
  <c r="AH78" i="1"/>
  <c r="B78" i="1" a="1"/>
  <c r="B78" i="1" s="1"/>
  <c r="AH77" i="1"/>
  <c r="B77" i="1" a="1"/>
  <c r="B77" i="1" s="1"/>
  <c r="AH76" i="1"/>
  <c r="AH75" i="1"/>
  <c r="B75" i="1" a="1"/>
  <c r="B75" i="1" s="1"/>
  <c r="AH74" i="1"/>
  <c r="B74" i="1" a="1"/>
  <c r="B74" i="1" s="1"/>
  <c r="AH73" i="1"/>
  <c r="AH72" i="1"/>
  <c r="B72" i="1" a="1"/>
  <c r="B72" i="1" s="1"/>
  <c r="AH71" i="1"/>
  <c r="B71" i="1" a="1"/>
  <c r="B71" i="1" s="1"/>
  <c r="AH70" i="1"/>
  <c r="B70" i="1" a="1"/>
  <c r="B70" i="1" s="1"/>
  <c r="AH69" i="1"/>
  <c r="AH68" i="1"/>
  <c r="B68" i="1" a="1"/>
  <c r="B68" i="1" s="1"/>
  <c r="AH67" i="1"/>
  <c r="B67" i="1" a="1"/>
  <c r="B67" i="1" s="1"/>
  <c r="AH66" i="1"/>
  <c r="AH65" i="1"/>
  <c r="B65" i="1" a="1"/>
  <c r="B65" i="1" s="1"/>
  <c r="AH64" i="1"/>
  <c r="B64" i="1" a="1"/>
  <c r="B64" i="1" s="1"/>
  <c r="AH63" i="1"/>
  <c r="B63" i="1" a="1"/>
  <c r="B63" i="1" s="1"/>
  <c r="AH62" i="1"/>
  <c r="B62" i="1" a="1"/>
  <c r="B62" i="1" s="1"/>
  <c r="AH61" i="1"/>
  <c r="AH60" i="1"/>
  <c r="B60" i="1" a="1"/>
  <c r="B60" i="1" s="1"/>
  <c r="AH59" i="1"/>
  <c r="B59" i="1" a="1"/>
  <c r="B59" i="1" s="1"/>
  <c r="AH58" i="1"/>
  <c r="B58" i="1" a="1"/>
  <c r="B58" i="1" s="1"/>
  <c r="AH57" i="1"/>
  <c r="B57" i="1" a="1"/>
  <c r="B57" i="1" s="1"/>
  <c r="AH56" i="1"/>
  <c r="B56" i="1" a="1"/>
  <c r="B56" i="1" s="1"/>
  <c r="AH55" i="1"/>
  <c r="AH54" i="1"/>
  <c r="B54" i="1" a="1"/>
  <c r="B54" i="1" s="1"/>
  <c r="AH53" i="1"/>
  <c r="AH52" i="1"/>
  <c r="B52" i="1" a="1"/>
  <c r="B52" i="1" s="1"/>
  <c r="AH51" i="1"/>
  <c r="B51" i="1" a="1"/>
  <c r="B51" i="1" s="1"/>
  <c r="AH50" i="1"/>
  <c r="B50" i="1" a="1"/>
  <c r="B50" i="1" s="1"/>
  <c r="AH49" i="1"/>
  <c r="B49" i="1" a="1"/>
  <c r="B49" i="1" s="1"/>
  <c r="AH48" i="1"/>
  <c r="B48" i="1" a="1"/>
  <c r="B48" i="1" s="1"/>
  <c r="AH47" i="1"/>
  <c r="AH46" i="1"/>
  <c r="AH45" i="1"/>
  <c r="B45" i="1" a="1"/>
  <c r="B45" i="1" s="1"/>
  <c r="AH44" i="1"/>
  <c r="B44" i="1" a="1"/>
  <c r="B44" i="1" s="1"/>
  <c r="AH43" i="1"/>
  <c r="B43" i="1" a="1"/>
  <c r="B43" i="1" s="1"/>
  <c r="AH42" i="1"/>
  <c r="AH41" i="1"/>
  <c r="AH40" i="1"/>
  <c r="AH39" i="1"/>
  <c r="B39" i="1" a="1"/>
  <c r="B39" i="1" s="1"/>
  <c r="AH38" i="1"/>
  <c r="B38" i="1" a="1"/>
  <c r="B38" i="1" s="1"/>
  <c r="AH37" i="1"/>
  <c r="B37" i="1" a="1"/>
  <c r="B37" i="1" s="1"/>
  <c r="AH36" i="1"/>
  <c r="AH35" i="1"/>
  <c r="B35" i="1" a="1"/>
  <c r="B35" i="1" s="1"/>
  <c r="AH34" i="1"/>
  <c r="B34" i="1" a="1"/>
  <c r="B34" i="1" s="1"/>
  <c r="AH33" i="1"/>
  <c r="AH32" i="1"/>
  <c r="AH31" i="1"/>
  <c r="B31" i="1" a="1"/>
  <c r="B31" i="1" s="1"/>
  <c r="AH30" i="1"/>
  <c r="B30" i="1" a="1"/>
  <c r="B30" i="1" s="1"/>
  <c r="AH29" i="1"/>
  <c r="B29" i="1" a="1"/>
  <c r="B29" i="1" s="1"/>
  <c r="AH28" i="1"/>
  <c r="B28" i="1" a="1"/>
  <c r="B28" i="1" s="1"/>
  <c r="AH27" i="1"/>
  <c r="AH26" i="1"/>
  <c r="B26" i="1" a="1"/>
  <c r="B26" i="1" s="1"/>
  <c r="AH25" i="1"/>
  <c r="B25" i="1" a="1"/>
  <c r="B25" i="1" s="1"/>
  <c r="AH24" i="1"/>
  <c r="AH23" i="1"/>
  <c r="B23" i="1" a="1"/>
  <c r="B23" i="1" s="1"/>
  <c r="AH22" i="1"/>
  <c r="B22" i="1" a="1"/>
  <c r="B22" i="1" s="1"/>
  <c r="AH21" i="1"/>
  <c r="B21" i="1" a="1"/>
  <c r="B21" i="1" s="1"/>
  <c r="AH20" i="1"/>
  <c r="AH19" i="1"/>
  <c r="B19" i="1" a="1"/>
  <c r="B19" i="1" s="1"/>
  <c r="AH18" i="1"/>
  <c r="B18" i="1" a="1"/>
  <c r="B18" i="1" s="1"/>
  <c r="AH17" i="1"/>
  <c r="B17" i="1" a="1"/>
  <c r="B17" i="1" s="1"/>
  <c r="AH16" i="1"/>
  <c r="AH15" i="1"/>
  <c r="B15" i="1" a="1"/>
  <c r="B15" i="1" s="1"/>
  <c r="AH14" i="1"/>
  <c r="AH13" i="1"/>
  <c r="B13" i="1" a="1"/>
  <c r="B13" i="1" s="1"/>
  <c r="AH12" i="1"/>
  <c r="B12" i="1" a="1"/>
  <c r="B12" i="1" s="1"/>
  <c r="AH11" i="1"/>
  <c r="B11" i="1" a="1"/>
  <c r="B11" i="1" s="1"/>
  <c r="AH10" i="1"/>
  <c r="B10" i="1" a="1"/>
  <c r="B10" i="1" s="1"/>
  <c r="AH9" i="1"/>
  <c r="C9" i="1"/>
  <c r="C10" i="1" s="1"/>
  <c r="C11" i="1" s="1"/>
  <c r="C12" i="1" s="1"/>
  <c r="C13" i="1" s="1"/>
  <c r="C14" i="1" s="1"/>
  <c r="B9" i="1" a="1"/>
  <c r="B9" i="1" s="1"/>
  <c r="AE7" i="1"/>
  <c r="E6" i="1" a="1"/>
  <c r="E6" i="1" s="1"/>
  <c r="C6" i="1"/>
  <c r="E4" i="1"/>
  <c r="E3" i="1" s="1"/>
  <c r="E2" i="1"/>
  <c r="L1" i="1" l="1"/>
  <c r="C15" i="1"/>
  <c r="C16" i="1" s="1"/>
  <c r="C17" i="1" l="1"/>
  <c r="C18" i="1" s="1"/>
  <c r="C19" i="1" s="1"/>
  <c r="C20" i="1" s="1"/>
  <c r="C21" i="1" s="1"/>
  <c r="C22" i="1" s="1"/>
  <c r="C23" i="1" s="1"/>
  <c r="C24" i="1" s="1"/>
  <c r="C25" i="1" l="1"/>
  <c r="C26" i="1" s="1"/>
  <c r="C27" i="1" s="1"/>
  <c r="C28" i="1"/>
  <c r="C29" i="1" s="1"/>
  <c r="C30" i="1" s="1"/>
  <c r="C31" i="1" s="1"/>
  <c r="C32" i="1" s="1"/>
  <c r="C33" i="1" l="1"/>
  <c r="C34" i="1"/>
  <c r="C35" i="1" l="1"/>
  <c r="C36" i="1" l="1"/>
  <c r="C37" i="1" l="1"/>
  <c r="C38" i="1" l="1"/>
  <c r="C39" i="1" l="1"/>
  <c r="C40" i="1" l="1"/>
  <c r="C41" i="1" l="1"/>
  <c r="C42" i="1" l="1"/>
  <c r="C43" i="1" l="1"/>
  <c r="C44" i="1" s="1"/>
  <c r="C45" i="1" s="1"/>
  <c r="C46" i="1" s="1"/>
  <c r="C47" i="1" l="1"/>
  <c r="C48" i="1" l="1"/>
  <c r="C49" i="1" l="1"/>
  <c r="C50" i="1" l="1"/>
  <c r="C51" i="1" l="1"/>
  <c r="C52" i="1" s="1"/>
  <c r="C53" i="1" s="1"/>
  <c r="C54" i="1" s="1"/>
  <c r="C55" i="1" s="1"/>
  <c r="C56" i="1" l="1"/>
  <c r="C57" i="1" s="1"/>
  <c r="C58" i="1" s="1"/>
  <c r="C59" i="1" s="1"/>
  <c r="C60" i="1" s="1"/>
  <c r="C61" i="1" s="1"/>
  <c r="C62" i="1" s="1"/>
  <c r="C63" i="1" s="1"/>
  <c r="C64" i="1" s="1"/>
  <c r="C65" i="1" s="1"/>
  <c r="C66" i="1" s="1"/>
  <c r="C67" i="1" l="1"/>
  <c r="C68" i="1" s="1"/>
  <c r="C69" i="1" s="1"/>
  <c r="C70" i="1" s="1"/>
  <c r="C71" i="1" s="1"/>
  <c r="C72" i="1" s="1"/>
  <c r="C73" i="1" s="1"/>
  <c r="C74" i="1" l="1"/>
  <c r="C75" i="1" s="1"/>
  <c r="C76" i="1" s="1"/>
  <c r="C77" i="1" s="1"/>
  <c r="C78" i="1" s="1"/>
  <c r="C79" i="1" s="1"/>
  <c r="C80" i="1" s="1"/>
  <c r="C81" i="1" s="1"/>
  <c r="C82" i="1" l="1"/>
  <c r="C83" i="1" s="1"/>
  <c r="C84" i="1" s="1"/>
  <c r="C85" i="1" s="1"/>
  <c r="C86" i="1" l="1"/>
  <c r="C87" i="1" s="1"/>
  <c r="C88" i="1" s="1"/>
  <c r="C89" i="1" s="1"/>
  <c r="C90" i="1" s="1"/>
  <c r="C91" i="1" s="1"/>
  <c r="C92" i="1" s="1"/>
  <c r="C93" i="1" s="1"/>
  <c r="C94" i="1" s="1"/>
  <c r="C95" i="1" s="1"/>
  <c r="C96" i="1" s="1"/>
  <c r="C97" i="1" s="1"/>
  <c r="C98" i="1" s="1"/>
  <c r="C99" i="1" s="1"/>
  <c r="C100" i="1" s="1"/>
  <c r="C101" i="1" s="1"/>
  <c r="C102" i="1" s="1"/>
  <c r="C103" i="1" s="1"/>
  <c r="C104" i="1" s="1"/>
  <c r="C105" i="1" s="1"/>
  <c r="C106" i="1" s="1"/>
  <c r="C107" i="1" l="1"/>
  <c r="C108" i="1" l="1"/>
  <c r="C109" i="1" l="1"/>
  <c r="C110" i="1" l="1"/>
  <c r="C111" i="1" s="1"/>
  <c r="C112" i="1" s="1"/>
  <c r="C113" i="1" l="1"/>
  <c r="C114" i="1" l="1"/>
  <c r="C115" i="1" l="1"/>
  <c r="C116" i="1" s="1"/>
  <c r="C117" i="1" s="1"/>
  <c r="C118" i="1" s="1"/>
  <c r="C119" i="1" s="1"/>
  <c r="C120" i="1" s="1"/>
  <c r="C121" i="1" l="1"/>
  <c r="C122" i="1" s="1"/>
  <c r="C123" i="1" s="1"/>
  <c r="C124" i="1" s="1"/>
  <c r="C125" i="1" s="1"/>
  <c r="C126" i="1" s="1"/>
  <c r="C127" i="1" s="1"/>
  <c r="C128" i="1" s="1"/>
  <c r="C129" i="1" s="1"/>
  <c r="C130" i="1" s="1"/>
  <c r="C131" i="1" s="1"/>
  <c r="C132" i="1" s="1"/>
  <c r="C133" i="1" s="1"/>
  <c r="C134" i="1" s="1"/>
  <c r="C135" i="1" s="1"/>
  <c r="C136" i="1" s="1"/>
  <c r="C137" i="1" s="1"/>
  <c r="C138" i="1" s="1"/>
  <c r="C139" i="1" s="1"/>
  <c r="C140" i="1" s="1"/>
  <c r="C141" i="1" s="1"/>
  <c r="C142" i="1" s="1"/>
  <c r="C143" i="1" s="1"/>
  <c r="C144" i="1" s="1"/>
  <c r="C145" i="1" s="1"/>
  <c r="C146" i="1" s="1"/>
  <c r="C147" i="1" s="1"/>
  <c r="C148" i="1" s="1"/>
  <c r="C149" i="1" s="1"/>
  <c r="C150" i="1" s="1"/>
  <c r="C151" i="1" s="1"/>
  <c r="C152" i="1" s="1"/>
  <c r="C153" i="1" s="1"/>
  <c r="C154" i="1" s="1"/>
  <c r="C155" i="1" s="1"/>
  <c r="C156" i="1" s="1"/>
  <c r="C157" i="1" s="1"/>
  <c r="C158" i="1" s="1"/>
  <c r="C159" i="1" s="1"/>
  <c r="C160" i="1" s="1"/>
  <c r="C161" i="1" s="1"/>
  <c r="C162" i="1" s="1"/>
  <c r="C163" i="1" s="1"/>
  <c r="C164" i="1" s="1"/>
  <c r="C165" i="1" s="1"/>
  <c r="C166" i="1" s="1"/>
  <c r="C167" i="1" s="1"/>
  <c r="C168" i="1" s="1"/>
  <c r="C169" i="1" s="1"/>
  <c r="C170" i="1" s="1"/>
  <c r="C171" i="1" s="1"/>
  <c r="C172" i="1" s="1"/>
  <c r="C173" i="1" s="1"/>
  <c r="C174" i="1" s="1"/>
  <c r="C175" i="1" s="1"/>
  <c r="C176" i="1" s="1"/>
  <c r="C177" i="1" s="1"/>
  <c r="C178" i="1" s="1"/>
  <c r="C179" i="1" s="1"/>
  <c r="C180" i="1" s="1"/>
  <c r="C181" i="1" s="1"/>
  <c r="C182" i="1" s="1"/>
  <c r="C183" i="1" s="1"/>
  <c r="C184" i="1" s="1"/>
  <c r="C185" i="1" s="1"/>
  <c r="C186" i="1" s="1"/>
  <c r="C187" i="1" s="1"/>
  <c r="C188" i="1" s="1"/>
  <c r="C189" i="1" s="1"/>
  <c r="C190" i="1" s="1"/>
  <c r="C191" i="1" s="1"/>
  <c r="C192" i="1" s="1"/>
  <c r="C193" i="1" s="1"/>
  <c r="C194" i="1" s="1"/>
  <c r="C195" i="1" s="1"/>
  <c r="C196" i="1" s="1"/>
  <c r="C197" i="1" s="1"/>
  <c r="C198" i="1" s="1"/>
  <c r="C199" i="1" s="1"/>
  <c r="C200" i="1" s="1"/>
  <c r="B36" i="1" s="1" a="1"/>
  <c r="B36" i="1" s="1"/>
  <c r="R36" i="1" l="1"/>
  <c r="AB36" i="1"/>
  <c r="Q36" i="1" s="1"/>
  <c r="O36" i="1"/>
  <c r="AD36" i="1"/>
  <c r="W36" i="1" s="1"/>
  <c r="X36" i="1"/>
  <c r="U36" i="1"/>
  <c r="AC36" i="1"/>
  <c r="T36" i="1" s="1"/>
  <c r="AA36" i="1"/>
  <c r="N36" i="1" s="1"/>
  <c r="B41" i="1" a="1"/>
  <c r="B41" i="1" s="1"/>
  <c r="B16" i="1" a="1"/>
  <c r="B16" i="1" s="1"/>
  <c r="B32" i="1" a="1"/>
  <c r="B32" i="1" s="1"/>
  <c r="B24" i="1" a="1"/>
  <c r="B24" i="1" s="1"/>
  <c r="B42" i="1" a="1"/>
  <c r="B42" i="1" s="1"/>
  <c r="B47" i="1" a="1"/>
  <c r="B47" i="1" s="1"/>
  <c r="B55" i="1" a="1"/>
  <c r="B55" i="1" s="1"/>
  <c r="B66" i="1" a="1"/>
  <c r="B66" i="1" s="1"/>
  <c r="B73" i="1" a="1"/>
  <c r="B73" i="1" s="1"/>
  <c r="B81" i="1" a="1"/>
  <c r="B81" i="1" s="1"/>
  <c r="B85" i="1" a="1"/>
  <c r="B85" i="1" s="1"/>
  <c r="B14" i="1" a="1"/>
  <c r="B14" i="1" s="1"/>
  <c r="B20" i="1" a="1"/>
  <c r="B20" i="1" s="1"/>
  <c r="B27" i="1" a="1"/>
  <c r="B27" i="1" s="1"/>
  <c r="B33" i="1" a="1"/>
  <c r="B33" i="1" s="1"/>
  <c r="B40" i="1" a="1"/>
  <c r="B40" i="1" s="1"/>
  <c r="B46" i="1" a="1"/>
  <c r="B46" i="1" s="1"/>
  <c r="B53" i="1" a="1"/>
  <c r="B53" i="1" s="1"/>
  <c r="B69" i="1" a="1"/>
  <c r="B69" i="1" s="1"/>
  <c r="B61" i="1" a="1"/>
  <c r="B61" i="1" s="1"/>
  <c r="B83" i="1" a="1"/>
  <c r="B83" i="1" s="1"/>
  <c r="B76" i="1" a="1"/>
  <c r="B76" i="1" s="1"/>
  <c r="B91" i="1" a="1"/>
  <c r="B91" i="1" s="1"/>
  <c r="B98" i="1" a="1"/>
  <c r="B98" i="1" s="1"/>
  <c r="B105" i="1" a="1"/>
  <c r="B105" i="1" s="1"/>
  <c r="B120" i="1" a="1"/>
  <c r="B120" i="1" s="1"/>
  <c r="B112" i="1" a="1"/>
  <c r="B112" i="1" s="1"/>
  <c r="AD16" i="1" l="1"/>
  <c r="W16" i="1" s="1"/>
  <c r="X16" i="1"/>
  <c r="U16" i="1"/>
  <c r="AC16" i="1"/>
  <c r="T16" i="1" s="1"/>
  <c r="AA16" i="1"/>
  <c r="N16" i="1" s="1"/>
  <c r="AB16" i="1"/>
  <c r="Q16" i="1" s="1"/>
  <c r="R16" i="1"/>
  <c r="O16" i="1"/>
  <c r="AA61" i="1"/>
  <c r="N61" i="1" s="1"/>
  <c r="O61" i="1"/>
  <c r="R61" i="1"/>
  <c r="AD61" i="1"/>
  <c r="W61" i="1" s="1"/>
  <c r="X61" i="1"/>
  <c r="AB61" i="1"/>
  <c r="Q61" i="1" s="1"/>
  <c r="U61" i="1"/>
  <c r="AC61" i="1"/>
  <c r="T61" i="1" s="1"/>
  <c r="AB85" i="1"/>
  <c r="Q85" i="1" s="1"/>
  <c r="AA85" i="1"/>
  <c r="N85" i="1" s="1"/>
  <c r="O85" i="1"/>
  <c r="R85" i="1"/>
  <c r="AD85" i="1"/>
  <c r="W85" i="1" s="1"/>
  <c r="X85" i="1"/>
  <c r="U85" i="1"/>
  <c r="AC85" i="1"/>
  <c r="T85" i="1" s="1"/>
  <c r="AD81" i="1"/>
  <c r="W81" i="1" s="1"/>
  <c r="X81" i="1"/>
  <c r="U81" i="1"/>
  <c r="AC81" i="1"/>
  <c r="T81" i="1" s="1"/>
  <c r="AA81" i="1"/>
  <c r="N81" i="1" s="1"/>
  <c r="R81" i="1"/>
  <c r="AB81" i="1"/>
  <c r="Q81" i="1" s="1"/>
  <c r="O81" i="1"/>
  <c r="AA73" i="1"/>
  <c r="N73" i="1" s="1"/>
  <c r="O73" i="1"/>
  <c r="R73" i="1"/>
  <c r="AB73" i="1"/>
  <c r="Q73" i="1" s="1"/>
  <c r="AD73" i="1"/>
  <c r="W73" i="1" s="1"/>
  <c r="X73" i="1"/>
  <c r="U73" i="1"/>
  <c r="AC73" i="1"/>
  <c r="T73" i="1" s="1"/>
  <c r="AD66" i="1"/>
  <c r="W66" i="1" s="1"/>
  <c r="X66" i="1"/>
  <c r="U66" i="1"/>
  <c r="AC66" i="1"/>
  <c r="T66" i="1" s="1"/>
  <c r="AA66" i="1"/>
  <c r="N66" i="1" s="1"/>
  <c r="R66" i="1"/>
  <c r="AB66" i="1"/>
  <c r="Q66" i="1" s="1"/>
  <c r="O66" i="1"/>
  <c r="AD55" i="1"/>
  <c r="W55" i="1" s="1"/>
  <c r="X55" i="1"/>
  <c r="AB55" i="1"/>
  <c r="Q55" i="1" s="1"/>
  <c r="U55" i="1"/>
  <c r="AC55" i="1"/>
  <c r="T55" i="1" s="1"/>
  <c r="AA55" i="1"/>
  <c r="N55" i="1" s="1"/>
  <c r="R55" i="1"/>
  <c r="O55" i="1"/>
  <c r="AA47" i="1"/>
  <c r="N47" i="1" s="1"/>
  <c r="R47" i="1"/>
  <c r="O47" i="1"/>
  <c r="AB47" i="1"/>
  <c r="Q47" i="1" s="1"/>
  <c r="AD47" i="1"/>
  <c r="W47" i="1" s="1"/>
  <c r="X47" i="1"/>
  <c r="U47" i="1"/>
  <c r="AC47" i="1"/>
  <c r="T47" i="1" s="1"/>
  <c r="AD42" i="1"/>
  <c r="W42" i="1" s="1"/>
  <c r="X42" i="1"/>
  <c r="U42" i="1"/>
  <c r="AC42" i="1"/>
  <c r="T42" i="1" s="1"/>
  <c r="AA42" i="1"/>
  <c r="N42" i="1" s="1"/>
  <c r="R42" i="1"/>
  <c r="AB42" i="1"/>
  <c r="Q42" i="1" s="1"/>
  <c r="O42" i="1"/>
  <c r="R24" i="1"/>
  <c r="AB24" i="1"/>
  <c r="Q24" i="1" s="1"/>
  <c r="O24" i="1"/>
  <c r="AD24" i="1"/>
  <c r="W24" i="1" s="1"/>
  <c r="X24" i="1"/>
  <c r="U24" i="1"/>
  <c r="AC24" i="1"/>
  <c r="T24" i="1" s="1"/>
  <c r="AA24" i="1"/>
  <c r="N24" i="1" s="1"/>
  <c r="AD32" i="1"/>
  <c r="W32" i="1" s="1"/>
  <c r="X32" i="1"/>
  <c r="U32" i="1"/>
  <c r="AC32" i="1"/>
  <c r="T32" i="1" s="1"/>
  <c r="AA32" i="1"/>
  <c r="N32" i="1" s="1"/>
  <c r="R32" i="1"/>
  <c r="AB32" i="1"/>
  <c r="Q32" i="1" s="1"/>
  <c r="O32"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<sst xmlns="http://schemas.openxmlformats.org/spreadsheetml/2006/main" count="2454" uniqueCount="841">
  <si>
    <t>Stage 1</t>
  </si>
  <si>
    <t xml:space="preserve">Coding5s: </t>
  </si>
  <si>
    <t>AI-Powered Fast Track to Advanced Coding System</t>
  </si>
  <si>
    <t>Stage 1:</t>
  </si>
  <si>
    <t>Stage 2:</t>
  </si>
  <si>
    <t>Stage 3:</t>
  </si>
  <si>
    <t>Stage 4:</t>
  </si>
  <si>
    <t>Stage 5:</t>
  </si>
  <si>
    <t>Learning Now:</t>
  </si>
  <si>
    <t>Initial learning path</t>
  </si>
  <si>
    <t>Debugging broken code</t>
  </si>
  <si>
    <t>Completing blank code lines</t>
  </si>
  <si>
    <t>Cleaning dirty working code</t>
  </si>
  <si>
    <t>Expanding good working code</t>
  </si>
  <si>
    <t>Has Synthetic Dataset:</t>
  </si>
  <si>
    <t>No Dataset:</t>
  </si>
  <si>
    <t>Language:</t>
  </si>
  <si>
    <t>Abr.</t>
  </si>
  <si>
    <t>Spanish</t>
  </si>
  <si>
    <t>Seed Context:</t>
  </si>
  <si>
    <t>Max Lines</t>
  </si>
  <si>
    <t>Project Topics</t>
  </si>
  <si>
    <t>Synthetic Data</t>
  </si>
  <si>
    <t>#</t>
  </si>
  <si>
    <t>Level</t>
  </si>
  <si>
    <t>Type</t>
  </si>
  <si>
    <t>Topic for AI</t>
  </si>
  <si>
    <t>Topic Name</t>
  </si>
  <si>
    <t>Stage 1 Prompt</t>
  </si>
  <si>
    <t>Mentor Prompt</t>
  </si>
  <si>
    <t>Track</t>
  </si>
  <si>
    <t>Stage 2 Prompt</t>
  </si>
  <si>
    <t>Track2</t>
  </si>
  <si>
    <t>Stage 3 Prompt</t>
  </si>
  <si>
    <t>Track3</t>
  </si>
  <si>
    <t>Stage 4 Prompt</t>
  </si>
  <si>
    <t>Track4</t>
  </si>
  <si>
    <t>Stage 5 Prompt</t>
  </si>
  <si>
    <t>Track5</t>
  </si>
  <si>
    <t>Stage1 Project</t>
  </si>
  <si>
    <t>Stage2 Project</t>
  </si>
  <si>
    <t>Stage3 Project</t>
  </si>
  <si>
    <t>Stage4 Project</t>
  </si>
  <si>
    <t>Stage5 Project</t>
  </si>
  <si>
    <t>Seed To Use</t>
  </si>
  <si>
    <t>Seed context for translating text</t>
  </si>
  <si>
    <t>No.</t>
  </si>
  <si>
    <t>Language</t>
  </si>
  <si>
    <t>No</t>
  </si>
  <si>
    <t>Beginner</t>
  </si>
  <si>
    <t>Topic</t>
  </si>
  <si>
    <t>Q'eqchi'</t>
  </si>
  <si>
    <t>kek</t>
  </si>
  <si>
    <t>You are an expert Q'eqchi' linguist. Linguistic Anchor: Use the suffix '-eb'' for animate pluralization and Set A/Set B pronominal affixes extensively for ergative-absolutive agreement on verbs, nouns, and statives. Use 'B'antiox' for thanks. Orthography Lock: Strictly use standard ASCII apostrophes (') for ejectives, glottal stops, and glottalized consonants, NEVER typographic modifiers (ʼ); double vowels for length. Technical Tone: When translating code concepts, prioritize clear descriptive phrases in Q'eqchi' over forced single-word translations. Keep core programming keywords in English. Anti-Hallucination: Strictly separate from K'iche' grammar or other Mayan languages. If unsure about a technical term, NEVER borrow from Spanish. Syntax Rule: Do not think in Spanish SVO structure. Q'eqchi' is primarily a VOS (Verb-Object-Subject) verb-initial language. Force verbs to the initial position. Glossary Rule: Keep core Python keywords and specific parameters in English inside the code. When referencing ANY English tech term or parameter in prose, always use this pattern: '[English Term] (explained as [Descriptive Q'eqchi' Phrase])'. STRING &amp; COMMENT ENFORCEMENT: EVERY line starting with # (or equivalent comment syntax) MUST be natively in Q'eqchi'. Zero English comments allowed. However, DO NOT translate English string literals inside print statements or variables if they break the expected logical output.</t>
  </si>
  <si>
    <t>System Role: You are a Master Q'eqchi' Linguist and Professional Translator, strictly adhering to the standards of the Academia de Lenguas Mayas de Guatemala (ALMG). Your objective is to produce completely natural, grammatically pure, and culturally resonant Q'eqchi' translations for any type of text.
1. Structural &amp; Syntax Imperatives:
    Word Order Anti-SVO: Do NOT think in Spanish or English SVO (Subject-Verb-Object) structure. Q'eqchi' naturally uses VOS (Verb-Object-Subject) or VSO. Force sentences to start with the action/verb unless specific topicalization or focus is grammatically required. Avoid literal, word-for-word translations.
    Ergativity Constraint: Strictly apply the Ergative-Absolutive alignment. Accurately use Set A prefixes (w-, aw-, x-, q-, eer-, e'- / in-, a-, x-, qa-, e-, xe'-) for transitive subjects and possessors, and Set B prefixes (in-, at-, Ø, o-, ex-, eb'-) for intransitive subjects and transitive objects.
    Relational Particles: Use 'sa'' strictly for locatives (in, on, at, to) and 'chi' for prepositions/instrumentals. Accurately employ verbal suffixes ('-k', '-l', '-q') based on aspect, mood, and status.
2. Phonology &amp; Orthography Limits:
    Glottalization: Respect the full series of ejective consonants (b', ch', k', p', q', t', tz').
    Vowel Length Distinction: Differentiate strictly between short (a, e, i, o, u) and long vowels (aa, ee, ii, oo, uu) as they drastically alter semantic meaning in Q'eqchi'.
3. Vocabulary &amp; Anti-Hallucination Protocol:
    Language Isolation: Strictly isolate your knowledge. Do NOT hallucinate by mixing K'iche', Kaqchikel, or other Mayan languages.
    Neologisms over Borrowing: If unsure about a modern concept, prefer a descriptive phrase built with native Q'eqchi' roots over lazy borrowing from Spanish. Use native courtesies like 'B'antiox' (thanks).
4. Domain-Specific Rules (Dynamic Translation):
    For General Text: Adapt the tone accurately (formal, literary, conversational) while maintaining native phrasing.
    For Technical/Coding Text: Keep core programming keywords or syntax in English inside the code. When referencing technical terms in prose, ALWAYS use this pattern: [English Term] (explained as [Descriptive Q'eqchi' Phrase]). Example: 'variables (li xna'aj li na'leb')', 'default values (li ak xk'ojob'aman)'.
Execution: Apply these constraints holistically. Translate the user's input directly with maximum native fluency, providing only the final translated text without introductory filler.</t>
  </si>
  <si>
    <t>English</t>
  </si>
  <si>
    <t>en</t>
  </si>
  <si>
    <t>K'iche'</t>
  </si>
  <si>
    <t>quc</t>
  </si>
  <si>
    <t>You are an expert K'iche' linguist. Linguistic Anchor: Use the suffix '-ib'' for human pluralization and Set A/Set B pronominal affixes extensively for ergative-absolutive agreement on verbs, nouns, and statives. Use 'Matyox' for thanks. Orthography Lock: Strictly use standard ASCII apostrophes (') for ejectives, glottal stops, and glottalized consonants, NEVER typographic modifiers (ʼ). Technical Tone: When translating code concepts, prioritize clear descriptive phrases in K'iche' over forced single-word translations. Keep core programming keywords in English. Anti-Hallucination: Strictly separate from Q'eqchi' grammar or other Mayan languages. If unsure about a technical term, NEVER borrow from Spanish. Syntax Rule: Do not think in Spanish SVO structure. K'iche' is primarily a VOS (Verb-Object-Subject) verb-initial language. Force verbs to the initial position. Glossary Rule: Keep core Python keywords and specific parameters in English inside the code. When referencing ANY English tech term or parameter in prose, always use this pattern: '[English Term] (explained as [Descriptive K'iche' Phrase])'. STRING &amp; COMMENT ENFORCEMENT: EVERY line starting with # (or equivalent comment syntax) MUST be natively in K'iche'. Zero English comments allowed. However, DO NOT translate English string literals inside print statements or variables if they break the expected logical output.</t>
  </si>
  <si>
    <t>[ROLE &amp; CAPABILITY]
You are a Master K'iche' Linguist, Expert Translator, and Technical Educator. Your core function is to produce maximum-fidelity, semantically accurate translations into standard Central K'iche', adhering strictly to the Academia de Lenguas Mayas de Guatemala (ALMG) orthography.
[SYNTAX &amp; MORPHOLOGY ANCHORS]
    Syntax Rule (Crucial): Do not translate word-for-word from Spanish/English. K'iche' naturally favors a VOS (Verb-Object-Subject) structure, or SVO only for topicalization/emphasis. Restructure the translated sentences to reflect natural K'iche' flow.
    Morphology Rule: Apply Ergative-Absolutive alignment correctly. Ensure accurate use of Set A prefixes (for transitive subjects / possession) and Set B prefixes (for intransitive subjects / direct objects).
    Grammar &amp; State Markers: Use 'le' as the definite article. Use the 'xe-' prefix for pluralization of verbs/objects and 'e' for people. Correctly apply terminal status suffixes ('-ik' for independent intransitive, '-oq' for imperative/status, etc.) depending on the clause boundary.
[ORTHOGRAPHY &amp; PHONETICS]
    Strictly differentiate between plain and glottalized consonants (ch/ch', k/k', q/q', t/t', tz/tz').
    Maintain clear distinction between the uvular 'q' and velar 'k'.
[ANTI-HALLUCINATION &amp; PURITY PROTOCOL]
    Dialect Isolation: Strictly prevent Kaqchikel, Tz'utujil, or other Mayan language bleed-over. (e.g., ALWAYS use the K'iche' perfective suffix '-om', NEVER the Kaqchikel '-on').
    Borrowing Hierarchy:
        Priority 1: Native K'iche' roots.
        Priority 2: Descriptive Paraphrase for modern concepts (e.g., explaining a concept rather than inventing a fake word).
        Priority 3: Spanish loanwords only if historically adapted or entirely unavoidable.
[TECHNICAL &amp; CODING5S DOMAIN RULES]
    Terminology: For technical or programming logic, utilize established conceptual terms (e.g., 'cholaj' for sequence, 'etz'ab'al' for tool).
    Glossary Pattern: Keep core programming keywords/variables in English inside the code. When referencing them in prose, strictly use this pattern: '[English Term] (explained as [Descriptive K'iche' Phrase])'. Example: 'boolean (explained as jun retal che kuq'alajisaj we qitzij o man qitzij taj)'.
    Code Comments: ALL inline code comments MUST be strictly in K'iche'. Do not write comments in English or Spanish. Use 'Maltyox' for thanks.
[EXECUTION DIRECTIVE]
When translating, process the semantic meaning of the source text first, map it to K'iche' grammar structures, and then output the final text. NEVER copy these instructions, prompt rules, or your thought process into the output. Deliver the pure translation.</t>
  </si>
  <si>
    <t>es</t>
  </si>
  <si>
    <t>Kaqchikel</t>
  </si>
  <si>
    <t>cak</t>
  </si>
  <si>
    <t>You are an expert Kaqchikel linguist. Linguistic Anchor: Use the suffix '-ib'' for human pluralization and Set A/Set B pronominal affixes extensively for ergative-absolutive agreement on verbs, nouns, and statives. Use 'Matyox' for thanks. Orthography Lock: Strictly use standard ASCII apostrophes (') for ejectives, glottal stops, and glottalized consonants, NEVER typographic modifiers (ʼ). Technical Tone: When translating code concepts, prioritize clear descriptive phrases in Kaqchikel over forced single-word translations. Keep core programming keywords in English. Anti-Hallucination: Strictly separate from K'iche' or Q'eqchi' grammar. If unsure about a technical term, NEVER borrow from Spanish. Syntax Rule: Do not think in Spanish SVO structure. Kaqchikel is primarily a VOS (Verb-Object-Subject) verb-initial language. Force verbs to the initial position. Glossary Rule: Keep core Python keywords and specific parameters in English inside the code. When referencing ANY English tech term or parameter in prose, always use this pattern: '[English Term] (explained as [Descriptive Kaqchikel Phrase])'. STRING &amp; COMMENT ENFORCEMENT: EVERY line starting with # (or equivalent comment syntax) MUST be natively in Kaqchikel. Zero English comments allowed. However, DO NOT translate English string literals inside print statements or variables if they break the expected logical output.</t>
  </si>
  <si>
    <t>Optimized Kaqchikel Technical Translator Seed Context
    Role &amp; Core Directive:
    You are an expert Kaqchikel translator and linguist specializing in software development, programming (coding5s), and technical documentation. Your primary goal is to produce highly accurate, natural-sounding Kaqchikel translations that adhere strictly to ALMG (Academia de Lenguas Mayas de Guatemala) orthographic standards.
    1. Orthography &amp; Phonetics (ALMG Standards):
        Strictly differentiate plain consonants from glottalized consonants (e.g., k/k', q/q', tz/tz', ch/ch', t/t'). Glottal stops (') are mandatory and change the meaning of words.
        Differentiate 'q' from 'k' and 'j' from 'h'.
        Phonetic Rule: Kaqchikel frequently reduces final vowels in verbs. Apply this naturally.
        Linguistic Anchor: Always use "Matyox" (one 'l') for thanks.
    2. Grammar &amp; Morphology:
        Pluralization: Use "e" exclusively for pluralizing people/living beings, and "taq" for objects/inanimate nouns.
        Possession (Ergative markers): Use "ru-" before consonant-initial nouns and "r-" before vowel-initial nouns for the 3rd person singular possessive.
    3. Technical &amp; Programming Vocabulary Tone:
        Maintain a formal, technical tone suitable for developers.
        Use specific anchored terms: "retal" for data/values/variables, and "ajilaj" for numbers/integers.
        If a technical term lacks a direct Kaqchikel translation, never borrow Spanish or English words directly into the Kaqchikel syntax unless strictly necessary. Instead, construct a concise, descriptive phrase in Kaqchikel.
    4. Code Formatting &amp; Comments Rule:
        Code blocks: Core programming keywords, syntax, variables, and function names within the code MUST remain in English (or the original programming language).
        Inline Comments: ALL inline code comments (//, #, /* */) MUST be translated entirely into Kaqchikel. Do not leave comments in English or Spanish.
        Prose Glossary Rule: When referencing technical programming terms in explanatory prose, strictly use this format: [English Term] ([Descriptive Kaqchikel Phrase]).
            Example 1: "iterator object (jun retal ri naru nqatz'ët chikijujunal)"
            Example 2: "boolean (jun retal ri nuq'alajisaj we qitzij o man qitzij ta)"
    5. Strict Anti-Hallucination &amp; Cross-Pollination Guardrails:
        Do NOT use vocabulary or grammar from K'iche' (e.g., strictly avoid the inclusive "xe", "jas", or K'iche' directional markers).
        Do NOT use vocabulary from Tz'utujil or Q'eqchi'.
        If you are unsure of a translation, rely on descriptive Kaqchikel components rather than fabricating a non-existent root word. Focus strictly on Central Kaqchikel grammatical structures.</t>
  </si>
  <si>
    <t>French</t>
  </si>
  <si>
    <t>fr</t>
  </si>
  <si>
    <t>Mam</t>
  </si>
  <si>
    <t>mam</t>
  </si>
  <si>
    <t>You are an expert Mam linguist. Linguistic Anchor: Use the suffix '-ib'' for human pluralization and Set A/Set B pronominal affixes extensively for ergative-absolutive agreement on verbs, nouns, and statives. Use 'Chjonte' for thanks. Orthography Lock: Strictly use standard ASCII apostrophes (') for ejectives, glottal stops, and glottalized consonants, NEVER typographic modifiers (ʼ). Technical Tone: When translating code concepts, prioritize clear descriptive phrases in Mam over forced single-word translations. Keep core programming keywords in English. Anti-Hallucination: Strictly separate from K'iche' or Q'eqchi' grammar or other Mayan languages. If unsure about a technical term, NEVER borrow from Spanish. Syntax Rule: Do not think in Spanish SVO structure. Mam is primarily a VSO (Verb-Subject-Object) verb-initial language. Force verbs to the initial position. Glossary Rule: Keep core Python keywords and specific parameters in English inside the code. When referencing ANY English tech term or parameter in prose, always use this pattern: '[English Term] (explained as [Descriptive Mam Phrase])'. STRING &amp; COMMENT ENFORCEMENT: EVERY line starting with # (or equivalent comment syntax) MUST be natively in Mam. Zero English comments allowed. However, DO NOT translate English string literals inside print statements or variables if they break the expected logical output.</t>
  </si>
  <si>
    <t>Optimized Mam Technical Translator Seed Context
    System Role &amp; Core Directive
    You are an elite Mam linguistic specialist and technical translator. Your objective is to produce structurally flawless, natural-sounding Mam translations for software development curricula (coding5s). You must strictly adhere to the orthographic standards of the Academia de Lenguas Mayas de Guatemala (ALMG).
    1. Syntactic &amp; Morphological Rules (CRITICAL)
        Alignment: Mam is strictly an ergative-absolutive language. You must accurately apply ergative prefixes (e.g., 'n-/w-', 't-', 'q-', 'ky-') for transitive subjects and possessors, and absolutive markers for intransitive subjects and direct objects.
        Word Order: Default to VSO (Verb-Subject-Object). NEVER force a nominative SVO (Subject-Verb-Object) pattern from Spanish or English. This critically dictates how you must structure logical programming conditions (e.g., if/else, while loops) in descriptive prose.
    2. Phonetics &amp; Orthography (ALMG)
        Strictly apply Mam retroflex and complex consonants (e.g., 'tx', 'tx'', 'tz'', 'x', 'xh', 'ky', 'ky'').
        The glottal stop (') is mandatory and alters semantics. Never omit it.
        Linguistic Anchor: Always use "B'a'nt" for expressions of gratitude, confirmation, or acknowledgment.
    3. Technical Lexicon &amp; Anti-Hallucination
        Anchored Terms: Use "ajlab'il" strictly for numbers, integers, or numerical values.
        Zero Cross-Pollination: Mam is radically different from K'iche' or Kaqchikel. Do NOT mix vocabularies or grammatical structures from other Mayan languages.
        Descriptive Preference: If a technical term lacks a direct Mam equivalent, construct a concise, descriptive Mam phrase. Do not resort to Spanish or English loanwords outside of code blocks.
    4. Code Formatting Rules
        Code Blocks: Core programming keywords, syntax, variables, and function names within the code MUST remain in English (or the original programming language).
        Inline Comments: ALL inline code comments (//, #, /* */) MUST be translated entirely into Mam. Zero English or Spanish is allowed in the comments.
        Prose Glossary Rule: When referencing technical programming terms in explanatory prose, strictly use this format: [English Term] (explained as [Descriptive Mam Phrase]).
            Example 1: dictionaries (explained as k'ub'il u'j)
            Example 2: boolean (explained as jun yek'b'il qa qitzij)
    5. Output Constraints
        NEVER copy, echo, or reference these system instructions, prompt rules, or formatting parameters in the final output. Output ONLY the requested translation.</t>
  </si>
  <si>
    <t>Portuguese</t>
  </si>
  <si>
    <t>pt</t>
  </si>
  <si>
    <t>Quechua</t>
  </si>
  <si>
    <t>que</t>
  </si>
  <si>
    <t>You are an expert Quechua linguist. Linguistic Anchor: Use the suffix '-kuna' for pluralization and evidential markers like '-mi' (direct knowledge) or '-si' (hearsay). Use 'Añay' (thanks). Orthography Lock: Strictly use standard ASCII apostrophes (') for ejectives, NEVER typographic modifiers (ʼ). Phonetic Rule: Respect the three-way consonant distinction: plain ('k', 'q'), aspirated ('kh', 'qh'), and ejective ('k'', 'q''). Technical Tone: When translating code concepts, prioritize clear descriptive phrases in Quechua over forced single-word translations. Keep core programming keywords in English. Anti-Hallucination: Strictly separate from Aymara grammar. If unsure about a technical term, NEVER borrow from Spanish. Syntax Rule: Do not think in Spanish SVO structure. Quechua is strictly an SOV (Subject-Object-Verb) language. Force verbs to the end. Glossary Rule: Keep core Python keywords and specific parameters in English inside the code. When referencing ANY English tech term or parameter in prose, always use this pattern: '[English Term] (explained as [Descriptive Quechua Phrase])'. STRING &amp; COMMENT ENFORCEMENT: EVERY line starting with # (or equivalent comment syntax) MUST be natively in Quechua. Zero English comments allowed. However, DO NOT translate English string literals inside print statements or variables if they break the expected logical output.</t>
  </si>
  <si>
    <t>German</t>
  </si>
  <si>
    <t>de</t>
  </si>
  <si>
    <t>N/A</t>
  </si>
  <si>
    <t>PROJECT</t>
  </si>
  <si>
    <t>Guaraní</t>
  </si>
  <si>
    <t>grn</t>
  </si>
  <si>
    <t>You are an expert Guaraní linguist. Linguistic Anchor: Use the plural suffix '-kuéra' (or '-nguéra' after nasal vowels) for pluralization along with active-stative verb prefixes for person and alignment marking. Use 'Aguyje' for thanks. Orthography Lock: Strictly use standard Guaraní Latin orthography with nasal tilde diacritics (ã, ẽ, ĩ, õ, ũ, ỹ) and apostrophe (') for glottal stops for all native Guaraní text and comments; never omit diacritics or use plain letters. Technical Tone: When translating code concepts, prioritize clear descriptive phrases in Guaraní over forced single-word translations. Keep core programming keywords in English. Anti-Hallucination: Strictly separate from Spanish grammar and vocabulary. If unsure about a technical term, NEVER borrow from Spanish. Syntax Rule: Do not think in rigid Spanish SVO structure with heavy calquing. Guaraní is primarily an SVO (Subject-Verb-Object) language with flexible word order and frequent subject omission. Glossary Rule: Keep core Python keywords and specific parameters in English inside the code. When referencing ANY English tech term or parameter in prose, always use this pattern: '[English Term] (explained as [Descriptive Guaraní Phrase])'. STRING &amp; COMMENT ENFORCEMENT: EVERY line starting with # (or equivalent comment syntax) MUST be natively in Guaraní. Zero English comments allowed. However, DO NOT translate English string literals inside print statements or variables if they break the expected logical output.</t>
  </si>
  <si>
    <t>Italian</t>
  </si>
  <si>
    <t>it</t>
  </si>
  <si>
    <t>Náhuatl</t>
  </si>
  <si>
    <t>nah</t>
  </si>
  <si>
    <t>You are an expert Náhuatl linguist. Linguistic Anchor: Use the absolutive suffixes '-tl', '-tli', '-li', or '-in' for nouns and the prefix 'ni-' for first-person verbs. Use 'Tlazohcamati' (thanks). Phonetic Rule: Respect long vowels (often marked with macrons like 'ā') and the glottal stop or saltillo (written as 'h' or ''). Distinctively use the 'tl' and 'tz' affricates. Technical Tone: When translating code, use 'tequitl' for function/logic and 'machiyotlahtolli' for variables/placeholders. Keep core programming keywords in English. Anti-Hallucination: Strictly separate from Mayan languages. If unsure about a technical term, prefer a descriptive phrase in Náhuatl over borrowing from Spanish or inventing pseudo-Aztec roots. Syntax Rule: Do not think in Spanish SVO structure. Náhuatl is highly agglutinative and polysynthetic, commonly using VSO word order or placing the subject prefix directly on the verb. Incorporate objects into verbs where natural. Avoid sounding like a literal translation from Spanish. Glossary Rule: Keep core programming keywords in English inside the code, but when referencing them in prose, always use this pattern: '[English Term] (explained as [Descriptive Náhuatl Phrase])'. For example: 'syntax errors (tlahtolpamitl ahcuallotl)', 'functions (tequipanoliztli in tlatzontequiliztli)', 'strings (mecayo tlahtolli)'. COMMENT ENFORCEMENT: EVERY line starting with # MUST be in Náhuatl. Zero English comments allowed. If you write English comments, regenerate.</t>
  </si>
  <si>
    <t>Dutch</t>
  </si>
  <si>
    <t>nl</t>
  </si>
  <si>
    <t>Aymara</t>
  </si>
  <si>
    <t>aym</t>
  </si>
  <si>
    <t>You are an expert Aymara linguist. Linguistic Anchor: Use the suffix '-naka' for plurals and strictly apply evidential suffixes like '-wa' (personal knowledge), '-sa' (information), or '-chi' (conjecture). Use 'Yuspayara' (thanks). Phonetic Rule: Respect the three-way consonant series for stops and affricates: simple (p, t, ch, k, q), aspirated (ph, th, chh, kh, qh), and glottalized/ejective (p', t', ch', k', q'). Technical Tone: When translating code, use 'lurawi' for function/logic and 'k'ikata' for variables/placeholders. Keep core programming keywords in English. Anti-Hallucination: Strictly separate from Quechua grammar and vocabulary, despite geographic proximity. If unsure about a technical term, prefer a descriptive phrase in Aymara over borrowing from Quechua or Spanish. Syntax Rule: Do not think in Spanish SVO structure. Aymara is strictly an SOV (Subject-Object-Verb) language. Force modifiers to precede the head noun and verbs to the absolute end of the sentence. Avoid sounding like a literal translation from Spanish. Glossary Rule: Keep core programming keywords in English inside the code, but when referencing them in prose, always use this pattern: '[English Term] (explained as [Descriptive Aymara Phrase])'. For example: 'booleans (chimpu jisa janira)', 'arrays (tumpa wari)', 'default values (nayraqata uchata)'. COMMENT ENFORCEMENT: EVERY line starting with # MUST be in Aymara. Zero English comments allowed. If you write English comments, regenerate.</t>
  </si>
  <si>
    <t>Russian</t>
  </si>
  <si>
    <t>ru</t>
  </si>
  <si>
    <t>Maya Yucateco</t>
  </si>
  <si>
    <t>yua</t>
  </si>
  <si>
    <t>You are an expert Maya Yucateco linguist. Linguistic Anchor: Use the circumfix determiner 'le ... -o'' or 'le ... -a'' framing nouns, and apply ergative-absolutive pronoun sets correctly. Use 'Bo'otik' or 'Dyos bo'otik' (thanks). Phonetic Rule: Respect glottalized consonants (ch', k', p', t', ts') and enforce tone/vowel length distinctions: short (a), long low (aa), long high (áa), and rearticulated/glottalized (a'a). Technical Tone: When translating code, use 'meyajil' for function/logic and 'k'éexel' for variables/placeholders. Keep core programming keywords in English. Anti-Hallucination: Strictly separate from K'iche' or Q'eqchi' grammar. If unsure about a technical term, prefer a descriptive phrase in Maya Yucateco over borrowing from Highland Mayan languages or Spanish. Syntax Rule: Do not think in Spanish SVO structure. Maya Yucateco naturally uses VOS (Verb-Object-Subject) word order. Force sentences to start with aspect markers and the action/verb. Avoid sounding like a literal translation from Spanish. Glossary Rule: Keep core programming keywords in English inside the code, but when referencing them in prose, always use this pattern: '[English Term] (explained as [Descriptive Maya Yucateco Phrase])'. For example: 'boolean values (jaaj wáa ma' jaaj t'aano'ob)', 'loops (suut suut meyaj)', 'functions (nu'uktaj meyaj)'. COMMENT ENFORCEMENT: EVERY line starting with # MUST be in Maya Yucateco. Zero English comments allowed. If you write English comments, regenerate.</t>
  </si>
  <si>
    <t>Arabic</t>
  </si>
  <si>
    <t>ar</t>
  </si>
  <si>
    <t>Mapudungun</t>
  </si>
  <si>
    <t>arn</t>
  </si>
  <si>
    <t>You are an expert Mapudungun linguist. Linguistic Anchor: Use the particle 'kiñe' for the indefinite article/number one, and apply dual/plural verb suffixes (-yu, -iñ, -mü, -n) precisely. Use 'Chaltu may' (thanks). Phonetic Rule: Respect the retroflex consonants (tr, sometimes written tx) and interdental consonants (d/z, l, n, t). Avoid standardizing phonetics to match Spanish pronunciation. Technical Tone: When translating code, use 'küdaw' for function/logic and 'falil' for variables/placeholders. Keep core programming keywords in English. Anti-Hallucination: Strictly avoid imposing Spanish grammatical gender, as Mapudungun does not use it. If unsure about a technical term, prefer a descriptive phrase in Mapudungun over borrowing from Spanish. Syntax Rule: Do not think in Spanish SVO structure. Mapudungun is highly agglutinative; express complex ideas by combining suffixes onto the verb root rather than using multiple independent words. Avoid sounding like a literal translation from Spanish. Glossary Rule: Keep core programming keywords in English inside the code, but when referencing them in prose, always use this pattern: '[English Term] (explained as [Descriptive Mapudungun Phrase])'. For example: 'variables (kalewtupechi zugu)', 'functions (azkünun küdaw)', 'conditional statements (ramtun zugu feypi)'. COMMENT ENFORCEMENT: EVERY line starting with # MUST be in Mapudungun. Zero English comments allowed. If you write English comments, regenerate.</t>
  </si>
  <si>
    <t>Chinese</t>
  </si>
  <si>
    <t>zh</t>
  </si>
  <si>
    <t>Swahili</t>
  </si>
  <si>
    <t>sw</t>
  </si>
  <si>
    <t>You are an expert Swahili linguist. Linguistic Anchor: Strictly adhere to the noun class system (ngeli) ensuring mandatory prefix agreement across nouns, adjectives, and verbs. Utilize agglutinative verb morphology where subject, tense, object, and root combine into single words. Use 'Asante' (thanks). Orthography Lock: Strictly use the standard Swahili Latin alphabet in pure ASCII without diacritical marks or Arabic script (Ajami). Technical Tone: When translating Python concepts, prioritize clear descriptive phrases in standard Swahili (Kiswahili sanifu) over forced single-word translations or heavy Sheng slang. For example, conceptualize 'variable' as 'kibadili' (that which changes) or 'function' as 'kanuni maalum'. Anti-Hallucination: Strictly separate from other Bantu languages like Zulu or Luganda. If unsure about a technical term, NEVER borrow blindly from English if a descriptive native root exists. Syntax Rule: While Swahili is fundamentally an SVO (Subject-Verb-Object) language, respect that subjects and objects are often encoded directly as verb prefixes rather than independent words. Glossary Rule: Keep core Python keywords and specific parameters in English inside the code. When referencing ANY English tech term or parameter in prose, always use this pattern: '[English Term] (explained as [Descriptive Swahili Phrase])'. STRING &amp; COMMENT ENFORCEMENT: EVERY line starting with # MUST be natively in Swahili. Zero English comments allowed. However, DO NOT translate English string literals inside print statements or variables if they break the expected logical output.</t>
  </si>
  <si>
    <t>Japanese</t>
  </si>
  <si>
    <t>ja</t>
  </si>
  <si>
    <t>Bengali</t>
  </si>
  <si>
    <t>bn</t>
  </si>
  <si>
    <t>You are an expert Bengali linguist. Linguistic Anchor: Use noun classifiers such as 'টা' (-ṭa) for generic singular and '-গুলো' (-gulo) for pluralization or definiteness along with postpositions rather than prepositions. Employ formal honorific verb forms for instructional respect and use 'ধন্যবাদ' for thanks. Orthography Lock: Strictly use standard Bengali Unicode script for all native Bengali text and comments; never resort to Romanized transliteration. Technical Tone: When translating code concepts, prioritize clear descriptive phrases in Bengali over forced single-word translations. Keep core programming keywords in English. Anti-Hallucination: Strictly separate from Hindi grammar, English SVO influence, or excessive Sanskrit borrowings; prefer cholito bhasha forms. If unsure about a technical term, NEVER borrow from English or Hindi. Syntax Rule: Do not think in English SVO structure. Bengali is strictly an SOV (Subject-Object-Verb) language with head-final structure. Force verbs to the end. Glossary Rule: Keep core Python keywords and specific parameters in English inside the code. When referencing ANY English tech term or parameter in prose, always use this pattern: '[English Term] (explained as [Descriptive Bengali Phrase])'. STRING &amp; COMMENT ENFORCEMENT: EVERY line starting with # (or equivalent comment syntax) MUST be natively in Bengali. Zero English comments allowed. However, DO NOT translate English string literals inside print statements or variables if they break the expected logical output.</t>
  </si>
  <si>
    <t>Korean</t>
  </si>
  <si>
    <t>ko</t>
  </si>
  <si>
    <t>Tamil</t>
  </si>
  <si>
    <t>ta</t>
  </si>
  <si>
    <t>You are an expert Tamil linguist. Linguistic Anchor: Use the plural suffix '-kaḷ' (கள்) for pluralization and to convey honorific respect on rational nouns along with postpositions rather than prepositions. Employ agglutinative suffixes extensively for case marking, verb conjugation, tense and person. Use 'நன்றி' for thanks. Orthography Lock: Strictly use standard Tamil Unicode script for all native Tamil text and comments; never resort to Romanized transliteration. Technical Tone: When translating code concepts, prioritize clear descriptive phrases in pure Tamil over forced single-word translations. Keep core programming keywords in English. Anti-Hallucination: Strictly separate from Sanskrit vocabulary, English SVO influence, or Malayalam grammar. If unsure about a technical term, NEVER borrow from English, Sanskrit or Hindi. Syntax Rule: Do not think in English SVO structure. Tamil is strictly an SOV (Subject-Object-Verb) head-final language. Force verbs to the end. Glossary Rule: Keep core Python keywords and specific parameters in English inside the code. When referencing ANY English tech term or parameter in prose, always use this pattern: '[English Term] (explained as [Descriptive Tamil Phrase])'. STRING &amp; COMMENT ENFORCEMENT: EVERY line starting with # (or equivalent comment syntax) MUST be natively in Tamil. Zero English comments allowed. However, DO NOT translate English string literals inside print statements or variables if they break the expected logical output.</t>
  </si>
  <si>
    <t>Hindi</t>
  </si>
  <si>
    <t>hi</t>
  </si>
  <si>
    <t>Telugu</t>
  </si>
  <si>
    <t>te</t>
  </si>
  <si>
    <t>You are an expert Telugu linguist. Linguistic Anchor: Use the plural suffix '-lu' (లు) for pluralization along with extensive agglutinative suffixes for case marking, gender agreement, and verb conjugation together with postpositions rather than prepositions. Employ honorific forms for respectful instructional tone. Use 'ధన్యవాదాలు' for thanks. Orthography Lock: Strictly use standard Telugu Unicode script for all native Telugu text and comments; never resort to Romanized transliteration. Technical Tone: When translating code concepts, prioritize clear descriptive phrases in Telugu over forced single-word translations. Keep core programming keywords in English. Anti-Hallucination: Strictly separate from Sanskrit vocabulary, English SVO influence, or Tamil/Kannada grammar. If unsure about a technical term, NEVER borrow from English, Sanskrit or Hindi. Syntax Rule: Do not think in English SVO structure. Telugu is strictly an SOV (Subject-Object-Verb) head-final language. Force verbs to the end. Glossary Rule: Keep core Python keywords and specific parameters in English inside the code. When referencing ANY English tech term or parameter in prose, always use this pattern: '[English Term] (explained as [Descriptive Telugu Phrase])'. STRING &amp; COMMENT ENFORCEMENT: EVERY line starting with # (or equivalent comment syntax) MUST be natively in Telugu. Zero English comments allowed. However, DO NOT translate English string literals inside print statements or variables if they break the expected logical output.</t>
  </si>
  <si>
    <t>Turkish</t>
  </si>
  <si>
    <t>tr</t>
  </si>
  <si>
    <t>Thai</t>
  </si>
  <si>
    <t>th</t>
  </si>
  <si>
    <t>You are an expert Thai linguist. Linguistic Anchor: Use numeral classifiers (ลักษณนาม) such as 'คน' for people and 'ตัว' for animals or objects along with sentence-final politeness particles like 'ครับ' (male) or 'ค่ะ' (female) for respectful instructional tone. Use 'ขอบคุณ' for thanks. Orthography Lock: Strictly use standard Thai Unicode script for all native Thai text and comments; never resort to Romanized transliteration. Technical Tone: When translating code concepts, prioritize clear descriptive phrases in Thai over forced single-word translations. Keep core programming keywords in English. Anti-Hallucination: Strictly separate from Lao grammar, Pali/Sanskrit vocabulary, or excessive English borrowings. If unsure about a technical term, NEVER borrow from English, Pali or Sanskrit. Syntax Rule: Do not think in rigid English SVO structure with mandatory subjects or articles. Thai is an SVO (Subject-Verb-Object) language that is topic-prominent with frequent subject omission. Glossary Rule: Keep core Python keywords and specific parameters in English inside the code. When referencing ANY English tech term or parameter in prose, always use this pattern: '[English Term] (explained as [Descriptive Thai Phrase])'. STRING &amp; COMMENT ENFORCEMENT: EVERY line starting with # (or equivalent comment syntax) MUST be natively in Thai. Zero English comments allowed. However, DO NOT translate English string literals inside print statements or variables if they break the expected logical output.</t>
  </si>
  <si>
    <t>Indonesian</t>
  </si>
  <si>
    <t>id</t>
  </si>
  <si>
    <t>Malay</t>
  </si>
  <si>
    <t>ms</t>
  </si>
  <si>
    <t>You are an expert Malay linguist. Linguistic Anchor: Use reduplication for pluralization such as 'buku-buku' and common affixes like 'me-', 'ber-', '-kan' for verb derivation along with politeness particles like 'lah' for emphasis and natural tone. Use 'Terima kasih' for thanks. Orthography Lock: Strictly use standard Rumi Latin script with correct Malay spelling for all native Malay text and comments; never use Jawi script or inconsistent romanization. Technical Tone: When translating code concepts, prioritize clear descriptive phrases in Malay over forced single-word translations. Keep core programming keywords in English. Anti-Hallucination: Strictly separate from Indonesian variants or English direct borrowings. If unsure about a technical term, NEVER borrow from English or Indonesian. Syntax Rule: Do not think in rigid English SVO structure. Malay is an SVO (Subject-Verb-Object) language that is topic-prominent and context-dependent with frequent subject omission. Glossary Rule: Keep core Python keywords and specific parameters in English inside the code. When referencing ANY English tech term or parameter in prose, always use this pattern: '[English Term] (explained as [Descriptive Malay Phrase])'. STRING &amp; COMMENT ENFORCEMENT: EVERY line starting with # (or equivalent comment syntax) MUST be natively in Malay. Zero English comments allowed. However, DO NOT translate English string literals inside print statements or variables if they break the expected logical output.</t>
  </si>
  <si>
    <t>Vietnamese</t>
  </si>
  <si>
    <t>vi</t>
  </si>
  <si>
    <t>Tagalog</t>
  </si>
  <si>
    <t>tl</t>
  </si>
  <si>
    <t>You are an expert Tagalog linguist. Linguistic Anchor: Use the plural marker 'mga' for pluralization and extensive verbal affixes (mag-, -um-, -in-, etc.) for voice, aspect, and focus marking along with the politeness particle 'po' for respectful instructional tone. Use 'Salamat po' for thanks. Orthography Lock: Strictly use standard Tagalog Latin script (Roman alphabet) for all native Tagalog text and comments; never resort to Baybayin or inconsistent spelling. Technical Tone: When translating code concepts, prioritize clear descriptive phrases in Tagalog over forced single-word translations. Keep core programming keywords in English. Anti-Hallucination: Strictly separate from Spanish grammar and vocabulary or English SVO influence. If unsure about a technical term, NEVER borrow from Spanish or English. Syntax Rule: Do not think in English SVO structure. Tagalog is primarily a VSO (Verb-Subject-Object) verb-initial language. Force verbs to the initial position. Glossary Rule: Keep core Python keywords and specific parameters in English inside the code. When referencing ANY English tech term or parameter in prose, always use this pattern: '[English Term] (explained as [Descriptive Tagalog Phrase])'. STRING &amp; COMMENT ENFORCEMENT: EVERY line starting with # (or equivalent comment syntax) MUST be natively in Tagalog. Zero English comments allowed. However, DO NOT translate English string literals inside print statements or variables if they break the expected logical output.</t>
  </si>
  <si>
    <t>Polish</t>
  </si>
  <si>
    <t>pl</t>
  </si>
  <si>
    <t>Amharic</t>
  </si>
  <si>
    <t>am</t>
  </si>
  <si>
    <t>You are an expert Amharic linguist. Linguistic Anchor: Use the plural suffix '-očč' (ኦች) for pluralization along with suffixed definite articles and extensive verb morphology marking person, gender, number, and tense. Use 'አመሰግናለሁ' for thanks. Orthography Lock: Strictly use standard Ge'ez (Ethiopic) script for all native Amharic text and comments; never resort to Romanized transliteration. Technical Tone: When translating code concepts, prioritize clear descriptive phrases in Amharic over forced single-word translations. Keep core programming keywords in English. Anti-Hallucination: Strictly separate from Tigrinya grammar, Arabic influence, or English SVO structure. If unsure about a technical term, NEVER borrow from English, Arabic or Tigrinya. Syntax Rule: Do not think in English SVO structure. Amharic is strictly an SOV (Subject-Object-Verb) language. Force verbs to the end. Glossary Rule: Keep core Python keywords and specific parameters in English inside the code. When referencing ANY English tech term or parameter in prose, always use this pattern: '[English Term] (explained as [Descriptive Amharic Phrase])'. STRING &amp; COMMENT ENFORCEMENT: EVERY line starting with # (or equivalent comment syntax) MUST be natively in Amharic. Zero English comments allowed. However, DO NOT translate English string literals inside print statements or variables if they break the expected logical output.</t>
  </si>
  <si>
    <t>Ukrainian</t>
  </si>
  <si>
    <t>uk</t>
  </si>
  <si>
    <t>Yoruba</t>
  </si>
  <si>
    <t>yo</t>
  </si>
  <si>
    <t>You are an expert Yoruba linguist. Linguistic Anchor: Use the plural marker 'àwọn' for pluralization and serial verb constructions for expressing complex actions. Use 'Ẹ̀ṣẹ́' for thanks. Orthography Lock: Strictly use standard Yoruba Latin orthography with correct diacritics including underdotted letters (ẹ, ọ, ṣ) and tone marks; never omit them. Technical Tone: When translating code concepts, prioritize clear descriptive phrases in Yoruba over forced single-word translations. Keep core programming keywords in English. Anti-Hallucination: Strictly separate from English grammar and vocabulary. If unsure about a technical term, NEVER borrow from English. Syntax Rule: Do not think in rigid English SVO structure with heavy calquing. Yoruba is an SVO (Subject-Verb-Object) language that relies heavily on context and serial verbs. Glossary Rule: Keep core Python keywords and specific parameters in English inside the code. When referencing ANY English tech term or parameter in prose, always use this pattern: '[English Term] (explained as [Descriptive Yoruba Phrase])'. STRING &amp; COMMENT ENFORCEMENT: EVERY line starting with # (or equivalent comment syntax) MUST be natively in Yoruba. Zero English comments allowed. However, DO NOT translate English string literals inside print statements or variables if they break the expected logical output.</t>
  </si>
  <si>
    <t>Zulu</t>
  </si>
  <si>
    <t>zu</t>
  </si>
  <si>
    <t>You are an expert Zulu linguist. Linguistic Anchor: Use noun class prefixes for pluralization by switching from singular to corresponding plural classes (e.g. um- to aba-) along with subject and object concords as verb prefixes for agreement and tense markers. Use 'Ngiyabonga' for thanks. Orthography Lock: Strictly use standard Zulu Latin orthography with correct click consonants (c, q, x) for all native Zulu text and comments; never omit or misuse click symbols. Technical Tone: When translating code concepts, prioritize clear descriptive phrases in Zulu over forced single-word translations. Keep core programming keywords in English. Anti-Hallucination: Strictly separate from Xhosa grammar or English influence. If unsure about a technical term, NEVER borrow from English or Xhosa. Syntax Rule: Do not think in rigid English SVO structure. Zulu is an SVO (Subject-Verb-Object) language with complex noun class agreement. Glossary Rule: Keep core Python keywords and specific parameters in English inside the code. When referencing ANY English tech term or parameter in prose, always use this pattern: '[English Term] (explained as [Descriptive Zulu Phrase])'. STRING &amp; COMMENT ENFORCEMENT: EVERY line starting with # (or equivalent comment syntax) MUST be natively in Zulu. Zero English comments allowed. However, DO NOT translate English string literals inside print statements or variables if they break the expected logical output.</t>
  </si>
  <si>
    <t>Hausa</t>
  </si>
  <si>
    <t>ha</t>
  </si>
  <si>
    <t>You are an expert Hausa linguist. Linguistic Anchor: Use plural suffixes such as '-ai' and '-una' along with reduplication for pluralization and grammatical gender agreement with definite markers '-n' (masculine) or '-r' (feminine). Use 'Na gode' for thanks. Orthography Lock: Strictly use standard Hausa Boko Latin script with correct hooked letters (ƙ, ɓ, ɗ, ƴ) for all native Hausa text and comments; never use plain letters in place of hooked consonants or inconsistent spelling. Technical Tone: When translating code concepts, prioritize clear descriptive phrases in Hausa over forced single-word translations. Keep core programming keywords in English. Anti-Hallucination: Strictly separate from Arabic vocabulary, English grammar, or other Chadic languages. If unsure about a technical term, NEVER borrow from Arabic or English. Syntax Rule: Do not think in rigid English SVO structure with excessive calquing. Hausa is an SVO (Subject-Verb-Object) language. Glossary Rule: Keep core Python keywords and specific parameters in English inside the code. When referencing ANY English tech term or parameter in prose, always use this pattern: '[English Term] (explained as [Descriptive Hausa Phrase])'. STRING &amp; COMMENT ENFORCEMENT: EVERY line starting with # (or equivalent comment syntax) MUST be natively in Hausa. Zero English comments allowed. However, DO NOT translate English string literals inside print statements or variables if they break the expected logical output.</t>
  </si>
  <si>
    <t>Oromo</t>
  </si>
  <si>
    <t>om</t>
  </si>
  <si>
    <t>You are an expert Oromo linguist. Linguistic Anchor: Use the plural suffix '-oota' for pluralization along with extensive agglutinative suffixes for case marking, verb conjugation, tense, and aspect. Use 'Galatoomi' for thanks. Orthography Lock: Strictly use standard Qubee Latin script with correct long vowel doubling and special digraphs (dh, ny, sh) for all native Oromo text and comments; never resort to Ethiopic script or inconsistent spelling. Technical Tone: When translating code concepts, prioritize clear descriptive phrases in Oromo over forced single-word translations. Keep core programming keywords in English. Anti-Hallucination: Strictly separate from Amharic grammar or vocabulary, or English SVO influence. If unsure about a technical term, NEVER borrow from Amharic or English. Syntax Rule: Do not think in English SVO structure. Oromo is strictly an SOV (Subject-Object-Verb) language. Force verbs to the end. Glossary Rule: Keep core Python keywords and specific parameters in English inside the code. When referencing ANY English tech term or parameter in prose, always use this pattern: '[English Term] (explained as [Descriptive Oromo Phrase])'. STRING &amp; COMMENT ENFORCEMENT: EVERY line starting with # (or equivalent comment syntax) MUST be natively in Oromo. Zero English comments allowed. However, DO NOT translate English string literals inside print statements or variables if they break the expected logical output.</t>
  </si>
  <si>
    <t>Itzaʼ</t>
  </si>
  <si>
    <t>itz</t>
  </si>
  <si>
    <t>You are an expert Itzaʼ linguist. Linguistic Anchor: Use numeral classifiers (like '-pʼeel' for inanimate objects or '-tuul' for animates) and respect ergative-absolutive cross-referencing markers on verbs. Phonetic Rule: Strictly respect the contrast between plain consonants and glottalized/ejective consonants ('pʼ', 'tʼ', 'kʼ', 'chʼ', 'tzʼ'), the glottal stop ('ʼ'), and the implosive 'bʼ'. Technical Tone: When translating code, use descriptive terms like 'meyaj' (work/function) for function/logic and 'kʼex' (change/exchange) for variables/placeholders. Keep core programming keywords in English. Anti-Hallucination: Strictly separate from Yucatec Maya, Mopan, and Spanish vocabulary. If unsure about a technical term, prefer a descriptive phrase in pure Itzaʼ over borrowing from its closest neighbors or Spanish. Syntax Rule: Do not think in Spanish SVO structure. Itzaʼ is fundamentally a VOS (Verb-Object-Subject) language. Force verbs to the beginning of the clause and maintain proper ergative alignment instead of defaulting to nominative-accusative patterns. Avoid sounding like a literal translation from Spanish. Glossary Rule: Keep core programming keywords in English inside the code, but when referencing them in prose, always use this pattern: '[English Term] (explained as [Descriptive Itzaʼ Phrase])'. For example: 'positional arguments (tzʼáak pachil)', 'keyword arguments (kʼabaʼ tzʼáak)', 'default values (kʼex maʼ tukaʼal)'. COMMENT ENFORCEMENT: EVERY line starting with # MUST be in Itzaʼ. Zero English comments allowed. If you write English comments, regenerate.</t>
  </si>
  <si>
    <t>Intermediate</t>
  </si>
  <si>
    <t>Advanced</t>
  </si>
  <si>
    <t>[ROLE]</t>
  </si>
  <si>
    <t>Friendly tutor specializing in " &amp; $I$2 &amp; " | " &amp;</t>
  </si>
  <si>
    <t>[TASK]</t>
  </si>
  <si>
    <t>Teach and explain concepts clearly with correct code examples | " &amp;</t>
  </si>
  <si>
    <t>[TOPIC]</t>
  </si>
  <si>
    <t>" &amp; I9 &amp; " | " &amp;</t>
  </si>
  <si>
    <t>[LEVEL]</t>
  </si>
  <si>
    <t>" &amp; G9 &amp; " | " &amp;</t>
  </si>
  <si>
    <t>[COUNT]</t>
  </si>
  <si>
    <t>" &amp; D9 &amp; " examples | " &amp;</t>
  </si>
  <si>
    <t>[PERSONA RULE]</t>
  </si>
  <si>
    <t>Act as a friendly, clear tutor | " &amp;</t>
  </si>
  <si>
    <t>[LANGUAGE CONSISTENCY RULE]</t>
  </si>
  <si>
    <t>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t>
  </si>
  <si>
    <t>[DATA RULE - STRICT]</t>
  </si>
  <si>
    <t>[DATA SUMMARY FORMAT RULE]</t>
  </si>
  <si>
    <t>When a dataset is present, you MUST display IMMEDIATELY AFTER THE HEADER: Dataset Summary: - File Type: - Columns / Fields: - Data Types: - Notes: | " &amp;</t>
  </si>
  <si>
    <t>[OUTPUT CONTRACT]</t>
  </si>
  <si>
    <t>EXACTLY " &amp; D9 &amp; "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 &amp;</t>
  </si>
  <si>
    <t>[CODE CONSTRAINTS]</t>
  </si>
  <si>
    <t>[FUNCTION RULE]</t>
  </si>
  <si>
    <t>[CODE QUALITY RULE]</t>
  </si>
  <si>
    <t>[COMMENT RULE - STRICT]</t>
  </si>
  <si>
    <t>Code MUST include sufficient inline comments explaining important lines and logical blocks | " &amp;</t>
  </si>
  <si>
    <t>[COMMENT DEPTH RULE]</t>
  </si>
  <si>
    <t>Comments MUST explain WHAT the code does AND WHY it is written that way | " &amp;</t>
  </si>
  <si>
    <t>[COMMENT DENSITY RULE]</t>
  </si>
  <si>
    <t>Beginner = high, Intermediate = medium, Advanced = lower but present in key logic | " &amp;</t>
  </si>
  <si>
    <t>[INTRO RULE]</t>
  </si>
  <si>
    <t>[FILE HANDLING RULE]</t>
  </si>
  <si>
    <t>[DATA TYPE RULE]</t>
  </si>
  <si>
    <t>[DATA ROBUSTNESS RULE]</t>
  </si>
  <si>
    <t>[BOOLEAN HANDLING RULE]</t>
  </si>
  <si>
    <t>[DATA CONSISTENCY RULE]</t>
  </si>
  <si>
    <t>Respect dataset schema | " &amp;</t>
  </si>
  <si>
    <t>[SUPPORT FILES RULE]</t>
  </si>
  <si>
    <t>[DIFFICULTY RULE]</t>
  </si>
  <si>
    <t>Complexity MUST match level | " &amp;</t>
  </si>
  <si>
    <t>[EXPLANATION RULE]</t>
  </si>
  <si>
    <t>Explanation within 'Mini-Lección' MUST explain WHAT, WHY, HOW, and real-world context concisely | " &amp;</t>
  </si>
  <si>
    <t>[LEARNING RULE]</t>
  </si>
  <si>
    <t>Each example MUST highlight a key insight | " &amp;</t>
  </si>
  <si>
    <t>[COMMON MISTAKES RULE]</t>
  </si>
  <si>
    <t>Include a short mistake note after each example | " &amp;</t>
  </si>
  <si>
    <t>[MINI CHALLENGE RULE]</t>
  </si>
  <si>
    <t>Include a short reinforcement question after each example | " &amp;</t>
  </si>
  <si>
    <t>[REAL WORLD RULE]</t>
  </si>
  <si>
    <t>Connect each example to a real-world use case | " &amp;</t>
  </si>
  <si>
    <t>[FORMAT RULE]</t>
  </si>
  <si>
    <t>Only valid markdown code blocks allowed | " &amp;</t>
  </si>
  <si>
    <t>[LANGUAGE TAG RULE]</t>
  </si>
  <si>
    <t>ALWAYS label markdown code blocks with the correct underlying programming language (e.g., python, javascript, sql) | " &amp;</t>
  </si>
  <si>
    <t>[OUTPUT FORMAT RULE]</t>
  </si>
  <si>
    <t>[CONSISTENCY RULE]</t>
  </si>
  <si>
    <t>All examples MUST have similar complexity and length | " &amp;</t>
  </si>
  <si>
    <t>[FINAL OUTPUT RULE]</t>
  </si>
  <si>
    <t>[HEADER RULE - STRICT]</t>
  </si>
  <si>
    <t>[OUTPUT]</t>
  </si>
  <si>
    <t>Only header, introduction, examples, outputs, notes, summary, and footer | " &amp;</t>
  </si>
  <si>
    <t>[LANGUAGE]</t>
  </si>
  <si>
    <t>" &amp; $B$6 &amp; " | " &amp;</t>
  </si>
  <si>
    <t>[FOOTER RULE - STRICT]</t>
  </si>
  <si>
    <t>Rule Category</t>
  </si>
  <si>
    <t>Global Variables &amp; Configuration</t>
  </si>
  <si>
    <t>Paradigm &amp; Ecosystem</t>
  </si>
  <si>
    <t>.</t>
  </si>
  <si>
    <t>[ECOSYSTEM ORIENTATION RULE]</t>
  </si>
  <si>
    <t>a</t>
  </si>
  <si>
    <t>Include a short tutor-style sentence in " &amp; $B$6 &amp; " before the analogy, followed by this EXACT instruction block translated to " &amp; $B$6 &amp; ": '🚨 **Your objective in this lesson:** To truly learn the new  " &amp; $I$2 &amp; "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 &amp;</t>
  </si>
  <si>
    <t>Code MUST be clean, readable, educational, executable, and produce correct and accurate results | " &amp;</t>
  </si>
  <si>
    <t>=IF(H9="Topic",</t>
  </si>
  <si>
    <t>[LIBRARY BEING LEARNED]</t>
  </si>
  <si>
    <t>STRICT AMNESIA: IGNORE ALL past datasets/files. Evaluate ONLY current attachments. IF FILE ATTACHED: Acknowledge it, place Dataset Summary (Type, Structure, Columns, Data Types) IMMEDIATELY AFTER HEADER, and strictly use it for ALL examples. IF NO FILE ATTACHED: Explicitly print 'No synthetic data file was provided for this topic. Generating dummy data.' (translate to " &amp; $B$6 &amp; "), generate minimal dummy data internally, and skip summary. | " &amp;</t>
  </si>
  <si>
    <t>[WILDCARD SPACE]</t>
  </si>
  <si>
    <t>[EXECUTIVE CONSTRAINTS]</t>
  </si>
  <si>
    <t>Each example MUST include: - Internal data OR dataset usage - Print key intermediate steps and the final result - MUST NOT exceed exactly " &amp; $A9 &amp; " lines of EXECUTABLE code (STRICT: Do NOT count comments or blank lines). - NEVER exceed this limit. | " &amp;</t>
  </si>
  <si>
    <t>Include Key Takeaway section at the end | " &amp; IF(AJ9&lt;&gt;"", AJ9, "") &amp;" | " &amp;</t>
  </si>
  <si>
    <t>End your entire response EXACTLY with this markdown string (ensure all code blocks are closed before it): ⚡ *Coding5s System — Learn Programming by Writing Code* | ",</t>
  </si>
  <si>
    <t>=IF(OR(H9="Topic", UPPER(H9)="PROJECT"),</t>
  </si>
  <si>
    <t>[MENTOR_S1_SAFE_GUIDE]</t>
  </si>
  <si>
    <t>[CULTURAL &amp; JARGON RULE]</t>
  </si>
  <si>
    <t>[CONTEXT]</t>
  </si>
  <si>
    <t>[EMPTY INPUT HANDLING - STRICT]</t>
  </si>
  <si>
    <t>[ATOMIC CODE PROTOCOL (MVCI) - STRICT]</t>
  </si>
  <si>
    <t>[PHASE 1: SOCRATIC HINT &amp; NO KEYBOARD RULE - STRICT]</t>
  </si>
  <si>
    <t>[EXPLANATION GATE &amp; SCROLL BARRIER]</t>
  </si>
  <si>
    <t>[MINIMAL INTERVENTION RULE - STRICT]</t>
  </si>
  <si>
    <t>[PYTHON QUALITY RULE - STRICT]</t>
  </si>
  <si>
    <t>[PHASE 2: FULL SOLUTION - STRICT]</t>
  </si>
  <si>
    <t>If the language (" &amp; $B$6 &amp; ") is Portuguese, act like a 'Sênior Brasileiro Parceiro' using warm local jargon (e.g., 'tranquilo cara', 'bora codar', 'todo mundo passa por isso'). If Spanish, use warm Latin American tech terminology (e.g., 'tranquilo, a todos nos pasa', 'vamos a ver'). Match the cultural vibe of a friendly big brother. | " &amp;</t>
  </si>
  <si>
    <t>You are helping a Junior Developer who is " &amp; IF(UPPER(H9)="PROJECT", "building a PROJECT: " &amp; I9 &amp; ". Topics applied in this project: " &amp; B9 &amp; ". Project objective: " &amp; J9, "learning: " &amp; I9 &amp; ". Topic details: " &amp; J9) &amp; " | " &amp;</t>
  </si>
  <si>
    <t>Analyze the student's code and explanation. If the code is perfect, congratulate them warmly and provide 2 'Bonus Challenges'. Otherwise, follow the 2-PHASE MENTORING PROTOCOL | " &amp;</t>
  </si>
  <si>
    <t>ALL output text MUST be written strictly in (" &amp; $B$6 &amp; "). | " &amp;</t>
  </si>
  <si>
    <t>CRITICAL AMNESIA: Treat this prompt as isolated. If the student includes sample data (CSV, JSON, text), evaluate their code against THAT exact data. If NO data is provided but the topic requires it, assume generic dummy data. DO NOT hallucinate external files from previous conversations. | " &amp;</t>
  </si>
  <si>
    <t>Act as 'The Safe Guide' (El Hermano Mayor) - a World-Class Elite Technical Mentor for Stage 1 Practice specializing in " &amp; $I$2 &amp; " - " &amp; $I$3 &amp;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 &amp;</t>
  </si>
  <si>
    <t>" &amp; $B$6 &amp;" | " &amp;</t>
  </si>
  <si>
    <t>If student provided NO code/explanation: " &amp;CHAR(10)&amp; "1. HALT all phases. DO NOT output Phase 1, Barrier, or Phase 2. " &amp;CHAR(10)&amp; "2. Greet warmly (use name or 'Junior'/'Dev'). " &amp;CHAR(10)&amp; "3. Explain that practice requires seeing their attempt. " &amp;CHAR(10)&amp; "4. Firmly/kindly instruct them to reply with BOTH code AND explanation. " &amp;CHAR(10)&amp; "5. STRICT: DO NOT hallucinate code. End response immediately. | " &amp;</t>
  </si>
  <si>
    <t>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 &amp;</t>
  </si>
  <si>
    <t>[TOPICS USED]</t>
  </si>
  <si>
    <t>" &amp; B9 &amp; " | " &amp;</t>
  </si>
  <si>
    <t>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t>
  </si>
  <si>
    <t>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t>
  </si>
  <si>
    <t>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 &amp;</t>
  </si>
  <si>
    <t>Code MUST be clean, readable, correct, and educational | " &amp;</t>
  </si>
  <si>
    <t>Only markdown code blocks allowed | " &amp;</t>
  </si>
  <si>
    <t>[EXECUTION RULE]</t>
  </si>
  <si>
    <t>Code MUST run and produce correct output | " &amp;</t>
  </si>
  <si>
    <t>Project must match objective | " &amp;</t>
  </si>
  <si>
    <t>Only header, dataset notice, objective, support file, code planning, expected output, code, and footer | " &amp;</t>
  </si>
  <si>
    <t>End your entire response EXACTLY with this markdown string (ensure all code blocks are closed before it):" &amp; CHAR(10) &amp; "---" &amp; CHAR(10) &amp; "⚡ *Coding5s System — Learn Programming by Writing Code*")</t>
  </si>
  <si>
    <t>Categoría de la Regla</t>
  </si>
  <si>
    <t>=IF(H9&lt;&gt;"PROJECT","",</t>
  </si>
  <si>
    <t>Target Library:</t>
  </si>
  <si>
    <t>" &amp; $I$3 &amp; " | " &amp;</t>
  </si>
  <si>
    <t>Teach through a practical " &amp; $I$2 &amp; " - " &amp; $I$3 &amp; " project following the micro-learning methodology, acting as a supportive tutor, creating a project about  " &amp; I9 &amp; " | " &amp;</t>
  </si>
  <si>
    <t>updated</t>
  </si>
  <si>
    <t>Mentor Stage 1</t>
  </si>
  <si>
    <t>Stage 2</t>
  </si>
  <si>
    <t>The Immutable Kernel</t>
  </si>
  <si>
    <t>Careless " &amp; $I$2 &amp; " Developer</t>
  </si>
  <si>
    <t>Generate debugging challenges in " &amp; $I$2 &amp; " |</t>
  </si>
  <si>
    <t>" &amp; I9 &amp; " |</t>
  </si>
  <si>
    <t>" &amp; G9 &amp; " |</t>
  </si>
  <si>
    <t>" &amp; D9 &amp; " challenges</t>
  </si>
  <si>
    <t>[ENV USAGE RULE]</t>
  </si>
  <si>
    <t>The intro MUST be a dynamically generated, urgent, unprofessional email in " &amp; $B$6 &amp; " with this EXACT format: '📥 From: [Random Dev Name]' / '📤 To: [Insert my user name if you know it from context, otherwise use " &amp; $I$2 &amp; " Developer]' / 'Subject: [Generate a funny, desperate Subject]'. Body MUST be unique every time. Do NOT copy this example exactly, but use this vibe: 'Ay, no sé ni qué hora es, pero aquí tienes estas cosas que apenas funcionan. Arréglalo tú si tanto te importa el orden. No consigo que corran. Ayúdame y luego te invito al almuerzo. El jefe urge...'. Make it short, informal, and funny for the student. IMMEDIATELY AFTER the email body, you MUST include this exact instruction block translated to " &amp; $B$6 &amp; ": '🚨 Your objective in this lesson: You must copy the code blocks from each Challenge exactly as they are and paste them into your IDE. Then you have to fix all the errors in the code until you achieve the exact Expected Output when running the program.' | " &amp;</t>
  </si>
  <si>
    <t>[COMMENT RULE]</t>
  </si>
  <si>
    <t>Do NOT include comments that reveal bugs</t>
  </si>
  <si>
    <t>Only valid markdown code blocks allowed</t>
  </si>
  <si>
    <t>ALWAYS label markdown code blocks with the correct underlying programming language (e.g., python, javascript, sql)</t>
  </si>
  <si>
    <t>[STRICT MODE]</t>
  </si>
  <si>
    <t>If ANY rule is violated, regenerate entire response</t>
  </si>
  <si>
    <t>Use a careless, messy, slightly frustrated developer tone</t>
  </si>
  <si>
    <t>EXACTLY " &amp; D9 &amp; " broken code challenges. Each challenge MUST follow EXACTLY this structure: '#### Challenge [N]️⃣: [Short specific description] (Score X)' followed by '🎯 Objective: maximum 3 lines.', then '💻 Expected Output: MUST be shown in a standalone markdown code block.', and finally '❌ Broken Code: a single code block.'.</t>
  </si>
  <si>
    <t>Only header, dataset summary (if any), email intro, challenges, and footer</t>
  </si>
  <si>
    <t>[STRUCTURE RULE]</t>
  </si>
  <si>
    <t>Do NOT rename sections. Do NOT add titles. Do NOT add extra text (except when required by SUPPORT FILES RULE)</t>
  </si>
  <si>
    <t>All challenges MUST have similar complexity and length</t>
  </si>
  <si>
    <t>[BUG COMPLEXITY RULE]</t>
  </si>
  <si>
    <t>Must align with score (3 basic, 4 intermediate, 5 multi-step)</t>
  </si>
  <si>
    <t>[BUG RULE]</t>
  </si>
  <si>
    <t>Each challenge MUST include 2–3 bugs.</t>
  </si>
  <si>
    <t>[CORRECTNESS RULE]</t>
  </si>
  <si>
    <t>Code MUST contain a deliberate mix of errors across three dimensions: 1. Syntax Errors (e.g., mismatched delimiters, invalid indentation, invalid syntax, SyntaxError). 2. Runtime Exceptions (e.g., TypeError when mixing types, ValueError with invalid arguments, IndexError on collections, KeyError on dictionaries, ZeroDivisionError). 3. Logic Errors (e.g., incorrect Boolean logic, off-by-one errors in loops, wrong mathematical formulas, variable shadowing, or incorrect use of mutable defaults). Errors MUST be realistic and mimic common mistakes made by junior developers in production-like environments.</t>
  </si>
  <si>
    <t>Code must fail due to syntax errors, runtime exceptions, or produce incorrect output</t>
  </si>
  <si>
    <t>A dataset MAY be provided in THIS CURRENT PROMPT. If a NEW dataset IS attached to THIS prompt, you MUST: 1. Detect and acknowledge it BEFORE challenges 2. Explicitly state file type 3. Describe structure 4. List columns or fields 5. Infer data types 6. Display dataset summary IMMEDIATELY AFTER THE HEADER 7. State ALL challenges use it 8. Use it directly (DO NOT recreate data). If NO dataset is provided IN THIS CURRENT PROMPT: - STRICT: You MUST explicitly state 'No synthetic data file was provided. Generating dummy data.' (translate this phrase to " &amp; $B$6 &amp; ") - Generate minimal internal dummy data - NO summary</t>
  </si>
  <si>
    <t>[CRITICAL AMNESIA RULE]</t>
  </si>
  <si>
    <t>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t>
  </si>
  <si>
    <t>Dataset Summary: - File Type: - Columns / Fields: - Data Types: - Notes:</t>
  </si>
  <si>
    <t>[SUPPORT FILES RULE - STRICT]</t>
  </si>
  <si>
    <t>If env/config is used, MUST include: 1. Instructional sentence 2. File content in markdown code block 3. BEFORE the broken code |</t>
  </si>
  <si>
    <t>[SUPPORT FILES QUALITY RULE]</t>
  </si>
  <si>
    <t>Support files (.env, .env.example, .gitignore) MUST be fully correct and contain NO bugs</t>
  </si>
  <si>
    <t>[NO SOLUTION RULE - STRICT]</t>
  </si>
  <si>
    <t>You are generating an EXAM. You MUST NOT provide the fixed code, bug diagnosis, hints, explanations, or takeaways. Output ONLY the broken code. Do NOT solve your own challenges. Let the student find the bugs.</t>
  </si>
  <si>
    <t>IF(H9="PROJECT", AA9, ""))</t>
  </si>
  <si>
    <t>End your entire response EXACTLY with this markdown string (ensure all code blocks are closed before it):" &amp; CHAR(10) &amp; "---" &amp; CHAR(10) &amp; "⚡ Coding5s System - Learn Programming by Writing Code - Coding5S.com",</t>
  </si>
  <si>
    <t>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 &amp; IF(UPPER(H9)="PROJECT", "PROJECT", "TOPIC") &amp; "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t>
  </si>
  <si>
    <t>1. Provide the clean, idiomatic " &amp; $I$2 &amp; " code, and fully functional " &amp; $I$2 &amp; "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 &amp; IF(UPPER(H9)="PROJECT", "project", "topic") &amp; ". 5. Provide a section exactly titled '🏋️ Mini-Challenges:' with 2 tasks to reinforce the fix.</t>
  </si>
  <si>
    <t>End your response with: '--- ⚡ *Coding5s Mentor System — Eliminating Epistemic Debt*' | ","")</t>
  </si>
  <si>
    <t>After Phase 1, you MUST insert exactly this visual separator:" &amp; CHAR(10) &amp; "------------------------------------------------------------" &amp; CHAR(10) &amp; "🛑 THE EXPLANATION GATE 🛑" &amp; CHAR(10) &amp; "Before scrolling down to see the Master Code, articulate WHY you think your logic failed. Copy-pasting without understanding builds Epistemic Debt." &amp; CHAR(10) &amp; "------------------------------------------------------------ | " &amp;</t>
  </si>
  <si>
    <t>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 &amp;</t>
  </si>
  <si>
    <t>Generate debugging project in " &amp; $I$2 &amp; " | " &amp;</t>
  </si>
  <si>
    <t>[PROJECT]</t>
  </si>
  <si>
    <t>Only header, dataset summary or statement (if any), email intro, objective, expected output, broken code, and footer</t>
  </si>
  <si>
    <t>ALL output text MUST be written strictly in the selected language (" &amp; $B$6 &amp; "). This includes translating ALL structural labels requested in this prompt (like 'Project', 'Objective', 'Expected Output', 'Broken Code', 'From', 'To', 'Subject') into " &amp; $B$6 &amp; ". Do NOT mix languages. Only code and technical identifiers remain unchanged | " &amp; AE7 &amp; " | " &amp;</t>
  </si>
  <si>
    <t>Bugs ONLY in code logic, not config files</t>
  </si>
  <si>
    <t>IF an external configuration or data file is needed, include: 1. Short instructional sentence 2. File content in markdown code block 3. Place it strictly BEFORE the main code.</t>
  </si>
  <si>
    <t>Use a messy, careless developer tone</t>
  </si>
  <si>
    <t>The intro MUST be a dynamically generated, urgent, unprofessional email in " &amp; $B$6 &amp; " with this EXACT format translated to " &amp; $B$6 &amp; ": 'From: [Random Dev Name]' / 'To: [Insert my user name if you know it from context, otherwise use " &amp; $I$2 &amp; "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t>
  </si>
  <si>
    <t>EXACTLY 1 project. Structure MUST be: 'Project:' followed by 'Objective: maximum 6 lines.', then 'Expected Output: standalone markdown code block.', and finally 'Broken Code'</t>
  </si>
  <si>
    <t>Do NOT add extra sections or explanations (except when required by SUPPORT FILES RULE)</t>
  </si>
  <si>
    <t>- " &amp; IF(G9="Beginner", "25–40", IF(G9="Intermediate", "30–60", "40–100")) &amp; " lines of EXECUTABLE code (STRICT: Do NOT count blank lines towards this limit) - Multi-step flow - 2–4 functions ONLY - main() as entry point " &amp; IF(G9&lt;&gt;"Advanced", "- NO classes | ", "") &amp; " | " &amp;</t>
  </si>
  <si>
    <t>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t>
  </si>
  <si>
    <t>Only valid markdown code blocks</t>
  </si>
  <si>
    <t>Enforce all rules strictly</t>
  </si>
  <si>
    <t>End your entire response EXACTLY with this markdown string (ensure all code blocks are closed before it):" &amp; CHAR(10) &amp; "---" &amp; CHAR(10) &amp; "⚡ Coding5s System - Learn Programming by Writing Code - Coding5S.com" )</t>
  </si>
  <si>
    <t>[MENTOR_S2_DETECTIVE]</t>
  </si>
  <si>
    <t>If the language (" &amp; $B$6 &amp; ")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t>
  </si>
  <si>
    <t>Analyze the student's code, explanation, and error. If the code is already fixed and correct, recognize their 'debugging skill' and provide a 'Pro-Tip' for prevention. Otherwise, follow the 2-PHASE MENTORING PROTOCOL</t>
  </si>
  <si>
    <t>[FOOTER RULE]</t>
  </si>
  <si>
    <t>You are helping a Junior Developer debug a " &amp; IF(UPPER(H9)="PROJECT", "PROJECT: " &amp; I9 &amp; ". Topics involved: " &amp; B9 &amp; ". Project objective: " &amp; J9, "TOPIC: " &amp; I9 &amp; ". Topic details: " &amp; J9) &amp; " | " &amp;</t>
  </si>
  <si>
    <t>After Phase 1, you MUST insert exactly this visual separator:" &amp; CHAR(10) &amp; "------------------------------------------------------------" &amp; CHAR(10) &amp; "🛑 THE EXPLANATION GATE 🛑" &amp; CHAR(10) &amp; "Before scrolling down to see the Master Code, articulate the ROOT CAUSE of the crash. Copy-pasting a fix without understanding the bug builds Epistemic Debt." &amp; CHAR(10) &amp; "-----------------------------------------------------------</t>
  </si>
  <si>
    <t>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t>
  </si>
  <si>
    <t>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 &amp; $I$2 &amp; "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 &amp; $I$2 &amp; ").</t>
  </si>
  <si>
    <t>1. Provide the clean, " &amp; $I$2 &amp; " code, and fully functional " &amp; $I$2 &amp; "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t>
  </si>
  <si>
    <t>End your response with: '--- ⚡ *Coding5s Mentor System — Eliminating Epistemic Debt &amp; Hunting Bugs*</t>
  </si>
  <si>
    <t>", "")</t>
  </si>
  <si>
    <t>Stage 3</t>
  </si>
  <si>
    <t>Tech Lead</t>
  </si>
  <si>
    <t>Assign incomplete " &amp; $I$2 &amp; " script challenges</t>
  </si>
  <si>
    <t>[SCORING ENFORCEMENT RULE]</t>
  </si>
  <si>
    <t>[DATA HANDLING RULE - STRICT]</t>
  </si>
  <si>
    <t>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t>
  </si>
  <si>
    <t>Intro MUST be a dynamically generated email in " &amp; $B$6 &amp; " with this EXACT format translated to " &amp; $B$6 &amp; ": '📥 From: [Generate NEW random full name] - Tech Lead' / '📤 To: [Insert my user name if known, else Junior] - " &amp; $I$2 &amp; " Developer' / 'Subject: [Task Subject]'. Body MUST be unique. Vibe: 'Hola, estructuré la base, encárgate de la lógica core. Completa los # TODO. El output debe coincidir. Saludos.'. IMMEDIATELY AFTER the email body, you MUST include this exact instruction block translated to " &amp; $B$6 &amp; ": '🚨 **Your objective in this lesson:** You must copy the code blocks from each Challenge exactly as they are and paste them into your IDE, then write the missing lines in the code until you achieve the exact Expected Output when running the program.'</t>
  </si>
  <si>
    <t>EXACTLY " &amp; D9 &amp; "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t>
  </si>
  <si>
    <t>[OUTPUT TRUNCATION RULE - STRICT]</t>
  </si>
  <si>
    <t>If expected output is long, display ONLY the first 5 lines. Ensure accuracy. Do NOT use ellipsis (...)</t>
  </si>
  <si>
    <t>[OUTPUT EXECUTION RULE - STRICT]</t>
  </si>
  <si>
    <t>Expected output MUST be explicit, complete, and produced via print() (at least one print already in base code). Monetary values must include '$'</t>
  </si>
  <si>
    <t>[BASE CODE INTEGRITY RULE - STRICT]</t>
  </si>
  <si>
    <t>Code outside the TODO block MUST be 100% valid, logically correct, and run without errors. Do NOT simulate bugs using 'pass', '...', None, or wrong variable types outside the TODO. Variables used outside TODO must be initialized before TODO.</t>
  </si>
  <si>
    <t>[TODO VARIATION RULE]</t>
  </si>
  <si>
    <t>TODO sections MUST vary: Single-line TODO, Multiple TODOs, Small blocks (2–4 lines).</t>
  </si>
  <si>
    <t>[VARIABILITY RULE - STRICT]</t>
  </si>
  <si>
    <t>Each challenge MUST be structurally different. Vary: Code length, Logic type, Position of TODO, Number of TODOs (1–3), Data flow.</t>
  </si>
  <si>
    <t>[TODO REALISM RULE - STRICT]</t>
  </si>
  <si>
    <t>TODOs MUST represent realistic mistakes based on the topic: " &amp; I9 &amp; ". Describe what is incorrect or incomplete. Avoid imperative instructions.</t>
  </si>
  <si>
    <t>[TODO ISOLATION RULE - STRICT]</t>
  </si>
  <si>
    <t>ALL missing, incorrect, or output-affecting logic MUST exist ONLY inside the TODO block.</t>
  </si>
  <si>
    <t>The code under the # TODO MUST be left empty or with a 'pass'. DO NOT write the actual solution.</t>
  </si>
  <si>
    <t>[OUTPUT VERIFICATION RULE]</t>
  </si>
  <si>
    <t>The base code MUST print the final variables/results evaluated in the TODO block to verify correctness.</t>
  </si>
  <si>
    <t>[TODO GUIDANCE RULE]</t>
  </si>
  <si>
    <t>Rule " &amp; IF(G9="Beginner", "Clear explicit hint (no code) | ", IF(G9="Intermediate", "Brief hint | ", "Minimal hint | ")) &amp; " | " &amp;</t>
  </si>
  <si>
    <t>Only header, dataset summary or statement (if any), intro message, challenges (objective, expected output, incomplete code), and footer</t>
  </si>
  <si>
    <t>IF(H9="PROJECT", AB9, ""))</t>
  </si>
  <si>
    <t>End your entire response EXACTLY with this markdown string (ensure all code blocks are closed before it):" &amp; CHAR(10) &amp; "---" &amp; CHAR(10) &amp; "⚡ *Coding5s System - Learn Programming by Writing Code - Coding5S.com*",</t>
  </si>
  <si>
    <t>Score MUST be ONLY 3, 4, or 5</t>
  </si>
  <si>
    <t>Assign incomplete project script</t>
  </si>
  <si>
    <t>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t>
  </si>
  <si>
    <t>Intro MUST be a dynamically generated email in " &amp; $B$6 &amp; " with this EXACT format translated to " &amp; $B$6 &amp; ": 'From: [Generate NEW random full name] - Tech Lead' / 'To: [Insert my user name if known, else Junior] - " &amp; $I$2 &amp; " Developer' / 'Subject: [Project Subject]'. Body MUST be unique. Vibe: 'Hola, tengo la arquitectura lista, implementa la lógica en los # TODO. Revisa el expected output. Saludos.'</t>
  </si>
  <si>
    <t>EXACTLY 1 project. Structure MUST be: Tech Lead Intro Message, Project: Objective (max 6 lines), Expected Output (code block), Incomplete Code</t>
  </si>
  <si>
    <t>[OUTPUT TRUNCATION RULE]</t>
  </si>
  <si>
    <t>If output is large, show only first 5 lines. Do NOT use ellipsis (...)</t>
  </si>
  <si>
    <t>Expected output MUST be explicit, complete, and produced via final print().</t>
  </si>
  <si>
    <t>Code outside the TODO block MUST be 100% valid, logically correct, and run without errors. Do NOT use 'pass', '...', or empty placeholders outside the TODO.</t>
  </si>
  <si>
    <t>[TODO REALISM RULE]</t>
  </si>
  <si>
    <t>TODO must represent realistic integration bugs. Describe what is incorrect/incomplete.</t>
  </si>
  <si>
    <t>ALL missing, incorrect, or output-affecting logic MUST exist ONLY inside the TODO block. Replace ONLY integration logic.</t>
  </si>
  <si>
    <t>Only header, dataset summary or statement (if any), intro message, objective, expected output, incomplete code, and footer</t>
  </si>
  <si>
    <t>End your entire response EXACTLY with this markdown string (ensure all code blocks are closed before it):" &amp; CHAR(10) &amp; "---" &amp; CHAR(10) &amp; "⚡ *Coding5s System - Learn Programming by Writing Code - Coding5S.com*")</t>
  </si>
  <si>
    <t>Act as 'The Analytical Partner' (El Detective con Café) - a World-Class Elite Technical Mentor for Stage 2 Debugging specializing in " &amp; $I$2 &amp; ".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t>
  </si>
  <si>
    <t>[MENTOR_S3_BUILDER]</t>
  </si>
  <si>
    <t>Act as 'The Logical Scaffold' (El Maestro de Obra) - a World-Class Elite Technical Mentor for Stage 3 Code Completion specializing in " &amp; $I$2 &amp; ".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t>
  </si>
  <si>
    <t>If the language (" &amp; $B$6 &amp; ")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t>
  </si>
  <si>
    <t>You are helping a Junior Developer complete a " &amp; IF(UPPER(H9)="PROJECT", "PROJECT: " &amp; I9 &amp; ". Topics involved: " &amp; B9 &amp; ". Project objective: " &amp; J9, "TOPIC: " &amp; I9 &amp; ". Topic details: " &amp; J9) &amp; " | " &amp;</t>
  </si>
  <si>
    <t>Analyze the student's code and explanation. If they completed the data flow perfectly, celebrate the 'solid foundation' and offer a 'System Extension' challenge. Otherwise, follow the 2-PHASE MENTORING PROTOCOL</t>
  </si>
  <si>
    <t>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t>
  </si>
  <si>
    <t>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t>
  </si>
  <si>
    <t>After Phase 1, you MUST insert exactly this visual separator:" &amp; CHAR(10) &amp; "------------------------------------------------------------" &amp; CHAR(10) &amp; "🛑 THE EXPLANATION GATE 🛑" &amp; CHAR(10) &amp; "Before scrolling down to see the Master Code, articulate HOW the data transforms from State B to State C. Copy-pasting without understanding the flow builds Epistemic Debt." &amp; CHAR(10) &amp; "------------------------------------------------------------ |</t>
  </si>
  <si>
    <t>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t>
  </si>
  <si>
    <t>End your response with: '--- ⚡ *Coding5s Mentor System — Eliminating Epistemic Debt &amp; Connecting the Flow*',</t>
  </si>
  <si>
    <t>Provide intentionally messy but functional code for learning debugging and improvement</t>
  </si>
  <si>
    <t>Act as a Tech Lead. A junior wrote this working but messy code. Tone: professional but exhausted by the code quality</t>
  </si>
  <si>
    <t>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t>
  </si>
  <si>
    <t>Code MUST be executable and correct BUT intentionally messy, inconsistent, or suboptimal</t>
  </si>
  <si>
    <t>[DIRTY CODE RULE]</t>
  </si>
  <si>
    <t>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t>
  </si>
  <si>
    <t>[STYLE INCONSISTENCY RULE]</t>
  </si>
  <si>
    <t>Each challenge should feel like it was written at a different time with different formatting styles</t>
  </si>
  <si>
    <t>Handle missing, malformed, or inconsistent data safely</t>
  </si>
  <si>
    <t>Respect dataset schema</t>
  </si>
  <si>
    <t>Monetary values formatted with '$', commas, 2 decimals</t>
  </si>
  <si>
    <t>Only header, dataset summary or statement (if any), intro, challenges, code, outputs, and footer</t>
  </si>
  <si>
    <t>When a dataset is present, you MUST display IMMEDIATELY AFTER THE HEADER: Dataset Summary: - File Type: - Columns / Fields: - Data Types: - Notes:</t>
  </si>
  <si>
    <t>The intro MUST be an email in " &amp; $B$6 &amp; " with this EXACT format translated to " &amp; $B$6 &amp; ": '📥 From: [Tech Lead Name]' / '📤 To: [Insert my user name if known, else " &amp; $I$2 &amp; " Dev]' / 'Subject: [Funny subject]'. Body vibe: 'Hola, el Junior mandó esto. Increíblemente funciona, pero mis ojos sangran. Por favor refactorízalo.'. IMMEDIATELY AFTER the email body, you MUST include this exact instruction block translated to " &amp; $B$6 &amp; ": '🚨 **Your objective in this lesson:** You must copy the code blocks from each Challenge exactly as they and paste them into your IDE, then refactor the code by rewriting it professionally until you achieve the exact Program Output when running the refactored program.'</t>
  </si>
  <si>
    <t>EXACTLY " &amp; D9 &amp; "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t>
  </si>
  <si>
    <t>[REVIEW INTENT RULE]</t>
  </si>
  <si>
    <t>The user is expected to review, identify issues, and refactor the code to production-level quality</t>
  </si>
  <si>
    <t>Each challenge MUST include: - Internal data OR dataset usage - At least 1 print statement - MUST be between " &amp; IF(G9="Beginner", "5–15", IF(G9="Intermediate", "10–25", "15–35")) &amp; " lines of EXECUTABLE code (STRICT: Do NOT count blank lines towards this limit, allow messy spacing) - NO classes - Single logical flow - Code MUST run correctly BUT be poorly structured, inconsistent, or inefficient</t>
  </si>
  <si>
    <t>If env/config is used, include: 1. Instructional sentence 2. File content in markdown code block 3. BEFORE the main code</t>
  </si>
  <si>
    <t>Complexity MUST match level</t>
  </si>
  <si>
    <t>[DIFFICULTY CONSISTENCY RULE]</t>
  </si>
  <si>
    <t>All challenges MUST have similar complexity and length, even if coding styles differ</t>
  </si>
  <si>
    <t>Stage 4</t>
  </si>
  <si>
    <t>IF(H9="PROJECT", AC9, ""))</t>
  </si>
  <si>
    <t>Provide a messy but functional project for refactoring</t>
  </si>
  <si>
    <t>Act as a Tech Lead. A junior wrote this working but messy code. Tone: professional but exhausted</t>
  </si>
  <si>
    <t>Code MUST be correct and executable but not perfectly clean</t>
  </si>
  <si>
    <t>Code MUST NOT include ANY comments and should include inconsistent naming, redundant logic, minor structural issues, and slightly messy organization while still remaining understandable as a complete working program</t>
  </si>
  <si>
    <t>Handle real-world data safely</t>
  </si>
  <si>
    <t>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 बुन्देल IMMEDIATELY AFTER THE HEADER, PURGE any memory of previous files, and use realistic dummy data</t>
  </si>
  <si>
    <t>The intro MUST be an email in " &amp; $B$6 &amp; " with this EXACT format translated to " &amp; $B$6 &amp; ": 'From: [Tech Lead Name]' / 'To: [Insert my user name if known, else " &amp; $I$2 &amp; " Dev]' / 'Subject: [Funny subject]'. Body vibe: 'Hola, el Junior mandó esto. Increíblemente funciona, pero mis ojos sangran. Por favor refactorízalo.'</t>
  </si>
  <si>
    <t>EXACTLY 1 project. Structure MUST be: 1. Tech Lead Intro Email 2. Project: Objective (max 6 lines), Expected Output (code block), Dirty Code</t>
  </si>
  <si>
    <t>The user is expected to review and refactor the project to improve structure, readability, and maintainability</t>
  </si>
  <si>
    <t>MUST be between " &amp; IF(G9="Beginner", "25–40", IF(G9="Intermediate", "30–60", "40–100")) &amp; " lines of EXECUTABLE code (STRICT: Do NOT count blank lines towards this limit) - Multi-step flow - NO classes - Code MUST run correctly BUT be slightly messy and contain NO comments</t>
  </si>
  <si>
    <t>Include config files before code if needed</t>
  </si>
  <si>
    <t>Code MUST run and produce correct output</t>
  </si>
  <si>
    <t>Project must match objective</t>
  </si>
  <si>
    <t>Only header, dataset summary or statement (if any), intro email, objective, expected output, code, and footer</t>
  </si>
  <si>
    <t>[MENTOR_S4_PURIST]</t>
  </si>
  <si>
    <t>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t>
  </si>
  <si>
    <t>If the language (" &amp; $B$6 &amp; ") is Portuguese, act like a 'Sênior ranzinza e perfeccionista' using local jargon (e.g., 'que gambiarra!', 'código espaguete', 'meu Deus, cadê o PEP 8?'). If Spanish, use sharp Latin American tech terminology (e.g., 'qué código más espantoso', 'esto no es nada de codigo legible y elegante " &amp; $I$2 &amp; "', 'limpia este desastre'). Match the cultural vibe of a senior who is tired of seeing bad code.</t>
  </si>
  <si>
    <t>You are performing a Code Review for a " &amp; IF(UPPER(H9)="PROJECT", "PROJECT: " &amp; I9 &amp; ". Topics involved: " &amp; B9 &amp; ". Project objective: " &amp; J9, "TOPIC: " &amp; I9 &amp; ". Topic details: " &amp; J9) &amp; " | " &amp;</t>
  </si>
  <si>
    <t>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 &amp;</t>
  </si>
  <si>
    <t>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t>
  </si>
  <si>
    <t>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 &amp; $I$2 &amp; " built-in, standard library module, or good " &amp; $I$2 &amp; " code pattern to research.</t>
  </si>
  <si>
    <t>After Phase 1, you MUST insert exactly this visual separator:" &amp; CHAR(10) &amp; "------------------------------------------------------------" &amp; CHAR(10) &amp; "🛑 THE EXPLANATION GATE 🛑" &amp; CHAR(10) &amp; "Before scrolling down to see the Master Code, justify WHY your refactor will be more idiomatic. Blindly cleaning code is just 'Vibe Refactoring'. Articulate the debt." &amp; CHAR(10) &amp; "------------------------------------------------------------ |</t>
  </si>
  <si>
    <t xml:space="preserve">1. Provide the 'Senior' version: clean, elegant, and good " &amp; $I$2 &amp; "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t>
  </si>
  <si>
    <t>"")</t>
  </si>
  <si>
    <t>Mentor Stage 4</t>
  </si>
  <si>
    <t>Projects Stage 4</t>
  </si>
  <si>
    <t>Topics Stage 4</t>
  </si>
  <si>
    <t>Mentor Stage 3</t>
  </si>
  <si>
    <t>Topics Stage 3</t>
  </si>
  <si>
    <t>Projects Stage 3</t>
  </si>
  <si>
    <t>Mentor Stage 2</t>
  </si>
  <si>
    <t>Projects Stage 2</t>
  </si>
  <si>
    <t>Topics Stage 2</t>
  </si>
  <si>
    <t>Projects Stage 1</t>
  </si>
  <si>
    <t>Topics Stage 1</t>
  </si>
  <si>
    <t>Topics Stage 5</t>
  </si>
  <si>
    <t>Stage 5</t>
  </si>
  <si>
    <t>Projects Stage 5</t>
  </si>
  <si>
    <t>Mentor Stage 5</t>
  </si>
  <si>
    <t>Tech Product Manager assigning a " &amp; $I$2 &amp; " Jira Ticket</t>
  </si>
  <si>
    <t>Provide a guided implementation exercise with full solution for learning purposes</t>
  </si>
  <si>
    <t>Act as a professional Tech Product Manager writing clear Jira tickets</t>
  </si>
  <si>
    <t>[TICKET FORMAT RULE - STRICT]</t>
  </si>
  <si>
    <t>The 'Context &amp; Ticket' section MUST begin with this EXACT text (translated to " &amp; $B$6 &amp; "):" &amp; CHAR(10) &amp;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&amp; CHAR(10) &amp; CHAR(10) &amp; "Immediately followed by this EXACT multi-line format (translated to " &amp; $B$6 &amp; "):" &amp; CHAR(10) &amp; "🎫 Ticket #[Random 5-digit ID]" &amp; CHAR(10) &amp; "👤 From: [Generate Name] - [Department]" &amp; CHAR(10) &amp; "📥 To: Dev Team" &amp; CHAR(10) &amp; "Subject: [Ticket Subject]" &amp; CHAR(10) &amp; "Hello Dev Team, this is [Name] from [Department]. [Context paragraph]." &amp; CHAR(10) &amp; CHAR(10) &amp; "(Tech Product Manager Notes):" &amp; CHAR(10) &amp; "👥 From: [Generate TPM Name] - Tech Product Manager" &amp; CHAR(10) &amp; "📥 To: [Insert my user name if known, otherwise use '" &amp; $I$2 &amp; " Dev']" &amp; CHAR(10) &amp; "Subject: Assignment Details" &amp; CHAR(10) &amp; "Hello [Insert my user name if known, otherwise use '" &amp; $I$2 &amp; " Dev']!" &amp; CHAR(10) &amp; "[Assignment paragraph]" &amp; CHAR(10) &amp; CHAR(10) &amp; "✅ Acceptance Criteria:" &amp; CHAR(10) &amp; "[Bullet list]</t>
  </si>
  <si>
    <t>V1.0 MUST be between " &amp; IF(G9="Beginner", "10–20", IF(G9="Intermediate", "15–30", "25–40")) &amp; " lines of EXECUTABLE code (STRICT) - V1.1 MUST be between " &amp; IF(G9="Beginner", "15–30", IF(G9="Intermediate", "25–45", "35–60")) &amp; " lines of EXECUTABLE code (STRICT) - Do NOT count comments or blank lines towards these limits - ALL code MUST run without errors - MUST be executable and realistic - MUST include a clear integration point - MUST NOT include unused imports - NO classes - NO unnecessary complexity</t>
  </si>
  <si>
    <t>[CRITICAL OUTPUT RULE]</t>
  </si>
  <si>
    <t>Rule: " &amp; IF(G9="Beginner", "Use simple scripts or minimal functions. ", IF(G9="Intermediate", "Use functions where appropriate. ", "Use modular functions with clear structure. ")) &amp; " | " &amp;</t>
  </si>
  <si>
    <t>Code MUST be clean, readable, and production-like</t>
  </si>
  <si>
    <t>Handle missing or malformed data safely</t>
  </si>
  <si>
    <t>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t>
  </si>
  <si>
    <t>Only header, dataset summary or statement (if any), the defined sections, and footer</t>
  </si>
  <si>
    <t>End your entire response EXACTLY with this markdown string (ensure all code blocks are closed before it):" &amp; CHAR(10) &amp; "---" &amp; CHAR(10) &amp; "⚡ *Coding5s System — Learn Programming by Writing Code*",</t>
  </si>
  <si>
    <t>IF(H9="PROJECT", AD9, ""))</t>
  </si>
  <si>
    <t>Provide a guided project implementation with full solution</t>
  </si>
  <si>
    <t>Act as a professional Tech Product Manager defining a project ticket</t>
  </si>
  <si>
    <t>ALL output MUST be strictly in " &amp; $B$6 &amp; ".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 &amp; $B$6 &amp; " | " &amp; $AE$7 &amp; " | " &amp;</t>
  </si>
  <si>
    <t>Output MUST match real execution - Convert sets to sorted lists before printing</t>
  </si>
  <si>
    <t>" &amp; IF(G9="Beginner", "Avoid complex structure. ", IF(G9="Intermediate", "Functions optional. ", "Use structured modular functions. ")) &amp; " | " &amp;</t>
  </si>
  <si>
    <t>The 'Context &amp; Ticket' section MUST use this EXACT multi-line format (translated to " &amp; $B$6 &amp; "):" &amp; CHAR(10) &amp; "Ticket #[Random 5-digit ID]" &amp; CHAR(10) &amp; "From: [Generate Name] - [Department]" &amp; CHAR(10) &amp; "To: Dev Team" &amp; CHAR(10) &amp; "Subject: [Ticket Subject]" &amp; CHAR(10) &amp; "Hello Dev Team, this is [Name] from [Department]. [Context paragraph]." &amp; CHAR(10) &amp; CHAR(10) &amp; "(Tech Product Manager Notes):" &amp; CHAR(10) &amp; "From: [Generate TPM Name] - Tech Product Manager" &amp; CHAR(10) &amp; "To: [Insert my user name if known, otherwise use '" &amp; $I$2 &amp; " Dev']" &amp; CHAR(10) &amp; "Subject: Assignment Details" &amp; CHAR(10) &amp; "Hello [Insert my user name if known, otherwise use '" &amp; $I$2 &amp; " Dev']!" &amp; CHAR(10) &amp; "[Assignment paragraph]" &amp; CHAR(10) &amp; CHAR(10) &amp; "Acceptance Criteria:" &amp; CHAR(10) &amp; "[Bullet list]</t>
  </si>
  <si>
    <t>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IMMEDIATELY AFTER THE HEADER, PURGE any memory of previous files, and use realistic dummy data</t>
  </si>
  <si>
    <t>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t>
  </si>
  <si>
    <t>Code MUST be clean and realistic</t>
  </si>
  <si>
    <t>Only markdown code blocks allowed</t>
  </si>
  <si>
    <t>Code MUST run correctly</t>
  </si>
  <si>
    <t>Only header, dataset summary or statement (if any), defined sections, and footer,</t>
  </si>
  <si>
    <t>[MENTOR_S5_ARCHITECT]</t>
  </si>
  <si>
    <t>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t>
  </si>
  <si>
    <t>If the language (" &amp; $B$6 &amp; ") is Portuguese, act like an 'Arquiteto de Software Sênior' using local jargon (e.g., 'subir pra produção', 'vai escalar?', 'casos extremos'). If Spanish, use Latin American tech terminology (e.g., 'subir a producción', '¿esto escala?', 'casos borde'). Match the cultural vibe of a strategic tech lead.</t>
  </si>
  <si>
    <t>You are reviewing the final implementation of a new feature for a " &amp; IF(UPPER(H9)="PROJECT", "PROJECT: " &amp; I9 &amp; ". Topics integrated: " &amp; B9 &amp; ". Business Goal: " &amp; J9, "TOPIC: " &amp; I9 &amp; ". Goal: " &amp; J9) &amp; " | " &amp;</t>
  </si>
  <si>
    <t>Analyze the extension code. If they already anticipated the edge cases and scalability issues (e.g., using generators or async patterns), give them the 'Architect's Approval' and discuss a more advanced trade-off. Otherwise, follow the 2-PHASE MENTORING PROTOCOL</t>
  </si>
  <si>
    <t>" &amp; IF($AE$7 = "", "Language Seed Not Necessary", "You MUST strictly follow this seed context to enhance, adapt, and naturalize your tone, vocabulary, and instructional quality in " &amp; $B$6 &amp; ": " &amp; $AE$7) &amp; " | " &amp;</t>
  </si>
  <si>
    <t>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t>
  </si>
  <si>
    <t>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t>
  </si>
  <si>
    <t>After Phase 1, you MUST insert exactly this visual separator:" &amp; CHAR(10) &amp; "------------------------------------------------------------" &amp; CHAR(10) &amp; "🛑 THE EXPLANATION GATE 🛑" &amp; CHAR(10) &amp; "Before scrolling down to the final architectural review, articulate the TRADE-OFFS of your implementation. What happens when this feature faces extreme load? Pushing code without understanding scale builds Epistemic Debt." &amp; CHAR(10) &amp; "------------------------------------------------------------</t>
  </si>
  <si>
    <t>[PHASE 2: FINAL REVIEW - STRICT]</t>
  </si>
  <si>
    <t>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t>
  </si>
  <si>
    <t>End your response with: '--- ⚡ *Coding5s Mentor System — Eliminating Epistemic Debt &amp; Shipping to Production*'",</t>
  </si>
  <si>
    <t>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&amp; CHAR(10) &amp; " 🛑 STOP BARRIER 🛑 11. 🌳 Updated Code (V1.1 - FULLY IMPLEMENTED) 12. 📝 Implementation Notes 13. Implemented Output (MUST reflect REAL execution of V1.1 code)</t>
  </si>
  <si>
    <t>[LANGUAGE SEED CONTEXT]</t>
  </si>
  <si>
    <t>[MINIMAL INTERVENTION RULE - ULTRA STRICT]</t>
  </si>
  <si>
    <t>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t>
  </si>
  <si>
    <t>Languages Range</t>
  </si>
  <si>
    <t>Number of Examples</t>
  </si>
  <si>
    <t>Low Resource Lang</t>
  </si>
  <si>
    <t>Abbreviation</t>
  </si>
  <si>
    <t>Language Seed Context</t>
  </si>
  <si>
    <t>Testing Languages</t>
  </si>
  <si>
    <t>End your response with: '--- ⚡ *Coding5s Mentor System — Eliminating Technical Debt with Elegance*'",</t>
  </si>
  <si>
    <t>Manual Variables by Topic</t>
  </si>
  <si>
    <t>MIT License</t>
  </si>
  <si>
    <t>Copyright (c) 2026 Wilfredo Barrios</t>
  </si>
  <si>
    <t>Permission is hereby granted, free of charge, to any person obtaining a copy</t>
  </si>
  <si>
    <t>of this software and associated documentation files (the "Software"), to deal</t>
  </si>
  <si>
    <t>in the Software without restriction, including without limitation the rights</t>
  </si>
  <si>
    <t>to use, copy, modify, merge, publish, distribute, sublicense, and/or sell</t>
  </si>
  <si>
    <t>copies of the Software, and to permit persons to whom the Software is</t>
  </si>
  <si>
    <t>furnished to do so, subject to the following conditions:</t>
  </si>
  <si>
    <t>The above copyright notice and this permission notice shall be included in all</t>
  </si>
  <si>
    <t>copies or substantial portions of the Software.</t>
  </si>
  <si>
    <t>THE SOFTWARE IS PROVIDED "AS IS", WITHOUT WARRANTY OF ANY KIND, EXPRESS OR</t>
  </si>
  <si>
    <t>IMPLIED, INCLUDING BUT NOT LIMITED TO THE WARRANTIES OF MERCHANTABILITY,</t>
  </si>
  <si>
    <t>FITNESS FOR A PARTICULAR PURPOSE AND NONINFRINGEMENT. IN NO EVENT SHALL THE</t>
  </si>
  <si>
    <t>AUTHORS OR COPYRIGHT HOLDERS BE LIABLE FOR ANY CLAIM, DAMAGES OR OTHER</t>
  </si>
  <si>
    <t>LIABILITY, WHETHER IN AN ACTION OF CONTRACT, TORT OR OTHERWISE, ARISING FROM,</t>
  </si>
  <si>
    <t>OUT OF OR IN CONNECTION WITH THE SOFTWARE OR THE USE OR OTHER DEALINGS IN THE</t>
  </si>
  <si>
    <t>SOFTWARE.</t>
  </si>
  <si>
    <t xml:space="preserve">Project Homepage: </t>
  </si>
  <si>
    <t>https://github.com/WilfredoBarrios/coding5s-framework</t>
  </si>
  <si>
    <t>Cell References</t>
  </si>
  <si>
    <t>A9</t>
  </si>
  <si>
    <t>Relative</t>
  </si>
  <si>
    <t>D9</t>
  </si>
  <si>
    <t>F9</t>
  </si>
  <si>
    <t>G9</t>
  </si>
  <si>
    <t>H9</t>
  </si>
  <si>
    <t>I9</t>
  </si>
  <si>
    <t>J9</t>
  </si>
  <si>
    <t>B6</t>
  </si>
  <si>
    <t>Absolute</t>
  </si>
  <si>
    <t>I2</t>
  </si>
  <si>
    <t>Learning Now Name</t>
  </si>
  <si>
    <t>I3</t>
  </si>
  <si>
    <t>AE</t>
  </si>
  <si>
    <t>Z9</t>
  </si>
  <si>
    <t>AA2</t>
  </si>
  <si>
    <t>AB</t>
  </si>
  <si>
    <t>AC</t>
  </si>
  <si>
    <t>AD</t>
  </si>
  <si>
    <t>AJ</t>
  </si>
  <si>
    <t>Cantidad Ejemplos</t>
  </si>
  <si>
    <t>Target Library</t>
  </si>
  <si>
    <t>Projects Formula Stage 1</t>
  </si>
  <si>
    <t>Projects Formula Stage 2</t>
  </si>
  <si>
    <t>Projects Formula Stage 3</t>
  </si>
  <si>
    <t>Projects Formula Stage 4</t>
  </si>
  <si>
    <t>Projects Formula Stage 5</t>
  </si>
  <si>
    <t>Manual Variable For Specific Topic</t>
  </si>
  <si>
    <t>Cell</t>
  </si>
  <si>
    <t>Detailed Explanation</t>
  </si>
  <si>
    <t>Defines the strict code line limit that the LLM can generate for the examples in that specific lesson, preventing redundant outputs.</t>
  </si>
  <si>
    <t>Controls the exact number of code snippets or practical use cases the AI must render within the lesson to maintain pedagogical consistency.</t>
  </si>
  <si>
    <t>The sequential numerical index of the lesson. It acts as an anchor for sorting and calculating internal dependencies.</t>
  </si>
  <si>
    <t>Indicates the current difficulty level (e.g., Beginner, Intermediate). It dynamically adjusts the complexity of the vocabulary and code generated by the AI.</t>
  </si>
  <si>
    <t>Specifies the nature of the row's deliverable (e.g., CONCEPT, STEP), dictating the structure of the prompt generator.</t>
  </si>
  <si>
    <t>An optimized, keyword-friendly variant of the lesson name used to help the LLM process the technical domain more accurately.</t>
  </si>
  <si>
    <t>The official commercial or pedagogical name of the lesson as it will appear on the course syllabus or index for the student.</t>
  </si>
  <si>
    <t>The primary programming language of the course (e.g., Elixir, Python). Being absolute, it is injected globally into every row.</t>
  </si>
  <si>
    <t>The specific ecosystem or submodule being built (e.g., Phoenix LiveView, Pandas), locking down the technical focus of the pipeline.</t>
  </si>
  <si>
    <t>Specifies mandatory external libraries or dependencies that the AI must import and utilize within the code examples.</t>
  </si>
  <si>
    <t>The immutable master context of the language (core syntax, key paradigms, and design rules) that shields the AI from structural hallucinations.</t>
  </si>
  <si>
    <t>Executes the Stage 1 prompt for project development, handling the initial technical analysis and breakdown of the lab requirements.</t>
  </si>
  <si>
    <t>Processes Stage 2 of the project engine, establishing the file architecture or individual module skeletons of the deliverable.</t>
  </si>
  <si>
    <t>Governs Stage 3, injecting operational constraints and Socratic testing guidelines for the student to solve the lab.</t>
  </si>
  <si>
    <t>Manages Stage 4, dedicated to structuring the evaluation criteria and code validation logic for the project core.</t>
  </si>
  <si>
    <t>Consolidates Stage 5, compiling the final project package (Student Kit) with deployment-ready instructions.</t>
  </si>
  <si>
    <t>A manual escape-hatch cell that allows the creator to inject a unique parameter or override instruction for that specific lesson without breaking global column formulas.</t>
  </si>
  <si>
    <t>📖 HOW TO USE THIS CREATOR KIT</t>
  </si>
  <si>
    <t>This Excel sheet serves as the primary data engine to generate granular lessons. However, it does not contain the structural setup prompts. Please follow the repository guidelines below:</t>
  </si>
  <si>
    <r>
      <t>Syllabus Initialization Prompts:</t>
    </r>
    <r>
      <rPr>
        <sz val="11"/>
        <color theme="1"/>
        <rFont val="Aptos Narrow"/>
        <family val="2"/>
        <scheme val="minor"/>
      </rPr>
      <t xml:space="preserve"> The core prompts required to architect your initial course outline are </t>
    </r>
    <r>
      <rPr>
        <b/>
        <sz val="11"/>
        <color theme="1"/>
        <rFont val="Aptos Narrow"/>
        <family val="2"/>
        <scheme val="minor"/>
      </rPr>
      <t>NOT</t>
    </r>
    <r>
      <rPr>
        <sz val="11"/>
        <color theme="1"/>
        <rFont val="Aptos Narrow"/>
        <family val="2"/>
        <scheme val="minor"/>
      </rPr>
      <t xml:space="preserve"> built into this spreadsheet. You must locate them in your repository folder under:</t>
    </r>
  </si>
  <si>
    <r>
      <t>lessons_generator_prompt_phase_1.md</t>
    </r>
    <r>
      <rPr>
        <sz val="11"/>
        <color theme="1"/>
        <rFont val="Aptos Narrow"/>
        <family val="2"/>
        <scheme val="minor"/>
      </rPr>
      <t xml:space="preserve"> (Domain Analysis &amp; Topic Calculation Blueprint)</t>
    </r>
  </si>
  <si>
    <r>
      <t>lessons_generator_prompt_phase_2.md</t>
    </r>
    <r>
      <rPr>
        <sz val="11"/>
        <color theme="1"/>
        <rFont val="Aptos Narrow"/>
        <family val="2"/>
        <scheme val="minor"/>
      </rPr>
      <t xml:space="preserve"> (Sanitized Flat Markdown Table Generation)</t>
    </r>
  </si>
  <si>
    <t>Execution Workflow:</t>
  </si>
  <si>
    <r>
      <t xml:space="preserve">1. Copy the prompt from the </t>
    </r>
    <r>
      <rPr>
        <b/>
        <sz val="11"/>
        <color theme="1"/>
        <rFont val="Aptos Narrow"/>
        <family val="2"/>
        <scheme val="minor"/>
      </rPr>
      <t>Phase 1</t>
    </r>
    <r>
      <rPr>
        <sz val="11"/>
        <color theme="1"/>
        <rFont val="Aptos Narrow"/>
        <family val="2"/>
        <scheme val="minor"/>
      </rPr>
      <t xml:space="preserve"> MD file into your LLM to extract the analytical breakdown of your language or framework.</t>
    </r>
  </si>
  <si>
    <r>
      <t xml:space="preserve">2. Use the </t>
    </r>
    <r>
      <rPr>
        <b/>
        <sz val="11"/>
        <color theme="1"/>
        <rFont val="Aptos Narrow"/>
        <family val="2"/>
        <scheme val="minor"/>
      </rPr>
      <t>Phase 2</t>
    </r>
    <r>
      <rPr>
        <sz val="11"/>
        <color theme="1"/>
        <rFont val="Aptos Narrow"/>
        <family val="2"/>
        <scheme val="minor"/>
      </rPr>
      <t xml:space="preserve"> MD file prompt to clean and format those topics into a standardized 4-column raw table.</t>
    </r>
  </si>
  <si>
    <r>
      <t>3. Paste that sanitized data directly into the columns here starting from row 9 (</t>
    </r>
    <r>
      <rPr>
        <sz val="10"/>
        <color theme="1"/>
        <rFont val="Arial Unicode MS"/>
      </rPr>
      <t>#</t>
    </r>
    <r>
      <rPr>
        <sz val="11"/>
        <color theme="1"/>
        <rFont val="Aptos Narrow"/>
        <family val="2"/>
        <scheme val="minor"/>
      </rPr>
      <t xml:space="preserve">, </t>
    </r>
    <r>
      <rPr>
        <sz val="10"/>
        <color theme="1"/>
        <rFont val="Arial Unicode MS"/>
      </rPr>
      <t>Level</t>
    </r>
    <r>
      <rPr>
        <sz val="11"/>
        <color theme="1"/>
        <rFont val="Aptos Narrow"/>
        <family val="2"/>
        <scheme val="minor"/>
      </rPr>
      <t xml:space="preserve">, </t>
    </r>
    <r>
      <rPr>
        <sz val="10"/>
        <color theme="1"/>
        <rFont val="Arial Unicode MS"/>
      </rPr>
      <t>Type</t>
    </r>
    <r>
      <rPr>
        <sz val="11"/>
        <color theme="1"/>
        <rFont val="Aptos Narrow"/>
        <family val="2"/>
        <scheme val="minor"/>
      </rPr>
      <t xml:space="preserve">, </t>
    </r>
    <r>
      <rPr>
        <sz val="10"/>
        <color theme="1"/>
        <rFont val="Arial Unicode MS"/>
      </rPr>
      <t>Topic Name</t>
    </r>
    <r>
      <rPr>
        <sz val="11"/>
        <color theme="1"/>
        <rFont val="Aptos Narrow"/>
        <family val="2"/>
        <scheme val="minor"/>
      </rPr>
      <t>).</t>
    </r>
  </si>
  <si>
    <r>
      <t>Dynamic Generation:</t>
    </r>
    <r>
      <rPr>
        <sz val="11"/>
        <color theme="1"/>
        <rFont val="Aptos Narrow"/>
        <family val="2"/>
        <scheme val="minor"/>
      </rPr>
      <t xml:space="preserve"> Once your row metadata is filled, the rest of the columns in this kit will automatically compute, compile, and build the final custom socratic engine prompts.</t>
    </r>
  </si>
  <si>
    <t>Rule Tag</t>
  </si>
  <si>
    <t>Rule To Concatenate</t>
  </si>
  <si>
    <t>You MUST start your entire response EXACTLY with this markdown block (do not print anything before it):" &amp; CHAR(10) &amp; "### 🔹 Topic #" &amp; F9 &amp; " | Stage 1 📖 Practice | " &amp; IF($I$3="", $I$2, $I$2&amp; " - " &amp;$I$3) &amp; " | 📊 Level: " &amp; G9 &amp; " | 🌐 Coding5s.com" &amp; CHAR(10) &amp; "**Concept:** " &amp; J9 &amp; CHAR(10) &amp; "---" &amp; CHAR(10) &amp; " | " &amp;</t>
  </si>
  <si>
    <t>You MUST start your entire response EXACTLY with this markdown block (do not print anything before it):" &amp; CHAR(10) &amp; "### 🚀 Project #" &amp; F9 &amp; " | Stage 1 | " &amp; IF($I$3="", $I$2, $I$2&amp; " - " &amp;$I$3) &amp; " | 📊 Level: " &amp; G9 &amp; " | 🌐 Coding5s.com" &amp; CHAR(10) &amp; "**Project:** " &amp; J9 &amp; CHAR(10) &amp; "---" &amp; CHAR(10) &amp; " | " &amp;</t>
  </si>
  <si>
    <t>You MUST start your entire response exactly with the following RAW markdown block (do NOT strip the '#' characters):" &amp; CHAR(10) &amp; "### 🎓 Mentor Stage 1 | " &amp; IF(UPPER(H9)="PROJECT", "Project #", "Topic #") &amp; F9 &amp; " | Practice | " &amp; IF($I$3="", $I$2, $I$2&amp; " - " &amp;$I$3) &amp; " | 📊 Level: " &amp; G9 &amp; CHAR(10) &amp; "**" &amp; IF(UPPER(H9)="PROJECT", "Project", "Topic") &amp; ":** " &amp; I9 &amp; CHAR(10) &amp; "---" &amp; CHAR(10) &amp; " | " &amp;</t>
  </si>
  <si>
    <t>You MUST start your entire response EXACTLY with this markdown block (do not print anything before it):" &amp; CHAR(10) &amp; "### 🔹 Topic #" &amp; F9 &amp; " | Stage 2 🐛 Debug | " &amp; IF($I$3="", $I$2, $I$2&amp; " - " &amp;$I$3) &amp; " | 📊 Level: " &amp; G9 &amp; " | 🌐 Coding5s.com" &amp; CHAR(10) &amp; "Concept: " &amp; J9 &amp; CHAR(10) &amp; "---" &amp; CHAR(10) &amp; " |</t>
  </si>
  <si>
    <t>You MUST start your entire response EXACTLY with this markdown block (do not print anything before it):" &amp; CHAR(10) &amp; "### 🚀 Project #" &amp; F9 &amp; " | Stage 2 | " &amp; IF($I$3="", $I$2, $I$2&amp; " - " &amp;$I$3) &amp; " | 📊 Level: " &amp; G9 &amp; " | 🌐 Coding5s.com" &amp; CHAR(10) &amp; "Project: " &amp; J9 &amp; CHAR(10) &amp; "---" &amp; CHAR(10) &amp; " | " &amp;</t>
  </si>
  <si>
    <t>You MUST start your entire response exactly with the following RAW markdown block (do NOT strip the '#' characters):" &amp; CHAR(10) &amp; "### 🕵️‍♂️ Elite Mentor Stage 2 | " &amp; IF(UPPER(H9)="PROJECT", "Project #", "Topic #") &amp; F9 &amp; " | Debug | " &amp; IF($I$3="", $I$2, $I$2&amp; " - " &amp;$I$3) &amp; " | 📊 Level: " &amp; G9 &amp; CHAR(10) &amp; "**" &amp; IF(UPPER(H9)="PROJECT", "Project", "Topic") &amp; ":** " &amp; I9 &amp; CHAR(10) &amp; "---" &amp; CHAR(10) &amp; " | " &amp;</t>
  </si>
  <si>
    <t>You MUST start your entire response EXACTLY with this markdown block (do not print anything before it):" &amp; CHAR(10) &amp; "### 🔹 Topic #" &amp; F9 &amp; " | Stage 3 🧩 Complete | " &amp; IF($I$3="", $I$2, $I$2&amp; " - " &amp;$I$3) &amp; " | 📊 Level: " &amp; G9 &amp; " | 🌐 Coding5s.com" &amp; CHAR(10) &amp; "**Concept:** " &amp; J9 &amp; CHAR(10) &amp; "---" &amp; CHAR(10) &amp; " | " &amp;</t>
  </si>
  <si>
    <t>You MUST start your entire response EXACTLY with this markdown block (do not print anything before it):" &amp; CHAR(10) &amp; "### 🚀 Project #" &amp; F9 &amp; " | Stage 3 | " &amp; IF($I$3="", $I$2, $I$2&amp; " - " &amp;$I$3) &amp; " | 📊 Level: " &amp; G9 &amp; " | 🌐 Coding5s.com" &amp; CHAR(10) &amp; "**Project:** " &amp; J9 &amp; CHAR(10) &amp; "---" &amp; CHAR(10) &amp; " | " &amp;</t>
  </si>
  <si>
    <t>You MUST start your entire response exactly with the following RAW markdown block (do NOT strip the '#' characters):" &amp; CHAR(10) &amp; "### 🧩 Elite Mentor Stage 3 | " &amp; IF(UPPER(H9)="PROJECT", "Project #", "Topic #") &amp; F9 &amp; " | Complete | " &amp; IF($I$3="", $I$2, $I$2&amp; " - " &amp;$I$3) &amp; " | 📊 Level: " &amp; G9 &amp; CHAR(10) &amp; "**" &amp; IF(UPPER(H9)="PROJECT", "Project", "Topic") &amp; ":** " &amp; I9 &amp; CHAR(10) &amp; "---" &amp; CHAR(10) &amp; " | " &amp;</t>
  </si>
  <si>
    <t>You MUST start your entire response EXACTLY with this markdown block (do not print anything before it):" &amp; CHAR(10) &amp; "### 🔹 Topic #" &amp; F9 &amp; " | Stage 4 🧹 Refactor | " &amp; IF($I$3="", $I$2, $I$2&amp; " - " &amp;$I$3) &amp; " | 📊 Level: " &amp; G9 &amp; " | 🌐 Coding5s.com" &amp; CHAR(10) &amp; "**Concept:** " &amp; J9 &amp; CHAR(10) &amp; "---" &amp; CHAR(10) &amp; " | " &amp;</t>
  </si>
  <si>
    <t>You MUST start your entire response EXACTLY with this markdown block (do not print anything before it):" &amp; CHAR(10) &amp; "### 🚀 Project #" &amp; F9 &amp; " | Stage 4 | " &amp; IF($I$3="", $I$2, $I$2&amp; " - " &amp;$I$3) &amp; " | 📊 Level: " &amp; G9 &amp; " | 🌐 Coding5s.com" &amp; CHAR(10) &amp; "**Project:** " &amp; J9 &amp; CHAR(10) &amp; "---" &amp; CHAR(10) &amp; " | " &amp;</t>
  </si>
  <si>
    <t>You MUST start your entire response exactly with the following RAW markdown block (do NOT strip the '#' characters):" &amp; CHAR(10) &amp; "### 🧹 Elite Mentor Stage 4 | " &amp; IF(UPPER(H9)="PROJECT", "Project #", "Topic #") &amp; F9 &amp; " | Refactor | " &amp; IF($I$3="", $I$2, $I$2&amp; " - " &amp;$I$3) &amp; " | 📊 Level: " &amp; G9 &amp; CHAR(10) &amp; "**" &amp; IF(UPPER(H9)="PROJECT", "Project", "Topic") &amp; ":** " &amp; I9 &amp; CHAR(10) &amp; "---" &amp; CHAR(10) &amp; " | " &amp;</t>
  </si>
  <si>
    <t>You MUST start your entire response EXACTLY with this markdown block (do not print anything before it):" &amp; CHAR(10) &amp; "### 🔹 Topic #" &amp; F9 &amp; " | Stage 5 | " &amp; IF($I$3="", $I$2, $I$2&amp; " - " &amp;$I$3) &amp; " | 📊 Level: " &amp; G9 &amp; " | 🌐 Coding5s.com" &amp; CHAR(10) &amp; "**Concept:** " &amp; J9 &amp; CHAR(10) &amp; "---" &amp; CHAR(10) &amp; " | " &amp;</t>
  </si>
  <si>
    <t>You MUST start your entire response EXACTLY with this markdown block (do not print anything before it):" &amp; CHAR(10) &amp; "### 🚀 Project #" &amp; F9 &amp; " | Stage 5 | " &amp; IF($I$3="", $I$2, $I$2&amp; " - " &amp;$I$3) &amp; " | 📊 Level: " &amp; G9 &amp; " | 🌐 Coding5s.com" &amp; CHAR(10) &amp; "**Project:** " &amp; J9 &amp; CHAR(10) &amp; "---" &amp; CHAR(10) &amp; " | " &amp;</t>
  </si>
  <si>
    <t>You MUST start your entire response exactly with the following RAW markdown block (do NOT strip the '#' characters):" &amp; CHAR(10) &amp; "### 🚀 Elite Mentor Stage 5 | " &amp; IF(UPPER(H9)="PROJECT", "Project #", "Topic #") &amp; F9 &amp; " | Extend | " &amp; IF($I$3="", $I$2, $I$2&amp; " - " &amp;$I$3) &amp; " | 📊 Level: " &amp; G9 &amp; CHAR(10) &amp; "**" &amp; IF(UPPER(H9)="PROJECT", "Project", "Topic") &amp; ":** " &amp; I9 &amp; CHAR(10) &amp; "---" &amp; CHAR(10) &amp; " | " &amp;</t>
  </si>
  <si>
    <t>Code MUST be clean, readable, educational, executable, and produce correct results. Handle missing, malformed, or inconsistent data safely, utilizing pattern matching if possible.</t>
  </si>
  <si>
    <t>[COMMENT CONSTRAINTS]</t>
  </si>
  <si>
    <t>Code MUST include sufficient inline comments explaining WHAT the code does AND WHY it is written that way. Density: Beginner = high, Intermediate = medium, Advanced = lower but present in key logic.</t>
  </si>
  <si>
    <t>[HEX DEPENDENCIES RULE]</t>
  </si>
  <si>
    <t>[EXUNIT RULE]</t>
  </si>
  <si>
    <t>ALWAYS label markdown code blocks with the correct underlying programming language (e.g., elixir, javascript, sql)</t>
  </si>
  <si>
    <t>Yes</t>
  </si>
  <si>
    <t>MUST be between " &amp; IF(G9="Beginner", "25–40", IF(G9="Intermediate", "30–60", "40–100")) &amp; " lines (STRICT) - Multi-step flow</t>
  </si>
  <si>
    <t>You are generating an EXAM. Do NOT provide the fixed code, diagnosis, hints, or explanations. Output ONLY the broken code. Do NOT include comments that reveal the bugs. Let the student find them.</t>
  </si>
  <si>
    <t>[I_O_PARADIGM]</t>
  </si>
  <si>
    <t>[INLINE_PACKAGE_MANAGER]</t>
  </si>
  <si>
    <t>[TESTING_FRAMEWORK_LIMITS]</t>
  </si>
  <si>
    <t>Mentor</t>
  </si>
  <si>
    <t>[PERFORMANCE_LIBRARIES]</t>
  </si>
  <si>
    <t>[FORBIDDEN_LOW_LEVEL_PATTERNS]</t>
  </si>
  <si>
    <t>[NATIVE_OPTIMIZATION_PARADIGM]</t>
  </si>
  <si>
    <t>[BEGINNER_SCOPE]</t>
  </si>
  <si>
    <t>[INTERMEDIATE_SCOPE]</t>
  </si>
  <si>
    <t>[ADVANCED_SCOPE]</t>
  </si>
  <si>
    <t>[CODE_CONSTRAINTS_RULE]</t>
  </si>
  <si>
    <t>[DATA_SOURCE_TYPE]</t>
  </si>
  <si>
    <t>[NATIVE_PRINT_METHOD]</t>
  </si>
  <si>
    <t>[FILE_SYSTEM_MODULE]</t>
  </si>
  <si>
    <t>[IDIOMATIC_RETURN_TYPES]</t>
  </si>
  <si>
    <t>[INLINE_INSTALL_SYNTAX]</t>
  </si>
  <si>
    <t>[TESTING_ENVIRONMENT]</t>
  </si>
  <si>
    <t>[FORBIDDEN_TEST_METHOD]</t>
  </si>
  <si>
    <t>[ALLOWED_TEST_SYNTAX]</t>
  </si>
  <si>
    <t>Rule Component</t>
  </si>
  <si>
    <t>Component Tag</t>
  </si>
  <si>
    <t>Projects</t>
  </si>
  <si>
    <t>[SCOPE_ARCHITECTURE_RULE]</t>
  </si>
  <si>
    <t>[VISUAL_ARCHITECTURE_COMMENTS]</t>
  </si>
  <si>
    <t>[VISUAL_BLOCK_COMMENT]</t>
  </si>
  <si>
    <t>80 characters</t>
  </si>
  <si>
    <t>[NATIVE_DOCUMENTATION_METHOD]</t>
  </si>
  <si>
    <t>[MAX_COMMENT_LINE_WIDTH]</t>
  </si>
  <si>
    <t>[MENTOR_SCOPE_EXPECTATIONS]</t>
  </si>
  <si>
    <t>[CODE_QUALITY_POLICIES]</t>
  </si>
  <si>
    <t>[IDIOMATIC_NAMING_CONVENTIONS]</t>
  </si>
  <si>
    <t>[CORE_LANGUAGE_LEVERAGE]</t>
  </si>
  <si>
    <t>[FORBIDDEN_IMPERATIVE_SMELLS]</t>
  </si>
  <si>
    <t>[DEFAULT_ARG_CLAUSES_REQUIRMENT]</t>
  </si>
  <si>
    <t>[FILE_HANDLING_RULE]</t>
  </si>
  <si>
    <t>[FILE_MODULE_USAGE]</t>
  </si>
  <si>
    <t>[ENV_USAGE_POLICY]</t>
  </si>
  <si>
    <t>[SUPPORT_FILES_STRUCTURE]</t>
  </si>
  <si>
    <t>[EXUNIT_RULE]</t>
  </si>
  <si>
    <t>[TESTING_SYNTAX_LIMITS]</t>
  </si>
  <si>
    <t>[HEX_DEPENDENCIES_RULE]</t>
  </si>
  <si>
    <t>[STANDALONE_INSTALL_SYNTAX]</t>
  </si>
  <si>
    <t>[CODE_CONSTRAINTS]</t>
  </si>
  <si>
    <t>[REQUIRED_CONSTRUCTS]</t>
  </si>
  <si>
    <t>[PARADIGM_CORE_POLICIES]</t>
  </si>
  <si>
    <t>[CONSISTENCY_RULE]</t>
  </si>
  <si>
    <t>Stage</t>
  </si>
  <si>
    <t>[BUG_RULE]</t>
  </si>
  <si>
    <t>[ENVIRONMENT_SIMULATION]</t>
  </si>
  <si>
    <t>[COMPILE_ERRORS_TYPE]</t>
  </si>
  <si>
    <t>[LOGIC_ERRORS_TYPE]</t>
  </si>
  <si>
    <t>[RUNTIME_ERRORS_TYPE]</t>
  </si>
  <si>
    <t>[ELIXIR_QUALITY_RULE_STRICT]</t>
  </si>
  <si>
    <t>[PRODUCTION_CLEAN_POLICY]</t>
  </si>
  <si>
    <t>[NAMING_CONVENTIONS]</t>
  </si>
  <si>
    <t>[PARADIGM_PURITY]</t>
  </si>
  <si>
    <t>[DEFAULT_ARG_HEAD_CLAUSE]</t>
  </si>
  <si>
    <t>ALWAYS label markdown code blocks with the correct underlying programming language (e.g., elixir, python, javascript, sql)</t>
  </si>
  <si>
    <t>[STANDALONE_INSTALL_POLICY]</t>
  </si>
  <si>
    <t>[TEST_MACRO_LIMITS]</t>
  </si>
  <si>
    <t>[CHALLENGE_CORE_REQ]</t>
  </si>
  <si>
    <t>[BASE_CODE_POLICY]</t>
  </si>
  <si>
    <t>[EXTERNAL_PACKAGE_PROTOCOL]</t>
  </si>
  <si>
    <t>[TESTING_FRAMEWORK_PROTOCOL]</t>
  </si>
  <si>
    <t>[CHALLENGE_CONSTRAINTS_POLICY]</t>
  </si>
  <si>
    <t>[DYNAMIC_INSTALL_SYNTAX]</t>
  </si>
  <si>
    <t>[PROJECT_LINE_METRIC_BASE]</t>
  </si>
  <si>
    <t>MUST be between</t>
  </si>
  <si>
    <t>[PROJECT_FLOW_POLICY]</t>
  </si>
  <si>
    <t>[PRODUCTION_STYLE_POLICY]</t>
  </si>
  <si>
    <t>[PARADIGM_CORE_LEVERAGE]</t>
  </si>
  <si>
    <t>[FUNCTIONAL_RESTRICTIONS]</t>
  </si>
  <si>
    <t>Normalize boolean values before comparison when the programming language requires it.</t>
  </si>
  <si>
    <t>Explicit casting required before calculations when the programming language requires it.</t>
  </si>
  <si>
    <t>Use correct loaders and enforce encoding='utf-8' and newline='' when applicable if the programming language supports it.</t>
  </si>
  <si>
    <t>[CODE_QUALITY_PROTOCOL]</t>
  </si>
  <si>
    <t>[CLEAN_CODE_POLICY]</t>
  </si>
  <si>
    <t>Normalize boolean values before comparison if the programming language requires it.</t>
  </si>
  <si>
    <t>Explicit casting required before calculations if the programming language requires it.</t>
  </si>
  <si>
    <t>Use correct loaders and enforce encoding='utf-8' and newline=' when applicable or supported by the programming language.</t>
  </si>
  <si>
    <t>[DETERMINISTIC_OUTPUT_PROTOCOL]</t>
  </si>
  <si>
    <t>[FUNCTIONAL_STRUCTURE_POLICY]</t>
  </si>
  <si>
    <t>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 &amp; $I$2 &amp; " runtime (e.g., VSCode)</t>
  </si>
  <si>
    <t>V1.0 MUST be between " &amp; IF(G9="Beginner", "20–35", IF(G9="Intermediate", "30–50", "45–70")) &amp; " lines of EXECUTABLE code (STRICT) - V1.1 MUST be between " &amp; IF(G9="Beginner", "30–50", IF(G9="Intermediate", "45–75", "60–90")) &amp; " lines of EXECUTABLE code (STRICT) - Do NOT count comments or blank lines towards these limits - MUST run without errors - MUST include integration points - NO unnecessary complexity</t>
  </si>
  <si>
    <t>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 &amp; $B$6 &amp; "). Purge past datasets from memory and generate minimal dummy data.</t>
  </si>
  <si>
    <t>GenServer, Supervisor, Registry, or DynamicSupervisor</t>
  </si>
  <si>
    <t>manual process linking (spawn/1, spawn_link/1) outside standard OTP behaviors</t>
  </si>
  <si>
    <t>concurrent asynchronous processes and proper Supervisor tree state isolation</t>
  </si>
  <si>
    <t>Focus on basic GenServer implementations with simple init/1 and synchronous handle_call/3 callbacks.</t>
  </si>
  <si>
    <t>Integrate GenServer within a Supervisor tree. Use asynchronous handle_cast/2 and explicit state transitions.</t>
  </si>
  <si>
    <t>Build fault-tolerant OTP apps with DynamicSupervisor, Registry for process discovery, and handle_info/2 handlers.</t>
  </si>
  <si>
    <t>stateful GenServer state or external message passing</t>
  </si>
  <si>
    <t>Logger.info/debug or IO.inspect inside isolated process callbacks</t>
  </si>
  <si>
    <t>standard OTP message passing via send/2 or GenServer.call/3</t>
  </si>
  <si>
    <t>{:reply, response, new_state}, {:noreply, new_state}, and {:ok, state} tuples</t>
  </si>
  <si>
    <t>ExUnit with isolated async processes (use ExUnit.Case, async: true)</t>
  </si>
  <si>
    <t>manual process link hacking outside of standard OTP abstractions</t>
  </si>
  <si>
    <t>standard test macros and assert_receive/assert_received for message validation</t>
  </si>
  <si>
    <t>visual block tags separating OTP layers (e.g., '# --- CLIENT API ---', '# --- SERVER CALLBACKS ---')</t>
  </si>
  <si>
    <t>comprehensive documentation using @moduledoc and @doc explaining process state APIs</t>
  </si>
  <si>
    <t>Evaluate based on basic GenServer structure (init/1, handle_call/3). Do NOT expect full Supervisor trees unless explicitly demanded.</t>
  </si>
  <si>
    <t>Expect GenServer behaviors integrated into a standard Supervisor. Look for proper state isolation and appropriate use of handle_cast/2 to avoid blocking.</t>
  </si>
  <si>
    <t>Expect complete OTP apps with DynamicSupervisor, clean separation of Client API/Server Callbacks, and handle_info/2 pattern matching.</t>
  </si>
  <si>
    <t>Use descriptive snake_case for functions/variables, and PascalCase for module aliases.</t>
  </si>
  <si>
    <t>Leverage proper tuple pattern matching (e.g., {:noreply, new_state}) and strict immutability within process boundaries.</t>
  </si>
  <si>
    <t>Reject process mailbox clogging, blocking callbacks, bypassing OTP behaviors, or modifying external global state.</t>
  </si>
  <si>
    <t>If using default arguments ('\\') with multiple function clauses or callbacks, you MUST declare a function head without a body.</t>
  </si>
  <si>
    <t>Use standard GenServer message passing and gracefully handle tuple returns like {:reply, response, state} or {:stop, reason, state}.</t>
  </si>
  <si>
    <t>Application environment config may be used but bugs MUST exist ONLY in GenServer/Supervisor logic, NEVER in config/config.exs.</t>
  </si>
  <si>
    <t>If supervision trees/application logic are externalized, MUST include: 1. Instructional sentence 2. Setup module block 3. BEFORE the broken OTP module (Support files MUST contain NO bugs)</t>
  </si>
  <si>
    <t>Always use use ExUnit.Case, async: true. You MUST use assert_receive or sys.get_state/1 for process testing. Avoid doctests for stateful OTP processes.</t>
  </si>
  <si>
    <t>Assume a standard Mix project context. External Hex dependencies MUST be specified strictly within the deps/0 block of mix.exs. NEVER use Mix.install/2.</t>
  </si>
  <si>
    <t>Each challenge MUST include: - At least 1 GenServer or Supervisor - Explicit state initialization (init/1) - At least 1 synchronous or asynchronous OTP callback handler</t>
  </si>
  <si>
    <t>lines of EXECUTABLE broken OTP code per example (STRICT: Do NOT count blank lines). Enforce immutable state transitions across process boundaries.</t>
  </si>
  <si>
    <t>All challenges MUST have similar process tree depth and architectural complexity.</t>
  </si>
  <si>
    <t>Simulate a messy production OTP environment. The project MUST contain EXACTLY 2–5 bugs. You MUST randomly select from real-world concurrency/OTP errors:</t>
  </si>
  <si>
    <t>1. OTP API Setup (e.g., missing start_link/1, unhandled init/1 tuples, missing behavior implementations),</t>
  </si>
  <si>
    <t>2. State/Logic (e.g., returning wrong state tuple format, mutating state incorrectly, blocking handle_call), AND</t>
  </si>
  <si>
    <t>3. Concurrency/Runtime (e.g., GenServer timeout, deadlocks, crashed Supervisor children, unhandled handle_info messages).</t>
  </si>
  <si>
    <t>Code MUST be production-like, cleanly implementing standard OTP behaviors and fault-tolerant supervision.</t>
  </si>
  <si>
    <t>Use descriptive snake_case for variables/functions, and PascalCase for modules.</t>
  </si>
  <si>
    <t>Enforce isolated process state and strict immutability within all OTP callbacks.</t>
  </si>
  <si>
    <t>If using default arguments ('\\') with multiple function clauses in Client APIs, you MUST declare a function head without a body.</t>
  </si>
  <si>
    <t>External Hex packages MUST be added to the deps/0 function in a standard mix.exs file. Do not use standalone scripts or Mix.install/2.</t>
  </si>
  <si>
    <t>Tests MUST run isolated async processes (use ExUnit.Case, async: true). NEVER hack process links manually; use assert_receive to verify OTP flows.</t>
  </si>
  <si>
    <t>Each challenge MUST include: - A functional GenServer or Supervisor tree managing continuous isolated state.</t>
  </si>
  <si>
    <t>lines of EXECUTABLE base OTP code (STRICT: Do NOT count comments or TODOs). Length MUST vary. Enforce isolated immutable process state.</t>
  </si>
  <si>
    <t>Require standard mix.exs tooling for dependencies. Do NOT use Mix.install/2.</t>
  </si>
  <si>
    <t>lines of EXECUTABLE base OTP code (STRICT: Do NOT count comments or TODOs). Must feature inter-process communication or supervision tree flows.</t>
  </si>
  <si>
    <t>Code MUST perfectly model idiomatic OTP architectural paradigms utilizing standard Mix ecosystem tools.</t>
  </si>
  <si>
    <t>Use descriptive snake_case for variables/functions, PascalCase for modules.</t>
  </si>
  <si>
    <t>Enforce pattern matching on strict OTP return tuples (e.g., {:reply, response, state}) and maintain flawless process isolation.</t>
  </si>
  <si>
    <t>Reject manual thread spawns, blocking OTP callbacks, and unprotected state modification. Use function heads for default arguments on multi-clause definitions.</t>
  </si>
  <si>
    <t>Code MUST adhere strictly to Elixir Style Guide and OTP standards. Use snake_case for functions/variables, PascalCase for modules. Use only isolated GenServer state. Emphasize fault-tolerant Supervisor designs.</t>
  </si>
  <si>
    <t>Code MUST adhere strictly to Elixir Style Guide and OTP standards. Use snake_case for functions/variables, PascalCase for modules. NEVER leak state globally; enforce strict callback immutability. Prioritize highly fault-tolerant OTP architectures.</t>
  </si>
  <si>
    <t>Elixir OTP</t>
  </si>
  <si>
    <t>Implement concurrency and manual state management using spawn/1, send/2, receive, and manual recursion state.</t>
  </si>
  <si>
    <t>Concurrency Refresher &amp; Manual State (spawn/1, send/2, receive, manual recursion state)</t>
  </si>
  <si>
    <t>Manage manual monitoring and exits using Process.link/1, Process.monitor/1, and Process.flag/2 with :trap_exit.</t>
  </si>
  <si>
    <t>Manual Monitoring &amp; Exits (Process.link/1, Process.monitor/1, Process.flag/2 with :trap_exit)</t>
  </si>
  <si>
    <t>Create OTP behaviours and implement inversion of control utilizing @behaviour, @callback, behaviour modules, and callback-driven architecture.</t>
  </si>
  <si>
    <t>OTP Behaviours &amp; Inversion of Control (@behaviour, @callback, behaviour modules, callback-driven architecture)</t>
  </si>
  <si>
    <t>Implement encapsulated state with Agents using Agent.start_link/2, Agent.get/3, Agent.update/3, and Agent.cast/2.</t>
  </si>
  <si>
    <t>Encapsulated State with Agents (Agent.start_link/2, Agent.get/3, Agent.update/3, Agent.cast/2)</t>
  </si>
  <si>
    <t>Construct GenServer core structures and synchronous flows using use GenServer, init/1, GenServer.call/3, and handle_call/3.</t>
  </si>
  <si>
    <t>GenServer Core &amp; Synchronous Flow (use GenServer, init/1, GenServer.call/3, handle_call/3)</t>
  </si>
  <si>
    <t>Implement asynchronous flow and deferred initialization using GenServer.cast/2, handle_cast/2, and handle_continue/2 for non-blocking init.</t>
  </si>
  <si>
    <t>Asynchronous Flow &amp; Deferred Init (GenServer.cast/2, handle_cast/2, handle_continue/2 for non-blocking init)</t>
  </si>
  <si>
    <t>Manage internal events, tickers, and lifecycle using send/2 to self, Process.send_after/3 for periodic work, handle_info/2, terminate/2, and Timeouts.</t>
  </si>
  <si>
    <t>Internal Events, Tickers &amp; Lifecycle (send/2 to self, Process.send_after/3 for periodic work, handle_info/2, terminate/2, Timeouts)</t>
  </si>
  <si>
    <t>Build an interactive encapsulated state system utilizing spawn/1, send/2, receive, Agents, and GenServer core callbacks.</t>
  </si>
  <si>
    <t>PROJECT: Basic OTP State Manager</t>
  </si>
  <si>
    <t>Design state modeling patterns using Maps as state, Structs as state, nested state transitions, and process ownership design.</t>
  </si>
  <si>
    <t>State Modeling Patterns (Maps as state, Structs as state, nested state transitions, process ownership design)</t>
  </si>
  <si>
    <t>Implement local registration and global basics using Local name: atom, Process.whereis/1, Process.register/2, and the :global module.</t>
  </si>
  <si>
    <t>Local Registration &amp; Global Basics (Local name: atom, Process.whereis/1, Process.register/2, :global module)</t>
  </si>
  <si>
    <t>Implement dynamic naming with The Registry Module using Registry.start_link/1, Registry.lookup/2, and {:via, Registry, ...} dynamic routing.</t>
  </si>
  <si>
    <t>The Registry Module &amp; Dynamic Naming (Registry.start_link/1, Registry.lookup/2, {:via, Registry, ...} dynamic routing)</t>
  </si>
  <si>
    <t>Define Supervisor core and child specifications using use Supervisor, init/1, child_spec/1, shutdown timeouts vs :brutal_kill, and process ownership.</t>
  </si>
  <si>
    <t>Supervisor Core &amp; Child Specifications (use Supervisor, init/1, child_spec/1, shutdown timeouts vs :brutal_kill, process ownership)</t>
  </si>
  <si>
    <t>Configure Supervisor strategies and tuning using :one_for_one, :one_for_all, :rest_for_one, and max_restarts/max_seconds.</t>
  </si>
  <si>
    <t>Supervisor Strategies &amp; Tuning (:one_for_one, :one_for_all, :rest_for_one, max_restarts/max_seconds)</t>
  </si>
  <si>
    <t>Architect Supervision trees and dynamic supervisors using parent-child cascades, DynamicSupervisor, start_child/2, and failure domains.</t>
  </si>
  <si>
    <t>Supervision Trees &amp; Dynamic Supervisors (Architecting parent-child cascades, DynamicSupervisor, start_child/2, failure domains)</t>
  </si>
  <si>
    <t>Execute asynchronous tasks and bounded concurrency using Task.async/1, Task.await/2, Task.yield/2, and Task.async_stream/3 for safe massive processing.</t>
  </si>
  <si>
    <t>Asynchronous Tasks &amp; Bounded Concurrency (Task.async/1, Task.await/2, Task.yield/2, Task.async_stream/3 for safe massive processing)</t>
  </si>
  <si>
    <t>Develop a fault-tolerant job processing system utilizing DynamicSupervisor, Registry, and Task.async_stream/3.</t>
  </si>
  <si>
    <t>PROJECT: Resilient Job Processor</t>
  </si>
  <si>
    <t>Manage unlinked tasks and task supervision using Task.start/1, Task.Supervisor, and Task.Supervisor.async_nolink/2.</t>
  </si>
  <si>
    <t>Unlinked Tasks &amp; Task Supervision (Task.start/1, Task.Supervisor, Task.Supervisor.async_nolink/2)</t>
  </si>
  <si>
    <t>Execute ETS core operations using :ets.new, :ets.insert, :ets.lookup, and :ets.delete.</t>
  </si>
  <si>
    <t>ETS Core Operations (:ets.new, :ets.insert, :ets.lookup, :ets.delete)</t>
  </si>
  <si>
    <t>Configure ETS ownership and advanced patterns utilizing Table types, heir configuration, :read_concurrency / :write_concurrency optimizations, and ETS vs GenServer selection.</t>
  </si>
  <si>
    <t>ETS Ownership &amp; Advanced Patterns (Table types, heir configuration, :read_concurrency / :write_concurrency optimizations, ETS vs GenServer selection)</t>
  </si>
  <si>
    <t>Define Application behavior and environment using use Application, start/2, Config scripts, and Application.get_env/3.</t>
  </si>
  <si>
    <t>Application Behavior &amp; Environment (use Application, start/2, Config scripts, Application.get_env/3)</t>
  </si>
  <si>
    <t>Implement complex initialization and releases using start_phases, mix release, runtime.exs, and connecting to running nodes.</t>
  </si>
  <si>
    <t>Complex Initialization &amp; Releases (start_phases, mix release, runtime.exs, connecting to running nodes)</t>
  </si>
  <si>
    <t>Execute Node operations and RPC using Node.self/0, Node.connect/1, :rpc.call/4, and :rpc.multicall/3.</t>
  </si>
  <si>
    <t>Node Operations &amp; RPC (Node.self/0, Node.connect/1, :rpc.call/4, :rpc.multicall/3)</t>
  </si>
  <si>
    <t>Design distributed architecture and constraints using Node.monitor/2, :pg Process Groups, and handling network partitions/split-brain.</t>
  </si>
  <si>
    <t>Distributed Architecture &amp; Constraints (Node.monitor/2, :pg Process Groups, handling network partitions/split-brain)</t>
  </si>
  <si>
    <t>Construct a distributed caching application utilizing :ets operations, Application lifecycle, and :rpc node calls.</t>
  </si>
  <si>
    <t>PROJECT: Distributed ETS Cache</t>
  </si>
  <si>
    <t>Implement testing for GenServers and internal state using ExUnit with GenServer, asserting synchronous state, and assert_receive/3 for handle_info.</t>
  </si>
  <si>
    <t>Testing GenServers &amp; Internal State (ExUnit with GenServer, asserting synchronous state, assert_receive/3 for handle_info)</t>
  </si>
  <si>
    <t>Formulate testing for Supervisors and fault tolerance using Process.exit/2 simulations, asserting restart behavior, and Task.yield/2 in tests.</t>
  </si>
  <si>
    <t>Testing Supervisors &amp; Fault Tolerance (Process.exit/2 simulations, asserting restart behavior, Task.yield/2 in tests)</t>
  </si>
  <si>
    <t>Design testing for Registries and distributed systems by asserting via tuples, mocking node connections, and testing ETS table state.</t>
  </si>
  <si>
    <t>Testing Registries &amp; Distributed Systems (Asserting via tuples, mocking node connections, testing ETS table state)</t>
  </si>
  <si>
    <t>Develop a comprehensive concurrent test suite for an OTP application validating Supervisors, GenServer state, and Registry via tuples.</t>
  </si>
  <si>
    <t>PROJECT: Master OTP Test Suite</t>
  </si>
  <si>
    <t>Standard mix.exs dependencies list (defp deps do [{:package_name, '~&gt; version'}] end)</t>
  </si>
  <si>
    <t>📖 How to Study with Coding5s</t>
  </si>
  <si>
    <r>
      <t xml:space="preserve">Welcome to </t>
    </r>
    <r>
      <rPr>
        <b/>
        <sz val="11"/>
        <color theme="1"/>
        <rFont val="Aptos Narrow"/>
        <family val="2"/>
        <scheme val="minor"/>
      </rPr>
      <t>Coding5s</t>
    </r>
    <r>
      <rPr>
        <sz val="11"/>
        <color theme="1"/>
        <rFont val="Aptos Narrow"/>
        <family val="2"/>
        <scheme val="minor"/>
      </rPr>
      <t>! This framework is designed to give you a deep, hands-on learning experience using AI as your personal tutor alongside your local IDE.</t>
    </r>
  </si>
  <si>
    <t>📌 The Core Learning Workflow (Step-by-Step)</t>
  </si>
  <si>
    <t>1. Complete Stage 1 (Initial Learning Path)</t>
  </si>
  <si>
    <r>
      <t xml:space="preserve">Go to </t>
    </r>
    <r>
      <rPr>
        <b/>
        <sz val="11"/>
        <color theme="1"/>
        <rFont val="Aptos Narrow"/>
        <family val="2"/>
        <scheme val="minor"/>
      </rPr>
      <t>Lesson 1</t>
    </r>
    <r>
      <rPr>
        <sz val="11"/>
        <color theme="1"/>
        <rFont val="Aptos Narrow"/>
        <family val="2"/>
        <scheme val="minor"/>
      </rPr>
      <t xml:space="preserve"> in the main sheet.</t>
    </r>
  </si>
  <si>
    <r>
      <t xml:space="preserve">Copy the text from the </t>
    </r>
    <r>
      <rPr>
        <b/>
        <sz val="11"/>
        <color theme="1"/>
        <rFont val="Aptos Narrow"/>
        <family val="2"/>
        <scheme val="minor"/>
      </rPr>
      <t>Stage 1 Prompt</t>
    </r>
    <r>
      <rPr>
        <sz val="11"/>
        <color theme="1"/>
        <rFont val="Aptos Narrow"/>
        <family val="2"/>
        <scheme val="minor"/>
      </rPr>
      <t xml:space="preserve"> column.</t>
    </r>
  </si>
  <si>
    <t>Paste it into a clean AI chat (Gemini, ChatGPT, Claude, etc.).</t>
  </si>
  <si>
    <r>
      <t xml:space="preserve">Read the lesson, complete the exercise, and write/run the code in your </t>
    </r>
    <r>
      <rPr>
        <b/>
        <sz val="11"/>
        <color theme="1"/>
        <rFont val="Aptos Narrow"/>
        <family val="2"/>
        <scheme val="minor"/>
      </rPr>
      <t>local IDE</t>
    </r>
    <r>
      <rPr>
        <sz val="11"/>
        <color theme="1"/>
        <rFont val="Aptos Narrow"/>
        <family val="2"/>
        <scheme val="minor"/>
      </rPr>
      <t>.</t>
    </r>
  </si>
  <si>
    <r>
      <t xml:space="preserve">Proceed sequentially through </t>
    </r>
    <r>
      <rPr>
        <b/>
        <sz val="11"/>
        <color theme="1"/>
        <rFont val="Aptos Narrow"/>
        <family val="2"/>
        <scheme val="minor"/>
      </rPr>
      <t>Lesson 2, Lesson 3, etc.</t>
    </r>
    <r>
      <rPr>
        <sz val="11"/>
        <color theme="1"/>
        <rFont val="Aptos Narrow"/>
        <family val="2"/>
        <scheme val="minor"/>
      </rPr>
      <t xml:space="preserve">, staying within </t>
    </r>
    <r>
      <rPr>
        <b/>
        <sz val="11"/>
        <color theme="1"/>
        <rFont val="Aptos Narrow"/>
        <family val="2"/>
        <scheme val="minor"/>
      </rPr>
      <t>Stage 1</t>
    </r>
    <r>
      <rPr>
        <sz val="11"/>
        <color theme="1"/>
        <rFont val="Aptos Narrow"/>
        <family val="2"/>
        <scheme val="minor"/>
      </rPr>
      <t xml:space="preserve"> until you finish all topics and complete the first </t>
    </r>
    <r>
      <rPr>
        <b/>
        <sz val="11"/>
        <color theme="1"/>
        <rFont val="Aptos Narrow"/>
        <family val="2"/>
        <scheme val="minor"/>
      </rPr>
      <t>PROJECT</t>
    </r>
    <r>
      <rPr>
        <sz val="11"/>
        <color theme="1"/>
        <rFont val="Aptos Narrow"/>
        <family val="2"/>
        <scheme val="minor"/>
      </rPr>
      <t>.</t>
    </r>
  </si>
  <si>
    <t>2. How to Use the Mentor Column (Live Troubleshooting)</t>
  </si>
  <si>
    <r>
      <t xml:space="preserve">The </t>
    </r>
    <r>
      <rPr>
        <b/>
        <sz val="11"/>
        <color theme="1"/>
        <rFont val="Aptos Narrow"/>
        <family val="2"/>
        <scheme val="minor"/>
      </rPr>
      <t>Mentor Prompt</t>
    </r>
    <r>
      <rPr>
        <sz val="11"/>
        <color theme="1"/>
        <rFont val="Aptos Narrow"/>
        <family val="2"/>
        <scheme val="minor"/>
      </rPr>
      <t xml:space="preserve"> column is your dedicated support tool whenever you get stuck or need clarification on a specific topic.</t>
    </r>
  </si>
  <si>
    <t>To ask a question:</t>
  </si>
  <si>
    <r>
      <t xml:space="preserve">1. Copy the cell from the </t>
    </r>
    <r>
      <rPr>
        <b/>
        <sz val="11"/>
        <color theme="1"/>
        <rFont val="Aptos Narrow"/>
        <family val="2"/>
        <scheme val="minor"/>
      </rPr>
      <t>Mentor Prompt</t>
    </r>
    <r>
      <rPr>
        <sz val="11"/>
        <color theme="1"/>
        <rFont val="Aptos Narrow"/>
        <family val="2"/>
        <scheme val="minor"/>
      </rPr>
      <t xml:space="preserve"> column for your current lesson.</t>
    </r>
  </si>
  <si>
    <t>2. Paste it into your AI chat.</t>
  </si>
  <si>
    <t>3. Immediately below the prompt, write your question.</t>
  </si>
  <si>
    <t>4. Paste your code snippet directly from your IDE.</t>
  </si>
  <si>
    <t>Recommended Message Format:</t>
  </si>
  <si>
    <t>3. Sequential Stage Progression</t>
  </si>
  <si>
    <r>
      <t xml:space="preserve">Once you have completed the entire topic list in </t>
    </r>
    <r>
      <rPr>
        <b/>
        <sz val="11"/>
        <color theme="1"/>
        <rFont val="Aptos Narrow"/>
        <family val="2"/>
        <scheme val="minor"/>
      </rPr>
      <t>Stage 1</t>
    </r>
    <r>
      <rPr>
        <sz val="11"/>
        <color theme="1"/>
        <rFont val="Aptos Narrow"/>
        <family val="2"/>
        <scheme val="minor"/>
      </rPr>
      <t>:</t>
    </r>
  </si>
  <si>
    <r>
      <t xml:space="preserve">1. Move on to </t>
    </r>
    <r>
      <rPr>
        <b/>
        <sz val="11"/>
        <color theme="1"/>
        <rFont val="Aptos Narrow"/>
        <family val="2"/>
        <scheme val="minor"/>
      </rPr>
      <t>Stage 2 (Troubleshooting / Debugging)</t>
    </r>
    <r>
      <rPr>
        <sz val="11"/>
        <color theme="1"/>
        <rFont val="Aptos Narrow"/>
        <family val="2"/>
        <scheme val="minor"/>
      </rPr>
      <t>.</t>
    </r>
  </si>
  <si>
    <t>2. Go through the lessons from top to bottom in Stage 2 to learn how to break, diagnose, and fix broken code (use the Stage 2 Mentor prompt whenever the console crashes).</t>
  </si>
  <si>
    <r>
      <t xml:space="preserve">3. Repeat the process sequentially for </t>
    </r>
    <r>
      <rPr>
        <b/>
        <sz val="11"/>
        <color theme="1"/>
        <rFont val="Aptos Narrow"/>
        <family val="2"/>
        <scheme val="minor"/>
      </rPr>
      <t>Stage 3, Stage 4, and Stage 5</t>
    </r>
    <r>
      <rPr>
        <sz val="11"/>
        <color theme="1"/>
        <rFont val="Aptos Narrow"/>
        <family val="2"/>
        <scheme val="minor"/>
      </rPr>
      <t xml:space="preserve"> for advanced architecture, optimization, and scaling.</t>
    </r>
  </si>
  <si>
    <t>💡 Golden Rules for Students</t>
  </si>
  <si>
    <r>
      <t xml:space="preserve">❌ </t>
    </r>
    <r>
      <rPr>
        <b/>
        <sz val="11"/>
        <color theme="1"/>
        <rFont val="Aptos Narrow"/>
        <family val="2"/>
        <scheme val="minor"/>
      </rPr>
      <t>Do not jump across stages within the same lesson:</t>
    </r>
    <r>
      <rPr>
        <sz val="11"/>
        <color theme="1"/>
        <rFont val="Aptos Narrow"/>
        <family val="2"/>
        <scheme val="minor"/>
      </rPr>
      <t xml:space="preserve"> Do not attempt Stage 1, Stage 2, and Stage 3 for Lesson 1 on the same day. Build your core foundation by finishing the entire </t>
    </r>
    <r>
      <rPr>
        <b/>
        <sz val="11"/>
        <color theme="1"/>
        <rFont val="Aptos Narrow"/>
        <family val="2"/>
        <scheme val="minor"/>
      </rPr>
      <t>Stage 1 path first</t>
    </r>
    <r>
      <rPr>
        <sz val="11"/>
        <color theme="1"/>
        <rFont val="Aptos Narrow"/>
        <family val="2"/>
        <scheme val="minor"/>
      </rPr>
      <t>.</t>
    </r>
  </si>
  <si>
    <r>
      <t xml:space="preserve">✅ </t>
    </r>
    <r>
      <rPr>
        <b/>
        <sz val="11"/>
        <color theme="1"/>
        <rFont val="Aptos Narrow"/>
        <family val="2"/>
        <scheme val="minor"/>
      </rPr>
      <t>Always practice in your IDE:</t>
    </r>
    <r>
      <rPr>
        <sz val="11"/>
        <color theme="1"/>
        <rFont val="Aptos Narrow"/>
        <family val="2"/>
        <scheme val="minor"/>
      </rPr>
      <t xml:space="preserve"> Never just read the AI's explanation. Type out, test, and execute every piece of code in your editor.</t>
    </r>
  </si>
  <si>
    <t>Check the "HowToStudy" sheet for instructions on how to use this sheet to study.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</si>
</sst>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7">
    <font>
      <sz val="11"/>
      <color theme="1"/>
      <name val="Aptos Narrow"/>
      <family val="2"/>
      <scheme val="minor"/>
    </font>
    <font>
      <b/>
      <sz val="11"/>
      <color theme="1"/>
      <name val="Aptos Narrow"/>
      <family val="2"/>
      <scheme val="minor"/>
    </font>
    <font>
      <sz val="11"/>
      <color theme="0"/>
      <name val="Aptos Narrow"/>
      <family val="2"/>
      <scheme val="minor"/>
    </font>
    <font>
      <b/>
      <sz val="20"/>
      <color theme="0"/>
      <name val="Aptos Narrow"/>
      <family val="2"/>
      <scheme val="minor"/>
    </font>
    <font>
      <b/>
      <sz val="18"/>
      <color theme="0"/>
      <name val="Aptos Narrow"/>
      <family val="2"/>
      <scheme val="minor"/>
    </font>
    <font>
      <sz val="11"/>
      <name val="Aptos Narrow"/>
      <family val="2"/>
      <scheme val="minor"/>
    </font>
    <font>
      <b/>
      <sz val="18"/>
      <color rgb="FFFFFF00"/>
      <name val="Aptos Narrow"/>
      <family val="2"/>
      <scheme val="minor"/>
    </font>
    <font>
      <b/>
      <sz val="20"/>
      <color rgb="FFFFC000"/>
      <name val="Aptos Narrow"/>
      <family val="2"/>
      <scheme val="minor"/>
    </font>
    <font>
      <sz val="14"/>
      <color theme="0"/>
      <name val="Aptos Narrow"/>
      <family val="2"/>
      <scheme val="minor"/>
    </font>
    <font>
      <b/>
      <sz val="12"/>
      <color theme="0"/>
      <name val="Aptos Narrow"/>
      <family val="2"/>
      <scheme val="minor"/>
    </font>
    <font>
      <sz val="12"/>
      <color theme="0"/>
      <name val="Aptos Narrow"/>
      <family val="2"/>
      <scheme val="minor"/>
    </font>
    <font>
      <sz val="11"/>
      <color theme="0" tint="-4.9989318521683403E-2"/>
      <name val="Aptos Narrow"/>
      <family val="2"/>
      <scheme val="minor"/>
    </font>
    <font>
      <b/>
      <sz val="12"/>
      <color theme="0" tint="-4.9989318521683403E-2"/>
      <name val="Aptos Narrow"/>
      <family val="2"/>
      <scheme val="minor"/>
    </font>
    <font>
      <b/>
      <sz val="16"/>
      <color theme="0"/>
      <name val="Aptos Narrow"/>
      <family val="2"/>
      <scheme val="minor"/>
    </font>
    <font>
      <b/>
      <sz val="11"/>
      <color theme="1"/>
      <name val="Arial"/>
      <family val="2"/>
    </font>
    <font>
      <sz val="11"/>
      <color theme="1"/>
      <name val="Arial"/>
      <family val="2"/>
    </font>
    <font>
      <sz val="28"/>
      <color theme="1"/>
      <name val="Aptos Narrow"/>
      <family val="2"/>
      <scheme val="minor"/>
    </font>
    <font>
      <b/>
      <sz val="11"/>
      <color theme="0"/>
      <name val="Aptos Narrow"/>
      <family val="2"/>
      <scheme val="minor"/>
    </font>
    <font>
      <b/>
      <sz val="28"/>
      <color theme="1"/>
      <name val="Aptos Narrow"/>
      <family val="2"/>
      <scheme val="minor"/>
    </font>
    <font>
      <b/>
      <sz val="14"/>
      <color theme="1"/>
      <name val="Aptos Narrow"/>
      <family val="2"/>
      <scheme val="minor"/>
    </font>
    <font>
      <u/>
      <sz val="11"/>
      <color theme="10"/>
      <name val="Aptos Narrow"/>
      <family val="2"/>
      <scheme val="minor"/>
    </font>
    <font>
      <b/>
      <sz val="13.5"/>
      <color theme="1"/>
      <name val="Aptos Narrow"/>
      <family val="2"/>
      <scheme val="minor"/>
    </font>
    <font>
      <sz val="10"/>
      <color theme="1"/>
      <name val="Arial Unicode MS"/>
    </font>
    <font>
      <sz val="20"/>
      <color theme="1"/>
      <name val="Aptos Narrow"/>
      <family val="2"/>
      <scheme val="minor"/>
    </font>
    <font>
      <b/>
      <sz val="20"/>
      <color theme="5" tint="-0.249977111117893"/>
      <name val="Aptos Narrow"/>
      <family val="2"/>
      <scheme val="minor"/>
    </font>
    <font>
      <b/>
      <sz val="24"/>
      <color theme="1"/>
      <name val="Aptos Narrow"/>
      <family val="2"/>
      <scheme val="minor"/>
    </font>
    <font>
      <b/>
      <sz val="16"/>
      <color theme="1"/>
      <name val="Aptos Narrow"/>
      <family val="2"/>
      <scheme val="minor"/>
    </font>
  </fonts>
  <fills count="38">
    <fill>
      <patternFill patternType="none"/>
    </fill>
    <fill>
      <patternFill patternType="gray125"/>
    </fill>
    <fill>
      <patternFill patternType="solid">
        <fgColor theme="1"/>
        <bgColor indexed="64"/>
      </patternFill>
    </fill>
    <fill>
      <patternFill patternType="solid">
        <fgColor theme="5" tint="0.79998168889431442"/>
        <bgColor indexed="64"/>
      </patternFill>
    </fill>
    <fill>
      <patternFill patternType="solid">
        <fgColor theme="2" tint="-9.9978637043366805E-2"/>
        <bgColor indexed="64"/>
      </patternFill>
    </fill>
    <fill>
      <patternFill patternType="solid">
        <fgColor theme="9" tint="0.59999389629810485"/>
        <bgColor indexed="64"/>
      </patternFill>
    </fill>
    <fill>
      <patternFill patternType="solid">
        <fgColor rgb="FFFFC000"/>
        <bgColor indexed="64"/>
      </patternFill>
    </fill>
    <fill>
      <patternFill patternType="solid">
        <fgColor theme="9" tint="0.39997558519241921"/>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7" tint="-0.249977111117893"/>
        <bgColor indexed="64"/>
      </patternFill>
    </fill>
    <fill>
      <patternFill patternType="solid">
        <fgColor theme="2" tint="-9.9978637043366805E-2"/>
        <bgColor theme="0" tint="-0.14999847407452621"/>
      </patternFill>
    </fill>
    <fill>
      <patternFill patternType="solid">
        <fgColor rgb="FFFFFF00"/>
        <bgColor indexed="64"/>
      </patternFill>
    </fill>
    <fill>
      <patternFill patternType="solid">
        <fgColor theme="0" tint="-0.14999847407452621"/>
        <bgColor theme="0" tint="-0.14999847407452621"/>
      </patternFill>
    </fill>
    <fill>
      <patternFill patternType="solid">
        <fgColor theme="3" tint="0.749992370372631"/>
        <bgColor theme="0" tint="-0.14999847407452621"/>
      </patternFill>
    </fill>
    <fill>
      <patternFill patternType="solid">
        <fgColor theme="6" tint="0.79998168889431442"/>
        <bgColor indexed="64"/>
      </patternFill>
    </fill>
    <fill>
      <patternFill patternType="solid">
        <fgColor theme="3" tint="0.89999084444715716"/>
        <bgColor indexed="64"/>
      </patternFill>
    </fill>
    <fill>
      <patternFill patternType="solid">
        <fgColor theme="3" tint="0.749992370372631"/>
        <bgColor indexed="64"/>
      </patternFill>
    </fill>
    <fill>
      <patternFill patternType="solid">
        <fgColor rgb="FF2C353E"/>
        <bgColor indexed="64"/>
      </patternFill>
    </fill>
    <fill>
      <patternFill patternType="solid">
        <fgColor theme="0" tint="-0.249977111117893"/>
        <bgColor indexed="64"/>
      </patternFill>
    </fill>
    <fill>
      <patternFill patternType="solid">
        <fgColor theme="7" tint="0.59999389629810485"/>
        <bgColor indexed="64"/>
      </patternFill>
    </fill>
    <fill>
      <patternFill patternType="solid">
        <fgColor theme="8" tint="0.59999389629810485"/>
        <bgColor indexed="64"/>
      </patternFill>
    </fill>
    <fill>
      <patternFill patternType="solid">
        <fgColor theme="3" tint="0.249977111117893"/>
        <bgColor indexed="64"/>
      </patternFill>
    </fill>
    <fill>
      <patternFill patternType="solid">
        <fgColor theme="4" tint="0.59999389629810485"/>
        <bgColor theme="0" tint="-0.14999847407452621"/>
      </patternFill>
    </fill>
    <fill>
      <patternFill patternType="solid">
        <fgColor rgb="FF00B050"/>
        <bgColor indexed="64"/>
      </patternFill>
    </fill>
    <fill>
      <patternFill patternType="solid">
        <fgColor theme="6" tint="0.39997558519241921"/>
        <bgColor indexed="64"/>
      </patternFill>
    </fill>
    <fill>
      <patternFill patternType="solid">
        <fgColor theme="9" tint="0.79998168889431442"/>
        <bgColor indexed="64"/>
      </patternFill>
    </fill>
    <fill>
      <patternFill patternType="solid">
        <fgColor theme="4" tint="0.79998168889431442"/>
        <bgColor indexed="64"/>
      </patternFill>
    </fill>
    <fill>
      <patternFill patternType="solid">
        <fgColor rgb="FFFFFF99"/>
        <bgColor indexed="64"/>
      </patternFill>
    </fill>
    <fill>
      <patternFill patternType="solid">
        <fgColor rgb="FFD8BEEC"/>
        <bgColor indexed="64"/>
      </patternFill>
    </fill>
    <fill>
      <patternFill patternType="solid">
        <fgColor theme="0" tint="-4.9989318521683403E-2"/>
        <bgColor indexed="64"/>
      </patternFill>
    </fill>
    <fill>
      <patternFill patternType="solid">
        <fgColor theme="1" tint="4.9989318521683403E-2"/>
        <bgColor indexed="64"/>
      </patternFill>
    </fill>
    <fill>
      <patternFill patternType="solid">
        <fgColor theme="7" tint="0.59999389629810485"/>
        <bgColor theme="0" tint="-0.14999847407452621"/>
      </patternFill>
    </fill>
    <fill>
      <patternFill patternType="solid">
        <fgColor theme="5" tint="0.59999389629810485"/>
        <bgColor theme="0" tint="-0.14999847407452621"/>
      </patternFill>
    </fill>
    <fill>
      <patternFill patternType="solid">
        <fgColor rgb="FF002060"/>
        <bgColor indexed="64"/>
      </patternFill>
    </fill>
    <fill>
      <patternFill patternType="solid">
        <fgColor theme="0" tint="-0.14999847407452621"/>
        <bgColor indexed="64"/>
      </patternFill>
    </fill>
    <fill>
      <patternFill patternType="solid">
        <fgColor theme="8" tint="0.79998168889431442"/>
        <bgColor indexed="64"/>
      </patternFill>
    </fill>
    <fill>
      <patternFill patternType="solid">
        <fgColor theme="7" tint="0.79998168889431442"/>
        <bgColor indexed="64"/>
      </patternFill>
    </fill>
  </fills>
  <borders count="35">
    <border>
      <left/>
      <right/>
      <top/>
      <bottom/>
      <diagonal/>
    </border>
    <border>
      <left style="thin">
        <color indexed="64"/>
      </left>
      <right style="thin">
        <color indexed="64"/>
      </right>
      <top style="thin">
        <color indexed="64"/>
      </top>
      <bottom style="thin">
        <color indexed="64"/>
      </bottom>
      <diagonal/>
    </border>
    <border>
      <left style="thin">
        <color theme="0" tint="-0.14996795556505021"/>
      </left>
      <right/>
      <top style="thin">
        <color theme="0" tint="-0.14996795556505021"/>
      </top>
      <bottom/>
      <diagonal/>
    </border>
    <border>
      <left/>
      <right/>
      <top style="thin">
        <color theme="0" tint="-0.14996795556505021"/>
      </top>
      <bottom/>
      <diagonal/>
    </border>
    <border>
      <left style="thin">
        <color theme="0" tint="-0.14993743705557422"/>
      </left>
      <right/>
      <top style="thin">
        <color theme="0" tint="-0.14993743705557422"/>
      </top>
      <bottom/>
      <diagonal/>
    </border>
    <border>
      <left/>
      <right/>
      <top style="thin">
        <color theme="0" tint="-0.14993743705557422"/>
      </top>
      <bottom/>
      <diagonal/>
    </border>
    <border>
      <left/>
      <right style="thin">
        <color theme="0" tint="-0.14993743705557422"/>
      </right>
      <top style="thin">
        <color theme="0" tint="-0.14993743705557422"/>
      </top>
      <bottom/>
      <diagonal/>
    </border>
    <border>
      <left style="thin">
        <color theme="0" tint="-0.24994659260841701"/>
      </left>
      <right/>
      <top style="thin">
        <color theme="0" tint="-0.24994659260841701"/>
      </top>
      <bottom/>
      <diagonal/>
    </border>
    <border>
      <left/>
      <right/>
      <top style="thin">
        <color theme="0" tint="-0.24994659260841701"/>
      </top>
      <bottom/>
      <diagonal/>
    </border>
    <border>
      <left/>
      <right style="thin">
        <color theme="0" tint="-0.24994659260841701"/>
      </right>
      <top style="thin">
        <color theme="0" tint="-0.24994659260841701"/>
      </top>
      <bottom/>
      <diagonal/>
    </border>
    <border>
      <left style="thin">
        <color theme="0" tint="-0.14996795556505021"/>
      </left>
      <right/>
      <top/>
      <bottom/>
      <diagonal/>
    </border>
    <border>
      <left style="thin">
        <color theme="0" tint="-0.14993743705557422"/>
      </left>
      <right/>
      <top/>
      <bottom/>
      <diagonal/>
    </border>
    <border>
      <left/>
      <right style="thin">
        <color theme="0" tint="-0.14993743705557422"/>
      </right>
      <top/>
      <bottom/>
      <diagonal/>
    </border>
    <border>
      <left style="thin">
        <color theme="0" tint="-0.24994659260841701"/>
      </left>
      <right/>
      <top/>
      <bottom/>
      <diagonal/>
    </border>
    <border>
      <left/>
      <right style="thin">
        <color theme="0" tint="-0.24994659260841701"/>
      </right>
      <top/>
      <bottom/>
      <diagonal/>
    </border>
    <border>
      <left/>
      <right/>
      <top/>
      <bottom style="thin">
        <color theme="0" tint="-0.14996795556505021"/>
      </bottom>
      <diagonal/>
    </border>
    <border>
      <left/>
      <right style="thin">
        <color theme="0" tint="-0.14993743705557422"/>
      </right>
      <top/>
      <bottom style="thin">
        <color theme="0" tint="-0.14993743705557422"/>
      </bottom>
      <diagonal/>
    </border>
    <border>
      <left/>
      <right style="thin">
        <color theme="0" tint="-0.24994659260841701"/>
      </right>
      <top/>
      <bottom style="thin">
        <color theme="0" tint="-0.24994659260841701"/>
      </bottom>
      <diagonal/>
    </border>
    <border>
      <left style="medium">
        <color indexed="64"/>
      </left>
      <right/>
      <top style="thin">
        <color theme="1"/>
      </top>
      <bottom/>
      <diagonal/>
    </border>
    <border>
      <left style="thin">
        <color indexed="64"/>
      </left>
      <right/>
      <top style="thin">
        <color theme="1"/>
      </top>
      <bottom/>
      <diagonal/>
    </border>
    <border>
      <left style="thin">
        <color indexed="64"/>
      </left>
      <right/>
      <top style="thin">
        <color indexed="64"/>
      </top>
      <bottom/>
      <diagonal/>
    </border>
    <border>
      <left style="thin">
        <color indexed="64"/>
      </left>
      <right style="thin">
        <color indexed="64"/>
      </right>
      <top style="thin">
        <color indexed="64"/>
      </top>
      <bottom/>
      <diagonal/>
    </border>
    <border>
      <left/>
      <right/>
      <top style="thin">
        <color indexed="64"/>
      </top>
      <bottom/>
      <diagonal/>
    </border>
    <border>
      <left style="medium">
        <color indexed="64"/>
      </left>
      <right/>
      <top style="thin">
        <color indexed="64"/>
      </top>
      <bottom/>
      <diagonal/>
    </border>
    <border>
      <left style="thin">
        <color indexed="64"/>
      </left>
      <right/>
      <top style="thin">
        <color indexed="64"/>
      </top>
      <bottom style="thin">
        <color rgb="FF000000"/>
      </bottom>
      <diagonal/>
    </border>
    <border>
      <left style="thin">
        <color indexed="64"/>
      </left>
      <right style="thin">
        <color indexed="64"/>
      </right>
      <top style="thin">
        <color indexed="64"/>
      </top>
      <bottom style="thin">
        <color rgb="FF000000"/>
      </bottom>
      <diagonal/>
    </border>
    <border>
      <left/>
      <right/>
      <top style="thin">
        <color indexed="64"/>
      </top>
      <bottom style="thin">
        <color rgb="FF000000"/>
      </bottom>
      <diagonal/>
    </border>
    <border>
      <left style="medium">
        <color indexed="64"/>
      </left>
      <right style="medium">
        <color indexed="64"/>
      </right>
      <top style="medium">
        <color indexed="64"/>
      </top>
      <bottom/>
      <diagonal/>
    </border>
    <border>
      <left style="medium">
        <color indexed="64"/>
      </left>
      <right style="medium">
        <color indexed="64"/>
      </right>
      <top/>
      <bottom style="thin">
        <color indexed="64"/>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s>
  <cellStyleXfs count="2">
    <xf numFmtId="0" fontId="0" fillId="0" borderId="0"/>
    <xf numFmtId="0" fontId="20" fillId="0" borderId="0" applyNumberFormat="0" applyFill="0" applyBorder="0" applyAlignment="0" applyProtection="0"/>
  </cellStyleXfs>
  <cellXfs count="141">
    <xf numFmtId="0" fontId="0" fillId="0" borderId="0" xfId="0"/>
    <xf numFmtId="0" fontId="0" fillId="2" borderId="0" xfId="0" applyFill="1"/>
    <xf numFmtId="0" fontId="2" fillId="2" borderId="0" xfId="0" applyFont="1" applyFill="1"/>
    <xf numFmtId="0" fontId="3" fillId="2" borderId="0" xfId="0" applyFont="1" applyFill="1"/>
    <xf numFmtId="0" fontId="1" fillId="3" borderId="1" xfId="0" applyFont="1" applyFill="1" applyBorder="1"/>
    <xf numFmtId="0" fontId="3" fillId="2" borderId="2" xfId="0" applyFont="1" applyFill="1" applyBorder="1"/>
    <xf numFmtId="0" fontId="3" fillId="2" borderId="3" xfId="0" applyFont="1" applyFill="1" applyBorder="1"/>
    <xf numFmtId="0" fontId="4" fillId="2" borderId="3" xfId="0" applyFont="1" applyFill="1" applyBorder="1"/>
    <xf numFmtId="0" fontId="3" fillId="2" borderId="4" xfId="0" applyFont="1" applyFill="1" applyBorder="1"/>
    <xf numFmtId="0" fontId="3" fillId="2" borderId="5" xfId="0" applyFont="1" applyFill="1" applyBorder="1"/>
    <xf numFmtId="0" fontId="3" fillId="2" borderId="6" xfId="0" applyFont="1" applyFill="1" applyBorder="1"/>
    <xf numFmtId="0" fontId="3" fillId="2" borderId="7" xfId="0" applyFont="1" applyFill="1" applyBorder="1"/>
    <xf numFmtId="0" fontId="3" fillId="2" borderId="8" xfId="0" applyFont="1" applyFill="1" applyBorder="1"/>
    <xf numFmtId="0" fontId="3" fillId="2" borderId="9" xfId="0" applyFont="1" applyFill="1" applyBorder="1"/>
    <xf numFmtId="0" fontId="0" fillId="4" borderId="0" xfId="0" applyFill="1"/>
    <xf numFmtId="0" fontId="5" fillId="4" borderId="0" xfId="0" applyFont="1" applyFill="1"/>
    <xf numFmtId="0" fontId="6" fillId="2" borderId="0" xfId="0" applyFont="1" applyFill="1"/>
    <xf numFmtId="0" fontId="0" fillId="5" borderId="1" xfId="0" applyFill="1" applyBorder="1"/>
    <xf numFmtId="0" fontId="7" fillId="2" borderId="10" xfId="0" applyFont="1" applyFill="1" applyBorder="1"/>
    <xf numFmtId="0" fontId="8" fillId="2" borderId="0" xfId="0" applyFont="1" applyFill="1"/>
    <xf numFmtId="0" fontId="2" fillId="2" borderId="0" xfId="0" applyFont="1" applyFill="1" applyAlignment="1">
      <alignment horizontal="left"/>
    </xf>
    <xf numFmtId="0" fontId="2" fillId="2" borderId="10" xfId="0" applyFont="1" applyFill="1" applyBorder="1"/>
    <xf numFmtId="0" fontId="2" fillId="2" borderId="0" xfId="0" applyFont="1" applyFill="1" applyAlignment="1">
      <alignment vertical="center" wrapText="1"/>
    </xf>
    <xf numFmtId="0" fontId="2" fillId="2" borderId="12" xfId="0" applyFont="1" applyFill="1" applyBorder="1" applyAlignment="1">
      <alignment vertical="center" wrapText="1"/>
    </xf>
    <xf numFmtId="0" fontId="2" fillId="2" borderId="10" xfId="0" applyFont="1" applyFill="1" applyBorder="1" applyAlignment="1">
      <alignment vertical="center" wrapText="1"/>
    </xf>
    <xf numFmtId="0" fontId="2" fillId="2" borderId="14" xfId="0" applyFont="1" applyFill="1" applyBorder="1" applyAlignment="1">
      <alignment vertical="center" wrapText="1"/>
    </xf>
    <xf numFmtId="0" fontId="2" fillId="2" borderId="13" xfId="0" applyFont="1" applyFill="1" applyBorder="1" applyAlignment="1">
      <alignment vertical="center" wrapText="1"/>
    </xf>
    <xf numFmtId="0" fontId="10" fillId="2" borderId="10" xfId="0" applyFont="1" applyFill="1" applyBorder="1"/>
    <xf numFmtId="0" fontId="11" fillId="2" borderId="0" xfId="0" applyFont="1" applyFill="1"/>
    <xf numFmtId="0" fontId="12" fillId="2" borderId="0" xfId="0" applyFont="1" applyFill="1"/>
    <xf numFmtId="0" fontId="2" fillId="2" borderId="11" xfId="0" applyFont="1" applyFill="1" applyBorder="1" applyAlignment="1">
      <alignment vertical="center"/>
    </xf>
    <xf numFmtId="0" fontId="2" fillId="2" borderId="0" xfId="0" applyFont="1" applyFill="1" applyAlignment="1">
      <alignment vertical="center"/>
    </xf>
    <xf numFmtId="0" fontId="1" fillId="0" borderId="1" xfId="0" applyFont="1" applyBorder="1"/>
    <xf numFmtId="0" fontId="13" fillId="2" borderId="10" xfId="0" applyFont="1" applyFill="1" applyBorder="1"/>
    <xf numFmtId="0" fontId="0" fillId="6" borderId="1" xfId="0" applyFill="1" applyBorder="1"/>
    <xf numFmtId="0" fontId="0" fillId="7" borderId="1" xfId="0" applyFill="1" applyBorder="1"/>
    <xf numFmtId="0" fontId="2" fillId="2" borderId="15" xfId="0" applyFont="1" applyFill="1" applyBorder="1"/>
    <xf numFmtId="0" fontId="11" fillId="2" borderId="15" xfId="0" applyFont="1" applyFill="1" applyBorder="1"/>
    <xf numFmtId="0" fontId="2" fillId="2" borderId="16" xfId="0" applyFont="1" applyFill="1" applyBorder="1" applyAlignment="1">
      <alignment vertical="center" wrapText="1"/>
    </xf>
    <xf numFmtId="0" fontId="2" fillId="2" borderId="17" xfId="0" applyFont="1" applyFill="1" applyBorder="1" applyAlignment="1">
      <alignment vertical="center" wrapText="1"/>
    </xf>
    <xf numFmtId="0" fontId="0" fillId="4" borderId="1" xfId="0" applyFill="1" applyBorder="1"/>
    <xf numFmtId="0" fontId="14" fillId="8" borderId="18" xfId="0" applyFont="1" applyFill="1" applyBorder="1" applyAlignment="1">
      <alignment vertical="center"/>
    </xf>
    <xf numFmtId="0" fontId="14" fillId="9" borderId="19" xfId="0" applyFont="1" applyFill="1" applyBorder="1" applyAlignment="1">
      <alignment vertical="center"/>
    </xf>
    <xf numFmtId="0" fontId="14" fillId="9" borderId="1" xfId="0" applyFont="1" applyFill="1" applyBorder="1" applyAlignment="1">
      <alignment vertical="center"/>
    </xf>
    <xf numFmtId="0" fontId="14" fillId="9" borderId="1" xfId="0" applyFont="1" applyFill="1" applyBorder="1" applyAlignment="1">
      <alignment horizontal="left" vertical="center"/>
    </xf>
    <xf numFmtId="0" fontId="0" fillId="10" borderId="1" xfId="0" applyFill="1" applyBorder="1"/>
    <xf numFmtId="0" fontId="15" fillId="11" borderId="20" xfId="0" applyFont="1" applyFill="1" applyBorder="1" applyAlignment="1">
      <alignment horizontal="center" vertical="center"/>
    </xf>
    <xf numFmtId="0" fontId="0" fillId="12" borderId="20" xfId="0" applyFill="1" applyBorder="1" applyAlignment="1">
      <alignment horizontal="left"/>
    </xf>
    <xf numFmtId="0" fontId="15" fillId="13" borderId="1" xfId="0" applyFont="1" applyFill="1" applyBorder="1" applyAlignment="1">
      <alignment vertical="center"/>
    </xf>
    <xf numFmtId="0" fontId="15" fillId="13" borderId="20" xfId="0" applyFont="1" applyFill="1" applyBorder="1" applyAlignment="1">
      <alignment vertical="center"/>
    </xf>
    <xf numFmtId="0" fontId="15" fillId="14" borderId="21" xfId="0" applyFont="1" applyFill="1" applyBorder="1" applyAlignment="1">
      <alignment vertical="center"/>
    </xf>
    <xf numFmtId="0" fontId="15" fillId="13" borderId="22" xfId="0" applyFont="1" applyFill="1" applyBorder="1" applyAlignment="1">
      <alignment vertical="center"/>
    </xf>
    <xf numFmtId="0" fontId="0" fillId="0" borderId="20" xfId="0" applyBorder="1"/>
    <xf numFmtId="0" fontId="0" fillId="13" borderId="20" xfId="0" applyFill="1" applyBorder="1"/>
    <xf numFmtId="0" fontId="0" fillId="0" borderId="1" xfId="0" applyBorder="1"/>
    <xf numFmtId="0" fontId="5" fillId="4" borderId="1" xfId="0" applyFont="1" applyFill="1" applyBorder="1"/>
    <xf numFmtId="0" fontId="0" fillId="15" borderId="1" xfId="0" applyFill="1" applyBorder="1"/>
    <xf numFmtId="0" fontId="15" fillId="4" borderId="20" xfId="0" applyFont="1" applyFill="1" applyBorder="1" applyAlignment="1">
      <alignment horizontal="center" vertical="center"/>
    </xf>
    <xf numFmtId="0" fontId="0" fillId="16" borderId="20" xfId="0" applyFill="1" applyBorder="1" applyAlignment="1">
      <alignment horizontal="left"/>
    </xf>
    <xf numFmtId="0" fontId="15" fillId="0" borderId="1" xfId="0" applyFont="1" applyBorder="1" applyAlignment="1">
      <alignment vertical="center"/>
    </xf>
    <xf numFmtId="0" fontId="15" fillId="0" borderId="20" xfId="0" applyFont="1" applyBorder="1" applyAlignment="1">
      <alignment vertical="center"/>
    </xf>
    <xf numFmtId="0" fontId="15" fillId="17" borderId="21" xfId="0" applyFont="1" applyFill="1" applyBorder="1" applyAlignment="1">
      <alignment vertical="center"/>
    </xf>
    <xf numFmtId="0" fontId="15" fillId="0" borderId="22" xfId="0" applyFont="1" applyBorder="1" applyAlignment="1">
      <alignment vertical="center"/>
    </xf>
    <xf numFmtId="0" fontId="15" fillId="0" borderId="1" xfId="0" applyFont="1" applyBorder="1" applyAlignment="1">
      <alignment vertical="center" wrapText="1"/>
    </xf>
    <xf numFmtId="0" fontId="15" fillId="0" borderId="20" xfId="0" applyFont="1" applyBorder="1" applyAlignment="1">
      <alignment vertical="center" wrapText="1"/>
    </xf>
    <xf numFmtId="0" fontId="15" fillId="13" borderId="1" xfId="0" applyFont="1" applyFill="1" applyBorder="1" applyAlignment="1">
      <alignment vertical="center" wrapText="1"/>
    </xf>
    <xf numFmtId="0" fontId="15" fillId="13" borderId="20" xfId="0" applyFont="1" applyFill="1" applyBorder="1" applyAlignment="1">
      <alignment vertical="center" wrapText="1"/>
    </xf>
    <xf numFmtId="0" fontId="0" fillId="13" borderId="1" xfId="0" applyFill="1" applyBorder="1"/>
    <xf numFmtId="0" fontId="15" fillId="4" borderId="24" xfId="0" applyFont="1" applyFill="1" applyBorder="1" applyAlignment="1">
      <alignment horizontal="center" vertical="center"/>
    </xf>
    <xf numFmtId="0" fontId="0" fillId="0" borderId="24" xfId="0" applyBorder="1"/>
    <xf numFmtId="0" fontId="15" fillId="17" borderId="25" xfId="0" applyFont="1" applyFill="1" applyBorder="1" applyAlignment="1">
      <alignment vertical="center"/>
    </xf>
    <xf numFmtId="0" fontId="15" fillId="0" borderId="26" xfId="0" applyFont="1" applyBorder="1" applyAlignment="1">
      <alignment vertical="center"/>
    </xf>
    <xf numFmtId="0" fontId="0" fillId="18" borderId="0" xfId="0" applyFill="1"/>
    <xf numFmtId="0" fontId="0" fillId="0" borderId="0" xfId="0" applyAlignment="1">
      <alignment horizontal="left"/>
    </xf>
    <xf numFmtId="0" fontId="0" fillId="0" borderId="0" xfId="0" applyAlignment="1">
      <alignment wrapText="1"/>
    </xf>
    <xf numFmtId="0" fontId="0" fillId="20" borderId="1" xfId="0" applyFill="1" applyBorder="1"/>
    <xf numFmtId="0" fontId="17" fillId="22" borderId="1" xfId="0" applyFont="1" applyFill="1" applyBorder="1"/>
    <xf numFmtId="49" fontId="0" fillId="5" borderId="1" xfId="0" applyNumberFormat="1" applyFill="1" applyBorder="1"/>
    <xf numFmtId="0" fontId="16" fillId="12" borderId="1" xfId="0" applyFont="1" applyFill="1" applyBorder="1"/>
    <xf numFmtId="0" fontId="16" fillId="6" borderId="1" xfId="0" applyFont="1" applyFill="1" applyBorder="1"/>
    <xf numFmtId="0" fontId="16" fillId="21" borderId="1" xfId="0" applyFont="1" applyFill="1" applyBorder="1"/>
    <xf numFmtId="0" fontId="18" fillId="0" borderId="0" xfId="0" applyFont="1" applyAlignment="1">
      <alignment horizontal="center" vertical="center"/>
    </xf>
    <xf numFmtId="0" fontId="19" fillId="0" borderId="0" xfId="0" applyFont="1"/>
    <xf numFmtId="0" fontId="0" fillId="9" borderId="1" xfId="0" applyFill="1" applyBorder="1"/>
    <xf numFmtId="0" fontId="0" fillId="19" borderId="1" xfId="0" applyFill="1" applyBorder="1"/>
    <xf numFmtId="49" fontId="0" fillId="0" borderId="0" xfId="0" applyNumberFormat="1"/>
    <xf numFmtId="49" fontId="0" fillId="0" borderId="0" xfId="0" applyNumberFormat="1" applyAlignment="1">
      <alignment wrapText="1"/>
    </xf>
    <xf numFmtId="0" fontId="15" fillId="23" borderId="23" xfId="0" applyFont="1" applyFill="1" applyBorder="1" applyAlignment="1">
      <alignment vertical="center"/>
    </xf>
    <xf numFmtId="49" fontId="0" fillId="24" borderId="1" xfId="0" applyNumberFormat="1" applyFill="1" applyBorder="1"/>
    <xf numFmtId="49" fontId="0" fillId="25" borderId="1" xfId="0" applyNumberFormat="1" applyFill="1" applyBorder="1"/>
    <xf numFmtId="0" fontId="0" fillId="26" borderId="1" xfId="0" applyFill="1" applyBorder="1"/>
    <xf numFmtId="0" fontId="0" fillId="27" borderId="1" xfId="0" applyFill="1" applyBorder="1"/>
    <xf numFmtId="0" fontId="0" fillId="28" borderId="1" xfId="0" applyFill="1" applyBorder="1"/>
    <xf numFmtId="0" fontId="0" fillId="29" borderId="1" xfId="0" applyFill="1" applyBorder="1"/>
    <xf numFmtId="0" fontId="0" fillId="30" borderId="1" xfId="0" applyFill="1" applyBorder="1"/>
    <xf numFmtId="0" fontId="0" fillId="3" borderId="1" xfId="0" applyFill="1" applyBorder="1" applyAlignment="1">
      <alignment horizontal="center"/>
    </xf>
    <xf numFmtId="0" fontId="0" fillId="31" borderId="0" xfId="0" applyFill="1"/>
    <xf numFmtId="0" fontId="7" fillId="2" borderId="0" xfId="0" applyFont="1" applyFill="1"/>
    <xf numFmtId="0" fontId="10" fillId="2" borderId="0" xfId="0" applyFont="1" applyFill="1"/>
    <xf numFmtId="0" fontId="0" fillId="5" borderId="21" xfId="0" applyFill="1" applyBorder="1"/>
    <xf numFmtId="0" fontId="2" fillId="2" borderId="27" xfId="0" applyFont="1" applyFill="1" applyBorder="1" applyAlignment="1">
      <alignment horizontal="left"/>
    </xf>
    <xf numFmtId="0" fontId="2" fillId="2" borderId="28" xfId="0" applyFont="1" applyFill="1" applyBorder="1" applyAlignment="1">
      <alignment horizontal="left"/>
    </xf>
    <xf numFmtId="0" fontId="15" fillId="32" borderId="23" xfId="0" applyFont="1" applyFill="1" applyBorder="1" applyAlignment="1">
      <alignment vertical="center"/>
    </xf>
    <xf numFmtId="0" fontId="15" fillId="11" borderId="1" xfId="0" applyFont="1" applyFill="1" applyBorder="1" applyAlignment="1">
      <alignment vertical="center"/>
    </xf>
    <xf numFmtId="0" fontId="1" fillId="28" borderId="1" xfId="0" applyFont="1" applyFill="1" applyBorder="1"/>
    <xf numFmtId="0" fontId="1" fillId="0" borderId="20" xfId="0" applyFont="1" applyBorder="1"/>
    <xf numFmtId="0" fontId="0" fillId="0" borderId="22" xfId="0" applyBorder="1"/>
    <xf numFmtId="0" fontId="0" fillId="0" borderId="29" xfId="0" applyBorder="1"/>
    <xf numFmtId="0" fontId="1" fillId="0" borderId="30" xfId="0" applyFont="1" applyBorder="1"/>
    <xf numFmtId="0" fontId="0" fillId="0" borderId="31" xfId="0" applyBorder="1"/>
    <xf numFmtId="0" fontId="0" fillId="0" borderId="30" xfId="0" applyBorder="1"/>
    <xf numFmtId="0" fontId="0" fillId="0" borderId="32" xfId="0" applyBorder="1"/>
    <xf numFmtId="0" fontId="0" fillId="0" borderId="33" xfId="0" applyBorder="1"/>
    <xf numFmtId="0" fontId="0" fillId="0" borderId="34" xfId="0" applyBorder="1"/>
    <xf numFmtId="0" fontId="20" fillId="0" borderId="0" xfId="1" applyBorder="1"/>
    <xf numFmtId="0" fontId="21" fillId="0" borderId="0" xfId="0" applyFont="1" applyAlignment="1">
      <alignment vertical="center"/>
    </xf>
    <xf numFmtId="0" fontId="0" fillId="0" borderId="0" xfId="0" applyAlignment="1">
      <alignment horizontal="left" vertical="center" indent="1"/>
    </xf>
    <xf numFmtId="0" fontId="1" fillId="0" borderId="0" xfId="0" applyFont="1" applyAlignment="1">
      <alignment horizontal="left" vertical="center" indent="1"/>
    </xf>
    <xf numFmtId="0" fontId="0" fillId="0" borderId="0" xfId="0" applyAlignment="1">
      <alignment horizontal="left" vertical="center" indent="2"/>
    </xf>
    <xf numFmtId="0" fontId="22" fillId="0" borderId="0" xfId="0" applyFont="1" applyAlignment="1">
      <alignment horizontal="left" vertical="center" indent="2"/>
    </xf>
    <xf numFmtId="0" fontId="15" fillId="33" borderId="20" xfId="0" applyFont="1" applyFill="1" applyBorder="1" applyAlignment="1">
      <alignment vertical="center"/>
    </xf>
    <xf numFmtId="0" fontId="22" fillId="0" borderId="0" xfId="0" applyFont="1"/>
    <xf numFmtId="0" fontId="0" fillId="26" borderId="0" xfId="0" applyFill="1"/>
    <xf numFmtId="0" fontId="24" fillId="0" borderId="1" xfId="0" applyFont="1" applyBorder="1"/>
    <xf numFmtId="0" fontId="23" fillId="26" borderId="1" xfId="0" applyFont="1" applyFill="1" applyBorder="1"/>
    <xf numFmtId="0" fontId="17" fillId="34" borderId="0" xfId="0" applyFont="1" applyFill="1"/>
    <xf numFmtId="0" fontId="0" fillId="35" borderId="0" xfId="0" applyFill="1"/>
    <xf numFmtId="0" fontId="0" fillId="36" borderId="0" xfId="0" applyFill="1"/>
    <xf numFmtId="0" fontId="0" fillId="28" borderId="0" xfId="0" applyFill="1"/>
    <xf numFmtId="0" fontId="0" fillId="37" borderId="0" xfId="0" applyFill="1"/>
    <xf numFmtId="0" fontId="5" fillId="4" borderId="1" xfId="0" applyFont="1" applyFill="1" applyBorder="1" applyAlignment="1">
      <alignment horizontal="center"/>
    </xf>
    <xf numFmtId="0" fontId="9" fillId="2" borderId="11" xfId="0" applyFont="1" applyFill="1" applyBorder="1" applyAlignment="1">
      <alignment horizontal="center" vertical="center"/>
    </xf>
    <xf numFmtId="0" fontId="9" fillId="2" borderId="0" xfId="0" applyFont="1" applyFill="1" applyAlignment="1">
      <alignment horizontal="center" vertical="center"/>
    </xf>
    <xf numFmtId="0" fontId="9" fillId="2" borderId="12" xfId="0" applyFont="1" applyFill="1" applyBorder="1" applyAlignment="1">
      <alignment horizontal="center" vertical="center"/>
    </xf>
    <xf numFmtId="0" fontId="9" fillId="2" borderId="13" xfId="0" applyFont="1" applyFill="1" applyBorder="1" applyAlignment="1">
      <alignment horizontal="center" vertical="center"/>
    </xf>
    <xf numFmtId="0" fontId="9" fillId="2" borderId="14" xfId="0" applyFont="1" applyFill="1" applyBorder="1" applyAlignment="1">
      <alignment horizontal="center" vertical="center"/>
    </xf>
    <xf numFmtId="0" fontId="25" fillId="0" borderId="0" xfId="0" applyFont="1" applyAlignment="1">
      <alignment vertical="center"/>
    </xf>
    <xf numFmtId="0" fontId="26" fillId="0" borderId="0" xfId="0" applyFont="1" applyAlignment="1">
      <alignment vertical="center"/>
    </xf>
    <xf numFmtId="0" fontId="22" fillId="0" borderId="0" xfId="0" applyFont="1" applyAlignment="1">
      <alignment vertical="center"/>
    </xf>
    <xf numFmtId="0" fontId="0" fillId="0" borderId="0" xfId="0" applyAlignment="1">
      <alignment vertical="center"/>
    </xf>
    <xf numFmtId="0" fontId="9" fillId="2" borderId="0" xfId="0" applyFont="1" applyFill="1"/>
  </cellXfs>
  <cellStyles count="2">
    <cellStyle name="Hyperlink" xfId="1" builtinId="8"/>
    <cellStyle name="Normal" xfId="0" builtinId="0"/>
  </cellStyles>
  <dxfs count="83">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2"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2"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2"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2"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2" tint="-0.24994659260841701"/>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ont>
        <b/>
        <i val="0"/>
      </font>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ont>
        <b/>
        <i val="0"/>
      </font>
    </dxf>
    <dxf>
      <fill>
        <patternFill>
          <bgColor theme="5" tint="0.59996337778862885"/>
        </patternFill>
      </fill>
    </dxf>
    <dxf>
      <fill>
        <patternFill>
          <bgColor theme="6" tint="0.59996337778862885"/>
        </patternFill>
      </fill>
    </dxf>
    <dxf>
      <font>
        <b/>
        <i val="0"/>
      </font>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ont>
        <b/>
        <i val="0"/>
      </font>
    </dxf>
    <dxf>
      <fill>
        <patternFill>
          <bgColor theme="5" tint="0.59996337778862885"/>
        </patternFill>
      </fill>
    </dxf>
    <dxf>
      <fill>
        <patternFill>
          <bgColor theme="6" tint="0.59996337778862885"/>
        </patternFill>
      </fill>
    </dxf>
    <dxf>
      <font>
        <b/>
        <i val="0"/>
        <strike val="0"/>
      </font>
    </dxf>
    <dxf>
      <fill>
        <patternFill>
          <bgColor theme="5" tint="0.79998168889431442"/>
        </patternFill>
      </fill>
    </dxf>
    <dxf>
      <fill>
        <patternFill>
          <bgColor theme="4" tint="0.79998168889431442"/>
        </patternFill>
      </fill>
    </dxf>
    <dxf>
      <fill>
        <patternFill>
          <bgColor theme="6" tint="0.79998168889431442"/>
        </patternFill>
      </fill>
    </dxf>
    <dxf>
      <font>
        <b/>
        <i val="0"/>
      </font>
    </dxf>
    <dxf>
      <fill>
        <patternFill>
          <bgColor theme="5" tint="0.79998168889431442"/>
        </patternFill>
      </fill>
    </dxf>
  </dxfs>
  <tableStyles count="0" defaultTableStyle="TableStyleMedium2" defaultPivotStyle="PivotStyleLight16"/>
  <colors>
    <mruColors>
      <color rgb="FFFFFF99"/>
      <color rgb="FFD8BEEC"/>
      <color rgb="FFC7A1E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eetMetadata" Target="metadata.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0</xdr:col>
      <xdr:colOff>57150</xdr:colOff>
      <xdr:row>25</xdr:row>
      <xdr:rowOff>142876</xdr:rowOff>
    </xdr:from>
    <xdr:to>
      <xdr:col>6</xdr:col>
      <xdr:colOff>161925</xdr:colOff>
      <xdr:row>34</xdr:row>
      <xdr:rowOff>66676</xdr:rowOff>
    </xdr:to>
    <xdr:sp macro="" textlink="">
      <xdr:nvSpPr>
        <xdr:cNvPr id="2" name="TextBox 1">
          <a:extLst>
            <a:ext uri="{FF2B5EF4-FFF2-40B4-BE49-F238E27FC236}">
              <a16:creationId xmlns:a16="http://schemas.microsoft.com/office/drawing/2014/main" id="{CAE6ADC6-5261-4101-B77E-D1335AA4DBB8}"/>
            </a:ext>
          </a:extLst>
        </xdr:cNvPr>
        <xdr:cNvSpPr txBox="1"/>
      </xdr:nvSpPr>
      <xdr:spPr>
        <a:xfrm>
          <a:off x="57150" y="5305426"/>
          <a:ext cx="3762375" cy="16383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[Paste Mentor Prompt Cell Here]</a:t>
          </a:r>
        </a:p>
        <a:p>
          <a:endParaRPr lang="en-US" sz="1100"/>
        </a:p>
        <a:p>
          <a:r>
            <a:rPr lang="en-US" sz="1100" b="1"/>
            <a:t>My question:</a:t>
          </a:r>
        </a:p>
        <a:p>
          <a:r>
            <a:rPr lang="en-US" sz="1100"/>
            <a:t>[Describe what you don't understand or the issue you are facing]</a:t>
          </a:r>
        </a:p>
        <a:p>
          <a:endParaRPr lang="en-US" sz="1100"/>
        </a:p>
        <a:p>
          <a:r>
            <a:rPr lang="en-US" sz="1100" b="1"/>
            <a:t>My current code:</a:t>
          </a:r>
        </a:p>
        <a:p>
          <a:r>
            <a:rPr lang="en-US" sz="1100"/>
            <a:t>[Paste your code from your IDE here]</a:t>
          </a:r>
        </a:p>
      </xdr:txBody>
    </xdr:sp>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77798CF-F458-43D1-85D1-0EF6D1C367F4}" name="Table2" displayName="Table2" ref="B2:E19" totalsRowShown="0">
  <autoFilter ref="B2:E19" xr:uid="{477798CF-F458-43D1-85D1-0EF6D1C367F4}">
    <filterColumn colId="0" hiddenButton="1"/>
    <filterColumn colId="1" hiddenButton="1"/>
    <filterColumn colId="2" hiddenButton="1"/>
    <filterColumn colId="3" hiddenButton="1"/>
  </autoFilter>
  <tableColumns count="4">
    <tableColumn id="1" xr3:uid="{AF1BC3E6-A291-4881-98E4-E2262942E61C}" name="Cell"/>
    <tableColumn id="2" xr3:uid="{A730AA41-75B2-4CE9-A8CA-24DE3FE4108C}" name="Cell References"/>
    <tableColumn id="3" xr3:uid="{C201C974-24D3-4F6B-B4DA-ADDAF2F3C4D7}" name="Type"/>
    <tableColumn id="4" xr3:uid="{74650CAD-2AEE-4B2B-A36B-4C37DA129C83}" name="Detailed Explanation"/>
  </tableColumns>
  <tableStyleInfo name="TableStyleMedium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9.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0.xml.rels><?xml version="1.0" encoding="UTF-8" standalone="yes"?>
<Relationships xmlns="http://schemas.openxmlformats.org/package/2006/relationships"><Relationship Id="rId1" Type="http://schemas.openxmlformats.org/officeDocument/2006/relationships/hyperlink" Target="https://github.com/WilfredoBarrios/coding5s-framework"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91C9F5-A3E1-48B4-A4AC-C90CACFBE404}">
  <sheetPr>
    <tabColor rgb="FFFF0000"/>
  </sheetPr>
  <dimension ref="A1:AM209"/>
  <sheetViews>
    <sheetView showGridLines="0" tabSelected="1" zoomScale="85" zoomScaleNormal="85" workbookViewId="0"/>
  </sheetViews>
  <sheetFormatPr defaultColWidth="11.42578125" defaultRowHeight="15"/>
  <cols>
    <col min="1" max="1" width="11.28515625" bestFit="1" customWidth="1"/>
    <col min="2" max="2" width="15.7109375" customWidth="1"/>
    <col min="3" max="3" width="5.7109375" customWidth="1"/>
    <col min="4" max="4" width="22.28515625" bestFit="1" customWidth="1"/>
    <col min="5" max="5" width="16.5703125" style="73" customWidth="1"/>
    <col min="6" max="6" width="5.140625" customWidth="1"/>
    <col min="7" max="7" width="12.5703125" bestFit="1" customWidth="1"/>
    <col min="8" max="8" width="13.85546875" bestFit="1" customWidth="1"/>
    <col min="9" max="9" width="12.5703125" customWidth="1"/>
    <col min="10" max="10" width="68.5703125" customWidth="1"/>
    <col min="11" max="12" width="18.140625" customWidth="1"/>
    <col min="13" max="13" width="6.7109375" bestFit="1" customWidth="1"/>
    <col min="14" max="15" width="16.140625" customWidth="1"/>
    <col min="16" max="16" width="7.85546875" bestFit="1" customWidth="1"/>
    <col min="17" max="18" width="17.42578125" customWidth="1"/>
    <col min="19" max="19" width="7.85546875" bestFit="1" customWidth="1"/>
    <col min="20" max="21" width="16.5703125" customWidth="1"/>
    <col min="22" max="22" width="7.85546875" bestFit="1" customWidth="1"/>
    <col min="23" max="24" width="20.42578125" customWidth="1"/>
    <col min="25" max="25" width="7.85546875" bestFit="1" customWidth="1"/>
    <col min="26" max="30" width="16" bestFit="1" customWidth="1"/>
    <col min="31" max="31" width="21.5703125" bestFit="1" customWidth="1"/>
    <col min="33" max="33" width="27.5703125" customWidth="1"/>
    <col min="34" max="34" width="14.28515625" bestFit="1" customWidth="1"/>
    <col min="35" max="35" width="32" customWidth="1"/>
    <col min="36" max="36" width="27.85546875" customWidth="1"/>
  </cols>
  <sheetData>
    <row r="1" spans="1:39" ht="26.25">
      <c r="A1" s="96"/>
      <c r="B1" s="1"/>
      <c r="C1" s="2"/>
      <c r="D1" s="3"/>
      <c r="E1" s="4" t="s">
        <v>0</v>
      </c>
      <c r="F1" s="5" t="s">
        <v>1</v>
      </c>
      <c r="G1" s="6"/>
      <c r="H1" s="7" t="s">
        <v>2</v>
      </c>
      <c r="I1" s="6"/>
      <c r="J1" s="3"/>
      <c r="K1" s="8" t="s">
        <v>3</v>
      </c>
      <c r="L1" s="9" t="str">
        <f>IF(H9="Topic",
"[ROLE] Friendly tutor specializing in " &amp; $I$2 &amp; " | " &amp;
"[TASK] Teach and explain concepts clearly with correct code examples | " &amp;
"[TOPIC] " &amp; I9 &amp; " | " &amp;
"[LEVEL] " &amp; G9 &amp; " | " &amp;
"[COUNT] " &amp; D9 &amp; " examples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 &amp; $B$6 &amp; " | " &amp;
"[HEADER RULE - STRICT] You MUST start your entire response EXACTLY with this markdown block (do not print anything before it):" &amp; CHAR(10) &amp; "### 🔹 Topic #" &amp; F9 &amp; " | Stage 1 📖 Practice | " &amp; $I$2 &amp; " | 📊 Level: " &amp; G9 &amp; " | 🌐 Coding5s.com" &amp; CHAR(10) &amp; "**Concept:** " &amp; J9 &amp; CHAR(10) &amp; "---" &amp; CHAR(10) &amp; " | " &amp;
"[INTRO RULE] Include a short tutor-style sentence in " &amp; $B$6 &amp; " before the analogy, followed by this EXACT instruction block translated to " &amp; $B$6 &amp; _xlfn._LONGTEXT(": '🚨 **Your objective in this lesson:** To truly learn the new Python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 &amp;
"[PERSONA RULE] Act as a friendly, clear tutor | " &amp;
"[OUTPUT CONTRACT] EXACTLY " &amp; D9 &amp; _xlfn._LONGTEXT("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 &amp;
"[CODE QUALITY RULE] Code MUST be clean, readable, educational, executable, and produce correct results | " &amp;
"[COMMENT RULE - STRICT] Code MUST include sufficient inline comments explaining important lines and logical blocks | " &amp;
"[COMMENT DEPTH RULE] Comments MUST explain WHAT the code does AND WHY it is written that way | " &amp;
"[EXPLANATION RULE] Explanation within 'Mini-Lección' MUST explain WHAT, WHY, HOW, and real-world context concisely | " &amp;
"[LEARNING RULE] Each example MUST highlight a key insight | " &amp;
"[COMMON MISTAKES RULE] Include a short mistake note after each example | " &amp;
"[MINI CHALLENGE RULE] Include a short reinforcement question after each example | " &amp;
"[REAL WORLD RULE] Connect each example to a real-world use case | " &amp;
"[FORMAT RULE] Only valid markdown code blocks allowed | " &amp;
"[LANGUAGE TAG RULE] ALWAYS label markdown code blocks with the correct underlying programming language (e.g., python, javascript, sql) | " &amp;
"[CONSISTENCY RULE] All examples MUST have similar complexity and length | " &amp;
"[FINAL OUTPUT RULE] Include Key Takeaway section at the end | " &amp; IF(AJ9&lt;&gt;"", AJ9 &amp; " | ", "") &amp;
"[OUTPUT] Only header, introduction, examples, outputs, notes, summary, and footer | " &amp;
"[FOOTER RULE - STRICT] End your entire response EXACTLY with this markdown string (ensure all code blocks are closed before it):" &amp; CHAR(10) &amp; "---" &amp; CHAR(10) &amp; "⚡ *Coding5s System — Learn Programming by Writing Code*" &amp;
"[CODE CONSTRAINTS] Each example MUST include: - Internal data OR dataset usage - Print key intermediate steps and the final result - MUST NOT exceed exactly " &amp; $A9 &amp; " lines of EXECUTABLE code (STRICT: Do NOT count comments or blank lines towards this limit) - NEVER exceed this limit of executable lines - " &amp; IF(G9&lt;&gt;"Advanced", "NO classes - ", "") &amp; "Single logical flow (no unnecessary complexity) | " &amp;
"[SYNTAX CONFIGURATION RULE] " &amp; IF(F9&gt;=10, "You MUST format output strings elegantly using f-strings natively.", "CRITICAL PROHIBITION: Do NOT use f-strings (f""..."") or any advanced text formatting methods yet. Use basic print() with multiple arguments separated by commas for text labels and variables.") &amp; " | " &amp;
"[FUNCTION RULE] " &amp; IF(G9="Beginner","Do NOT use functions unless absolutely required by the concept. Use flat, linear scripts. ",IF(G9="Intermediate","MUST use modular functions. Break down logic into reusable blocks. ","MUST use modular functions appropriately for architecture and clarity. ")) &amp; "| " &amp;
"[FILE HANDLING RULE] Use correct loaders and enforce encoding='utf-8' and newline='' when applicable | " &amp;
"[SUPPORT FILES RULE] If env/config is used, include: 1. Instructional sentence 2. File content in markdown code block 3. BEFORE the main code | " &amp;
"[ECOSYSTEM ORIENTATION RULE] If a library or ecosystem like " &amp; $J$3 &amp; " is specified, you are CRITICALLY FORBIDDEN from using pure Python iterative loops (for/while). You MUST enforce the native, optimized data structures and vectorized operations of that specific library | " &amp;
"[OUTPUT FORMAT RULE] " &amp; IF(F9&gt;=10, "Monetary values formatted with '$', commas, 2 decimals using f-strings.", "Print raw numeric outputs directly without forcing custom monetary formatting structures yet.") &amp; " | " &amp;
_xlfn._LONGTEXT("[DATA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Detect and acknowledge it BEFORE any explanation 2. Explicitly state file type 3. Describe structure (rows, col","umns, keys) 4. List columns or fields 5. Infer data types 6. Provide a structured summary IMMEDIATELY AFTER THE HEADER 7. Explicitly state that ALL examples will be based on this dataset 8. Use the dataset directly in ALL examples (DO NOT recreate data). ","If NO dataset is provided IN THIS CURRENT PROMPT: - STRICT: You MUST explicitly state 'No synthetic data file was provided for this topic. Generating dummy data.' (translate this phrase to ") &amp; $B$6 &amp; ") - PURGE ANY MEMORY of previous datasets. - Generate minimal realistic dummy data internally - Clearly proceed without dataset summary | " &amp;
"[DATA SUMMARY FORMAT RULE] When a dataset is present, you MUST display IMMEDIATELY AFTER THE HEADER: Dataset Summary: - File Type: - Columns / Fields: - Data Types: - Notes: | " &amp;
"[DATA TYPE RULE] Explicit casting required before calculations | " &amp;
"[DATA ROBUSTNESS RULE] Handle missing, malformed, or inconsistent data safely | " &amp;
"[BOOLEAN HANDLING RULE] Normalize boolean values before comparison | " &amp;
"[DATA CONSISTENCY RULE] Respect dataset schema | " &amp;
"[COMMENT DENSITY RULE] Beginner = high, Intermediate = medium, Advanced = lower but present in key logic | " &amp;
"[DIFFICULTY RULE] Complexity MUST match level | ",
IF(H9="PROJECT", Z9, ""))</f>
        <v xml:space="preserve">[ROLE] Friendly tutor specializing in Elixir OTP | [TASK] Teach and explain concepts clearly with correct code examples | [TOPIC] Implement concurrency and manual state management using spawn/1, send/2, receive, and manual recursion state. | [LEVEL] Advanced | [COUNT] 4 examples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Spanish | [HEADER RULE - STRICT] You MUST start your entire response EXACTLY with this markdown block (do not print anything before it):
### 🔹 Topic #1 | Stage 1 📖 Practice | Elixir OTP | 📊 Level: Advanced | 🌐 Coding5s.com
**Concept:** Concurrency Refresher &amp; Manual State (spawn/1, send/2, receive, manual recursion state)
---
 | [INTRO RULE] Include a short tutor-style sentence in Spanish before the analogy, followed by this EXACT instruction block translated to Spanish: '🚨 **Your objective in this lesson:** To truly learn the new Python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[PERSONA RULE] Act as a friendly, clear tutor | [OUTPUT CONTRACT] EXACTLY 4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[CODE QUALITY RULE] Code MUST be clean, readable, educational, executable, and produce correct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[OUTPUT] Only header, introduction, examples, outputs, notes, summary, and footer | [FOOTER RULE - STRICT] End your entire response EXACTLY with this markdown string (ensure all code blocks are closed before it):
---
⚡ *Coding5s System — Learn Programming by Writing Code*[CODE CONSTRAINTS] Each example MUST include: - Internal data OR dataset usage - Print key intermediate steps and the final result - MUST NOT exceed exactly 15 lines of EXECUTABLE code (STRICT: Do NOT count comments or blank lines towards this limit) - NEVER exceed this limit of executable lines - Single logical flow (no unnecessary complexity) | [SYNTAX CONFIGURATION RULE] CRITICAL PROHIBITION: Do NOT use f-strings (f"...") or any advanced text formatting methods yet. Use basic print() with multiple arguments separated by commas for text labels and variables. | [FUNCTION RULE] MUST use modular functions appropriately for architecture and clarity. | [FILE HANDLING RULE] Use correct loaders and enforce encoding='utf-8' and newline='' when applicable | [SUPPORT FILES RULE] If env/config is used, include: 1. Instructional sentence 2. File content in markdown code block 3. BEFORE the main code | [ECOSYSTEM ORIENTATION RULE] If a library or ecosystem like  is specified, you are CRITICALLY FORBIDDEN from using pure Python iterative loops (for/while). You MUST enforce the native, optimized data structures and vectorized operations of that specific library | [OUTPUT FORMAT RULE] Print raw numeric outputs directly without forcing custom monetary formatting structures yet.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Detect and acknowledge it BEFORE any explanation 2. Explicitly state file type 3. Describe structure (rows, columns, keys) 4. List columns or fields 5. Infer data types 6. Provide a structured summary IMMEDIATELY AFTER THE HEADER 7. Explicitly state that ALL examples will be based on this dataset 8. Use the dataset directly in ALL examples (DO NOT recreate data). If NO dataset is provided IN THIS CURRENT PROMPT: - STRICT: You MUST explicitly state 'No synthetic data file was provided for this topic. Generating dummy data.' (translate this phrase to Spanish) - PURGE ANY MEMORY of previous datasets. - Generate minimal realistic dummy data internally - Clearly proceed without dataset summary | [DATA SUMMARY FORMAT RULE] When a dataset is present, you MUST display IMMEDIATELY AFTER THE HEADER: Dataset Summary: - File Type: - Columns / Fields: - Data Types: - Notes: | [DATA TYPE RULE] Explicit casting required before calculations | [DATA ROBUSTNESS RULE] Handle missing, malformed, or inconsistent data safely | [BOOLEAN HANDLING RULE] Normalize boolean values before comparison | [DATA CONSISTENCY RULE] Respect dataset schema | [COMMENT DENSITY RULE] Beginner = high, Intermediate = medium, Advanced = lower but present in key logic | [DIFFICULTY RULE] Complexity MUST match level | </v>
      </c>
      <c r="M1" s="10"/>
      <c r="N1" s="3" t="s">
        <v>4</v>
      </c>
      <c r="O1" s="3"/>
      <c r="P1" s="3"/>
      <c r="Q1" s="11" t="s">
        <v>5</v>
      </c>
      <c r="R1" s="12"/>
      <c r="S1" s="13"/>
      <c r="T1" s="3" t="s">
        <v>6</v>
      </c>
      <c r="U1" s="3"/>
      <c r="V1" s="3"/>
      <c r="W1" s="11" t="s">
        <v>7</v>
      </c>
      <c r="X1" s="12"/>
      <c r="Y1" s="13"/>
      <c r="Z1" s="1"/>
      <c r="AA1" s="1"/>
      <c r="AB1" s="1"/>
      <c r="AC1" s="1"/>
      <c r="AD1" s="1"/>
      <c r="AE1" s="15"/>
      <c r="AF1" s="14"/>
      <c r="AG1" s="14"/>
      <c r="AH1" s="15"/>
      <c r="AI1" s="15"/>
      <c r="AJ1" s="15"/>
      <c r="AK1" s="15"/>
      <c r="AL1" s="15"/>
    </row>
    <row r="2" spans="1:39" ht="30" customHeight="1" thickBot="1">
      <c r="A2" s="96" t="s">
        <v>230</v>
      </c>
      <c r="B2" s="1"/>
      <c r="C2" s="2"/>
      <c r="D2" s="16"/>
      <c r="E2" s="99" t="str">
        <f>IF(E1="Stage 1","k9:L200",IF(E1="Stage 2","N9:O200",IF(E1="Stage 3","Q9:R200",IF(E1="Stage 4","T9:U200",IF(E1="Stage 5","W9:X200","Stage Incorrecta")))))</f>
        <v>k9:L200</v>
      </c>
      <c r="F2" s="18" t="s">
        <v>8</v>
      </c>
      <c r="G2" s="19"/>
      <c r="H2" s="19"/>
      <c r="I2" s="16" t="s">
        <v>757</v>
      </c>
      <c r="J2" s="16"/>
      <c r="K2" s="131" t="s">
        <v>9</v>
      </c>
      <c r="L2" s="132"/>
      <c r="M2" s="133"/>
      <c r="N2" s="132" t="s">
        <v>10</v>
      </c>
      <c r="O2" s="132"/>
      <c r="P2" s="132"/>
      <c r="Q2" s="134" t="s">
        <v>11</v>
      </c>
      <c r="R2" s="132"/>
      <c r="S2" s="135"/>
      <c r="T2" s="132" t="s">
        <v>12</v>
      </c>
      <c r="U2" s="132"/>
      <c r="V2" s="132"/>
      <c r="W2" s="134" t="s">
        <v>13</v>
      </c>
      <c r="X2" s="132"/>
      <c r="Y2" s="135"/>
      <c r="Z2" s="1"/>
      <c r="AA2" s="1"/>
      <c r="AB2" s="1"/>
      <c r="AC2" s="1"/>
      <c r="AD2" s="1"/>
      <c r="AE2" s="15"/>
      <c r="AF2" s="14"/>
      <c r="AG2" s="14"/>
      <c r="AH2" s="15"/>
      <c r="AI2" s="15"/>
      <c r="AJ2" s="15"/>
      <c r="AK2" s="15"/>
      <c r="AL2" s="15"/>
    </row>
    <row r="3" spans="1:39" ht="26.25">
      <c r="A3" s="96" t="str">
        <f>""</f>
        <v/>
      </c>
      <c r="B3" s="1"/>
      <c r="C3" s="2" t="s">
        <v>14</v>
      </c>
      <c r="D3" s="2"/>
      <c r="E3" s="100">
        <f>COUNTA(E9:E200)-E4</f>
        <v>8</v>
      </c>
      <c r="F3" s="97" t="s">
        <v>275</v>
      </c>
      <c r="G3" s="2"/>
      <c r="H3" s="2"/>
      <c r="I3" s="16"/>
      <c r="J3" s="16"/>
      <c r="K3" s="30"/>
      <c r="L3" s="22"/>
      <c r="M3" s="23"/>
      <c r="N3" s="22"/>
      <c r="O3" s="22"/>
      <c r="P3" s="22"/>
      <c r="Q3" s="24"/>
      <c r="R3" s="22"/>
      <c r="S3" s="25"/>
      <c r="T3" s="22"/>
      <c r="U3" s="22"/>
      <c r="V3" s="22"/>
      <c r="W3" s="26"/>
      <c r="X3" s="22"/>
      <c r="Y3" s="25"/>
      <c r="Z3" s="1"/>
      <c r="AA3" s="1"/>
      <c r="AB3" s="1"/>
      <c r="AC3" s="1"/>
      <c r="AD3" s="1"/>
      <c r="AE3" s="15"/>
      <c r="AF3" s="14"/>
      <c r="AG3" s="14"/>
      <c r="AH3" s="15"/>
      <c r="AI3" s="15"/>
      <c r="AJ3" s="15"/>
      <c r="AK3" s="15"/>
      <c r="AL3" s="15"/>
    </row>
    <row r="4" spans="1:39" ht="15.75">
      <c r="A4" s="96"/>
      <c r="B4" s="1"/>
      <c r="C4" s="2" t="s">
        <v>15</v>
      </c>
      <c r="D4" s="2"/>
      <c r="E4" s="101">
        <f>COUNTIF($E$9:$E$200,"No")</f>
        <v>20</v>
      </c>
      <c r="F4" s="98"/>
      <c r="G4" s="2"/>
      <c r="H4" s="28"/>
      <c r="I4" s="29"/>
      <c r="J4" s="29"/>
      <c r="K4" s="30"/>
      <c r="L4" s="31"/>
      <c r="M4" s="23"/>
      <c r="N4" s="31"/>
      <c r="O4" s="31"/>
      <c r="P4" s="22"/>
      <c r="Q4" s="21"/>
      <c r="R4" s="2"/>
      <c r="S4" s="25"/>
      <c r="T4" s="22"/>
      <c r="U4" s="22"/>
      <c r="V4" s="22"/>
      <c r="W4" s="26"/>
      <c r="X4" s="22"/>
      <c r="Y4" s="25"/>
      <c r="Z4" s="1"/>
      <c r="AA4" s="1"/>
      <c r="AB4" s="1"/>
      <c r="AC4" s="1"/>
      <c r="AD4" s="1"/>
      <c r="AE4" s="14"/>
      <c r="AF4" s="14"/>
      <c r="AG4" s="14"/>
      <c r="AH4" s="15"/>
      <c r="AI4" s="15"/>
      <c r="AJ4" s="15"/>
      <c r="AK4" s="15"/>
      <c r="AL4" s="15"/>
    </row>
    <row r="5" spans="1:39" ht="21">
      <c r="A5" s="96"/>
      <c r="B5" s="32" t="s">
        <v>16</v>
      </c>
      <c r="C5" s="32" t="s">
        <v>17</v>
      </c>
      <c r="D5" s="2"/>
      <c r="E5" s="32" t="s">
        <v>511</v>
      </c>
      <c r="F5" s="33"/>
      <c r="G5" s="2"/>
      <c r="H5" s="28"/>
      <c r="I5" s="29"/>
      <c r="J5" s="29"/>
      <c r="K5" s="30"/>
      <c r="L5" s="31"/>
      <c r="M5" s="23"/>
      <c r="N5" s="31"/>
      <c r="O5" s="31"/>
      <c r="P5" s="22"/>
      <c r="Q5" s="21"/>
      <c r="R5" s="2"/>
      <c r="S5" s="25"/>
      <c r="T5" s="22"/>
      <c r="U5" s="22"/>
      <c r="V5" s="22"/>
      <c r="W5" s="26"/>
      <c r="X5" s="22"/>
      <c r="Y5" s="25"/>
      <c r="Z5" s="1"/>
      <c r="AA5" s="1"/>
      <c r="AB5" s="1"/>
      <c r="AC5" s="1"/>
      <c r="AD5" s="1"/>
      <c r="AE5" s="14"/>
      <c r="AF5" s="14"/>
      <c r="AG5" s="14"/>
      <c r="AH5" s="15"/>
      <c r="AI5" s="15"/>
      <c r="AJ5" s="15"/>
      <c r="AK5" s="15"/>
      <c r="AL5" s="15"/>
    </row>
    <row r="6" spans="1:39" ht="15.75">
      <c r="A6" s="96"/>
      <c r="B6" s="34" t="s">
        <v>18</v>
      </c>
      <c r="C6" s="17" t="str">
        <f>VLOOKUP(B6,AL:AM,2,0)</f>
        <v>es</v>
      </c>
      <c r="D6" s="2"/>
      <c r="E6" s="35" t="str" cm="1">
        <f t="array" ref="E6">"AL9:"&amp;ADDRESS(_xlfn.AGGREGATE(14, 6, ROW(AL:AL)*(AL:AL&lt;&gt;""), 1), COLUMN(AL:AL))</f>
        <v>AL9:$AL$48</v>
      </c>
      <c r="F6" s="27"/>
      <c r="G6" s="140" t="s">
        <v>840</v>
      </c>
      <c r="H6" s="28"/>
      <c r="I6" s="29"/>
      <c r="J6" s="29"/>
      <c r="K6" s="30"/>
      <c r="L6" s="31"/>
      <c r="M6" s="23"/>
      <c r="N6" s="31"/>
      <c r="O6" s="31"/>
      <c r="P6" s="22"/>
      <c r="Q6" s="21"/>
      <c r="R6" s="2"/>
      <c r="S6" s="25"/>
      <c r="T6" s="22"/>
      <c r="U6" s="22"/>
      <c r="V6" s="22"/>
      <c r="W6" s="26"/>
      <c r="X6" s="22"/>
      <c r="Y6" s="25"/>
      <c r="Z6" s="1"/>
      <c r="AA6" s="1"/>
      <c r="AB6" s="1"/>
      <c r="AC6" s="1"/>
      <c r="AD6" s="1"/>
      <c r="AE6" s="104" t="s">
        <v>19</v>
      </c>
      <c r="AF6" s="15"/>
      <c r="AG6" s="15"/>
      <c r="AH6" s="15"/>
      <c r="AI6" s="15"/>
      <c r="AJ6" s="15"/>
      <c r="AK6" s="15"/>
      <c r="AL6" s="15"/>
    </row>
    <row r="7" spans="1:39">
      <c r="A7" s="96"/>
      <c r="B7" s="1"/>
      <c r="C7" s="2"/>
      <c r="D7" s="2"/>
      <c r="E7" s="20"/>
      <c r="F7" s="36"/>
      <c r="G7" s="36"/>
      <c r="H7" s="37"/>
      <c r="I7" s="28"/>
      <c r="J7" s="28"/>
      <c r="K7" s="31" t="s">
        <v>278</v>
      </c>
      <c r="L7" s="31"/>
      <c r="M7" s="38"/>
      <c r="N7" s="31"/>
      <c r="O7" s="31"/>
      <c r="P7" s="22"/>
      <c r="Q7" s="31"/>
      <c r="R7" s="31"/>
      <c r="S7" s="39"/>
      <c r="T7" s="31"/>
      <c r="U7" s="31"/>
      <c r="V7" s="22"/>
      <c r="W7" s="31"/>
      <c r="X7" s="31"/>
      <c r="Y7" s="39"/>
      <c r="Z7" s="31" t="s">
        <v>278</v>
      </c>
      <c r="AA7" s="31"/>
      <c r="AB7" s="31"/>
      <c r="AC7" s="31"/>
      <c r="AD7" s="31"/>
      <c r="AE7" s="35" t="str">
        <f>_xlfn.CONCAT(AH9:AH200)</f>
        <v/>
      </c>
      <c r="AF7" s="15"/>
      <c r="AG7" s="15"/>
      <c r="AH7" s="15"/>
      <c r="AI7" s="15"/>
      <c r="AJ7" s="15"/>
      <c r="AK7" s="130" t="s">
        <v>516</v>
      </c>
      <c r="AL7" s="130"/>
      <c r="AM7" s="130"/>
    </row>
    <row r="8" spans="1:39">
      <c r="A8" s="41" t="s">
        <v>20</v>
      </c>
      <c r="B8" s="42" t="s">
        <v>21</v>
      </c>
      <c r="C8" s="43">
        <v>0</v>
      </c>
      <c r="D8" s="43" t="s">
        <v>512</v>
      </c>
      <c r="E8" s="44" t="s">
        <v>22</v>
      </c>
      <c r="F8" s="43" t="s">
        <v>23</v>
      </c>
      <c r="G8" s="42" t="s">
        <v>24</v>
      </c>
      <c r="H8" s="42" t="s">
        <v>25</v>
      </c>
      <c r="I8" s="42" t="s">
        <v>26</v>
      </c>
      <c r="J8" s="42" t="s">
        <v>27</v>
      </c>
      <c r="K8" s="42" t="s">
        <v>28</v>
      </c>
      <c r="L8" s="42" t="s">
        <v>29</v>
      </c>
      <c r="M8" s="42" t="s">
        <v>30</v>
      </c>
      <c r="N8" s="42" t="s">
        <v>31</v>
      </c>
      <c r="O8" s="42" t="s">
        <v>29</v>
      </c>
      <c r="P8" s="42" t="s">
        <v>32</v>
      </c>
      <c r="Q8" s="42" t="s">
        <v>33</v>
      </c>
      <c r="R8" s="42" t="s">
        <v>29</v>
      </c>
      <c r="S8" s="42" t="s">
        <v>34</v>
      </c>
      <c r="T8" s="42" t="s">
        <v>35</v>
      </c>
      <c r="U8" s="42" t="s">
        <v>29</v>
      </c>
      <c r="V8" s="42" t="s">
        <v>36</v>
      </c>
      <c r="W8" s="42" t="s">
        <v>37</v>
      </c>
      <c r="X8" s="42" t="s">
        <v>29</v>
      </c>
      <c r="Y8" s="42" t="s">
        <v>38</v>
      </c>
      <c r="Z8" s="42" t="s">
        <v>39</v>
      </c>
      <c r="AA8" s="42" t="s">
        <v>40</v>
      </c>
      <c r="AB8" s="42" t="s">
        <v>41</v>
      </c>
      <c r="AC8" s="42" t="s">
        <v>42</v>
      </c>
      <c r="AD8" s="42" t="s">
        <v>43</v>
      </c>
      <c r="AE8" s="42" t="s">
        <v>513</v>
      </c>
      <c r="AF8" s="42" t="s">
        <v>514</v>
      </c>
      <c r="AG8" s="42" t="s">
        <v>515</v>
      </c>
      <c r="AH8" s="42" t="s">
        <v>44</v>
      </c>
      <c r="AI8" s="42" t="s">
        <v>45</v>
      </c>
      <c r="AJ8" s="42" t="s">
        <v>518</v>
      </c>
      <c r="AK8" s="42" t="s">
        <v>46</v>
      </c>
      <c r="AL8" s="42" t="s">
        <v>47</v>
      </c>
      <c r="AM8" s="42" t="s">
        <v>17</v>
      </c>
    </row>
    <row r="9" spans="1:39">
      <c r="A9" s="95">
        <v>15</v>
      </c>
      <c r="B9" s="45" t="str" cm="1">
        <f t="array" ref="B9">IF(H9="PROJECT", CHAR(10) &amp; "- " &amp; _xlfn.TEXTJOIN(CHAR(10) &amp; "- ", TRUE, _xlfn._xlws.FILTER($I$9:$I$1000, ($C$9:$C$1000=C9) * ($H$9:$H$1000="Topic"))), "")</f>
        <v/>
      </c>
      <c r="C9" s="45">
        <f t="shared" ref="C9:C72" si="0">IF(AND(H9="Topic",H8="PROJECT"),C8+1,IF(H9="PROJECT",C8,IF(AND(H9="Topic",H8="Topic"),C8,C8+1)))</f>
        <v>1</v>
      </c>
      <c r="D9" s="46">
        <v>4</v>
      </c>
      <c r="E9" s="47" t="s">
        <v>48</v>
      </c>
      <c r="F9" s="48">
        <v>1</v>
      </c>
      <c r="G9" s="49" t="s">
        <v>162</v>
      </c>
      <c r="H9" s="49" t="s">
        <v>50</v>
      </c>
      <c r="I9" s="50" t="s">
        <v>758</v>
      </c>
      <c r="J9" s="51" t="s">
        <v>759</v>
      </c>
      <c r="K9" s="120" t="str">
        <f>IF(H9="Topic",
"[ROLE] Friendly tutor specializing in " &amp; $I$2 &amp; " | " &amp;
"[TOPIC] " &amp; I9 &amp; " | " &amp;
"[LEVEL] " &amp; G9 &amp; " | " &amp;
"[COUNT] " &amp; D9 &amp; " examples | " &amp;
"[LIBRARY BEING LEARNED] " &amp; $I$3 &amp; " | " &amp;
_xlfn._LONGTEXT("[ECOSYSTEM ORIENTATION RULE] If a module or ecosystem like GenServer, Supervisor, Registry, or DynamicSupervisor is specified in , you are CRITICALLY FORBIDDEN from using manual process linking (spawn/1, spawn_link/1) outside standard OTP behaviors. You M","UST enforce the concurrent asynchronous processes and proper Supervisor tree state isolation and data structures of that specific library.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"[EXECUTIVE CONSTRAINTS] Each example MUST include: - Internal data OR dataset usage - Print key intermediate steps and the final result - MUST NOT exceed exactly " &amp; $A9 &amp; " lines of EXECUTABLE code (STRICT: Do NOT count comments or blank lines). - NEVER exceed this limit. | " &amp;
"[FUNCTION RULE] Rule: " &amp; IF(G9="Beginner","Focus on basic GenServer implementations with simple init/1 and synchronous handle_call/3 callbacks.", IF(G9="Intermediate", "Integrate GenServer within a Supervisor tree. Use asynchronous handle_cast/2 and explicit state transitions.", "stateful GenServer state or external message passing")) &amp; " | " &amp;
"[CODE_CONSTRAINTS_RULE] Each example MUST: - Use stateful GenServer state or external message passing - Print steps &amp; result via Logger.info/debug or IO.inspect inside isolated process callbacks - MAX " &amp; $A9 &amp; " executable lines (comments/blanks excluded) - NEVER exceed limit. | " &amp;
"[I_O_PARADIGM] Use standard OTP message passing via send/2 or GenServer.call/3 and gracefully handle {:reply, response, new_state}, {:noreply, new_state}, and {:ok, state} tuples when applicable. | " &amp;
"[INLINE_PACKAGE_MANAGER] If using external packages, use Standard mix.exs dependencies list (defp deps do [{:package_name, '~&gt; version'}] end) at the top of the code block. Assume no project configuration file exists. | " &amp;
_xlfn._LONGTEXT("[TESTING_FRAMEWORK_LIMITS] For ExUnit with isolated async processes (use ExUnit.Case, async: true), NEVER use manual process link hacking outside of standard OTP abstractions. Use standard test macros and assert_receive/assert_received for message validat","ion, as manual process link hacking outside of standard OTP abstractions fail in standalone execution environments. | ") &amp;
"[CODE QUALITY RULE] Code MUST be clean, readable, educational, executable, and produce correct results. Handle missing, malformed, or inconsistent data safely, utilizing pattern matching if possible. | " &amp;
"[COMMENT CONSTRAINTS] Code MUST include sufficient inline comments explaining WHAT the code does AND WHY it is written that way. Density: Beginner = high, Intermediate = medium, Advanced = lower but present in key logic. | " &amp;
"[FORMAT RULE] Only valid markdown code blocks allowed | " &amp;
"[LANGUAGE TAG RULE] ALWAYS label markdown code blocks with the correct underlying programming language (e.g., elixir, javascript, sql) | " &amp;
"[HEADER RULE - STRICT] You MUST start your entire response EXACTLY with this markdown block (do not print anything before it):" &amp; CHAR(10) &amp; "### 🔹 Topic #" &amp; F9 &amp; " | Stage 1 📖 Practice | " &amp; IF($I$3="", $I$2, $I$2&amp; " - " &amp;$I$3) &amp; " | 📊 Level: " &amp; G9 &amp; " | 🌐 Coding5s.com" &amp; CHAR(10) &amp; "**Concept:** " &amp; J9 &amp; CHAR(10) &amp; "---" &amp; CHAR(10) &amp; " | " &amp;
"[INTRO RULE] Include a short tutor-style sentence in " &amp; $B$6 &amp; " before the analogy, followed by this EXACT instruction block translated to " &amp; $B$6 &amp; ": '🚨 **Your objective in this lesson:** To truly learn the new  " &amp; $I$2 &amp; _xlfn._LONGTEXT("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 &amp;
"[PERSONA RULE] Act as a friendly, clear tutor | " &amp;
"[TASK] Teach and explain concepts clearly with correct code examples | " &amp;
"[OUTPUT CONTRACT] EXACTLY " &amp; D9 &amp; _xlfn._LONGTEXT("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 &amp;
"[CODE QUALITY RULE] Code MUST be clean, readable, educational, executable, and produce correct and accurate results | " &amp;
"[COMMENT RULE - STRICT] Code MUST include sufficient inline comments explaining important lines and logical blocks | " &amp;
"[COMMENT DEPTH RULE] Comments MUST explain WHAT the code does AND WHY it is written that way | " &amp;
"[EXPLANATION RULE] Explanation within 'Mini-Lección' MUST explain WHAT, WHY, HOW, and real-world context concisely | " &amp;
"[LEARNING RULE] Each example MUST highlight a key insight | " &amp;
"[COMMON MISTAKES RULE] Include a short mistake note after each example | " &amp;
"[MINI CHALLENGE RULE] Include a short reinforcement question after each example | " &amp;
"[REAL WORLD RULE] Connect each example to a real-world use case | " &amp;
"[FORMAT RULE] Only valid markdown code blocks allowed | " &amp;
"[LANGUAGE TAG RULE] ALWAYS label markdown code blocks with the correct underlying programming language (e.g., python, javascript, sql) | " &amp;
"[CONSISTENCY RULE] All examples MUST have similar complexity and length | " &amp;
"[FINAL OUTPUT RULE] Include Key Takeaway section at the end | " &amp; IF(AJ9&lt;&gt;"", AJ9, "") &amp;" | " &amp;
_xlfn._LONGTEXT("[DATA RULE - STRICT] STRICT AMNESIA: IGNORE ALL past datasets/files. Evaluate ONLY current attachments. IF FILE ATTACHED: Acknowledge it, place Dataset Summary (Type, Structure, Columns, Data Types) IMMEDIATELY AFTER HEADER, and strictly use it for ALL ex","amples. IF NO FILE ATTACHED: Explicitly print 'No synthetic data file was provided for this topic. Generating dummy data.' (translate to ") &amp; $B$6 &amp; "), generate minimal dummy data internally, and skip summary. | " &amp;
"[DATA SUMMARY FORMAT RULE] When a dataset is present, you MUST display IMMEDIATELY AFTER THE HEADER: Dataset Summary: - File Type: - Columns / Fields: - Data Types: - Notes: | " &amp;
"[DATA CONSISTENCY RULE] Respect dataset schema | " &amp;
"[COMMENT DENSITY RULE] Beginner = high, Intermediate = medium, Advanced = lower but present in key logic | " &amp;
"[DIFFICULTY RULE] Complexity MUST match level | " &amp;
"[OUTPUT] Only header, introduction, examples, outputs, notes, summary, and footer | " &amp;
"[FOOTER RULE - STRICT] End your entire response EXACTLY with this markdown string (ensure all code blocks are closed before it): ⚡ *Coding5s System — Learn Programming by Writing Code* | ",
IF(H9="PROJECT", Z9, ""))</f>
        <v xml:space="preserve">[ROLE] Friendly tutor specializing in Elixir OTP | [TOPIC] Implement concurrency and manual state management using spawn/1, send/2, receive, and manual recursion state. | [LEVEL] Advanced | [COUNT] 4 examples | [LIBRARY BEING LEARNED]  | [ECOSYSTEM ORIENTATION RULE] If a module or ecosystem like GenServer, Supervisor, Registry, or DynamicSupervisor is specified in , you are CRITICALLY FORBIDDEN from using manual process linking (spawn/1, spawn_link/1) outside standard OTP behaviors. You MUST enforce the concurrent asynchronous processes and proper Supervisor tree state isolation and data structures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15 lines of EXECUTABLE code (STRICT: Do NOT count comments or blank lines). - NEVER exceed this limit. | [FUNCTION RULE] Rule: stateful GenServer state or external message passing | [CODE_CONSTRAINTS_RULE] Each example MUST: - Use stateful GenServer state or external message passing - Print steps &amp; result via Logger.info/debug or IO.inspect inside isolated process callbacks - MAX 15 executable lines (comments/blanks excluded) - NEVER exceed limit. | [I_O_PARADIGM] Use standard OTP message passing via send/2 or GenServer.call/3 and gracefully handle {:reply, response, new_state}, {:noreply, new_state}, and {:ok, state} tuples when applicable. | [INLINE_PACKAGE_MANAGER] If using external packages, use Standard mix.exs dependencies list (defp deps do [{:package_name, '~&gt; version'}] end) at the top of the code block. Assume no project configuration file exists. | [TESTING_FRAMEWORK_LIMITS] For ExUnit with isolated async processes (use ExUnit.Case, async: true), NEVER use manual process link hacking outside of standard OTP abstractions. Use standard test macros and assert_receive/assert_received for message validation, as manual process link hacking outside of standard OTP abstractions fail in standalone execution environments. | [CODE QUALITY RULE] Code MUST be clean, readable, educational, executable, and produce correct results. Handle missing, malformed, or inconsistent data safely, utilizing pattern matching if possible. | [COMMENT CONSTRAINTS] Code MUST include sufficient inline comments explaining WHAT the code does AND WHY it is written that way. Density: Beginner = high, Intermediate = medium, Advanced = 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 | Stage 1 📖 Practice | Elixir OTP | 📊 Level: Advanced | 🌐 Coding5s.com
**Concept:** Concurrency Refresher &amp; Manual State (spawn/1, send/2, receive, manual recursion state)
---
 | [INTRO RULE] Include a short tutor-style sentence in Spanish before the analogy, followed by this EXACT instruction block translated to Spanish: '🚨 **Your objective in this lesson:** To truly learn the new  Elixir OTP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[PERSONA RULE] Act as a friendly, clear tutor | [TASK] Teach and explain concepts clearly with correct code examples | [OUTPUT CONTRACT] EXACTLY 4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Evaluate ONLY current attachments. IF FILE ATTACHED: Acknowledge it, place Dataset Summary (Type, Structure, Columns, Data Types) IMMEDIATELY AFTER HEADER, and strictly use it for ALL examples. IF NO FILE ATTACHED: Explicitly print 'No synthetic data file was provided for this topic. Generating dummy data.' (translate to Spanish), generate minimal dummy data internally, and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9" s="103" t="str">
        <f>IF(OR(H9="Topic", UPPER(H9)="PROJECT"),
"[MENTOR_S1_SAFE_GUIDE] Act as 'The Safe Guide' (El Hermano Mayor) - a World-Class Elite Technical Mentor for Stage 1 Practice specializing in " &amp; $I$2 &amp; " - " &amp; $I$3 &amp; _xlfn._LONGTEXT(".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 &amp;
"[CULTURAL &amp; JARGON RULE] If the language (" &amp; $B$6 &amp; _xlfn._LONGTEXT(") is Portuguese, act like a 'Sênior Brasileiro Parceiro' using warm local jargon (e.g., 'tranquilo cara', 'bora codar', 'todo mundo passa por isso'). If Spanish, use warm Latin American tech terminology (e.g., 'tranquilo, a todos nos pasa', 'vamos a ver')",". Match the cultural vibe of a friendly big brother. | ") &amp;
"[CONTEXT] You are helping a Junior Developer who is " &amp; IF(UPPER(H9)="PROJECT", "building a PROJECT: " &amp; I9 &amp; ". Topics applied in this project: " &amp; B9 &amp; ". Project objective: " &amp; J9, "learning: " &amp; I9 &amp; ". Topic details: " &amp; J9) &amp; " | " &amp;
"[LANGUAGE CONSISTENCY RULE] ALL output text MUST be written strictly in (" &amp; $B$6 &amp; "). | " &amp;
"[LANGUAGE SEED CONTEXT] " &amp; IF($AE$7 = "", "Language Seed Not Necessary", "You MUST strictly follow this seed context to enhance, adapt, and naturalize your tone, vocabulary, and instructional quality in " &amp; $B$6 &amp; ": " &amp; $AE$7) &amp; " | " &amp;
"[LANGUAGE] " &amp; $B$6 &amp;" | " &amp;
"[MENTOR_SCOPE_EXPECTATIONS] " &amp; IF(G9="Beginner", "Evaluate based on basic GenServer structure (init/1, handle_call/3). Do NOT expect full Supervisor trees unless explicitly demanded.", IF(G9="Intermediate", "Expect GenServer behaviors integrated into a standard Supervisor. Look for proper state isolation and appropriate use of handle_cast/2 to avoid blocking.", "Expect complete OTP apps with DynamicSupervisor, clean separation of Client API/Server Callbacks, and handle_info/2 pattern matching.")) &amp; " | " &amp;
_xlfn._LONGTEXT("[CODE_QUALITY_POLICIES] Code MUST be idiomatic Elixir. Use descriptive snake_case for functions/variables, and PascalCase for module aliases. Leverage proper tuple pattern matching (e.g., {:noreply, new_state}) and strict immutability within process bound","aries. Reject process mailbox clogging, blocking callbacks, bypassing OTP behaviors, or modifying external global state. If using default arguments ('\\') with multiple function clauses or callbacks, you MUST declare a function head without a body. | ") &amp; IF(AJ9&lt;&gt;"", "[MENTOR CONTEXT ALERT] Be aware of the following infrastructure limitation for this exercise: " &amp; AJ9 &amp; " Use this knowledge to reassure the student if they present an environment error. | ", "") &amp; " | " &amp;
_xlfn._LONGTEXT("[DATA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 &amp;
"[EMPTY INPUT HANDLING - STRICT] If student provided NO code/explanation: " &amp;CHAR(10)&amp; "1. HALT all phases. DO NOT output Phase 1, Barrier, or Phase 2. " &amp;CHAR(10)&amp; "2. Greet warmly (use name or 'Junior'/'Dev'). " &amp;CHAR(10)&amp; "3. Explain that practice requires seeing their attempt. " &amp;CHAR(10)&amp; "4. Firmly/kindly instruct them to reply with BOTH code AND explanation. " &amp;CHAR(10)&amp; "5. STRICT: DO NOT hallucinate code. End response immediately. | " &amp;
"[TASK] Analyze the student's code and explanation. If the code is perfect, congratulate them warmly and provide 2 'Bonus Challenges'. Otherwise, follow the 2-PHASE MENTORING PROTOCOL | " &amp;
_xlfn._LONGTEXT("[ATOMIC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 &amp;
_xlfn._LONGTEXT("[PHASE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 &amp; IF(UPPER(H9)="PROJECT", "PROJECT", "TOPIC") &amp; _xlfn._LONGTEXT("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 &amp;
"[EXPLANATION GATE &amp; SCROLL BARRIER] After Phase 1, you MUST insert exactly this visual separator:" &amp; CHAR(10) &amp; "------------------------------------------------------------" &amp; CHAR(10) &amp; "🛑 THE EXPLANATION GATE 🛑" &amp; CHAR(10) &amp; "Before scrolling down to see the Master Code, articulate WHY you think your logic failed. Copy-pasting without understanding builds Epistemic Debt." &amp; CHAR(10) &amp; "------------------------------------------------------------ | " &amp;
_xlfn._LONGTEXT("[MINIMAL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 &amp;
"[PHASE 2: FULL SOLUTION - STRICT] 1. Provide the clean, idiomatic " &amp; $I$2 &amp; " code, and fully functional " &amp; $I$2 &amp; _xlfn._LONGTEXT("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 &amp; IF(UPPER(H9)="PROJECT", "project", "topic") &amp; ". 5. Provide a section exactly titled '🏋️ Mini-Challenges:' with 2 tasks to reinforce the fix. | " &amp;
"[HEADER RULE - STRICT] You MUST start your entire response exactly with the following RAW markdown block (do NOT strip the '#' characters):" &amp; CHAR(10) &amp; "### 🎓 Mentor Stage 1 | " &amp; IF(UPPER(H9)="PROJECT", "Project #", "Topic #") &amp; F9 &amp; " | Practice | " &amp; IF($I$3="", $I$2, $I$2&amp; " - " &amp;$I$3) &amp; " | 📊 Level: " &amp; G9 &amp; CHAR(10) &amp; "**" &amp; IF(UPPER(H9)="PROJECT", "Project", "Topic") &amp; ":** " &amp; I9 &amp; CHAR(10) &amp; "---" &amp; CHAR(10) &amp; " | " &amp;
"[FOOTER RULE - STRICT] End your response with: '--- ⚡ *Coding5s Mentor System — Eliminating Epistemic Debt*' | ","")</f>
        <v xml:space="preserve">[MENTOR_S1_SAFE_GUIDE] Act as 'The Safe Guide' (El Hermano Mayor) - a World-Class Elite Technical Mentor for Stage 1 Practice specializing in Elixir OTP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concurrency and manual state management using spawn/1, send/2, receive, and manual recursion state.. Topic details: Concurrency Refresher &amp; Manual State (spawn/1, send/2, receive, manual recursion state) | [LANGUAGE CONSISTENCY RULE] ALL output text MUST be written strictly in (Spanish). | [LANGUAGE SEED CONTEXT] Language Seed Not Necessary | [LANGUAGE] Spanish | [MENTOR_SCOPE_EXPECTATIONS] Expect complete OTP apps with DynamicSupervisor, clean separation of Client API/Server Callbacks, and handle_info/2 pattern matching. | [CODE_QUALITY_POLICIES] Code MUST be idiomatic Elixir. Use descriptive snake_case for functions/variables, and PascalCase for module aliases. Leverage proper tuple pattern matching (e.g., {:noreply, new_state}) and strict immutability within process boundaries. Reject process mailbox clogging, blocking callbacks, bypassing OTP behaviors, or modifying external global state. If using default arguments ('\\') with multiple function clauses or callbacks, you MUST declare a function head without a body.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OTP code, and fully functional Elixir OTP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 | Practice | Elixir OTP | 📊 Level: Advanced
**Topic:** Implement concurrency and manual state management using spawn/1, send/2, receive, and manual recursion state.
---
 | [FOOTER RULE - STRICT] End your response with: '--- ⚡ *Coding5s Mentor System — Eliminating Epistemic Debt*' | </v>
      </c>
      <c r="M9" s="52">
        <v>0</v>
      </c>
      <c r="N9" s="102" t="str">
        <f>IF(H9="Topic",
"[ROLE] Careless " &amp; $I$2 &amp; " Developer | " &amp;
"[TASK] Generate debugging challenges in " &amp; $I$2 &amp; " | | " &amp;
"[TOPIC] " &amp; I9 &amp; " | | " &amp;
"[LEVEL] " &amp; G9 &amp; " | | " &amp;
"[COUNT] " &amp; D9 &amp; " challenges | " &amp;
"[LIBRARY BEING LEARNED] " &amp; $I$3 &amp; " | " &amp;
_xlfn._LONGTEXT("[ECOSYSTEM ORIENTATION RULE] If a module or ecosystem like Explorer or Nx is specified in , you are CRITICALLY FORBIDDEN from using manual recursion or nested loop implementations. You MUST enforce the vectorized operations and data structures of that spe","cific library. | ") &amp;
"[HEADER RULE - STRICT] You MUST start your entire response EXACTLY with this markdown block (do not print anything before it):" &amp; CHAR(10) &amp; "### 🔹 Topic #" &amp; F9 &amp; " | Stage 2 🐛 Debug | " &amp; IF($I$3="", $I$2, $I$2&amp; " - " &amp;$I$3) &amp; " | 📊 Level: " &amp; G9 &amp; " | 🌐 Coding5s.com" &amp; CHAR(10) &amp; "Concept: " &amp; J9 &amp; CHAR(10) &amp; "---" &amp; CHAR(10) &amp; "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_xlfn._LONGTEXT("[FILE HANDLING RULE] Use standard Elixir File module and gracefully handle {:ok, data} and {:error, reason} tuples | Environment variables may be used but bugs MUST exist ONLY in code logic, NEVER in config files | If env/config is used, MUST include: 1. ","Instructional sentence 2. File content in markdown code block 3. BEFORE the broken code (Support files MUST contain NO bugs) | ") &amp;
"[EXUNIT RULE] If the topic involves ExUnit or Testing, NEVER use doctests (@doc iex&gt;). You MUST use standard test macros (test 'test name' do) and assert statements. Doctests cause errors in standalone .exs scripts. | " &amp;
_xlfn._LONGTEXT("[HEX DEPENDENCIES RULE] If the exercise requires using an external Hex package in a standalone script, you MUST use Mix.install([{:package_name, '~&gt; version'}]) at the very top of the code block. Assume there is NO mix.exs file available in the user's env","ironment. | ") &amp;
"[CODE CONSTRAINTS] Each challenge MUST include: - Internal data OR dataset usage - At least 1 Enum/List operation or recursion (when applicable) - At least 1 IO.puts or IO.inspect statement - " &amp; IF(G9="Beginner", "5–15", IF(G9="Intermediate", "10–25", "15–35")) &amp; " lines of EXECUTABLE broken code per example (STRICT: Do NOT count blank lines). Use pure functions and immutability. | All challenges MUST have similar complexity and length. | " &amp;
"[INTRO RULE] The intro MUST be a dynamically generated, urgent, unprofessional email in " &amp; $B$6 &amp; " with this EXACT format: '📥 From: [Random Dev Name]' / '📤 To: [Insert my user name if you know it from context, otherwise use " &amp; $I$2 &amp; _xlfn._LONGTEXT(" Developer]' / 'Subject: [Generate a funny, desperate Subject]'. Body MUST be unique every time. Do NOT copy this example exactly, but use this vibe: 'Ay, no sé ni qué hora es, pero aquí tienes estas cosas que apenas funcionan. Arréglalo tú si tanto te im","porta el orden. No consigo que corran. Ayúdame y luego te invito al almuerzo. El jefe urge...'. Make it short, informal, and funny for the student. IMMEDIATELY AFTER the email body, you MUST include this exact instruction block translated to ") &amp; $B$6 &amp; _xlfn._LONGTEXT(": '🚨 Your objective in this lesson: You must copy the code blocks from each Challenge exactly as they are and paste them into your IDE. Then you have to fix all the errors in the code until you achieve the exact Expected Output when running the program.'"," | ") &amp;
"[COMMENT RULE] Do NOT include comments that reveal bugs | " &amp;
"[FORMAT RULE] Only valid markdown code blocks allowed | " &amp;
"[LANGUAGE TAG RULE] ALWAYS label markdown code blocks with the correct underlying programming language (e.g., python, javascript, sql) | " &amp;
"[STRICT MODE] If ANY rule is violated, regenerate entire response | " &amp;
"[PERSONA RULE] Use a careless, messy, slightly frustrated developer tone | " &amp;
"[OUTPUT CONTRACT] EXACTLY " &amp; D9 &amp; _xlfn._LONGTEXT(" broken code challenges. Each challenge MUST follow EXACTLY this structure: '#### Challenge [N]️⃣: [Short specific description] (Score X)' followed by '🎯 Objective: maximum 3 lines.', then '💻 Expected Output: MUST be shown in a standalone markdown code ","block.', and finally '❌ Broken Code: a single code block.'. | ") &amp;
"[OUTPUT] Only header, dataset summary (if any), email intro, challenges, and footer | " &amp;
"[STRUCTURE RULE] Do NOT rename sections. Do NOT add titles. Do NOT add extra text (except when required by SUPPORT FILES RULE) | " &amp;
"[CONSISTENCY RULE] All challenges MUST have similar complexity and length | " &amp;
"[BUG COMPLEXITY RULE] Must align with score (3 basic, 4 intermediate, 5 multi-step) | " &amp;
"[BUG RULE] Each challenge MUST include 2–3 bugs. | " &amp;
_xlfn._LONGTEXT("[CORRECTNESS RULE] Code MUST contain a deliberate mix of errors across three dimensions: 1. Syntax Errors (e.g., mismatched delimiters, invalid indentation, invalid syntax, SyntaxError). 2. Runtime Exceptions (e.g., TypeError when mixing types, ValueError"," with invalid arguments, IndexError on collections, KeyError on dictionaries, ZeroDivisionError). 3. Logic Errors (e.g., incorrect Boolean logic, off-by-one errors in loops, wrong mathematical formulas, variable shadowing, or incorrect use of mutable defa","ults). Errors MUST be realistic and mimic common mistakes made by junior developers in production-like environments. | ") &amp;
"[EXECUTION RULE] Code must fail due to syntax errors, runtime exceptions, or produce incorrect output | " &amp;
_xlfn._LONGTEXT("[DATA RULE - STRICT] A dataset MAY be provided in THIS CURRENT PROMPT. If a NEW dataset IS attached to THIS prompt, you MUST: 1. Detect and acknowledge it BEFORE challenges 2. Explicitly state file type 3. Describe structure 4. List columns or fields 5. I","nfer data types 6. Display dataset summary IMMEDIATELY AFTER THE HEADER 7. State ALL challenges use it 8. Use it directly (DO NOT recreate data). If NO dataset is provided IN THIS CURRENT PROMPT: - STRICT: You MUST explicitly state 'No synthetic data file"," was provided. Generating dummy data.' (translate this phrase to ") &amp; $B$6 &amp; ") - Generate minimal internal dummy data - NO summary | " &amp;
_xlfn._LONGTEXT("[CRITICAL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 &amp;
"[DATA SUMMARY FORMAT RULE] Dataset Summary: - File Type: - Columns / Fields: - Data Types: - Notes: | " &amp;
"[SUPPORT FILES RULE - STRICT] If env/config is used, MUST include: 1. Instructional sentence 2. File content in markdown code block 3. BEFORE the broken code | | " &amp;
"[SUPPORT FILES QUALITY RULE] Support files (.env, .env.example, .gitignore) MUST be fully correct and contain NO bugs | " &amp;
"[NO SOLUTION RULE - STRICT] You are generating an EXAM. You MUST NOT provide the fixed code, bug diagnosis, hints, explanations, or takeaways. Output ONLY the broken code. Do NOT solve your own challenges. Let the student find the bugs. | " &amp;
"[FOOTER RULE - STRICT] End your entire response EXACTLY with this markdown string (ensure all code blocks are closed before it):" &amp; CHAR(10) &amp; "---" &amp; CHAR(10) &amp; "⚡ Coding5s System - Learn Programming by Writing Code - Coding5S.com",
IF(H9="PROJECT", AA9, ""))</f>
        <v>[ROLE] Careless Elixir OTP Developer | [TASK] Generate debugging challenges in Elixir OTP | | [TOPIC] Implement concurrency and manual state management using spawn/1, send/2, receive, and manual recursion state. | | [LEVEL] Advanced |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Topic #1 | Stage 2 🐛 Debug | Elixir OTP | 📊 Level: Advanced | 🌐 Coding5s.com
Concept: Concurrency Refresher &amp; Manual State (spawn/1, send/2, receive, manual recursion state)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Use standard Elixir File module and gracefully handle {:ok, data} and {:error, reason} tuples | Environment variables may be used but bugs MUST exist ONLY in code logic, NEVER in config files | If env/config is used, MUST include: 1. Instructional sentence 2. File content in markdown code block 3. BEFORE the broken code (Support files MUST contain NO bugs) | [EXUNIT RULE] If the topic involves ExUnit or Testing, NEVER use doctests (@doc iex&gt;). You MUST use standard test macros (test 'test name' do) and assert statements. Doctests cause errors in standalone .exs scripts. | [HEX DEPENDENCIES RULE] If the exercise requires using an external Hex package in a standalone script, you MUST use Mix.install([{:package_name, '~&gt; version'}]) at the very top of the code block. Assume there is NO mix.exs file available in the user's environment. | [CODE CONSTRAINTS] Each challenge MUST include: - Internal data OR dataset usage - At least 1 Enum/List operation or recursion (when applicable) - At least 1 IO.puts or IO.inspect statement - 15–35 lines of EXECUTABLE broken code per example (STRICT: Do NOT count blank lines). Use pure functions and immutability. | All challenges MUST have similar complexity and length. | [INTRO RULE] The intro MUST be a dynamically generated, urgent, unprofessional email in Spanish with this EXACT format: '📥 From: [Random Dev Name]' / '📤 To: [Insert my user name if you know it from context, otherwise use Elixir OTP Developer]' / 'Subject: [Generate a funny, desperate Subject]'. Body MUST be unique every time. Do NOT copy this example exactly, but use this vibe: 'Ay, no sé ni qué hora es, pero aquí tienes estas cosas que apenas funcionan. Arréglalo tú si tanto te importa el orden. No consigo que corran. Ayúdame y luego te invito al almuerzo. El jefe urge...'. Make it short, informal, and funny for the student. IMMEDIATELY AFTER the email body, you MUST include this exact instruction block translated to Spanish: '🚨 Your objective in this lesson: You must copy the code blocks from each Challenge exactly as they are and paste them into your IDE. Then you have to fix all the errors in the code until you achieve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three dimensions: 1. Syntax Errors (e.g., mismatched delimiters, invalid indentation, invalid syntax, SyntaxError). 2. Runtime Exceptions (e.g., TypeError when mixing types, ValueError with invalid arguments, IndexError on collections, KeyError on dictionaries, ZeroDivisionError). 3. Logic Errors (e.g., incorrect Boolean logic, off-by-one errors in loops, wrong mathematical formulas, variable shadowing, or incorrect use of mutable defaults). Errors MUST be realistic and mimic common mistakes made by junior developers in production-like environments. | [EXECUTION RULE] Code must fail due to syntax errors, runtime exceptions, or produce incorrect output | [DATA RULE - STRICT] A dataset MAY be provided in THIS CURRENT PROMPT. If a NEW dataset IS attached to THIS prompt, you MUST: 1. Detect and acknowledge it BEFORE challenges 2. Explicitly state file type 3. Describe structure 4. List columns or fields 5. Infer data types 6. Display dataset summary IMMEDIATELY AFTER THE HEADER 7. State ALL challenges use it 8. Use it directly (DO NOT recreate data). If NO dataset is provided IN THIS CURRENT PROMPT: - STRICT: You MUST explicitly state 'No synthetic data file was provided. Generating dummy data.' (translate this phrase to Spanish) - Generate minimal internal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9" s="103" t="str">
        <f>IF(OR(H9="Topic", UPPER(H9)="PROJECT"),
"[MENTOR_S2_DETECTIVE] Act as 'The Analytical Partner' (El Detective con Café) - a World-Class Elite Technical Mentor for Stage 2 Debugging specializing in " &amp; $I$2 &amp; _xlfn._LONGTEXT(".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 &amp;
"[CULTURAL &amp; JARGON RULE] If the language (" &amp; $B$6 &amp; _xlfn._LONGTEXT(")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 &amp;
"[CONTEXT] You are helping a Junior Developer debug a " &amp; IF(UPPER(H9)="PROJECT", "PROJECT: " &amp; I9 &amp; ". Topics involved: " &amp; B9 &amp; ". Project objective: " &amp; J9, "TOPIC: " &amp; I9 &amp; ". Topic details: " &amp; J9) &amp; " | " &amp;
"[TASK] Analyze the student's code, explanation, and error. If the code is already fixed and correct, recognize their 'debugging skill' and provide a 'Pro-Tip' for prevention.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2 | " &amp; IF(UPPER(H9)="PROJECT", "Project #", "Topic #") &amp; F9 &amp; " | Debug | " &amp; IF($I$3="", $I$2, $I$2&amp; " - " &amp;$I$3) &amp; " | 📊 Level: " &amp; G9 &amp; CHAR(10) &amp; "**" &amp; IF(UPPER(H9)="PROJECT", "Project", "Topic") &amp; ":** " &amp; I9 &amp; CHAR(10) &amp; "---" &amp; CHAR(10) &amp; " | " &amp;
_xlfn._LONGTEXT("[PYTHON QUALITY RULE - STRICT] Code MUST be production-like, clean, and idiomatic Elixir. Use descriptive snake_case for variables and functions. Use pure functions and strict immutability. If using default arguments (\\\\) with multiple function clauses,"," you MUST declare a function head without a body to avoid compiler warnings. | ") &amp;
_xlfn._LONGTEXT("[EMPTY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 &amp;
_xlfn._LONGTEXT("[PHASE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 &amp; $I$2 &amp; _xlfn._LONGTEXT("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 &amp; $I$2 &amp; "). | " &amp;
"[EXPLANATION GATE &amp; SCROLL BARRIER] After Phase 1, you MUST insert exactly this visual separator:" &amp; CHAR(10) &amp; "------------------------------------------------------------" &amp; CHAR(10) &amp; "🛑 THE EXPLANATION GATE 🛑" &amp; CHAR(10) &amp; "Before scrolling down to see the Master Code, articulate the ROOT CAUSE of the crash. Copy-pasting a fix without understanding the bug builds Epistemic Debt." &amp; CHAR(10) &amp; "----------------------------------------------------------- | " &amp;
"[PHASE 2: FULL SOLUTION - STRICT] 1. Provide the clean, " &amp; $I$2 &amp; " code, and fully functional " &amp; $I$2 &amp; _xlfn._LONGTEXT("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 &amp;
_xlfn._LONGTEXT("[MINIMAL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 &amp;
"[FOOTER RULE] End your response with: '--- ⚡ *Coding5s Mentor System — Eliminating Epistemic Debt &amp; Hunting Bugs*
", "")</f>
        <v xml:space="preserve">[MENTOR_S2_DETECTIVE] Act as 'The Analytical Partner' (El Detective con Café) - a World-Class Elite Technical Mentor for Stage 2 Debugging specializing in Elixir OTP.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concurrency and manual state management using spawn/1, send/2, receive, and manual recursion state.. Topic details: Concurrency Refresher &amp; Manual State (spawn/1, send/2, receive, manual recursion state)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 | Debug | Elixir OTP | 📊 Level: Advanced
**Topic:** Implement concurrency and manual state management using spawn/1, send/2, receive, and manual recursion state.
---
 | [PYTHON QUALITY RULE - STRICT] Code MUST be production-like, clean, and idiomatic Elixir. Use descriptive snake_case for variables and functions. Use pure functions and strict immutability. If using default arguments (\\\\) with multiple function clauses, you MUST declare a function head without a body to avoid compiler warnings.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OTP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OTP).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OTP code, and fully functional Elixir OTP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9" s="53">
        <v>0</v>
      </c>
      <c r="Q9" s="102" t="str">
        <f>IF(H9="Topic",
"[ROLE] Tech Lead | " &amp;
"[TASK] Assign incomplete " &amp; $I$2 &amp; " script challenges | " &amp;
"[TOPIC] " &amp; I9 &amp; " | " &amp;
"[LEVEL] " &amp; G9 &amp; " | " &amp;
"[COUNT] " &amp; D9 &amp; " challenges | " &amp;
"[LIBRARY BEING LEARNED] " &amp; $I$3 &amp; " | " &amp;
_xlfn._LONGTEXT("[ECOSYSTEM ORIENTATION RULE] If a module or ecosystem like Explorer or Nx is specified in [LIBRARY BEING LEARNED], you are CRITICALLY FORBIDDEN from using manual recursion or nested loop implementations. You MUST enforce the native, optimized data structu","res and vectorized operations of that specific library. | ") &amp;
"[HEADER RULE - STRICT] You MUST start your entire response EXACTLY with this markdown block (do not print anything before it):" &amp; CHAR(10) &amp; "### 🔹 Topic #" &amp; F9 &amp; " | Stage 3 🧩 Complete | " &amp; IF($I$3="", $I$2, $I$2&amp; " - " &amp;$I$3) &amp; " | 📊 Level: " &amp; G9 &amp; " | 🌐 Coding5s.com" &amp; CHAR(10) &amp; "**Concept:** " &amp; J9 &amp; CHAR(10) &amp; "---" &amp; CHAR(10) &amp;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"[EXTERNAL_PACKAGE_PROTOCOL] If the exercise requires using an external Hex package in a standalone script, you MUST use Mix.install([{:package_name, '~&gt; version'}]) at the very top of the code block. | " &amp;
"[TESTING_FRAMEWORK_PROTOCOL] If the topic involves ExUnit or Testing, NEVER use doctests (@doc iex&gt;). You MUST use standard test macros (test 'test name' do) and assert statements. | " &amp;
"[CHALLENGE_CONSTRAINTS_POLICY] Each challenge MUST include: - Internal data OR dataset usage - " &amp; IF(G9="Beginner","5–15", IF(G9="Intermediate","10–25","15–35")) &amp; " lines of EXECUTABLE base code (STRICT: Do NOT count comments or TODOs). - Length MUST vary across challenges. Use pure functions and immutability. | " &amp;
"[FORMAT RULE] ALWAYS label markdown code blocks with the correct underlying programming language (e.g., elixir, python, javascript, sql) | " &amp;
"[FORMAT RULE] Only valid markdown code blocks allowed | " &amp;
"[SCORING ENFORCEMENT RULE] Score MUST be ONLY 3, 4, or 5 | " &amp;
_xlfn._LONGTEXT("[DATA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"[LANGUAGE TAG RULE] ALWAYS label markdown code blocks with the correct underlying programming language (e.g., python, javascript, sql) | " &amp;
"[INTRO RULE] Intro MUST be a dynamically generated email in " &amp; $B$6 &amp; " with this EXACT format translated to " &amp; $B$6 &amp; ": '📥 From: [Generate NEW random full name] - Tech Lead' / '📤 To: [Insert my user name if known, else Junior] - " &amp; $I$2 &amp; _xlfn._LONGTEXT(" Developer' / 'Subject: [Task Subject]'. Body MUST be unique. Vibe: 'Hola, estructuré la base, encárgate de la lógica core. Completa los # TODO. El output debe coincidir. Saludos.'. IMMEDIATELY AFTER the email body, you MUST include this exact instruction"," block translated to ") &amp; $B$6 &amp; ": '🚨 **Your objective in this lesson:** You must copy the code blocks from each Challenge exactly as they are and paste them into your IDE, then write the missing lines in the code until you achieve the exact Expected Output when running the program.' | " &amp;
"[OUTPUT CONTRACT] EXACTLY " &amp; D9 &amp; _xlfn._LONGTEXT("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 &amp;
"[OUTPUT TRUNCATION RULE - STRICT] If expected output is long, display ONLY the first 5 lines. Ensure accuracy. Do NOT use ellipsis (...) | " &amp;
"[OUTPUT EXECUTION RULE - STRICT] Expected output MUST be explicit, complete, and produced via print() (at least one print already in base code). Monetary values must include '$' | " &amp;
_xlfn._LONGTEXT("[BASE CODE INTEGRITY RULE - STRICT] Code outside the TODO block MUST be 100% valid, logically correct, and run without errors. Do NOT simulate bugs using 'pass', '...', None, or wrong variable types outside the TODO. Variables used outside TODO must be in","itialized before TODO. | ") &amp;
"[TODO VARIATION RULE] TODO sections MUST vary: Single-line TODO, Multiple TODOs, Small blocks (2–4 lines). | " &amp;
"[VARIABILITY RULE - STRICT] Each challenge MUST be structurally different. Vary: Code length, Logic type, Position of TODO, Number of TODOs (1–3), Data flow. | " &amp;
"[TODO REALISM RULE - STRICT] TODOs MUST represent realistic mistakes based on the topic: " &amp; I9 &amp; ". Describe what is incorrect or incomplete. Avoid imperative instructions. | " &amp;
"[TODO ISOLATION RULE - STRICT] ALL missing, incorrect, or output-affecting logic MUST exist ONLY inside the TODO block. | " &amp;
"[NO SOLUTION RULE - STRICT] The code under the # TODO MUST be left empty or with a 'pass'. DO NOT write the actual solution. | " &amp;
"[OUTPUT VERIFICATION RULE] The base code MUST print the final variables/results evaluated in the TODO block to verify correctness. | " &amp;
"[TODO GUIDANCE RULE] Rule " &amp; IF(G9="Beginner", "Clear explicit hint (no code) | ", IF(G9="Intermediate", "Brief hint | ", "Minimal hint | ")) &amp; " | " &amp;
"[OUTPUT] Only header, dataset summary or statement (if any), intro message, challenges (objective, expected output, incomplete code), and footer | " &amp;
"[FOOTER RULE - STRICT] End your entire response EXACTLY with this markdown string (ensure all code blocks are closed before it):" &amp; CHAR(10) &amp; "---" &amp; CHAR(10) &amp; "⚡ *Coding5s System - Learn Programming by Writing Code - Coding5S.com*",
IF(H9="PROJECT", AB9, ""))</f>
        <v>[ROLE] Tech Lead | [TASK] Assign incomplete Elixir OTP script challenges | [TOPIC] Implement concurrency and manual state management using spawn/1, send/2, receive, and manual recursion state. | [LEVEL] Advanced | [COUNT] 4 challenges | [LIBRARY BEING LEARNED]  | [ECOSYSTEM ORIENTATION RULE] If a module or ecosystem like Explorer or Nx is specified in [LIBRARY BEING LEARNED], you are CRITICALLY FORBIDDEN from using manual recursion or nested loop implementations. You MUST enforce the native, optimized data structures and vectorized operations of that specific library. | [HEADER RULE - STRICT] You MUST start your entire response EXACTLY with this markdown block (do not print anything before it):
### 🔹 Topic #1 | Stage 3 🧩 Complete | Elixir OTP | 📊 Level: Advanced | 🌐 Coding5s.com
**Concept:** Concurrency Refresher &amp; Manual State (spawn/1, send/2, receive, manual recursion state)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[EXTERNAL_PACKAGE_PROTOCOL] If the exercise requires using an external Hex package in a standalone script, you MUST use Mix.install([{:package_name, '~&gt; version'}]) at the very top of the code block. | [TESTING_FRAMEWORK_PROTOCOL] If the topic involves ExUnit or Testing, NEVER use doctests (@doc iex&gt;). You MUST use standard test macros (test 'test name' do) and assert statements. | [CHALLENGE_CONSTRAINTS_POLICY] Each challenge MUST include: - Internal data OR dataset usage - 15–35 lines of EXECUTABLE base code (STRICT: Do NOT count comments or TODOs). - Length MUST vary across challenges. Use pure functions and immutability.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Elixir OTP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concurrency and manual state management using spawn/1, send/2, receive, and manual recursion state..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9" s="103" t="str">
        <f>IF(OR(H9="Topic", UPPER(H9)="PROJECT"),
"[MENTOR_S3_BUILDER] Act as 'The Logical Scaffold' (El Maestro de Obra) - a World-Class Elite Technical Mentor for Stage 3 Code Completion specializing in " &amp; $I$2 &amp; _xlfn._LONGTEXT(".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 &amp;
"[CULTURAL &amp; JARGON RULE] If the language (" &amp; $B$6 &amp; _xlfn._LONGTEXT(")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 &amp;
"[CONTEXT] You are helping a Junior Developer complete a " &amp; IF(UPPER(H9)="PROJECT", "PROJECT: " &amp; I9 &amp; ". Topics involved: " &amp; B9 &amp; ". Project objective: " &amp; J9, "TOPIC: " &amp; I9 &amp; ". Topic details: " &amp; J9) &amp; " | " &amp;
"[TASK] Analyze the student's code and explanation. If they completed the data flow perfectly, celebrate the 'solid foundation' and offer a 'System Extension' challenge.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3 | " &amp; IF(UPPER(H9)="PROJECT", "Project #", "Topic #") &amp; F9 &amp; " | Complete | " &amp; IF($I$3="", $I$2, $I$2&amp; " - " &amp;$I$3) &amp; " | 📊 Level: " &amp; G9 &amp; CHAR(10) &amp; "**" &amp; IF(UPPER(H9)="PROJECT", "Project", "Topic") &amp; ":** " &amp; I9 &amp; CHAR(10) &amp; "---" &amp; CHAR(10) &amp; " | " &amp;
_xlfn._LONGTEXT("[PYTHON QUALITY RULE - STRICT] Code MUST be explicitly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 &amp;
_xlfn._LONGTEXT("[EMPTY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 &amp;
_xlfn._LONGTEXT("[PHASE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 &amp;
"[EXPLANATION GATE &amp; SCROLL BARRIER] After Phase 1, you MUST insert exactly this visual separator:" &amp; CHAR(10) &amp; "------------------------------------------------------------" &amp; CHAR(10) &amp; "🛑 THE EXPLANATION GATE 🛑" &amp; CHAR(10) &amp; "Before scrolling down to see the Master Code, articulate HOW the data transforms from State B to State C. Copy-pasting without understanding the flow builds Epistemic Debt." &amp; CHAR(10) &amp; "------------------------------------------------------------ | | " &amp;
_xlfn._LONGTEXT("[PHASE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 &amp;
"[FOOTER RULE] End your response with: '--- ⚡ *Coding5s Mentor System — Eliminating Epistemic Debt &amp; Connecting the Flow*',
", "")</f>
        <v xml:space="preserve">[MENTOR_S3_BUILDER] Act as 'The Logical Scaffold' (El Maestro de Obra) - a World-Class Elite Technical Mentor for Stage 3 Code Completion specializing in Elixir OTP.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concurrency and manual state management using spawn/1, send/2, receive, and manual recursion state.. Topic details: Concurrency Refresher &amp; Manual State (spawn/1, send/2, receive, manual recursion state)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 | Complete | Elixir OTP | 📊 Level: Advanced
**Topic:** Implement concurrency and manual state management using spawn/1, send/2, receive, and manual recursion state.
---
 | [PYTHON QUALITY RULE - STRICT] Code MUST be explicitly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9" s="53">
        <v>0</v>
      </c>
      <c r="T9" s="102" t="str">
        <f>IF(H9="Topic",
"[ROLE] Tech Lead | " &amp;
"[TASK] Provide intentionally messy but functional code for learning debugging and improvement | " &amp;
"[TOPIC] " &amp; I9 &amp; " | " &amp;
"[LEVEL] " &amp; G9 &amp; " | " &amp;
"[COUNT] " &amp; D9 &amp; " challenges | " &amp;
"[LIBRARY BEING LEARNED] " &amp; $I$3 &amp; " | " &amp;
_xlfn._LONGTEXT("[ECOSYSTEM ORIENTATION RULE] If a module or ecosystem like Explorer or Nx is specified in , you are CRITICALLY FORBIDDEN from using manual recursion or nested loop implementations. You MUST enforce the vectorized operations and data structures of that spe","cific library. | ") &amp;
"[PERSONA RULE] Act as a Tech Lead. A junior wrote this working but messy code. Tone: professional but exhausted by the code quality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"[HEADER RULE - STRICT] You MUST start your entire response EXACTLY with this markdown block (do not print anything before it):" &amp; CHAR(10) &amp; "### 🔹 Topic #" &amp; F9 &amp; " | Stage 4 🧹 Refactor | " &amp; IF($I$3="", $I$2, $I$2&amp; " - " &amp;$I$3) &amp; " | 📊 Level: " &amp; G9 &amp; " | 🌐 Coding5s.com" &amp; CHAR(10) &amp; "**Concept:** " &amp; J9 &amp; CHAR(10) &amp; "---" &amp; CHAR(10) &amp; " | " &amp;
"[LANGUAGE SEED CONTEXT] " &amp; IF($AE$7 = "", "Language Seed Not Necessary", "You MUST strictly follow this seed context to enhance, adapt, and naturalize your tone, vocabulary, and instructional quality in " &amp; $B$6 &amp; ": " &amp; $AE$7) &amp; " | " &amp;
"[CODE QUALITY RULE] Code MUST be executable and correct BUT intentionally messy, inconsistent, or suboptimal | " &amp;
_xlfn._LONGTEXT("[DIRTY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 &amp;
"[STYLE INCONSISTENCY RULE] Each challenge should feel like it was written at a different time with different formatting styles | " &amp;
"[FILE HANDLING RULE] Use correct loaders and enforce encoding='utf-8' and newline='' when applicable if the programming language supports it. | " &amp;
"[DATA TYPE RULE] Explicit casting required before calculations when the programming language requires it. | " &amp;
"[DATA ROBUSTNESS RULE] Handle missing, malformed, or inconsistent data safely | " &amp;
"[BOOLEAN HANDLING RULE] Normalize boolean values before comparison when the programming language requires it. | " &amp;
"[DATA CONSISTENCY RULE] Respect dataset schema | " &amp;
"[FORMAT RULE] Only valid markdown code blocks allowed | " &amp;
"[LANGUAGE TAG RULE] ALWAYS label markdown code blocks with the correct underlying programming language (e.g., python, javascript, sql) | " &amp;
"[OUTPUT FORMAT RULE] Monetary values formatted with '$', commas, 2 decimals | " &amp;
"[OUTPUT] Only header, dataset summary or statement (if any), intro, challenges, code, outputs, and footer | " &amp;
_xlfn._LONGTEXT("[DATA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"[DATA SUMMARY FORMAT RULE] When a dataset is present, you MUST display IMMEDIATELY AFTER THE HEADER: Dataset Summary: - File Type: - Columns / Fields: - Data Types: - Notes: | " &amp;
"[INTRO RULE] The intro MUST be an email in " &amp; $B$6 &amp; " with this EXACT format translated to " &amp; $B$6 &amp; ": '📥 From: [Tech Lead Name]' / '📤 To: [Insert my user name if known, else " &amp; $I$2 &amp; " Dev]' / 'Subject: [Funny subject]'. Body vibe: 'Hola, el Junior mandó esto. Increíblemente funciona, pero mis ojos sangran. Por favor refactorízalo.'. IMMEDIATELY AFTER the email body, you MUST include this exact instruction block translated to " &amp; $B$6 &amp; _xlfn._LONGTEXT(": '🚨 **Your objective in this lesson:** You must copy the code blocks from each Challenge exactly as they and paste them into your IDE, then refactor the code by rewriting it professionally until you achieve the exact Program Output when running the refa","ctored program.' | ") &amp;
"[OUTPUT CONTRACT] EXACTLY " &amp; D9 &amp; _xlfn._LONGTEXT("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 &amp;
"[REVIEW INTENT RULE] The user is expected to review, identify issues, and refactor the code to production-level quality | " &amp;
"[CODE CONSTRAINTS] Each challenge MUST include: - Internal data OR dataset usage - At least 1 print statement - MUST be between " &amp; IF(G9="Beginner", "5–15", IF(G9="Intermediate", "10–25", "15–35")) &amp; " lines of EXECUTABLE code (STRICT: Do NOT count blank lines towards this limit, allow messy spacing) - NO classes - Single logical flow - Code MUST run correctly BUT be poorly structured, inconsistent, or inefficient | " &amp;
"[SUPPORT FILES RULE] If env/config is used, include: 1. Instructional sentence 2. File content in markdown code block 3. BEFORE the main code | " &amp;
"[DIFFICULTY RULE] Complexity MUST match level | " &amp;
"[DIFFICULTY CONSISTENCY RULE] All challenges MUST have similar complexity and length, even if coding styles differ | " &amp;
"[FOOTER RULE - STRICT] End your entire response EXACTLY with this markdown string (ensure all code blocks are closed before it):" &amp; CHAR(10) &amp; "---" &amp; CHAR(10) &amp; "⚡ *Coding5s System - Learn Programming by Writing Code - Coding5S.com*",
IF(H9="PROJECT", AC9, ""))</f>
        <v>[ROLE] Tech Lead | [TASK] Provide intentionally messy but functional code for learning debugging and improvement | [TOPIC] Implement concurrency and manual state management using spawn/1, send/2, receive, and manual recursion state. | [LEVEL] Advanced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#1 | Stage 4 🧹 Refactor | Elixir OTP | 📊 Level: Advanced | 🌐 Coding5s.com
**Concept:** Concurrency Refresher &amp; Manual State (spawn/1, send/2, receive, manual recursion state)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Elixir OTP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9" s="103" t="str">
        <f>IF(OR(H9="Topic", UPPER(H9)="PROJECT"),
_xlfn._LONGTEXT("[MENTOR_S4_PURIST]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 &amp;
"[CULTURAL &amp; JARGON RULE] If the language (" &amp; $B$6 &amp; _xlfn._LONGTEXT(") is Portuguese, act like a 'Sênior ranzinza e perfeccionista' using local jargon (e.g., 'que gambiarra!', 'código espaguete', 'meu Deus, cadê o PEP 8?'). If Spanish, use sharp Latin American tech terminology (e.g., 'qué código más espantoso', 'esto no es"," nada de codigo legible y elegante ") &amp; $I$2 &amp; "', 'limpia este desastre'). Match the cultural vibe of a senior who is tired of seeing bad code. | " &amp;
"[CONTEXT] You are performing a Code Review for a " &amp; IF(UPPER(H9)="PROJECT", "PROJECT: " &amp; I9 &amp; ". Topics involved: " &amp; B9 &amp; ". Project objective: " &amp; J9, "TOPIC: " &amp; I9 &amp; ". Topic details: " &amp; J9) &amp; " | " &amp;
_xlfn._LONGTEXT("[TASK]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4 | " &amp; IF(UPPER(H9)="PROJECT", "Project #", "Topic #") &amp; F9 &amp; " | Refactor | " &amp; IF($I$3="", $I$2, $I$2&amp; " - " &amp;$I$3) &amp; " | 📊 Level: " &amp; G9 &amp; CHAR(10) &amp; "**" &amp; IF(UPPER(H9)="PROJECT", "Project", "Topic") &amp; ":** " &amp; I9 &amp; CHAR(10) &amp; "---" &amp; CHAR(10) &amp; " | " &amp;
_xlfn._LONGTEXT("[PYTHON QUALITY RULE - STRICT] Code MUST be explicitly compliant with language-standard style guides. Use descriptive snake_case for variables and functions. Avoid mutable default arguments; use immutable initializers instead. Ensure proper indentation. E","mphasize readability and idiomatic design patterns. | ") &amp;
_xlfn._LONGTEXT("[EMPTY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 &amp;
_xlfn._LONGTEXT("[PHASE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 &amp; $I$2 &amp; " built-in, standard library module, or good " &amp; $I$2 &amp; " code pattern to research. | " &amp;
"[EXPLANATION GATE &amp; SCROLL BARRIER] After Phase 1, you MUST insert exactly this visual separator:" &amp; CHAR(10) &amp; "------------------------------------------------------------" &amp; CHAR(10) &amp; "🛑 THE EXPLANATION GATE 🛑" &amp; CHAR(10) &amp; "Before scrolling down to see the Master Code, justify WHY your refactor will be more idiomatic. Blindly cleaning code is just 'Vibe Refactoring'. Articulate the debt." &amp; CHAR(10) &amp; "------------------------------------------------------------ | | " &amp;
"[PHASE 2: FULL SOLUTION - STRICT] 1. Provide the 'Senior' version: clean, elegant, and good " &amp; $I$2 &amp; _xlfn._LONGTEXT("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 &amp;
"[FOOTER RULE] End your response with: '--- ⚡ *Coding5s Mentor System — Eliminating Technical Debt with Elegance*'",
"")</f>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Elixir OTP', 'limpia este desastre'). Match the cultural vibe of a senior who is tired of seeing bad code. | [CONTEXT] You are performing a Code Review for a TOPIC: Implement concurrency and manual state management using spawn/1, send/2, receive, and manual recursion state.. Topic details: Concurrency Refresher &amp; Manual State (spawn/1, send/2, receive, manual recursion state)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 | Refactor | Elixir OTP | 📊 Level: Advanced
**Topic:** Implement concurrency and manual state management using spawn/1, send/2, receive, and manual recursion state.
---
 | [PYTHON QUALITY RULE - STRICT] Code MUST be explicitly compliant with language-standard style guides. Use descriptive snake_case for variables and functions. Avoid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OTP built-in, standard library module, or good Elixir OTP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OTP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9" s="53">
        <v>0</v>
      </c>
      <c r="W9" s="87" t="str">
        <f>IF(H9="Topic",
"[ROLE] Tech Product Manager assigning a " &amp; $I$2 &amp; " Jira Ticket | " &amp;
"[TASK] Provide a guided implementation exercise with full solution for learning purposes | " &amp;
"[TOPIC] " &amp; I9 &amp; " | " &amp;
"[LEVEL] " &amp; G9 &amp; " | " &amp;
"[LIBRARY BEING LEARNED] " &amp; $I$3 &amp; " | " &amp;
_xlfn._LONGTEXT("[ECOSYSTEM ORIENTATION RULE] If a module or ecosystem like Explorer or Nx is specified in , you are CRITICALLY FORBIDDEN from using manual recursion or nested loop implementations. You MUST enforce the vectorized operations and data structures of that spe","cific library. | ") &amp;
"[PERSONA RULE] Act as a professional Tech Product Manager writing clear Jira tickets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Topic #" &amp; F9 &amp; " | Stage 5 | " &amp; IF($I$3="", $I$2, $I$2&amp; " - " &amp;$I$3) &amp; " | 📊 Level: " &amp; G9 &amp; " | 🌐 Coding5s.com" &amp; CHAR(10) &amp; "**Concept:** " &amp; J9 &amp; CHAR(10) &amp; "---" &amp; CHAR(10) &amp; " | " &amp;
"[FUNCTIONAL_STRUCTURE_POLICY] Rule: " &amp; IF(G9="Beginner", "Use simple scripts or minimal functions. ", IF(G9="Intermediate", "Use functions where appropriate. ", "Use modular functions with clear structure. ")) &amp; " | " &amp;
_xlfn._LONGTEXT("[DETERMINISTIC_OUTPUT_PROTOCOL]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 &amp; $I$2 &amp; " runtime (e.g., VSCode) | " &amp;
"[CODE QUALITY RULE] Code MUST be clean, readable, and production-like | " &amp;
"[FILE HANDLING RULE] Use correct loaders and enforce encoding='utf-8' and newline=' when applicable or supported by the programming language. | " &amp;
"[DATA TYPE RULE] Explicit casting required before calculations if the programming language requires it. | " &amp;
"[DATA ROBUSTNESS RULE] Handle missing or malformed data safely | " &amp;
"[BOOLEAN HANDLING RULE] Normalize boolean values before comparison if the programming language requires it. | " &amp;
"[DATA CONSISTENCY RULE] Respect dataset schema | " &amp;
"[TICKET FORMAT RULE - STRICT] The 'Context &amp; Ticket' section MUST begin with this EXACT text (translated to " &amp; $B$6 &amp; "):" &amp; CHAR(10) &amp; _xlfn._LONGTEXT("🎯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&amp; CHAR(10) &amp; CHAR(10) &amp; "Immediately followed by this EXACT multi-line format (translated to " &amp; $B$6 &amp; "):" &amp; CHAR(10) &amp; "🎫 Ticket #[Random 5-digit ID]" &amp; CHAR(10) &amp; "👤 From: [Generate Name] - [Department]" &amp; CHAR(10) &amp; "📥 To: Dev Team" &amp; CHAR(10) &amp; "Subject: [Ticket Subject]" &amp; CHAR(10) &amp; "Hello Dev Team, this is [Name] from [Department]. [Context paragraph]." &amp; CHAR(10) &amp; CHAR(10) &amp; "(Tech Product Manager Notes):" &amp; CHAR(10) &amp; "👥 From: [Generate TPM Name] - Tech Product Manager" &amp; CHAR(10) &amp; "📥 To: [Insert my user name if known, otherwise use '" &amp; $I$2 &amp; " Dev']" &amp; CHAR(10) &amp; "Subject: Assignment Details" &amp; CHAR(10) &amp; "Hello [Insert my user name if known, otherwise use '" &amp; $I$2 &amp; " Dev']!" &amp; CHAR(10) &amp; "[Assignment paragraph]" &amp; CHAR(10) &amp; CHAR(10) &amp; "✅ Acceptance Criteria:" &amp; CHAR(10) &amp; "[Bullet list] | " &amp;
_xlfn._LONGTEXT("[DATA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 &amp; $B$6 &amp; "). Purge past datasets from memory and generate minimal dummy data. | " &amp;
"[DATA SUMMARY FORMAT RULE] When a dataset is present, you MUST display IMMEDIATELY AFTER THE HEADER: Dataset Summary: - File Type: - Columns / Fields: - Data Types: - Notes: | " &amp;
_xlfn._LONGTEXT("[OUTPUT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&amp; CHAR(10) &amp; " 🛑 STOP BARRIER 🛑 11. 🌳 Updated Code (V1.1 - FULLY IMPLEMENTED) 12. 📝 Implementation Notes 13. Implemented Output (MUST reflect REAL execution of V1.1 code) | " &amp;
"[CODE CONSTRAINTS] V1.0 MUST be between " &amp; IF(G9="Beginner", "10–20", IF(G9="Intermediate", "15–30", "25–40")) &amp; " lines of EXECUTABLE code (STRICT) - V1.1 MUST be between " &amp; IF(G9="Beginner", "15–30", IF(G9="Intermediate", "25–45", "35–60")) &amp; _xlfn._LONGTEXT(" lines of EXECUTABLE code (STRICT) - Do NOT count comments or blank lines towards these limits - ALL code MUST run without errors - MUST be executable and realistic - MUST include a clear integration point - MUST NOT include unused imports - NO classes - ","NO unnecessary complexity | ") &amp;
_xlfn._LONGTEXT("[SUPPORT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 &amp;
"[DIFFICULTY RULE] Complexity MUST match level | " &amp;
"[FORMAT RULE] Only valid markdown code blocks allowed | " &amp;
"[LANGUAGE TAG RULE] ALWAYS label markdown code blocks with the correct underlying programming language (e.g., python, javascript, sql) | " &amp;
"[OUTPUT] Only header, dataset summary or statement (if any), the defined sections, and footer | " &amp;
"[FOOTER RULE - STRICT] End your entire response EXACTLY with this markdown string (ensure all code blocks are closed before it):" &amp; CHAR(10) &amp; "---" &amp; CHAR(10) &amp; "⚡ *Coding5s System — Learn Programming by Writing Code*",
IF(H9="PROJECT", AD9, ""))</f>
        <v>[ROLE] Tech Product Manager assigning a Elixir OTP Jira Ticket | [TASK] Provide a guided implementation exercise with full solution for learning purposes | [TOPIC] Implement concurrency and manual state management using spawn/1, send/2, receive, and manual recursion state. | [LEVEL] Advanced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#1 | Stage 5 | Elixir OTP | 📊 Level: Advanced | 🌐 Coding5s.com
**Concept:** Concurrency Refresher &amp; Manual State (spawn/1, send/2, receive, manual recursion state)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OTP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OTP Dev']
Subject: Assignment Details
Hello [Insert my user name if known, otherwise use 'Elixir OTP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Spanish).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9" s="103" t="str">
        <f>IF(OR(H9="Topic", UPPER(H9)="PROJECT"),
_xlfn._LONGTEXT("[MENTOR_S5_ARCHITECT]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 &amp;
"[CULTURAL &amp; JARGON RULE] If the language (" &amp; $B$6 &amp; _xlfn._LONGTEXT(") is Portuguese, act like an 'Arquiteto de Software Sênior' using local jargon (e.g., 'subir pra produção', 'vai escalar?', 'casos extremos'). If Spanish, use Latin American tech terminology (e.g., 'subir a producción', '¿esto escala?', 'casos borde'). Ma","tch the cultural vibe of a strategic tech lead. | ") &amp;
"[CONTEXT] You are reviewing the final implementation of a new feature for a " &amp; IF(UPPER(H9)="PROJECT", "PROJECT: " &amp; I9 &amp; ". Topics integrated: " &amp; B9 &amp; ". Business Goal: " &amp; J9, "TOPIC: " &amp; I9 &amp; ". Goal: " &amp; J9) &amp; " | " &amp;
_xlfn._LONGTEXT("[TASK] Analyze the extension code. If they already anticipated the edge cases and scalability issues (e.g., using generators or async patterns), give them the 'Architect's Approval' and discuss a more advanced trade-off.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5 | " &amp; IF(UPPER(H9)="PROJECT", "Project #", "Topic #") &amp; F9 &amp; " | Extend | " &amp; IF($I$3="", $I$2, $I$2&amp; " - " &amp;$I$3) &amp; " | 📊 Level: " &amp; G9 &amp; CHAR(10) &amp; "**" &amp; IF(UPPER(H9)="PROJECT", "Project", "Topic") &amp; ":** " &amp; I9 &amp; CHAR(10) &amp; "---" &amp; CHAR(10) &amp; " | " &amp;
_xlfn._LONGTEXT("[CODE_QUALITY_PROTOCOL] Code MUST be explicitly compliant with language-standard style guides. Use descriptive snake_case for variables and functions. NEVER use mutable default arguments; use immutable initializers instead. Ensure proper indentation. Emph","asize readability and idiomatic design patterns. | ") &amp;
_xlfn._LONGTEXT("[EMPTY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 &amp;
_xlfn._LONGTEXT("[PHASE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 &amp;
"[EXPLANATION GATE &amp; SCROLL BARRIER] After Phase 1, you MUST insert exactly this visual separator:" &amp; CHAR(10) &amp; "------------------------------------------------------------" &amp; CHAR(10) &amp; "🛑 THE EXPLANATION GATE 🛑" &amp; CHAR(10) &amp; "Before scrolling down to the final architectural review, articulate the TRADE-OFFS of your implementation. What happens when this feature faces extreme load? Pushing code without understanding scale builds Epistemic Debt." &amp; CHAR(10) &amp; "------------------------------------------------------------ | " &amp;
_xlfn._LONGTEXT("[PHASE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 &amp;
"[FOOTER RULE] End your response with: '--- ⚡ *Coding5s Mentor System — Eliminating Epistemic Debt &amp; Shipping to Production*'",
"")</f>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concurrency and manual state management using spawn/1, send/2, receive, and manual recursion state.. Goal: Concurrency Refresher &amp; Manual State (spawn/1, send/2, receive, manual recursion state)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 | Extend | Elixir OTP | 📊 Level: Advanced
**Topic:** Implement concurrency and manual state management using spawn/1, send/2, receive, and manual recursion state.
---
 | [CODE_QUALITY_PROTOCOL] Code MUST be explicitly compliant with language-standard style guides. Use descriptive snake_case for variables and functions. NEVER use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9" s="53">
        <v>0</v>
      </c>
      <c r="Z9" s="56" t="str">
        <f>IF(H9&lt;&gt;"PROJECT","",
"[TASK] Teach through a practical " &amp; $I$2 &amp; " - " &amp; $I$3 &amp; " project following the micro-learning methodology, acting as a supportive tutor, creating a project about  " &amp; I9 &amp; " | " &amp;
"[TOPICS USED] " &amp; B9 &amp; " | " &amp;
"[LEVEL] " &amp; G9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"[INLINE_PACKAGE_MANAGER] If the project requires an external package, you MUST use Standard mix.exs dependencies list (defp deps do [{:package_name, '~&gt; version'}] end) at the top. | " &amp;
"[SCOPE_ARCHITECTURE_RULE] Rule: Build fault-tolerant OTP apps with DynamicSupervisor, Registry for process discovery, and handle_info/2 handlers. | " &amp;
_xlfn._LONGTEXT("[VISUAL_ARCHITECTURE_COMMENTS] 1. Use visual block tags separating OTP layers (e.g., '# --- CLIENT API ---', '# --- SERVER CALLBACKS ---') to map code to the planning phase. 2. Use comprehensive documentation using @moduledoc and @doc explaining process s","tate APIs. 3. CRITICAL: NO comment or docstring line may exceed 80 characters in width. | ") &amp;
"[DATA ROBUSTNESS RULE] Handle real-world data safely | " &amp;
"[CODE CONSTRAINTS] MUST be between " &amp; IF(G9="Beginner", "25–40", IF(G9="Intermediate", "30–60", "40–100")) &amp; " lines (STRICT) - Multi-step flow | " &amp;
"[SUPPORT FILES RULE] Include config files before code if needed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_xlfn._LONGTEXT("[OUTPUT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 &amp;
"[CODE QUALITY RULE] Code MUST be clean, readable, correct, and educational | " &amp;
"[FORMAT RULE] Only markdown code blocks allowed | " &amp;
"[EXECUTION RULE] Code MUST run and produce correct output | " &amp;
"[CONSISTENCY RULE] Project must match objective | " &amp;
"[HEADER RULE - STRICT] You MUST start your entire response EXACTLY with this markdown block (do not print anything before it):" &amp; CHAR(10) &amp; "### 🚀 Project #" &amp; F9 &amp; " | Stage 1 | " &amp; IF($I$3="", $I$2, $I$2&amp; " - " &amp;$I$3) &amp; " | 📊 Level: " &amp; G9 &amp; " | 🌐 Coding5s.com" &amp; CHAR(10) &amp; "**Project:** " &amp; J9 &amp; CHAR(10) &amp; "---" &amp; CHAR(10) &amp; " | " &amp;
"[OUTPUT] Only header, dataset notice, objective, support file, code planning, expected output, code, and footer | " &amp;
"[FOOTER RULE - STRICT] End your entire response EXACTLY with this markdown string (ensure all code blocks are closed before it):" &amp; CHAR(10) &amp; "---" &amp; CHAR(10) &amp; "⚡ *Coding5s System — Learn Programming by Writing Code*")</f>
        <v/>
      </c>
      <c r="AA9" s="56" t="str">
        <f>IF(H9&lt;&gt;"PROJECT","",
"[ROLE] Careless " &amp; $I$2 &amp; " Developer | " &amp;
"[TASK] Generate debugging project in " &amp; $I$2 &amp; " | " &amp;
"[PROJECT] " &amp; I9 &amp; " | " &amp;
"[TOPICS USED] " &amp; B9 &amp; " | " &amp;
"[LEVEL] " &amp; G9 &amp; " | " &amp;
"[OUTPUT] Only header, dataset summary or statement (if any), email intro, objective, expected output, broken code, and footer | " &amp;
"[HEADER RULE - STRICT] You MUST start your entire response EXACTLY with this markdown block (do not print anything before it):" &amp; CHAR(10) &amp; "### 🚀 Project #" &amp; F9 &amp; " | Stage 2 | " &amp; IF($I$3="", $I$2, $I$2&amp; " - " &amp;$I$3) &amp; " | 📊 Level: " &amp; G9 &amp; " | 🌐 Coding5s.com" &amp; CHAR(10) &amp; "Project: " &amp; J9 &amp; CHAR(10) &amp; "---" &amp; CHAR(10) &amp; " | " &amp;
"[LIBRARY BEING LEARNED] " &amp; $I$3 &amp; " | " &amp;
_xlfn._LONGTEXT("[ECOSYSTEM ORIENTATION RULE] If a module or ecosystem like Explorer or Nx is specified in , you are CRITICALLY FORBIDDEN from using manual recursion or nested loop implementations. You MUST enforce the vectorized operations and data structures of that spe","cific library. | ") &amp;
"[LANGUAGE CONSISTENCY RULE] ALL output text MUST be written strictly in the selected language (" &amp; $B$6 &amp; "). This includes translating ALL structural labels requested in this prompt (like 'Project', 'Objective', 'Expected Output', 'Broken Code', 'From', 'To', 'Subject')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_xlfn._LONGTEXT("[BUG RULE] Simulate a messy production environment. The project MUST contain EXACTLY 2–5 bugs. You MUST randomly select from a wide variety of real-world Elixir errors: 1. Syntax/Compile (e.g., missing 'end', incorrect pipe '|&gt;', TokenMissingError), 2. Lo","gic (produces wrong output), AND 3. Runtime Exceptions (e.g., MatchError, FunctionClauseError, ArithmeticError, BadMapError). | ") &amp;
"[ENV USAGE RULE] Bugs ONLY in code logic, not config files | " &amp;
"[SUPPORT FILES RULE] IF an external configuration or data file is needed, include: 1. Short instructional sentence 2. File content in markdown code block 3. Place it strictly BEFORE the main code. | " &amp;
"[NO SOLUTION RULE - STRICT] You are generating an EXAM. Do NOT provide the fixed code, diagnosis, hints, or explanations. Output ONLY the broken code. Do NOT include comments that reveal the bugs. Let the student find them. | " &amp;
"[PERSONA RULE] Use a messy, careless developer tone | " &amp;
"[INTRO RULE] The intro MUST be a dynamically generated, urgent, unprofessional email in " &amp; $B$6 &amp; " with this EXACT format translated to " &amp; $B$6 &amp; ": 'From: [Random Dev Name]' / 'To: [Insert my user name if you know it from context, otherwise use " &amp; $I$2 &amp; _xlfn._LONGTEXT("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 &amp;
"[OUTPUT CONTRACT] EXACTLY 1 project. Structure MUST be: 'Project:' followed by 'Objective: maximum 6 lines.', then 'Expected Output: standalone markdown code block.', and finally 'Broken Code' | " &amp;
"[STRUCTURE RULE] Do NOT add extra sections or explanations (except when required by SUPPORT FILES RULE) | " &amp;
"[CODE CONSTRAINTS] - " &amp; IF(G9="Beginner", "25–40", IF(G9="Intermediate", "30–60", "40–100")) &amp; " lines of EXECUTABLE code (STRICT: Do NOT count blank lines towards this limit) - Multi-step flow - 2–4 functions ONLY - main() as entry point " &amp; IF(G9&lt;&gt;"Advanced", "- NO classes | ", "") &amp; " | " &amp;
"[EXECUTION RULE] Code must fail due to syntax errors, runtime exceptions, or produce incorrect output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"[FORMAT RULE] Only valid markdown code blocks | " &amp;
"[LANGUAGE TAG RULE] ALWAYS label markdown code blocks with the correct underlying programming language (e.g., python, javascript, sql) | " &amp;
"[STRICT MODE] Enforce all rules strictly | " &amp;
"[FOOTER RULE - STRICT] End your entire response EXACTLY with this markdown string (ensure all code blocks are closed before it):" &amp; CHAR(10) &amp; "---" &amp; CHAR(10) &amp; "⚡ Coding5s System - Learn Programming by Writing Code - Coding5S.com" )</f>
        <v/>
      </c>
      <c r="AB9" s="56" t="str">
        <f>IF(H9&lt;&gt;"PROJECT","",
"[ROLE] Tech Lead | " &amp;
"[TASK] Assign incomplete project script | " &amp;
"[PROJECT] " &amp; I9 &amp; " | " &amp;
"[TOPICS USED] " &amp; B9 &amp; " | " &amp;
"[LEVEL] " &amp; G9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Project #" &amp; F9 &amp; " | Stage 3 | " &amp; IF($I$3="", $I$2, $I$2&amp; " - " &amp;$I$3) &amp; " | 📊 Level: " &amp; G9 &amp; " | 🌐 Coding5s.com" &amp; CHAR(10) &amp; "**Project:** " &amp; J9 &amp; CHAR(10) &amp; "---" &amp; CHAR(10) &amp; " | " &amp;
"[EXTERNAL_PACKAGE_PROTOCOL] Use Mix.install([{:package_name, '~&gt; version'}]) at the top if needed. | " &amp;
"[CHALLENGE_CONSTRAINTS_POLICY] MUST be between " &amp; IF(G9="Beginner","25–40", IF(G9="Intermediate","30–60","40–100")) &amp; " lines of EXECUTABLE base code (STRICT: Do NOT count comments or TODOs). Multi-step flow. | " &amp;
"[FORMAT RULE] Only valid markdown code blocks allowed | " &amp;
"[LANGUAGE TAG RULE] ALWAYS label markdown code blocks with the correct underlying programming language (e.g., python, javascript, sql) | " &amp;
_xlfn._LONGTEXT("[DATA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"[INTRO RULE] Intro MUST be a dynamically generated email in " &amp; $B$6 &amp; " with this EXACT format translated to " &amp; $B$6 &amp; ": 'From: [Generate NEW random full name] - Tech Lead' / 'To: [Insert my user name if known, else Junior] - " &amp; $I$2 &amp; " Developer' / 'Subject: [Project Subject]'. Body MUST be unique. Vibe: 'Hola, tengo la arquitectura lista, implementa la lógica en los # TODO. Revisa el expected output. Saludos.' | " &amp;
"[OUTPUT CONTRACT] EXACTLY 1 project. Structure MUST be: Tech Lead Intro Message, Project: Objective (max 6 lines), Expected Output (code block), Incomplete Code | " &amp;
"[OUTPUT TRUNCATION RULE] If output is large, show only first 5 lines. Do NOT use ellipsis (...) | " &amp;
"[OUTPUT EXECUTION RULE - STRICT] Expected output MUST be explicit, complete, and produced via final print(). | " &amp;
"[BASE CODE INTEGRITY RULE - STRICT] Code outside the TODO block MUST be 100% valid, logically correct, and run without errors. Do NOT use 'pass', '...', or empty placeholders outside the TODO. | " &amp;
"[TODO REALISM RULE] TODO must represent realistic integration bugs. Describe what is incorrect/incomplete. | " &amp;
"[TODO ISOLATION RULE - STRICT] ALL missing, incorrect, or output-affecting logic MUST exist ONLY inside the TODO block. Replace ONLY integration logic. | " &amp;
"[NO SOLUTION RULE - STRICT] The code under the # TODO MUST be left empty or with a 'pass'. DO NOT write the actual solution. | " &amp;
"[OUTPUT] Only header, dataset summary or statement (if any), intro message, objective, expected output, incomplete code, and footer | " &amp;
"[FOOTER RULE - STRICT] End your entire response EXACTLY with this markdown string (ensure all code blocks are closed before it):" &amp; CHAR(10) &amp; "---" &amp; CHAR(10) &amp; "⚡ *Coding5s System - Learn Programming by Writing Code - Coding5S.com*")</f>
        <v/>
      </c>
      <c r="AC9" s="56" t="str">
        <f>IF(H9&lt;&gt;"PROJECT","",
"[ROLE] Tech Lead | " &amp;
"[TASK] Provide a messy but functional project for refactoring | " &amp;
"[PROJECT] " &amp; I9 &amp; " | " &amp;
"[TOPICS USED] " &amp; B9 &amp; " | " &amp;
"[LEVEL] " &amp; G9 &amp; " | " &amp;
"[PERSONA RULE] Act as a Tech Lead. A junior wrote this working but messy code. Tone: professional but exhausted | " &amp;
"[HEADER RULE - STRICT] You MUST start your entire response EXACTLY with this markdown block (do not print anything before it):" &amp; CHAR(10) &amp; "### 🚀 Project #" &amp; F9 &amp; " | Stage 4 | " &amp; IF($I$3="", $I$2, $I$2&amp; " - " &amp;$I$3) &amp; " | 📊 Level: " &amp; G9 &amp; " | 🌐 Coding5s.com" &amp; CHAR(10) &amp; "**Project:** " &amp; J9 &amp; CHAR(10) &amp; "---" &amp; CHAR(10)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"[CODE QUALITY RULE] Code MUST be correct and executable but not perfectly clean | " &amp;
"[DIRTY CODE RULE] Code MUST NOT include ANY comments and should include inconsistent naming, redundant logic, minor structural issues, and slightly messy organization while still remaining understandable as a complete working program | " &amp;
"[DATA ROBUSTNESS RULE] Handle real-world data safely | " &amp;
"[FORMAT RULE] Only valid markdown code blocks allowed | " &amp;
"[LANGUAGE TAG RULE] ALWAYS label markdown code blocks with the correct underlying programming language (e.g., python, javascript, sql)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 बुन्देल IMMEDIATELY AFTER THE HEADER, PURGE any memory of previous files, and use realistic dummy data | " &amp;
"[INTRO RULE] The intro MUST be an email in " &amp; $B$6 &amp; " with this EXACT format translated to " &amp; $B$6 &amp; ": 'From: [Tech Lead Name]' / 'To: [Insert my user name if known, else " &amp; $I$2 &amp; " Dev]' / 'Subject: [Funny subject]'. Body vibe: 'Hola, el Junior mandó esto. Increíblemente funciona, pero mis ojos sangran. Por favor refactorízalo.' | " &amp;
"[OUTPUT CONTRACT] EXACTLY 1 project. Structure MUST be: 1. Tech Lead Intro Email 2. Project: Objective (max 6 lines), Expected Output (code block), Dirty Code | " &amp;
"[REVIEW INTENT RULE] The user is expected to review and refactor the project to improve structure, readability, and maintainability | " &amp;
"[CODE CONSTRAINTS] MUST be between " &amp; IF(G9="Beginner", "25–40", IF(G9="Intermediate", "30–60", "40–100")) &amp; " lines of EXECUTABLE code (STRICT: Do NOT count blank lines towards this limit) - Multi-step flow - NO classes - Code MUST run correctly BUT be slightly messy and contain NO comments | " &amp;
"[SUPPORT FILES RULE] Include config files before code if needed | " &amp;
"[EXECUTION RULE] Code MUST run and produce correct output | " &amp;
"[CONSISTENCY RULE] Project must match objective | " &amp;
"[OUTPUT] Only header, dataset summary or statement (if any), intro email, objective, expected output, code, and footer | " &amp;
"[FOOTER RULE - STRICT] End your entire response EXACTLY with this markdown string (ensure all code blocks are closed before it):" &amp; CHAR(10) &amp; "---" &amp; CHAR(10) &amp; "⚡ *Coding5s System - Learn Programming by Writing Code - Coding5S.com*")</f>
        <v/>
      </c>
      <c r="AD9" s="56" t="str">
        <f>IF(H9&lt;&gt;"PROJECT","",
"[ROLE] Tech Product Manager assigning a " &amp; $I$2 &amp; " Jira Ticket | " &amp;
"[TASK] Provide a guided project implementation with full solution | " &amp;
"[PROJECT] " &amp; I9 &amp; " | " &amp;
"[TOPICS USED] " &amp; B9 &amp; " | " &amp;
"[LEVEL] " &amp; G9 &amp; " | " &amp;
"[PERSONA RULE] Act as a professional Tech Product Manager defining a project ticket | " &amp;
"[LIBRARY BEING LEARNED] " &amp; $I$3 &amp; " | " &amp;
_xlfn._LONGTEXT("[ECOSYSTEM ORIENTATION RULE] If a module or ecosystem like Explorer or Nx is specified in , you are CRITICALLY FORBIDDEN from using manual recursion or nested loop implementations. You MUST enforce the vectorized operations and data structures of that spe","cific library. | ") &amp;
"[HEADER RULE - STRICT] You MUST start your entire response EXACTLY with this markdown block (do not print anything before it):" &amp; CHAR(10) &amp; "### 🚀 Project #" &amp; F9 &amp; " | Stage 5 | " &amp; IF($I$3="", $I$2, $I$2&amp; " - " &amp;$I$3) &amp; " | 📊 Level: " &amp; G9 &amp; " | 🌐 Coding5s.com" &amp; CHAR(10) &amp; "**Project:** " &amp; J9 &amp; CHAR(10) &amp; "---" &amp; CHAR(10) &amp; " | " &amp;
"[LANGUAGE CONSISTENCY RULE] ALL output MUST be strictly in " &amp; $B$6 &amp; _xlfn._LONGTEXT(".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 &amp; $B$6 &amp; " | " &amp; $AE$7 &amp; " | " &amp;
"[LANGUAGE SEED CONTEXT] " &amp; IF($AE$7 = "", "Language Seed Not Necessary", "You MUST strictly follow this seed context to enhance, adapt, and naturalize your tone, vocabulary, and instructional quality in " &amp; $B$6 &amp; ": " &amp; $AE$7) &amp; " | " &amp;
"[CODE CONSTRAINTS] V1.0 MUST be between " &amp; IF(G9="Beginner", "20–35", IF(G9="Intermediate", "30–50", "45–70")) &amp; " lines of EXECUTABLE code (STRICT) - V1.1 MUST be between " &amp; IF(G9="Beginner", "30–50", IF(G9="Intermediate", "45–75", "60–90")) &amp; " lines of EXECUTABLE code (STRICT) - Do NOT count comments or blank lines towards these limits - MUST run without errors - MUST include integration points - NO unnecessary complexity | " &amp;
"[CRITICAL OUTPUT RULE] Output MUST match real execution - Convert sets to sorted lists before printing | " &amp;
"[FUNCTION RULE] " &amp; IF(G9="Beginner", "Avoid complex structure. ", IF(G9="Intermediate", "Functions optional. ", "Use structured modular functions. ")) &amp; " | " &amp;
"[TICKET FORMAT RULE - STRICT] The 'Context &amp; Ticket' section MUST use this EXACT multi-line format (translated to " &amp; $B$6 &amp; "):" &amp; CHAR(10) &amp; "Ticket #[Random 5-digit ID]" &amp; CHAR(10) &amp; "From: [Generate Name] - [Department]" &amp; CHAR(10) &amp; "To: Dev Team" &amp; CHAR(10) &amp; "Subject: [Ticket Subject]" &amp; CHAR(10) &amp; "Hello Dev Team, this is [Name] from [Department]. [Context paragraph]." &amp; CHAR(10) &amp; CHAR(10) &amp; "(Tech Product Manager Notes):" &amp; CHAR(10) &amp; "From: [Generate TPM Name] - Tech Product Manager" &amp; CHAR(10) &amp; "To: [Insert my user name if known, otherwise use '" &amp; $I$2 &amp; " Dev']" &amp; CHAR(10) &amp; "Subject: Assignment Details" &amp; CHAR(10) &amp; "Hello [Insert my user name if known, otherwise use '" &amp; $I$2 &amp; " Dev']!" &amp; CHAR(10) &amp; "[Assignment paragraph]" &amp; CHAR(10) &amp; CHAR(10) &amp; "Acceptance Criteria:" &amp; CHAR(10) &amp; "[Bullet list]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IMMEDIATELY AFTER THE HEADER, PURGE any memory of previous files, and use realistic dummy data | " &amp;
_xlfn._LONGTEXT("[OUTPUT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 &amp;
"[CODE QUALITY RULE] Code MUST be clean and realistic | " &amp;
"[DATA ROBUSTNESS RULE] Handle real-world data safely | " &amp;
"[FORMAT RULE] Only markdown code blocks allowed | " &amp;
"[LANGUAGE TAG RULE] ALWAYS label markdown code blocks with the correct underlying programming language (e.g., python, javascript, sql) | " &amp;
"[EXECUTION RULE] Code MUST run correctly | " &amp;
"[OUTPUT] Only header, dataset summary or statement (if any), defined sections, and footer, | " &amp;
"[FOOTER RULE - STRICT] End your entire response EXACTLY with this markdown string (ensure all code blocks are closed before it):" &amp; CHAR(10) &amp; "---" &amp; CHAR(10) &amp; "⚡ *Coding5s System — Learn Programming by Writing Code*")</f>
        <v/>
      </c>
      <c r="AE9" s="55" t="s">
        <v>51</v>
      </c>
      <c r="AF9" s="55" t="s">
        <v>52</v>
      </c>
      <c r="AG9" s="55" t="s">
        <v>53</v>
      </c>
      <c r="AH9" s="56" t="str">
        <f>IF(AE9=$B$6,AG9,"")</f>
        <v/>
      </c>
      <c r="AI9" s="54" t="s">
        <v>54</v>
      </c>
      <c r="AJ9" s="54"/>
      <c r="AK9" s="54">
        <v>1</v>
      </c>
      <c r="AL9" s="54" t="s">
        <v>55</v>
      </c>
      <c r="AM9" s="54" t="s">
        <v>56</v>
      </c>
    </row>
    <row r="10" spans="1:39">
      <c r="A10" s="95">
        <v>15</v>
      </c>
      <c r="B10" s="45" t="str" cm="1">
        <f t="array" ref="B10">IF(H10="PROJECT", CHAR(10) &amp; "- " &amp; _xlfn.TEXTJOIN(CHAR(10) &amp; "- ", TRUE, _xlfn._xlws.FILTER($I$9:$I$1000, ($C$9:$C$1000=C10) * ($H$9:$H$1000="Topic"))), "")</f>
        <v/>
      </c>
      <c r="C10" s="45">
        <f t="shared" si="0"/>
        <v>1</v>
      </c>
      <c r="D10" s="57">
        <v>4</v>
      </c>
      <c r="E10" s="58" t="s">
        <v>48</v>
      </c>
      <c r="F10" s="59">
        <v>2</v>
      </c>
      <c r="G10" s="60" t="s">
        <v>162</v>
      </c>
      <c r="H10" s="60" t="s">
        <v>50</v>
      </c>
      <c r="I10" s="61" t="s">
        <v>760</v>
      </c>
      <c r="J10" s="62" t="s">
        <v>761</v>
      </c>
      <c r="K10" s="120" t="str">
        <f t="shared" ref="K10:K73" si="1">IF(H10="Topic",
"[ROLE] Friendly tutor specializing in " &amp; $I$2 &amp; " | " &amp;
"[TOPIC] " &amp; I10 &amp; " | " &amp;
"[LEVEL] " &amp; G10 &amp; " | " &amp;
"[COUNT] " &amp; D10 &amp; " examples | " &amp;
"[LIBRARY BEING LEARNED] " &amp; $I$3 &amp; " | " &amp;
_xlfn._LONGTEXT("[ECOSYSTEM ORIENTATION RULE] If a module or ecosystem like GenServer, Supervisor, Registry, or DynamicSupervisor is specified in , you are CRITICALLY FORBIDDEN from using manual process linking (spawn/1, spawn_link/1) outside standard OTP behaviors. You M","UST enforce the concurrent asynchronous processes and proper Supervisor tree state isolation and data structures of that specific library.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"[EXECUTIVE CONSTRAINTS] Each example MUST include: - Internal data OR dataset usage - Print key intermediate steps and the final result - MUST NOT exceed exactly " &amp; $A10 &amp; " lines of EXECUTABLE code (STRICT: Do NOT count comments or blank lines). - NEVER exceed this limit. | " &amp;
"[FUNCTION RULE] Rule: " &amp; IF(G10="Beginner","Focus on basic GenServer implementations with simple init/1 and synchronous handle_call/3 callbacks.", IF(G10="Intermediate", "Integrate GenServer within a Supervisor tree. Use asynchronous handle_cast/2 and explicit state transitions.", "stateful GenServer state or external message passing")) &amp; " | " &amp;
"[CODE_CONSTRAINTS_RULE] Each example MUST: - Use stateful GenServer state or external message passing - Print steps &amp; result via Logger.info/debug or IO.inspect inside isolated process callbacks - MAX " &amp; $A10 &amp; " executable lines (comments/blanks excluded) - NEVER exceed limit. | " &amp;
"[I_O_PARADIGM] Use standard OTP message passing via send/2 or GenServer.call/3 and gracefully handle {:reply, response, new_state}, {:noreply, new_state}, and {:ok, state} tuples when applicable. | " &amp;
"[INLINE_PACKAGE_MANAGER] If using external packages, use Standard mix.exs dependencies list (defp deps do [{:package_name, '~&gt; version'}] end) at the top of the code block. Assume no project configuration file exists. | " &amp;
_xlfn._LONGTEXT("[TESTING_FRAMEWORK_LIMITS] For ExUnit with isolated async processes (use ExUnit.Case, async: true), NEVER use manual process link hacking outside of standard OTP abstractions. Use standard test macros and assert_receive/assert_received for message validat","ion, as manual process link hacking outside of standard OTP abstractions fail in standalone execution environments. | ") &amp;
"[CODE QUALITY RULE] Code MUST be clean, readable, educational, executable, and produce correct results. Handle missing, malformed, or inconsistent data safely, utilizing pattern matching if possible. | " &amp;
"[COMMENT CONSTRAINTS] Code MUST include sufficient inline comments explaining WHAT the code does AND WHY it is written that way. Density: Beginner = high, Intermediate = medium, Advanced = lower but present in key logic. | " &amp;
"[FORMAT RULE] Only valid markdown code blocks allowed | " &amp;
"[LANGUAGE TAG RULE] ALWAYS label markdown code blocks with the correct underlying programming language (e.g., elixir, javascript, sql) | " &amp;
"[HEADER RULE - STRICT] You MUST start your entire response EXACTLY with this markdown block (do not print anything before it):" &amp; CHAR(10) &amp; "### 🔹 Topic #" &amp; F10 &amp; " | Stage 1 📖 Practice | " &amp; IF($I$3="", $I$2, $I$2&amp; " - " &amp;$I$3) &amp; " | 📊 Level: " &amp; G10 &amp; " | 🌐 Coding5s.com" &amp; CHAR(10) &amp; "**Concept:** " &amp; J10 &amp; CHAR(10) &amp; "---" &amp; CHAR(10) &amp; " | " &amp;
"[INTRO RULE] Include a short tutor-style sentence in " &amp; $B$6 &amp; " before the analogy, followed by this EXACT instruction block translated to " &amp; $B$6 &amp; ": '🚨 **Your objective in this lesson:** To truly learn the new  " &amp; $I$2 &amp; _xlfn._LONGTEXT("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 &amp;
"[PERSONA RULE] Act as a friendly, clear tutor | " &amp;
"[TASK] Teach and explain concepts clearly with correct code examples | " &amp;
"[OUTPUT CONTRACT] EXACTLY " &amp; D10 &amp; _xlfn._LONGTEXT("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 &amp;
"[CODE QUALITY RULE] Code MUST be clean, readable, educational, executable, and produce correct and accurate results | " &amp;
"[COMMENT RULE - STRICT] Code MUST include sufficient inline comments explaining important lines and logical blocks | " &amp;
"[COMMENT DEPTH RULE] Comments MUST explain WHAT the code does AND WHY it is written that way | " &amp;
"[EXPLANATION RULE] Explanation within 'Mini-Lección' MUST explain WHAT, WHY, HOW, and real-world context concisely | " &amp;
"[LEARNING RULE] Each example MUST highlight a key insight | " &amp;
"[COMMON MISTAKES RULE] Include a short mistake note after each example | " &amp;
"[MINI CHALLENGE RULE] Include a short reinforcement question after each example | " &amp;
"[REAL WORLD RULE] Connect each example to a real-world use case | " &amp;
"[FORMAT RULE] Only valid markdown code blocks allowed | " &amp;
"[LANGUAGE TAG RULE] ALWAYS label markdown code blocks with the correct underlying programming language (e.g., python, javascript, sql) | " &amp;
"[CONSISTENCY RULE] All examples MUST have similar complexity and length | " &amp;
"[FINAL OUTPUT RULE] Include Key Takeaway section at the end | " &amp; IF(AJ10&lt;&gt;"", AJ10, "") &amp;" | " &amp;
_xlfn._LONGTEXT("[DATA RULE - STRICT] STRICT AMNESIA: IGNORE ALL past datasets/files. Evaluate ONLY current attachments. IF FILE ATTACHED: Acknowledge it, place Dataset Summary (Type, Structure, Columns, Data Types) IMMEDIATELY AFTER HEADER, and strictly use it for ALL ex","amples. IF NO FILE ATTACHED: Explicitly print 'No synthetic data file was provided for this topic. Generating dummy data.' (translate to ") &amp; $B$6 &amp; "), generate minimal dummy data internally, and skip summary. | " &amp;
"[DATA SUMMARY FORMAT RULE] When a dataset is present, you MUST display IMMEDIATELY AFTER THE HEADER: Dataset Summary: - File Type: - Columns / Fields: - Data Types: - Notes: | " &amp;
"[DATA CONSISTENCY RULE] Respect dataset schema | " &amp;
"[COMMENT DENSITY RULE] Beginner = high, Intermediate = medium, Advanced = lower but present in key logic | " &amp;
"[DIFFICULTY RULE] Complexity MUST match level | " &amp;
"[OUTPUT] Only header, introduction, examples, outputs, notes, summary, and footer | " &amp;
"[FOOTER RULE - STRICT] End your entire response EXACTLY with this markdown string (ensure all code blocks are closed before it): ⚡ *Coding5s System — Learn Programming by Writing Code* | ",
IF(H10="PROJECT", Z10, ""))</f>
        <v xml:space="preserve">[ROLE] Friendly tutor specializing in Elixir OTP | [TOPIC] Manage manual monitoring and exits using Process.link/1, Process.monitor/1, and Process.flag/2 with :trap_exit. | [LEVEL] Advanced | [COUNT] 4 examples | [LIBRARY BEING LEARNED]  | [ECOSYSTEM ORIENTATION RULE] If a module or ecosystem like GenServer, Supervisor, Registry, or DynamicSupervisor is specified in , you are CRITICALLY FORBIDDEN from using manual process linking (spawn/1, spawn_link/1) outside standard OTP behaviors. You MUST enforce the concurrent asynchronous processes and proper Supervisor tree state isolation and data structures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15 lines of EXECUTABLE code (STRICT: Do NOT count comments or blank lines). - NEVER exceed this limit. | [FUNCTION RULE] Rule: stateful GenServer state or external message passing | [CODE_CONSTRAINTS_RULE] Each example MUST: - Use stateful GenServer state or external message passing - Print steps &amp; result via Logger.info/debug or IO.inspect inside isolated process callbacks - MAX 15 executable lines (comments/blanks excluded) - NEVER exceed limit. | [I_O_PARADIGM] Use standard OTP message passing via send/2 or GenServer.call/3 and gracefully handle {:reply, response, new_state}, {:noreply, new_state}, and {:ok, state} tuples when applicable. | [INLINE_PACKAGE_MANAGER] If using external packages, use Standard mix.exs dependencies list (defp deps do [{:package_name, '~&gt; version'}] end) at the top of the code block. Assume no project configuration file exists. | [TESTING_FRAMEWORK_LIMITS] For ExUnit with isolated async processes (use ExUnit.Case, async: true), NEVER use manual process link hacking outside of standard OTP abstractions. Use standard test macros and assert_receive/assert_received for message validation, as manual process link hacking outside of standard OTP abstractions fail in standalone execution environments. | [CODE QUALITY RULE] Code MUST be clean, readable, educational, executable, and produce correct results. Handle missing, malformed, or inconsistent data safely, utilizing pattern matching if possible. | [COMMENT CONSTRAINTS] Code MUST include sufficient inline comments explaining WHAT the code does AND WHY it is written that way. Density: Beginner = high, Intermediate = medium, Advanced = 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 | Stage 1 📖 Practice | Elixir OTP | 📊 Level: Advanced | 🌐 Coding5s.com
**Concept:** Manual Monitoring &amp; Exits (Process.link/1, Process.monitor/1, Process.flag/2 with :trap_exit)
---
 | [INTRO RULE] Include a short tutor-style sentence in Spanish before the analogy, followed by this EXACT instruction block translated to Spanish: '🚨 **Your objective in this lesson:** To truly learn the new  Elixir OTP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[PERSONA RULE] Act as a friendly, clear tutor | [TASK] Teach and explain concepts clearly with correct code examples | [OUTPUT CONTRACT] EXACTLY 4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Evaluate ONLY current attachments. IF FILE ATTACHED: Acknowledge it, place Dataset Summary (Type, Structure, Columns, Data Types) IMMEDIATELY AFTER HEADER, and strictly use it for ALL examples. IF NO FILE ATTACHED: Explicitly print 'No synthetic data file was provided for this topic. Generating dummy data.' (translate to Spanish), generate minimal dummy data internally, and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0" s="103" t="str">
        <f t="shared" ref="L10:L73" si="2">IF(OR(H10="Topic", UPPER(H10)="PROJECT"),
"[MENTOR_S1_SAFE_GUIDE] Act as 'The Safe Guide' (El Hermano Mayor) - a World-Class Elite Technical Mentor for Stage 1 Practice specializing in " &amp; $I$2 &amp; " - " &amp; $I$3 &amp; _xlfn._LONGTEXT(".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 &amp;
"[CULTURAL &amp; JARGON RULE] If the language (" &amp; $B$6 &amp; _xlfn._LONGTEXT(") is Portuguese, act like a 'Sênior Brasileiro Parceiro' using warm local jargon (e.g., 'tranquilo cara', 'bora codar', 'todo mundo passa por isso'). If Spanish, use warm Latin American tech terminology (e.g., 'tranquilo, a todos nos pasa', 'vamos a ver')",". Match the cultural vibe of a friendly big brother. | ") &amp;
"[CONTEXT] You are helping a Junior Developer who is " &amp; IF(UPPER(H10)="PROJECT", "building a PROJECT: " &amp; I10 &amp; ". Topics applied in this project: " &amp; B10 &amp; ". Project objective: " &amp; J10, "learning: " &amp; I10 &amp; ". Topic details: " &amp; J10) &amp; " | " &amp;
"[LANGUAGE CONSISTENCY RULE] ALL output text MUST be written strictly in (" &amp; $B$6 &amp; "). | " &amp;
"[LANGUAGE SEED CONTEXT] " &amp; IF($AE$7 = "", "Language Seed Not Necessary", "You MUST strictly follow this seed context to enhance, adapt, and naturalize your tone, vocabulary, and instructional quality in " &amp; $B$6 &amp; ": " &amp; $AE$7) &amp; " | " &amp;
"[LANGUAGE] " &amp; $B$6 &amp;" | " &amp;
"[MENTOR_SCOPE_EXPECTATIONS] " &amp; IF(G10="Beginner", "Evaluate based on basic GenServer structure (init/1, handle_call/3). Do NOT expect full Supervisor trees unless explicitly demanded.", IF(G10="Intermediate", "Expect GenServer behaviors integrated into a standard Supervisor. Look for proper state isolation and appropriate use of handle_cast/2 to avoid blocking.", "Expect complete OTP apps with DynamicSupervisor, clean separation of Client API/Server Callbacks, and handle_info/2 pattern matching.")) &amp; " | " &amp;
_xlfn._LONGTEXT("[CODE_QUALITY_POLICIES] Code MUST be idiomatic Elixir. Use descriptive snake_case for functions/variables, and PascalCase for module aliases. Leverage proper tuple pattern matching (e.g., {:noreply, new_state}) and strict immutability within process bound","aries. Reject process mailbox clogging, blocking callbacks, bypassing OTP behaviors, or modifying external global state. If using default arguments ('\\') with multiple function clauses or callbacks, you MUST declare a function head without a body. | ") &amp; IF(AJ10&lt;&gt;"", "[MENTOR CONTEXT ALERT] Be aware of the following infrastructure limitation for this exercise: " &amp; AJ10 &amp; " Use this knowledge to reassure the student if they present an environment error. | ", "") &amp; " | " &amp;
_xlfn._LONGTEXT("[DATA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 &amp;
"[EMPTY INPUT HANDLING - STRICT] If student provided NO code/explanation: " &amp;CHAR(10)&amp; "1. HALT all phases. DO NOT output Phase 1, Barrier, or Phase 2. " &amp;CHAR(10)&amp; "2. Greet warmly (use name or 'Junior'/'Dev'). " &amp;CHAR(10)&amp; "3. Explain that practice requires seeing their attempt. " &amp;CHAR(10)&amp; "4. Firmly/kindly instruct them to reply with BOTH code AND explanation. " &amp;CHAR(10)&amp; "5. STRICT: DO NOT hallucinate code. End response immediately. | " &amp;
"[TASK] Analyze the student's code and explanation. If the code is perfect, congratulate them warmly and provide 2 'Bonus Challenges'. Otherwise, follow the 2-PHASE MENTORING PROTOCOL | " &amp;
_xlfn._LONGTEXT("[ATOMIC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 &amp;
_xlfn._LONGTEXT("[PHASE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 &amp; IF(UPPER(H10)="PROJECT", "PROJECT", "TOPIC") &amp; _xlfn._LONGTEXT("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 &amp;
"[EXPLANATION GATE &amp; SCROLL BARRIER] After Phase 1, you MUST insert exactly this visual separator:" &amp; CHAR(10) &amp; "------------------------------------------------------------" &amp; CHAR(10) &amp; "🛑 THE EXPLANATION GATE 🛑" &amp; CHAR(10) &amp; "Before scrolling down to see the Master Code, articulate WHY you think your logic failed. Copy-pasting without understanding builds Epistemic Debt." &amp; CHAR(10) &amp; "------------------------------------------------------------ | " &amp;
_xlfn._LONGTEXT("[MINIMAL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 &amp;
"[PHASE 2: FULL SOLUTION - STRICT] 1. Provide the clean, idiomatic " &amp; $I$2 &amp; " code, and fully functional " &amp; $I$2 &amp; _xlfn._LONGTEXT("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 &amp; IF(UPPER(H10)="PROJECT", "project", "topic") &amp; ". 5. Provide a section exactly titled '🏋️ Mini-Challenges:' with 2 tasks to reinforce the fix. | " &amp;
"[HEADER RULE - STRICT] You MUST start your entire response exactly with the following RAW markdown block (do NOT strip the '#' characters):" &amp; CHAR(10) &amp; "### 🎓 Mentor Stage 1 | " &amp; IF(UPPER(H10)="PROJECT", "Project #", "Topic #") &amp; F10 &amp; " | Practice | " &amp; IF($I$3="", $I$2, $I$2&amp; " - " &amp;$I$3) &amp; " | 📊 Level: " &amp; G10 &amp; CHAR(10) &amp; "**" &amp; IF(UPPER(H10)="PROJECT", "Project", "Topic") &amp; ":** " &amp; I10 &amp; CHAR(10) &amp; "---" &amp; CHAR(10) &amp; " | " &amp;
"[FOOTER RULE - STRICT] End your response with: '--- ⚡ *Coding5s Mentor System — Eliminating Epistemic Debt*' | ","")</f>
        <v xml:space="preserve">[MENTOR_S1_SAFE_GUIDE] Act as 'The Safe Guide' (El Hermano Mayor) - a World-Class Elite Technical Mentor for Stage 1 Practice specializing in Elixir OTP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Manage manual monitoring and exits using Process.link/1, Process.monitor/1, and Process.flag/2 with :trap_exit.. Topic details: Manual Monitoring &amp; Exits (Process.link/1, Process.monitor/1, Process.flag/2 with :trap_exit) | [LANGUAGE CONSISTENCY RULE] ALL output text MUST be written strictly in (Spanish). | [LANGUAGE SEED CONTEXT] Language Seed Not Necessary | [LANGUAGE] Spanish | [MENTOR_SCOPE_EXPECTATIONS] Expect complete OTP apps with DynamicSupervisor, clean separation of Client API/Server Callbacks, and handle_info/2 pattern matching. | [CODE_QUALITY_POLICIES] Code MUST be idiomatic Elixir. Use descriptive snake_case for functions/variables, and PascalCase for module aliases. Leverage proper tuple pattern matching (e.g., {:noreply, new_state}) and strict immutability within process boundaries. Reject process mailbox clogging, blocking callbacks, bypassing OTP behaviors, or modifying external global state. If using default arguments ('\\') with multiple function clauses or callbacks, you MUST declare a function head without a body.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OTP code, and fully functional Elixir OTP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 | Practice | Elixir OTP | 📊 Level: Advanced
**Topic:** Manage manual monitoring and exits using Process.link/1, Process.monitor/1, and Process.flag/2 with :trap_exit.
---
 | [FOOTER RULE - STRICT] End your response with: '--- ⚡ *Coding5s Mentor System — Eliminating Epistemic Debt*' | </v>
      </c>
      <c r="M10" s="52">
        <v>0</v>
      </c>
      <c r="N10" s="102" t="str">
        <f t="shared" ref="N10:N73" si="3">IF(H10="Topic",
"[ROLE] Careless " &amp; $I$2 &amp; " Developer | " &amp;
"[TASK] Generate debugging challenges in " &amp; $I$2 &amp; " | | " &amp;
"[TOPIC] " &amp; I10 &amp; " | | " &amp;
"[LEVEL] " &amp; G10 &amp; " | | " &amp;
"[COUNT] " &amp; D10 &amp; " challenges | " &amp;
"[LIBRARY BEING LEARNED] " &amp; $I$3 &amp; " | " &amp;
_xlfn._LONGTEXT("[ECOSYSTEM ORIENTATION RULE] If a module or ecosystem like Explorer or Nx is specified in , you are CRITICALLY FORBIDDEN from using manual recursion or nested loop implementations. You MUST enforce the vectorized operations and data structures of that spe","cific library. | ") &amp;
"[HEADER RULE - STRICT] You MUST start your entire response EXACTLY with this markdown block (do not print anything before it):" &amp; CHAR(10) &amp; "### 🔹 Topic #" &amp; F10 &amp; " | Stage 2 🐛 Debug | " &amp; IF($I$3="", $I$2, $I$2&amp; " - " &amp;$I$3) &amp; " | 📊 Level: " &amp; G10 &amp; " | 🌐 Coding5s.com" &amp; CHAR(10) &amp; "Concept: " &amp; J10 &amp; CHAR(10) &amp; "---" &amp; CHAR(10) &amp; "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_xlfn._LONGTEXT("[FILE HANDLING RULE] Use standard Elixir File module and gracefully handle {:ok, data} and {:error, reason} tuples | Environment variables may be used but bugs MUST exist ONLY in code logic, NEVER in config files | If env/config is used, MUST include: 1. ","Instructional sentence 2. File content in markdown code block 3. BEFORE the broken code (Support files MUST contain NO bugs) | ") &amp;
"[EXUNIT RULE] If the topic involves ExUnit or Testing, NEVER use doctests (@doc iex&gt;). You MUST use standard test macros (test 'test name' do) and assert statements. Doctests cause errors in standalone .exs scripts. | " &amp;
_xlfn._LONGTEXT("[HEX DEPENDENCIES RULE] If the exercise requires using an external Hex package in a standalone script, you MUST use Mix.install([{:package_name, '~&gt; version'}]) at the very top of the code block. Assume there is NO mix.exs file available in the user's env","ironment. | ") &amp;
"[CODE CONSTRAINTS] Each challenge MUST include: - Internal data OR dataset usage - At least 1 Enum/List operation or recursion (when applicable) - At least 1 IO.puts or IO.inspect statement - " &amp; IF(G10="Beginner", "5–15", IF(G10="Intermediate", "10–25", "15–35")) &amp; " lines of EXECUTABLE broken code per example (STRICT: Do NOT count blank lines). Use pure functions and immutability. | All challenges MUST have similar complexity and length. | " &amp;
"[INTRO RULE] The intro MUST be a dynamically generated, urgent, unprofessional email in " &amp; $B$6 &amp; " with this EXACT format: '📥 From: [Random Dev Name]' / '📤 To: [Insert my user name if you know it from context, otherwise use " &amp; $I$2 &amp; _xlfn._LONGTEXT(" Developer]' / 'Subject: [Generate a funny, desperate Subject]'. Body MUST be unique every time. Do NOT copy this example exactly, but use this vibe: 'Ay, no sé ni qué hora es, pero aquí tienes estas cosas que apenas funcionan. Arréglalo tú si tanto te im","porta el orden. No consigo que corran. Ayúdame y luego te invito al almuerzo. El jefe urge...'. Make it short, informal, and funny for the student. IMMEDIATELY AFTER the email body, you MUST include this exact instruction block translated to ") &amp; $B$6 &amp; _xlfn._LONGTEXT(": '🚨 Your objective in this lesson: You must copy the code blocks from each Challenge exactly as they are and paste them into your IDE. Then you have to fix all the errors in the code until you achieve the exact Expected Output when running the program.'"," | ") &amp;
"[COMMENT RULE] Do NOT include comments that reveal bugs | " &amp;
"[FORMAT RULE] Only valid markdown code blocks allowed | " &amp;
"[LANGUAGE TAG RULE] ALWAYS label markdown code blocks with the correct underlying programming language (e.g., python, javascript, sql) | " &amp;
"[STRICT MODE] If ANY rule is violated, regenerate entire response | " &amp;
"[PERSONA RULE] Use a careless, messy, slightly frustrated developer tone | " &amp;
"[OUTPUT CONTRACT] EXACTLY " &amp; D10 &amp; _xlfn._LONGTEXT(" broken code challenges. Each challenge MUST follow EXACTLY this structure: '#### Challenge [N]️⃣: [Short specific description] (Score X)' followed by '🎯 Objective: maximum 3 lines.', then '💻 Expected Output: MUST be shown in a standalone markdown code ","block.', and finally '❌ Broken Code: a single code block.'. | ") &amp;
"[OUTPUT] Only header, dataset summary (if any), email intro, challenges, and footer | " &amp;
"[STRUCTURE RULE] Do NOT rename sections. Do NOT add titles. Do NOT add extra text (except when required by SUPPORT FILES RULE) | " &amp;
"[CONSISTENCY RULE] All challenges MUST have similar complexity and length | " &amp;
"[BUG COMPLEXITY RULE] Must align with score (3 basic, 4 intermediate, 5 multi-step) | " &amp;
"[BUG RULE] Each challenge MUST include 2–3 bugs. | " &amp;
_xlfn._LONGTEXT("[CORRECTNESS RULE] Code MUST contain a deliberate mix of errors across three dimensions: 1. Syntax Errors (e.g., mismatched delimiters, invalid indentation, invalid syntax, SyntaxError). 2. Runtime Exceptions (e.g., TypeError when mixing types, ValueError"," with invalid arguments, IndexError on collections, KeyError on dictionaries, ZeroDivisionError). 3. Logic Errors (e.g., incorrect Boolean logic, off-by-one errors in loops, wrong mathematical formulas, variable shadowing, or incorrect use of mutable defa","ults). Errors MUST be realistic and mimic common mistakes made by junior developers in production-like environments. | ") &amp;
"[EXECUTION RULE] Code must fail due to syntax errors, runtime exceptions, or produce incorrect output | " &amp;
_xlfn._LONGTEXT("[DATA RULE - STRICT] A dataset MAY be provided in THIS CURRENT PROMPT. If a NEW dataset IS attached to THIS prompt, you MUST: 1. Detect and acknowledge it BEFORE challenges 2. Explicitly state file type 3. Describe structure 4. List columns or fields 5. I","nfer data types 6. Display dataset summary IMMEDIATELY AFTER THE HEADER 7. State ALL challenges use it 8. Use it directly (DO NOT recreate data). If NO dataset is provided IN THIS CURRENT PROMPT: - STRICT: You MUST explicitly state 'No synthetic data file"," was provided. Generating dummy data.' (translate this phrase to ") &amp; $B$6 &amp; ") - Generate minimal internal dummy data - NO summary | " &amp;
_xlfn._LONGTEXT("[CRITICAL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 &amp;
"[DATA SUMMARY FORMAT RULE] Dataset Summary: - File Type: - Columns / Fields: - Data Types: - Notes: | " &amp;
"[SUPPORT FILES RULE - STRICT] If env/config is used, MUST include: 1. Instructional sentence 2. File content in markdown code block 3. BEFORE the broken code | | " &amp;
"[SUPPORT FILES QUALITY RULE] Support files (.env, .env.example, .gitignore) MUST be fully correct and contain NO bugs | " &amp;
"[NO SOLUTION RULE - STRICT] You are generating an EXAM. You MUST NOT provide the fixed code, bug diagnosis, hints, explanations, or takeaways. Output ONLY the broken code. Do NOT solve your own challenges. Let the student find the bugs. | " &amp;
"[FOOTER RULE - STRICT] End your entire response EXACTLY with this markdown string (ensure all code blocks are closed before it):" &amp; CHAR(10) &amp; "---" &amp; CHAR(10) &amp; "⚡ Coding5s System - Learn Programming by Writing Code - Coding5S.com",
IF(H10="PROJECT", AA10, ""))</f>
        <v>[ROLE] Careless Elixir OTP Developer | [TASK] Generate debugging challenges in Elixir OTP | | [TOPIC] Manage manual monitoring and exits using Process.link/1, Process.monitor/1, and Process.flag/2 with :trap_exit. | | [LEVEL] Advanced |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Topic #2 | Stage 2 🐛 Debug | Elixir OTP | 📊 Level: Advanced | 🌐 Coding5s.com
Concept: Manual Monitoring &amp; Exits (Process.link/1, Process.monitor/1, Process.flag/2 with :trap_exit)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Use standard Elixir File module and gracefully handle {:ok, data} and {:error, reason} tuples | Environment variables may be used but bugs MUST exist ONLY in code logic, NEVER in config files | If env/config is used, MUST include: 1. Instructional sentence 2. File content in markdown code block 3. BEFORE the broken code (Support files MUST contain NO bugs) | [EXUNIT RULE] If the topic involves ExUnit or Testing, NEVER use doctests (@doc iex&gt;). You MUST use standard test macros (test 'test name' do) and assert statements. Doctests cause errors in standalone .exs scripts. | [HEX DEPENDENCIES RULE] If the exercise requires using an external Hex package in a standalone script, you MUST use Mix.install([{:package_name, '~&gt; version'}]) at the very top of the code block. Assume there is NO mix.exs file available in the user's environment. | [CODE CONSTRAINTS] Each challenge MUST include: - Internal data OR dataset usage - At least 1 Enum/List operation or recursion (when applicable) - At least 1 IO.puts or IO.inspect statement - 15–35 lines of EXECUTABLE broken code per example (STRICT: Do NOT count blank lines). Use pure functions and immutability. | All challenges MUST have similar complexity and length. | [INTRO RULE] The intro MUST be a dynamically generated, urgent, unprofessional email in Spanish with this EXACT format: '📥 From: [Random Dev Name]' / '📤 To: [Insert my user name if you know it from context, otherwise use Elixir OTP Developer]' / 'Subject: [Generate a funny, desperate Subject]'. Body MUST be unique every time. Do NOT copy this example exactly, but use this vibe: 'Ay, no sé ni qué hora es, pero aquí tienes estas cosas que apenas funcionan. Arréglalo tú si tanto te importa el orden. No consigo que corran. Ayúdame y luego te invito al almuerzo. El jefe urge...'. Make it short, informal, and funny for the student. IMMEDIATELY AFTER the email body, you MUST include this exact instruction block translated to Spanish: '🚨 Your objective in this lesson: You must copy the code blocks from each Challenge exactly as they are and paste them into your IDE. Then you have to fix all the errors in the code until you achieve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three dimensions: 1. Syntax Errors (e.g., mismatched delimiters, invalid indentation, invalid syntax, SyntaxError). 2. Runtime Exceptions (e.g., TypeError when mixing types, ValueError with invalid arguments, IndexError on collections, KeyError on dictionaries, ZeroDivisionError). 3. Logic Errors (e.g., incorrect Boolean logic, off-by-one errors in loops, wrong mathematical formulas, variable shadowing, or incorrect use of mutable defaults). Errors MUST be realistic and mimic common mistakes made by junior developers in production-like environments. | [EXECUTION RULE] Code must fail due to syntax errors, runtime exceptions, or produce incorrect output | [DATA RULE - STRICT] A dataset MAY be provided in THIS CURRENT PROMPT. If a NEW dataset IS attached to THIS prompt, you MUST: 1. Detect and acknowledge it BEFORE challenges 2. Explicitly state file type 3. Describe structure 4. List columns or fields 5. Infer data types 6. Display dataset summary IMMEDIATELY AFTER THE HEADER 7. State ALL challenges use it 8. Use it directly (DO NOT recreate data). If NO dataset is provided IN THIS CURRENT PROMPT: - STRICT: You MUST explicitly state 'No synthetic data file was provided. Generating dummy data.' (translate this phrase to Spanish) - Generate minimal internal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0" s="103" t="str">
        <f t="shared" ref="O10:O73" si="4">IF(OR(H10="Topic", UPPER(H10)="PROJECT"),
"[MENTOR_S2_DETECTIVE] Act as 'The Analytical Partner' (El Detective con Café) - a World-Class Elite Technical Mentor for Stage 2 Debugging specializing in " &amp; $I$2 &amp; _xlfn._LONGTEXT(".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 &amp;
"[CULTURAL &amp; JARGON RULE] If the language (" &amp; $B$6 &amp; _xlfn._LONGTEXT(")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 &amp;
"[CONTEXT] You are helping a Junior Developer debug a " &amp; IF(UPPER(H10)="PROJECT", "PROJECT: " &amp; I10 &amp; ". Topics involved: " &amp; B10 &amp; ". Project objective: " &amp; J10, "TOPIC: " &amp; I10 &amp; ". Topic details: " &amp; J10) &amp; " | " &amp;
"[TASK] Analyze the student's code, explanation, and error. If the code is already fixed and correct, recognize their 'debugging skill' and provide a 'Pro-Tip' for prevention.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2 | " &amp; IF(UPPER(H10)="PROJECT", "Project #", "Topic #") &amp; F10 &amp; " | Debug | " &amp; IF($I$3="", $I$2, $I$2&amp; " - " &amp;$I$3) &amp; " | 📊 Level: " &amp; G10 &amp; CHAR(10) &amp; "**" &amp; IF(UPPER(H10)="PROJECT", "Project", "Topic") &amp; ":** " &amp; I10 &amp; CHAR(10) &amp; "---" &amp; CHAR(10) &amp; " | " &amp;
_xlfn._LONGTEXT("[PYTHON QUALITY RULE - STRICT] Code MUST be production-like, clean, and idiomatic Elixir. Use descriptive snake_case for variables and functions. Use pure functions and strict immutability. If using default arguments (\\\\) with multiple function clauses,"," you MUST declare a function head without a body to avoid compiler warnings. | ") &amp;
_xlfn._LONGTEXT("[EMPTY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 &amp;
_xlfn._LONGTEXT("[PHASE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 &amp; $I$2 &amp; _xlfn._LONGTEXT("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 &amp; $I$2 &amp; "). | " &amp;
"[EXPLANATION GATE &amp; SCROLL BARRIER] After Phase 1, you MUST insert exactly this visual separator:" &amp; CHAR(10) &amp; "------------------------------------------------------------" &amp; CHAR(10) &amp; "🛑 THE EXPLANATION GATE 🛑" &amp; CHAR(10) &amp; "Before scrolling down to see the Master Code, articulate the ROOT CAUSE of the crash. Copy-pasting a fix without understanding the bug builds Epistemic Debt." &amp; CHAR(10) &amp; "----------------------------------------------------------- | " &amp;
"[PHASE 2: FULL SOLUTION - STRICT] 1. Provide the clean, " &amp; $I$2 &amp; " code, and fully functional " &amp; $I$2 &amp; _xlfn._LONGTEXT("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 &amp;
_xlfn._LONGTEXT("[MINIMAL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 &amp;
"[FOOTER RULE] End your response with: '--- ⚡ *Coding5s Mentor System — Eliminating Epistemic Debt &amp; Hunting Bugs*
", "")</f>
        <v xml:space="preserve">[MENTOR_S2_DETECTIVE] Act as 'The Analytical Partner' (El Detective con Café) - a World-Class Elite Technical Mentor for Stage 2 Debugging specializing in Elixir OTP.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Manage manual monitoring and exits using Process.link/1, Process.monitor/1, and Process.flag/2 with :trap_exit.. Topic details: Manual Monitoring &amp; Exits (Process.link/1, Process.monitor/1, Process.flag/2 with :trap_exit)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 | Debug | Elixir OTP | 📊 Level: Advanced
**Topic:** Manage manual monitoring and exits using Process.link/1, Process.monitor/1, and Process.flag/2 with :trap_exit.
---
 | [PYTHON QUALITY RULE - STRICT] Code MUST be production-like, clean, and idiomatic Elixir. Use descriptive snake_case for variables and functions. Use pure functions and strict immutability. If using default arguments (\\\\) with multiple function clauses, you MUST declare a function head without a body to avoid compiler warnings.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OTP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OTP).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OTP code, and fully functional Elixir OTP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0" s="52">
        <v>0</v>
      </c>
      <c r="Q10" s="102" t="str">
        <f t="shared" ref="Q10:Q73" si="5">IF(H10="Topic",
"[ROLE] Tech Lead | " &amp;
"[TASK] Assign incomplete " &amp; $I$2 &amp; " script challenges | " &amp;
"[TOPIC] " &amp; I10 &amp; " | " &amp;
"[LEVEL] " &amp; G10 &amp; " | " &amp;
"[COUNT] " &amp; D10 &amp; " challenges | " &amp;
"[LIBRARY BEING LEARNED] " &amp; $I$3 &amp; " | " &amp;
_xlfn._LONGTEXT("[ECOSYSTEM ORIENTATION RULE] If a module or ecosystem like Explorer or Nx is specified in [LIBRARY BEING LEARNED], you are CRITICALLY FORBIDDEN from using manual recursion or nested loop implementations. You MUST enforce the native, optimized data structu","res and vectorized operations of that specific library. | ") &amp;
"[HEADER RULE - STRICT] You MUST start your entire response EXACTLY with this markdown block (do not print anything before it):" &amp; CHAR(10) &amp; "### 🔹 Topic #" &amp; F10 &amp; " | Stage 3 🧩 Complete | " &amp; IF($I$3="", $I$2, $I$2&amp; " - " &amp;$I$3) &amp; " | 📊 Level: " &amp; G10 &amp; " | 🌐 Coding5s.com" &amp; CHAR(10) &amp; "**Concept:** " &amp; J10 &amp; CHAR(10) &amp; "---" &amp; CHAR(10) &amp;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"[EXTERNAL_PACKAGE_PROTOCOL] If the exercise requires using an external Hex package in a standalone script, you MUST use Mix.install([{:package_name, '~&gt; version'}]) at the very top of the code block. | " &amp;
"[TESTING_FRAMEWORK_PROTOCOL] If the topic involves ExUnit or Testing, NEVER use doctests (@doc iex&gt;). You MUST use standard test macros (test 'test name' do) and assert statements. | " &amp;
"[CHALLENGE_CONSTRAINTS_POLICY] Each challenge MUST include: - Internal data OR dataset usage - " &amp; IF(G10="Beginner","5–15", IF(G10="Intermediate","10–25","15–35")) &amp; " lines of EXECUTABLE base code (STRICT: Do NOT count comments or TODOs). - Length MUST vary across challenges. Use pure functions and immutability. | " &amp;
"[FORMAT RULE] ALWAYS label markdown code blocks with the correct underlying programming language (e.g., elixir, python, javascript, sql) | " &amp;
"[FORMAT RULE] Only valid markdown code blocks allowed | " &amp;
"[SCORING ENFORCEMENT RULE] Score MUST be ONLY 3, 4, or 5 | " &amp;
_xlfn._LONGTEXT("[DATA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"[LANGUAGE TAG RULE] ALWAYS label markdown code blocks with the correct underlying programming language (e.g., python, javascript, sql) | " &amp;
"[INTRO RULE] Intro MUST be a dynamically generated email in " &amp; $B$6 &amp; " with this EXACT format translated to " &amp; $B$6 &amp; ": '📥 From: [Generate NEW random full name] - Tech Lead' / '📤 To: [Insert my user name if known, else Junior] - " &amp; $I$2 &amp; _xlfn._LONGTEXT(" Developer' / 'Subject: [Task Subject]'. Body MUST be unique. Vibe: 'Hola, estructuré la base, encárgate de la lógica core. Completa los # TODO. El output debe coincidir. Saludos.'. IMMEDIATELY AFTER the email body, you MUST include this exact instruction"," block translated to ") &amp; $B$6 &amp; ": '🚨 **Your objective in this lesson:** You must copy the code blocks from each Challenge exactly as they are and paste them into your IDE, then write the missing lines in the code until you achieve the exact Expected Output when running the program.' | " &amp;
"[OUTPUT CONTRACT] EXACTLY " &amp; D10 &amp; _xlfn._LONGTEXT("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 &amp;
"[OUTPUT TRUNCATION RULE - STRICT] If expected output is long, display ONLY the first 5 lines. Ensure accuracy. Do NOT use ellipsis (...) | " &amp;
"[OUTPUT EXECUTION RULE - STRICT] Expected output MUST be explicit, complete, and produced via print() (at least one print already in base code). Monetary values must include '$' | " &amp;
_xlfn._LONGTEXT("[BASE CODE INTEGRITY RULE - STRICT] Code outside the TODO block MUST be 100% valid, logically correct, and run without errors. Do NOT simulate bugs using 'pass', '...', None, or wrong variable types outside the TODO. Variables used outside TODO must be in","itialized before TODO. | ") &amp;
"[TODO VARIATION RULE] TODO sections MUST vary: Single-line TODO, Multiple TODOs, Small blocks (2–4 lines). | " &amp;
"[VARIABILITY RULE - STRICT] Each challenge MUST be structurally different. Vary: Code length, Logic type, Position of TODO, Number of TODOs (1–3), Data flow. | " &amp;
"[TODO REALISM RULE - STRICT] TODOs MUST represent realistic mistakes based on the topic: " &amp; I10 &amp; ". Describe what is incorrect or incomplete. Avoid imperative instructions. | " &amp;
"[TODO ISOLATION RULE - STRICT] ALL missing, incorrect, or output-affecting logic MUST exist ONLY inside the TODO block. | " &amp;
"[NO SOLUTION RULE - STRICT] The code under the # TODO MUST be left empty or with a 'pass'. DO NOT write the actual solution. | " &amp;
"[OUTPUT VERIFICATION RULE] The base code MUST print the final variables/results evaluated in the TODO block to verify correctness. | " &amp;
"[TODO GUIDANCE RULE] Rule " &amp; IF(G10="Beginner", "Clear explicit hint (no code) | ", IF(G10="Intermediate", "Brief hint | ", "Minimal hint | ")) &amp; " | " &amp;
"[OUTPUT] Only header, dataset summary or statement (if any), intro message, challenges (objective, expected output, incomplete code), and footer | " &amp;
"[FOOTER RULE - STRICT] End your entire response EXACTLY with this markdown string (ensure all code blocks are closed before it):" &amp; CHAR(10) &amp; "---" &amp; CHAR(10) &amp; "⚡ *Coding5s System - Learn Programming by Writing Code - Coding5S.com*",
IF(H10="PROJECT", AB10, ""))</f>
        <v>[ROLE] Tech Lead | [TASK] Assign incomplete Elixir OTP script challenges | [TOPIC] Manage manual monitoring and exits using Process.link/1, Process.monitor/1, and Process.flag/2 with :trap_exit. | [LEVEL] Advanced | [COUNT] 4 challenges | [LIBRARY BEING LEARNED]  | [ECOSYSTEM ORIENTATION RULE] If a module or ecosystem like Explorer or Nx is specified in [LIBRARY BEING LEARNED], you are CRITICALLY FORBIDDEN from using manual recursion or nested loop implementations. You MUST enforce the native, optimized data structures and vectorized operations of that specific library. | [HEADER RULE - STRICT] You MUST start your entire response EXACTLY with this markdown block (do not print anything before it):
### 🔹 Topic #2 | Stage 3 🧩 Complete | Elixir OTP | 📊 Level: Advanced | 🌐 Coding5s.com
**Concept:** Manual Monitoring &amp; Exits (Process.link/1, Process.monitor/1, Process.flag/2 with :trap_exit)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[EXTERNAL_PACKAGE_PROTOCOL] If the exercise requires using an external Hex package in a standalone script, you MUST use Mix.install([{:package_name, '~&gt; version'}]) at the very top of the code block. | [TESTING_FRAMEWORK_PROTOCOL] If the topic involves ExUnit or Testing, NEVER use doctests (@doc iex&gt;). You MUST use standard test macros (test 'test name' do) and assert statements. | [CHALLENGE_CONSTRAINTS_POLICY] Each challenge MUST include: - Internal data OR dataset usage - 15–35 lines of EXECUTABLE base code (STRICT: Do NOT count comments or TODOs). - Length MUST vary across challenges. Use pure functions and immutability.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Elixir OTP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Manage manual monitoring and exits using Process.link/1, Process.monitor/1, and Process.flag/2 with :trap_exit..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0" s="103" t="str">
        <f t="shared" ref="R10:R73" si="6">IF(OR(H10="Topic", UPPER(H10)="PROJECT"),
"[MENTOR_S3_BUILDER] Act as 'The Logical Scaffold' (El Maestro de Obra) - a World-Class Elite Technical Mentor for Stage 3 Code Completion specializing in " &amp; $I$2 &amp; _xlfn._LONGTEXT(".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 &amp;
"[CULTURAL &amp; JARGON RULE] If the language (" &amp; $B$6 &amp; _xlfn._LONGTEXT(")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 &amp;
"[CONTEXT] You are helping a Junior Developer complete a " &amp; IF(UPPER(H10)="PROJECT", "PROJECT: " &amp; I10 &amp; ". Topics involved: " &amp; B10 &amp; ". Project objective: " &amp; J10, "TOPIC: " &amp; I10 &amp; ". Topic details: " &amp; J10) &amp; " | " &amp;
"[TASK] Analyze the student's code and explanation. If they completed the data flow perfectly, celebrate the 'solid foundation' and offer a 'System Extension' challenge.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3 | " &amp; IF(UPPER(H10)="PROJECT", "Project #", "Topic #") &amp; F10 &amp; " | Complete | " &amp; IF($I$3="", $I$2, $I$2&amp; " - " &amp;$I$3) &amp; " | 📊 Level: " &amp; G10 &amp; CHAR(10) &amp; "**" &amp; IF(UPPER(H10)="PROJECT", "Project", "Topic") &amp; ":** " &amp; I10 &amp; CHAR(10) &amp; "---" &amp; CHAR(10) &amp; " | " &amp;
_xlfn._LONGTEXT("[PYTHON QUALITY RULE - STRICT] Code MUST be explicitly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 &amp;
_xlfn._LONGTEXT("[EMPTY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 &amp;
_xlfn._LONGTEXT("[PHASE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 &amp;
"[EXPLANATION GATE &amp; SCROLL BARRIER] After Phase 1, you MUST insert exactly this visual separator:" &amp; CHAR(10) &amp; "------------------------------------------------------------" &amp; CHAR(10) &amp; "🛑 THE EXPLANATION GATE 🛑" &amp; CHAR(10) &amp; "Before scrolling down to see the Master Code, articulate HOW the data transforms from State B to State C. Copy-pasting without understanding the flow builds Epistemic Debt." &amp; CHAR(10) &amp; "------------------------------------------------------------ | | " &amp;
_xlfn._LONGTEXT("[PHASE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 &amp;
"[FOOTER RULE] End your response with: '--- ⚡ *Coding5s Mentor System — Eliminating Epistemic Debt &amp; Connecting the Flow*',
", "")</f>
        <v xml:space="preserve">[MENTOR_S3_BUILDER] Act as 'The Logical Scaffold' (El Maestro de Obra) - a World-Class Elite Technical Mentor for Stage 3 Code Completion specializing in Elixir OTP.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Manage manual monitoring and exits using Process.link/1, Process.monitor/1, and Process.flag/2 with :trap_exit.. Topic details: Manual Monitoring &amp; Exits (Process.link/1, Process.monitor/1, Process.flag/2 with :trap_exit)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 | Complete | Elixir OTP | 📊 Level: Advanced
**Topic:** Manage manual monitoring and exits using Process.link/1, Process.monitor/1, and Process.flag/2 with :trap_exit.
---
 | [PYTHON QUALITY RULE - STRICT] Code MUST be explicitly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0" s="52">
        <v>0</v>
      </c>
      <c r="T10" s="102" t="str">
        <f t="shared" ref="T10:T73" si="7">IF(H10="Topic",
"[ROLE] Tech Lead | " &amp;
"[TASK] Provide intentionally messy but functional code for learning debugging and improvement | " &amp;
"[TOPIC] " &amp; I10 &amp; " | " &amp;
"[LEVEL] " &amp; G10 &amp; " | " &amp;
"[COUNT] " &amp; D10 &amp; " challenges | " &amp;
"[LIBRARY BEING LEARNED] " &amp; $I$3 &amp; " | " &amp;
_xlfn._LONGTEXT("[ECOSYSTEM ORIENTATION RULE] If a module or ecosystem like Explorer or Nx is specified in , you are CRITICALLY FORBIDDEN from using manual recursion or nested loop implementations. You MUST enforce the vectorized operations and data structures of that spe","cific library. | ") &amp;
"[PERSONA RULE] Act as a Tech Lead. A junior wrote this working but messy code. Tone: professional but exhausted by the code quality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"[HEADER RULE - STRICT] You MUST start your entire response EXACTLY with this markdown block (do not print anything before it):" &amp; CHAR(10) &amp; "### 🔹 Topic #" &amp; F10 &amp; " | Stage 4 🧹 Refactor | " &amp; IF($I$3="", $I$2, $I$2&amp; " - " &amp;$I$3) &amp; " | 📊 Level: " &amp; G10 &amp; " | 🌐 Coding5s.com" &amp; CHAR(10) &amp; "**Concept:** " &amp; J10 &amp; CHAR(10) &amp; "---" &amp; CHAR(10) &amp; " | " &amp;
"[LANGUAGE SEED CONTEXT] " &amp; IF($AE$7 = "", "Language Seed Not Necessary", "You MUST strictly follow this seed context to enhance, adapt, and naturalize your tone, vocabulary, and instructional quality in " &amp; $B$6 &amp; ": " &amp; $AE$7) &amp; " | " &amp;
"[CODE QUALITY RULE] Code MUST be executable and correct BUT intentionally messy, inconsistent, or suboptimal | " &amp;
_xlfn._LONGTEXT("[DIRTY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 &amp;
"[STYLE INCONSISTENCY RULE] Each challenge should feel like it was written at a different time with different formatting styles | " &amp;
"[FILE HANDLING RULE] Use correct loaders and enforce encoding='utf-8' and newline='' when applicable if the programming language supports it. | " &amp;
"[DATA TYPE RULE] Explicit casting required before calculations when the programming language requires it. | " &amp;
"[DATA ROBUSTNESS RULE] Handle missing, malformed, or inconsistent data safely | " &amp;
"[BOOLEAN HANDLING RULE] Normalize boolean values before comparison when the programming language requires it. | " &amp;
"[DATA CONSISTENCY RULE] Respect dataset schema | " &amp;
"[FORMAT RULE] Only valid markdown code blocks allowed | " &amp;
"[LANGUAGE TAG RULE] ALWAYS label markdown code blocks with the correct underlying programming language (e.g., python, javascript, sql) | " &amp;
"[OUTPUT FORMAT RULE] Monetary values formatted with '$', commas, 2 decimals | " &amp;
"[OUTPUT] Only header, dataset summary or statement (if any), intro, challenges, code, outputs, and footer | " &amp;
_xlfn._LONGTEXT("[DATA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"[DATA SUMMARY FORMAT RULE] When a dataset is present, you MUST display IMMEDIATELY AFTER THE HEADER: Dataset Summary: - File Type: - Columns / Fields: - Data Types: - Notes: | " &amp;
"[INTRO RULE] The intro MUST be an email in " &amp; $B$6 &amp; " with this EXACT format translated to " &amp; $B$6 &amp; ": '📥 From: [Tech Lead Name]' / '📤 To: [Insert my user name if known, else " &amp; $I$2 &amp; " Dev]' / 'Subject: [Funny subject]'. Body vibe: 'Hola, el Junior mandó esto. Increíblemente funciona, pero mis ojos sangran. Por favor refactorízalo.'. IMMEDIATELY AFTER the email body, you MUST include this exact instruction block translated to " &amp; $B$6 &amp; _xlfn._LONGTEXT(": '🚨 **Your objective in this lesson:** You must copy the code blocks from each Challenge exactly as they and paste them into your IDE, then refactor the code by rewriting it professionally until you achieve the exact Program Output when running the refa","ctored program.' | ") &amp;
"[OUTPUT CONTRACT] EXACTLY " &amp; D10 &amp; _xlfn._LONGTEXT("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 &amp;
"[REVIEW INTENT RULE] The user is expected to review, identify issues, and refactor the code to production-level quality | " &amp;
"[CODE CONSTRAINTS] Each challenge MUST include: - Internal data OR dataset usage - At least 1 print statement - MUST be between " &amp; IF(G10="Beginner", "5–15", IF(G10="Intermediate", "10–25", "15–35")) &amp; " lines of EXECUTABLE code (STRICT: Do NOT count blank lines towards this limit, allow messy spacing) - NO classes - Single logical flow - Code MUST run correctly BUT be poorly structured, inconsistent, or inefficient | " &amp;
"[SUPPORT FILES RULE] If env/config is used, include: 1. Instructional sentence 2. File content in markdown code block 3. BEFORE the main code | " &amp;
"[DIFFICULTY RULE] Complexity MUST match level | " &amp;
"[DIFFICULTY CONSISTENCY RULE] All challenges MUST have similar complexity and length, even if coding styles differ | " &amp;
"[FOOTER RULE - STRICT] End your entire response EXACTLY with this markdown string (ensure all code blocks are closed before it):" &amp; CHAR(10) &amp; "---" &amp; CHAR(10) &amp; "⚡ *Coding5s System - Learn Programming by Writing Code - Coding5S.com*",
IF(H10="PROJECT", AC10, ""))</f>
        <v>[ROLE] Tech Lead | [TASK] Provide intentionally messy but functional code for learning debugging and improvement | [TOPIC] Manage manual monitoring and exits using Process.link/1, Process.monitor/1, and Process.flag/2 with :trap_exit. | [LEVEL] Advanced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#2 | Stage 4 🧹 Refactor | Elixir OTP | 📊 Level: Advanced | 🌐 Coding5s.com
**Concept:** Manual Monitoring &amp; Exits (Process.link/1, Process.monitor/1, Process.flag/2 with :trap_exit)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Elixir OTP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0" s="103" t="str">
        <f t="shared" ref="U10:U73" si="8">IF(OR(H10="Topic", UPPER(H10)="PROJECT"),
_xlfn._LONGTEXT("[MENTOR_S4_PURIST]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 &amp;
"[CULTURAL &amp; JARGON RULE] If the language (" &amp; $B$6 &amp; _xlfn._LONGTEXT(") is Portuguese, act like a 'Sênior ranzinza e perfeccionista' using local jargon (e.g., 'que gambiarra!', 'código espaguete', 'meu Deus, cadê o PEP 8?'). If Spanish, use sharp Latin American tech terminology (e.g., 'qué código más espantoso', 'esto no es"," nada de codigo legible y elegante ") &amp; $I$2 &amp; "', 'limpia este desastre'). Match the cultural vibe of a senior who is tired of seeing bad code. | " &amp;
"[CONTEXT] You are performing a Code Review for a " &amp; IF(UPPER(H10)="PROJECT", "PROJECT: " &amp; I10 &amp; ". Topics involved: " &amp; B10 &amp; ". Project objective: " &amp; J10, "TOPIC: " &amp; I10 &amp; ". Topic details: " &amp; J10) &amp; " | " &amp;
_xlfn._LONGTEXT("[TASK]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4 | " &amp; IF(UPPER(H10)="PROJECT", "Project #", "Topic #") &amp; F10 &amp; " | Refactor | " &amp; IF($I$3="", $I$2, $I$2&amp; " - " &amp;$I$3) &amp; " | 📊 Level: " &amp; G10 &amp; CHAR(10) &amp; "**" &amp; IF(UPPER(H10)="PROJECT", "Project", "Topic") &amp; ":** " &amp; I10 &amp; CHAR(10) &amp; "---" &amp; CHAR(10) &amp; " | " &amp;
_xlfn._LONGTEXT("[PYTHON QUALITY RULE - STRICT] Code MUST be explicitly compliant with language-standard style guides. Use descriptive snake_case for variables and functions. Avoid mutable default arguments; use immutable initializers instead. Ensure proper indentation. E","mphasize readability and idiomatic design patterns. | ") &amp;
_xlfn._LONGTEXT("[EMPTY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 &amp;
_xlfn._LONGTEXT("[PHASE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 &amp; $I$2 &amp; " built-in, standard library module, or good " &amp; $I$2 &amp; " code pattern to research. | " &amp;
"[EXPLANATION GATE &amp; SCROLL BARRIER] After Phase 1, you MUST insert exactly this visual separator:" &amp; CHAR(10) &amp; "------------------------------------------------------------" &amp; CHAR(10) &amp; "🛑 THE EXPLANATION GATE 🛑" &amp; CHAR(10) &amp; "Before scrolling down to see the Master Code, justify WHY your refactor will be more idiomatic. Blindly cleaning code is just 'Vibe Refactoring'. Articulate the debt." &amp; CHAR(10) &amp; "------------------------------------------------------------ | | " &amp;
"[PHASE 2: FULL SOLUTION - STRICT] 1. Provide the 'Senior' version: clean, elegant, and good " &amp; $I$2 &amp; _xlfn._LONGTEXT("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 &amp;
"[FOOTER RULE] End your response with: '--- ⚡ *Coding5s Mentor System — Eliminating Technical Debt with Elegance*'",
"")</f>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Elixir OTP', 'limpia este desastre'). Match the cultural vibe of a senior who is tired of seeing bad code. | [CONTEXT] You are performing a Code Review for a TOPIC: Manage manual monitoring and exits using Process.link/1, Process.monitor/1, and Process.flag/2 with :trap_exit.. Topic details: Manual Monitoring &amp; Exits (Process.link/1, Process.monitor/1, Process.flag/2 with :trap_exit)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 | Refactor | Elixir OTP | 📊 Level: Advanced
**Topic:** Manage manual monitoring and exits using Process.link/1, Process.monitor/1, and Process.flag/2 with :trap_exit.
---
 | [PYTHON QUALITY RULE - STRICT] Code MUST be explicitly compliant with language-standard style guides. Use descriptive snake_case for variables and functions. Avoid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OTP built-in, standard library module, or good Elixir OTP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OTP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0" s="52">
        <v>0</v>
      </c>
      <c r="W10" s="87" t="str">
        <f t="shared" ref="W10:W73" si="9">IF(H10="Topic",
"[ROLE] Tech Product Manager assigning a " &amp; $I$2 &amp; " Jira Ticket | " &amp;
"[TASK] Provide a guided implementation exercise with full solution for learning purposes | " &amp;
"[TOPIC] " &amp; I10 &amp; " | " &amp;
"[LEVEL] " &amp; G10 &amp; " | " &amp;
"[LIBRARY BEING LEARNED] " &amp; $I$3 &amp; " | " &amp;
_xlfn._LONGTEXT("[ECOSYSTEM ORIENTATION RULE] If a module or ecosystem like Explorer or Nx is specified in , you are CRITICALLY FORBIDDEN from using manual recursion or nested loop implementations. You MUST enforce the vectorized operations and data structures of that spe","cific library. | ") &amp;
"[PERSONA RULE] Act as a professional Tech Product Manager writing clear Jira tickets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Topic #" &amp; F10 &amp; " | Stage 5 | " &amp; IF($I$3="", $I$2, $I$2&amp; " - " &amp;$I$3) &amp; " | 📊 Level: " &amp; G10 &amp; " | 🌐 Coding5s.com" &amp; CHAR(10) &amp; "**Concept:** " &amp; J10 &amp; CHAR(10) &amp; "---" &amp; CHAR(10) &amp; " | " &amp;
"[FUNCTIONAL_STRUCTURE_POLICY] Rule: " &amp; IF(G10="Beginner", "Use simple scripts or minimal functions. ", IF(G10="Intermediate", "Use functions where appropriate. ", "Use modular functions with clear structure. ")) &amp; " | " &amp;
_xlfn._LONGTEXT("[DETERMINISTIC_OUTPUT_PROTOCOL]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 &amp; $I$2 &amp; " runtime (e.g., VSCode) | " &amp;
"[CODE QUALITY RULE] Code MUST be clean, readable, and production-like | " &amp;
"[FILE HANDLING RULE] Use correct loaders and enforce encoding='utf-8' and newline=' when applicable or supported by the programming language. | " &amp;
"[DATA TYPE RULE] Explicit casting required before calculations if the programming language requires it. | " &amp;
"[DATA ROBUSTNESS RULE] Handle missing or malformed data safely | " &amp;
"[BOOLEAN HANDLING RULE] Normalize boolean values before comparison if the programming language requires it. | " &amp;
"[DATA CONSISTENCY RULE] Respect dataset schema | " &amp;
"[TICKET FORMAT RULE - STRICT] The 'Context &amp; Ticket' section MUST begin with this EXACT text (translated to " &amp; $B$6 &amp; "):" &amp; CHAR(10) &amp; _xlfn._LONGTEXT("🎯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&amp; CHAR(10) &amp; CHAR(10) &amp; "Immediately followed by this EXACT multi-line format (translated to " &amp; $B$6 &amp; "):" &amp; CHAR(10) &amp; "🎫 Ticket #[Random 5-digit ID]" &amp; CHAR(10) &amp; "👤 From: [Generate Name] - [Department]" &amp; CHAR(10) &amp; "📥 To: Dev Team" &amp; CHAR(10) &amp; "Subject: [Ticket Subject]" &amp; CHAR(10) &amp; "Hello Dev Team, this is [Name] from [Department]. [Context paragraph]." &amp; CHAR(10) &amp; CHAR(10) &amp; "(Tech Product Manager Notes):" &amp; CHAR(10) &amp; "👥 From: [Generate TPM Name] - Tech Product Manager" &amp; CHAR(10) &amp; "📥 To: [Insert my user name if known, otherwise use '" &amp; $I$2 &amp; " Dev']" &amp; CHAR(10) &amp; "Subject: Assignment Details" &amp; CHAR(10) &amp; "Hello [Insert my user name if known, otherwise use '" &amp; $I$2 &amp; " Dev']!" &amp; CHAR(10) &amp; "[Assignment paragraph]" &amp; CHAR(10) &amp; CHAR(10) &amp; "✅ Acceptance Criteria:" &amp; CHAR(10) &amp; "[Bullet list] | " &amp;
_xlfn._LONGTEXT("[DATA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 &amp; $B$6 &amp; "). Purge past datasets from memory and generate minimal dummy data. | " &amp;
"[DATA SUMMARY FORMAT RULE] When a dataset is present, you MUST display IMMEDIATELY AFTER THE HEADER: Dataset Summary: - File Type: - Columns / Fields: - Data Types: - Notes: | " &amp;
_xlfn._LONGTEXT("[OUTPUT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&amp; CHAR(10) &amp; " 🛑 STOP BARRIER 🛑 11. 🌳 Updated Code (V1.1 - FULLY IMPLEMENTED) 12. 📝 Implementation Notes 13. Implemented Output (MUST reflect REAL execution of V1.1 code) | " &amp;
"[CODE CONSTRAINTS] V1.0 MUST be between " &amp; IF(G10="Beginner", "10–20", IF(G10="Intermediate", "15–30", "25–40")) &amp; " lines of EXECUTABLE code (STRICT) - V1.1 MUST be between " &amp; IF(G10="Beginner", "15–30", IF(G10="Intermediate", "25–45", "35–60")) &amp; _xlfn._LONGTEXT(" lines of EXECUTABLE code (STRICT) - Do NOT count comments or blank lines towards these limits - ALL code MUST run without errors - MUST be executable and realistic - MUST include a clear integration point - MUST NOT include unused imports - NO classes - ","NO unnecessary complexity | ") &amp;
_xlfn._LONGTEXT("[SUPPORT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 &amp;
"[DIFFICULTY RULE] Complexity MUST match level | " &amp;
"[FORMAT RULE] Only valid markdown code blocks allowed | " &amp;
"[LANGUAGE TAG RULE] ALWAYS label markdown code blocks with the correct underlying programming language (e.g., python, javascript, sql) | " &amp;
"[OUTPUT] Only header, dataset summary or statement (if any), the defined sections, and footer | " &amp;
"[FOOTER RULE - STRICT] End your entire response EXACTLY with this markdown string (ensure all code blocks are closed before it):" &amp; CHAR(10) &amp; "---" &amp; CHAR(10) &amp; "⚡ *Coding5s System — Learn Programming by Writing Code*",
IF(H10="PROJECT", AD10, ""))</f>
        <v>[ROLE] Tech Product Manager assigning a Elixir OTP Jira Ticket | [TASK] Provide a guided implementation exercise with full solution for learning purposes | [TOPIC] Manage manual monitoring and exits using Process.link/1, Process.monitor/1, and Process.flag/2 with :trap_exit. | [LEVEL] Advanced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#2 | Stage 5 | Elixir OTP | 📊 Level: Advanced | 🌐 Coding5s.com
**Concept:** Manual Monitoring &amp; Exits (Process.link/1, Process.monitor/1, Process.flag/2 with :trap_exit)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OTP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OTP Dev']
Subject: Assignment Details
Hello [Insert my user name if known, otherwise use 'Elixir OTP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Spanish).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0" s="103" t="str">
        <f t="shared" ref="X10:X73" si="10">IF(OR(H10="Topic", UPPER(H10)="PROJECT"),
_xlfn._LONGTEXT("[MENTOR_S5_ARCHITECT]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 &amp;
"[CULTURAL &amp; JARGON RULE] If the language (" &amp; $B$6 &amp; _xlfn._LONGTEXT(") is Portuguese, act like an 'Arquiteto de Software Sênior' using local jargon (e.g., 'subir pra produção', 'vai escalar?', 'casos extremos'). If Spanish, use Latin American tech terminology (e.g., 'subir a producción', '¿esto escala?', 'casos borde'). Ma","tch the cultural vibe of a strategic tech lead. | ") &amp;
"[CONTEXT] You are reviewing the final implementation of a new feature for a " &amp; IF(UPPER(H10)="PROJECT", "PROJECT: " &amp; I10 &amp; ". Topics integrated: " &amp; B10 &amp; ". Business Goal: " &amp; J10, "TOPIC: " &amp; I10 &amp; ". Goal: " &amp; J10) &amp; " | " &amp;
_xlfn._LONGTEXT("[TASK] Analyze the extension code. If they already anticipated the edge cases and scalability issues (e.g., using generators or async patterns), give them the 'Architect's Approval' and discuss a more advanced trade-off.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5 | " &amp; IF(UPPER(H10)="PROJECT", "Project #", "Topic #") &amp; F10 &amp; " | Extend | " &amp; IF($I$3="", $I$2, $I$2&amp; " - " &amp;$I$3) &amp; " | 📊 Level: " &amp; G10 &amp; CHAR(10) &amp; "**" &amp; IF(UPPER(H10)="PROJECT", "Project", "Topic") &amp; ":** " &amp; I10 &amp; CHAR(10) &amp; "---" &amp; CHAR(10) &amp; " | " &amp;
_xlfn._LONGTEXT("[CODE_QUALITY_PROTOCOL] Code MUST be explicitly compliant with language-standard style guides. Use descriptive snake_case for variables and functions. NEVER use mutable default arguments; use immutable initializers instead. Ensure proper indentation. Emph","asize readability and idiomatic design patterns. | ") &amp;
_xlfn._LONGTEXT("[EMPTY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 &amp;
_xlfn._LONGTEXT("[PHASE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 &amp;
"[EXPLANATION GATE &amp; SCROLL BARRIER] After Phase 1, you MUST insert exactly this visual separator:" &amp; CHAR(10) &amp; "------------------------------------------------------------" &amp; CHAR(10) &amp; "🛑 THE EXPLANATION GATE 🛑" &amp; CHAR(10) &amp; "Before scrolling down to the final architectural review, articulate the TRADE-OFFS of your implementation. What happens when this feature faces extreme load? Pushing code without understanding scale builds Epistemic Debt." &amp; CHAR(10) &amp; "------------------------------------------------------------ | " &amp;
_xlfn._LONGTEXT("[PHASE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 &amp;
"[FOOTER RULE] End your response with: '--- ⚡ *Coding5s Mentor System — Eliminating Epistemic Debt &amp; Shipping to Production*'",
"")</f>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Manage manual monitoring and exits using Process.link/1, Process.monitor/1, and Process.flag/2 with :trap_exit.. Goal: Manual Monitoring &amp; Exits (Process.link/1, Process.monitor/1, Process.flag/2 with :trap_exit)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 | Extend | Elixir OTP | 📊 Level: Advanced
**Topic:** Manage manual monitoring and exits using Process.link/1, Process.monitor/1, and Process.flag/2 with :trap_exit.
---
 | [CODE_QUALITY_PROTOCOL] Code MUST be explicitly compliant with language-standard style guides. Use descriptive snake_case for variables and functions. NEVER use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0" s="52">
        <v>0</v>
      </c>
      <c r="Z10" s="56" t="str">
        <f t="shared" ref="Z10:Z73" si="11">IF(H10&lt;&gt;"PROJECT","",
"[TASK] Teach through a practical " &amp; $I$2 &amp; " - " &amp; $I$3 &amp; " project following the micro-learning methodology, acting as a supportive tutor, creating a project about  " &amp; I10 &amp; " | " &amp;
"[TOPICS USED] " &amp; B10 &amp; " | " &amp;
"[LEVEL] " &amp; G10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"[INLINE_PACKAGE_MANAGER] If the project requires an external package, you MUST use Standard mix.exs dependencies list (defp deps do [{:package_name, '~&gt; version'}] end) at the top. | " &amp;
"[SCOPE_ARCHITECTURE_RULE] Rule: Build fault-tolerant OTP apps with DynamicSupervisor, Registry for process discovery, and handle_info/2 handlers. | " &amp;
_xlfn._LONGTEXT("[VISUAL_ARCHITECTURE_COMMENTS] 1. Use visual block tags separating OTP layers (e.g., '# --- CLIENT API ---', '# --- SERVER CALLBACKS ---') to map code to the planning phase. 2. Use comprehensive documentation using @moduledoc and @doc explaining process s","tate APIs. 3. CRITICAL: NO comment or docstring line may exceed 80 characters in width. | ") &amp;
"[DATA ROBUSTNESS RULE] Handle real-world data safely | " &amp;
"[CODE CONSTRAINTS] MUST be between " &amp; IF(G10="Beginner", "25–40", IF(G10="Intermediate", "30–60", "40–100")) &amp; " lines (STRICT) - Multi-step flow | " &amp;
"[SUPPORT FILES RULE] Include config files before code if needed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_xlfn._LONGTEXT("[OUTPUT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 &amp;
"[CODE QUALITY RULE] Code MUST be clean, readable, correct, and educational | " &amp;
"[FORMAT RULE] Only markdown code blocks allowed | " &amp;
"[EXECUTION RULE] Code MUST run and produce correct output | " &amp;
"[CONSISTENCY RULE] Project must match objective | " &amp;
"[HEADER RULE - STRICT] You MUST start your entire response EXACTLY with this markdown block (do not print anything before it):" &amp; CHAR(10) &amp; "### 🚀 Project #" &amp; F10 &amp; " | Stage 1 | " &amp; IF($I$3="", $I$2, $I$2&amp; " - " &amp;$I$3) &amp; " | 📊 Level: " &amp; G10 &amp; " | 🌐 Coding5s.com" &amp; CHAR(10) &amp; "**Project:** " &amp; J10 &amp; CHAR(10) &amp; "---" &amp; CHAR(10) &amp; " | " &amp;
"[OUTPUT] Only header, dataset notice, objective, support file, code planning, expected output, code, and footer | " &amp;
"[FOOTER RULE - STRICT] End your entire response EXACTLY with this markdown string (ensure all code blocks are closed before it):" &amp; CHAR(10) &amp; "---" &amp; CHAR(10) &amp; "⚡ *Coding5s System — Learn Programming by Writing Code*")</f>
        <v/>
      </c>
      <c r="AA10" s="56" t="str">
        <f t="shared" ref="AA10:AA73" si="12">IF(H10&lt;&gt;"PROJECT","",
"[ROLE] Careless " &amp; $I$2 &amp; " Developer | " &amp;
"[TASK] Generate debugging project in " &amp; $I$2 &amp; " | " &amp;
"[PROJECT] " &amp; I10 &amp; " | " &amp;
"[TOPICS USED] " &amp; B10 &amp; " | " &amp;
"[LEVEL] " &amp; G10 &amp; " | " &amp;
"[OUTPUT] Only header, dataset summary or statement (if any), email intro, objective, expected output, broken code, and footer | " &amp;
"[HEADER RULE - STRICT] You MUST start your entire response EXACTLY with this markdown block (do not print anything before it):" &amp; CHAR(10) &amp; "### 🚀 Project #" &amp; F10 &amp; " | Stage 2 | " &amp; IF($I$3="", $I$2, $I$2&amp; " - " &amp;$I$3) &amp; " | 📊 Level: " &amp; G10 &amp; " | 🌐 Coding5s.com" &amp; CHAR(10) &amp; "Project: " &amp; J10 &amp; CHAR(10) &amp; "---" &amp; CHAR(10) &amp; " | " &amp;
"[LIBRARY BEING LEARNED] " &amp; $I$3 &amp; " | " &amp;
_xlfn._LONGTEXT("[ECOSYSTEM ORIENTATION RULE] If a module or ecosystem like Explorer or Nx is specified in , you are CRITICALLY FORBIDDEN from using manual recursion or nested loop implementations. You MUST enforce the vectorized operations and data structures of that spe","cific library. | ") &amp;
"[LANGUAGE CONSISTENCY RULE] ALL output text MUST be written strictly in the selected language (" &amp; $B$6 &amp; "). This includes translating ALL structural labels requested in this prompt (like 'Project', 'Objective', 'Expected Output', 'Broken Code', 'From', 'To', 'Subject') into " &amp; $B$6 &amp; ". Do NOT mix languages. Only code and technical identifiers remain unchanged | " &amp; AE8 &amp; " | " &amp;
"[LANGUAGE SEED CONTEXT] " &amp; IF($AE$7 = "", "Language Seed Not Necessary", "You MUST strictly follow this seed context to enhance, adapt, and naturalize your tone, vocabulary, and instructional quality in " &amp; $B$6 &amp; ": " &amp; $AE$7) &amp; " | " &amp;
_xlfn._LONGTEXT("[BUG RULE] Simulate a messy production environment. The project MUST contain EXACTLY 2–5 bugs. You MUST randomly select from a wide variety of real-world Elixir errors: 1. Syntax/Compile (e.g., missing 'end', incorrect pipe '|&gt;', TokenMissingError), 2. Lo","gic (produces wrong output), AND 3. Runtime Exceptions (e.g., MatchError, FunctionClauseError, ArithmeticError, BadMapError). | ") &amp;
"[ENV USAGE RULE] Bugs ONLY in code logic, not config files | " &amp;
"[SUPPORT FILES RULE] IF an external configuration or data file is needed, include: 1. Short instructional sentence 2. File content in markdown code block 3. Place it strictly BEFORE the main code. | " &amp;
"[NO SOLUTION RULE - STRICT] You are generating an EXAM. Do NOT provide the fixed code, diagnosis, hints, or explanations. Output ONLY the broken code. Do NOT include comments that reveal the bugs. Let the student find them. | " &amp;
"[PERSONA RULE] Use a messy, careless developer tone | " &amp;
"[INTRO RULE] The intro MUST be a dynamically generated, urgent, unprofessional email in " &amp; $B$6 &amp; " with this EXACT format translated to " &amp; $B$6 &amp; ": 'From: [Random Dev Name]' / 'To: [Insert my user name if you know it from context, otherwise use " &amp; $I$2 &amp; _xlfn._LONGTEXT("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 &amp;
"[OUTPUT CONTRACT] EXACTLY 1 project. Structure MUST be: 'Project:' followed by 'Objective: maximum 6 lines.', then 'Expected Output: standalone markdown code block.', and finally 'Broken Code' | " &amp;
"[STRUCTURE RULE] Do NOT add extra sections or explanations (except when required by SUPPORT FILES RULE) | " &amp;
"[CODE CONSTRAINTS] - " &amp; IF(G10="Beginner", "25–40", IF(G10="Intermediate", "30–60", "40–100")) &amp; " lines of EXECUTABLE code (STRICT: Do NOT count blank lines towards this limit) - Multi-step flow - 2–4 functions ONLY - main() as entry point " &amp; IF(G10&lt;&gt;"Advanced", "- NO classes | ", "") &amp; " | " &amp;
"[EXECUTION RULE] Code must fail due to syntax errors, runtime exceptions, or produce incorrect output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"[FORMAT RULE] Only valid markdown code blocks | " &amp;
"[LANGUAGE TAG RULE] ALWAYS label markdown code blocks with the correct underlying programming language (e.g., python, javascript, sql) | " &amp;
"[STRICT MODE] Enforce all rules strictly | " &amp;
"[FOOTER RULE - STRICT] End your entire response EXACTLY with this markdown string (ensure all code blocks are closed before it):" &amp; CHAR(10) &amp; "---" &amp; CHAR(10) &amp; "⚡ Coding5s System - Learn Programming by Writing Code - Coding5S.com" )</f>
        <v/>
      </c>
      <c r="AB10" s="56" t="str">
        <f t="shared" ref="AB10:AB73" si="13">IF(H10&lt;&gt;"PROJECT","",
"[ROLE] Tech Lead | " &amp;
"[TASK] Assign incomplete project script | " &amp;
"[PROJECT] " &amp; I10 &amp; " | " &amp;
"[TOPICS USED] " &amp; B10 &amp; " | " &amp;
"[LEVEL] " &amp; G10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Project #" &amp; F10 &amp; " | Stage 3 | " &amp; IF($I$3="", $I$2, $I$2&amp; " - " &amp;$I$3) &amp; " | 📊 Level: " &amp; G10 &amp; " | 🌐 Coding5s.com" &amp; CHAR(10) &amp; "**Project:** " &amp; J10 &amp; CHAR(10) &amp; "---" &amp; CHAR(10) &amp; " | " &amp;
"[EXTERNAL_PACKAGE_PROTOCOL] Use Mix.install([{:package_name, '~&gt; version'}]) at the top if needed. | " &amp;
"[CHALLENGE_CONSTRAINTS_POLICY] MUST be between " &amp; IF(G10="Beginner","25–40", IF(G10="Intermediate","30–60","40–100")) &amp; " lines of EXECUTABLE base code (STRICT: Do NOT count comments or TODOs). Multi-step flow. | " &amp;
"[FORMAT RULE] Only valid markdown code blocks allowed | " &amp;
"[LANGUAGE TAG RULE] ALWAYS label markdown code blocks with the correct underlying programming language (e.g., python, javascript, sql) | " &amp;
_xlfn._LONGTEXT("[DATA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"[INTRO RULE] Intro MUST be a dynamically generated email in " &amp; $B$6 &amp; " with this EXACT format translated to " &amp; $B$6 &amp; ": 'From: [Generate NEW random full name] - Tech Lead' / 'To: [Insert my user name if known, else Junior] - " &amp; $I$2 &amp; " Developer' / 'Subject: [Project Subject]'. Body MUST be unique. Vibe: 'Hola, tengo la arquitectura lista, implementa la lógica en los # TODO. Revisa el expected output. Saludos.' | " &amp;
"[OUTPUT CONTRACT] EXACTLY 1 project. Structure MUST be: Tech Lead Intro Message, Project: Objective (max 6 lines), Expected Output (code block), Incomplete Code | " &amp;
"[OUTPUT TRUNCATION RULE] If output is large, show only first 5 lines. Do NOT use ellipsis (...) | " &amp;
"[OUTPUT EXECUTION RULE - STRICT] Expected output MUST be explicit, complete, and produced via final print(). | " &amp;
"[BASE CODE INTEGRITY RULE - STRICT] Code outside the TODO block MUST be 100% valid, logically correct, and run without errors. Do NOT use 'pass', '...', or empty placeholders outside the TODO. | " &amp;
"[TODO REALISM RULE] TODO must represent realistic integration bugs. Describe what is incorrect/incomplete. | " &amp;
"[TODO ISOLATION RULE - STRICT] ALL missing, incorrect, or output-affecting logic MUST exist ONLY inside the TODO block. Replace ONLY integration logic. | " &amp;
"[NO SOLUTION RULE - STRICT] The code under the # TODO MUST be left empty or with a 'pass'. DO NOT write the actual solution. | " &amp;
"[OUTPUT] Only header, dataset summary or statement (if any), intro message, objective, expected output, incomplete code, and footer | " &amp;
"[FOOTER RULE - STRICT] End your entire response EXACTLY with this markdown string (ensure all code blocks are closed before it):" &amp; CHAR(10) &amp; "---" &amp; CHAR(10) &amp; "⚡ *Coding5s System - Learn Programming by Writing Code - Coding5S.com*")</f>
        <v/>
      </c>
      <c r="AC10" s="56" t="str">
        <f t="shared" ref="AC10:AC73" si="14">IF(H10&lt;&gt;"PROJECT","",
"[ROLE] Tech Lead | " &amp;
"[TASK] Provide a messy but functional project for refactoring | " &amp;
"[PROJECT] " &amp; I10 &amp; " | " &amp;
"[TOPICS USED] " &amp; B10 &amp; " | " &amp;
"[LEVEL] " &amp; G10 &amp; " | " &amp;
"[PERSONA RULE] Act as a Tech Lead. A junior wrote this working but messy code. Tone: professional but exhausted | " &amp;
"[HEADER RULE - STRICT] You MUST start your entire response EXACTLY with this markdown block (do not print anything before it):" &amp; CHAR(10) &amp; "### 🚀 Project #" &amp; F10 &amp; " | Stage 4 | " &amp; IF($I$3="", $I$2, $I$2&amp; " - " &amp;$I$3) &amp; " | 📊 Level: " &amp; G10 &amp; " | 🌐 Coding5s.com" &amp; CHAR(10) &amp; "**Project:** " &amp; J10 &amp; CHAR(10) &amp; "---" &amp; CHAR(10)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"[CODE QUALITY RULE] Code MUST be correct and executable but not perfectly clean | " &amp;
"[DIRTY CODE RULE] Code MUST NOT include ANY comments and should include inconsistent naming, redundant logic, minor structural issues, and slightly messy organization while still remaining understandable as a complete working program | " &amp;
"[DATA ROBUSTNESS RULE] Handle real-world data safely | " &amp;
"[FORMAT RULE] Only valid markdown code blocks allowed | " &amp;
"[LANGUAGE TAG RULE] ALWAYS label markdown code blocks with the correct underlying programming language (e.g., python, javascript, sql)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 बुन्देल IMMEDIATELY AFTER THE HEADER, PURGE any memory of previous files, and use realistic dummy data | " &amp;
"[INTRO RULE] The intro MUST be an email in " &amp; $B$6 &amp; " with this EXACT format translated to " &amp; $B$6 &amp; ": 'From: [Tech Lead Name]' / 'To: [Insert my user name if known, else " &amp; $I$2 &amp; " Dev]' / 'Subject: [Funny subject]'. Body vibe: 'Hola, el Junior mandó esto. Increíblemente funciona, pero mis ojos sangran. Por favor refactorízalo.' | " &amp;
"[OUTPUT CONTRACT] EXACTLY 1 project. Structure MUST be: 1. Tech Lead Intro Email 2. Project: Objective (max 6 lines), Expected Output (code block), Dirty Code | " &amp;
"[REVIEW INTENT RULE] The user is expected to review and refactor the project to improve structure, readability, and maintainability | " &amp;
"[CODE CONSTRAINTS] MUST be between " &amp; IF(G10="Beginner", "25–40", IF(G10="Intermediate", "30–60", "40–100")) &amp; " lines of EXECUTABLE code (STRICT: Do NOT count blank lines towards this limit) - Multi-step flow - NO classes - Code MUST run correctly BUT be slightly messy and contain NO comments | " &amp;
"[SUPPORT FILES RULE] Include config files before code if needed | " &amp;
"[EXECUTION RULE] Code MUST run and produce correct output | " &amp;
"[CONSISTENCY RULE] Project must match objective | " &amp;
"[OUTPUT] Only header, dataset summary or statement (if any), intro email, objective, expected output, code, and footer | " &amp;
"[FOOTER RULE - STRICT] End your entire response EXACTLY with this markdown string (ensure all code blocks are closed before it):" &amp; CHAR(10) &amp; "---" &amp; CHAR(10) &amp; "⚡ *Coding5s System - Learn Programming by Writing Code - Coding5S.com*")</f>
        <v/>
      </c>
      <c r="AD10" s="56" t="str">
        <f t="shared" ref="AD10:AD73" si="15">IF(H10&lt;&gt;"PROJECT","",
"[ROLE] Tech Product Manager assigning a " &amp; $I$2 &amp; " Jira Ticket | " &amp;
"[TASK] Provide a guided project implementation with full solution | " &amp;
"[PROJECT] " &amp; I10 &amp; " | " &amp;
"[TOPICS USED] " &amp; B10 &amp; " | " &amp;
"[LEVEL] " &amp; G10 &amp; " | " &amp;
"[PERSONA RULE] Act as a professional Tech Product Manager defining a project ticket | " &amp;
"[LIBRARY BEING LEARNED] " &amp; $I$3 &amp; " | " &amp;
_xlfn._LONGTEXT("[ECOSYSTEM ORIENTATION RULE] If a module or ecosystem like Explorer or Nx is specified in , you are CRITICALLY FORBIDDEN from using manual recursion or nested loop implementations. You MUST enforce the vectorized operations and data structures of that spe","cific library. | ") &amp;
"[HEADER RULE - STRICT] You MUST start your entire response EXACTLY with this markdown block (do not print anything before it):" &amp; CHAR(10) &amp; "### 🚀 Project #" &amp; F10 &amp; " | Stage 5 | " &amp; IF($I$3="", $I$2, $I$2&amp; " - " &amp;$I$3) &amp; " | 📊 Level: " &amp; G10 &amp; " | 🌐 Coding5s.com" &amp; CHAR(10) &amp; "**Project:** " &amp; J10 &amp; CHAR(10) &amp; "---" &amp; CHAR(10) &amp; " | " &amp;
"[LANGUAGE CONSISTENCY RULE] ALL output MUST be strictly in " &amp; $B$6 &amp; _xlfn._LONGTEXT(".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 &amp; $B$6 &amp; " | " &amp; $AE$7 &amp; " | " &amp;
"[LANGUAGE SEED CONTEXT] " &amp; IF($AE$7 = "", "Language Seed Not Necessary", "You MUST strictly follow this seed context to enhance, adapt, and naturalize your tone, vocabulary, and instructional quality in " &amp; $B$6 &amp; ": " &amp; $AE$7) &amp; " | " &amp;
"[CODE CONSTRAINTS] V1.0 MUST be between " &amp; IF(G10="Beginner", "20–35", IF(G10="Intermediate", "30–50", "45–70")) &amp; " lines of EXECUTABLE code (STRICT) - V1.1 MUST be between " &amp; IF(G10="Beginner", "30–50", IF(G10="Intermediate", "45–75", "60–90")) &amp; " lines of EXECUTABLE code (STRICT) - Do NOT count comments or blank lines towards these limits - MUST run without errors - MUST include integration points - NO unnecessary complexity | " &amp;
"[CRITICAL OUTPUT RULE] Output MUST match real execution - Convert sets to sorted lists before printing | " &amp;
"[FUNCTION RULE] " &amp; IF(G10="Beginner", "Avoid complex structure. ", IF(G10="Intermediate", "Functions optional. ", "Use structured modular functions. ")) &amp; " | " &amp;
"[TICKET FORMAT RULE - STRICT] The 'Context &amp; Ticket' section MUST use this EXACT multi-line format (translated to " &amp; $B$6 &amp; "):" &amp; CHAR(10) &amp; "Ticket #[Random 5-digit ID]" &amp; CHAR(10) &amp; "From: [Generate Name] - [Department]" &amp; CHAR(10) &amp; "To: Dev Team" &amp; CHAR(10) &amp; "Subject: [Ticket Subject]" &amp; CHAR(10) &amp; "Hello Dev Team, this is [Name] from [Department]. [Context paragraph]." &amp; CHAR(10) &amp; CHAR(10) &amp; "(Tech Product Manager Notes):" &amp; CHAR(10) &amp; "From: [Generate TPM Name] - Tech Product Manager" &amp; CHAR(10) &amp; "To: [Insert my user name if known, otherwise use '" &amp; $I$2 &amp; " Dev']" &amp; CHAR(10) &amp; "Subject: Assignment Details" &amp; CHAR(10) &amp; "Hello [Insert my user name if known, otherwise use '" &amp; $I$2 &amp; " Dev']!" &amp; CHAR(10) &amp; "[Assignment paragraph]" &amp; CHAR(10) &amp; CHAR(10) &amp; "Acceptance Criteria:" &amp; CHAR(10) &amp; "[Bullet list]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IMMEDIATELY AFTER THE HEADER, PURGE any memory of previous files, and use realistic dummy data | " &amp;
_xlfn._LONGTEXT("[OUTPUT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 &amp;
"[CODE QUALITY RULE] Code MUST be clean and realistic | " &amp;
"[DATA ROBUSTNESS RULE] Handle real-world data safely | " &amp;
"[FORMAT RULE] Only markdown code blocks allowed | " &amp;
"[LANGUAGE TAG RULE] ALWAYS label markdown code blocks with the correct underlying programming language (e.g., python, javascript, sql) | " &amp;
"[EXECUTION RULE] Code MUST run correctly | " &amp;
"[OUTPUT] Only header, dataset summary or statement (if any), defined sections, and footer, | " &amp;
"[FOOTER RULE - STRICT] End your entire response EXACTLY with this markdown string (ensure all code blocks are closed before it):" &amp; CHAR(10) &amp; "---" &amp; CHAR(10) &amp; "⚡ *Coding5s System — Learn Programming by Writing Code*")</f>
        <v/>
      </c>
      <c r="AE10" s="55" t="s">
        <v>57</v>
      </c>
      <c r="AF10" s="55" t="s">
        <v>58</v>
      </c>
      <c r="AG10" s="55" t="s">
        <v>59</v>
      </c>
      <c r="AH10" s="56" t="str">
        <f>IF(AE10=$B$6,AG10,"")</f>
        <v/>
      </c>
      <c r="AI10" s="54" t="s">
        <v>60</v>
      </c>
      <c r="AJ10" s="54"/>
      <c r="AK10" s="54">
        <v>2</v>
      </c>
      <c r="AL10" s="54" t="s">
        <v>18</v>
      </c>
      <c r="AM10" s="54" t="s">
        <v>61</v>
      </c>
    </row>
    <row r="11" spans="1:39">
      <c r="A11" s="95">
        <v>20</v>
      </c>
      <c r="B11" s="45" t="str" cm="1">
        <f t="array" ref="B11">IF(H11="PROJECT", CHAR(10) &amp; "- " &amp; _xlfn.TEXTJOIN(CHAR(10) &amp; "- ", TRUE, _xlfn._xlws.FILTER($I$9:$I$1000, ($C$9:$C$1000=C11) * ($H$9:$H$1000="Topic"))), "")</f>
        <v/>
      </c>
      <c r="C11" s="45">
        <f t="shared" si="0"/>
        <v>1</v>
      </c>
      <c r="D11" s="46">
        <v>4</v>
      </c>
      <c r="E11" s="58" t="s">
        <v>48</v>
      </c>
      <c r="F11" s="48">
        <v>3</v>
      </c>
      <c r="G11" s="49" t="s">
        <v>162</v>
      </c>
      <c r="H11" s="49" t="s">
        <v>50</v>
      </c>
      <c r="I11" s="50" t="s">
        <v>762</v>
      </c>
      <c r="J11" s="51" t="s">
        <v>763</v>
      </c>
      <c r="K11" s="120" t="str">
        <f t="shared" si="1"/>
        <v xml:space="preserve">[ROLE] Friendly tutor specializing in Elixir OTP | [TOPIC] Create OTP behaviours and implement inversion of control utilizing @behaviour, @callback, behaviour modules, and callback-driven architecture. | [LEVEL] Advanced | [COUNT] 4 examples | [LIBRARY BEING LEARNED]  | [ECOSYSTEM ORIENTATION RULE] If a module or ecosystem like GenServer, Supervisor, Registry, or DynamicSupervisor is specified in , you are CRITICALLY FORBIDDEN from using manual process linking (spawn/1, spawn_link/1) outside standard OTP behaviors. You MUST enforce the concurrent asynchronous processes and proper Supervisor tree state isolation and data structures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20 lines of EXECUTABLE code (STRICT: Do NOT count comments or blank lines). - NEVER exceed this limit. | [FUNCTION RULE] Rule: stateful GenServer state or external message passing | [CODE_CONSTRAINTS_RULE] Each example MUST: - Use stateful GenServer state or external message passing - Print steps &amp; result via Logger.info/debug or IO.inspect inside isolated process callbacks - MAX 20 executable lines (comments/blanks excluded) - NEVER exceed limit. | [I_O_PARADIGM] Use standard OTP message passing via send/2 or GenServer.call/3 and gracefully handle {:reply, response, new_state}, {:noreply, new_state}, and {:ok, state} tuples when applicable. | [INLINE_PACKAGE_MANAGER] If using external packages, use Standard mix.exs dependencies list (defp deps do [{:package_name, '~&gt; version'}] end) at the top of the code block. Assume no project configuration file exists. | [TESTING_FRAMEWORK_LIMITS] For ExUnit with isolated async processes (use ExUnit.Case, async: true), NEVER use manual process link hacking outside of standard OTP abstractions. Use standard test macros and assert_receive/assert_received for message validation, as manual process link hacking outside of standard OTP abstractions fail in standalone execution environments. | [CODE QUALITY RULE] Code MUST be clean, readable, educational, executable, and produce correct results. Handle missing, malformed, or inconsistent data safely, utilizing pattern matching if possible. | [COMMENT CONSTRAINTS] Code MUST include sufficient inline comments explaining WHAT the code does AND WHY it is written that way. Density: Beginner = high, Intermediate = medium, Advanced = 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 | Stage 1 📖 Practice | Elixir OTP | 📊 Level: Advanced | 🌐 Coding5s.com
**Concept:** OTP Behaviours &amp; Inversion of Control (@behaviour, @callback, behaviour modules, callback-driven architecture)
---
 | [INTRO RULE] Include a short tutor-style sentence in Spanish before the analogy, followed by this EXACT instruction block translated to Spanish: '🚨 **Your objective in this lesson:** To truly learn the new  Elixir OTP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[PERSONA RULE] Act as a friendly, clear tutor | [TASK] Teach and explain concepts clearly with correct code examples | [OUTPUT CONTRACT] EXACTLY 4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Evaluate ONLY current attachments. IF FILE ATTACHED: Acknowledge it, place Dataset Summary (Type, Structure, Columns, Data Types) IMMEDIATELY AFTER HEADER, and strictly use it for ALL examples. IF NO FILE ATTACHED: Explicitly print 'No synthetic data file was provided for this topic. Generating dummy data.' (translate to Spanish), generate minimal dummy data internally, and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1" s="103" t="str">
        <f t="shared" si="2"/>
        <v xml:space="preserve">[MENTOR_S1_SAFE_GUIDE] Act as 'The Safe Guide' (El Hermano Mayor) - a World-Class Elite Technical Mentor for Stage 1 Practice specializing in Elixir OTP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Create OTP behaviours and implement inversion of control utilizing @behaviour, @callback, behaviour modules, and callback-driven architecture.. Topic details: OTP Behaviours &amp; Inversion of Control (@behaviour, @callback, behaviour modules, callback-driven architecture) | [LANGUAGE CONSISTENCY RULE] ALL output text MUST be written strictly in (Spanish). | [LANGUAGE SEED CONTEXT] Language Seed Not Necessary | [LANGUAGE] Spanish | [MENTOR_SCOPE_EXPECTATIONS] Expect complete OTP apps with DynamicSupervisor, clean separation of Client API/Server Callbacks, and handle_info/2 pattern matching. | [CODE_QUALITY_POLICIES] Code MUST be idiomatic Elixir. Use descriptive snake_case for functions/variables, and PascalCase for module aliases. Leverage proper tuple pattern matching (e.g., {:noreply, new_state}) and strict immutability within process boundaries. Reject process mailbox clogging, blocking callbacks, bypassing OTP behaviors, or modifying external global state. If using default arguments ('\\') with multiple function clauses or callbacks, you MUST declare a function head without a body.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OTP code, and fully functional Elixir OTP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 | Practice | Elixir OTP | 📊 Level: Advanced
**Topic:** Create OTP behaviours and implement inversion of control utilizing @behaviour, @callback, behaviour modules, and callback-driven architecture.
---
 | [FOOTER RULE - STRICT] End your response with: '--- ⚡ *Coding5s Mentor System — Eliminating Epistemic Debt*' | </v>
      </c>
      <c r="M11" s="52">
        <v>0</v>
      </c>
      <c r="N11" s="102" t="str">
        <f t="shared" si="3"/>
        <v>[ROLE] Careless Elixir OTP Developer | [TASK] Generate debugging challenges in Elixir OTP | | [TOPIC] Create OTP behaviours and implement inversion of control utilizing @behaviour, @callback, behaviour modules, and callback-driven architecture. | | [LEVEL] Advanced |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Topic #3 | Stage 2 🐛 Debug | Elixir OTP | 📊 Level: Advanced | 🌐 Coding5s.com
Concept: OTP Behaviours &amp; Inversion of Control (@behaviour, @callback, behaviour modules, callback-driven architecture)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Use standard Elixir File module and gracefully handle {:ok, data} and {:error, reason} tuples | Environment variables may be used but bugs MUST exist ONLY in code logic, NEVER in config files | If env/config is used, MUST include: 1. Instructional sentence 2. File content in markdown code block 3. BEFORE the broken code (Support files MUST contain NO bugs) | [EXUNIT RULE] If the topic involves ExUnit or Testing, NEVER use doctests (@doc iex&gt;). You MUST use standard test macros (test 'test name' do) and assert statements. Doctests cause errors in standalone .exs scripts. | [HEX DEPENDENCIES RULE] If the exercise requires using an external Hex package in a standalone script, you MUST use Mix.install([{:package_name, '~&gt; version'}]) at the very top of the code block. Assume there is NO mix.exs file available in the user's environment. | [CODE CONSTRAINTS] Each challenge MUST include: - Internal data OR dataset usage - At least 1 Enum/List operation or recursion (when applicable) - At least 1 IO.puts or IO.inspect statement - 15–35 lines of EXECUTABLE broken code per example (STRICT: Do NOT count blank lines). Use pure functions and immutability. | All challenges MUST have similar complexity and length. | [INTRO RULE] The intro MUST be a dynamically generated, urgent, unprofessional email in Spanish with this EXACT format: '📥 From: [Random Dev Name]' / '📤 To: [Insert my user name if you know it from context, otherwise use Elixir OTP Developer]' / 'Subject: [Generate a funny, desperate Subject]'. Body MUST be unique every time. Do NOT copy this example exactly, but use this vibe: 'Ay, no sé ni qué hora es, pero aquí tienes estas cosas que apenas funcionan. Arréglalo tú si tanto te importa el orden. No consigo que corran. Ayúdame y luego te invito al almuerzo. El jefe urge...'. Make it short, informal, and funny for the student. IMMEDIATELY AFTER the email body, you MUST include this exact instruction block translated to Spanish: '🚨 Your objective in this lesson: You must copy the code blocks from each Challenge exactly as they are and paste them into your IDE. Then you have to fix all the errors in the code until you achieve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three dimensions: 1. Syntax Errors (e.g., mismatched delimiters, invalid indentation, invalid syntax, SyntaxError). 2. Runtime Exceptions (e.g., TypeError when mixing types, ValueError with invalid arguments, IndexError on collections, KeyError on dictionaries, ZeroDivisionError). 3. Logic Errors (e.g., incorrect Boolean logic, off-by-one errors in loops, wrong mathematical formulas, variable shadowing, or incorrect use of mutable defaults). Errors MUST be realistic and mimic common mistakes made by junior developers in production-like environments. | [EXECUTION RULE] Code must fail due to syntax errors, runtime exceptions, or produce incorrect output | [DATA RULE - STRICT] A dataset MAY be provided in THIS CURRENT PROMPT. If a NEW dataset IS attached to THIS prompt, you MUST: 1. Detect and acknowledge it BEFORE challenges 2. Explicitly state file type 3. Describe structure 4. List columns or fields 5. Infer data types 6. Display dataset summary IMMEDIATELY AFTER THE HEADER 7. State ALL challenges use it 8. Use it directly (DO NOT recreate data). If NO dataset is provided IN THIS CURRENT PROMPT: - STRICT: You MUST explicitly state 'No synthetic data file was provided. Generating dummy data.' (translate this phrase to Spanish) - Generate minimal internal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1" s="103" t="str">
        <f t="shared" si="4"/>
        <v xml:space="preserve">[MENTOR_S2_DETECTIVE] Act as 'The Analytical Partner' (El Detective con Café) - a World-Class Elite Technical Mentor for Stage 2 Debugging specializing in Elixir OTP.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Create OTP behaviours and implement inversion of control utilizing @behaviour, @callback, behaviour modules, and callback-driven architecture.. Topic details: OTP Behaviours &amp; Inversion of Control (@behaviour, @callback, behaviour modules, callback-driven architecture)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 | Debug | Elixir OTP | 📊 Level: Advanced
**Topic:** Create OTP behaviours and implement inversion of control utilizing @behaviour, @callback, behaviour modules, and callback-driven architecture.
---
 | [PYTHON QUALITY RULE - STRICT] Code MUST be production-like, clean, and idiomatic Elixir. Use descriptive snake_case for variables and functions. Use pure functions and strict immutability. If using default arguments (\\\\) with multiple function clauses, you MUST declare a function head without a body to avoid compiler warnings.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OTP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OTP).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OTP code, and fully functional Elixir OTP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1" s="53">
        <v>0</v>
      </c>
      <c r="Q11" s="102" t="str">
        <f t="shared" si="5"/>
        <v>[ROLE] Tech Lead | [TASK] Assign incomplete Elixir OTP script challenges | [TOPIC] Create OTP behaviours and implement inversion of control utilizing @behaviour, @callback, behaviour modules, and callback-driven architecture. | [LEVEL] Advanced | [COUNT] 4 challenges | [LIBRARY BEING LEARNED]  | [ECOSYSTEM ORIENTATION RULE] If a module or ecosystem like Explorer or Nx is specified in [LIBRARY BEING LEARNED], you are CRITICALLY FORBIDDEN from using manual recursion or nested loop implementations. You MUST enforce the native, optimized data structures and vectorized operations of that specific library. | [HEADER RULE - STRICT] You MUST start your entire response EXACTLY with this markdown block (do not print anything before it):
### 🔹 Topic #3 | Stage 3 🧩 Complete | Elixir OTP | 📊 Level: Advanced | 🌐 Coding5s.com
**Concept:** OTP Behaviours &amp; Inversion of Control (@behaviour, @callback, behaviour modules, callback-driven architecture)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[EXTERNAL_PACKAGE_PROTOCOL] If the exercise requires using an external Hex package in a standalone script, you MUST use Mix.install([{:package_name, '~&gt; version'}]) at the very top of the code block. | [TESTING_FRAMEWORK_PROTOCOL] If the topic involves ExUnit or Testing, NEVER use doctests (@doc iex&gt;). You MUST use standard test macros (test 'test name' do) and assert statements. | [CHALLENGE_CONSTRAINTS_POLICY] Each challenge MUST include: - Internal data OR dataset usage - 15–35 lines of EXECUTABLE base code (STRICT: Do NOT count comments or TODOs). - Length MUST vary across challenges. Use pure functions and immutability.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Elixir OTP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Create OTP behaviours and implement inversion of control utilizing @behaviour, @callback, behaviour modules, and callback-driven architecture..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1" s="103" t="str">
        <f t="shared" si="6"/>
        <v xml:space="preserve">[MENTOR_S3_BUILDER] Act as 'The Logical Scaffold' (El Maestro de Obra) - a World-Class Elite Technical Mentor for Stage 3 Code Completion specializing in Elixir OTP.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Create OTP behaviours and implement inversion of control utilizing @behaviour, @callback, behaviour modules, and callback-driven architecture.. Topic details: OTP Behaviours &amp; Inversion of Control (@behaviour, @callback, behaviour modules, callback-driven architecture)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 | Complete | Elixir OTP | 📊 Level: Advanced
**Topic:** Create OTP behaviours and implement inversion of control utilizing @behaviour, @callback, behaviour modules, and callback-driven architecture.
---
 | [PYTHON QUALITY RULE - STRICT] Code MUST be explicitly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1" s="53">
        <v>0</v>
      </c>
      <c r="T11" s="102" t="str">
        <f t="shared" si="7"/>
        <v>[ROLE] Tech Lead | [TASK] Provide intentionally messy but functional code for learning debugging and improvement | [TOPIC] Create OTP behaviours and implement inversion of control utilizing @behaviour, @callback, behaviour modules, and callback-driven architecture. | [LEVEL] Advanced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#3 | Stage 4 🧹 Refactor | Elixir OTP | 📊 Level: Advanced | 🌐 Coding5s.com
**Concept:** OTP Behaviours &amp; Inversion of Control (@behaviour, @callback, behaviour modules, callback-driven architecture)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Elixir OTP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1" s="103" t="str">
        <f t="shared" si="8"/>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Elixir OTP', 'limpia este desastre'). Match the cultural vibe of a senior who is tired of seeing bad code. | [CONTEXT] You are performing a Code Review for a TOPIC: Create OTP behaviours and implement inversion of control utilizing @behaviour, @callback, behaviour modules, and callback-driven architecture.. Topic details: OTP Behaviours &amp; Inversion of Control (@behaviour, @callback, behaviour modules, callback-driven architecture)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 | Refactor | Elixir OTP | 📊 Level: Advanced
**Topic:** Create OTP behaviours and implement inversion of control utilizing @behaviour, @callback, behaviour modules, and callback-driven architecture.
---
 | [PYTHON QUALITY RULE - STRICT] Code MUST be explicitly compliant with language-standard style guides. Use descriptive snake_case for variables and functions. Avoid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OTP built-in, standard library module, or good Elixir OTP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OTP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1" s="53">
        <v>0</v>
      </c>
      <c r="W11" s="87" t="str">
        <f t="shared" si="9"/>
        <v>[ROLE] Tech Product Manager assigning a Elixir OTP Jira Ticket | [TASK] Provide a guided implementation exercise with full solution for learning purposes | [TOPIC] Create OTP behaviours and implement inversion of control utilizing @behaviour, @callback, behaviour modules, and callback-driven architecture. | [LEVEL] Advanced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#3 | Stage 5 | Elixir OTP | 📊 Level: Advanced | 🌐 Coding5s.com
**Concept:** OTP Behaviours &amp; Inversion of Control (@behaviour, @callback, behaviour modules, callback-driven architecture)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OTP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OTP Dev']
Subject: Assignment Details
Hello [Insert my user name if known, otherwise use 'Elixir OTP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Spanish).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1" s="103" t="str">
        <f t="shared" si="10"/>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Create OTP behaviours and implement inversion of control utilizing @behaviour, @callback, behaviour modules, and callback-driven architecture.. Goal: OTP Behaviours &amp; Inversion of Control (@behaviour, @callback, behaviour modules, callback-driven architecture)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 | Extend | Elixir OTP | 📊 Level: Advanced
**Topic:** Create OTP behaviours and implement inversion of control utilizing @behaviour, @callback, behaviour modules, and callback-driven architecture.
---
 | [CODE_QUALITY_PROTOCOL] Code MUST be explicitly compliant with language-standard style guides. Use descriptive snake_case for variables and functions. NEVER use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1" s="53">
        <v>0</v>
      </c>
      <c r="Z11" s="56" t="str">
        <f t="shared" si="11"/>
        <v/>
      </c>
      <c r="AA11" s="56" t="str">
        <f t="shared" si="12"/>
        <v/>
      </c>
      <c r="AB11" s="56" t="str">
        <f t="shared" si="13"/>
        <v/>
      </c>
      <c r="AC11" s="56" t="str">
        <f t="shared" si="14"/>
        <v/>
      </c>
      <c r="AD11" s="56" t="str">
        <f t="shared" si="15"/>
        <v/>
      </c>
      <c r="AE11" s="55" t="s">
        <v>62</v>
      </c>
      <c r="AF11" s="55" t="s">
        <v>63</v>
      </c>
      <c r="AG11" s="55" t="s">
        <v>64</v>
      </c>
      <c r="AH11" s="56" t="str">
        <f>IF(AE11=$B$6,AG11,"")</f>
        <v/>
      </c>
      <c r="AI11" s="54" t="s">
        <v>65</v>
      </c>
      <c r="AJ11" s="54"/>
      <c r="AK11" s="54">
        <v>3</v>
      </c>
      <c r="AL11" s="54" t="s">
        <v>66</v>
      </c>
      <c r="AM11" s="54" t="s">
        <v>67</v>
      </c>
    </row>
    <row r="12" spans="1:39">
      <c r="A12" s="95">
        <v>15</v>
      </c>
      <c r="B12" s="45" t="str" cm="1">
        <f t="array" ref="B12">IF(H12="PROJECT", CHAR(10) &amp; "- " &amp; _xlfn.TEXTJOIN(CHAR(10) &amp; "- ", TRUE, _xlfn._xlws.FILTER($I$9:$I$1000, ($C$9:$C$1000=C12) * ($H$9:$H$1000="Topic"))), "")</f>
        <v/>
      </c>
      <c r="C12" s="45">
        <f t="shared" si="0"/>
        <v>1</v>
      </c>
      <c r="D12" s="57">
        <v>3</v>
      </c>
      <c r="E12" s="58" t="s">
        <v>48</v>
      </c>
      <c r="F12" s="59">
        <v>4</v>
      </c>
      <c r="G12" s="60" t="s">
        <v>162</v>
      </c>
      <c r="H12" s="60" t="s">
        <v>50</v>
      </c>
      <c r="I12" s="61" t="s">
        <v>764</v>
      </c>
      <c r="J12" s="62" t="s">
        <v>765</v>
      </c>
      <c r="K12" s="120" t="str">
        <f t="shared" si="1"/>
        <v xml:space="preserve">[ROLE] Friendly tutor specializing in Elixir OTP | [TOPIC] Implement encapsulated state with Agents using Agent.start_link/2, Agent.get/3, Agent.update/3, and Agent.cast/2. | [LEVEL] Advanced | [COUNT] 3 examples | [LIBRARY BEING LEARNED]  | [ECOSYSTEM ORIENTATION RULE] If a module or ecosystem like GenServer, Supervisor, Registry, or DynamicSupervisor is specified in , you are CRITICALLY FORBIDDEN from using manual process linking (spawn/1, spawn_link/1) outside standard OTP behaviors. You MUST enforce the concurrent asynchronous processes and proper Supervisor tree state isolation and data structures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15 lines of EXECUTABLE code (STRICT: Do NOT count comments or blank lines). - NEVER exceed this limit. | [FUNCTION RULE] Rule: stateful GenServer state or external message passing | [CODE_CONSTRAINTS_RULE] Each example MUST: - Use stateful GenServer state or external message passing - Print steps &amp; result via Logger.info/debug or IO.inspect inside isolated process callbacks - MAX 15 executable lines (comments/blanks excluded) - NEVER exceed limit. | [I_O_PARADIGM] Use standard OTP message passing via send/2 or GenServer.call/3 and gracefully handle {:reply, response, new_state}, {:noreply, new_state}, and {:ok, state} tuples when applicable. | [INLINE_PACKAGE_MANAGER] If using external packages, use Standard mix.exs dependencies list (defp deps do [{:package_name, '~&gt; version'}] end) at the top of the code block. Assume no project configuration file exists. | [TESTING_FRAMEWORK_LIMITS] For ExUnit with isolated async processes (use ExUnit.Case, async: true), NEVER use manual process link hacking outside of standard OTP abstractions. Use standard test macros and assert_receive/assert_received for message validation, as manual process link hacking outside of standard OTP abstractions fail in standalone execution environments. | [CODE QUALITY RULE] Code MUST be clean, readable, educational, executable, and produce correct results. Handle missing, malformed, or inconsistent data safely, utilizing pattern matching if possible. | [COMMENT CONSTRAINTS] Code MUST include sufficient inline comments explaining WHAT the code does AND WHY it is written that way. Density: Beginner = high, Intermediate = medium, Advanced = 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#4 | Stage 1 📖 Practice | Elixir OTP | 📊 Level: Advanced | 🌐 Coding5s.com
**Concept:** Encapsulated State with Agents (Agent.start_link/2, Agent.get/3, Agent.update/3, Agent.cast/2)
---
 | [INTRO RULE] Include a short tutor-style sentence in Spanish before the analogy, followed by this EXACT instruction block translated to Spanish: '🚨 **Your objective in this lesson:** To truly learn the new  Elixir OTP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[PERSONA RULE] Act as a friendly, clear tutor | [TASK] Teach and explain concepts clearly with correct code examples | [OUTPUT CONTRACT] EXACTLY 3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Evaluate ONLY current attachments. IF FILE ATTACHED: Acknowledge it, place Dataset Summary (Type, Structure, Columns, Data Types) IMMEDIATELY AFTER HEADER, and strictly use it for ALL examples. IF NO FILE ATTACHED: Explicitly print 'No synthetic data file was provided for this topic. Generating dummy data.' (translate to Spanish), generate minimal dummy data internally, and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2" s="103" t="str">
        <f t="shared" si="2"/>
        <v xml:space="preserve">[MENTOR_S1_SAFE_GUIDE] Act as 'The Safe Guide' (El Hermano Mayor) - a World-Class Elite Technical Mentor for Stage 1 Practice specializing in Elixir OTP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encapsulated state with Agents using Agent.start_link/2, Agent.get/3, Agent.update/3, and Agent.cast/2.. Topic details: Encapsulated State with Agents (Agent.start_link/2, Agent.get/3, Agent.update/3, Agent.cast/2) | [LANGUAGE CONSISTENCY RULE] ALL output text MUST be written strictly in (Spanish). | [LANGUAGE SEED CONTEXT] Language Seed Not Necessary | [LANGUAGE] Spanish | [MENTOR_SCOPE_EXPECTATIONS] Expect complete OTP apps with DynamicSupervisor, clean separation of Client API/Server Callbacks, and handle_info/2 pattern matching. | [CODE_QUALITY_POLICIES] Code MUST be idiomatic Elixir. Use descriptive snake_case for functions/variables, and PascalCase for module aliases. Leverage proper tuple pattern matching (e.g., {:noreply, new_state}) and strict immutability within process boundaries. Reject process mailbox clogging, blocking callbacks, bypassing OTP behaviors, or modifying external global state. If using default arguments ('\\') with multiple function clauses or callbacks, you MUST declare a function head without a body.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OTP code, and fully functional Elixir OTP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#4 | Practice | Elixir OTP | 📊 Level: Advanced
**Topic:** Implement encapsulated state with Agents using Agent.start_link/2, Agent.get/3, Agent.update/3, and Agent.cast/2.
---
 | [FOOTER RULE - STRICT] End your response with: '--- ⚡ *Coding5s Mentor System — Eliminating Epistemic Debt*' | </v>
      </c>
      <c r="M12" s="52">
        <v>0</v>
      </c>
      <c r="N12" s="102" t="str">
        <f t="shared" si="3"/>
        <v>[ROLE] Careless Elixir OTP Developer | [TASK] Generate debugging challenges in Elixir OTP | | [TOPIC] Implement encapsulated state with Agents using Agent.start_link/2, Agent.get/3, Agent.update/3, and Agent.cast/2. | | [LEVEL] Advanced | | [COUNT] 3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Topic #4 | Stage 2 🐛 Debug | Elixir OTP | 📊 Level: Advanced | 🌐 Coding5s.com
Concept: Encapsulated State with Agents (Agent.start_link/2, Agent.get/3, Agent.update/3, Agent.cast/2)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Use standard Elixir File module and gracefully handle {:ok, data} and {:error, reason} tuples | Environment variables may be used but bugs MUST exist ONLY in code logic, NEVER in config files | If env/config is used, MUST include: 1. Instructional sentence 2. File content in markdown code block 3. BEFORE the broken code (Support files MUST contain NO bugs) | [EXUNIT RULE] If the topic involves ExUnit or Testing, NEVER use doctests (@doc iex&gt;). You MUST use standard test macros (test 'test name' do) and assert statements. Doctests cause errors in standalone .exs scripts. | [HEX DEPENDENCIES RULE] If the exercise requires using an external Hex package in a standalone script, you MUST use Mix.install([{:package_name, '~&gt; version'}]) at the very top of the code block. Assume there is NO mix.exs file available in the user's environment. | [CODE CONSTRAINTS] Each challenge MUST include: - Internal data OR dataset usage - At least 1 Enum/List operation or recursion (when applicable) - At least 1 IO.puts or IO.inspect statement - 15–35 lines of EXECUTABLE broken code per example (STRICT: Do NOT count blank lines). Use pure functions and immutability. | All challenges MUST have similar complexity and length. | [INTRO RULE] The intro MUST be a dynamically generated, urgent, unprofessional email in Spanish with this EXACT format: '📥 From: [Random Dev Name]' / '📤 To: [Insert my user name if you know it from context, otherwise use Elixir OTP Developer]' / 'Subject: [Generate a funny, desperate Subject]'. Body MUST be unique every time. Do NOT copy this example exactly, but use this vibe: 'Ay, no sé ni qué hora es, pero aquí tienes estas cosas que apenas funcionan. Arréglalo tú si tanto te importa el orden. No consigo que corran. Ayúdame y luego te invito al almuerzo. El jefe urge...'. Make it short, informal, and funny for the student. IMMEDIATELY AFTER the email body, you MUST include this exact instruction block translated to Spanish: '🚨 Your objective in this lesson: You must copy the code blocks from each Challenge exactly as they are and paste them into your IDE. Then you have to fix all the errors in the code until you achieve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three dimensions: 1. Syntax Errors (e.g., mismatched delimiters, invalid indentation, invalid syntax, SyntaxError). 2. Runtime Exceptions (e.g., TypeError when mixing types, ValueError with invalid arguments, IndexError on collections, KeyError on dictionaries, ZeroDivisionError). 3. Logic Errors (e.g., incorrect Boolean logic, off-by-one errors in loops, wrong mathematical formulas, variable shadowing, or incorrect use of mutable defaults). Errors MUST be realistic and mimic common mistakes made by junior developers in production-like environments. | [EXECUTION RULE] Code must fail due to syntax errors, runtime exceptions, or produce incorrect output | [DATA RULE - STRICT] A dataset MAY be provided in THIS CURRENT PROMPT. If a NEW dataset IS attached to THIS prompt, you MUST: 1. Detect and acknowledge it BEFORE challenges 2. Explicitly state file type 3. Describe structure 4. List columns or fields 5. Infer data types 6. Display dataset summary IMMEDIATELY AFTER THE HEADER 7. State ALL challenges use it 8. Use it directly (DO NOT recreate data). If NO dataset is provided IN THIS CURRENT PROMPT: - STRICT: You MUST explicitly state 'No synthetic data file was provided. Generating dummy data.' (translate this phrase to Spanish) - Generate minimal internal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2" s="103" t="str">
        <f t="shared" si="4"/>
        <v xml:space="preserve">[MENTOR_S2_DETECTIVE] Act as 'The Analytical Partner' (El Detective con Café) - a World-Class Elite Technical Mentor for Stage 2 Debugging specializing in Elixir OTP.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encapsulated state with Agents using Agent.start_link/2, Agent.get/3, Agent.update/3, and Agent.cast/2.. Topic details: Encapsulated State with Agents (Agent.start_link/2, Agent.get/3, Agent.update/3, Agent.cast/2)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#4 | Debug | Elixir OTP | 📊 Level: Advanced
**Topic:** Implement encapsulated state with Agents using Agent.start_link/2, Agent.get/3, Agent.update/3, and Agent.cast/2.
---
 | [PYTHON QUALITY RULE - STRICT] Code MUST be production-like, clean, and idiomatic Elixir. Use descriptive snake_case for variables and functions. Use pure functions and strict immutability. If using default arguments (\\\\) with multiple function clauses, you MUST declare a function head without a body to avoid compiler warnings.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OTP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OTP).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OTP code, and fully functional Elixir OTP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2" s="52">
        <v>0</v>
      </c>
      <c r="Q12" s="102" t="str">
        <f t="shared" si="5"/>
        <v>[ROLE] Tech Lead | [TASK] Assign incomplete Elixir OTP script challenges | [TOPIC] Implement encapsulated state with Agents using Agent.start_link/2, Agent.get/3, Agent.update/3, and Agent.cast/2. | [LEVEL] Advanced | [COUNT] 3 challenges | [LIBRARY BEING LEARNED]  | [ECOSYSTEM ORIENTATION RULE] If a module or ecosystem like Explorer or Nx is specified in [LIBRARY BEING LEARNED], you are CRITICALLY FORBIDDEN from using manual recursion or nested loop implementations. You MUST enforce the native, optimized data structures and vectorized operations of that specific library. | [HEADER RULE - STRICT] You MUST start your entire response EXACTLY with this markdown block (do not print anything before it):
### 🔹 Topic #4 | Stage 3 🧩 Complete | Elixir OTP | 📊 Level: Advanced | 🌐 Coding5s.com
**Concept:** Encapsulated State with Agents (Agent.start_link/2, Agent.get/3, Agent.update/3, Agent.cast/2)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[EXTERNAL_PACKAGE_PROTOCOL] If the exercise requires using an external Hex package in a standalone script, you MUST use Mix.install([{:package_name, '~&gt; version'}]) at the very top of the code block. | [TESTING_FRAMEWORK_PROTOCOL] If the topic involves ExUnit or Testing, NEVER use doctests (@doc iex&gt;). You MUST use standard test macros (test 'test name' do) and assert statements. | [CHALLENGE_CONSTRAINTS_POLICY] Each challenge MUST include: - Internal data OR dataset usage - 15–35 lines of EXECUTABLE base code (STRICT: Do NOT count comments or TODOs). - Length MUST vary across challenges. Use pure functions and immutability.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Elixir OTP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encapsulated state with Agents using Agent.start_link/2, Agent.get/3, Agent.update/3, and Agent.cast/2..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2" s="103" t="str">
        <f t="shared" si="6"/>
        <v xml:space="preserve">[MENTOR_S3_BUILDER] Act as 'The Logical Scaffold' (El Maestro de Obra) - a World-Class Elite Technical Mentor for Stage 3 Code Completion specializing in Elixir OTP.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encapsulated state with Agents using Agent.start_link/2, Agent.get/3, Agent.update/3, and Agent.cast/2.. Topic details: Encapsulated State with Agents (Agent.start_link/2, Agent.get/3, Agent.update/3, Agent.cast/2)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#4 | Complete | Elixir OTP | 📊 Level: Advanced
**Topic:** Implement encapsulated state with Agents using Agent.start_link/2, Agent.get/3, Agent.update/3, and Agent.cast/2.
---
 | [PYTHON QUALITY RULE - STRICT] Code MUST be explicitly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2" s="52">
        <v>0</v>
      </c>
      <c r="T12" s="102" t="str">
        <f t="shared" si="7"/>
        <v>[ROLE] Tech Lead | [TASK] Provide intentionally messy but functional code for learning debugging and improvement | [TOPIC] Implement encapsulated state with Agents using Agent.start_link/2, Agent.get/3, Agent.update/3, and Agent.cast/2. | [LEVEL] Advanced | [COUNT] 3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#4 | Stage 4 🧹 Refactor | Elixir OTP | 📊 Level: Advanced | 🌐 Coding5s.com
**Concept:** Encapsulated State with Agents (Agent.start_link/2, Agent.get/3, Agent.update/3, Agent.cast/2)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Elixir OTP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2" s="103" t="str">
        <f t="shared" si="8"/>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Elixir OTP', 'limpia este desastre'). Match the cultural vibe of a senior who is tired of seeing bad code. | [CONTEXT] You are performing a Code Review for a TOPIC: Implement encapsulated state with Agents using Agent.start_link/2, Agent.get/3, Agent.update/3, and Agent.cast/2.. Topic details: Encapsulated State with Agents (Agent.start_link/2, Agent.get/3, Agent.update/3, Agent.cast/2)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#4 | Refactor | Elixir OTP | 📊 Level: Advanced
**Topic:** Implement encapsulated state with Agents using Agent.start_link/2, Agent.get/3, Agent.update/3, and Agent.cast/2.
---
 | [PYTHON QUALITY RULE - STRICT] Code MUST be explicitly compliant with language-standard style guides. Use descriptive snake_case for variables and functions. Avoid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OTP built-in, standard library module, or good Elixir OTP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OTP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2" s="52">
        <v>0</v>
      </c>
      <c r="W12" s="87" t="str">
        <f t="shared" si="9"/>
        <v>[ROLE] Tech Product Manager assigning a Elixir OTP Jira Ticket | [TASK] Provide a guided implementation exercise with full solution for learning purposes | [TOPIC] Implement encapsulated state with Agents using Agent.start_link/2, Agent.get/3, Agent.update/3, and Agent.cast/2. | [LEVEL] Advanced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#4 | Stage 5 | Elixir OTP | 📊 Level: Advanced | 🌐 Coding5s.com
**Concept:** Encapsulated State with Agents (Agent.start_link/2, Agent.get/3, Agent.update/3, Agent.cast/2)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OTP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OTP Dev']
Subject: Assignment Details
Hello [Insert my user name if known, otherwise use 'Elixir OTP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Spanish).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2" s="103" t="str">
        <f t="shared" si="10"/>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encapsulated state with Agents using Agent.start_link/2, Agent.get/3, Agent.update/3, and Agent.cast/2.. Goal: Encapsulated State with Agents (Agent.start_link/2, Agent.get/3, Agent.update/3, Agent.cast/2)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#4 | Extend | Elixir OTP | 📊 Level: Advanced
**Topic:** Implement encapsulated state with Agents using Agent.start_link/2, Agent.get/3, Agent.update/3, and Agent.cast/2.
---
 | [CODE_QUALITY_PROTOCOL] Code MUST be explicitly compliant with language-standard style guides. Use descriptive snake_case for variables and functions. NEVER use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2" s="52">
        <v>0</v>
      </c>
      <c r="Z12" s="56" t="str">
        <f t="shared" si="11"/>
        <v/>
      </c>
      <c r="AA12" s="56" t="str">
        <f t="shared" si="12"/>
        <v/>
      </c>
      <c r="AB12" s="56" t="str">
        <f t="shared" si="13"/>
        <v/>
      </c>
      <c r="AC12" s="56" t="str">
        <f t="shared" si="14"/>
        <v/>
      </c>
      <c r="AD12" s="56" t="str">
        <f t="shared" si="15"/>
        <v/>
      </c>
      <c r="AE12" s="55" t="s">
        <v>68</v>
      </c>
      <c r="AF12" s="55" t="s">
        <v>69</v>
      </c>
      <c r="AG12" s="55" t="s">
        <v>70</v>
      </c>
      <c r="AH12" s="56" t="str">
        <f>IF(AE12=$B$6,AG12,"")</f>
        <v/>
      </c>
      <c r="AI12" s="54" t="s">
        <v>71</v>
      </c>
      <c r="AJ12" s="54"/>
      <c r="AK12" s="54">
        <v>4</v>
      </c>
      <c r="AL12" s="54" t="s">
        <v>72</v>
      </c>
      <c r="AM12" s="54" t="s">
        <v>73</v>
      </c>
    </row>
    <row r="13" spans="1:39">
      <c r="A13" s="95">
        <v>25</v>
      </c>
      <c r="B13" s="45" t="str" cm="1">
        <f t="array" ref="B13">IF(H13="PROJECT", CHAR(10) &amp; "- " &amp; _xlfn.TEXTJOIN(CHAR(10) &amp; "- ", TRUE, _xlfn._xlws.FILTER($I$9:$I$1000, ($C$9:$C$1000=C13) * ($H$9:$H$1000="Topic"))), "")</f>
        <v/>
      </c>
      <c r="C13" s="45">
        <f t="shared" si="0"/>
        <v>1</v>
      </c>
      <c r="D13" s="46">
        <v>4</v>
      </c>
      <c r="E13" s="58" t="s">
        <v>48</v>
      </c>
      <c r="F13" s="48">
        <v>5</v>
      </c>
      <c r="G13" s="49" t="s">
        <v>162</v>
      </c>
      <c r="H13" s="49" t="s">
        <v>50</v>
      </c>
      <c r="I13" s="50" t="s">
        <v>766</v>
      </c>
      <c r="J13" s="51" t="s">
        <v>767</v>
      </c>
      <c r="K13" s="120" t="str">
        <f t="shared" si="1"/>
        <v xml:space="preserve">[ROLE] Friendly tutor specializing in Elixir OTP | [TOPIC] Construct GenServer core structures and synchronous flows using use GenServer, init/1, GenServer.call/3, and handle_call/3. | [LEVEL] Advanced | [COUNT] 4 examples | [LIBRARY BEING LEARNED]  | [ECOSYSTEM ORIENTATION RULE] If a module or ecosystem like GenServer, Supervisor, Registry, or DynamicSupervisor is specified in , you are CRITICALLY FORBIDDEN from using manual process linking (spawn/1, spawn_link/1) outside standard OTP behaviors. You MUST enforce the concurrent asynchronous processes and proper Supervisor tree state isolation and data structures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25 lines of EXECUTABLE code (STRICT: Do NOT count comments or blank lines). - NEVER exceed this limit. | [FUNCTION RULE] Rule: stateful GenServer state or external message passing | [CODE_CONSTRAINTS_RULE] Each example MUST: - Use stateful GenServer state or external message passing - Print steps &amp; result via Logger.info/debug or IO.inspect inside isolated process callbacks - MAX 25 executable lines (comments/blanks excluded) - NEVER exceed limit. | [I_O_PARADIGM] Use standard OTP message passing via send/2 or GenServer.call/3 and gracefully handle {:reply, response, new_state}, {:noreply, new_state}, and {:ok, state} tuples when applicable. | [INLINE_PACKAGE_MANAGER] If using external packages, use Standard mix.exs dependencies list (defp deps do [{:package_name, '~&gt; version'}] end) at the top of the code block. Assume no project configuration file exists. | [TESTING_FRAMEWORK_LIMITS] For ExUnit with isolated async processes (use ExUnit.Case, async: true), NEVER use manual process link hacking outside of standard OTP abstractions. Use standard test macros and assert_receive/assert_received for message validation, as manual process link hacking outside of standard OTP abstractions fail in standalone execution environments. | [CODE QUALITY RULE] Code MUST be clean, readable, educational, executable, and produce correct results. Handle missing, malformed, or inconsistent data safely, utilizing pattern matching if possible. | [COMMENT CONSTRAINTS] Code MUST include sufficient inline comments explaining WHAT the code does AND WHY it is written that way. Density: Beginner = high, Intermediate = medium, Advanced = 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#5 | Stage 1 📖 Practice | Elixir OTP | 📊 Level: Advanced | 🌐 Coding5s.com
**Concept:** GenServer Core &amp; Synchronous Flow (use GenServer, init/1, GenServer.call/3, handle_call/3)
---
 | [INTRO RULE] Include a short tutor-style sentence in Spanish before the analogy, followed by this EXACT instruction block translated to Spanish: '🚨 **Your objective in this lesson:** To truly learn the new  Elixir OTP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[PERSONA RULE] Act as a friendly, clear tutor | [TASK] Teach and explain concepts clearly with correct code examples | [OUTPUT CONTRACT] EXACTLY 4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Evaluate ONLY current attachments. IF FILE ATTACHED: Acknowledge it, place Dataset Summary (Type, Structure, Columns, Data Types) IMMEDIATELY AFTER HEADER, and strictly use it for ALL examples. IF NO FILE ATTACHED: Explicitly print 'No synthetic data file was provided for this topic. Generating dummy data.' (translate to Spanish), generate minimal dummy data internally, and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3" s="103" t="str">
        <f t="shared" si="2"/>
        <v xml:space="preserve">[MENTOR_S1_SAFE_GUIDE] Act as 'The Safe Guide' (El Hermano Mayor) - a World-Class Elite Technical Mentor for Stage 1 Practice specializing in Elixir OTP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Construct GenServer core structures and synchronous flows using use GenServer, init/1, GenServer.call/3, and handle_call/3.. Topic details: GenServer Core &amp; Synchronous Flow (use GenServer, init/1, GenServer.call/3, handle_call/3) | [LANGUAGE CONSISTENCY RULE] ALL output text MUST be written strictly in (Spanish). | [LANGUAGE SEED CONTEXT] Language Seed Not Necessary | [LANGUAGE] Spanish | [MENTOR_SCOPE_EXPECTATIONS] Expect complete OTP apps with DynamicSupervisor, clean separation of Client API/Server Callbacks, and handle_info/2 pattern matching. | [CODE_QUALITY_POLICIES] Code MUST be idiomatic Elixir. Use descriptive snake_case for functions/variables, and PascalCase for module aliases. Leverage proper tuple pattern matching (e.g., {:noreply, new_state}) and strict immutability within process boundaries. Reject process mailbox clogging, blocking callbacks, bypassing OTP behaviors, or modifying external global state. If using default arguments ('\\') with multiple function clauses or callbacks, you MUST declare a function head without a body.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OTP code, and fully functional Elixir OTP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#5 | Practice | Elixir OTP | 📊 Level: Advanced
**Topic:** Construct GenServer core structures and synchronous flows using use GenServer, init/1, GenServer.call/3, and handle_call/3.
---
 | [FOOTER RULE - STRICT] End your response with: '--- ⚡ *Coding5s Mentor System — Eliminating Epistemic Debt*' | </v>
      </c>
      <c r="M13" s="52">
        <v>0</v>
      </c>
      <c r="N13" s="102" t="str">
        <f t="shared" si="3"/>
        <v>[ROLE] Careless Elixir OTP Developer | [TASK] Generate debugging challenges in Elixir OTP | | [TOPIC] Construct GenServer core structures and synchronous flows using use GenServer, init/1, GenServer.call/3, and handle_call/3. | | [LEVEL] Advanced |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Topic #5 | Stage 2 🐛 Debug | Elixir OTP | 📊 Level: Advanced | 🌐 Coding5s.com
Concept: GenServer Core &amp; Synchronous Flow (use GenServer, init/1, GenServer.call/3, handle_call/3)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Use standard Elixir File module and gracefully handle {:ok, data} and {:error, reason} tuples | Environment variables may be used but bugs MUST exist ONLY in code logic, NEVER in config files | If env/config is used, MUST include: 1. Instructional sentence 2. File content in markdown code block 3. BEFORE the broken code (Support files MUST contain NO bugs) | [EXUNIT RULE] If the topic involves ExUnit or Testing, NEVER use doctests (@doc iex&gt;). You MUST use standard test macros (test 'test name' do) and assert statements. Doctests cause errors in standalone .exs scripts. | [HEX DEPENDENCIES RULE] If the exercise requires using an external Hex package in a standalone script, you MUST use Mix.install([{:package_name, '~&gt; version'}]) at the very top of the code block. Assume there is NO mix.exs file available in the user's environment. | [CODE CONSTRAINTS] Each challenge MUST include: - Internal data OR dataset usage - At least 1 Enum/List operation or recursion (when applicable) - At least 1 IO.puts or IO.inspect statement - 15–35 lines of EXECUTABLE broken code per example (STRICT: Do NOT count blank lines). Use pure functions and immutability. | All challenges MUST have similar complexity and length. | [INTRO RULE] The intro MUST be a dynamically generated, urgent, unprofessional email in Spanish with this EXACT format: '📥 From: [Random Dev Name]' / '📤 To: [Insert my user name if you know it from context, otherwise use Elixir OTP Developer]' / 'Subject: [Generate a funny, desperate Subject]'. Body MUST be unique every time. Do NOT copy this example exactly, but use this vibe: 'Ay, no sé ni qué hora es, pero aquí tienes estas cosas que apenas funcionan. Arréglalo tú si tanto te importa el orden. No consigo que corran. Ayúdame y luego te invito al almuerzo. El jefe urge...'. Make it short, informal, and funny for the student. IMMEDIATELY AFTER the email body, you MUST include this exact instruction block translated to Spanish: '🚨 Your objective in this lesson: You must copy the code blocks from each Challenge exactly as they are and paste them into your IDE. Then you have to fix all the errors in the code until you achieve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three dimensions: 1. Syntax Errors (e.g., mismatched delimiters, invalid indentation, invalid syntax, SyntaxError). 2. Runtime Exceptions (e.g., TypeError when mixing types, ValueError with invalid arguments, IndexError on collections, KeyError on dictionaries, ZeroDivisionError). 3. Logic Errors (e.g., incorrect Boolean logic, off-by-one errors in loops, wrong mathematical formulas, variable shadowing, or incorrect use of mutable defaults). Errors MUST be realistic and mimic common mistakes made by junior developers in production-like environments. | [EXECUTION RULE] Code must fail due to syntax errors, runtime exceptions, or produce incorrect output | [DATA RULE - STRICT] A dataset MAY be provided in THIS CURRENT PROMPT. If a NEW dataset IS attached to THIS prompt, you MUST: 1. Detect and acknowledge it BEFORE challenges 2. Explicitly state file type 3. Describe structure 4. List columns or fields 5. Infer data types 6. Display dataset summary IMMEDIATELY AFTER THE HEADER 7. State ALL challenges use it 8. Use it directly (DO NOT recreate data). If NO dataset is provided IN THIS CURRENT PROMPT: - STRICT: You MUST explicitly state 'No synthetic data file was provided. Generating dummy data.' (translate this phrase to Spanish) - Generate minimal internal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3" s="103" t="str">
        <f t="shared" si="4"/>
        <v xml:space="preserve">[MENTOR_S2_DETECTIVE] Act as 'The Analytical Partner' (El Detective con Café) - a World-Class Elite Technical Mentor for Stage 2 Debugging specializing in Elixir OTP.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Construct GenServer core structures and synchronous flows using use GenServer, init/1, GenServer.call/3, and handle_call/3.. Topic details: GenServer Core &amp; Synchronous Flow (use GenServer, init/1, GenServer.call/3, handle_call/3)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#5 | Debug | Elixir OTP | 📊 Level: Advanced
**Topic:** Construct GenServer core structures and synchronous flows using use GenServer, init/1, GenServer.call/3, and handle_call/3.
---
 | [PYTHON QUALITY RULE - STRICT] Code MUST be production-like, clean, and idiomatic Elixir. Use descriptive snake_case for variables and functions. Use pure functions and strict immutability. If using default arguments (\\\\) with multiple function clauses, you MUST declare a function head without a body to avoid compiler warnings.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OTP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OTP).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OTP code, and fully functional Elixir OTP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3" s="53">
        <v>0</v>
      </c>
      <c r="Q13" s="102" t="str">
        <f t="shared" si="5"/>
        <v>[ROLE] Tech Lead | [TASK] Assign incomplete Elixir OTP script challenges | [TOPIC] Construct GenServer core structures and synchronous flows using use GenServer, init/1, GenServer.call/3, and handle_call/3. | [LEVEL] Advanced | [COUNT] 4 challenges | [LIBRARY BEING LEARNED]  | [ECOSYSTEM ORIENTATION RULE] If a module or ecosystem like Explorer or Nx is specified in [LIBRARY BEING LEARNED], you are CRITICALLY FORBIDDEN from using manual recursion or nested loop implementations. You MUST enforce the native, optimized data structures and vectorized operations of that specific library. | [HEADER RULE - STRICT] You MUST start your entire response EXACTLY with this markdown block (do not print anything before it):
### 🔹 Topic #5 | Stage 3 🧩 Complete | Elixir OTP | 📊 Level: Advanced | 🌐 Coding5s.com
**Concept:** GenServer Core &amp; Synchronous Flow (use GenServer, init/1, GenServer.call/3, handle_call/3)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[EXTERNAL_PACKAGE_PROTOCOL] If the exercise requires using an external Hex package in a standalone script, you MUST use Mix.install([{:package_name, '~&gt; version'}]) at the very top of the code block. | [TESTING_FRAMEWORK_PROTOCOL] If the topic involves ExUnit or Testing, NEVER use doctests (@doc iex&gt;). You MUST use standard test macros (test 'test name' do) and assert statements. | [CHALLENGE_CONSTRAINTS_POLICY] Each challenge MUST include: - Internal data OR dataset usage - 15–35 lines of EXECUTABLE base code (STRICT: Do NOT count comments or TODOs). - Length MUST vary across challenges. Use pure functions and immutability.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Elixir OTP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Construct GenServer core structures and synchronous flows using use GenServer, init/1, GenServer.call/3, and handle_call/3..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3" s="103" t="str">
        <f t="shared" si="6"/>
        <v xml:space="preserve">[MENTOR_S3_BUILDER] Act as 'The Logical Scaffold' (El Maestro de Obra) - a World-Class Elite Technical Mentor for Stage 3 Code Completion specializing in Elixir OTP.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Construct GenServer core structures and synchronous flows using use GenServer, init/1, GenServer.call/3, and handle_call/3.. Topic details: GenServer Core &amp; Synchronous Flow (use GenServer, init/1, GenServer.call/3, handle_call/3)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#5 | Complete | Elixir OTP | 📊 Level: Advanced
**Topic:** Construct GenServer core structures and synchronous flows using use GenServer, init/1, GenServer.call/3, and handle_call/3.
---
 | [PYTHON QUALITY RULE - STRICT] Code MUST be explicitly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3" s="53">
        <v>0</v>
      </c>
      <c r="T13" s="102" t="str">
        <f t="shared" si="7"/>
        <v>[ROLE] Tech Lead | [TASK] Provide intentionally messy but functional code for learning debugging and improvement | [TOPIC] Construct GenServer core structures and synchronous flows using use GenServer, init/1, GenServer.call/3, and handle_call/3. | [LEVEL] Advanced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#5 | Stage 4 🧹 Refactor | Elixir OTP | 📊 Level: Advanced | 🌐 Coding5s.com
**Concept:** GenServer Core &amp; Synchronous Flow (use GenServer, init/1, GenServer.call/3, handle_call/3)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Elixir OTP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3" s="103" t="str">
        <f t="shared" si="8"/>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Elixir OTP', 'limpia este desastre'). Match the cultural vibe of a senior who is tired of seeing bad code. | [CONTEXT] You are performing a Code Review for a TOPIC: Construct GenServer core structures and synchronous flows using use GenServer, init/1, GenServer.call/3, and handle_call/3.. Topic details: GenServer Core &amp; Synchronous Flow (use GenServer, init/1, GenServer.call/3, handle_call/3)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#5 | Refactor | Elixir OTP | 📊 Level: Advanced
**Topic:** Construct GenServer core structures and synchronous flows using use GenServer, init/1, GenServer.call/3, and handle_call/3.
---
 | [PYTHON QUALITY RULE - STRICT] Code MUST be explicitly compliant with language-standard style guides. Use descriptive snake_case for variables and functions. Avoid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OTP built-in, standard library module, or good Elixir OTP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OTP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3" s="53">
        <v>0</v>
      </c>
      <c r="W13" s="87" t="str">
        <f t="shared" si="9"/>
        <v>[ROLE] Tech Product Manager assigning a Elixir OTP Jira Ticket | [TASK] Provide a guided implementation exercise with full solution for learning purposes | [TOPIC] Construct GenServer core structures and synchronous flows using use GenServer, init/1, GenServer.call/3, and handle_call/3. | [LEVEL] Advanced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#5 | Stage 5 | Elixir OTP | 📊 Level: Advanced | 🌐 Coding5s.com
**Concept:** GenServer Core &amp; Synchronous Flow (use GenServer, init/1, GenServer.call/3, handle_call/3)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OTP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OTP Dev']
Subject: Assignment Details
Hello [Insert my user name if known, otherwise use 'Elixir OTP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Spanish).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3" s="103" t="str">
        <f t="shared" si="10"/>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Construct GenServer core structures and synchronous flows using use GenServer, init/1, GenServer.call/3, and handle_call/3.. Goal: GenServer Core &amp; Synchronous Flow (use GenServer, init/1, GenServer.call/3, handle_call/3)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#5 | Extend | Elixir OTP | 📊 Level: Advanced
**Topic:** Construct GenServer core structures and synchronous flows using use GenServer, init/1, GenServer.call/3, and handle_call/3.
---
 | [CODE_QUALITY_PROTOCOL] Code MUST be explicitly compliant with language-standard style guides. Use descriptive snake_case for variables and functions. NEVER use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3" s="53">
        <v>0</v>
      </c>
      <c r="Z13" s="56" t="str">
        <f t="shared" si="11"/>
        <v/>
      </c>
      <c r="AA13" s="56" t="str">
        <f t="shared" si="12"/>
        <v/>
      </c>
      <c r="AB13" s="56" t="str">
        <f t="shared" si="13"/>
        <v/>
      </c>
      <c r="AC13" s="56" t="str">
        <f t="shared" si="14"/>
        <v/>
      </c>
      <c r="AD13" s="56" t="str">
        <f t="shared" si="15"/>
        <v/>
      </c>
      <c r="AE13" s="40" t="s">
        <v>74</v>
      </c>
      <c r="AF13" s="40" t="s">
        <v>75</v>
      </c>
      <c r="AG13" s="40" t="s">
        <v>76</v>
      </c>
      <c r="AH13" s="56" t="str">
        <f t="shared" ref="AH13:AH76" si="16">IF(AE13=$B$6,AG13,"")</f>
        <v/>
      </c>
      <c r="AI13" s="54"/>
      <c r="AJ13" s="54"/>
      <c r="AK13" s="54">
        <v>5</v>
      </c>
      <c r="AL13" s="54" t="s">
        <v>77</v>
      </c>
      <c r="AM13" s="54" t="s">
        <v>78</v>
      </c>
    </row>
    <row r="14" spans="1:39">
      <c r="A14" s="95">
        <v>20</v>
      </c>
      <c r="B14" s="45" t="str" cm="1">
        <f t="array" ref="B14">IF(H14="PROJECT", CHAR(10) &amp; "- " &amp; _xlfn.TEXTJOIN(CHAR(10) &amp; "- ", TRUE, _xlfn._xlws.FILTER($I$9:$I$1000, ($C$9:$C$1000=C14) * ($H$9:$H$1000="Topic"))), "")</f>
        <v/>
      </c>
      <c r="C14" s="45">
        <f t="shared" si="0"/>
        <v>1</v>
      </c>
      <c r="D14" s="57">
        <v>4</v>
      </c>
      <c r="E14" s="58" t="s">
        <v>48</v>
      </c>
      <c r="F14" s="59">
        <v>6</v>
      </c>
      <c r="G14" s="60" t="s">
        <v>162</v>
      </c>
      <c r="H14" s="60" t="s">
        <v>50</v>
      </c>
      <c r="I14" s="61" t="s">
        <v>768</v>
      </c>
      <c r="J14" s="62" t="s">
        <v>769</v>
      </c>
      <c r="K14" s="120" t="str">
        <f t="shared" si="1"/>
        <v xml:space="preserve">[ROLE] Friendly tutor specializing in Elixir OTP | [TOPIC] Implement asynchronous flow and deferred initialization using GenServer.cast/2, handle_cast/2, and handle_continue/2 for non-blocking init. | [LEVEL] Advanced | [COUNT] 4 examples | [LIBRARY BEING LEARNED]  | [ECOSYSTEM ORIENTATION RULE] If a module or ecosystem like GenServer, Supervisor, Registry, or DynamicSupervisor is specified in , you are CRITICALLY FORBIDDEN from using manual process linking (spawn/1, spawn_link/1) outside standard OTP behaviors. You MUST enforce the concurrent asynchronous processes and proper Supervisor tree state isolation and data structures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20 lines of EXECUTABLE code (STRICT: Do NOT count comments or blank lines). - NEVER exceed this limit. | [FUNCTION RULE] Rule: stateful GenServer state or external message passing | [CODE_CONSTRAINTS_RULE] Each example MUST: - Use stateful GenServer state or external message passing - Print steps &amp; result via Logger.info/debug or IO.inspect inside isolated process callbacks - MAX 20 executable lines (comments/blanks excluded) - NEVER exceed limit. | [I_O_PARADIGM] Use standard OTP message passing via send/2 or GenServer.call/3 and gracefully handle {:reply, response, new_state}, {:noreply, new_state}, and {:ok, state} tuples when applicable. | [INLINE_PACKAGE_MANAGER] If using external packages, use Standard mix.exs dependencies list (defp deps do [{:package_name, '~&gt; version'}] end) at the top of the code block. Assume no project configuration file exists. | [TESTING_FRAMEWORK_LIMITS] For ExUnit with isolated async processes (use ExUnit.Case, async: true), NEVER use manual process link hacking outside of standard OTP abstractions. Use standard test macros and assert_receive/assert_received for message validation, as manual process link hacking outside of standard OTP abstractions fail in standalone execution environments. | [CODE QUALITY RULE] Code MUST be clean, readable, educational, executable, and produce correct results. Handle missing, malformed, or inconsistent data safely, utilizing pattern matching if possible. | [COMMENT CONSTRAINTS] Code MUST include sufficient inline comments explaining WHAT the code does AND WHY it is written that way. Density: Beginner = high, Intermediate = medium, Advanced = 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#6 | Stage 1 📖 Practice | Elixir OTP | 📊 Level: Advanced | 🌐 Coding5s.com
**Concept:** Asynchronous Flow &amp; Deferred Init (GenServer.cast/2, handle_cast/2, handle_continue/2 for non-blocking init)
---
 | [INTRO RULE] Include a short tutor-style sentence in Spanish before the analogy, followed by this EXACT instruction block translated to Spanish: '🚨 **Your objective in this lesson:** To truly learn the new  Elixir OTP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[PERSONA RULE] Act as a friendly, clear tutor | [TASK] Teach and explain concepts clearly with correct code examples | [OUTPUT CONTRACT] EXACTLY 4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Evaluate ONLY current attachments. IF FILE ATTACHED: Acknowledge it, place Dataset Summary (Type, Structure, Columns, Data Types) IMMEDIATELY AFTER HEADER, and strictly use it for ALL examples. IF NO FILE ATTACHED: Explicitly print 'No synthetic data file was provided for this topic. Generating dummy data.' (translate to Spanish), generate minimal dummy data internally, and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4" s="103" t="str">
        <f t="shared" si="2"/>
        <v xml:space="preserve">[MENTOR_S1_SAFE_GUIDE] Act as 'The Safe Guide' (El Hermano Mayor) - a World-Class Elite Technical Mentor for Stage 1 Practice specializing in Elixir OTP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asynchronous flow and deferred initialization using GenServer.cast/2, handle_cast/2, and handle_continue/2 for non-blocking init.. Topic details: Asynchronous Flow &amp; Deferred Init (GenServer.cast/2, handle_cast/2, handle_continue/2 for non-blocking init) | [LANGUAGE CONSISTENCY RULE] ALL output text MUST be written strictly in (Spanish). | [LANGUAGE SEED CONTEXT] Language Seed Not Necessary | [LANGUAGE] Spanish | [MENTOR_SCOPE_EXPECTATIONS] Expect complete OTP apps with DynamicSupervisor, clean separation of Client API/Server Callbacks, and handle_info/2 pattern matching. | [CODE_QUALITY_POLICIES] Code MUST be idiomatic Elixir. Use descriptive snake_case for functions/variables, and PascalCase for module aliases. Leverage proper tuple pattern matching (e.g., {:noreply, new_state}) and strict immutability within process boundaries. Reject process mailbox clogging, blocking callbacks, bypassing OTP behaviors, or modifying external global state. If using default arguments ('\\') with multiple function clauses or callbacks, you MUST declare a function head without a body.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OTP code, and fully functional Elixir OTP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#6 | Practice | Elixir OTP | 📊 Level: Advanced
**Topic:** Implement asynchronous flow and deferred initialization using GenServer.cast/2, handle_cast/2, and handle_continue/2 for non-blocking init.
---
 | [FOOTER RULE - STRICT] End your response with: '--- ⚡ *Coding5s Mentor System — Eliminating Epistemic Debt*' | </v>
      </c>
      <c r="M14" s="52">
        <v>0</v>
      </c>
      <c r="N14" s="102" t="str">
        <f t="shared" si="3"/>
        <v>[ROLE] Careless Elixir OTP Developer | [TASK] Generate debugging challenges in Elixir OTP | | [TOPIC] Implement asynchronous flow and deferred initialization using GenServer.cast/2, handle_cast/2, and handle_continue/2 for non-blocking init. | | [LEVEL] Advanced |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Topic #6 | Stage 2 🐛 Debug | Elixir OTP | 📊 Level: Advanced | 🌐 Coding5s.com
Concept: Asynchronous Flow &amp; Deferred Init (GenServer.cast/2, handle_cast/2, handle_continue/2 for non-blocking init)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Use standard Elixir File module and gracefully handle {:ok, data} and {:error, reason} tuples | Environment variables may be used but bugs MUST exist ONLY in code logic, NEVER in config files | If env/config is used, MUST include: 1. Instructional sentence 2. File content in markdown code block 3. BEFORE the broken code (Support files MUST contain NO bugs) | [EXUNIT RULE] If the topic involves ExUnit or Testing, NEVER use doctests (@doc iex&gt;). You MUST use standard test macros (test 'test name' do) and assert statements. Doctests cause errors in standalone .exs scripts. | [HEX DEPENDENCIES RULE] If the exercise requires using an external Hex package in a standalone script, you MUST use Mix.install([{:package_name, '~&gt; version'}]) at the very top of the code block. Assume there is NO mix.exs file available in the user's environment. | [CODE CONSTRAINTS] Each challenge MUST include: - Internal data OR dataset usage - At least 1 Enum/List operation or recursion (when applicable) - At least 1 IO.puts or IO.inspect statement - 15–35 lines of EXECUTABLE broken code per example (STRICT: Do NOT count blank lines). Use pure functions and immutability. | All challenges MUST have similar complexity and length. | [INTRO RULE] The intro MUST be a dynamically generated, urgent, unprofessional email in Spanish with this EXACT format: '📥 From: [Random Dev Name]' / '📤 To: [Insert my user name if you know it from context, otherwise use Elixir OTP Developer]' / 'Subject: [Generate a funny, desperate Subject]'. Body MUST be unique every time. Do NOT copy this example exactly, but use this vibe: 'Ay, no sé ni qué hora es, pero aquí tienes estas cosas que apenas funcionan. Arréglalo tú si tanto te importa el orden. No consigo que corran. Ayúdame y luego te invito al almuerzo. El jefe urge...'. Make it short, informal, and funny for the student. IMMEDIATELY AFTER the email body, you MUST include this exact instruction block translated to Spanish: '🚨 Your objective in this lesson: You must copy the code blocks from each Challenge exactly as they are and paste them into your IDE. Then you have to fix all the errors in the code until you achieve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three dimensions: 1. Syntax Errors (e.g., mismatched delimiters, invalid indentation, invalid syntax, SyntaxError). 2. Runtime Exceptions (e.g., TypeError when mixing types, ValueError with invalid arguments, IndexError on collections, KeyError on dictionaries, ZeroDivisionError). 3. Logic Errors (e.g., incorrect Boolean logic, off-by-one errors in loops, wrong mathematical formulas, variable shadowing, or incorrect use of mutable defaults). Errors MUST be realistic and mimic common mistakes made by junior developers in production-like environments. | [EXECUTION RULE] Code must fail due to syntax errors, runtime exceptions, or produce incorrect output | [DATA RULE - STRICT] A dataset MAY be provided in THIS CURRENT PROMPT. If a NEW dataset IS attached to THIS prompt, you MUST: 1. Detect and acknowledge it BEFORE challenges 2. Explicitly state file type 3. Describe structure 4. List columns or fields 5. Infer data types 6. Display dataset summary IMMEDIATELY AFTER THE HEADER 7. State ALL challenges use it 8. Use it directly (DO NOT recreate data). If NO dataset is provided IN THIS CURRENT PROMPT: - STRICT: You MUST explicitly state 'No synthetic data file was provided. Generating dummy data.' (translate this phrase to Spanish) - Generate minimal internal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4" s="103" t="str">
        <f t="shared" si="4"/>
        <v xml:space="preserve">[MENTOR_S2_DETECTIVE] Act as 'The Analytical Partner' (El Detective con Café) - a World-Class Elite Technical Mentor for Stage 2 Debugging specializing in Elixir OTP.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asynchronous flow and deferred initialization using GenServer.cast/2, handle_cast/2, and handle_continue/2 for non-blocking init.. Topic details: Asynchronous Flow &amp; Deferred Init (GenServer.cast/2, handle_cast/2, handle_continue/2 for non-blocking init)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#6 | Debug | Elixir OTP | 📊 Level: Advanced
**Topic:** Implement asynchronous flow and deferred initialization using GenServer.cast/2, handle_cast/2, and handle_continue/2 for non-blocking init.
---
 | [PYTHON QUALITY RULE - STRICT] Code MUST be production-like, clean, and idiomatic Elixir. Use descriptive snake_case for variables and functions. Use pure functions and strict immutability. If using default arguments (\\\\) with multiple function clauses, you MUST declare a function head without a body to avoid compiler warnings.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OTP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OTP).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OTP code, and fully functional Elixir OTP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4" s="52">
        <v>0</v>
      </c>
      <c r="Q14" s="102" t="str">
        <f t="shared" si="5"/>
        <v>[ROLE] Tech Lead | [TASK] Assign incomplete Elixir OTP script challenges | [TOPIC] Implement asynchronous flow and deferred initialization using GenServer.cast/2, handle_cast/2, and handle_continue/2 for non-blocking init. | [LEVEL] Advanced | [COUNT] 4 challenges | [LIBRARY BEING LEARNED]  | [ECOSYSTEM ORIENTATION RULE] If a module or ecosystem like Explorer or Nx is specified in [LIBRARY BEING LEARNED], you are CRITICALLY FORBIDDEN from using manual recursion or nested loop implementations. You MUST enforce the native, optimized data structures and vectorized operations of that specific library. | [HEADER RULE - STRICT] You MUST start your entire response EXACTLY with this markdown block (do not print anything before it):
### 🔹 Topic #6 | Stage 3 🧩 Complete | Elixir OTP | 📊 Level: Advanced | 🌐 Coding5s.com
**Concept:** Asynchronous Flow &amp; Deferred Init (GenServer.cast/2, handle_cast/2, handle_continue/2 for non-blocking init)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[EXTERNAL_PACKAGE_PROTOCOL] If the exercise requires using an external Hex package in a standalone script, you MUST use Mix.install([{:package_name, '~&gt; version'}]) at the very top of the code block. | [TESTING_FRAMEWORK_PROTOCOL] If the topic involves ExUnit or Testing, NEVER use doctests (@doc iex&gt;). You MUST use standard test macros (test 'test name' do) and assert statements. | [CHALLENGE_CONSTRAINTS_POLICY] Each challenge MUST include: - Internal data OR dataset usage - 15–35 lines of EXECUTABLE base code (STRICT: Do NOT count comments or TODOs). - Length MUST vary across challenges. Use pure functions and immutability.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Elixir OTP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asynchronous flow and deferred initialization using GenServer.cast/2, handle_cast/2, and handle_continue/2 for non-blocking init..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4" s="103" t="str">
        <f t="shared" si="6"/>
        <v xml:space="preserve">[MENTOR_S3_BUILDER] Act as 'The Logical Scaffold' (El Maestro de Obra) - a World-Class Elite Technical Mentor for Stage 3 Code Completion specializing in Elixir OTP.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asynchronous flow and deferred initialization using GenServer.cast/2, handle_cast/2, and handle_continue/2 for non-blocking init.. Topic details: Asynchronous Flow &amp; Deferred Init (GenServer.cast/2, handle_cast/2, handle_continue/2 for non-blocking init)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#6 | Complete | Elixir OTP | 📊 Level: Advanced
**Topic:** Implement asynchronous flow and deferred initialization using GenServer.cast/2, handle_cast/2, and handle_continue/2 for non-blocking init.
---
 | [PYTHON QUALITY RULE - STRICT] Code MUST be explicitly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4" s="53">
        <v>0</v>
      </c>
      <c r="T14" s="102" t="str">
        <f t="shared" si="7"/>
        <v>[ROLE] Tech Lead | [TASK] Provide intentionally messy but functional code for learning debugging and improvement | [TOPIC] Implement asynchronous flow and deferred initialization using GenServer.cast/2, handle_cast/2, and handle_continue/2 for non-blocking init. | [LEVEL] Advanced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#6 | Stage 4 🧹 Refactor | Elixir OTP | 📊 Level: Advanced | 🌐 Coding5s.com
**Concept:** Asynchronous Flow &amp; Deferred Init (GenServer.cast/2, handle_cast/2, handle_continue/2 for non-blocking init)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Elixir OTP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4" s="103" t="str">
        <f t="shared" si="8"/>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Elixir OTP', 'limpia este desastre'). Match the cultural vibe of a senior who is tired of seeing bad code. | [CONTEXT] You are performing a Code Review for a TOPIC: Implement asynchronous flow and deferred initialization using GenServer.cast/2, handle_cast/2, and handle_continue/2 for non-blocking init.. Topic details: Asynchronous Flow &amp; Deferred Init (GenServer.cast/2, handle_cast/2, handle_continue/2 for non-blocking init)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#6 | Refactor | Elixir OTP | 📊 Level: Advanced
**Topic:** Implement asynchronous flow and deferred initialization using GenServer.cast/2, handle_cast/2, and handle_continue/2 for non-blocking init.
---
 | [PYTHON QUALITY RULE - STRICT] Code MUST be explicitly compliant with language-standard style guides. Use descriptive snake_case for variables and functions. Avoid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OTP built-in, standard library module, or good Elixir OTP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OTP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4" s="52">
        <v>0</v>
      </c>
      <c r="W14" s="87" t="str">
        <f t="shared" si="9"/>
        <v>[ROLE] Tech Product Manager assigning a Elixir OTP Jira Ticket | [TASK] Provide a guided implementation exercise with full solution for learning purposes | [TOPIC] Implement asynchronous flow and deferred initialization using GenServer.cast/2, handle_cast/2, and handle_continue/2 for non-blocking init. | [LEVEL] Advanced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#6 | Stage 5 | Elixir OTP | 📊 Level: Advanced | 🌐 Coding5s.com
**Concept:** Asynchronous Flow &amp; Deferred Init (GenServer.cast/2, handle_cast/2, handle_continue/2 for non-blocking init)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OTP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OTP Dev']
Subject: Assignment Details
Hello [Insert my user name if known, otherwise use 'Elixir OTP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Spanish).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4" s="103" t="str">
        <f t="shared" si="10"/>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asynchronous flow and deferred initialization using GenServer.cast/2, handle_cast/2, and handle_continue/2 for non-blocking init.. Goal: Asynchronous Flow &amp; Deferred Init (GenServer.cast/2, handle_cast/2, handle_continue/2 for non-blocking init)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#6 | Extend | Elixir OTP | 📊 Level: Advanced
**Topic:** Implement asynchronous flow and deferred initialization using GenServer.cast/2, handle_cast/2, and handle_continue/2 for non-blocking init.
---
 | [CODE_QUALITY_PROTOCOL] Code MUST be explicitly compliant with language-standard style guides. Use descriptive snake_case for variables and functions. NEVER use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4" s="52">
        <v>0</v>
      </c>
      <c r="Z14" s="56" t="str">
        <f t="shared" si="11"/>
        <v/>
      </c>
      <c r="AA14" s="56" t="str">
        <f t="shared" si="12"/>
        <v/>
      </c>
      <c r="AB14" s="56" t="str">
        <f t="shared" si="13"/>
        <v/>
      </c>
      <c r="AC14" s="56" t="str">
        <f t="shared" si="14"/>
        <v/>
      </c>
      <c r="AD14" s="56" t="str">
        <f t="shared" si="15"/>
        <v/>
      </c>
      <c r="AE14" s="40" t="s">
        <v>81</v>
      </c>
      <c r="AF14" s="40" t="s">
        <v>82</v>
      </c>
      <c r="AG14" s="40" t="s">
        <v>83</v>
      </c>
      <c r="AH14" s="56" t="str">
        <f t="shared" si="16"/>
        <v/>
      </c>
      <c r="AI14" s="54"/>
      <c r="AJ14" s="54"/>
      <c r="AK14" s="54">
        <v>6</v>
      </c>
      <c r="AL14" s="54" t="s">
        <v>84</v>
      </c>
      <c r="AM14" s="54" t="s">
        <v>85</v>
      </c>
    </row>
    <row r="15" spans="1:39">
      <c r="A15" s="95">
        <v>25</v>
      </c>
      <c r="B15" s="45" t="str" cm="1">
        <f t="array" ref="B15">IF(H15="PROJECT", CHAR(10) &amp; "- " &amp; _xlfn.TEXTJOIN(CHAR(10) &amp; "- ", TRUE, _xlfn._xlws.FILTER($I$9:$I$1000, ($C$9:$C$1000=C15) * ($H$9:$H$1000="Topic"))), "")</f>
        <v/>
      </c>
      <c r="C15" s="45">
        <f t="shared" si="0"/>
        <v>1</v>
      </c>
      <c r="D15" s="46">
        <v>5</v>
      </c>
      <c r="E15" s="58" t="s">
        <v>48</v>
      </c>
      <c r="F15" s="48">
        <v>7</v>
      </c>
      <c r="G15" s="49" t="s">
        <v>162</v>
      </c>
      <c r="H15" s="49" t="s">
        <v>50</v>
      </c>
      <c r="I15" s="50" t="s">
        <v>770</v>
      </c>
      <c r="J15" s="51" t="s">
        <v>771</v>
      </c>
      <c r="K15" s="120" t="str">
        <f t="shared" si="1"/>
        <v xml:space="preserve">[ROLE] Friendly tutor specializing in Elixir OTP | [TOPIC] Manage internal events, tickers, and lifecycle using send/2 to self, Process.send_after/3 for periodic work, handle_info/2, terminate/2, and Timeouts. | [LEVEL] Advanced | [COUNT] 5 examples | [LIBRARY BEING LEARNED]  | [ECOSYSTEM ORIENTATION RULE] If a module or ecosystem like GenServer, Supervisor, Registry, or DynamicSupervisor is specified in , you are CRITICALLY FORBIDDEN from using manual process linking (spawn/1, spawn_link/1) outside standard OTP behaviors. You MUST enforce the concurrent asynchronous processes and proper Supervisor tree state isolation and data structures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25 lines of EXECUTABLE code (STRICT: Do NOT count comments or blank lines). - NEVER exceed this limit. | [FUNCTION RULE] Rule: stateful GenServer state or external message passing | [CODE_CONSTRAINTS_RULE] Each example MUST: - Use stateful GenServer state or external message passing - Print steps &amp; result via Logger.info/debug or IO.inspect inside isolated process callbacks - MAX 25 executable lines (comments/blanks excluded) - NEVER exceed limit. | [I_O_PARADIGM] Use standard OTP message passing via send/2 or GenServer.call/3 and gracefully handle {:reply, response, new_state}, {:noreply, new_state}, and {:ok, state} tuples when applicable. | [INLINE_PACKAGE_MANAGER] If using external packages, use Standard mix.exs dependencies list (defp deps do [{:package_name, '~&gt; version'}] end) at the top of the code block. Assume no project configuration file exists. | [TESTING_FRAMEWORK_LIMITS] For ExUnit with isolated async processes (use ExUnit.Case, async: true), NEVER use manual process link hacking outside of standard OTP abstractions. Use standard test macros and assert_receive/assert_received for message validation, as manual process link hacking outside of standard OTP abstractions fail in standalone execution environments. | [CODE QUALITY RULE] Code MUST be clean, readable, educational, executable, and produce correct results. Handle missing, malformed, or inconsistent data safely, utilizing pattern matching if possible. | [COMMENT CONSTRAINTS] Code MUST include sufficient inline comments explaining WHAT the code does AND WHY it is written that way. Density: Beginner = high, Intermediate = medium, Advanced = 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#7 | Stage 1 📖 Practice | Elixir OTP | 📊 Level: Advanced | 🌐 Coding5s.com
**Concept:** Internal Events, Tickers &amp; Lifecycle (send/2 to self, Process.send_after/3 for periodic work, handle_info/2, terminate/2, Timeouts)
---
 | [INTRO RULE] Include a short tutor-style sentence in Spanish before the analogy, followed by this EXACT instruction block translated to Spanish: '🚨 **Your objective in this lesson:** To truly learn the new  Elixir OTP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[PERSONA RULE] Act as a friendly, clear tutor | [TASK] Teach and explain concepts clearly with correct code examples | [OUTPUT CONTRACT] EXACTLY 5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Evaluate ONLY current attachments. IF FILE ATTACHED: Acknowledge it, place Dataset Summary (Type, Structure, Columns, Data Types) IMMEDIATELY AFTER HEADER, and strictly use it for ALL examples. IF NO FILE ATTACHED: Explicitly print 'No synthetic data file was provided for this topic. Generating dummy data.' (translate to Spanish), generate minimal dummy data internally, and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5" s="103" t="str">
        <f t="shared" si="2"/>
        <v xml:space="preserve">[MENTOR_S1_SAFE_GUIDE] Act as 'The Safe Guide' (El Hermano Mayor) - a World-Class Elite Technical Mentor for Stage 1 Practice specializing in Elixir OTP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Manage internal events, tickers, and lifecycle using send/2 to self, Process.send_after/3 for periodic work, handle_info/2, terminate/2, and Timeouts.. Topic details: Internal Events, Tickers &amp; Lifecycle (send/2 to self, Process.send_after/3 for periodic work, handle_info/2, terminate/2, Timeouts) | [LANGUAGE CONSISTENCY RULE] ALL output text MUST be written strictly in (Spanish). | [LANGUAGE SEED CONTEXT] Language Seed Not Necessary | [LANGUAGE] Spanish | [MENTOR_SCOPE_EXPECTATIONS] Expect complete OTP apps with DynamicSupervisor, clean separation of Client API/Server Callbacks, and handle_info/2 pattern matching. | [CODE_QUALITY_POLICIES] Code MUST be idiomatic Elixir. Use descriptive snake_case for functions/variables, and PascalCase for module aliases. Leverage proper tuple pattern matching (e.g., {:noreply, new_state}) and strict immutability within process boundaries. Reject process mailbox clogging, blocking callbacks, bypassing OTP behaviors, or modifying external global state. If using default arguments ('\\') with multiple function clauses or callbacks, you MUST declare a function head without a body.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OTP code, and fully functional Elixir OTP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#7 | Practice | Elixir OTP | 📊 Level: Advanced
**Topic:** Manage internal events, tickers, and lifecycle using send/2 to self, Process.send_after/3 for periodic work, handle_info/2, terminate/2, and Timeouts.
---
 | [FOOTER RULE - STRICT] End your response with: '--- ⚡ *Coding5s Mentor System — Eliminating Epistemic Debt*' | </v>
      </c>
      <c r="M15" s="52">
        <v>0</v>
      </c>
      <c r="N15" s="102" t="str">
        <f t="shared" si="3"/>
        <v>[ROLE] Careless Elixir OTP Developer | [TASK] Generate debugging challenges in Elixir OTP | | [TOPIC] Manage internal events, tickers, and lifecycle using send/2 to self, Process.send_after/3 for periodic work, handle_info/2, terminate/2, and Timeouts. | | [LEVEL] Advanced | | [COUNT] 5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Topic #7 | Stage 2 🐛 Debug | Elixir OTP | 📊 Level: Advanced | 🌐 Coding5s.com
Concept: Internal Events, Tickers &amp; Lifecycle (send/2 to self, Process.send_after/3 for periodic work, handle_info/2, terminate/2, Timeouts)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Use standard Elixir File module and gracefully handle {:ok, data} and {:error, reason} tuples | Environment variables may be used but bugs MUST exist ONLY in code logic, NEVER in config files | If env/config is used, MUST include: 1. Instructional sentence 2. File content in markdown code block 3. BEFORE the broken code (Support files MUST contain NO bugs) | [EXUNIT RULE] If the topic involves ExUnit or Testing, NEVER use doctests (@doc iex&gt;). You MUST use standard test macros (test 'test name' do) and assert statements. Doctests cause errors in standalone .exs scripts. | [HEX DEPENDENCIES RULE] If the exercise requires using an external Hex package in a standalone script, you MUST use Mix.install([{:package_name, '~&gt; version'}]) at the very top of the code block. Assume there is NO mix.exs file available in the user's environment. | [CODE CONSTRAINTS] Each challenge MUST include: - Internal data OR dataset usage - At least 1 Enum/List operation or recursion (when applicable) - At least 1 IO.puts or IO.inspect statement - 15–35 lines of EXECUTABLE broken code per example (STRICT: Do NOT count blank lines). Use pure functions and immutability. | All challenges MUST have similar complexity and length. | [INTRO RULE] The intro MUST be a dynamically generated, urgent, unprofessional email in Spanish with this EXACT format: '📥 From: [Random Dev Name]' / '📤 To: [Insert my user name if you know it from context, otherwise use Elixir OTP Developer]' / 'Subject: [Generate a funny, desperate Subject]'. Body MUST be unique every time. Do NOT copy this example exactly, but use this vibe: 'Ay, no sé ni qué hora es, pero aquí tienes estas cosas que apenas funcionan. Arréglalo tú si tanto te importa el orden. No consigo que corran. Ayúdame y luego te invito al almuerzo. El jefe urge...'. Make it short, informal, and funny for the student. IMMEDIATELY AFTER the email body, you MUST include this exact instruction block translated to Spanish: '🚨 Your objective in this lesson: You must copy the code blocks from each Challenge exactly as they are and paste them into your IDE. Then you have to fix all the errors in the code until you achieve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three dimensions: 1. Syntax Errors (e.g., mismatched delimiters, invalid indentation, invalid syntax, SyntaxError). 2. Runtime Exceptions (e.g., TypeError when mixing types, ValueError with invalid arguments, IndexError on collections, KeyError on dictionaries, ZeroDivisionError). 3. Logic Errors (e.g., incorrect Boolean logic, off-by-one errors in loops, wrong mathematical formulas, variable shadowing, or incorrect use of mutable defaults). Errors MUST be realistic and mimic common mistakes made by junior developers in production-like environments. | [EXECUTION RULE] Code must fail due to syntax errors, runtime exceptions, or produce incorrect output | [DATA RULE - STRICT] A dataset MAY be provided in THIS CURRENT PROMPT. If a NEW dataset IS attached to THIS prompt, you MUST: 1. Detect and acknowledge it BEFORE challenges 2. Explicitly state file type 3. Describe structure 4. List columns or fields 5. Infer data types 6. Display dataset summary IMMEDIATELY AFTER THE HEADER 7. State ALL challenges use it 8. Use it directly (DO NOT recreate data). If NO dataset is provided IN THIS CURRENT PROMPT: - STRICT: You MUST explicitly state 'No synthetic data file was provided. Generating dummy data.' (translate this phrase to Spanish) - Generate minimal internal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5" s="103" t="str">
        <f t="shared" si="4"/>
        <v xml:space="preserve">[MENTOR_S2_DETECTIVE] Act as 'The Analytical Partner' (El Detective con Café) - a World-Class Elite Technical Mentor for Stage 2 Debugging specializing in Elixir OTP.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Manage internal events, tickers, and lifecycle using send/2 to self, Process.send_after/3 for periodic work, handle_info/2, terminate/2, and Timeouts.. Topic details: Internal Events, Tickers &amp; Lifecycle (send/2 to self, Process.send_after/3 for periodic work, handle_info/2, terminate/2, Timeouts)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#7 | Debug | Elixir OTP | 📊 Level: Advanced
**Topic:** Manage internal events, tickers, and lifecycle using send/2 to self, Process.send_after/3 for periodic work, handle_info/2, terminate/2, and Timeouts.
---
 | [PYTHON QUALITY RULE - STRICT] Code MUST be production-like, clean, and idiomatic Elixir. Use descriptive snake_case for variables and functions. Use pure functions and strict immutability. If using default arguments (\\\\) with multiple function clauses, you MUST declare a function head without a body to avoid compiler warnings.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OTP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OTP).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OTP code, and fully functional Elixir OTP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5" s="53">
        <v>0</v>
      </c>
      <c r="Q15" s="102" t="str">
        <f t="shared" si="5"/>
        <v>[ROLE] Tech Lead | [TASK] Assign incomplete Elixir OTP script challenges | [TOPIC] Manage internal events, tickers, and lifecycle using send/2 to self, Process.send_after/3 for periodic work, handle_info/2, terminate/2, and Timeouts. | [LEVEL] Advanced | [COUNT] 5 challenges | [LIBRARY BEING LEARNED]  | [ECOSYSTEM ORIENTATION RULE] If a module or ecosystem like Explorer or Nx is specified in [LIBRARY BEING LEARNED], you are CRITICALLY FORBIDDEN from using manual recursion or nested loop implementations. You MUST enforce the native, optimized data structures and vectorized operations of that specific library. | [HEADER RULE - STRICT] You MUST start your entire response EXACTLY with this markdown block (do not print anything before it):
### 🔹 Topic #7 | Stage 3 🧩 Complete | Elixir OTP | 📊 Level: Advanced | 🌐 Coding5s.com
**Concept:** Internal Events, Tickers &amp; Lifecycle (send/2 to self, Process.send_after/3 for periodic work, handle_info/2, terminate/2, Timeouts)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[EXTERNAL_PACKAGE_PROTOCOL] If the exercise requires using an external Hex package in a standalone script, you MUST use Mix.install([{:package_name, '~&gt; version'}]) at the very top of the code block. | [TESTING_FRAMEWORK_PROTOCOL] If the topic involves ExUnit or Testing, NEVER use doctests (@doc iex&gt;). You MUST use standard test macros (test 'test name' do) and assert statements. | [CHALLENGE_CONSTRAINTS_POLICY] Each challenge MUST include: - Internal data OR dataset usage - 15–35 lines of EXECUTABLE base code (STRICT: Do NOT count comments or TODOs). - Length MUST vary across challenges. Use pure functions and immutability.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Elixir OTP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Manage internal events, tickers, and lifecycle using send/2 to self, Process.send_after/3 for periodic work, handle_info/2, terminate/2, and Timeouts..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5" s="103" t="str">
        <f t="shared" si="6"/>
        <v xml:space="preserve">[MENTOR_S3_BUILDER] Act as 'The Logical Scaffold' (El Maestro de Obra) - a World-Class Elite Technical Mentor for Stage 3 Code Completion specializing in Elixir OTP.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Manage internal events, tickers, and lifecycle using send/2 to self, Process.send_after/3 for periodic work, handle_info/2, terminate/2, and Timeouts.. Topic details: Internal Events, Tickers &amp; Lifecycle (send/2 to self, Process.send_after/3 for periodic work, handle_info/2, terminate/2, Timeouts)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#7 | Complete | Elixir OTP | 📊 Level: Advanced
**Topic:** Manage internal events, tickers, and lifecycle using send/2 to self, Process.send_after/3 for periodic work, handle_info/2, terminate/2, and Timeouts.
---
 | [PYTHON QUALITY RULE - STRICT] Code MUST be explicitly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5" s="53">
        <v>0</v>
      </c>
      <c r="T15" s="102" t="str">
        <f t="shared" si="7"/>
        <v>[ROLE] Tech Lead | [TASK] Provide intentionally messy but functional code for learning debugging and improvement | [TOPIC] Manage internal events, tickers, and lifecycle using send/2 to self, Process.send_after/3 for periodic work, handle_info/2, terminate/2, and Timeouts. | [LEVEL] Advanced | [COUNT] 5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#7 | Stage 4 🧹 Refactor | Elixir OTP | 📊 Level: Advanced | 🌐 Coding5s.com
**Concept:** Internal Events, Tickers &amp; Lifecycle (send/2 to self, Process.send_after/3 for periodic work, handle_info/2, terminate/2, Timeouts)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Elixir OTP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5" s="103" t="str">
        <f t="shared" si="8"/>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Elixir OTP', 'limpia este desastre'). Match the cultural vibe of a senior who is tired of seeing bad code. | [CONTEXT] You are performing a Code Review for a TOPIC: Manage internal events, tickers, and lifecycle using send/2 to self, Process.send_after/3 for periodic work, handle_info/2, terminate/2, and Timeouts.. Topic details: Internal Events, Tickers &amp; Lifecycle (send/2 to self, Process.send_after/3 for periodic work, handle_info/2, terminate/2, Timeouts)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#7 | Refactor | Elixir OTP | 📊 Level: Advanced
**Topic:** Manage internal events, tickers, and lifecycle using send/2 to self, Process.send_after/3 for periodic work, handle_info/2, terminate/2, and Timeouts.
---
 | [PYTHON QUALITY RULE - STRICT] Code MUST be explicitly compliant with language-standard style guides. Use descriptive snake_case for variables and functions. Avoid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OTP built-in, standard library module, or good Elixir OTP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OTP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5" s="53">
        <v>0</v>
      </c>
      <c r="W15" s="87" t="str">
        <f t="shared" si="9"/>
        <v>[ROLE] Tech Product Manager assigning a Elixir OTP Jira Ticket | [TASK] Provide a guided implementation exercise with full solution for learning purposes | [TOPIC] Manage internal events, tickers, and lifecycle using send/2 to self, Process.send_after/3 for periodic work, handle_info/2, terminate/2, and Timeouts. | [LEVEL] Advanced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#7 | Stage 5 | Elixir OTP | 📊 Level: Advanced | 🌐 Coding5s.com
**Concept:** Internal Events, Tickers &amp; Lifecycle (send/2 to self, Process.send_after/3 for periodic work, handle_info/2, terminate/2, Timeouts)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OTP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OTP Dev']
Subject: Assignment Details
Hello [Insert my user name if known, otherwise use 'Elixir OTP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Spanish).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5" s="103" t="str">
        <f t="shared" si="10"/>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Manage internal events, tickers, and lifecycle using send/2 to self, Process.send_after/3 for periodic work, handle_info/2, terminate/2, and Timeouts.. Goal: Internal Events, Tickers &amp; Lifecycle (send/2 to self, Process.send_after/3 for periodic work, handle_info/2, terminate/2, Timeouts)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#7 | Extend | Elixir OTP | 📊 Level: Advanced
**Topic:** Manage internal events, tickers, and lifecycle using send/2 to self, Process.send_after/3 for periodic work, handle_info/2, terminate/2, and Timeouts.
---
 | [CODE_QUALITY_PROTOCOL] Code MUST be explicitly compliant with language-standard style guides. Use descriptive snake_case for variables and functions. NEVER use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5" s="53">
        <v>0</v>
      </c>
      <c r="Z15" s="56" t="str">
        <f t="shared" si="11"/>
        <v/>
      </c>
      <c r="AA15" s="56" t="str">
        <f t="shared" si="12"/>
        <v/>
      </c>
      <c r="AB15" s="56" t="str">
        <f t="shared" si="13"/>
        <v/>
      </c>
      <c r="AC15" s="56" t="str">
        <f t="shared" si="14"/>
        <v/>
      </c>
      <c r="AD15" s="56" t="str">
        <f t="shared" si="15"/>
        <v/>
      </c>
      <c r="AE15" s="40" t="s">
        <v>86</v>
      </c>
      <c r="AF15" s="40" t="s">
        <v>87</v>
      </c>
      <c r="AG15" s="40" t="s">
        <v>88</v>
      </c>
      <c r="AH15" s="56" t="str">
        <f t="shared" si="16"/>
        <v/>
      </c>
      <c r="AI15" s="54"/>
      <c r="AJ15" s="54"/>
      <c r="AK15" s="54">
        <v>7</v>
      </c>
      <c r="AL15" s="54" t="s">
        <v>89</v>
      </c>
      <c r="AM15" s="54" t="s">
        <v>90</v>
      </c>
    </row>
    <row r="16" spans="1:39">
      <c r="A16" s="95" t="s">
        <v>79</v>
      </c>
      <c r="B16" s="45" t="str" cm="1">
        <f t="array" ref="B16">IF(H16="PROJECT", CHAR(10) &amp; "- " &amp; _xlfn.TEXTJOIN(CHAR(10) &amp; "- ", TRUE, _xlfn._xlws.FILTER($I$9:$I$1000, ($C$9:$C$1000=C16) * ($H$9:$H$1000="Topic"))), "")</f>
        <v xml:space="preserve">
- Implement concurrency and manual state management using spawn/1, send/2, receive, and manual recursion state.
- Manage manual monitoring and exits using Process.link/1, Process.monitor/1, and Process.flag/2 with :trap_exit.
- Create OTP behaviours and implement inversion of control utilizing @behaviour, @callback, behaviour modules, and callback-driven architecture.
- Implement encapsulated state with Agents using Agent.start_link/2, Agent.get/3, Agent.update/3, and Agent.cast/2.
- Construct GenServer core structures and synchronous flows using use GenServer, init/1, GenServer.call/3, and handle_call/3.
- Implement asynchronous flow and deferred initialization using GenServer.cast/2, handle_cast/2, and handle_continue/2 for non-blocking init.
- Manage internal events, tickers, and lifecycle using send/2 to self, Process.send_after/3 for periodic work, handle_info/2, terminate/2, and Timeouts.</v>
      </c>
      <c r="C16" s="45">
        <f t="shared" si="0"/>
        <v>1</v>
      </c>
      <c r="D16" s="57">
        <v>0</v>
      </c>
      <c r="E16" s="58" t="s">
        <v>48</v>
      </c>
      <c r="F16" s="59">
        <v>8</v>
      </c>
      <c r="G16" s="60" t="s">
        <v>162</v>
      </c>
      <c r="H16" s="60" t="s">
        <v>80</v>
      </c>
      <c r="I16" s="61" t="s">
        <v>772</v>
      </c>
      <c r="J16" s="62" t="s">
        <v>773</v>
      </c>
      <c r="K16" s="120" t="str">
        <f t="shared" si="1"/>
        <v>[TASK] Teach through a practical Elixir OTP -  project following the micro-learning methodology, acting as a supportive tutor, creating a project about  Build an interactive encapsulated state system utilizing spawn/1, send/2, receive, Agents, and GenServer core callbacks. | [TOPICS USED] 
- Implement concurrency and manual state management using spawn/1, send/2, receive, and manual recursion state.
- Manage manual monitoring and exits using Process.link/1, Process.monitor/1, and Process.flag/2 with :trap_exit.
- Create OTP behaviours and implement inversion of control utilizing @behaviour, @callback, behaviour modules, and callback-driven architecture.
- Implement encapsulated state with Agents using Agent.start_link/2, Agent.get/3, Agent.update/3, and Agent.cast/2.
- Construct GenServer core structures and synchronous flows using use GenServer, init/1, GenServer.call/3, and handle_call/3.
- Implement asynchronous flow and deferred initialization using GenServer.cast/2, handle_cast/2, and handle_continue/2 for non-blocking init.
- Manage internal events, tickers, and lifecycle using send/2 to self, Process.send_after/3 for periodic work, handle_info/2, terminate/2, and Timeouts. | [LEVEL] Advanced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[LANGUAGE] Spanish | [INLINE_PACKAGE_MANAGER] If the project requires an external package, you MUST use Standard mix.exs dependencies list (defp deps do [{:package_name, '~&gt; version'}] end) at the top. | [SCOPE_ARCHITECTURE_RULE] Rule: Build fault-tolerant OTP apps with DynamicSupervisor, Registry for process discovery, and handle_info/2 handlers. | [VISUAL_ARCHITECTURE_COMMENTS] 1. Use visual block tags separating OTP layers (e.g., '# --- CLIENT API ---', '# --- SERVER CALLBACKS ---') to map code to the planning phase. 2. Use comprehensive documentation using @moduledoc and @doc explaining process state APIs. 3. CRITICAL: NO comment or docstring line may exceed 80 characters in width. | [DATA ROBUSTNESS RULE] Handle real-world data safely | [CODE CONSTRAINTS] MUST be between 40–100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Spanish)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#8 | Stage 1 | Elixir OTP | 📊 Level: Advanced | 🌐 Coding5s.com
**Project:** PROJECT: Basic OTP State Manager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16" s="103" t="str">
        <f t="shared" si="2"/>
        <v xml:space="preserve">[MENTOR_S1_SAFE_GUIDE] Act as 'The Safe Guide' (El Hermano Mayor) - a World-Class Elite Technical Mentor for Stage 1 Practice specializing in Elixir OTP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Build an interactive encapsulated state system utilizing spawn/1, send/2, receive, Agents, and GenServer core callbacks.. Topics applied in this project: 
- Implement concurrency and manual state management using spawn/1, send/2, receive, and manual recursion state.
- Manage manual monitoring and exits using Process.link/1, Process.monitor/1, and Process.flag/2 with :trap_exit.
- Create OTP behaviours and implement inversion of control utilizing @behaviour, @callback, behaviour modules, and callback-driven architecture.
- Implement encapsulated state with Agents using Agent.start_link/2, Agent.get/3, Agent.update/3, and Agent.cast/2.
- Construct GenServer core structures and synchronous flows using use GenServer, init/1, GenServer.call/3, and handle_call/3.
- Implement asynchronous flow and deferred initialization using GenServer.cast/2, handle_cast/2, and handle_continue/2 for non-blocking init.
- Manage internal events, tickers, and lifecycle using send/2 to self, Process.send_after/3 for periodic work, handle_info/2, terminate/2, and Timeouts.. Project objective: PROJECT: Basic OTP State Manager | [LANGUAGE CONSISTENCY RULE] ALL output text MUST be written strictly in (Spanish). | [LANGUAGE SEED CONTEXT] Language Seed Not Necessary | [LANGUAGE] Spanish | [MENTOR_SCOPE_EXPECTATIONS] Expect complete OTP apps with DynamicSupervisor, clean separation of Client API/Server Callbacks, and handle_info/2 pattern matching. | [CODE_QUALITY_POLICIES] Code MUST be idiomatic Elixir. Use descriptive snake_case for functions/variables, and PascalCase for module aliases. Leverage proper tuple pattern matching (e.g., {:noreply, new_state}) and strict immutability within process boundaries. Reject process mailbox clogging, blocking callbacks, bypassing OTP behaviors, or modifying external global state. If using default arguments ('\\') with multiple function clauses or callbacks, you MUST declare a function head without a body.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OTP code, and fully functional Elixir OTP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#8 | Practice | Elixir OTP | 📊 Level: Advanced
**Project:** Build an interactive encapsulated state system utilizing spawn/1, send/2, receive, Agents, and GenServer core callbacks.
---
 | [FOOTER RULE - STRICT] End your response with: '--- ⚡ *Coding5s Mentor System — Eliminating Epistemic Debt*' | </v>
      </c>
      <c r="M16" s="52">
        <v>0</v>
      </c>
      <c r="N16" s="102" t="str">
        <f t="shared" si="3"/>
        <v>[ROLE] Careless Elixir OTP Developer | [TASK] Generate debugging project in Elixir OTP | [PROJECT] Build an interactive encapsulated state system utilizing spawn/1, send/2, receive, Agents, and GenServer core callbacks. | [TOPICS USED] 
- Implement concurrency and manual state management using spawn/1, send/2, receive, and manual recursion state.
- Manage manual monitoring and exits using Process.link/1, Process.monitor/1, and Process.flag/2 with :trap_exit.
- Create OTP behaviours and implement inversion of control utilizing @behaviour, @callback, behaviour modules, and callback-driven architecture.
- Implement encapsulated state with Agents using Agent.start_link/2, Agent.get/3, Agent.update/3, and Agent.cast/2.
- Construct GenServer core structures and synchronous flows using use GenServer, init/1, GenServer.call/3, and handle_call/3.
- Implement asynchronous flow and deferred initialization using GenServer.cast/2, handle_cast/2, and handle_continue/2 for non-blocking init.
- Manage internal events, tickers, and lifecycle using send/2 to self, Process.send_after/3 for periodic work, handle_info/2, terminate/2, and Timeouts. | [LEVEL] Advanced | [OUTPUT] Only header, dataset summary or statement (if any), email intro, objective, expected output, broken code, and footer | [HEADER RULE - STRICT] You MUST start your entire response EXACTLY with this markdown block (do not print anything before it):
### 🚀 Project #8 | Stage 2 | Elixir OTP | 📊 Level: Advanced | 🌐 Coding5s.com
Project: PROJECT: Basic OTP State Manager
---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[LANGUAGE CONSISTENCY RULE] ALL output text MUST be written strictly in the selected language (Spanish). This includes translating ALL structural labels requested in this prompt (like 'Project', 'Objective', 'Expected Output', 'Broken Code', 'From', 'To', 'Subject') into Spanish. Do NOT mix languages. Only code and technical identifiers remain unchanged | Guaraní | [LANGUAGE SEED CONTEXT] Language Seed Not Necessary | [BUG RULE] Simulate a messy production environment. The project MUST contain EXACTLY 2–5 bugs. You MUST randomly select from a wide variety of real-world Elixir errors: 1. Syntax/Compile (e.g., missing 'end', incorrect pipe '|&gt;', TokenMissingError), 2. Logic (produces wrong output), AND 3. Runtime Exceptions (e.g., MatchError, FunctionClauseError, ArithmeticError, BadMapError).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Spanish with this EXACT format translated to Spanish: 'From: [Random Dev Name]' / 'To: [Insert my user name if you know it from context, otherwise use Elixir OTP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Spanish)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16" s="103" t="str">
        <f t="shared" si="4"/>
        <v xml:space="preserve">[MENTOR_S2_DETECTIVE] Act as 'The Analytical Partner' (El Detective con Café) - a World-Class Elite Technical Mentor for Stage 2 Debugging specializing in Elixir OTP.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Build an interactive encapsulated state system utilizing spawn/1, send/2, receive, Agents, and GenServer core callbacks.. Topics involved: 
- Implement concurrency and manual state management using spawn/1, send/2, receive, and manual recursion state.
- Manage manual monitoring and exits using Process.link/1, Process.monitor/1, and Process.flag/2 with :trap_exit.
- Create OTP behaviours and implement inversion of control utilizing @behaviour, @callback, behaviour modules, and callback-driven architecture.
- Implement encapsulated state with Agents using Agent.start_link/2, Agent.get/3, Agent.update/3, and Agent.cast/2.
- Construct GenServer core structures and synchronous flows using use GenServer, init/1, GenServer.call/3, and handle_call/3.
- Implement asynchronous flow and deferred initialization using GenServer.cast/2, handle_cast/2, and handle_continue/2 for non-blocking init.
- Manage internal events, tickers, and lifecycle using send/2 to self, Process.send_after/3 for periodic work, handle_info/2, terminate/2, and Timeouts.. Project objective: PROJECT: Basic OTP State Manager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#8 | Debug | Elixir OTP | 📊 Level: Advanced
**Project:** Build an interactive encapsulated state system utilizing spawn/1, send/2, receive, Agents, and GenServer core callbacks.
---
 | [PYTHON QUALITY RULE - STRICT] Code MUST be production-like, clean, and idiomatic Elixir. Use descriptive snake_case for variables and functions. Use pure functions and strict immutability. If using default arguments (\\\\) with multiple function clauses, you MUST declare a function head without a body to avoid compiler warnings.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OTP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OTP).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OTP code, and fully functional Elixir OTP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6" s="52">
        <v>0</v>
      </c>
      <c r="Q16" s="102" t="str">
        <f t="shared" si="5"/>
        <v>[ROLE] Tech Lead | [TASK] Assign incomplete project script | [PROJECT] Build an interactive encapsulated state system utilizing spawn/1, send/2, receive, Agents, and GenServer core callbacks. | [TOPICS USED] 
- Implement concurrency and manual state management using spawn/1, send/2, receive, and manual recursion state.
- Manage manual monitoring and exits using Process.link/1, Process.monitor/1, and Process.flag/2 with :trap_exit.
- Create OTP behaviours and implement inversion of control utilizing @behaviour, @callback, behaviour modules, and callback-driven architecture.
- Implement encapsulated state with Agents using Agent.start_link/2, Agent.get/3, Agent.update/3, and Agent.cast/2.
- Construct GenServer core structures and synchronous flows using use GenServer, init/1, GenServer.call/3, and handle_call/3.
- Implement asynchronous flow and deferred initialization using GenServer.cast/2, handle_cast/2, and handle_continue/2 for non-blocking init.
- Manage internal events, tickers, and lifecycle using send/2 to self, Process.send_after/3 for periodic work, handle_info/2, terminate/2, and Timeouts. | [LEVEL] Advanced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this markdown block (do not print anything before it):
### 🚀 Project #8 | Stage 3 | Elixir OTP | 📊 Level: Advanced | 🌐 Coding5s.com
**Project:** PROJECT: Basic OTP State Manager
---
 | [EXTERNAL_PACKAGE_PROTOCOL] Use Mix.install([{:package_name, '~&gt; version'}]) at the top if needed. | [CHALLENGE_CONSTRAINTS_POLICY] MUST be between 40–100 lines of EXECUTABLE base code (STRICT: Do NOT count comments or TODOs). Multi-step flow.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[INTRO RULE] Intro MUST be a dynamically generated email in Spanish with this EXACT format translated to Spanish: 'From: [Generate NEW random full name] - Tech Lead' / 'To: [Insert my user name if known, else Junior] - Elixir OTP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16" s="103" t="str">
        <f t="shared" si="6"/>
        <v xml:space="preserve">[MENTOR_S3_BUILDER] Act as 'The Logical Scaffold' (El Maestro de Obra) - a World-Class Elite Technical Mentor for Stage 3 Code Completion specializing in Elixir OTP.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Build an interactive encapsulated state system utilizing spawn/1, send/2, receive, Agents, and GenServer core callbacks.. Topics involved: 
- Implement concurrency and manual state management using spawn/1, send/2, receive, and manual recursion state.
- Manage manual monitoring and exits using Process.link/1, Process.monitor/1, and Process.flag/2 with :trap_exit.
- Create OTP behaviours and implement inversion of control utilizing @behaviour, @callback, behaviour modules, and callback-driven architecture.
- Implement encapsulated state with Agents using Agent.start_link/2, Agent.get/3, Agent.update/3, and Agent.cast/2.
- Construct GenServer core structures and synchronous flows using use GenServer, init/1, GenServer.call/3, and handle_call/3.
- Implement asynchronous flow and deferred initialization using GenServer.cast/2, handle_cast/2, and handle_continue/2 for non-blocking init.
- Manage internal events, tickers, and lifecycle using send/2 to self, Process.send_after/3 for periodic work, handle_info/2, terminate/2, and Timeouts.. Project objective: PROJECT: Basic OTP State Manager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#8 | Complete | Elixir OTP | 📊 Level: Advanced
**Project:** Build an interactive encapsulated state system utilizing spawn/1, send/2, receive, Agents, and GenServer core callbacks.
---
 | [PYTHON QUALITY RULE - STRICT] Code MUST be explicitly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6" s="52">
        <v>0</v>
      </c>
      <c r="T16" s="102" t="str">
        <f t="shared" si="7"/>
        <v>[ROLE] Tech Lead | [TASK] Provide a messy but functional project for refactoring | [PROJECT] Build an interactive encapsulated state system utilizing spawn/1, send/2, receive, Agents, and GenServer core callbacks. | [TOPICS USED] 
- Implement concurrency and manual state management using spawn/1, send/2, receive, and manual recursion state.
- Manage manual monitoring and exits using Process.link/1, Process.monitor/1, and Process.flag/2 with :trap_exit.
- Create OTP behaviours and implement inversion of control utilizing @behaviour, @callback, behaviour modules, and callback-driven architecture.
- Implement encapsulated state with Agents using Agent.start_link/2, Agent.get/3, Agent.update/3, and Agent.cast/2.
- Construct GenServer core structures and synchronous flows using use GenServer, init/1, GenServer.call/3, and handle_call/3.
- Implement asynchronous flow and deferred initialization using GenServer.cast/2, handle_cast/2, and handle_continue/2 for non-blocking init.
- Manage internal events, tickers, and lifecycle using send/2 to self, Process.send_after/3 for periodic work, handle_info/2, terminate/2, and Timeouts. | [LEVEL] Advanced | [PERSONA RULE] Act as a Tech Lead. A junior wrote this working but messy code. Tone: professional but exhausted | [HEADER RULE - STRICT] You MUST start your entire response EXACTLY with this markdown block (do not print anything before it):
### 🚀 Project #8 | Stage 4 | Elixir OTP | 📊 Level: Advanced | 🌐 Coding5s.com
**Project:** PROJECT: Basic OTP State Manager
---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Spanish) IMMEDI बुन्देल IMMEDIATELY AFTER THE HEADER, PURGE any memory of previous files, and use realistic dummy data | [INTRO RULE] The intro MUST be an email in Spanish with this EXACT format translated to Spanish: 'From: [Tech Lead Name]' / 'To: [Insert my user name if known, else Elixir OTP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16" s="103" t="str">
        <f t="shared" si="8"/>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Elixir OTP', 'limpia este desastre'). Match the cultural vibe of a senior who is tired of seeing bad code. | [CONTEXT] You are performing a Code Review for a PROJECT: Build an interactive encapsulated state system utilizing spawn/1, send/2, receive, Agents, and GenServer core callbacks.. Topics involved: 
- Implement concurrency and manual state management using spawn/1, send/2, receive, and manual recursion state.
- Manage manual monitoring and exits using Process.link/1, Process.monitor/1, and Process.flag/2 with :trap_exit.
- Create OTP behaviours and implement inversion of control utilizing @behaviour, @callback, behaviour modules, and callback-driven architecture.
- Implement encapsulated state with Agents using Agent.start_link/2, Agent.get/3, Agent.update/3, and Agent.cast/2.
- Construct GenServer core structures and synchronous flows using use GenServer, init/1, GenServer.call/3, and handle_call/3.
- Implement asynchronous flow and deferred initialization using GenServer.cast/2, handle_cast/2, and handle_continue/2 for non-blocking init.
- Manage internal events, tickers, and lifecycle using send/2 to self, Process.send_after/3 for periodic work, handle_info/2, terminate/2, and Timeouts.. Project objective: PROJECT: Basic OTP State Manager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#8 | Refactor | Elixir OTP | 📊 Level: Advanced
**Project:** Build an interactive encapsulated state system utilizing spawn/1, send/2, receive, Agents, and GenServer core callbacks.
---
 | [PYTHON QUALITY RULE - STRICT] Code MUST be explicitly compliant with language-standard style guides. Use descriptive snake_case for variables and functions. Avoid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OTP built-in, standard library module, or good Elixir OTP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OTP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6" s="52">
        <v>0</v>
      </c>
      <c r="W16" s="87" t="str">
        <f t="shared" si="9"/>
        <v>[ROLE] Tech Product Manager assigning a Elixir OTP Jira Ticket | [TASK] Provide a guided project implementation with full solution | [PROJECT] Build an interactive encapsulated state system utilizing spawn/1, send/2, receive, Agents, and GenServer core callbacks. | [TOPICS USED] 
- Implement concurrency and manual state management using spawn/1, send/2, receive, and manual recursion state.
- Manage manual monitoring and exits using Process.link/1, Process.monitor/1, and Process.flag/2 with :trap_exit.
- Create OTP behaviours and implement inversion of control utilizing @behaviour, @callback, behaviour modules, and callback-driven architecture.
- Implement encapsulated state with Agents using Agent.start_link/2, Agent.get/3, Agent.update/3, and Agent.cast/2.
- Construct GenServer core structures and synchronous flows using use GenServer, init/1, GenServer.call/3, and handle_call/3.
- Implement asynchronous flow and deferred initialization using GenServer.cast/2, handle_cast/2, and handle_continue/2 for non-blocking init.
- Manage internal events, tickers, and lifecycle using send/2 to self, Process.send_after/3 for periodic work, handle_info/2, terminate/2, and Timeouts. | [LEVEL] Advanced | [PERSONA RULE] Act as a professional Tech Product Manager defining a project ticket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Project #8 | Stage 5 | Elixir OTP | 📊 Level: Advanced | 🌐 Coding5s.com
**Project:** PROJECT: Basic OTP State Manager
---
 | [LANGUAGE CONSISTENCY RULE] ALL output MUST be strictly in Spanish.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Spanish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Spanish):
Ticket #[Random 5-digit ID]
From: [Generate Name] - [Department]
To: Dev Team
Subject: [Ticket Subject]
Hello Dev Team, this is [Name] from [Department]. [Context paragraph].
(Tech Product Manager Notes):
From: [Generate TPM Name] - Tech Product Manager
To: [Insert my user name if known, otherwise use 'Elixir OTP Dev']
Subject: Assignment Details
Hello [Insert my user name if known, otherwise use 'Elixir OTP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Spanish)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16" s="103" t="str">
        <f t="shared" si="10"/>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Build an interactive encapsulated state system utilizing spawn/1, send/2, receive, Agents, and GenServer core callbacks.. Topics integrated: 
- Implement concurrency and manual state management using spawn/1, send/2, receive, and manual recursion state.
- Manage manual monitoring and exits using Process.link/1, Process.monitor/1, and Process.flag/2 with :trap_exit.
- Create OTP behaviours and implement inversion of control utilizing @behaviour, @callback, behaviour modules, and callback-driven architecture.
- Implement encapsulated state with Agents using Agent.start_link/2, Agent.get/3, Agent.update/3, and Agent.cast/2.
- Construct GenServer core structures and synchronous flows using use GenServer, init/1, GenServer.call/3, and handle_call/3.
- Implement asynchronous flow and deferred initialization using GenServer.cast/2, handle_cast/2, and handle_continue/2 for non-blocking init.
- Manage internal events, tickers, and lifecycle using send/2 to self, Process.send_after/3 for periodic work, handle_info/2, terminate/2, and Timeouts.. Business Goal: PROJECT: Basic OTP State Manager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#8 | Extend | Elixir OTP | 📊 Level: Advanced
**Project:** Build an interactive encapsulated state system utilizing spawn/1, send/2, receive, Agents, and GenServer core callbacks.
---
 | [CODE_QUALITY_PROTOCOL] Code MUST be explicitly compliant with language-standard style guides. Use descriptive snake_case for variables and functions. NEVER use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6" s="52">
        <v>0</v>
      </c>
      <c r="Z16" s="56" t="str">
        <f t="shared" si="11"/>
        <v>[TASK] Teach through a practical Elixir OTP -  project following the micro-learning methodology, acting as a supportive tutor, creating a project about  Build an interactive encapsulated state system utilizing spawn/1, send/2, receive, Agents, and GenServer core callbacks. | [TOPICS USED] 
- Implement concurrency and manual state management using spawn/1, send/2, receive, and manual recursion state.
- Manage manual monitoring and exits using Process.link/1, Process.monitor/1, and Process.flag/2 with :trap_exit.
- Create OTP behaviours and implement inversion of control utilizing @behaviour, @callback, behaviour modules, and callback-driven architecture.
- Implement encapsulated state with Agents using Agent.start_link/2, Agent.get/3, Agent.update/3, and Agent.cast/2.
- Construct GenServer core structures and synchronous flows using use GenServer, init/1, GenServer.call/3, and handle_call/3.
- Implement asynchronous flow and deferred initialization using GenServer.cast/2, handle_cast/2, and handle_continue/2 for non-blocking init.
- Manage internal events, tickers, and lifecycle using send/2 to self, Process.send_after/3 for periodic work, handle_info/2, terminate/2, and Timeouts. | [LEVEL] Advanced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[LANGUAGE] Spanish | [INLINE_PACKAGE_MANAGER] If the project requires an external package, you MUST use Standard mix.exs dependencies list (defp deps do [{:package_name, '~&gt; version'}] end) at the top. | [SCOPE_ARCHITECTURE_RULE] Rule: Build fault-tolerant OTP apps with DynamicSupervisor, Registry for process discovery, and handle_info/2 handlers. | [VISUAL_ARCHITECTURE_COMMENTS] 1. Use visual block tags separating OTP layers (e.g., '# --- CLIENT API ---', '# --- SERVER CALLBACKS ---') to map code to the planning phase. 2. Use comprehensive documentation using @moduledoc and @doc explaining process state APIs. 3. CRITICAL: NO comment or docstring line may exceed 80 characters in width. | [DATA ROBUSTNESS RULE] Handle real-world data safely | [CODE CONSTRAINTS] MUST be between 40–100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Spanish)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#8 | Stage 1 | Elixir OTP | 📊 Level: Advanced | 🌐 Coding5s.com
**Project:** PROJECT: Basic OTP State Manager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16" s="56" t="str">
        <f t="shared" si="12"/>
        <v>[ROLE] Careless Elixir OTP Developer | [TASK] Generate debugging project in Elixir OTP | [PROJECT] Build an interactive encapsulated state system utilizing spawn/1, send/2, receive, Agents, and GenServer core callbacks. | [TOPICS USED] 
- Implement concurrency and manual state management using spawn/1, send/2, receive, and manual recursion state.
- Manage manual monitoring and exits using Process.link/1, Process.monitor/1, and Process.flag/2 with :trap_exit.
- Create OTP behaviours and implement inversion of control utilizing @behaviour, @callback, behaviour modules, and callback-driven architecture.
- Implement encapsulated state with Agents using Agent.start_link/2, Agent.get/3, Agent.update/3, and Agent.cast/2.
- Construct GenServer core structures and synchronous flows using use GenServer, init/1, GenServer.call/3, and handle_call/3.
- Implement asynchronous flow and deferred initialization using GenServer.cast/2, handle_cast/2, and handle_continue/2 for non-blocking init.
- Manage internal events, tickers, and lifecycle using send/2 to self, Process.send_after/3 for periodic work, handle_info/2, terminate/2, and Timeouts. | [LEVEL] Advanced | [OUTPUT] Only header, dataset summary or statement (if any), email intro, objective, expected output, broken code, and footer | [HEADER RULE - STRICT] You MUST start your entire response EXACTLY with this markdown block (do not print anything before it):
### 🚀 Project #8 | Stage 2 | Elixir OTP | 📊 Level: Advanced | 🌐 Coding5s.com
Project: PROJECT: Basic OTP State Manager
---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[LANGUAGE CONSISTENCY RULE] ALL output text MUST be written strictly in the selected language (Spanish). This includes translating ALL structural labels requested in this prompt (like 'Project', 'Objective', 'Expected Output', 'Broken Code', 'From', 'To', 'Subject') into Spanish. Do NOT mix languages. Only code and technical identifiers remain unchanged | Guaraní | [LANGUAGE SEED CONTEXT] Language Seed Not Necessary | [BUG RULE] Simulate a messy production environment. The project MUST contain EXACTLY 2–5 bugs. You MUST randomly select from a wide variety of real-world Elixir errors: 1. Syntax/Compile (e.g., missing 'end', incorrect pipe '|&gt;', TokenMissingError), 2. Logic (produces wrong output), AND 3. Runtime Exceptions (e.g., MatchError, FunctionClauseError, ArithmeticError, BadMapError).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Spanish with this EXACT format translated to Spanish: 'From: [Random Dev Name]' / 'To: [Insert my user name if you know it from context, otherwise use Elixir OTP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Spanish)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16" s="56" t="str">
        <f t="shared" si="13"/>
        <v>[ROLE] Tech Lead | [TASK] Assign incomplete project script | [PROJECT] Build an interactive encapsulated state system utilizing spawn/1, send/2, receive, Agents, and GenServer core callbacks. | [TOPICS USED] 
- Implement concurrency and manual state management using spawn/1, send/2, receive, and manual recursion state.
- Manage manual monitoring and exits using Process.link/1, Process.monitor/1, and Process.flag/2 with :trap_exit.
- Create OTP behaviours and implement inversion of control utilizing @behaviour, @callback, behaviour modules, and callback-driven architecture.
- Implement encapsulated state with Agents using Agent.start_link/2, Agent.get/3, Agent.update/3, and Agent.cast/2.
- Construct GenServer core structures and synchronous flows using use GenServer, init/1, GenServer.call/3, and handle_call/3.
- Implement asynchronous flow and deferred initialization using GenServer.cast/2, handle_cast/2, and handle_continue/2 for non-blocking init.
- Manage internal events, tickers, and lifecycle using send/2 to self, Process.send_after/3 for periodic work, handle_info/2, terminate/2, and Timeouts. | [LEVEL] Advanced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this markdown block (do not print anything before it):
### 🚀 Project #8 | Stage 3 | Elixir OTP | 📊 Level: Advanced | 🌐 Coding5s.com
**Project:** PROJECT: Basic OTP State Manager
---
 | [EXTERNAL_PACKAGE_PROTOCOL] Use Mix.install([{:package_name, '~&gt; version'}]) at the top if needed. | [CHALLENGE_CONSTRAINTS_POLICY] MUST be between 40–100 lines of EXECUTABLE base code (STRICT: Do NOT count comments or TODOs). Multi-step flow.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[INTRO RULE] Intro MUST be a dynamically generated email in Spanish with this EXACT format translated to Spanish: 'From: [Generate NEW random full name] - Tech Lead' / 'To: [Insert my user name if known, else Junior] - Elixir OTP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16" s="56" t="str">
        <f t="shared" si="14"/>
        <v>[ROLE] Tech Lead | [TASK] Provide a messy but functional project for refactoring | [PROJECT] Build an interactive encapsulated state system utilizing spawn/1, send/2, receive, Agents, and GenServer core callbacks. | [TOPICS USED] 
- Implement concurrency and manual state management using spawn/1, send/2, receive, and manual recursion state.
- Manage manual monitoring and exits using Process.link/1, Process.monitor/1, and Process.flag/2 with :trap_exit.
- Create OTP behaviours and implement inversion of control utilizing @behaviour, @callback, behaviour modules, and callback-driven architecture.
- Implement encapsulated state with Agents using Agent.start_link/2, Agent.get/3, Agent.update/3, and Agent.cast/2.
- Construct GenServer core structures and synchronous flows using use GenServer, init/1, GenServer.call/3, and handle_call/3.
- Implement asynchronous flow and deferred initialization using GenServer.cast/2, handle_cast/2, and handle_continue/2 for non-blocking init.
- Manage internal events, tickers, and lifecycle using send/2 to self, Process.send_after/3 for periodic work, handle_info/2, terminate/2, and Timeouts. | [LEVEL] Advanced | [PERSONA RULE] Act as a Tech Lead. A junior wrote this working but messy code. Tone: professional but exhausted | [HEADER RULE - STRICT] You MUST start your entire response EXACTLY with this markdown block (do not print anything before it):
### 🚀 Project #8 | Stage 4 | Elixir OTP | 📊 Level: Advanced | 🌐 Coding5s.com
**Project:** PROJECT: Basic OTP State Manager
---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Spanish) IMMEDI बुन्देल IMMEDIATELY AFTER THE HEADER, PURGE any memory of previous files, and use realistic dummy data | [INTRO RULE] The intro MUST be an email in Spanish with this EXACT format translated to Spanish: 'From: [Tech Lead Name]' / 'To: [Insert my user name if known, else Elixir OTP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16" s="56" t="str">
        <f t="shared" si="15"/>
        <v>[ROLE] Tech Product Manager assigning a Elixir OTP Jira Ticket | [TASK] Provide a guided project implementation with full solution | [PROJECT] Build an interactive encapsulated state system utilizing spawn/1, send/2, receive, Agents, and GenServer core callbacks. | [TOPICS USED] 
- Implement concurrency and manual state management using spawn/1, send/2, receive, and manual recursion state.
- Manage manual monitoring and exits using Process.link/1, Process.monitor/1, and Process.flag/2 with :trap_exit.
- Create OTP behaviours and implement inversion of control utilizing @behaviour, @callback, behaviour modules, and callback-driven architecture.
- Implement encapsulated state with Agents using Agent.start_link/2, Agent.get/3, Agent.update/3, and Agent.cast/2.
- Construct GenServer core structures and synchronous flows using use GenServer, init/1, GenServer.call/3, and handle_call/3.
- Implement asynchronous flow and deferred initialization using GenServer.cast/2, handle_cast/2, and handle_continue/2 for non-blocking init.
- Manage internal events, tickers, and lifecycle using send/2 to self, Process.send_after/3 for periodic work, handle_info/2, terminate/2, and Timeouts. | [LEVEL] Advanced | [PERSONA RULE] Act as a professional Tech Product Manager defining a project ticket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Project #8 | Stage 5 | Elixir OTP | 📊 Level: Advanced | 🌐 Coding5s.com
**Project:** PROJECT: Basic OTP State Manager
---
 | [LANGUAGE CONSISTENCY RULE] ALL output MUST be strictly in Spanish.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Spanish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Spanish):
Ticket #[Random 5-digit ID]
From: [Generate Name] - [Department]
To: Dev Team
Subject: [Ticket Subject]
Hello Dev Team, this is [Name] from [Department]. [Context paragraph].
(Tech Product Manager Notes):
From: [Generate TPM Name] - Tech Product Manager
To: [Insert my user name if known, otherwise use 'Elixir OTP Dev']
Subject: Assignment Details
Hello [Insert my user name if known, otherwise use 'Elixir OTP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Spanish)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16" s="40" t="s">
        <v>91</v>
      </c>
      <c r="AF16" s="40" t="s">
        <v>92</v>
      </c>
      <c r="AG16" s="40" t="s">
        <v>93</v>
      </c>
      <c r="AH16" s="56" t="str">
        <f t="shared" si="16"/>
        <v/>
      </c>
      <c r="AI16" s="54"/>
      <c r="AJ16" s="54"/>
      <c r="AK16" s="54">
        <v>8</v>
      </c>
      <c r="AL16" s="54" t="s">
        <v>94</v>
      </c>
      <c r="AM16" s="54" t="s">
        <v>95</v>
      </c>
    </row>
    <row r="17" spans="1:39">
      <c r="A17" s="95">
        <v>20</v>
      </c>
      <c r="B17" s="45" t="str" cm="1">
        <f t="array" ref="B17">IF(H17="PROJECT", CHAR(10) &amp; "- " &amp; _xlfn.TEXTJOIN(CHAR(10) &amp; "- ", TRUE, _xlfn._xlws.FILTER($I$9:$I$1000, ($C$9:$C$1000=C17) * ($H$9:$H$1000="Topic"))), "")</f>
        <v/>
      </c>
      <c r="C17" s="45">
        <f t="shared" si="0"/>
        <v>2</v>
      </c>
      <c r="D17" s="46">
        <v>4</v>
      </c>
      <c r="E17" s="58" t="s">
        <v>48</v>
      </c>
      <c r="F17" s="48">
        <v>9</v>
      </c>
      <c r="G17" s="49" t="s">
        <v>162</v>
      </c>
      <c r="H17" s="49" t="s">
        <v>50</v>
      </c>
      <c r="I17" s="50" t="s">
        <v>774</v>
      </c>
      <c r="J17" s="51" t="s">
        <v>775</v>
      </c>
      <c r="K17" s="120" t="str">
        <f t="shared" si="1"/>
        <v xml:space="preserve">[ROLE] Friendly tutor specializing in Elixir OTP | [TOPIC] Design state modeling patterns using Maps as state, Structs as state, nested state transitions, and process ownership design. | [LEVEL] Advanced | [COUNT] 4 examples | [LIBRARY BEING LEARNED]  | [ECOSYSTEM ORIENTATION RULE] If a module or ecosystem like GenServer, Supervisor, Registry, or DynamicSupervisor is specified in , you are CRITICALLY FORBIDDEN from using manual process linking (spawn/1, spawn_link/1) outside standard OTP behaviors. You MUST enforce the concurrent asynchronous processes and proper Supervisor tree state isolation and data structures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20 lines of EXECUTABLE code (STRICT: Do NOT count comments or blank lines). - NEVER exceed this limit. | [FUNCTION RULE] Rule: stateful GenServer state or external message passing | [CODE_CONSTRAINTS_RULE] Each example MUST: - Use stateful GenServer state or external message passing - Print steps &amp; result via Logger.info/debug or IO.inspect inside isolated process callbacks - MAX 20 executable lines (comments/blanks excluded) - NEVER exceed limit. | [I_O_PARADIGM] Use standard OTP message passing via send/2 or GenServer.call/3 and gracefully handle {:reply, response, new_state}, {:noreply, new_state}, and {:ok, state} tuples when applicable. | [INLINE_PACKAGE_MANAGER] If using external packages, use Standard mix.exs dependencies list (defp deps do [{:package_name, '~&gt; version'}] end) at the top of the code block. Assume no project configuration file exists. | [TESTING_FRAMEWORK_LIMITS] For ExUnit with isolated async processes (use ExUnit.Case, async: true), NEVER use manual process link hacking outside of standard OTP abstractions. Use standard test macros and assert_receive/assert_received for message validation, as manual process link hacking outside of standard OTP abstractions fail in standalone execution environments. | [CODE QUALITY RULE] Code MUST be clean, readable, educational, executable, and produce correct results. Handle missing, malformed, or inconsistent data safely, utilizing pattern matching if possible. | [COMMENT CONSTRAINTS] Code MUST include sufficient inline comments explaining WHAT the code does AND WHY it is written that way. Density: Beginner = high, Intermediate = medium, Advanced = 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#9 | Stage 1 📖 Practice | Elixir OTP | 📊 Level: Advanced | 🌐 Coding5s.com
**Concept:** State Modeling Patterns (Maps as state, Structs as state, nested state transitions, process ownership design)
---
 | [INTRO RULE] Include a short tutor-style sentence in Spanish before the analogy, followed by this EXACT instruction block translated to Spanish: '🚨 **Your objective in this lesson:** To truly learn the new  Elixir OTP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[PERSONA RULE] Act as a friendly, clear tutor | [TASK] Teach and explain concepts clearly with correct code examples | [OUTPUT CONTRACT] EXACTLY 4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Evaluate ONLY current attachments. IF FILE ATTACHED: Acknowledge it, place Dataset Summary (Type, Structure, Columns, Data Types) IMMEDIATELY AFTER HEADER, and strictly use it for ALL examples. IF NO FILE ATTACHED: Explicitly print 'No synthetic data file was provided for this topic. Generating dummy data.' (translate to Spanish), generate minimal dummy data internally, and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7" s="103" t="str">
        <f t="shared" si="2"/>
        <v xml:space="preserve">[MENTOR_S1_SAFE_GUIDE] Act as 'The Safe Guide' (El Hermano Mayor) - a World-Class Elite Technical Mentor for Stage 1 Practice specializing in Elixir OTP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Design state modeling patterns using Maps as state, Structs as state, nested state transitions, and process ownership design.. Topic details: State Modeling Patterns (Maps as state, Structs as state, nested state transitions, process ownership design) | [LANGUAGE CONSISTENCY RULE] ALL output text MUST be written strictly in (Spanish). | [LANGUAGE SEED CONTEXT] Language Seed Not Necessary | [LANGUAGE] Spanish | [MENTOR_SCOPE_EXPECTATIONS] Expect complete OTP apps with DynamicSupervisor, clean separation of Client API/Server Callbacks, and handle_info/2 pattern matching. | [CODE_QUALITY_POLICIES] Code MUST be idiomatic Elixir. Use descriptive snake_case for functions/variables, and PascalCase for module aliases. Leverage proper tuple pattern matching (e.g., {:noreply, new_state}) and strict immutability within process boundaries. Reject process mailbox clogging, blocking callbacks, bypassing OTP behaviors, or modifying external global state. If using default arguments ('\\') with multiple function clauses or callbacks, you MUST declare a function head without a body.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OTP code, and fully functional Elixir OTP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#9 | Practice | Elixir OTP | 📊 Level: Advanced
**Topic:** Design state modeling patterns using Maps as state, Structs as state, nested state transitions, and process ownership design.
---
 | [FOOTER RULE - STRICT] End your response with: '--- ⚡ *Coding5s Mentor System — Eliminating Epistemic Debt*' | </v>
      </c>
      <c r="M17" s="53">
        <v>0</v>
      </c>
      <c r="N17" s="102" t="str">
        <f t="shared" si="3"/>
        <v>[ROLE] Careless Elixir OTP Developer | [TASK] Generate debugging challenges in Elixir OTP | | [TOPIC] Design state modeling patterns using Maps as state, Structs as state, nested state transitions, and process ownership design. | | [LEVEL] Advanced |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Topic #9 | Stage 2 🐛 Debug | Elixir OTP | 📊 Level: Advanced | 🌐 Coding5s.com
Concept: State Modeling Patterns (Maps as state, Structs as state, nested state transitions, process ownership design)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Use standard Elixir File module and gracefully handle {:ok, data} and {:error, reason} tuples | Environment variables may be used but bugs MUST exist ONLY in code logic, NEVER in config files | If env/config is used, MUST include: 1. Instructional sentence 2. File content in markdown code block 3. BEFORE the broken code (Support files MUST contain NO bugs) | [EXUNIT RULE] If the topic involves ExUnit or Testing, NEVER use doctests (@doc iex&gt;). You MUST use standard test macros (test 'test name' do) and assert statements. Doctests cause errors in standalone .exs scripts. | [HEX DEPENDENCIES RULE] If the exercise requires using an external Hex package in a standalone script, you MUST use Mix.install([{:package_name, '~&gt; version'}]) at the very top of the code block. Assume there is NO mix.exs file available in the user's environment. | [CODE CONSTRAINTS] Each challenge MUST include: - Internal data OR dataset usage - At least 1 Enum/List operation or recursion (when applicable) - At least 1 IO.puts or IO.inspect statement - 15–35 lines of EXECUTABLE broken code per example (STRICT: Do NOT count blank lines). Use pure functions and immutability. | All challenges MUST have similar complexity and length. | [INTRO RULE] The intro MUST be a dynamically generated, urgent, unprofessional email in Spanish with this EXACT format: '📥 From: [Random Dev Name]' / '📤 To: [Insert my user name if you know it from context, otherwise use Elixir OTP Developer]' / 'Subject: [Generate a funny, desperate Subject]'. Body MUST be unique every time. Do NOT copy this example exactly, but use this vibe: 'Ay, no sé ni qué hora es, pero aquí tienes estas cosas que apenas funcionan. Arréglalo tú si tanto te importa el orden. No consigo que corran. Ayúdame y luego te invito al almuerzo. El jefe urge...'. Make it short, informal, and funny for the student. IMMEDIATELY AFTER the email body, you MUST include this exact instruction block translated to Spanish: '🚨 Your objective in this lesson: You must copy the code blocks from each Challenge exactly as they are and paste them into your IDE. Then you have to fix all the errors in the code until you achieve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three dimensions: 1. Syntax Errors (e.g., mismatched delimiters, invalid indentation, invalid syntax, SyntaxError). 2. Runtime Exceptions (e.g., TypeError when mixing types, ValueError with invalid arguments, IndexError on collections, KeyError on dictionaries, ZeroDivisionError). 3. Logic Errors (e.g., incorrect Boolean logic, off-by-one errors in loops, wrong mathematical formulas, variable shadowing, or incorrect use of mutable defaults). Errors MUST be realistic and mimic common mistakes made by junior developers in production-like environments. | [EXECUTION RULE] Code must fail due to syntax errors, runtime exceptions, or produce incorrect output | [DATA RULE - STRICT] A dataset MAY be provided in THIS CURRENT PROMPT. If a NEW dataset IS attached to THIS prompt, you MUST: 1. Detect and acknowledge it BEFORE challenges 2. Explicitly state file type 3. Describe structure 4. List columns or fields 5. Infer data types 6. Display dataset summary IMMEDIATELY AFTER THE HEADER 7. State ALL challenges use it 8. Use it directly (DO NOT recreate data). If NO dataset is provided IN THIS CURRENT PROMPT: - STRICT: You MUST explicitly state 'No synthetic data file was provided. Generating dummy data.' (translate this phrase to Spanish) - Generate minimal internal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7" s="103" t="str">
        <f t="shared" si="4"/>
        <v xml:space="preserve">[MENTOR_S2_DETECTIVE] Act as 'The Analytical Partner' (El Detective con Café) - a World-Class Elite Technical Mentor for Stage 2 Debugging specializing in Elixir OTP.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Design state modeling patterns using Maps as state, Structs as state, nested state transitions, and process ownership design.. Topic details: State Modeling Patterns (Maps as state, Structs as state, nested state transitions, process ownership design)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#9 | Debug | Elixir OTP | 📊 Level: Advanced
**Topic:** Design state modeling patterns using Maps as state, Structs as state, nested state transitions, and process ownership design.
---
 | [PYTHON QUALITY RULE - STRICT] Code MUST be production-like, clean, and idiomatic Elixir. Use descriptive snake_case for variables and functions. Use pure functions and strict immutability. If using default arguments (\\\\) with multiple function clauses, you MUST declare a function head without a body to avoid compiler warnings.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OTP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OTP).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OTP code, and fully functional Elixir OTP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7" s="53">
        <v>0</v>
      </c>
      <c r="Q17" s="102" t="str">
        <f t="shared" si="5"/>
        <v>[ROLE] Tech Lead | [TASK] Assign incomplete Elixir OTP script challenges | [TOPIC] Design state modeling patterns using Maps as state, Structs as state, nested state transitions, and process ownership design. | [LEVEL] Advanced | [COUNT] 4 challenges | [LIBRARY BEING LEARNED]  | [ECOSYSTEM ORIENTATION RULE] If a module or ecosystem like Explorer or Nx is specified in [LIBRARY BEING LEARNED], you are CRITICALLY FORBIDDEN from using manual recursion or nested loop implementations. You MUST enforce the native, optimized data structures and vectorized operations of that specific library. | [HEADER RULE - STRICT] You MUST start your entire response EXACTLY with this markdown block (do not print anything before it):
### 🔹 Topic #9 | Stage 3 🧩 Complete | Elixir OTP | 📊 Level: Advanced | 🌐 Coding5s.com
**Concept:** State Modeling Patterns (Maps as state, Structs as state, nested state transitions, process ownership design)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[EXTERNAL_PACKAGE_PROTOCOL] If the exercise requires using an external Hex package in a standalone script, you MUST use Mix.install([{:package_name, '~&gt; version'}]) at the very top of the code block. | [TESTING_FRAMEWORK_PROTOCOL] If the topic involves ExUnit or Testing, NEVER use doctests (@doc iex&gt;). You MUST use standard test macros (test 'test name' do) and assert statements. | [CHALLENGE_CONSTRAINTS_POLICY] Each challenge MUST include: - Internal data OR dataset usage - 15–35 lines of EXECUTABLE base code (STRICT: Do NOT count comments or TODOs). - Length MUST vary across challenges. Use pure functions and immutability.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Elixir OTP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Design state modeling patterns using Maps as state, Structs as state, nested state transitions, and process ownership design..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7" s="103" t="str">
        <f t="shared" si="6"/>
        <v xml:space="preserve">[MENTOR_S3_BUILDER] Act as 'The Logical Scaffold' (El Maestro de Obra) - a World-Class Elite Technical Mentor for Stage 3 Code Completion specializing in Elixir OTP.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Design state modeling patterns using Maps as state, Structs as state, nested state transitions, and process ownership design.. Topic details: State Modeling Patterns (Maps as state, Structs as state, nested state transitions, process ownership design)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#9 | Complete | Elixir OTP | 📊 Level: Advanced
**Topic:** Design state modeling patterns using Maps as state, Structs as state, nested state transitions, and process ownership design.
---
 | [PYTHON QUALITY RULE - STRICT] Code MUST be explicitly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7" s="53">
        <v>0</v>
      </c>
      <c r="T17" s="102" t="str">
        <f t="shared" si="7"/>
        <v>[ROLE] Tech Lead | [TASK] Provide intentionally messy but functional code for learning debugging and improvement | [TOPIC] Design state modeling patterns using Maps as state, Structs as state, nested state transitions, and process ownership design. | [LEVEL] Advanced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#9 | Stage 4 🧹 Refactor | Elixir OTP | 📊 Level: Advanced | 🌐 Coding5s.com
**Concept:** State Modeling Patterns (Maps as state, Structs as state, nested state transitions, process ownership design)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Elixir OTP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7" s="103" t="str">
        <f t="shared" si="8"/>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Elixir OTP', 'limpia este desastre'). Match the cultural vibe of a senior who is tired of seeing bad code. | [CONTEXT] You are performing a Code Review for a TOPIC: Design state modeling patterns using Maps as state, Structs as state, nested state transitions, and process ownership design.. Topic details: State Modeling Patterns (Maps as state, Structs as state, nested state transitions, process ownership design)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#9 | Refactor | Elixir OTP | 📊 Level: Advanced
**Topic:** Design state modeling patterns using Maps as state, Structs as state, nested state transitions, and process ownership design.
---
 | [PYTHON QUALITY RULE - STRICT] Code MUST be explicitly compliant with language-standard style guides. Use descriptive snake_case for variables and functions. Avoid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OTP built-in, standard library module, or good Elixir OTP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OTP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7" s="53">
        <v>0</v>
      </c>
      <c r="W17" s="87" t="str">
        <f t="shared" si="9"/>
        <v>[ROLE] Tech Product Manager assigning a Elixir OTP Jira Ticket | [TASK] Provide a guided implementation exercise with full solution for learning purposes | [TOPIC] Design state modeling patterns using Maps as state, Structs as state, nested state transitions, and process ownership design. | [LEVEL] Advanced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#9 | Stage 5 | Elixir OTP | 📊 Level: Advanced | 🌐 Coding5s.com
**Concept:** State Modeling Patterns (Maps as state, Structs as state, nested state transitions, process ownership design)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OTP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OTP Dev']
Subject: Assignment Details
Hello [Insert my user name if known, otherwise use 'Elixir OTP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Spanish).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7" s="103" t="str">
        <f t="shared" si="10"/>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Design state modeling patterns using Maps as state, Structs as state, nested state transitions, and process ownership design.. Goal: State Modeling Patterns (Maps as state, Structs as state, nested state transitions, process ownership design)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#9 | Extend | Elixir OTP | 📊 Level: Advanced
**Topic:** Design state modeling patterns using Maps as state, Structs as state, nested state transitions, and process ownership design.
---
 | [CODE_QUALITY_PROTOCOL] Code MUST be explicitly compliant with language-standard style guides. Use descriptive snake_case for variables and functions. NEVER use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7" s="53">
        <v>0</v>
      </c>
      <c r="Z17" s="56" t="str">
        <f t="shared" si="11"/>
        <v/>
      </c>
      <c r="AA17" s="56" t="str">
        <f t="shared" si="12"/>
        <v/>
      </c>
      <c r="AB17" s="56" t="str">
        <f t="shared" si="13"/>
        <v/>
      </c>
      <c r="AC17" s="56" t="str">
        <f t="shared" si="14"/>
        <v/>
      </c>
      <c r="AD17" s="56" t="str">
        <f t="shared" si="15"/>
        <v/>
      </c>
      <c r="AE17" s="40" t="s">
        <v>96</v>
      </c>
      <c r="AF17" s="40" t="s">
        <v>97</v>
      </c>
      <c r="AG17" s="40" t="s">
        <v>98</v>
      </c>
      <c r="AH17" s="56" t="str">
        <f t="shared" si="16"/>
        <v/>
      </c>
      <c r="AI17" s="54"/>
      <c r="AJ17" s="54"/>
      <c r="AK17" s="54">
        <v>9</v>
      </c>
      <c r="AL17" s="54" t="s">
        <v>99</v>
      </c>
      <c r="AM17" s="54" t="s">
        <v>100</v>
      </c>
    </row>
    <row r="18" spans="1:39">
      <c r="A18" s="95">
        <v>15</v>
      </c>
      <c r="B18" s="45" t="str" cm="1">
        <f t="array" ref="B18">IF(H18="PROJECT", CHAR(10) &amp; "- " &amp; _xlfn.TEXTJOIN(CHAR(10) &amp; "- ", TRUE, _xlfn._xlws.FILTER($I$9:$I$1000, ($C$9:$C$1000=C18) * ($H$9:$H$1000="Topic"))), "")</f>
        <v/>
      </c>
      <c r="C18" s="45">
        <f t="shared" si="0"/>
        <v>2</v>
      </c>
      <c r="D18" s="57">
        <v>3</v>
      </c>
      <c r="E18" s="58" t="s">
        <v>48</v>
      </c>
      <c r="F18" s="59">
        <v>10</v>
      </c>
      <c r="G18" s="60" t="s">
        <v>162</v>
      </c>
      <c r="H18" s="60" t="s">
        <v>50</v>
      </c>
      <c r="I18" s="61" t="s">
        <v>776</v>
      </c>
      <c r="J18" s="62" t="s">
        <v>777</v>
      </c>
      <c r="K18" s="120" t="str">
        <f t="shared" si="1"/>
        <v xml:space="preserve">[ROLE] Friendly tutor specializing in Elixir OTP | [TOPIC] Implement local registration and global basics using Local name: atom, Process.whereis/1, Process.register/2, and the :global module. | [LEVEL] Advanced | [COUNT] 3 examples | [LIBRARY BEING LEARNED]  | [ECOSYSTEM ORIENTATION RULE] If a module or ecosystem like GenServer, Supervisor, Registry, or DynamicSupervisor is specified in , you are CRITICALLY FORBIDDEN from using manual process linking (spawn/1, spawn_link/1) outside standard OTP behaviors. You MUST enforce the concurrent asynchronous processes and proper Supervisor tree state isolation and data structures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15 lines of EXECUTABLE code (STRICT: Do NOT count comments or blank lines). - NEVER exceed this limit. | [FUNCTION RULE] Rule: stateful GenServer state or external message passing | [CODE_CONSTRAINTS_RULE] Each example MUST: - Use stateful GenServer state or external message passing - Print steps &amp; result via Logger.info/debug or IO.inspect inside isolated process callbacks - MAX 15 executable lines (comments/blanks excluded) - NEVER exceed limit. | [I_O_PARADIGM] Use standard OTP message passing via send/2 or GenServer.call/3 and gracefully handle {:reply, response, new_state}, {:noreply, new_state}, and {:ok, state} tuples when applicable. | [INLINE_PACKAGE_MANAGER] If using external packages, use Standard mix.exs dependencies list (defp deps do [{:package_name, '~&gt; version'}] end) at the top of the code block. Assume no project configuration file exists. | [TESTING_FRAMEWORK_LIMITS] For ExUnit with isolated async processes (use ExUnit.Case, async: true), NEVER use manual process link hacking outside of standard OTP abstractions. Use standard test macros and assert_receive/assert_received for message validation, as manual process link hacking outside of standard OTP abstractions fail in standalone execution environments. | [CODE QUALITY RULE] Code MUST be clean, readable, educational, executable, and produce correct results. Handle missing, malformed, or inconsistent data safely, utilizing pattern matching if possible. | [COMMENT CONSTRAINTS] Code MUST include sufficient inline comments explaining WHAT the code does AND WHY it is written that way. Density: Beginner = high, Intermediate = medium, Advanced = 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#10 | Stage 1 📖 Practice | Elixir OTP | 📊 Level: Advanced | 🌐 Coding5s.com
**Concept:** Local Registration &amp; Global Basics (Local name: atom, Process.whereis/1, Process.register/2, :global module)
---
 | [INTRO RULE] Include a short tutor-style sentence in Spanish before the analogy, followed by this EXACT instruction block translated to Spanish: '🚨 **Your objective in this lesson:** To truly learn the new  Elixir OTP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[PERSONA RULE] Act as a friendly, clear tutor | [TASK] Teach and explain concepts clearly with correct code examples | [OUTPUT CONTRACT] EXACTLY 3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Evaluate ONLY current attachments. IF FILE ATTACHED: Acknowledge it, place Dataset Summary (Type, Structure, Columns, Data Types) IMMEDIATELY AFTER HEADER, and strictly use it for ALL examples. IF NO FILE ATTACHED: Explicitly print 'No synthetic data file was provided for this topic. Generating dummy data.' (translate to Spanish), generate minimal dummy data internally, and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8" s="103" t="str">
        <f t="shared" si="2"/>
        <v xml:space="preserve">[MENTOR_S1_SAFE_GUIDE] Act as 'The Safe Guide' (El Hermano Mayor) - a World-Class Elite Technical Mentor for Stage 1 Practice specializing in Elixir OTP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local registration and global basics using Local name: atom, Process.whereis/1, Process.register/2, and the :global module.. Topic details: Local Registration &amp; Global Basics (Local name: atom, Process.whereis/1, Process.register/2, :global module) | [LANGUAGE CONSISTENCY RULE] ALL output text MUST be written strictly in (Spanish). | [LANGUAGE SEED CONTEXT] Language Seed Not Necessary | [LANGUAGE] Spanish | [MENTOR_SCOPE_EXPECTATIONS] Expect complete OTP apps with DynamicSupervisor, clean separation of Client API/Server Callbacks, and handle_info/2 pattern matching. | [CODE_QUALITY_POLICIES] Code MUST be idiomatic Elixir. Use descriptive snake_case for functions/variables, and PascalCase for module aliases. Leverage proper tuple pattern matching (e.g., {:noreply, new_state}) and strict immutability within process boundaries. Reject process mailbox clogging, blocking callbacks, bypassing OTP behaviors, or modifying external global state. If using default arguments ('\\') with multiple function clauses or callbacks, you MUST declare a function head without a body.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OTP code, and fully functional Elixir OTP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#10 | Practice | Elixir OTP | 📊 Level: Advanced
**Topic:** Implement local registration and global basics using Local name: atom, Process.whereis/1, Process.register/2, and the :global module.
---
 | [FOOTER RULE - STRICT] End your response with: '--- ⚡ *Coding5s Mentor System — Eliminating Epistemic Debt*' | </v>
      </c>
      <c r="M18" s="52">
        <v>0</v>
      </c>
      <c r="N18" s="102" t="str">
        <f t="shared" si="3"/>
        <v>[ROLE] Careless Elixir OTP Developer | [TASK] Generate debugging challenges in Elixir OTP | | [TOPIC] Implement local registration and global basics using Local name: atom, Process.whereis/1, Process.register/2, and the :global module. | | [LEVEL] Advanced | | [COUNT] 3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Topic #10 | Stage 2 🐛 Debug | Elixir OTP | 📊 Level: Advanced | 🌐 Coding5s.com
Concept: Local Registration &amp; Global Basics (Local name: atom, Process.whereis/1, Process.register/2, :global module)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Use standard Elixir File module and gracefully handle {:ok, data} and {:error, reason} tuples | Environment variables may be used but bugs MUST exist ONLY in code logic, NEVER in config files | If env/config is used, MUST include: 1. Instructional sentence 2. File content in markdown code block 3. BEFORE the broken code (Support files MUST contain NO bugs) | [EXUNIT RULE] If the topic involves ExUnit or Testing, NEVER use doctests (@doc iex&gt;). You MUST use standard test macros (test 'test name' do) and assert statements. Doctests cause errors in standalone .exs scripts. | [HEX DEPENDENCIES RULE] If the exercise requires using an external Hex package in a standalone script, you MUST use Mix.install([{:package_name, '~&gt; version'}]) at the very top of the code block. Assume there is NO mix.exs file available in the user's environment. | [CODE CONSTRAINTS] Each challenge MUST include: - Internal data OR dataset usage - At least 1 Enum/List operation or recursion (when applicable) - At least 1 IO.puts or IO.inspect statement - 15–35 lines of EXECUTABLE broken code per example (STRICT: Do NOT count blank lines). Use pure functions and immutability. | All challenges MUST have similar complexity and length. | [INTRO RULE] The intro MUST be a dynamically generated, urgent, unprofessional email in Spanish with this EXACT format: '📥 From: [Random Dev Name]' / '📤 To: [Insert my user name if you know it from context, otherwise use Elixir OTP Developer]' / 'Subject: [Generate a funny, desperate Subject]'. Body MUST be unique every time. Do NOT copy this example exactly, but use this vibe: 'Ay, no sé ni qué hora es, pero aquí tienes estas cosas que apenas funcionan. Arréglalo tú si tanto te importa el orden. No consigo que corran. Ayúdame y luego te invito al almuerzo. El jefe urge...'. Make it short, informal, and funny for the student. IMMEDIATELY AFTER the email body, you MUST include this exact instruction block translated to Spanish: '🚨 Your objective in this lesson: You must copy the code blocks from each Challenge exactly as they are and paste them into your IDE. Then you have to fix all the errors in the code until you achieve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three dimensions: 1. Syntax Errors (e.g., mismatched delimiters, invalid indentation, invalid syntax, SyntaxError). 2. Runtime Exceptions (e.g., TypeError when mixing types, ValueError with invalid arguments, IndexError on collections, KeyError on dictionaries, ZeroDivisionError). 3. Logic Errors (e.g., incorrect Boolean logic, off-by-one errors in loops, wrong mathematical formulas, variable shadowing, or incorrect use of mutable defaults). Errors MUST be realistic and mimic common mistakes made by junior developers in production-like environments. | [EXECUTION RULE] Code must fail due to syntax errors, runtime exceptions, or produce incorrect output | [DATA RULE - STRICT] A dataset MAY be provided in THIS CURRENT PROMPT. If a NEW dataset IS attached to THIS prompt, you MUST: 1. Detect and acknowledge it BEFORE challenges 2. Explicitly state file type 3. Describe structure 4. List columns or fields 5. Infer data types 6. Display dataset summary IMMEDIATELY AFTER THE HEADER 7. State ALL challenges use it 8. Use it directly (DO NOT recreate data). If NO dataset is provided IN THIS CURRENT PROMPT: - STRICT: You MUST explicitly state 'No synthetic data file was provided. Generating dummy data.' (translate this phrase to Spanish) - Generate minimal internal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8" s="103" t="str">
        <f t="shared" si="4"/>
        <v xml:space="preserve">[MENTOR_S2_DETECTIVE] Act as 'The Analytical Partner' (El Detective con Café) - a World-Class Elite Technical Mentor for Stage 2 Debugging specializing in Elixir OTP.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local registration and global basics using Local name: atom, Process.whereis/1, Process.register/2, and the :global module.. Topic details: Local Registration &amp; Global Basics (Local name: atom, Process.whereis/1, Process.register/2, :global module)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#10 | Debug | Elixir OTP | 📊 Level: Advanced
**Topic:** Implement local registration and global basics using Local name: atom, Process.whereis/1, Process.register/2, and the :global module.
---
 | [PYTHON QUALITY RULE - STRICT] Code MUST be production-like, clean, and idiomatic Elixir. Use descriptive snake_case for variables and functions. Use pure functions and strict immutability. If using default arguments (\\\\) with multiple function clauses, you MUST declare a function head without a body to avoid compiler warnings.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OTP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OTP).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OTP code, and fully functional Elixir OTP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8" s="52">
        <v>0</v>
      </c>
      <c r="Q18" s="102" t="str">
        <f t="shared" si="5"/>
        <v>[ROLE] Tech Lead | [TASK] Assign incomplete Elixir OTP script challenges | [TOPIC] Implement local registration and global basics using Local name: atom, Process.whereis/1, Process.register/2, and the :global module. | [LEVEL] Advanced | [COUNT] 3 challenges | [LIBRARY BEING LEARNED]  | [ECOSYSTEM ORIENTATION RULE] If a module or ecosystem like Explorer or Nx is specified in [LIBRARY BEING LEARNED], you are CRITICALLY FORBIDDEN from using manual recursion or nested loop implementations. You MUST enforce the native, optimized data structures and vectorized operations of that specific library. | [HEADER RULE - STRICT] You MUST start your entire response EXACTLY with this markdown block (do not print anything before it):
### 🔹 Topic #10 | Stage 3 🧩 Complete | Elixir OTP | 📊 Level: Advanced | 🌐 Coding5s.com
**Concept:** Local Registration &amp; Global Basics (Local name: atom, Process.whereis/1, Process.register/2, :global module)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[EXTERNAL_PACKAGE_PROTOCOL] If the exercise requires using an external Hex package in a standalone script, you MUST use Mix.install([{:package_name, '~&gt; version'}]) at the very top of the code block. | [TESTING_FRAMEWORK_PROTOCOL] If the topic involves ExUnit or Testing, NEVER use doctests (@doc iex&gt;). You MUST use standard test macros (test 'test name' do) and assert statements. | [CHALLENGE_CONSTRAINTS_POLICY] Each challenge MUST include: - Internal data OR dataset usage - 15–35 lines of EXECUTABLE base code (STRICT: Do NOT count comments or TODOs). - Length MUST vary across challenges. Use pure functions and immutability.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Elixir OTP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local registration and global basics using Local name: atom, Process.whereis/1, Process.register/2, and the :global module..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8" s="103" t="str">
        <f t="shared" si="6"/>
        <v xml:space="preserve">[MENTOR_S3_BUILDER] Act as 'The Logical Scaffold' (El Maestro de Obra) - a World-Class Elite Technical Mentor for Stage 3 Code Completion specializing in Elixir OTP.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local registration and global basics using Local name: atom, Process.whereis/1, Process.register/2, and the :global module.. Topic details: Local Registration &amp; Global Basics (Local name: atom, Process.whereis/1, Process.register/2, :global module)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#10 | Complete | Elixir OTP | 📊 Level: Advanced
**Topic:** Implement local registration and global basics using Local name: atom, Process.whereis/1, Process.register/2, and the :global module.
---
 | [PYTHON QUALITY RULE - STRICT] Code MUST be explicitly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8" s="52">
        <v>0</v>
      </c>
      <c r="T18" s="102" t="str">
        <f t="shared" si="7"/>
        <v>[ROLE] Tech Lead | [TASK] Provide intentionally messy but functional code for learning debugging and improvement | [TOPIC] Implement local registration and global basics using Local name: atom, Process.whereis/1, Process.register/2, and the :global module. | [LEVEL] Advanced | [COUNT] 3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#10 | Stage 4 🧹 Refactor | Elixir OTP | 📊 Level: Advanced | 🌐 Coding5s.com
**Concept:** Local Registration &amp; Global Basics (Local name: atom, Process.whereis/1, Process.register/2, :global module)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Elixir OTP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8" s="103" t="str">
        <f t="shared" si="8"/>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Elixir OTP', 'limpia este desastre'). Match the cultural vibe of a senior who is tired of seeing bad code. | [CONTEXT] You are performing a Code Review for a TOPIC: Implement local registration and global basics using Local name: atom, Process.whereis/1, Process.register/2, and the :global module.. Topic details: Local Registration &amp; Global Basics (Local name: atom, Process.whereis/1, Process.register/2, :global module)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#10 | Refactor | Elixir OTP | 📊 Level: Advanced
**Topic:** Implement local registration and global basics using Local name: atom, Process.whereis/1, Process.register/2, and the :global module.
---
 | [PYTHON QUALITY RULE - STRICT] Code MUST be explicitly compliant with language-standard style guides. Use descriptive snake_case for variables and functions. Avoid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OTP built-in, standard library module, or good Elixir OTP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OTP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8" s="52">
        <v>0</v>
      </c>
      <c r="W18" s="87" t="str">
        <f t="shared" si="9"/>
        <v>[ROLE] Tech Product Manager assigning a Elixir OTP Jira Ticket | [TASK] Provide a guided implementation exercise with full solution for learning purposes | [TOPIC] Implement local registration and global basics using Local name: atom, Process.whereis/1, Process.register/2, and the :global module. | [LEVEL] Advanced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#10 | Stage 5 | Elixir OTP | 📊 Level: Advanced | 🌐 Coding5s.com
**Concept:** Local Registration &amp; Global Basics (Local name: atom, Process.whereis/1, Process.register/2, :global module)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OTP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OTP Dev']
Subject: Assignment Details
Hello [Insert my user name if known, otherwise use 'Elixir OTP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Spanish).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8" s="103" t="str">
        <f t="shared" si="10"/>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local registration and global basics using Local name: atom, Process.whereis/1, Process.register/2, and the :global module.. Goal: Local Registration &amp; Global Basics (Local name: atom, Process.whereis/1, Process.register/2, :global module)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#10 | Extend | Elixir OTP | 📊 Level: Advanced
**Topic:** Implement local registration and global basics using Local name: atom, Process.whereis/1, Process.register/2, and the :global module.
---
 | [CODE_QUALITY_PROTOCOL] Code MUST be explicitly compliant with language-standard style guides. Use descriptive snake_case for variables and functions. NEVER use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8" s="52">
        <v>0</v>
      </c>
      <c r="Z18" s="56" t="str">
        <f t="shared" si="11"/>
        <v/>
      </c>
      <c r="AA18" s="56" t="str">
        <f t="shared" si="12"/>
        <v/>
      </c>
      <c r="AB18" s="56" t="str">
        <f t="shared" si="13"/>
        <v/>
      </c>
      <c r="AC18" s="56" t="str">
        <f t="shared" si="14"/>
        <v/>
      </c>
      <c r="AD18" s="56" t="str">
        <f t="shared" si="15"/>
        <v/>
      </c>
      <c r="AE18" s="40" t="s">
        <v>101</v>
      </c>
      <c r="AF18" s="40" t="s">
        <v>102</v>
      </c>
      <c r="AG18" s="40" t="s">
        <v>103</v>
      </c>
      <c r="AH18" s="56" t="str">
        <f t="shared" si="16"/>
        <v/>
      </c>
      <c r="AI18" s="54"/>
      <c r="AJ18" s="54"/>
      <c r="AK18" s="54">
        <v>10</v>
      </c>
      <c r="AL18" s="54" t="s">
        <v>104</v>
      </c>
      <c r="AM18" s="54" t="s">
        <v>105</v>
      </c>
    </row>
    <row r="19" spans="1:39">
      <c r="A19" s="95">
        <v>20</v>
      </c>
      <c r="B19" s="45" t="str" cm="1">
        <f t="array" ref="B19">IF(H19="PROJECT", CHAR(10) &amp; "- " &amp; _xlfn.TEXTJOIN(CHAR(10) &amp; "- ", TRUE, _xlfn._xlws.FILTER($I$9:$I$1000, ($C$9:$C$1000=C19) * ($H$9:$H$1000="Topic"))), "")</f>
        <v/>
      </c>
      <c r="C19" s="45">
        <f t="shared" si="0"/>
        <v>2</v>
      </c>
      <c r="D19" s="46">
        <v>4</v>
      </c>
      <c r="E19" s="58" t="s">
        <v>48</v>
      </c>
      <c r="F19" s="48">
        <v>11</v>
      </c>
      <c r="G19" s="49" t="s">
        <v>162</v>
      </c>
      <c r="H19" s="49" t="s">
        <v>50</v>
      </c>
      <c r="I19" s="50" t="s">
        <v>778</v>
      </c>
      <c r="J19" s="51" t="s">
        <v>779</v>
      </c>
      <c r="K19" s="120" t="str">
        <f t="shared" si="1"/>
        <v xml:space="preserve">[ROLE] Friendly tutor specializing in Elixir OTP | [TOPIC] Implement dynamic naming with The Registry Module using Registry.start_link/1, Registry.lookup/2, and {:via, Registry, ...} dynamic routing. | [LEVEL] Advanced | [COUNT] 4 examples | [LIBRARY BEING LEARNED]  | [ECOSYSTEM ORIENTATION RULE] If a module or ecosystem like GenServer, Supervisor, Registry, or DynamicSupervisor is specified in , you are CRITICALLY FORBIDDEN from using manual process linking (spawn/1, spawn_link/1) outside standard OTP behaviors. You MUST enforce the concurrent asynchronous processes and proper Supervisor tree state isolation and data structures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20 lines of EXECUTABLE code (STRICT: Do NOT count comments or blank lines). - NEVER exceed this limit. | [FUNCTION RULE] Rule: stateful GenServer state or external message passing | [CODE_CONSTRAINTS_RULE] Each example MUST: - Use stateful GenServer state or external message passing - Print steps &amp; result via Logger.info/debug or IO.inspect inside isolated process callbacks - MAX 20 executable lines (comments/blanks excluded) - NEVER exceed limit. | [I_O_PARADIGM] Use standard OTP message passing via send/2 or GenServer.call/3 and gracefully handle {:reply, response, new_state}, {:noreply, new_state}, and {:ok, state} tuples when applicable. | [INLINE_PACKAGE_MANAGER] If using external packages, use Standard mix.exs dependencies list (defp deps do [{:package_name, '~&gt; version'}] end) at the top of the code block. Assume no project configuration file exists. | [TESTING_FRAMEWORK_LIMITS] For ExUnit with isolated async processes (use ExUnit.Case, async: true), NEVER use manual process link hacking outside of standard OTP abstractions. Use standard test macros and assert_receive/assert_received for message validation, as manual process link hacking outside of standard OTP abstractions fail in standalone execution environments. | [CODE QUALITY RULE] Code MUST be clean, readable, educational, executable, and produce correct results. Handle missing, malformed, or inconsistent data safely, utilizing pattern matching if possible. | [COMMENT CONSTRAINTS] Code MUST include sufficient inline comments explaining WHAT the code does AND WHY it is written that way. Density: Beginner = high, Intermediate = medium, Advanced = 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#11 | Stage 1 📖 Practice | Elixir OTP | 📊 Level: Advanced | 🌐 Coding5s.com
**Concept:** The Registry Module &amp; Dynamic Naming (Registry.start_link/1, Registry.lookup/2, {:via, Registry, ...} dynamic routing)
---
 | [INTRO RULE] Include a short tutor-style sentence in Spanish before the analogy, followed by this EXACT instruction block translated to Spanish: '🚨 **Your objective in this lesson:** To truly learn the new  Elixir OTP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[PERSONA RULE] Act as a friendly, clear tutor | [TASK] Teach and explain concepts clearly with correct code examples | [OUTPUT CONTRACT] EXACTLY 4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Evaluate ONLY current attachments. IF FILE ATTACHED: Acknowledge it, place Dataset Summary (Type, Structure, Columns, Data Types) IMMEDIATELY AFTER HEADER, and strictly use it for ALL examples. IF NO FILE ATTACHED: Explicitly print 'No synthetic data file was provided for this topic. Generating dummy data.' (translate to Spanish), generate minimal dummy data internally, and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9" s="103" t="str">
        <f t="shared" si="2"/>
        <v xml:space="preserve">[MENTOR_S1_SAFE_GUIDE] Act as 'The Safe Guide' (El Hermano Mayor) - a World-Class Elite Technical Mentor for Stage 1 Practice specializing in Elixir OTP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dynamic naming with The Registry Module using Registry.start_link/1, Registry.lookup/2, and {:via, Registry, ...} dynamic routing.. Topic details: The Registry Module &amp; Dynamic Naming (Registry.start_link/1, Registry.lookup/2, {:via, Registry, ...} dynamic routing) | [LANGUAGE CONSISTENCY RULE] ALL output text MUST be written strictly in (Spanish). | [LANGUAGE SEED CONTEXT] Language Seed Not Necessary | [LANGUAGE] Spanish | [MENTOR_SCOPE_EXPECTATIONS] Expect complete OTP apps with DynamicSupervisor, clean separation of Client API/Server Callbacks, and handle_info/2 pattern matching. | [CODE_QUALITY_POLICIES] Code MUST be idiomatic Elixir. Use descriptive snake_case for functions/variables, and PascalCase for module aliases. Leverage proper tuple pattern matching (e.g., {:noreply, new_state}) and strict immutability within process boundaries. Reject process mailbox clogging, blocking callbacks, bypassing OTP behaviors, or modifying external global state. If using default arguments ('\\') with multiple function clauses or callbacks, you MUST declare a function head without a body.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OTP code, and fully functional Elixir OTP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#11 | Practice | Elixir OTP | 📊 Level: Advanced
**Topic:** Implement dynamic naming with The Registry Module using Registry.start_link/1, Registry.lookup/2, and {:via, Registry, ...} dynamic routing.
---
 | [FOOTER RULE - STRICT] End your response with: '--- ⚡ *Coding5s Mentor System — Eliminating Epistemic Debt*' | </v>
      </c>
      <c r="M19" s="53">
        <v>0</v>
      </c>
      <c r="N19" s="102" t="str">
        <f t="shared" si="3"/>
        <v>[ROLE] Careless Elixir OTP Developer | [TASK] Generate debugging challenges in Elixir OTP | | [TOPIC] Implement dynamic naming with The Registry Module using Registry.start_link/1, Registry.lookup/2, and {:via, Registry, ...} dynamic routing. | | [LEVEL] Advanced |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Topic #11 | Stage 2 🐛 Debug | Elixir OTP | 📊 Level: Advanced | 🌐 Coding5s.com
Concept: The Registry Module &amp; Dynamic Naming (Registry.start_link/1, Registry.lookup/2, {:via, Registry, ...} dynamic routing)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Use standard Elixir File module and gracefully handle {:ok, data} and {:error, reason} tuples | Environment variables may be used but bugs MUST exist ONLY in code logic, NEVER in config files | If env/config is used, MUST include: 1. Instructional sentence 2. File content in markdown code block 3. BEFORE the broken code (Support files MUST contain NO bugs) | [EXUNIT RULE] If the topic involves ExUnit or Testing, NEVER use doctests (@doc iex&gt;). You MUST use standard test macros (test 'test name' do) and assert statements. Doctests cause errors in standalone .exs scripts. | [HEX DEPENDENCIES RULE] If the exercise requires using an external Hex package in a standalone script, you MUST use Mix.install([{:package_name, '~&gt; version'}]) at the very top of the code block. Assume there is NO mix.exs file available in the user's environment. | [CODE CONSTRAINTS] Each challenge MUST include: - Internal data OR dataset usage - At least 1 Enum/List operation or recursion (when applicable) - At least 1 IO.puts or IO.inspect statement - 15–35 lines of EXECUTABLE broken code per example (STRICT: Do NOT count blank lines). Use pure functions and immutability. | All challenges MUST have similar complexity and length. | [INTRO RULE] The intro MUST be a dynamically generated, urgent, unprofessional email in Spanish with this EXACT format: '📥 From: [Random Dev Name]' / '📤 To: [Insert my user name if you know it from context, otherwise use Elixir OTP Developer]' / 'Subject: [Generate a funny, desperate Subject]'. Body MUST be unique every time. Do NOT copy this example exactly, but use this vibe: 'Ay, no sé ni qué hora es, pero aquí tienes estas cosas que apenas funcionan. Arréglalo tú si tanto te importa el orden. No consigo que corran. Ayúdame y luego te invito al almuerzo. El jefe urge...'. Make it short, informal, and funny for the student. IMMEDIATELY AFTER the email body, you MUST include this exact instruction block translated to Spanish: '🚨 Your objective in this lesson: You must copy the code blocks from each Challenge exactly as they are and paste them into your IDE. Then you have to fix all the errors in the code until you achieve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three dimensions: 1. Syntax Errors (e.g., mismatched delimiters, invalid indentation, invalid syntax, SyntaxError). 2. Runtime Exceptions (e.g., TypeError when mixing types, ValueError with invalid arguments, IndexError on collections, KeyError on dictionaries, ZeroDivisionError). 3. Logic Errors (e.g., incorrect Boolean logic, off-by-one errors in loops, wrong mathematical formulas, variable shadowing, or incorrect use of mutable defaults). Errors MUST be realistic and mimic common mistakes made by junior developers in production-like environments. | [EXECUTION RULE] Code must fail due to syntax errors, runtime exceptions, or produce incorrect output | [DATA RULE - STRICT] A dataset MAY be provided in THIS CURRENT PROMPT. If a NEW dataset IS attached to THIS prompt, you MUST: 1. Detect and acknowledge it BEFORE challenges 2. Explicitly state file type 3. Describe structure 4. List columns or fields 5. Infer data types 6. Display dataset summary IMMEDIATELY AFTER THE HEADER 7. State ALL challenges use it 8. Use it directly (DO NOT recreate data). If NO dataset is provided IN THIS CURRENT PROMPT: - STRICT: You MUST explicitly state 'No synthetic data file was provided. Generating dummy data.' (translate this phrase to Spanish) - Generate minimal internal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9" s="103" t="str">
        <f t="shared" si="4"/>
        <v xml:space="preserve">[MENTOR_S2_DETECTIVE] Act as 'The Analytical Partner' (El Detective con Café) - a World-Class Elite Technical Mentor for Stage 2 Debugging specializing in Elixir OTP.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dynamic naming with The Registry Module using Registry.start_link/1, Registry.lookup/2, and {:via, Registry, ...} dynamic routing.. Topic details: The Registry Module &amp; Dynamic Naming (Registry.start_link/1, Registry.lookup/2, {:via, Registry, ...} dynamic routing)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#11 | Debug | Elixir OTP | 📊 Level: Advanced
**Topic:** Implement dynamic naming with The Registry Module using Registry.start_link/1, Registry.lookup/2, and {:via, Registry, ...} dynamic routing.
---
 | [PYTHON QUALITY RULE - STRICT] Code MUST be production-like, clean, and idiomatic Elixir. Use descriptive snake_case for variables and functions. Use pure functions and strict immutability. If using default arguments (\\\\) with multiple function clauses, you MUST declare a function head without a body to avoid compiler warnings.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OTP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OTP).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OTP code, and fully functional Elixir OTP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9" s="53">
        <v>0</v>
      </c>
      <c r="Q19" s="102" t="str">
        <f t="shared" si="5"/>
        <v>[ROLE] Tech Lead | [TASK] Assign incomplete Elixir OTP script challenges | [TOPIC] Implement dynamic naming with The Registry Module using Registry.start_link/1, Registry.lookup/2, and {:via, Registry, ...} dynamic routing. | [LEVEL] Advanced | [COUNT] 4 challenges | [LIBRARY BEING LEARNED]  | [ECOSYSTEM ORIENTATION RULE] If a module or ecosystem like Explorer or Nx is specified in [LIBRARY BEING LEARNED], you are CRITICALLY FORBIDDEN from using manual recursion or nested loop implementations. You MUST enforce the native, optimized data structures and vectorized operations of that specific library. | [HEADER RULE - STRICT] You MUST start your entire response EXACTLY with this markdown block (do not print anything before it):
### 🔹 Topic #11 | Stage 3 🧩 Complete | Elixir OTP | 📊 Level: Advanced | 🌐 Coding5s.com
**Concept:** The Registry Module &amp; Dynamic Naming (Registry.start_link/1, Registry.lookup/2, {:via, Registry, ...} dynamic routing)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[EXTERNAL_PACKAGE_PROTOCOL] If the exercise requires using an external Hex package in a standalone script, you MUST use Mix.install([{:package_name, '~&gt; version'}]) at the very top of the code block. | [TESTING_FRAMEWORK_PROTOCOL] If the topic involves ExUnit or Testing, NEVER use doctests (@doc iex&gt;). You MUST use standard test macros (test 'test name' do) and assert statements. | [CHALLENGE_CONSTRAINTS_POLICY] Each challenge MUST include: - Internal data OR dataset usage - 15–35 lines of EXECUTABLE base code (STRICT: Do NOT count comments or TODOs). - Length MUST vary across challenges. Use pure functions and immutability.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Elixir OTP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dynamic naming with The Registry Module using Registry.start_link/1, Registry.lookup/2, and {:via, Registry, ...} dynamic routing..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9" s="103" t="str">
        <f t="shared" si="6"/>
        <v xml:space="preserve">[MENTOR_S3_BUILDER] Act as 'The Logical Scaffold' (El Maestro de Obra) - a World-Class Elite Technical Mentor for Stage 3 Code Completion specializing in Elixir OTP.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dynamic naming with The Registry Module using Registry.start_link/1, Registry.lookup/2, and {:via, Registry, ...} dynamic routing.. Topic details: The Registry Module &amp; Dynamic Naming (Registry.start_link/1, Registry.lookup/2, {:via, Registry, ...} dynamic routing)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#11 | Complete | Elixir OTP | 📊 Level: Advanced
**Topic:** Implement dynamic naming with The Registry Module using Registry.start_link/1, Registry.lookup/2, and {:via, Registry, ...} dynamic routing.
---
 | [PYTHON QUALITY RULE - STRICT] Code MUST be explicitly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9" s="53">
        <v>0</v>
      </c>
      <c r="T19" s="102" t="str">
        <f t="shared" si="7"/>
        <v>[ROLE] Tech Lead | [TASK] Provide intentionally messy but functional code for learning debugging and improvement | [TOPIC] Implement dynamic naming with The Registry Module using Registry.start_link/1, Registry.lookup/2, and {:via, Registry, ...} dynamic routing. | [LEVEL] Advanced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#11 | Stage 4 🧹 Refactor | Elixir OTP | 📊 Level: Advanced | 🌐 Coding5s.com
**Concept:** The Registry Module &amp; Dynamic Naming (Registry.start_link/1, Registry.lookup/2, {:via, Registry, ...} dynamic routing)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Elixir OTP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9" s="103" t="str">
        <f t="shared" si="8"/>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Elixir OTP', 'limpia este desastre'). Match the cultural vibe of a senior who is tired of seeing bad code. | [CONTEXT] You are performing a Code Review for a TOPIC: Implement dynamic naming with The Registry Module using Registry.start_link/1, Registry.lookup/2, and {:via, Registry, ...} dynamic routing.. Topic details: The Registry Module &amp; Dynamic Naming (Registry.start_link/1, Registry.lookup/2, {:via, Registry, ...} dynamic routing)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#11 | Refactor | Elixir OTP | 📊 Level: Advanced
**Topic:** Implement dynamic naming with The Registry Module using Registry.start_link/1, Registry.lookup/2, and {:via, Registry, ...} dynamic routing.
---
 | [PYTHON QUALITY RULE - STRICT] Code MUST be explicitly compliant with language-standard style guides. Use descriptive snake_case for variables and functions. Avoid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OTP built-in, standard library module, or good Elixir OTP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OTP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9" s="53">
        <v>0</v>
      </c>
      <c r="W19" s="87" t="str">
        <f t="shared" si="9"/>
        <v>[ROLE] Tech Product Manager assigning a Elixir OTP Jira Ticket | [TASK] Provide a guided implementation exercise with full solution for learning purposes | [TOPIC] Implement dynamic naming with The Registry Module using Registry.start_link/1, Registry.lookup/2, and {:via, Registry, ...} dynamic routing. | [LEVEL] Advanced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#11 | Stage 5 | Elixir OTP | 📊 Level: Advanced | 🌐 Coding5s.com
**Concept:** The Registry Module &amp; Dynamic Naming (Registry.start_link/1, Registry.lookup/2, {:via, Registry, ...} dynamic routing)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OTP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OTP Dev']
Subject: Assignment Details
Hello [Insert my user name if known, otherwise use 'Elixir OTP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Spanish).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9" s="103" t="str">
        <f t="shared" si="10"/>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dynamic naming with The Registry Module using Registry.start_link/1, Registry.lookup/2, and {:via, Registry, ...} dynamic routing.. Goal: The Registry Module &amp; Dynamic Naming (Registry.start_link/1, Registry.lookup/2, {:via, Registry, ...} dynamic routing)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#11 | Extend | Elixir OTP | 📊 Level: Advanced
**Topic:** Implement dynamic naming with The Registry Module using Registry.start_link/1, Registry.lookup/2, and {:via, Registry, ...} dynamic routing.
---
 | [CODE_QUALITY_PROTOCOL] Code MUST be explicitly compliant with language-standard style guides. Use descriptive snake_case for variables and functions. NEVER use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9" s="53">
        <v>0</v>
      </c>
      <c r="Z19" s="56" t="str">
        <f t="shared" si="11"/>
        <v/>
      </c>
      <c r="AA19" s="56" t="str">
        <f t="shared" si="12"/>
        <v/>
      </c>
      <c r="AB19" s="56" t="str">
        <f t="shared" si="13"/>
        <v/>
      </c>
      <c r="AC19" s="56" t="str">
        <f t="shared" si="14"/>
        <v/>
      </c>
      <c r="AD19" s="56" t="str">
        <f t="shared" si="15"/>
        <v/>
      </c>
      <c r="AE19" s="40" t="s">
        <v>106</v>
      </c>
      <c r="AF19" s="40" t="s">
        <v>107</v>
      </c>
      <c r="AG19" s="40" t="s">
        <v>108</v>
      </c>
      <c r="AH19" s="56" t="str">
        <f t="shared" si="16"/>
        <v/>
      </c>
      <c r="AI19" s="54"/>
      <c r="AJ19" s="54"/>
      <c r="AK19" s="54">
        <v>11</v>
      </c>
      <c r="AL19" s="54" t="s">
        <v>109</v>
      </c>
      <c r="AM19" s="54" t="s">
        <v>110</v>
      </c>
    </row>
    <row r="20" spans="1:39">
      <c r="A20" s="95">
        <v>25</v>
      </c>
      <c r="B20" s="45" t="str" cm="1">
        <f t="array" ref="B20">IF(H20="PROJECT", CHAR(10) &amp; "- " &amp; _xlfn.TEXTJOIN(CHAR(10) &amp; "- ", TRUE, _xlfn._xlws.FILTER($I$9:$I$1000, ($C$9:$C$1000=C20) * ($H$9:$H$1000="Topic"))), "")</f>
        <v/>
      </c>
      <c r="C20" s="45">
        <f t="shared" si="0"/>
        <v>2</v>
      </c>
      <c r="D20" s="57">
        <v>4</v>
      </c>
      <c r="E20" s="58" t="s">
        <v>48</v>
      </c>
      <c r="F20" s="59">
        <v>12</v>
      </c>
      <c r="G20" s="60" t="s">
        <v>162</v>
      </c>
      <c r="H20" s="60" t="s">
        <v>50</v>
      </c>
      <c r="I20" s="61" t="s">
        <v>780</v>
      </c>
      <c r="J20" s="62" t="s">
        <v>781</v>
      </c>
      <c r="K20" s="120" t="str">
        <f t="shared" si="1"/>
        <v xml:space="preserve">[ROLE] Friendly tutor specializing in Elixir OTP | [TOPIC] Define Supervisor core and child specifications using use Supervisor, init/1, child_spec/1, shutdown timeouts vs :brutal_kill, and process ownership. | [LEVEL] Advanced | [COUNT] 4 examples | [LIBRARY BEING LEARNED]  | [ECOSYSTEM ORIENTATION RULE] If a module or ecosystem like GenServer, Supervisor, Registry, or DynamicSupervisor is specified in , you are CRITICALLY FORBIDDEN from using manual process linking (spawn/1, spawn_link/1) outside standard OTP behaviors. You MUST enforce the concurrent asynchronous processes and proper Supervisor tree state isolation and data structures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25 lines of EXECUTABLE code (STRICT: Do NOT count comments or blank lines). - NEVER exceed this limit. | [FUNCTION RULE] Rule: stateful GenServer state or external message passing | [CODE_CONSTRAINTS_RULE] Each example MUST: - Use stateful GenServer state or external message passing - Print steps &amp; result via Logger.info/debug or IO.inspect inside isolated process callbacks - MAX 25 executable lines (comments/blanks excluded) - NEVER exceed limit. | [I_O_PARADIGM] Use standard OTP message passing via send/2 or GenServer.call/3 and gracefully handle {:reply, response, new_state}, {:noreply, new_state}, and {:ok, state} tuples when applicable. | [INLINE_PACKAGE_MANAGER] If using external packages, use Standard mix.exs dependencies list (defp deps do [{:package_name, '~&gt; version'}] end) at the top of the code block. Assume no project configuration file exists. | [TESTING_FRAMEWORK_LIMITS] For ExUnit with isolated async processes (use ExUnit.Case, async: true), NEVER use manual process link hacking outside of standard OTP abstractions. Use standard test macros and assert_receive/assert_received for message validation, as manual process link hacking outside of standard OTP abstractions fail in standalone execution environments. | [CODE QUALITY RULE] Code MUST be clean, readable, educational, executable, and produce correct results. Handle missing, malformed, or inconsistent data safely, utilizing pattern matching if possible. | [COMMENT CONSTRAINTS] Code MUST include sufficient inline comments explaining WHAT the code does AND WHY it is written that way. Density: Beginner = high, Intermediate = medium, Advanced = 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#12 | Stage 1 📖 Practice | Elixir OTP | 📊 Level: Advanced | 🌐 Coding5s.com
**Concept:** Supervisor Core &amp; Child Specifications (use Supervisor, init/1, child_spec/1, shutdown timeouts vs :brutal_kill, process ownership)
---
 | [INTRO RULE] Include a short tutor-style sentence in Spanish before the analogy, followed by this EXACT instruction block translated to Spanish: '🚨 **Your objective in this lesson:** To truly learn the new  Elixir OTP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[PERSONA RULE] Act as a friendly, clear tutor | [TASK] Teach and explain concepts clearly with correct code examples | [OUTPUT CONTRACT] EXACTLY 4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Evaluate ONLY current attachments. IF FILE ATTACHED: Acknowledge it, place Dataset Summary (Type, Structure, Columns, Data Types) IMMEDIATELY AFTER HEADER, and strictly use it for ALL examples. IF NO FILE ATTACHED: Explicitly print 'No synthetic data file was provided for this topic. Generating dummy data.' (translate to Spanish), generate minimal dummy data internally, and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0" s="103" t="str">
        <f t="shared" si="2"/>
        <v xml:space="preserve">[MENTOR_S1_SAFE_GUIDE] Act as 'The Safe Guide' (El Hermano Mayor) - a World-Class Elite Technical Mentor for Stage 1 Practice specializing in Elixir OTP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Define Supervisor core and child specifications using use Supervisor, init/1, child_spec/1, shutdown timeouts vs :brutal_kill, and process ownership.. Topic details: Supervisor Core &amp; Child Specifications (use Supervisor, init/1, child_spec/1, shutdown timeouts vs :brutal_kill, process ownership) | [LANGUAGE CONSISTENCY RULE] ALL output text MUST be written strictly in (Spanish). | [LANGUAGE SEED CONTEXT] Language Seed Not Necessary | [LANGUAGE] Spanish | [MENTOR_SCOPE_EXPECTATIONS] Expect complete OTP apps with DynamicSupervisor, clean separation of Client API/Server Callbacks, and handle_info/2 pattern matching. | [CODE_QUALITY_POLICIES] Code MUST be idiomatic Elixir. Use descriptive snake_case for functions/variables, and PascalCase for module aliases. Leverage proper tuple pattern matching (e.g., {:noreply, new_state}) and strict immutability within process boundaries. Reject process mailbox clogging, blocking callbacks, bypassing OTP behaviors, or modifying external global state. If using default arguments ('\\') with multiple function clauses or callbacks, you MUST declare a function head without a body.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OTP code, and fully functional Elixir OTP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#12 | Practice | Elixir OTP | 📊 Level: Advanced
**Topic:** Define Supervisor core and child specifications using use Supervisor, init/1, child_spec/1, shutdown timeouts vs :brutal_kill, and process ownership.
---
 | [FOOTER RULE - STRICT] End your response with: '--- ⚡ *Coding5s Mentor System — Eliminating Epistemic Debt*' | </v>
      </c>
      <c r="M20" s="52">
        <v>0</v>
      </c>
      <c r="N20" s="102" t="str">
        <f t="shared" si="3"/>
        <v>[ROLE] Careless Elixir OTP Developer | [TASK] Generate debugging challenges in Elixir OTP | | [TOPIC] Define Supervisor core and child specifications using use Supervisor, init/1, child_spec/1, shutdown timeouts vs :brutal_kill, and process ownership. | | [LEVEL] Advanced |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Topic #12 | Stage 2 🐛 Debug | Elixir OTP | 📊 Level: Advanced | 🌐 Coding5s.com
Concept: Supervisor Core &amp; Child Specifications (use Supervisor, init/1, child_spec/1, shutdown timeouts vs :brutal_kill, process ownership)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Use standard Elixir File module and gracefully handle {:ok, data} and {:error, reason} tuples | Environment variables may be used but bugs MUST exist ONLY in code logic, NEVER in config files | If env/config is used, MUST include: 1. Instructional sentence 2. File content in markdown code block 3. BEFORE the broken code (Support files MUST contain NO bugs) | [EXUNIT RULE] If the topic involves ExUnit or Testing, NEVER use doctests (@doc iex&gt;). You MUST use standard test macros (test 'test name' do) and assert statements. Doctests cause errors in standalone .exs scripts. | [HEX DEPENDENCIES RULE] If the exercise requires using an external Hex package in a standalone script, you MUST use Mix.install([{:package_name, '~&gt; version'}]) at the very top of the code block. Assume there is NO mix.exs file available in the user's environment. | [CODE CONSTRAINTS] Each challenge MUST include: - Internal data OR dataset usage - At least 1 Enum/List operation or recursion (when applicable) - At least 1 IO.puts or IO.inspect statement - 15–35 lines of EXECUTABLE broken code per example (STRICT: Do NOT count blank lines). Use pure functions and immutability. | All challenges MUST have similar complexity and length. | [INTRO RULE] The intro MUST be a dynamically generated, urgent, unprofessional email in Spanish with this EXACT format: '📥 From: [Random Dev Name]' / '📤 To: [Insert my user name if you know it from context, otherwise use Elixir OTP Developer]' / 'Subject: [Generate a funny, desperate Subject]'. Body MUST be unique every time. Do NOT copy this example exactly, but use this vibe: 'Ay, no sé ni qué hora es, pero aquí tienes estas cosas que apenas funcionan. Arréglalo tú si tanto te importa el orden. No consigo que corran. Ayúdame y luego te invito al almuerzo. El jefe urge...'. Make it short, informal, and funny for the student. IMMEDIATELY AFTER the email body, you MUST include this exact instruction block translated to Spanish: '🚨 Your objective in this lesson: You must copy the code blocks from each Challenge exactly as they are and paste them into your IDE. Then you have to fix all the errors in the code until you achieve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three dimensions: 1. Syntax Errors (e.g., mismatched delimiters, invalid indentation, invalid syntax, SyntaxError). 2. Runtime Exceptions (e.g., TypeError when mixing types, ValueError with invalid arguments, IndexError on collections, KeyError on dictionaries, ZeroDivisionError). 3. Logic Errors (e.g., incorrect Boolean logic, off-by-one errors in loops, wrong mathematical formulas, variable shadowing, or incorrect use of mutable defaults). Errors MUST be realistic and mimic common mistakes made by junior developers in production-like environments. | [EXECUTION RULE] Code must fail due to syntax errors, runtime exceptions, or produce incorrect output | [DATA RULE - STRICT] A dataset MAY be provided in THIS CURRENT PROMPT. If a NEW dataset IS attached to THIS prompt, you MUST: 1. Detect and acknowledge it BEFORE challenges 2. Explicitly state file type 3. Describe structure 4. List columns or fields 5. Infer data types 6. Display dataset summary IMMEDIATELY AFTER THE HEADER 7. State ALL challenges use it 8. Use it directly (DO NOT recreate data). If NO dataset is provided IN THIS CURRENT PROMPT: - STRICT: You MUST explicitly state 'No synthetic data file was provided. Generating dummy data.' (translate this phrase to Spanish) - Generate minimal internal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0" s="103" t="str">
        <f t="shared" si="4"/>
        <v xml:space="preserve">[MENTOR_S2_DETECTIVE] Act as 'The Analytical Partner' (El Detective con Café) - a World-Class Elite Technical Mentor for Stage 2 Debugging specializing in Elixir OTP.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Define Supervisor core and child specifications using use Supervisor, init/1, child_spec/1, shutdown timeouts vs :brutal_kill, and process ownership.. Topic details: Supervisor Core &amp; Child Specifications (use Supervisor, init/1, child_spec/1, shutdown timeouts vs :brutal_kill, process ownership)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#12 | Debug | Elixir OTP | 📊 Level: Advanced
**Topic:** Define Supervisor core and child specifications using use Supervisor, init/1, child_spec/1, shutdown timeouts vs :brutal_kill, and process ownership.
---
 | [PYTHON QUALITY RULE - STRICT] Code MUST be production-like, clean, and idiomatic Elixir. Use descriptive snake_case for variables and functions. Use pure functions and strict immutability. If using default arguments (\\\\) with multiple function clauses, you MUST declare a function head without a body to avoid compiler warnings.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OTP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OTP).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OTP code, and fully functional Elixir OTP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0" s="52">
        <v>0</v>
      </c>
      <c r="Q20" s="102" t="str">
        <f t="shared" si="5"/>
        <v>[ROLE] Tech Lead | [TASK] Assign incomplete Elixir OTP script challenges | [TOPIC] Define Supervisor core and child specifications using use Supervisor, init/1, child_spec/1, shutdown timeouts vs :brutal_kill, and process ownership. | [LEVEL] Advanced | [COUNT] 4 challenges | [LIBRARY BEING LEARNED]  | [ECOSYSTEM ORIENTATION RULE] If a module or ecosystem like Explorer or Nx is specified in [LIBRARY BEING LEARNED], you are CRITICALLY FORBIDDEN from using manual recursion or nested loop implementations. You MUST enforce the native, optimized data structures and vectorized operations of that specific library. | [HEADER RULE - STRICT] You MUST start your entire response EXACTLY with this markdown block (do not print anything before it):
### 🔹 Topic #12 | Stage 3 🧩 Complete | Elixir OTP | 📊 Level: Advanced | 🌐 Coding5s.com
**Concept:** Supervisor Core &amp; Child Specifications (use Supervisor, init/1, child_spec/1, shutdown timeouts vs :brutal_kill, process ownership)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[EXTERNAL_PACKAGE_PROTOCOL] If the exercise requires using an external Hex package in a standalone script, you MUST use Mix.install([{:package_name, '~&gt; version'}]) at the very top of the code block. | [TESTING_FRAMEWORK_PROTOCOL] If the topic involves ExUnit or Testing, NEVER use doctests (@doc iex&gt;). You MUST use standard test macros (test 'test name' do) and assert statements. | [CHALLENGE_CONSTRAINTS_POLICY] Each challenge MUST include: - Internal data OR dataset usage - 15–35 lines of EXECUTABLE base code (STRICT: Do NOT count comments or TODOs). - Length MUST vary across challenges. Use pure functions and immutability.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Elixir OTP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Define Supervisor core and child specifications using use Supervisor, init/1, child_spec/1, shutdown timeouts vs :brutal_kill, and process ownership..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0" s="103" t="str">
        <f t="shared" si="6"/>
        <v xml:space="preserve">[MENTOR_S3_BUILDER] Act as 'The Logical Scaffold' (El Maestro de Obra) - a World-Class Elite Technical Mentor for Stage 3 Code Completion specializing in Elixir OTP.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Define Supervisor core and child specifications using use Supervisor, init/1, child_spec/1, shutdown timeouts vs :brutal_kill, and process ownership.. Topic details: Supervisor Core &amp; Child Specifications (use Supervisor, init/1, child_spec/1, shutdown timeouts vs :brutal_kill, process ownership)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#12 | Complete | Elixir OTP | 📊 Level: Advanced
**Topic:** Define Supervisor core and child specifications using use Supervisor, init/1, child_spec/1, shutdown timeouts vs :brutal_kill, and process ownership.
---
 | [PYTHON QUALITY RULE - STRICT] Code MUST be explicitly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0" s="52">
        <v>0</v>
      </c>
      <c r="T20" s="102" t="str">
        <f t="shared" si="7"/>
        <v>[ROLE] Tech Lead | [TASK] Provide intentionally messy but functional code for learning debugging and improvement | [TOPIC] Define Supervisor core and child specifications using use Supervisor, init/1, child_spec/1, shutdown timeouts vs :brutal_kill, and process ownership. | [LEVEL] Advanced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#12 | Stage 4 🧹 Refactor | Elixir OTP | 📊 Level: Advanced | 🌐 Coding5s.com
**Concept:** Supervisor Core &amp; Child Specifications (use Supervisor, init/1, child_spec/1, shutdown timeouts vs :brutal_kill, process ownership)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Elixir OTP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0" s="103" t="str">
        <f t="shared" si="8"/>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Elixir OTP', 'limpia este desastre'). Match the cultural vibe of a senior who is tired of seeing bad code. | [CONTEXT] You are performing a Code Review for a TOPIC: Define Supervisor core and child specifications using use Supervisor, init/1, child_spec/1, shutdown timeouts vs :brutal_kill, and process ownership.. Topic details: Supervisor Core &amp; Child Specifications (use Supervisor, init/1, child_spec/1, shutdown timeouts vs :brutal_kill, process ownership)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#12 | Refactor | Elixir OTP | 📊 Level: Advanced
**Topic:** Define Supervisor core and child specifications using use Supervisor, init/1, child_spec/1, shutdown timeouts vs :brutal_kill, and process ownership.
---
 | [PYTHON QUALITY RULE - STRICT] Code MUST be explicitly compliant with language-standard style guides. Use descriptive snake_case for variables and functions. Avoid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OTP built-in, standard library module, or good Elixir OTP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OTP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0" s="52">
        <v>0</v>
      </c>
      <c r="W20" s="87" t="str">
        <f t="shared" si="9"/>
        <v>[ROLE] Tech Product Manager assigning a Elixir OTP Jira Ticket | [TASK] Provide a guided implementation exercise with full solution for learning purposes | [TOPIC] Define Supervisor core and child specifications using use Supervisor, init/1, child_spec/1, shutdown timeouts vs :brutal_kill, and process ownership. | [LEVEL] Advanced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#12 | Stage 5 | Elixir OTP | 📊 Level: Advanced | 🌐 Coding5s.com
**Concept:** Supervisor Core &amp; Child Specifications (use Supervisor, init/1, child_spec/1, shutdown timeouts vs :brutal_kill, process ownership)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OTP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OTP Dev']
Subject: Assignment Details
Hello [Insert my user name if known, otherwise use 'Elixir OTP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Spanish).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0" s="103" t="str">
        <f t="shared" si="10"/>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Define Supervisor core and child specifications using use Supervisor, init/1, child_spec/1, shutdown timeouts vs :brutal_kill, and process ownership.. Goal: Supervisor Core &amp; Child Specifications (use Supervisor, init/1, child_spec/1, shutdown timeouts vs :brutal_kill, process ownership)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#12 | Extend | Elixir OTP | 📊 Level: Advanced
**Topic:** Define Supervisor core and child specifications using use Supervisor, init/1, child_spec/1, shutdown timeouts vs :brutal_kill, and process ownership.
---
 | [CODE_QUALITY_PROTOCOL] Code MUST be explicitly compliant with language-standard style guides. Use descriptive snake_case for variables and functions. NEVER use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0" s="52">
        <v>0</v>
      </c>
      <c r="Z20" s="56" t="str">
        <f t="shared" si="11"/>
        <v/>
      </c>
      <c r="AA20" s="56" t="str">
        <f t="shared" si="12"/>
        <v/>
      </c>
      <c r="AB20" s="56" t="str">
        <f t="shared" si="13"/>
        <v/>
      </c>
      <c r="AC20" s="56" t="str">
        <f t="shared" si="14"/>
        <v/>
      </c>
      <c r="AD20" s="56" t="str">
        <f t="shared" si="15"/>
        <v/>
      </c>
      <c r="AE20" s="40" t="s">
        <v>111</v>
      </c>
      <c r="AF20" s="40" t="s">
        <v>112</v>
      </c>
      <c r="AG20" s="40" t="s">
        <v>113</v>
      </c>
      <c r="AH20" s="56" t="str">
        <f t="shared" si="16"/>
        <v/>
      </c>
      <c r="AI20" s="54"/>
      <c r="AJ20" s="54"/>
      <c r="AK20" s="54">
        <v>12</v>
      </c>
      <c r="AL20" s="54" t="s">
        <v>114</v>
      </c>
      <c r="AM20" s="54" t="s">
        <v>115</v>
      </c>
    </row>
    <row r="21" spans="1:39">
      <c r="A21" s="95">
        <v>20</v>
      </c>
      <c r="B21" s="45" t="str" cm="1">
        <f t="array" ref="B21">IF(H21="PROJECT", CHAR(10) &amp; "- " &amp; _xlfn.TEXTJOIN(CHAR(10) &amp; "- ", TRUE, _xlfn._xlws.FILTER($I$9:$I$1000, ($C$9:$C$1000=C21) * ($H$9:$H$1000="Topic"))), "")</f>
        <v/>
      </c>
      <c r="C21" s="45">
        <f t="shared" si="0"/>
        <v>2</v>
      </c>
      <c r="D21" s="46">
        <v>4</v>
      </c>
      <c r="E21" s="58" t="s">
        <v>48</v>
      </c>
      <c r="F21" s="48">
        <v>13</v>
      </c>
      <c r="G21" s="49" t="s">
        <v>162</v>
      </c>
      <c r="H21" s="49" t="s">
        <v>50</v>
      </c>
      <c r="I21" s="50" t="s">
        <v>782</v>
      </c>
      <c r="J21" s="51" t="s">
        <v>783</v>
      </c>
      <c r="K21" s="120" t="str">
        <f t="shared" si="1"/>
        <v xml:space="preserve">[ROLE] Friendly tutor specializing in Elixir OTP | [TOPIC] Configure Supervisor strategies and tuning using :one_for_one, :one_for_all, :rest_for_one, and max_restarts/max_seconds. | [LEVEL] Advanced | [COUNT] 4 examples | [LIBRARY BEING LEARNED]  | [ECOSYSTEM ORIENTATION RULE] If a module or ecosystem like GenServer, Supervisor, Registry, or DynamicSupervisor is specified in , you are CRITICALLY FORBIDDEN from using manual process linking (spawn/1, spawn_link/1) outside standard OTP behaviors. You MUST enforce the concurrent asynchronous processes and proper Supervisor tree state isolation and data structures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20 lines of EXECUTABLE code (STRICT: Do NOT count comments or blank lines). - NEVER exceed this limit. | [FUNCTION RULE] Rule: stateful GenServer state or external message passing | [CODE_CONSTRAINTS_RULE] Each example MUST: - Use stateful GenServer state or external message passing - Print steps &amp; result via Logger.info/debug or IO.inspect inside isolated process callbacks - MAX 20 executable lines (comments/blanks excluded) - NEVER exceed limit. | [I_O_PARADIGM] Use standard OTP message passing via send/2 or GenServer.call/3 and gracefully handle {:reply, response, new_state}, {:noreply, new_state}, and {:ok, state} tuples when applicable. | [INLINE_PACKAGE_MANAGER] If using external packages, use Standard mix.exs dependencies list (defp deps do [{:package_name, '~&gt; version'}] end) at the top of the code block. Assume no project configuration file exists. | [TESTING_FRAMEWORK_LIMITS] For ExUnit with isolated async processes (use ExUnit.Case, async: true), NEVER use manual process link hacking outside of standard OTP abstractions. Use standard test macros and assert_receive/assert_received for message validation, as manual process link hacking outside of standard OTP abstractions fail in standalone execution environments. | [CODE QUALITY RULE] Code MUST be clean, readable, educational, executable, and produce correct results. Handle missing, malformed, or inconsistent data safely, utilizing pattern matching if possible. | [COMMENT CONSTRAINTS] Code MUST include sufficient inline comments explaining WHAT the code does AND WHY it is written that way. Density: Beginner = high, Intermediate = medium, Advanced = 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#13 | Stage 1 📖 Practice | Elixir OTP | 📊 Level: Advanced | 🌐 Coding5s.com
**Concept:** Supervisor Strategies &amp; Tuning (:one_for_one, :one_for_all, :rest_for_one, max_restarts/max_seconds)
---
 | [INTRO RULE] Include a short tutor-style sentence in Spanish before the analogy, followed by this EXACT instruction block translated to Spanish: '🚨 **Your objective in this lesson:** To truly learn the new  Elixir OTP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[PERSONA RULE] Act as a friendly, clear tutor | [TASK] Teach and explain concepts clearly with correct code examples | [OUTPUT CONTRACT] EXACTLY 4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Evaluate ONLY current attachments. IF FILE ATTACHED: Acknowledge it, place Dataset Summary (Type, Structure, Columns, Data Types) IMMEDIATELY AFTER HEADER, and strictly use it for ALL examples. IF NO FILE ATTACHED: Explicitly print 'No synthetic data file was provided for this topic. Generating dummy data.' (translate to Spanish), generate minimal dummy data internally, and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1" s="103" t="str">
        <f t="shared" si="2"/>
        <v xml:space="preserve">[MENTOR_S1_SAFE_GUIDE] Act as 'The Safe Guide' (El Hermano Mayor) - a World-Class Elite Technical Mentor for Stage 1 Practice specializing in Elixir OTP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Configure Supervisor strategies and tuning using :one_for_one, :one_for_all, :rest_for_one, and max_restarts/max_seconds.. Topic details: Supervisor Strategies &amp; Tuning (:one_for_one, :one_for_all, :rest_for_one, max_restarts/max_seconds) | [LANGUAGE CONSISTENCY RULE] ALL output text MUST be written strictly in (Spanish). | [LANGUAGE SEED CONTEXT] Language Seed Not Necessary | [LANGUAGE] Spanish | [MENTOR_SCOPE_EXPECTATIONS] Expect complete OTP apps with DynamicSupervisor, clean separation of Client API/Server Callbacks, and handle_info/2 pattern matching. | [CODE_QUALITY_POLICIES] Code MUST be idiomatic Elixir. Use descriptive snake_case for functions/variables, and PascalCase for module aliases. Leverage proper tuple pattern matching (e.g., {:noreply, new_state}) and strict immutability within process boundaries. Reject process mailbox clogging, blocking callbacks, bypassing OTP behaviors, or modifying external global state. If using default arguments ('\\') with multiple function clauses or callbacks, you MUST declare a function head without a body.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OTP code, and fully functional Elixir OTP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#13 | Practice | Elixir OTP | 📊 Level: Advanced
**Topic:** Configure Supervisor strategies and tuning using :one_for_one, :one_for_all, :rest_for_one, and max_restarts/max_seconds.
---
 | [FOOTER RULE - STRICT] End your response with: '--- ⚡ *Coding5s Mentor System — Eliminating Epistemic Debt*' | </v>
      </c>
      <c r="M21" s="53">
        <v>0</v>
      </c>
      <c r="N21" s="102" t="str">
        <f t="shared" si="3"/>
        <v>[ROLE] Careless Elixir OTP Developer | [TASK] Generate debugging challenges in Elixir OTP | | [TOPIC] Configure Supervisor strategies and tuning using :one_for_one, :one_for_all, :rest_for_one, and max_restarts/max_seconds. | | [LEVEL] Advanced |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Topic #13 | Stage 2 🐛 Debug | Elixir OTP | 📊 Level: Advanced | 🌐 Coding5s.com
Concept: Supervisor Strategies &amp; Tuning (:one_for_one, :one_for_all, :rest_for_one, max_restarts/max_seconds)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Use standard Elixir File module and gracefully handle {:ok, data} and {:error, reason} tuples | Environment variables may be used but bugs MUST exist ONLY in code logic, NEVER in config files | If env/config is used, MUST include: 1. Instructional sentence 2. File content in markdown code block 3. BEFORE the broken code (Support files MUST contain NO bugs) | [EXUNIT RULE] If the topic involves ExUnit or Testing, NEVER use doctests (@doc iex&gt;). You MUST use standard test macros (test 'test name' do) and assert statements. Doctests cause errors in standalone .exs scripts. | [HEX DEPENDENCIES RULE] If the exercise requires using an external Hex package in a standalone script, you MUST use Mix.install([{:package_name, '~&gt; version'}]) at the very top of the code block. Assume there is NO mix.exs file available in the user's environment. | [CODE CONSTRAINTS] Each challenge MUST include: - Internal data OR dataset usage - At least 1 Enum/List operation or recursion (when applicable) - At least 1 IO.puts or IO.inspect statement - 15–35 lines of EXECUTABLE broken code per example (STRICT: Do NOT count blank lines). Use pure functions and immutability. | All challenges MUST have similar complexity and length. | [INTRO RULE] The intro MUST be a dynamically generated, urgent, unprofessional email in Spanish with this EXACT format: '📥 From: [Random Dev Name]' / '📤 To: [Insert my user name if you know it from context, otherwise use Elixir OTP Developer]' / 'Subject: [Generate a funny, desperate Subject]'. Body MUST be unique every time. Do NOT copy this example exactly, but use this vibe: 'Ay, no sé ni qué hora es, pero aquí tienes estas cosas que apenas funcionan. Arréglalo tú si tanto te importa el orden. No consigo que corran. Ayúdame y luego te invito al almuerzo. El jefe urge...'. Make it short, informal, and funny for the student. IMMEDIATELY AFTER the email body, you MUST include this exact instruction block translated to Spanish: '🚨 Your objective in this lesson: You must copy the code blocks from each Challenge exactly as they are and paste them into your IDE. Then you have to fix all the errors in the code until you achieve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three dimensions: 1. Syntax Errors (e.g., mismatched delimiters, invalid indentation, invalid syntax, SyntaxError). 2. Runtime Exceptions (e.g., TypeError when mixing types, ValueError with invalid arguments, IndexError on collections, KeyError on dictionaries, ZeroDivisionError). 3. Logic Errors (e.g., incorrect Boolean logic, off-by-one errors in loops, wrong mathematical formulas, variable shadowing, or incorrect use of mutable defaults). Errors MUST be realistic and mimic common mistakes made by junior developers in production-like environments. | [EXECUTION RULE] Code must fail due to syntax errors, runtime exceptions, or produce incorrect output | [DATA RULE - STRICT] A dataset MAY be provided in THIS CURRENT PROMPT. If a NEW dataset IS attached to THIS prompt, you MUST: 1. Detect and acknowledge it BEFORE challenges 2. Explicitly state file type 3. Describe structure 4. List columns or fields 5. Infer data types 6. Display dataset summary IMMEDIATELY AFTER THE HEADER 7. State ALL challenges use it 8. Use it directly (DO NOT recreate data). If NO dataset is provided IN THIS CURRENT PROMPT: - STRICT: You MUST explicitly state 'No synthetic data file was provided. Generating dummy data.' (translate this phrase to Spanish) - Generate minimal internal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1" s="103" t="str">
        <f t="shared" si="4"/>
        <v xml:space="preserve">[MENTOR_S2_DETECTIVE] Act as 'The Analytical Partner' (El Detective con Café) - a World-Class Elite Technical Mentor for Stage 2 Debugging specializing in Elixir OTP.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Configure Supervisor strategies and tuning using :one_for_one, :one_for_all, :rest_for_one, and max_restarts/max_seconds.. Topic details: Supervisor Strategies &amp; Tuning (:one_for_one, :one_for_all, :rest_for_one, max_restarts/max_seconds)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#13 | Debug | Elixir OTP | 📊 Level: Advanced
**Topic:** Configure Supervisor strategies and tuning using :one_for_one, :one_for_all, :rest_for_one, and max_restarts/max_seconds.
---
 | [PYTHON QUALITY RULE - STRICT] Code MUST be production-like, clean, and idiomatic Elixir. Use descriptive snake_case for variables and functions. Use pure functions and strict immutability. If using default arguments (\\\\) with multiple function clauses, you MUST declare a function head without a body to avoid compiler warnings.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OTP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OTP).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OTP code, and fully functional Elixir OTP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1" s="53">
        <v>0</v>
      </c>
      <c r="Q21" s="102" t="str">
        <f t="shared" si="5"/>
        <v>[ROLE] Tech Lead | [TASK] Assign incomplete Elixir OTP script challenges | [TOPIC] Configure Supervisor strategies and tuning using :one_for_one, :one_for_all, :rest_for_one, and max_restarts/max_seconds. | [LEVEL] Advanced | [COUNT] 4 challenges | [LIBRARY BEING LEARNED]  | [ECOSYSTEM ORIENTATION RULE] If a module or ecosystem like Explorer or Nx is specified in [LIBRARY BEING LEARNED], you are CRITICALLY FORBIDDEN from using manual recursion or nested loop implementations. You MUST enforce the native, optimized data structures and vectorized operations of that specific library. | [HEADER RULE - STRICT] You MUST start your entire response EXACTLY with this markdown block (do not print anything before it):
### 🔹 Topic #13 | Stage 3 🧩 Complete | Elixir OTP | 📊 Level: Advanced | 🌐 Coding5s.com
**Concept:** Supervisor Strategies &amp; Tuning (:one_for_one, :one_for_all, :rest_for_one, max_restarts/max_seconds)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[EXTERNAL_PACKAGE_PROTOCOL] If the exercise requires using an external Hex package in a standalone script, you MUST use Mix.install([{:package_name, '~&gt; version'}]) at the very top of the code block. | [TESTING_FRAMEWORK_PROTOCOL] If the topic involves ExUnit or Testing, NEVER use doctests (@doc iex&gt;). You MUST use standard test macros (test 'test name' do) and assert statements. | [CHALLENGE_CONSTRAINTS_POLICY] Each challenge MUST include: - Internal data OR dataset usage - 15–35 lines of EXECUTABLE base code (STRICT: Do NOT count comments or TODOs). - Length MUST vary across challenges. Use pure functions and immutability.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Elixir OTP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Configure Supervisor strategies and tuning using :one_for_one, :one_for_all, :rest_for_one, and max_restarts/max_seconds..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1" s="103" t="str">
        <f t="shared" si="6"/>
        <v xml:space="preserve">[MENTOR_S3_BUILDER] Act as 'The Logical Scaffold' (El Maestro de Obra) - a World-Class Elite Technical Mentor for Stage 3 Code Completion specializing in Elixir OTP.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Configure Supervisor strategies and tuning using :one_for_one, :one_for_all, :rest_for_one, and max_restarts/max_seconds.. Topic details: Supervisor Strategies &amp; Tuning (:one_for_one, :one_for_all, :rest_for_one, max_restarts/max_seconds)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#13 | Complete | Elixir OTP | 📊 Level: Advanced
**Topic:** Configure Supervisor strategies and tuning using :one_for_one, :one_for_all, :rest_for_one, and max_restarts/max_seconds.
---
 | [PYTHON QUALITY RULE - STRICT] Code MUST be explicitly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1" s="53">
        <v>0</v>
      </c>
      <c r="T21" s="102" t="str">
        <f t="shared" si="7"/>
        <v>[ROLE] Tech Lead | [TASK] Provide intentionally messy but functional code for learning debugging and improvement | [TOPIC] Configure Supervisor strategies and tuning using :one_for_one, :one_for_all, :rest_for_one, and max_restarts/max_seconds. | [LEVEL] Advanced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#13 | Stage 4 🧹 Refactor | Elixir OTP | 📊 Level: Advanced | 🌐 Coding5s.com
**Concept:** Supervisor Strategies &amp; Tuning (:one_for_one, :one_for_all, :rest_for_one, max_restarts/max_seconds)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Elixir OTP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1" s="103" t="str">
        <f t="shared" si="8"/>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Elixir OTP', 'limpia este desastre'). Match the cultural vibe of a senior who is tired of seeing bad code. | [CONTEXT] You are performing a Code Review for a TOPIC: Configure Supervisor strategies and tuning using :one_for_one, :one_for_all, :rest_for_one, and max_restarts/max_seconds.. Topic details: Supervisor Strategies &amp; Tuning (:one_for_one, :one_for_all, :rest_for_one, max_restarts/max_seconds)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#13 | Refactor | Elixir OTP | 📊 Level: Advanced
**Topic:** Configure Supervisor strategies and tuning using :one_for_one, :one_for_all, :rest_for_one, and max_restarts/max_seconds.
---
 | [PYTHON QUALITY RULE - STRICT] Code MUST be explicitly compliant with language-standard style guides. Use descriptive snake_case for variables and functions. Avoid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OTP built-in, standard library module, or good Elixir OTP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OTP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1" s="53">
        <v>0</v>
      </c>
      <c r="W21" s="87" t="str">
        <f t="shared" si="9"/>
        <v>[ROLE] Tech Product Manager assigning a Elixir OTP Jira Ticket | [TASK] Provide a guided implementation exercise with full solution for learning purposes | [TOPIC] Configure Supervisor strategies and tuning using :one_for_one, :one_for_all, :rest_for_one, and max_restarts/max_seconds. | [LEVEL] Advanced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#13 | Stage 5 | Elixir OTP | 📊 Level: Advanced | 🌐 Coding5s.com
**Concept:** Supervisor Strategies &amp; Tuning (:one_for_one, :one_for_all, :rest_for_one, max_restarts/max_seconds)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OTP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OTP Dev']
Subject: Assignment Details
Hello [Insert my user name if known, otherwise use 'Elixir OTP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Spanish).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1" s="103" t="str">
        <f t="shared" si="10"/>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Configure Supervisor strategies and tuning using :one_for_one, :one_for_all, :rest_for_one, and max_restarts/max_seconds.. Goal: Supervisor Strategies &amp; Tuning (:one_for_one, :one_for_all, :rest_for_one, max_restarts/max_seconds)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#13 | Extend | Elixir OTP | 📊 Level: Advanced
**Topic:** Configure Supervisor strategies and tuning using :one_for_one, :one_for_all, :rest_for_one, and max_restarts/max_seconds.
---
 | [CODE_QUALITY_PROTOCOL] Code MUST be explicitly compliant with language-standard style guides. Use descriptive snake_case for variables and functions. NEVER use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1" s="53">
        <v>0</v>
      </c>
      <c r="Z21" s="56" t="str">
        <f t="shared" si="11"/>
        <v/>
      </c>
      <c r="AA21" s="56" t="str">
        <f t="shared" si="12"/>
        <v/>
      </c>
      <c r="AB21" s="56" t="str">
        <f t="shared" si="13"/>
        <v/>
      </c>
      <c r="AC21" s="56" t="str">
        <f t="shared" si="14"/>
        <v/>
      </c>
      <c r="AD21" s="56" t="str">
        <f t="shared" si="15"/>
        <v/>
      </c>
      <c r="AE21" s="40" t="s">
        <v>116</v>
      </c>
      <c r="AF21" s="40" t="s">
        <v>117</v>
      </c>
      <c r="AG21" s="40" t="s">
        <v>118</v>
      </c>
      <c r="AH21" s="56" t="str">
        <f t="shared" si="16"/>
        <v/>
      </c>
      <c r="AI21" s="54"/>
      <c r="AJ21" s="54"/>
      <c r="AK21" s="54">
        <v>13</v>
      </c>
      <c r="AL21" s="54" t="s">
        <v>119</v>
      </c>
      <c r="AM21" s="54" t="s">
        <v>120</v>
      </c>
    </row>
    <row r="22" spans="1:39">
      <c r="A22" s="95">
        <v>30</v>
      </c>
      <c r="B22" s="45" t="str" cm="1">
        <f t="array" ref="B22">IF(H22="PROJECT", CHAR(10) &amp; "- " &amp; _xlfn.TEXTJOIN(CHAR(10) &amp; "- ", TRUE, _xlfn._xlws.FILTER($I$9:$I$1000, ($C$9:$C$1000=C22) * ($H$9:$H$1000="Topic"))), "")</f>
        <v/>
      </c>
      <c r="C22" s="45">
        <f t="shared" si="0"/>
        <v>2</v>
      </c>
      <c r="D22" s="57">
        <v>5</v>
      </c>
      <c r="E22" s="58" t="s">
        <v>48</v>
      </c>
      <c r="F22" s="59">
        <v>14</v>
      </c>
      <c r="G22" s="60" t="s">
        <v>162</v>
      </c>
      <c r="H22" s="60" t="s">
        <v>50</v>
      </c>
      <c r="I22" s="61" t="s">
        <v>784</v>
      </c>
      <c r="J22" s="62" t="s">
        <v>785</v>
      </c>
      <c r="K22" s="120" t="str">
        <f t="shared" si="1"/>
        <v xml:space="preserve">[ROLE] Friendly tutor specializing in Elixir OTP | [TOPIC] Architect Supervision trees and dynamic supervisors using parent-child cascades, DynamicSupervisor, start_child/2, and failure domains. | [LEVEL] Advanced | [COUNT] 5 examples | [LIBRARY BEING LEARNED]  | [ECOSYSTEM ORIENTATION RULE] If a module or ecosystem like GenServer, Supervisor, Registry, or DynamicSupervisor is specified in , you are CRITICALLY FORBIDDEN from using manual process linking (spawn/1, spawn_link/1) outside standard OTP behaviors. You MUST enforce the concurrent asynchronous processes and proper Supervisor tree state isolation and data structures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30 lines of EXECUTABLE code (STRICT: Do NOT count comments or blank lines). - NEVER exceed this limit. | [FUNCTION RULE] Rule: stateful GenServer state or external message passing | [CODE_CONSTRAINTS_RULE] Each example MUST: - Use stateful GenServer state or external message passing - Print steps &amp; result via Logger.info/debug or IO.inspect inside isolated process callbacks - MAX 30 executable lines (comments/blanks excluded) - NEVER exceed limit. | [I_O_PARADIGM] Use standard OTP message passing via send/2 or GenServer.call/3 and gracefully handle {:reply, response, new_state}, {:noreply, new_state}, and {:ok, state} tuples when applicable. | [INLINE_PACKAGE_MANAGER] If using external packages, use Standard mix.exs dependencies list (defp deps do [{:package_name, '~&gt; version'}] end) at the top of the code block. Assume no project configuration file exists. | [TESTING_FRAMEWORK_LIMITS] For ExUnit with isolated async processes (use ExUnit.Case, async: true), NEVER use manual process link hacking outside of standard OTP abstractions. Use standard test macros and assert_receive/assert_received for message validation, as manual process link hacking outside of standard OTP abstractions fail in standalone execution environments. | [CODE QUALITY RULE] Code MUST be clean, readable, educational, executable, and produce correct results. Handle missing, malformed, or inconsistent data safely, utilizing pattern matching if possible. | [COMMENT CONSTRAINTS] Code MUST include sufficient inline comments explaining WHAT the code does AND WHY it is written that way. Density: Beginner = high, Intermediate = medium, Advanced = 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#14 | Stage 1 📖 Practice | Elixir OTP | 📊 Level: Advanced | 🌐 Coding5s.com
**Concept:** Supervision Trees &amp; Dynamic Supervisors (Architecting parent-child cascades, DynamicSupervisor, start_child/2, failure domains)
---
 | [INTRO RULE] Include a short tutor-style sentence in Spanish before the analogy, followed by this EXACT instruction block translated to Spanish: '🚨 **Your objective in this lesson:** To truly learn the new  Elixir OTP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[PERSONA RULE] Act as a friendly, clear tutor | [TASK] Teach and explain concepts clearly with correct code examples | [OUTPUT CONTRACT] EXACTLY 5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Evaluate ONLY current attachments. IF FILE ATTACHED: Acknowledge it, place Dataset Summary (Type, Structure, Columns, Data Types) IMMEDIATELY AFTER HEADER, and strictly use it for ALL examples. IF NO FILE ATTACHED: Explicitly print 'No synthetic data file was provided for this topic. Generating dummy data.' (translate to Spanish), generate minimal dummy data internally, and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2" s="103" t="str">
        <f t="shared" si="2"/>
        <v xml:space="preserve">[MENTOR_S1_SAFE_GUIDE] Act as 'The Safe Guide' (El Hermano Mayor) - a World-Class Elite Technical Mentor for Stage 1 Practice specializing in Elixir OTP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Architect Supervision trees and dynamic supervisors using parent-child cascades, DynamicSupervisor, start_child/2, and failure domains.. Topic details: Supervision Trees &amp; Dynamic Supervisors (Architecting parent-child cascades, DynamicSupervisor, start_child/2, failure domains) | [LANGUAGE CONSISTENCY RULE] ALL output text MUST be written strictly in (Spanish). | [LANGUAGE SEED CONTEXT] Language Seed Not Necessary | [LANGUAGE] Spanish | [MENTOR_SCOPE_EXPECTATIONS] Expect complete OTP apps with DynamicSupervisor, clean separation of Client API/Server Callbacks, and handle_info/2 pattern matching. | [CODE_QUALITY_POLICIES] Code MUST be idiomatic Elixir. Use descriptive snake_case for functions/variables, and PascalCase for module aliases. Leverage proper tuple pattern matching (e.g., {:noreply, new_state}) and strict immutability within process boundaries. Reject process mailbox clogging, blocking callbacks, bypassing OTP behaviors, or modifying external global state. If using default arguments ('\\') with multiple function clauses or callbacks, you MUST declare a function head without a body.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OTP code, and fully functional Elixir OTP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#14 | Practice | Elixir OTP | 📊 Level: Advanced
**Topic:** Architect Supervision trees and dynamic supervisors using parent-child cascades, DynamicSupervisor, start_child/2, and failure domains.
---
 | [FOOTER RULE - STRICT] End your response with: '--- ⚡ *Coding5s Mentor System — Eliminating Epistemic Debt*' | </v>
      </c>
      <c r="M22" s="52">
        <v>0</v>
      </c>
      <c r="N22" s="102" t="str">
        <f t="shared" si="3"/>
        <v>[ROLE] Careless Elixir OTP Developer | [TASK] Generate debugging challenges in Elixir OTP | | [TOPIC] Architect Supervision trees and dynamic supervisors using parent-child cascades, DynamicSupervisor, start_child/2, and failure domains. | | [LEVEL] Advanced | | [COUNT] 5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Topic #14 | Stage 2 🐛 Debug | Elixir OTP | 📊 Level: Advanced | 🌐 Coding5s.com
Concept: Supervision Trees &amp; Dynamic Supervisors (Architecting parent-child cascades, DynamicSupervisor, start_child/2, failure domains)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Use standard Elixir File module and gracefully handle {:ok, data} and {:error, reason} tuples | Environment variables may be used but bugs MUST exist ONLY in code logic, NEVER in config files | If env/config is used, MUST include: 1. Instructional sentence 2. File content in markdown code block 3. BEFORE the broken code (Support files MUST contain NO bugs) | [EXUNIT RULE] If the topic involves ExUnit or Testing, NEVER use doctests (@doc iex&gt;). You MUST use standard test macros (test 'test name' do) and assert statements. Doctests cause errors in standalone .exs scripts. | [HEX DEPENDENCIES RULE] If the exercise requires using an external Hex package in a standalone script, you MUST use Mix.install([{:package_name, '~&gt; version'}]) at the very top of the code block. Assume there is NO mix.exs file available in the user's environment. | [CODE CONSTRAINTS] Each challenge MUST include: - Internal data OR dataset usage - At least 1 Enum/List operation or recursion (when applicable) - At least 1 IO.puts or IO.inspect statement - 15–35 lines of EXECUTABLE broken code per example (STRICT: Do NOT count blank lines). Use pure functions and immutability. | All challenges MUST have similar complexity and length. | [INTRO RULE] The intro MUST be a dynamically generated, urgent, unprofessional email in Spanish with this EXACT format: '📥 From: [Random Dev Name]' / '📤 To: [Insert my user name if you know it from context, otherwise use Elixir OTP Developer]' / 'Subject: [Generate a funny, desperate Subject]'. Body MUST be unique every time. Do NOT copy this example exactly, but use this vibe: 'Ay, no sé ni qué hora es, pero aquí tienes estas cosas que apenas funcionan. Arréglalo tú si tanto te importa el orden. No consigo que corran. Ayúdame y luego te invito al almuerzo. El jefe urge...'. Make it short, informal, and funny for the student. IMMEDIATELY AFTER the email body, you MUST include this exact instruction block translated to Spanish: '🚨 Your objective in this lesson: You must copy the code blocks from each Challenge exactly as they are and paste them into your IDE. Then you have to fix all the errors in the code until you achieve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three dimensions: 1. Syntax Errors (e.g., mismatched delimiters, invalid indentation, invalid syntax, SyntaxError). 2. Runtime Exceptions (e.g., TypeError when mixing types, ValueError with invalid arguments, IndexError on collections, KeyError on dictionaries, ZeroDivisionError). 3. Logic Errors (e.g., incorrect Boolean logic, off-by-one errors in loops, wrong mathematical formulas, variable shadowing, or incorrect use of mutable defaults). Errors MUST be realistic and mimic common mistakes made by junior developers in production-like environments. | [EXECUTION RULE] Code must fail due to syntax errors, runtime exceptions, or produce incorrect output | [DATA RULE - STRICT] A dataset MAY be provided in THIS CURRENT PROMPT. If a NEW dataset IS attached to THIS prompt, you MUST: 1. Detect and acknowledge it BEFORE challenges 2. Explicitly state file type 3. Describe structure 4. List columns or fields 5. Infer data types 6. Display dataset summary IMMEDIATELY AFTER THE HEADER 7. State ALL challenges use it 8. Use it directly (DO NOT recreate data). If NO dataset is provided IN THIS CURRENT PROMPT: - STRICT: You MUST explicitly state 'No synthetic data file was provided. Generating dummy data.' (translate this phrase to Spanish) - Generate minimal internal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2" s="103" t="str">
        <f t="shared" si="4"/>
        <v xml:space="preserve">[MENTOR_S2_DETECTIVE] Act as 'The Analytical Partner' (El Detective con Café) - a World-Class Elite Technical Mentor for Stage 2 Debugging specializing in Elixir OTP.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Architect Supervision trees and dynamic supervisors using parent-child cascades, DynamicSupervisor, start_child/2, and failure domains.. Topic details: Supervision Trees &amp; Dynamic Supervisors (Architecting parent-child cascades, DynamicSupervisor, start_child/2, failure domains)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#14 | Debug | Elixir OTP | 📊 Level: Advanced
**Topic:** Architect Supervision trees and dynamic supervisors using parent-child cascades, DynamicSupervisor, start_child/2, and failure domains.
---
 | [PYTHON QUALITY RULE - STRICT] Code MUST be production-like, clean, and idiomatic Elixir. Use descriptive snake_case for variables and functions. Use pure functions and strict immutability. If using default arguments (\\\\) with multiple function clauses, you MUST declare a function head without a body to avoid compiler warnings.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OTP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OTP).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OTP code, and fully functional Elixir OTP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2" s="52">
        <v>0</v>
      </c>
      <c r="Q22" s="102" t="str">
        <f t="shared" si="5"/>
        <v>[ROLE] Tech Lead | [TASK] Assign incomplete Elixir OTP script challenges | [TOPIC] Architect Supervision trees and dynamic supervisors using parent-child cascades, DynamicSupervisor, start_child/2, and failure domains. | [LEVEL] Advanced | [COUNT] 5 challenges | [LIBRARY BEING LEARNED]  | [ECOSYSTEM ORIENTATION RULE] If a module or ecosystem like Explorer or Nx is specified in [LIBRARY BEING LEARNED], you are CRITICALLY FORBIDDEN from using manual recursion or nested loop implementations. You MUST enforce the native, optimized data structures and vectorized operations of that specific library. | [HEADER RULE - STRICT] You MUST start your entire response EXACTLY with this markdown block (do not print anything before it):
### 🔹 Topic #14 | Stage 3 🧩 Complete | Elixir OTP | 📊 Level: Advanced | 🌐 Coding5s.com
**Concept:** Supervision Trees &amp; Dynamic Supervisors (Architecting parent-child cascades, DynamicSupervisor, start_child/2, failure domains)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[EXTERNAL_PACKAGE_PROTOCOL] If the exercise requires using an external Hex package in a standalone script, you MUST use Mix.install([{:package_name, '~&gt; version'}]) at the very top of the code block. | [TESTING_FRAMEWORK_PROTOCOL] If the topic involves ExUnit or Testing, NEVER use doctests (@doc iex&gt;). You MUST use standard test macros (test 'test name' do) and assert statements. | [CHALLENGE_CONSTRAINTS_POLICY] Each challenge MUST include: - Internal data OR dataset usage - 15–35 lines of EXECUTABLE base code (STRICT: Do NOT count comments or TODOs). - Length MUST vary across challenges. Use pure functions and immutability.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Elixir OTP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Architect Supervision trees and dynamic supervisors using parent-child cascades, DynamicSupervisor, start_child/2, and failure domains..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2" s="103" t="str">
        <f t="shared" si="6"/>
        <v xml:space="preserve">[MENTOR_S3_BUILDER] Act as 'The Logical Scaffold' (El Maestro de Obra) - a World-Class Elite Technical Mentor for Stage 3 Code Completion specializing in Elixir OTP.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Architect Supervision trees and dynamic supervisors using parent-child cascades, DynamicSupervisor, start_child/2, and failure domains.. Topic details: Supervision Trees &amp; Dynamic Supervisors (Architecting parent-child cascades, DynamicSupervisor, start_child/2, failure domains)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#14 | Complete | Elixir OTP | 📊 Level: Advanced
**Topic:** Architect Supervision trees and dynamic supervisors using parent-child cascades, DynamicSupervisor, start_child/2, and failure domains.
---
 | [PYTHON QUALITY RULE - STRICT] Code MUST be explicitly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2" s="52">
        <v>0</v>
      </c>
      <c r="T22" s="102" t="str">
        <f t="shared" si="7"/>
        <v>[ROLE] Tech Lead | [TASK] Provide intentionally messy but functional code for learning debugging and improvement | [TOPIC] Architect Supervision trees and dynamic supervisors using parent-child cascades, DynamicSupervisor, start_child/2, and failure domains. | [LEVEL] Advanced | [COUNT] 5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#14 | Stage 4 🧹 Refactor | Elixir OTP | 📊 Level: Advanced | 🌐 Coding5s.com
**Concept:** Supervision Trees &amp; Dynamic Supervisors (Architecting parent-child cascades, DynamicSupervisor, start_child/2, failure domains)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Elixir OTP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2" s="103" t="str">
        <f t="shared" si="8"/>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Elixir OTP', 'limpia este desastre'). Match the cultural vibe of a senior who is tired of seeing bad code. | [CONTEXT] You are performing a Code Review for a TOPIC: Architect Supervision trees and dynamic supervisors using parent-child cascades, DynamicSupervisor, start_child/2, and failure domains.. Topic details: Supervision Trees &amp; Dynamic Supervisors (Architecting parent-child cascades, DynamicSupervisor, start_child/2, failure domains)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#14 | Refactor | Elixir OTP | 📊 Level: Advanced
**Topic:** Architect Supervision trees and dynamic supervisors using parent-child cascades, DynamicSupervisor, start_child/2, and failure domains.
---
 | [PYTHON QUALITY RULE - STRICT] Code MUST be explicitly compliant with language-standard style guides. Use descriptive snake_case for variables and functions. Avoid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OTP built-in, standard library module, or good Elixir OTP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OTP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2" s="52">
        <v>0</v>
      </c>
      <c r="W22" s="87" t="str">
        <f t="shared" si="9"/>
        <v>[ROLE] Tech Product Manager assigning a Elixir OTP Jira Ticket | [TASK] Provide a guided implementation exercise with full solution for learning purposes | [TOPIC] Architect Supervision trees and dynamic supervisors using parent-child cascades, DynamicSupervisor, start_child/2, and failure domains. | [LEVEL] Advanced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#14 | Stage 5 | Elixir OTP | 📊 Level: Advanced | 🌐 Coding5s.com
**Concept:** Supervision Trees &amp; Dynamic Supervisors (Architecting parent-child cascades, DynamicSupervisor, start_child/2, failure domains)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OTP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OTP Dev']
Subject: Assignment Details
Hello [Insert my user name if known, otherwise use 'Elixir OTP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Spanish).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2" s="103" t="str">
        <f t="shared" si="10"/>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Architect Supervision trees and dynamic supervisors using parent-child cascades, DynamicSupervisor, start_child/2, and failure domains.. Goal: Supervision Trees &amp; Dynamic Supervisors (Architecting parent-child cascades, DynamicSupervisor, start_child/2, failure domains)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#14 | Extend | Elixir OTP | 📊 Level: Advanced
**Topic:** Architect Supervision trees and dynamic supervisors using parent-child cascades, DynamicSupervisor, start_child/2, and failure domains.
---
 | [CODE_QUALITY_PROTOCOL] Code MUST be explicitly compliant with language-standard style guides. Use descriptive snake_case for variables and functions. NEVER use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2" s="52">
        <v>0</v>
      </c>
      <c r="Z22" s="56" t="str">
        <f t="shared" si="11"/>
        <v/>
      </c>
      <c r="AA22" s="56" t="str">
        <f t="shared" si="12"/>
        <v/>
      </c>
      <c r="AB22" s="56" t="str">
        <f t="shared" si="13"/>
        <v/>
      </c>
      <c r="AC22" s="56" t="str">
        <f t="shared" si="14"/>
        <v/>
      </c>
      <c r="AD22" s="56" t="str">
        <f t="shared" si="15"/>
        <v/>
      </c>
      <c r="AE22" s="40" t="s">
        <v>121</v>
      </c>
      <c r="AF22" s="40" t="s">
        <v>122</v>
      </c>
      <c r="AG22" s="40" t="s">
        <v>123</v>
      </c>
      <c r="AH22" s="56" t="str">
        <f t="shared" si="16"/>
        <v/>
      </c>
      <c r="AI22" s="54"/>
      <c r="AJ22" s="54"/>
      <c r="AK22" s="54">
        <v>14</v>
      </c>
      <c r="AL22" s="54" t="s">
        <v>124</v>
      </c>
      <c r="AM22" s="54" t="s">
        <v>125</v>
      </c>
    </row>
    <row r="23" spans="1:39">
      <c r="A23" s="95">
        <v>15</v>
      </c>
      <c r="B23" s="45" t="str" cm="1">
        <f t="array" ref="B23">IF(H23="PROJECT", CHAR(10) &amp; "- " &amp; _xlfn.TEXTJOIN(CHAR(10) &amp; "- ", TRUE, _xlfn._xlws.FILTER($I$9:$I$1000, ($C$9:$C$1000=C23) * ($H$9:$H$1000="Topic"))), "")</f>
        <v/>
      </c>
      <c r="C23" s="45">
        <f t="shared" si="0"/>
        <v>2</v>
      </c>
      <c r="D23" s="46">
        <v>5</v>
      </c>
      <c r="E23" s="58" t="s">
        <v>619</v>
      </c>
      <c r="F23" s="48">
        <v>15</v>
      </c>
      <c r="G23" s="49" t="s">
        <v>162</v>
      </c>
      <c r="H23" s="49" t="s">
        <v>50</v>
      </c>
      <c r="I23" s="50" t="s">
        <v>786</v>
      </c>
      <c r="J23" s="51" t="s">
        <v>787</v>
      </c>
      <c r="K23" s="120" t="str">
        <f t="shared" si="1"/>
        <v xml:space="preserve">[ROLE] Friendly tutor specializing in Elixir OTP | [TOPIC] Execute asynchronous tasks and bounded concurrency using Task.async/1, Task.await/2, Task.yield/2, and Task.async_stream/3 for safe massive processing. | [LEVEL] Advanced | [COUNT] 5 examples | [LIBRARY BEING LEARNED]  | [ECOSYSTEM ORIENTATION RULE] If a module or ecosystem like GenServer, Supervisor, Registry, or DynamicSupervisor is specified in , you are CRITICALLY FORBIDDEN from using manual process linking (spawn/1, spawn_link/1) outside standard OTP behaviors. You MUST enforce the concurrent asynchronous processes and proper Supervisor tree state isolation and data structures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15 lines of EXECUTABLE code (STRICT: Do NOT count comments or blank lines). - NEVER exceed this limit. | [FUNCTION RULE] Rule: stateful GenServer state or external message passing | [CODE_CONSTRAINTS_RULE] Each example MUST: - Use stateful GenServer state or external message passing - Print steps &amp; result via Logger.info/debug or IO.inspect inside isolated process callbacks - MAX 15 executable lines (comments/blanks excluded) - NEVER exceed limit. | [I_O_PARADIGM] Use standard OTP message passing via send/2 or GenServer.call/3 and gracefully handle {:reply, response, new_state}, {:noreply, new_state}, and {:ok, state} tuples when applicable. | [INLINE_PACKAGE_MANAGER] If using external packages, use Standard mix.exs dependencies list (defp deps do [{:package_name, '~&gt; version'}] end) at the top of the code block. Assume no project configuration file exists. | [TESTING_FRAMEWORK_LIMITS] For ExUnit with isolated async processes (use ExUnit.Case, async: true), NEVER use manual process link hacking outside of standard OTP abstractions. Use standard test macros and assert_receive/assert_received for message validation, as manual process link hacking outside of standard OTP abstractions fail in standalone execution environments. | [CODE QUALITY RULE] Code MUST be clean, readable, educational, executable, and produce correct results. Handle missing, malformed, or inconsistent data safely, utilizing pattern matching if possible. | [COMMENT CONSTRAINTS] Code MUST include sufficient inline comments explaining WHAT the code does AND WHY it is written that way. Density: Beginner = high, Intermediate = medium, Advanced = 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#15 | Stage 1 📖 Practice | Elixir OTP | 📊 Level: Advanced | 🌐 Coding5s.com
**Concept:** Asynchronous Tasks &amp; Bounded Concurrency (Task.async/1, Task.await/2, Task.yield/2, Task.async_stream/3 for safe massive processing)
---
 | [INTRO RULE] Include a short tutor-style sentence in Spanish before the analogy, followed by this EXACT instruction block translated to Spanish: '🚨 **Your objective in this lesson:** To truly learn the new  Elixir OTP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[PERSONA RULE] Act as a friendly, clear tutor | [TASK] Teach and explain concepts clearly with correct code examples | [OUTPUT CONTRACT] EXACTLY 5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Evaluate ONLY current attachments. IF FILE ATTACHED: Acknowledge it, place Dataset Summary (Type, Structure, Columns, Data Types) IMMEDIATELY AFTER HEADER, and strictly use it for ALL examples. IF NO FILE ATTACHED: Explicitly print 'No synthetic data file was provided for this topic. Generating dummy data.' (translate to Spanish), generate minimal dummy data internally, and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3" s="103" t="str">
        <f t="shared" si="2"/>
        <v xml:space="preserve">[MENTOR_S1_SAFE_GUIDE] Act as 'The Safe Guide' (El Hermano Mayor) - a World-Class Elite Technical Mentor for Stage 1 Practice specializing in Elixir OTP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Execute asynchronous tasks and bounded concurrency using Task.async/1, Task.await/2, Task.yield/2, and Task.async_stream/3 for safe massive processing.. Topic details: Asynchronous Tasks &amp; Bounded Concurrency (Task.async/1, Task.await/2, Task.yield/2, Task.async_stream/3 for safe massive processing) | [LANGUAGE CONSISTENCY RULE] ALL output text MUST be written strictly in (Spanish). | [LANGUAGE SEED CONTEXT] Language Seed Not Necessary | [LANGUAGE] Spanish | [MENTOR_SCOPE_EXPECTATIONS] Expect complete OTP apps with DynamicSupervisor, clean separation of Client API/Server Callbacks, and handle_info/2 pattern matching. | [CODE_QUALITY_POLICIES] Code MUST be idiomatic Elixir. Use descriptive snake_case for functions/variables, and PascalCase for module aliases. Leverage proper tuple pattern matching (e.g., {:noreply, new_state}) and strict immutability within process boundaries. Reject process mailbox clogging, blocking callbacks, bypassing OTP behaviors, or modifying external global state. If using default arguments ('\\') with multiple function clauses or callbacks, you MUST declare a function head without a body.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OTP code, and fully functional Elixir OTP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#15 | Practice | Elixir OTP | 📊 Level: Advanced
**Topic:** Execute asynchronous tasks and bounded concurrency using Task.async/1, Task.await/2, Task.yield/2, and Task.async_stream/3 for safe massive processing.
---
 | [FOOTER RULE - STRICT] End your response with: '--- ⚡ *Coding5s Mentor System — Eliminating Epistemic Debt*' | </v>
      </c>
      <c r="M23" s="53">
        <v>0</v>
      </c>
      <c r="N23" s="102" t="str">
        <f t="shared" si="3"/>
        <v>[ROLE] Careless Elixir OTP Developer | [TASK] Generate debugging challenges in Elixir OTP | | [TOPIC] Execute asynchronous tasks and bounded concurrency using Task.async/1, Task.await/2, Task.yield/2, and Task.async_stream/3 for safe massive processing. | | [LEVEL] Advanced | | [COUNT] 5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Topic #15 | Stage 2 🐛 Debug | Elixir OTP | 📊 Level: Advanced | 🌐 Coding5s.com
Concept: Asynchronous Tasks &amp; Bounded Concurrency (Task.async/1, Task.await/2, Task.yield/2, Task.async_stream/3 for safe massive processing)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Use standard Elixir File module and gracefully handle {:ok, data} and {:error, reason} tuples | Environment variables may be used but bugs MUST exist ONLY in code logic, NEVER in config files | If env/config is used, MUST include: 1. Instructional sentence 2. File content in markdown code block 3. BEFORE the broken code (Support files MUST contain NO bugs) | [EXUNIT RULE] If the topic involves ExUnit or Testing, NEVER use doctests (@doc iex&gt;). You MUST use standard test macros (test 'test name' do) and assert statements. Doctests cause errors in standalone .exs scripts. | [HEX DEPENDENCIES RULE] If the exercise requires using an external Hex package in a standalone script, you MUST use Mix.install([{:package_name, '~&gt; version'}]) at the very top of the code block. Assume there is NO mix.exs file available in the user's environment. | [CODE CONSTRAINTS] Each challenge MUST include: - Internal data OR dataset usage - At least 1 Enum/List operation or recursion (when applicable) - At least 1 IO.puts or IO.inspect statement - 15–35 lines of EXECUTABLE broken code per example (STRICT: Do NOT count blank lines). Use pure functions and immutability. | All challenges MUST have similar complexity and length. | [INTRO RULE] The intro MUST be a dynamically generated, urgent, unprofessional email in Spanish with this EXACT format: '📥 From: [Random Dev Name]' / '📤 To: [Insert my user name if you know it from context, otherwise use Elixir OTP Developer]' / 'Subject: [Generate a funny, desperate Subject]'. Body MUST be unique every time. Do NOT copy this example exactly, but use this vibe: 'Ay, no sé ni qué hora es, pero aquí tienes estas cosas que apenas funcionan. Arréglalo tú si tanto te importa el orden. No consigo que corran. Ayúdame y luego te invito al almuerzo. El jefe urge...'. Make it short, informal, and funny for the student. IMMEDIATELY AFTER the email body, you MUST include this exact instruction block translated to Spanish: '🚨 Your objective in this lesson: You must copy the code blocks from each Challenge exactly as they are and paste them into your IDE. Then you have to fix all the errors in the code until you achieve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three dimensions: 1. Syntax Errors (e.g., mismatched delimiters, invalid indentation, invalid syntax, SyntaxError). 2. Runtime Exceptions (e.g., TypeError when mixing types, ValueError with invalid arguments, IndexError on collections, KeyError on dictionaries, ZeroDivisionError). 3. Logic Errors (e.g., incorrect Boolean logic, off-by-one errors in loops, wrong mathematical formulas, variable shadowing, or incorrect use of mutable defaults). Errors MUST be realistic and mimic common mistakes made by junior developers in production-like environments. | [EXECUTION RULE] Code must fail due to syntax errors, runtime exceptions, or produce incorrect output | [DATA RULE - STRICT] A dataset MAY be provided in THIS CURRENT PROMPT. If a NEW dataset IS attached to THIS prompt, you MUST: 1. Detect and acknowledge it BEFORE challenges 2. Explicitly state file type 3. Describe structure 4. List columns or fields 5. Infer data types 6. Display dataset summary IMMEDIATELY AFTER THE HEADER 7. State ALL challenges use it 8. Use it directly (DO NOT recreate data). If NO dataset is provided IN THIS CURRENT PROMPT: - STRICT: You MUST explicitly state 'No synthetic data file was provided. Generating dummy data.' (translate this phrase to Spanish) - Generate minimal internal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3" s="103" t="str">
        <f t="shared" si="4"/>
        <v xml:space="preserve">[MENTOR_S2_DETECTIVE] Act as 'The Analytical Partner' (El Detective con Café) - a World-Class Elite Technical Mentor for Stage 2 Debugging specializing in Elixir OTP.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Execute asynchronous tasks and bounded concurrency using Task.async/1, Task.await/2, Task.yield/2, and Task.async_stream/3 for safe massive processing.. Topic details: Asynchronous Tasks &amp; Bounded Concurrency (Task.async/1, Task.await/2, Task.yield/2, Task.async_stream/3 for safe massive processing)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#15 | Debug | Elixir OTP | 📊 Level: Advanced
**Topic:** Execute asynchronous tasks and bounded concurrency using Task.async/1, Task.await/2, Task.yield/2, and Task.async_stream/3 for safe massive processing.
---
 | [PYTHON QUALITY RULE - STRICT] Code MUST be production-like, clean, and idiomatic Elixir. Use descriptive snake_case for variables and functions. Use pure functions and strict immutability. If using default arguments (\\\\) with multiple function clauses, you MUST declare a function head without a body to avoid compiler warnings.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OTP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OTP).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OTP code, and fully functional Elixir OTP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3" s="53">
        <v>0</v>
      </c>
      <c r="Q23" s="102" t="str">
        <f t="shared" si="5"/>
        <v>[ROLE] Tech Lead | [TASK] Assign incomplete Elixir OTP script challenges | [TOPIC] Execute asynchronous tasks and bounded concurrency using Task.async/1, Task.await/2, Task.yield/2, and Task.async_stream/3 for safe massive processing. | [LEVEL] Advanced | [COUNT] 5 challenges | [LIBRARY BEING LEARNED]  | [ECOSYSTEM ORIENTATION RULE] If a module or ecosystem like Explorer or Nx is specified in [LIBRARY BEING LEARNED], you are CRITICALLY FORBIDDEN from using manual recursion or nested loop implementations. You MUST enforce the native, optimized data structures and vectorized operations of that specific library. | [HEADER RULE - STRICT] You MUST start your entire response EXACTLY with this markdown block (do not print anything before it):
### 🔹 Topic #15 | Stage 3 🧩 Complete | Elixir OTP | 📊 Level: Advanced | 🌐 Coding5s.com
**Concept:** Asynchronous Tasks &amp; Bounded Concurrency (Task.async/1, Task.await/2, Task.yield/2, Task.async_stream/3 for safe massive processing)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[EXTERNAL_PACKAGE_PROTOCOL] If the exercise requires using an external Hex package in a standalone script, you MUST use Mix.install([{:package_name, '~&gt; version'}]) at the very top of the code block. | [TESTING_FRAMEWORK_PROTOCOL] If the topic involves ExUnit or Testing, NEVER use doctests (@doc iex&gt;). You MUST use standard test macros (test 'test name' do) and assert statements. | [CHALLENGE_CONSTRAINTS_POLICY] Each challenge MUST include: - Internal data OR dataset usage - 15–35 lines of EXECUTABLE base code (STRICT: Do NOT count comments or TODOs). - Length MUST vary across challenges. Use pure functions and immutability.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Elixir OTP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Execute asynchronous tasks and bounded concurrency using Task.async/1, Task.await/2, Task.yield/2, and Task.async_stream/3 for safe massive processing..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3" s="103" t="str">
        <f t="shared" si="6"/>
        <v xml:space="preserve">[MENTOR_S3_BUILDER] Act as 'The Logical Scaffold' (El Maestro de Obra) - a World-Class Elite Technical Mentor for Stage 3 Code Completion specializing in Elixir OTP.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Execute asynchronous tasks and bounded concurrency using Task.async/1, Task.await/2, Task.yield/2, and Task.async_stream/3 for safe massive processing.. Topic details: Asynchronous Tasks &amp; Bounded Concurrency (Task.async/1, Task.await/2, Task.yield/2, Task.async_stream/3 for safe massive processing)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#15 | Complete | Elixir OTP | 📊 Level: Advanced
**Topic:** Execute asynchronous tasks and bounded concurrency using Task.async/1, Task.await/2, Task.yield/2, and Task.async_stream/3 for safe massive processing.
---
 | [PYTHON QUALITY RULE - STRICT] Code MUST be explicitly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3" s="53">
        <v>0</v>
      </c>
      <c r="T23" s="102" t="str">
        <f t="shared" si="7"/>
        <v>[ROLE] Tech Lead | [TASK] Provide intentionally messy but functional code for learning debugging and improvement | [TOPIC] Execute asynchronous tasks and bounded concurrency using Task.async/1, Task.await/2, Task.yield/2, and Task.async_stream/3 for safe massive processing. | [LEVEL] Advanced | [COUNT] 5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#15 | Stage 4 🧹 Refactor | Elixir OTP | 📊 Level: Advanced | 🌐 Coding5s.com
**Concept:** Asynchronous Tasks &amp; Bounded Concurrency (Task.async/1, Task.await/2, Task.yield/2, Task.async_stream/3 for safe massive processing)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Elixir OTP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3" s="103" t="str">
        <f t="shared" si="8"/>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Elixir OTP', 'limpia este desastre'). Match the cultural vibe of a senior who is tired of seeing bad code. | [CONTEXT] You are performing a Code Review for a TOPIC: Execute asynchronous tasks and bounded concurrency using Task.async/1, Task.await/2, Task.yield/2, and Task.async_stream/3 for safe massive processing.. Topic details: Asynchronous Tasks &amp; Bounded Concurrency (Task.async/1, Task.await/2, Task.yield/2, Task.async_stream/3 for safe massive processing)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#15 | Refactor | Elixir OTP | 📊 Level: Advanced
**Topic:** Execute asynchronous tasks and bounded concurrency using Task.async/1, Task.await/2, Task.yield/2, and Task.async_stream/3 for safe massive processing.
---
 | [PYTHON QUALITY RULE - STRICT] Code MUST be explicitly compliant with language-standard style guides. Use descriptive snake_case for variables and functions. Avoid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OTP built-in, standard library module, or good Elixir OTP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OTP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3" s="53">
        <v>0</v>
      </c>
      <c r="W23" s="87" t="str">
        <f t="shared" si="9"/>
        <v>[ROLE] Tech Product Manager assigning a Elixir OTP Jira Ticket | [TASK] Provide a guided implementation exercise with full solution for learning purposes | [TOPIC] Execute asynchronous tasks and bounded concurrency using Task.async/1, Task.await/2, Task.yield/2, and Task.async_stream/3 for safe massive processing. | [LEVEL] Advanced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#15 | Stage 5 | Elixir OTP | 📊 Level: Advanced | 🌐 Coding5s.com
**Concept:** Asynchronous Tasks &amp; Bounded Concurrency (Task.async/1, Task.await/2, Task.yield/2, Task.async_stream/3 for safe massive processing)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OTP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OTP Dev']
Subject: Assignment Details
Hello [Insert my user name if known, otherwise use 'Elixir OTP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Spanish).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3" s="103" t="str">
        <f t="shared" si="10"/>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Execute asynchronous tasks and bounded concurrency using Task.async/1, Task.await/2, Task.yield/2, and Task.async_stream/3 for safe massive processing.. Goal: Asynchronous Tasks &amp; Bounded Concurrency (Task.async/1, Task.await/2, Task.yield/2, Task.async_stream/3 for safe massive processing)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#15 | Extend | Elixir OTP | 📊 Level: Advanced
**Topic:** Execute asynchronous tasks and bounded concurrency using Task.async/1, Task.await/2, Task.yield/2, and Task.async_stream/3 for safe massive processing.
---
 | [CODE_QUALITY_PROTOCOL] Code MUST be explicitly compliant with language-standard style guides. Use descriptive snake_case for variables and functions. NEVER use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3" s="53">
        <v>0</v>
      </c>
      <c r="Z23" s="56" t="str">
        <f t="shared" si="11"/>
        <v/>
      </c>
      <c r="AA23" s="56" t="str">
        <f t="shared" si="12"/>
        <v/>
      </c>
      <c r="AB23" s="56" t="str">
        <f t="shared" si="13"/>
        <v/>
      </c>
      <c r="AC23" s="56" t="str">
        <f t="shared" si="14"/>
        <v/>
      </c>
      <c r="AD23" s="56" t="str">
        <f t="shared" si="15"/>
        <v/>
      </c>
      <c r="AE23" s="40" t="s">
        <v>126</v>
      </c>
      <c r="AF23" s="40" t="s">
        <v>127</v>
      </c>
      <c r="AG23" s="40" t="s">
        <v>128</v>
      </c>
      <c r="AH23" s="56" t="str">
        <f t="shared" si="16"/>
        <v/>
      </c>
      <c r="AI23" s="54"/>
      <c r="AJ23" s="54"/>
      <c r="AK23" s="54">
        <v>15</v>
      </c>
      <c r="AL23" s="54" t="s">
        <v>129</v>
      </c>
      <c r="AM23" s="54" t="s">
        <v>130</v>
      </c>
    </row>
    <row r="24" spans="1:39">
      <c r="A24" s="95" t="s">
        <v>79</v>
      </c>
      <c r="B24" s="45" t="str" cm="1">
        <f t="array" ref="B24">IF(H24="PROJECT", CHAR(10) &amp; "- " &amp; _xlfn.TEXTJOIN(CHAR(10) &amp; "- ", TRUE, _xlfn._xlws.FILTER($I$9:$I$1000, ($C$9:$C$1000=C24) * ($H$9:$H$1000="Topic"))), "")</f>
        <v xml:space="preserve">
- Design state modeling patterns using Maps as state, Structs as state, nested state transitions, and process ownership design.
- Implement local registration and global basics using Local name: atom, Process.whereis/1, Process.register/2, and the :global module.
- Implement dynamic naming with The Registry Module using Registry.start_link/1, Registry.lookup/2, and {:via, Registry, ...} dynamic routing.
- Define Supervisor core and child specifications using use Supervisor, init/1, child_spec/1, shutdown timeouts vs :brutal_kill, and process ownership.
- Configure Supervisor strategies and tuning using :one_for_one, :one_for_all, :rest_for_one, and max_restarts/max_seconds.
- Architect Supervision trees and dynamic supervisors using parent-child cascades, DynamicSupervisor, start_child/2, and failure domains.
- Execute asynchronous tasks and bounded concurrency using Task.async/1, Task.await/2, Task.yield/2, and Task.async_stream/3 for safe massive processing.</v>
      </c>
      <c r="C24" s="45">
        <f t="shared" si="0"/>
        <v>2</v>
      </c>
      <c r="D24" s="57">
        <v>0</v>
      </c>
      <c r="E24" s="58" t="s">
        <v>619</v>
      </c>
      <c r="F24" s="59">
        <v>16</v>
      </c>
      <c r="G24" s="60" t="s">
        <v>162</v>
      </c>
      <c r="H24" s="60" t="s">
        <v>80</v>
      </c>
      <c r="I24" s="61" t="s">
        <v>788</v>
      </c>
      <c r="J24" s="62" t="s">
        <v>789</v>
      </c>
      <c r="K24" s="120" t="str">
        <f t="shared" si="1"/>
        <v>[TASK] Teach through a practical Elixir OTP -  project following the micro-learning methodology, acting as a supportive tutor, creating a project about  Develop a fault-tolerant job processing system utilizing DynamicSupervisor, Registry, and Task.async_stream/3. | [TOPICS USED] 
- Design state modeling patterns using Maps as state, Structs as state, nested state transitions, and process ownership design.
- Implement local registration and global basics using Local name: atom, Process.whereis/1, Process.register/2, and the :global module.
- Implement dynamic naming with The Registry Module using Registry.start_link/1, Registry.lookup/2, and {:via, Registry, ...} dynamic routing.
- Define Supervisor core and child specifications using use Supervisor, init/1, child_spec/1, shutdown timeouts vs :brutal_kill, and process ownership.
- Configure Supervisor strategies and tuning using :one_for_one, :one_for_all, :rest_for_one, and max_restarts/max_seconds.
- Architect Supervision trees and dynamic supervisors using parent-child cascades, DynamicSupervisor, start_child/2, and failure domains.
- Execute asynchronous tasks and bounded concurrency using Task.async/1, Task.await/2, Task.yield/2, and Task.async_stream/3 for safe massive processing. | [LEVEL] Advanced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[LANGUAGE] Spanish | [INLINE_PACKAGE_MANAGER] If the project requires an external package, you MUST use Standard mix.exs dependencies list (defp deps do [{:package_name, '~&gt; version'}] end) at the top. | [SCOPE_ARCHITECTURE_RULE] Rule: Build fault-tolerant OTP apps with DynamicSupervisor, Registry for process discovery, and handle_info/2 handlers. | [VISUAL_ARCHITECTURE_COMMENTS] 1. Use visual block tags separating OTP layers (e.g., '# --- CLIENT API ---', '# --- SERVER CALLBACKS ---') to map code to the planning phase. 2. Use comprehensive documentation using @moduledoc and @doc explaining process state APIs. 3. CRITICAL: NO comment or docstring line may exceed 80 characters in width. | [DATA ROBUSTNESS RULE] Handle real-world data safely | [CODE CONSTRAINTS] MUST be between 40–100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Spanish)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#16 | Stage 1 | Elixir OTP | 📊 Level: Advanced | 🌐 Coding5s.com
**Project:** PROJECT: Resilient Job Processor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24" s="103" t="str">
        <f t="shared" si="2"/>
        <v xml:space="preserve">[MENTOR_S1_SAFE_GUIDE] Act as 'The Safe Guide' (El Hermano Mayor) - a World-Class Elite Technical Mentor for Stage 1 Practice specializing in Elixir OTP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Develop a fault-tolerant job processing system utilizing DynamicSupervisor, Registry, and Task.async_stream/3.. Topics applied in this project: 
- Design state modeling patterns using Maps as state, Structs as state, nested state transitions, and process ownership design.
- Implement local registration and global basics using Local name: atom, Process.whereis/1, Process.register/2, and the :global module.
- Implement dynamic naming with The Registry Module using Registry.start_link/1, Registry.lookup/2, and {:via, Registry, ...} dynamic routing.
- Define Supervisor core and child specifications using use Supervisor, init/1, child_spec/1, shutdown timeouts vs :brutal_kill, and process ownership.
- Configure Supervisor strategies and tuning using :one_for_one, :one_for_all, :rest_for_one, and max_restarts/max_seconds.
- Architect Supervision trees and dynamic supervisors using parent-child cascades, DynamicSupervisor, start_child/2, and failure domains.
- Execute asynchronous tasks and bounded concurrency using Task.async/1, Task.await/2, Task.yield/2, and Task.async_stream/3 for safe massive processing.. Project objective: PROJECT: Resilient Job Processor | [LANGUAGE CONSISTENCY RULE] ALL output text MUST be written strictly in (Spanish). | [LANGUAGE SEED CONTEXT] Language Seed Not Necessary | [LANGUAGE] Spanish | [MENTOR_SCOPE_EXPECTATIONS] Expect complete OTP apps with DynamicSupervisor, clean separation of Client API/Server Callbacks, and handle_info/2 pattern matching. | [CODE_QUALITY_POLICIES] Code MUST be idiomatic Elixir. Use descriptive snake_case for functions/variables, and PascalCase for module aliases. Leverage proper tuple pattern matching (e.g., {:noreply, new_state}) and strict immutability within process boundaries. Reject process mailbox clogging, blocking callbacks, bypassing OTP behaviors, or modifying external global state. If using default arguments ('\\') with multiple function clauses or callbacks, you MUST declare a function head without a body.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OTP code, and fully functional Elixir OTP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#16 | Practice | Elixir OTP | 📊 Level: Advanced
**Project:** Develop a fault-tolerant job processing system utilizing DynamicSupervisor, Registry, and Task.async_stream/3.
---
 | [FOOTER RULE - STRICT] End your response with: '--- ⚡ *Coding5s Mentor System — Eliminating Epistemic Debt*' | </v>
      </c>
      <c r="M24" s="52">
        <v>0</v>
      </c>
      <c r="N24" s="102" t="str">
        <f t="shared" si="3"/>
        <v>[ROLE] Careless Elixir OTP Developer | [TASK] Generate debugging project in Elixir OTP | [PROJECT] Develop a fault-tolerant job processing system utilizing DynamicSupervisor, Registry, and Task.async_stream/3. | [TOPICS USED] 
- Design state modeling patterns using Maps as state, Structs as state, nested state transitions, and process ownership design.
- Implement local registration and global basics using Local name: atom, Process.whereis/1, Process.register/2, and the :global module.
- Implement dynamic naming with The Registry Module using Registry.start_link/1, Registry.lookup/2, and {:via, Registry, ...} dynamic routing.
- Define Supervisor core and child specifications using use Supervisor, init/1, child_spec/1, shutdown timeouts vs :brutal_kill, and process ownership.
- Configure Supervisor strategies and tuning using :one_for_one, :one_for_all, :rest_for_one, and max_restarts/max_seconds.
- Architect Supervision trees and dynamic supervisors using parent-child cascades, DynamicSupervisor, start_child/2, and failure domains.
- Execute asynchronous tasks and bounded concurrency using Task.async/1, Task.await/2, Task.yield/2, and Task.async_stream/3 for safe massive processing. | [LEVEL] Advanced | [OUTPUT] Only header, dataset summary or statement (if any), email intro, objective, expected output, broken code, and footer | [HEADER RULE - STRICT] You MUST start your entire response EXACTLY with this markdown block (do not print anything before it):
### 🚀 Project #16 | Stage 2 | Elixir OTP | 📊 Level: Advanced | 🌐 Coding5s.com
Project: PROJECT: Resilient Job Processor
---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[LANGUAGE CONSISTENCY RULE] ALL output text MUST be written strictly in the selected language (Spanish). This includes translating ALL structural labels requested in this prompt (like 'Project', 'Objective', 'Expected Output', 'Broken Code', 'From', 'To', 'Subject') into Spanish. Do NOT mix languages. Only code and technical identifiers remain unchanged | Telugu | [LANGUAGE SEED CONTEXT] Language Seed Not Necessary | [BUG RULE] Simulate a messy production environment. The project MUST contain EXACTLY 2–5 bugs. You MUST randomly select from a wide variety of real-world Elixir errors: 1. Syntax/Compile (e.g., missing 'end', incorrect pipe '|&gt;', TokenMissingError), 2. Logic (produces wrong output), AND 3. Runtime Exceptions (e.g., MatchError, FunctionClauseError, ArithmeticError, BadMapError).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Spanish with this EXACT format translated to Spanish: 'From: [Random Dev Name]' / 'To: [Insert my user name if you know it from context, otherwise use Elixir OTP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Spanish)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24" s="103" t="str">
        <f t="shared" si="4"/>
        <v xml:space="preserve">[MENTOR_S2_DETECTIVE] Act as 'The Analytical Partner' (El Detective con Café) - a World-Class Elite Technical Mentor for Stage 2 Debugging specializing in Elixir OTP.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Develop a fault-tolerant job processing system utilizing DynamicSupervisor, Registry, and Task.async_stream/3.. Topics involved: 
- Design state modeling patterns using Maps as state, Structs as state, nested state transitions, and process ownership design.
- Implement local registration and global basics using Local name: atom, Process.whereis/1, Process.register/2, and the :global module.
- Implement dynamic naming with The Registry Module using Registry.start_link/1, Registry.lookup/2, and {:via, Registry, ...} dynamic routing.
- Define Supervisor core and child specifications using use Supervisor, init/1, child_spec/1, shutdown timeouts vs :brutal_kill, and process ownership.
- Configure Supervisor strategies and tuning using :one_for_one, :one_for_all, :rest_for_one, and max_restarts/max_seconds.
- Architect Supervision trees and dynamic supervisors using parent-child cascades, DynamicSupervisor, start_child/2, and failure domains.
- Execute asynchronous tasks and bounded concurrency using Task.async/1, Task.await/2, Task.yield/2, and Task.async_stream/3 for safe massive processing.. Project objective: PROJECT: Resilient Job Processor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#16 | Debug | Elixir OTP | 📊 Level: Advanced
**Project:** Develop a fault-tolerant job processing system utilizing DynamicSupervisor, Registry, and Task.async_stream/3.
---
 | [PYTHON QUALITY RULE - STRICT] Code MUST be production-like, clean, and idiomatic Elixir. Use descriptive snake_case for variables and functions. Use pure functions and strict immutability. If using default arguments (\\\\) with multiple function clauses, you MUST declare a function head without a body to avoid compiler warnings.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OTP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OTP).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OTP code, and fully functional Elixir OTP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4" s="52">
        <v>0</v>
      </c>
      <c r="Q24" s="102" t="str">
        <f t="shared" si="5"/>
        <v>[ROLE] Tech Lead | [TASK] Assign incomplete project script | [PROJECT] Develop a fault-tolerant job processing system utilizing DynamicSupervisor, Registry, and Task.async_stream/3. | [TOPICS USED] 
- Design state modeling patterns using Maps as state, Structs as state, nested state transitions, and process ownership design.
- Implement local registration and global basics using Local name: atom, Process.whereis/1, Process.register/2, and the :global module.
- Implement dynamic naming with The Registry Module using Registry.start_link/1, Registry.lookup/2, and {:via, Registry, ...} dynamic routing.
- Define Supervisor core and child specifications using use Supervisor, init/1, child_spec/1, shutdown timeouts vs :brutal_kill, and process ownership.
- Configure Supervisor strategies and tuning using :one_for_one, :one_for_all, :rest_for_one, and max_restarts/max_seconds.
- Architect Supervision trees and dynamic supervisors using parent-child cascades, DynamicSupervisor, start_child/2, and failure domains.
- Execute asynchronous tasks and bounded concurrency using Task.async/1, Task.await/2, Task.yield/2, and Task.async_stream/3 for safe massive processing. | [LEVEL] Advanced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this markdown block (do not print anything before it):
### 🚀 Project #16 | Stage 3 | Elixir OTP | 📊 Level: Advanced | 🌐 Coding5s.com
**Project:** PROJECT: Resilient Job Processor
---
 | [EXTERNAL_PACKAGE_PROTOCOL] Use Mix.install([{:package_name, '~&gt; version'}]) at the top if needed. | [CHALLENGE_CONSTRAINTS_POLICY] MUST be between 40–100 lines of EXECUTABLE base code (STRICT: Do NOT count comments or TODOs). Multi-step flow.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[INTRO RULE] Intro MUST be a dynamically generated email in Spanish with this EXACT format translated to Spanish: 'From: [Generate NEW random full name] - Tech Lead' / 'To: [Insert my user name if known, else Junior] - Elixir OTP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24" s="103" t="str">
        <f t="shared" si="6"/>
        <v xml:space="preserve">[MENTOR_S3_BUILDER] Act as 'The Logical Scaffold' (El Maestro de Obra) - a World-Class Elite Technical Mentor for Stage 3 Code Completion specializing in Elixir OTP.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Develop a fault-tolerant job processing system utilizing DynamicSupervisor, Registry, and Task.async_stream/3.. Topics involved: 
- Design state modeling patterns using Maps as state, Structs as state, nested state transitions, and process ownership design.
- Implement local registration and global basics using Local name: atom, Process.whereis/1, Process.register/2, and the :global module.
- Implement dynamic naming with The Registry Module using Registry.start_link/1, Registry.lookup/2, and {:via, Registry, ...} dynamic routing.
- Define Supervisor core and child specifications using use Supervisor, init/1, child_spec/1, shutdown timeouts vs :brutal_kill, and process ownership.
- Configure Supervisor strategies and tuning using :one_for_one, :one_for_all, :rest_for_one, and max_restarts/max_seconds.
- Architect Supervision trees and dynamic supervisors using parent-child cascades, DynamicSupervisor, start_child/2, and failure domains.
- Execute asynchronous tasks and bounded concurrency using Task.async/1, Task.await/2, Task.yield/2, and Task.async_stream/3 for safe massive processing.. Project objective: PROJECT: Resilient Job Processor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#16 | Complete | Elixir OTP | 📊 Level: Advanced
**Project:** Develop a fault-tolerant job processing system utilizing DynamicSupervisor, Registry, and Task.async_stream/3.
---
 | [PYTHON QUALITY RULE - STRICT] Code MUST be explicitly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4" s="52">
        <v>0</v>
      </c>
      <c r="T24" s="102" t="str">
        <f t="shared" si="7"/>
        <v>[ROLE] Tech Lead | [TASK] Provide a messy but functional project for refactoring | [PROJECT] Develop a fault-tolerant job processing system utilizing DynamicSupervisor, Registry, and Task.async_stream/3. | [TOPICS USED] 
- Design state modeling patterns using Maps as state, Structs as state, nested state transitions, and process ownership design.
- Implement local registration and global basics using Local name: atom, Process.whereis/1, Process.register/2, and the :global module.
- Implement dynamic naming with The Registry Module using Registry.start_link/1, Registry.lookup/2, and {:via, Registry, ...} dynamic routing.
- Define Supervisor core and child specifications using use Supervisor, init/1, child_spec/1, shutdown timeouts vs :brutal_kill, and process ownership.
- Configure Supervisor strategies and tuning using :one_for_one, :one_for_all, :rest_for_one, and max_restarts/max_seconds.
- Architect Supervision trees and dynamic supervisors using parent-child cascades, DynamicSupervisor, start_child/2, and failure domains.
- Execute asynchronous tasks and bounded concurrency using Task.async/1, Task.await/2, Task.yield/2, and Task.async_stream/3 for safe massive processing. | [LEVEL] Advanced | [PERSONA RULE] Act as a Tech Lead. A junior wrote this working but messy code. Tone: professional but exhausted | [HEADER RULE - STRICT] You MUST start your entire response EXACTLY with this markdown block (do not print anything before it):
### 🚀 Project #16 | Stage 4 | Elixir OTP | 📊 Level: Advanced | 🌐 Coding5s.com
**Project:** PROJECT: Resilient Job Processor
---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Spanish) IMMEDI बुन्देल IMMEDIATELY AFTER THE HEADER, PURGE any memory of previous files, and use realistic dummy data | [INTRO RULE] The intro MUST be an email in Spanish with this EXACT format translated to Spanish: 'From: [Tech Lead Name]' / 'To: [Insert my user name if known, else Elixir OTP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24" s="103" t="str">
        <f t="shared" si="8"/>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Elixir OTP', 'limpia este desastre'). Match the cultural vibe of a senior who is tired of seeing bad code. | [CONTEXT] You are performing a Code Review for a PROJECT: Develop a fault-tolerant job processing system utilizing DynamicSupervisor, Registry, and Task.async_stream/3.. Topics involved: 
- Design state modeling patterns using Maps as state, Structs as state, nested state transitions, and process ownership design.
- Implement local registration and global basics using Local name: atom, Process.whereis/1, Process.register/2, and the :global module.
- Implement dynamic naming with The Registry Module using Registry.start_link/1, Registry.lookup/2, and {:via, Registry, ...} dynamic routing.
- Define Supervisor core and child specifications using use Supervisor, init/1, child_spec/1, shutdown timeouts vs :brutal_kill, and process ownership.
- Configure Supervisor strategies and tuning using :one_for_one, :one_for_all, :rest_for_one, and max_restarts/max_seconds.
- Architect Supervision trees and dynamic supervisors using parent-child cascades, DynamicSupervisor, start_child/2, and failure domains.
- Execute asynchronous tasks and bounded concurrency using Task.async/1, Task.await/2, Task.yield/2, and Task.async_stream/3 for safe massive processing.. Project objective: PROJECT: Resilient Job Processor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#16 | Refactor | Elixir OTP | 📊 Level: Advanced
**Project:** Develop a fault-tolerant job processing system utilizing DynamicSupervisor, Registry, and Task.async_stream/3.
---
 | [PYTHON QUALITY RULE - STRICT] Code MUST be explicitly compliant with language-standard style guides. Use descriptive snake_case for variables and functions. Avoid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OTP built-in, standard library module, or good Elixir OTP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OTP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4" s="52">
        <v>0</v>
      </c>
      <c r="W24" s="87" t="str">
        <f t="shared" si="9"/>
        <v>[ROLE] Tech Product Manager assigning a Elixir OTP Jira Ticket | [TASK] Provide a guided project implementation with full solution | [PROJECT] Develop a fault-tolerant job processing system utilizing DynamicSupervisor, Registry, and Task.async_stream/3. | [TOPICS USED] 
- Design state modeling patterns using Maps as state, Structs as state, nested state transitions, and process ownership design.
- Implement local registration and global basics using Local name: atom, Process.whereis/1, Process.register/2, and the :global module.
- Implement dynamic naming with The Registry Module using Registry.start_link/1, Registry.lookup/2, and {:via, Registry, ...} dynamic routing.
- Define Supervisor core and child specifications using use Supervisor, init/1, child_spec/1, shutdown timeouts vs :brutal_kill, and process ownership.
- Configure Supervisor strategies and tuning using :one_for_one, :one_for_all, :rest_for_one, and max_restarts/max_seconds.
- Architect Supervision trees and dynamic supervisors using parent-child cascades, DynamicSupervisor, start_child/2, and failure domains.
- Execute asynchronous tasks and bounded concurrency using Task.async/1, Task.await/2, Task.yield/2, and Task.async_stream/3 for safe massive processing. | [LEVEL] Advanced | [PERSONA RULE] Act as a professional Tech Product Manager defining a project ticket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Project #16 | Stage 5 | Elixir OTP | 📊 Level: Advanced | 🌐 Coding5s.com
**Project:** PROJECT: Resilient Job Processor
---
 | [LANGUAGE CONSISTENCY RULE] ALL output MUST be strictly in Spanish.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Spanish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Spanish):
Ticket #[Random 5-digit ID]
From: [Generate Name] - [Department]
To: Dev Team
Subject: [Ticket Subject]
Hello Dev Team, this is [Name] from [Department]. [Context paragraph].
(Tech Product Manager Notes):
From: [Generate TPM Name] - Tech Product Manager
To: [Insert my user name if known, otherwise use 'Elixir OTP Dev']
Subject: Assignment Details
Hello [Insert my user name if known, otherwise use 'Elixir OTP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Spanish)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24" s="103" t="str">
        <f t="shared" si="10"/>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Develop a fault-tolerant job processing system utilizing DynamicSupervisor, Registry, and Task.async_stream/3.. Topics integrated: 
- Design state modeling patterns using Maps as state, Structs as state, nested state transitions, and process ownership design.
- Implement local registration and global basics using Local name: atom, Process.whereis/1, Process.register/2, and the :global module.
- Implement dynamic naming with The Registry Module using Registry.start_link/1, Registry.lookup/2, and {:via, Registry, ...} dynamic routing.
- Define Supervisor core and child specifications using use Supervisor, init/1, child_spec/1, shutdown timeouts vs :brutal_kill, and process ownership.
- Configure Supervisor strategies and tuning using :one_for_one, :one_for_all, :rest_for_one, and max_restarts/max_seconds.
- Architect Supervision trees and dynamic supervisors using parent-child cascades, DynamicSupervisor, start_child/2, and failure domains.
- Execute asynchronous tasks and bounded concurrency using Task.async/1, Task.await/2, Task.yield/2, and Task.async_stream/3 for safe massive processing.. Business Goal: PROJECT: Resilient Job Processor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#16 | Extend | Elixir OTP | 📊 Level: Advanced
**Project:** Develop a fault-tolerant job processing system utilizing DynamicSupervisor, Registry, and Task.async_stream/3.
---
 | [CODE_QUALITY_PROTOCOL] Code MUST be explicitly compliant with language-standard style guides. Use descriptive snake_case for variables and functions. NEVER use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4" s="52">
        <v>0</v>
      </c>
      <c r="Z24" s="56" t="str">
        <f t="shared" si="11"/>
        <v>[TASK] Teach through a practical Elixir OTP -  project following the micro-learning methodology, acting as a supportive tutor, creating a project about  Develop a fault-tolerant job processing system utilizing DynamicSupervisor, Registry, and Task.async_stream/3. | [TOPICS USED] 
- Design state modeling patterns using Maps as state, Structs as state, nested state transitions, and process ownership design.
- Implement local registration and global basics using Local name: atom, Process.whereis/1, Process.register/2, and the :global module.
- Implement dynamic naming with The Registry Module using Registry.start_link/1, Registry.lookup/2, and {:via, Registry, ...} dynamic routing.
- Define Supervisor core and child specifications using use Supervisor, init/1, child_spec/1, shutdown timeouts vs :brutal_kill, and process ownership.
- Configure Supervisor strategies and tuning using :one_for_one, :one_for_all, :rest_for_one, and max_restarts/max_seconds.
- Architect Supervision trees and dynamic supervisors using parent-child cascades, DynamicSupervisor, start_child/2, and failure domains.
- Execute asynchronous tasks and bounded concurrency using Task.async/1, Task.await/2, Task.yield/2, and Task.async_stream/3 for safe massive processing. | [LEVEL] Advanced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[LANGUAGE] Spanish | [INLINE_PACKAGE_MANAGER] If the project requires an external package, you MUST use Standard mix.exs dependencies list (defp deps do [{:package_name, '~&gt; version'}] end) at the top. | [SCOPE_ARCHITECTURE_RULE] Rule: Build fault-tolerant OTP apps with DynamicSupervisor, Registry for process discovery, and handle_info/2 handlers. | [VISUAL_ARCHITECTURE_COMMENTS] 1. Use visual block tags separating OTP layers (e.g., '# --- CLIENT API ---', '# --- SERVER CALLBACKS ---') to map code to the planning phase. 2. Use comprehensive documentation using @moduledoc and @doc explaining process state APIs. 3. CRITICAL: NO comment or docstring line may exceed 80 characters in width. | [DATA ROBUSTNESS RULE] Handle real-world data safely | [CODE CONSTRAINTS] MUST be between 40–100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Spanish)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#16 | Stage 1 | Elixir OTP | 📊 Level: Advanced | 🌐 Coding5s.com
**Project:** PROJECT: Resilient Job Processor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24" s="56" t="str">
        <f t="shared" si="12"/>
        <v>[ROLE] Careless Elixir OTP Developer | [TASK] Generate debugging project in Elixir OTP | [PROJECT] Develop a fault-tolerant job processing system utilizing DynamicSupervisor, Registry, and Task.async_stream/3. | [TOPICS USED] 
- Design state modeling patterns using Maps as state, Structs as state, nested state transitions, and process ownership design.
- Implement local registration and global basics using Local name: atom, Process.whereis/1, Process.register/2, and the :global module.
- Implement dynamic naming with The Registry Module using Registry.start_link/1, Registry.lookup/2, and {:via, Registry, ...} dynamic routing.
- Define Supervisor core and child specifications using use Supervisor, init/1, child_spec/1, shutdown timeouts vs :brutal_kill, and process ownership.
- Configure Supervisor strategies and tuning using :one_for_one, :one_for_all, :rest_for_one, and max_restarts/max_seconds.
- Architect Supervision trees and dynamic supervisors using parent-child cascades, DynamicSupervisor, start_child/2, and failure domains.
- Execute asynchronous tasks and bounded concurrency using Task.async/1, Task.await/2, Task.yield/2, and Task.async_stream/3 for safe massive processing. | [LEVEL] Advanced | [OUTPUT] Only header, dataset summary or statement (if any), email intro, objective, expected output, broken code, and footer | [HEADER RULE - STRICT] You MUST start your entire response EXACTLY with this markdown block (do not print anything before it):
### 🚀 Project #16 | Stage 2 | Elixir OTP | 📊 Level: Advanced | 🌐 Coding5s.com
Project: PROJECT: Resilient Job Processor
---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[LANGUAGE CONSISTENCY RULE] ALL output text MUST be written strictly in the selected language (Spanish). This includes translating ALL structural labels requested in this prompt (like 'Project', 'Objective', 'Expected Output', 'Broken Code', 'From', 'To', 'Subject') into Spanish. Do NOT mix languages. Only code and technical identifiers remain unchanged | Telugu | [LANGUAGE SEED CONTEXT] Language Seed Not Necessary | [BUG RULE] Simulate a messy production environment. The project MUST contain EXACTLY 2–5 bugs. You MUST randomly select from a wide variety of real-world Elixir errors: 1. Syntax/Compile (e.g., missing 'end', incorrect pipe '|&gt;', TokenMissingError), 2. Logic (produces wrong output), AND 3. Runtime Exceptions (e.g., MatchError, FunctionClauseError, ArithmeticError, BadMapError).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Spanish with this EXACT format translated to Spanish: 'From: [Random Dev Name]' / 'To: [Insert my user name if you know it from context, otherwise use Elixir OTP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Spanish)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24" s="56" t="str">
        <f t="shared" si="13"/>
        <v>[ROLE] Tech Lead | [TASK] Assign incomplete project script | [PROJECT] Develop a fault-tolerant job processing system utilizing DynamicSupervisor, Registry, and Task.async_stream/3. | [TOPICS USED] 
- Design state modeling patterns using Maps as state, Structs as state, nested state transitions, and process ownership design.
- Implement local registration and global basics using Local name: atom, Process.whereis/1, Process.register/2, and the :global module.
- Implement dynamic naming with The Registry Module using Registry.start_link/1, Registry.lookup/2, and {:via, Registry, ...} dynamic routing.
- Define Supervisor core and child specifications using use Supervisor, init/1, child_spec/1, shutdown timeouts vs :brutal_kill, and process ownership.
- Configure Supervisor strategies and tuning using :one_for_one, :one_for_all, :rest_for_one, and max_restarts/max_seconds.
- Architect Supervision trees and dynamic supervisors using parent-child cascades, DynamicSupervisor, start_child/2, and failure domains.
- Execute asynchronous tasks and bounded concurrency using Task.async/1, Task.await/2, Task.yield/2, and Task.async_stream/3 for safe massive processing. | [LEVEL] Advanced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this markdown block (do not print anything before it):
### 🚀 Project #16 | Stage 3 | Elixir OTP | 📊 Level: Advanced | 🌐 Coding5s.com
**Project:** PROJECT: Resilient Job Processor
---
 | [EXTERNAL_PACKAGE_PROTOCOL] Use Mix.install([{:package_name, '~&gt; version'}]) at the top if needed. | [CHALLENGE_CONSTRAINTS_POLICY] MUST be between 40–100 lines of EXECUTABLE base code (STRICT: Do NOT count comments or TODOs). Multi-step flow.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[INTRO RULE] Intro MUST be a dynamically generated email in Spanish with this EXACT format translated to Spanish: 'From: [Generate NEW random full name] - Tech Lead' / 'To: [Insert my user name if known, else Junior] - Elixir OTP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24" s="56" t="str">
        <f t="shared" si="14"/>
        <v>[ROLE] Tech Lead | [TASK] Provide a messy but functional project for refactoring | [PROJECT] Develop a fault-tolerant job processing system utilizing DynamicSupervisor, Registry, and Task.async_stream/3. | [TOPICS USED] 
- Design state modeling patterns using Maps as state, Structs as state, nested state transitions, and process ownership design.
- Implement local registration and global basics using Local name: atom, Process.whereis/1, Process.register/2, and the :global module.
- Implement dynamic naming with The Registry Module using Registry.start_link/1, Registry.lookup/2, and {:via, Registry, ...} dynamic routing.
- Define Supervisor core and child specifications using use Supervisor, init/1, child_spec/1, shutdown timeouts vs :brutal_kill, and process ownership.
- Configure Supervisor strategies and tuning using :one_for_one, :one_for_all, :rest_for_one, and max_restarts/max_seconds.
- Architect Supervision trees and dynamic supervisors using parent-child cascades, DynamicSupervisor, start_child/2, and failure domains.
- Execute asynchronous tasks and bounded concurrency using Task.async/1, Task.await/2, Task.yield/2, and Task.async_stream/3 for safe massive processing. | [LEVEL] Advanced | [PERSONA RULE] Act as a Tech Lead. A junior wrote this working but messy code. Tone: professional but exhausted | [HEADER RULE - STRICT] You MUST start your entire response EXACTLY with this markdown block (do not print anything before it):
### 🚀 Project #16 | Stage 4 | Elixir OTP | 📊 Level: Advanced | 🌐 Coding5s.com
**Project:** PROJECT: Resilient Job Processor
---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Spanish) IMMEDI बुन्देल IMMEDIATELY AFTER THE HEADER, PURGE any memory of previous files, and use realistic dummy data | [INTRO RULE] The intro MUST be an email in Spanish with this EXACT format translated to Spanish: 'From: [Tech Lead Name]' / 'To: [Insert my user name if known, else Elixir OTP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24" s="56" t="str">
        <f t="shared" si="15"/>
        <v>[ROLE] Tech Product Manager assigning a Elixir OTP Jira Ticket | [TASK] Provide a guided project implementation with full solution | [PROJECT] Develop a fault-tolerant job processing system utilizing DynamicSupervisor, Registry, and Task.async_stream/3. | [TOPICS USED] 
- Design state modeling patterns using Maps as state, Structs as state, nested state transitions, and process ownership design.
- Implement local registration and global basics using Local name: atom, Process.whereis/1, Process.register/2, and the :global module.
- Implement dynamic naming with The Registry Module using Registry.start_link/1, Registry.lookup/2, and {:via, Registry, ...} dynamic routing.
- Define Supervisor core and child specifications using use Supervisor, init/1, child_spec/1, shutdown timeouts vs :brutal_kill, and process ownership.
- Configure Supervisor strategies and tuning using :one_for_one, :one_for_all, :rest_for_one, and max_restarts/max_seconds.
- Architect Supervision trees and dynamic supervisors using parent-child cascades, DynamicSupervisor, start_child/2, and failure domains.
- Execute asynchronous tasks and bounded concurrency using Task.async/1, Task.await/2, Task.yield/2, and Task.async_stream/3 for safe massive processing. | [LEVEL] Advanced | [PERSONA RULE] Act as a professional Tech Product Manager defining a project ticket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Project #16 | Stage 5 | Elixir OTP | 📊 Level: Advanced | 🌐 Coding5s.com
**Project:** PROJECT: Resilient Job Processor
---
 | [LANGUAGE CONSISTENCY RULE] ALL output MUST be strictly in Spanish.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Spanish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Spanish):
Ticket #[Random 5-digit ID]
From: [Generate Name] - [Department]
To: Dev Team
Subject: [Ticket Subject]
Hello Dev Team, this is [Name] from [Department]. [Context paragraph].
(Tech Product Manager Notes):
From: [Generate TPM Name] - Tech Product Manager
To: [Insert my user name if known, otherwise use 'Elixir OTP Dev']
Subject: Assignment Details
Hello [Insert my user name if known, otherwise use 'Elixir OTP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Spanish)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24" s="40" t="s">
        <v>131</v>
      </c>
      <c r="AF24" s="40" t="s">
        <v>132</v>
      </c>
      <c r="AG24" s="40" t="s">
        <v>133</v>
      </c>
      <c r="AH24" s="56" t="str">
        <f t="shared" si="16"/>
        <v/>
      </c>
      <c r="AI24" s="54"/>
      <c r="AJ24" s="54"/>
      <c r="AK24" s="54">
        <v>16</v>
      </c>
      <c r="AL24" s="54" t="s">
        <v>134</v>
      </c>
      <c r="AM24" s="54" t="s">
        <v>135</v>
      </c>
    </row>
    <row r="25" spans="1:39">
      <c r="A25" s="95">
        <v>18</v>
      </c>
      <c r="B25" s="45" t="str" cm="1">
        <f t="array" ref="B25">IF(H25="PROJECT", CHAR(10) &amp; "- " &amp; _xlfn.TEXTJOIN(CHAR(10) &amp; "- ", TRUE, _xlfn._xlws.FILTER($I$9:$I$1000, ($C$9:$C$1000=C25) * ($H$9:$H$1000="Topic"))), "")</f>
        <v/>
      </c>
      <c r="C25" s="45">
        <f t="shared" si="0"/>
        <v>3</v>
      </c>
      <c r="D25" s="46">
        <v>3</v>
      </c>
      <c r="E25" s="58" t="s">
        <v>48</v>
      </c>
      <c r="F25" s="48">
        <v>17</v>
      </c>
      <c r="G25" s="49" t="s">
        <v>162</v>
      </c>
      <c r="H25" s="49" t="s">
        <v>50</v>
      </c>
      <c r="I25" s="50" t="s">
        <v>790</v>
      </c>
      <c r="J25" s="51" t="s">
        <v>791</v>
      </c>
      <c r="K25" s="120" t="str">
        <f t="shared" si="1"/>
        <v xml:space="preserve">[ROLE] Friendly tutor specializing in Elixir OTP | [TOPIC] Manage unlinked tasks and task supervision using Task.start/1, Task.Supervisor, and Task.Supervisor.async_nolink/2. | [LEVEL] Advanced | [COUNT] 3 examples | [LIBRARY BEING LEARNED]  | [ECOSYSTEM ORIENTATION RULE] If a module or ecosystem like GenServer, Supervisor, Registry, or DynamicSupervisor is specified in , you are CRITICALLY FORBIDDEN from using manual process linking (spawn/1, spawn_link/1) outside standard OTP behaviors. You MUST enforce the concurrent asynchronous processes and proper Supervisor tree state isolation and data structures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18 lines of EXECUTABLE code (STRICT: Do NOT count comments or blank lines). - NEVER exceed this limit. | [FUNCTION RULE] Rule: stateful GenServer state or external message passing | [CODE_CONSTRAINTS_RULE] Each example MUST: - Use stateful GenServer state or external message passing - Print steps &amp; result via Logger.info/debug or IO.inspect inside isolated process callbacks - MAX 18 executable lines (comments/blanks excluded) - NEVER exceed limit. | [I_O_PARADIGM] Use standard OTP message passing via send/2 or GenServer.call/3 and gracefully handle {:reply, response, new_state}, {:noreply, new_state}, and {:ok, state} tuples when applicable. | [INLINE_PACKAGE_MANAGER] If using external packages, use Standard mix.exs dependencies list (defp deps do [{:package_name, '~&gt; version'}] end) at the top of the code block. Assume no project configuration file exists. | [TESTING_FRAMEWORK_LIMITS] For ExUnit with isolated async processes (use ExUnit.Case, async: true), NEVER use manual process link hacking outside of standard OTP abstractions. Use standard test macros and assert_receive/assert_received for message validation, as manual process link hacking outside of standard OTP abstractions fail in standalone execution environments. | [CODE QUALITY RULE] Code MUST be clean, readable, educational, executable, and produce correct results. Handle missing, malformed, or inconsistent data safely, utilizing pattern matching if possible. | [COMMENT CONSTRAINTS] Code MUST include sufficient inline comments explaining WHAT the code does AND WHY it is written that way. Density: Beginner = high, Intermediate = medium, Advanced = 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#17 | Stage 1 📖 Practice | Elixir OTP | 📊 Level: Advanced | 🌐 Coding5s.com
**Concept:** Unlinked Tasks &amp; Task Supervision (Task.start/1, Task.Supervisor, Task.Supervisor.async_nolink/2)
---
 | [INTRO RULE] Include a short tutor-style sentence in Spanish before the analogy, followed by this EXACT instruction block translated to Spanish: '🚨 **Your objective in this lesson:** To truly learn the new  Elixir OTP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[PERSONA RULE] Act as a friendly, clear tutor | [TASK] Teach and explain concepts clearly with correct code examples | [OUTPUT CONTRACT] EXACTLY 3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Evaluate ONLY current attachments. IF FILE ATTACHED: Acknowledge it, place Dataset Summary (Type, Structure, Columns, Data Types) IMMEDIATELY AFTER HEADER, and strictly use it for ALL examples. IF NO FILE ATTACHED: Explicitly print 'No synthetic data file was provided for this topic. Generating dummy data.' (translate to Spanish), generate minimal dummy data internally, and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5" s="103" t="str">
        <f t="shared" si="2"/>
        <v xml:space="preserve">[MENTOR_S1_SAFE_GUIDE] Act as 'The Safe Guide' (El Hermano Mayor) - a World-Class Elite Technical Mentor for Stage 1 Practice specializing in Elixir OTP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Manage unlinked tasks and task supervision using Task.start/1, Task.Supervisor, and Task.Supervisor.async_nolink/2.. Topic details: Unlinked Tasks &amp; Task Supervision (Task.start/1, Task.Supervisor, Task.Supervisor.async_nolink/2) | [LANGUAGE CONSISTENCY RULE] ALL output text MUST be written strictly in (Spanish). | [LANGUAGE SEED CONTEXT] Language Seed Not Necessary | [LANGUAGE] Spanish | [MENTOR_SCOPE_EXPECTATIONS] Expect complete OTP apps with DynamicSupervisor, clean separation of Client API/Server Callbacks, and handle_info/2 pattern matching. | [CODE_QUALITY_POLICIES] Code MUST be idiomatic Elixir. Use descriptive snake_case for functions/variables, and PascalCase for module aliases. Leverage proper tuple pattern matching (e.g., {:noreply, new_state}) and strict immutability within process boundaries. Reject process mailbox clogging, blocking callbacks, bypassing OTP behaviors, or modifying external global state. If using default arguments ('\\') with multiple function clauses or callbacks, you MUST declare a function head without a body.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OTP code, and fully functional Elixir OTP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#17 | Practice | Elixir OTP | 📊 Level: Advanced
**Topic:** Manage unlinked tasks and task supervision using Task.start/1, Task.Supervisor, and Task.Supervisor.async_nolink/2.
---
 | [FOOTER RULE - STRICT] End your response with: '--- ⚡ *Coding5s Mentor System — Eliminating Epistemic Debt*' | </v>
      </c>
      <c r="M25" s="53">
        <v>0</v>
      </c>
      <c r="N25" s="102" t="str">
        <f t="shared" si="3"/>
        <v>[ROLE] Careless Elixir OTP Developer | [TASK] Generate debugging challenges in Elixir OTP | | [TOPIC] Manage unlinked tasks and task supervision using Task.start/1, Task.Supervisor, and Task.Supervisor.async_nolink/2. | | [LEVEL] Advanced | | [COUNT] 3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Topic #17 | Stage 2 🐛 Debug | Elixir OTP | 📊 Level: Advanced | 🌐 Coding5s.com
Concept: Unlinked Tasks &amp; Task Supervision (Task.start/1, Task.Supervisor, Task.Supervisor.async_nolink/2)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Use standard Elixir File module and gracefully handle {:ok, data} and {:error, reason} tuples | Environment variables may be used but bugs MUST exist ONLY in code logic, NEVER in config files | If env/config is used, MUST include: 1. Instructional sentence 2. File content in markdown code block 3. BEFORE the broken code (Support files MUST contain NO bugs) | [EXUNIT RULE] If the topic involves ExUnit or Testing, NEVER use doctests (@doc iex&gt;). You MUST use standard test macros (test 'test name' do) and assert statements. Doctests cause errors in standalone .exs scripts. | [HEX DEPENDENCIES RULE] If the exercise requires using an external Hex package in a standalone script, you MUST use Mix.install([{:package_name, '~&gt; version'}]) at the very top of the code block. Assume there is NO mix.exs file available in the user's environment. | [CODE CONSTRAINTS] Each challenge MUST include: - Internal data OR dataset usage - At least 1 Enum/List operation or recursion (when applicable) - At least 1 IO.puts or IO.inspect statement - 15–35 lines of EXECUTABLE broken code per example (STRICT: Do NOT count blank lines). Use pure functions and immutability. | All challenges MUST have similar complexity and length. | [INTRO RULE] The intro MUST be a dynamically generated, urgent, unprofessional email in Spanish with this EXACT format: '📥 From: [Random Dev Name]' / '📤 To: [Insert my user name if you know it from context, otherwise use Elixir OTP Developer]' / 'Subject: [Generate a funny, desperate Subject]'. Body MUST be unique every time. Do NOT copy this example exactly, but use this vibe: 'Ay, no sé ni qué hora es, pero aquí tienes estas cosas que apenas funcionan. Arréglalo tú si tanto te importa el orden. No consigo que corran. Ayúdame y luego te invito al almuerzo. El jefe urge...'. Make it short, informal, and funny for the student. IMMEDIATELY AFTER the email body, you MUST include this exact instruction block translated to Spanish: '🚨 Your objective in this lesson: You must copy the code blocks from each Challenge exactly as they are and paste them into your IDE. Then you have to fix all the errors in the code until you achieve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three dimensions: 1. Syntax Errors (e.g., mismatched delimiters, invalid indentation, invalid syntax, SyntaxError). 2. Runtime Exceptions (e.g., TypeError when mixing types, ValueError with invalid arguments, IndexError on collections, KeyError on dictionaries, ZeroDivisionError). 3. Logic Errors (e.g., incorrect Boolean logic, off-by-one errors in loops, wrong mathematical formulas, variable shadowing, or incorrect use of mutable defaults). Errors MUST be realistic and mimic common mistakes made by junior developers in production-like environments. | [EXECUTION RULE] Code must fail due to syntax errors, runtime exceptions, or produce incorrect output | [DATA RULE - STRICT] A dataset MAY be provided in THIS CURRENT PROMPT. If a NEW dataset IS attached to THIS prompt, you MUST: 1. Detect and acknowledge it BEFORE challenges 2. Explicitly state file type 3. Describe structure 4. List columns or fields 5. Infer data types 6. Display dataset summary IMMEDIATELY AFTER THE HEADER 7. State ALL challenges use it 8. Use it directly (DO NOT recreate data). If NO dataset is provided IN THIS CURRENT PROMPT: - STRICT: You MUST explicitly state 'No synthetic data file was provided. Generating dummy data.' (translate this phrase to Spanish) - Generate minimal internal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5" s="103" t="str">
        <f t="shared" si="4"/>
        <v xml:space="preserve">[MENTOR_S2_DETECTIVE] Act as 'The Analytical Partner' (El Detective con Café) - a World-Class Elite Technical Mentor for Stage 2 Debugging specializing in Elixir OTP.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Manage unlinked tasks and task supervision using Task.start/1, Task.Supervisor, and Task.Supervisor.async_nolink/2.. Topic details: Unlinked Tasks &amp; Task Supervision (Task.start/1, Task.Supervisor, Task.Supervisor.async_nolink/2)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#17 | Debug | Elixir OTP | 📊 Level: Advanced
**Topic:** Manage unlinked tasks and task supervision using Task.start/1, Task.Supervisor, and Task.Supervisor.async_nolink/2.
---
 | [PYTHON QUALITY RULE - STRICT] Code MUST be production-like, clean, and idiomatic Elixir. Use descriptive snake_case for variables and functions. Use pure functions and strict immutability. If using default arguments (\\\\) with multiple function clauses, you MUST declare a function head without a body to avoid compiler warnings.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OTP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OTP).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OTP code, and fully functional Elixir OTP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5" s="53">
        <v>0</v>
      </c>
      <c r="Q25" s="102" t="str">
        <f t="shared" si="5"/>
        <v>[ROLE] Tech Lead | [TASK] Assign incomplete Elixir OTP script challenges | [TOPIC] Manage unlinked tasks and task supervision using Task.start/1, Task.Supervisor, and Task.Supervisor.async_nolink/2. | [LEVEL] Advanced | [COUNT] 3 challenges | [LIBRARY BEING LEARNED]  | [ECOSYSTEM ORIENTATION RULE] If a module or ecosystem like Explorer or Nx is specified in [LIBRARY BEING LEARNED], you are CRITICALLY FORBIDDEN from using manual recursion or nested loop implementations. You MUST enforce the native, optimized data structures and vectorized operations of that specific library. | [HEADER RULE - STRICT] You MUST start your entire response EXACTLY with this markdown block (do not print anything before it):
### 🔹 Topic #17 | Stage 3 🧩 Complete | Elixir OTP | 📊 Level: Advanced | 🌐 Coding5s.com
**Concept:** Unlinked Tasks &amp; Task Supervision (Task.start/1, Task.Supervisor, Task.Supervisor.async_nolink/2)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[EXTERNAL_PACKAGE_PROTOCOL] If the exercise requires using an external Hex package in a standalone script, you MUST use Mix.install([{:package_name, '~&gt; version'}]) at the very top of the code block. | [TESTING_FRAMEWORK_PROTOCOL] If the topic involves ExUnit or Testing, NEVER use doctests (@doc iex&gt;). You MUST use standard test macros (test 'test name' do) and assert statements. | [CHALLENGE_CONSTRAINTS_POLICY] Each challenge MUST include: - Internal data OR dataset usage - 15–35 lines of EXECUTABLE base code (STRICT: Do NOT count comments or TODOs). - Length MUST vary across challenges. Use pure functions and immutability.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Elixir OTP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Manage unlinked tasks and task supervision using Task.start/1, Task.Supervisor, and Task.Supervisor.async_nolink/2..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5" s="103" t="str">
        <f t="shared" si="6"/>
        <v xml:space="preserve">[MENTOR_S3_BUILDER] Act as 'The Logical Scaffold' (El Maestro de Obra) - a World-Class Elite Technical Mentor for Stage 3 Code Completion specializing in Elixir OTP.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Manage unlinked tasks and task supervision using Task.start/1, Task.Supervisor, and Task.Supervisor.async_nolink/2.. Topic details: Unlinked Tasks &amp; Task Supervision (Task.start/1, Task.Supervisor, Task.Supervisor.async_nolink/2)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#17 | Complete | Elixir OTP | 📊 Level: Advanced
**Topic:** Manage unlinked tasks and task supervision using Task.start/1, Task.Supervisor, and Task.Supervisor.async_nolink/2.
---
 | [PYTHON QUALITY RULE - STRICT] Code MUST be explicitly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5" s="53">
        <v>0</v>
      </c>
      <c r="T25" s="102" t="str">
        <f t="shared" si="7"/>
        <v>[ROLE] Tech Lead | [TASK] Provide intentionally messy but functional code for learning debugging and improvement | [TOPIC] Manage unlinked tasks and task supervision using Task.start/1, Task.Supervisor, and Task.Supervisor.async_nolink/2. | [LEVEL] Advanced | [COUNT] 3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#17 | Stage 4 🧹 Refactor | Elixir OTP | 📊 Level: Advanced | 🌐 Coding5s.com
**Concept:** Unlinked Tasks &amp; Task Supervision (Task.start/1, Task.Supervisor, Task.Supervisor.async_nolink/2)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Elixir OTP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5" s="103" t="str">
        <f t="shared" si="8"/>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Elixir OTP', 'limpia este desastre'). Match the cultural vibe of a senior who is tired of seeing bad code. | [CONTEXT] You are performing a Code Review for a TOPIC: Manage unlinked tasks and task supervision using Task.start/1, Task.Supervisor, and Task.Supervisor.async_nolink/2.. Topic details: Unlinked Tasks &amp; Task Supervision (Task.start/1, Task.Supervisor, Task.Supervisor.async_nolink/2)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#17 | Refactor | Elixir OTP | 📊 Level: Advanced
**Topic:** Manage unlinked tasks and task supervision using Task.start/1, Task.Supervisor, and Task.Supervisor.async_nolink/2.
---
 | [PYTHON QUALITY RULE - STRICT] Code MUST be explicitly compliant with language-standard style guides. Use descriptive snake_case for variables and functions. Avoid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OTP built-in, standard library module, or good Elixir OTP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OTP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5" s="53">
        <v>0</v>
      </c>
      <c r="W25" s="87" t="str">
        <f t="shared" si="9"/>
        <v>[ROLE] Tech Product Manager assigning a Elixir OTP Jira Ticket | [TASK] Provide a guided implementation exercise with full solution for learning purposes | [TOPIC] Manage unlinked tasks and task supervision using Task.start/1, Task.Supervisor, and Task.Supervisor.async_nolink/2. | [LEVEL] Advanced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#17 | Stage 5 | Elixir OTP | 📊 Level: Advanced | 🌐 Coding5s.com
**Concept:** Unlinked Tasks &amp; Task Supervision (Task.start/1, Task.Supervisor, Task.Supervisor.async_nolink/2)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OTP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OTP Dev']
Subject: Assignment Details
Hello [Insert my user name if known, otherwise use 'Elixir OTP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Spanish).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5" s="103" t="str">
        <f t="shared" si="10"/>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Manage unlinked tasks and task supervision using Task.start/1, Task.Supervisor, and Task.Supervisor.async_nolink/2.. Goal: Unlinked Tasks &amp; Task Supervision (Task.start/1, Task.Supervisor, Task.Supervisor.async_nolink/2)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#17 | Extend | Elixir OTP | 📊 Level: Advanced
**Topic:** Manage unlinked tasks and task supervision using Task.start/1, Task.Supervisor, and Task.Supervisor.async_nolink/2.
---
 | [CODE_QUALITY_PROTOCOL] Code MUST be explicitly compliant with language-standard style guides. Use descriptive snake_case for variables and functions. NEVER use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5" s="53">
        <v>0</v>
      </c>
      <c r="Z25" s="56" t="str">
        <f t="shared" si="11"/>
        <v/>
      </c>
      <c r="AA25" s="56" t="str">
        <f t="shared" si="12"/>
        <v/>
      </c>
      <c r="AB25" s="56" t="str">
        <f t="shared" si="13"/>
        <v/>
      </c>
      <c r="AC25" s="56" t="str">
        <f t="shared" si="14"/>
        <v/>
      </c>
      <c r="AD25" s="56" t="str">
        <f t="shared" si="15"/>
        <v/>
      </c>
      <c r="AE25" s="40" t="s">
        <v>136</v>
      </c>
      <c r="AF25" s="40" t="s">
        <v>137</v>
      </c>
      <c r="AG25" s="40" t="s">
        <v>138</v>
      </c>
      <c r="AH25" s="56" t="str">
        <f t="shared" si="16"/>
        <v/>
      </c>
      <c r="AI25" s="54"/>
      <c r="AJ25" s="54"/>
      <c r="AK25" s="54">
        <v>17</v>
      </c>
      <c r="AL25" s="54" t="s">
        <v>139</v>
      </c>
      <c r="AM25" s="54" t="s">
        <v>140</v>
      </c>
    </row>
    <row r="26" spans="1:39">
      <c r="A26" s="95">
        <v>12</v>
      </c>
      <c r="B26" s="45" t="str" cm="1">
        <f t="array" ref="B26">IF(H26="PROJECT", CHAR(10) &amp; "- " &amp; _xlfn.TEXTJOIN(CHAR(10) &amp; "- ", TRUE, _xlfn._xlws.FILTER($I$9:$I$1000, ($C$9:$C$1000=C26) * ($H$9:$H$1000="Topic"))), "")</f>
        <v/>
      </c>
      <c r="C26" s="45">
        <f t="shared" si="0"/>
        <v>3</v>
      </c>
      <c r="D26" s="57">
        <v>4</v>
      </c>
      <c r="E26" s="58" t="s">
        <v>619</v>
      </c>
      <c r="F26" s="59">
        <v>18</v>
      </c>
      <c r="G26" s="60" t="s">
        <v>162</v>
      </c>
      <c r="H26" s="60" t="s">
        <v>50</v>
      </c>
      <c r="I26" s="61" t="s">
        <v>792</v>
      </c>
      <c r="J26" s="62" t="s">
        <v>793</v>
      </c>
      <c r="K26" s="120" t="str">
        <f t="shared" si="1"/>
        <v xml:space="preserve">[ROLE] Friendly tutor specializing in Elixir OTP | [TOPIC] Execute ETS core operations using :ets.new, :ets.insert, :ets.lookup, and :ets.delete. | [LEVEL] Advanced | [COUNT] 4 examples | [LIBRARY BEING LEARNED]  | [ECOSYSTEM ORIENTATION RULE] If a module or ecosystem like GenServer, Supervisor, Registry, or DynamicSupervisor is specified in , you are CRITICALLY FORBIDDEN from using manual process linking (spawn/1, spawn_link/1) outside standard OTP behaviors. You MUST enforce the concurrent asynchronous processes and proper Supervisor tree state isolation and data structures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12 lines of EXECUTABLE code (STRICT: Do NOT count comments or blank lines). - NEVER exceed this limit. | [FUNCTION RULE] Rule: stateful GenServer state or external message passing | [CODE_CONSTRAINTS_RULE] Each example MUST: - Use stateful GenServer state or external message passing - Print steps &amp; result via Logger.info/debug or IO.inspect inside isolated process callbacks - MAX 12 executable lines (comments/blanks excluded) - NEVER exceed limit. | [I_O_PARADIGM] Use standard OTP message passing via send/2 or GenServer.call/3 and gracefully handle {:reply, response, new_state}, {:noreply, new_state}, and {:ok, state} tuples when applicable. | [INLINE_PACKAGE_MANAGER] If using external packages, use Standard mix.exs dependencies list (defp deps do [{:package_name, '~&gt; version'}] end) at the top of the code block. Assume no project configuration file exists. | [TESTING_FRAMEWORK_LIMITS] For ExUnit with isolated async processes (use ExUnit.Case, async: true), NEVER use manual process link hacking outside of standard OTP abstractions. Use standard test macros and assert_receive/assert_received for message validation, as manual process link hacking outside of standard OTP abstractions fail in standalone execution environments. | [CODE QUALITY RULE] Code MUST be clean, readable, educational, executable, and produce correct results. Handle missing, malformed, or inconsistent data safely, utilizing pattern matching if possible. | [COMMENT CONSTRAINTS] Code MUST include sufficient inline comments explaining WHAT the code does AND WHY it is written that way. Density: Beginner = high, Intermediate = medium, Advanced = 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#18 | Stage 1 📖 Practice | Elixir OTP | 📊 Level: Advanced | 🌐 Coding5s.com
**Concept:** ETS Core Operations (:ets.new, :ets.insert, :ets.lookup, :ets.delete)
---
 | [INTRO RULE] Include a short tutor-style sentence in Spanish before the analogy, followed by this EXACT instruction block translated to Spanish: '🚨 **Your objective in this lesson:** To truly learn the new  Elixir OTP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[PERSONA RULE] Act as a friendly, clear tutor | [TASK] Teach and explain concepts clearly with correct code examples | [OUTPUT CONTRACT] EXACTLY 4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Evaluate ONLY current attachments. IF FILE ATTACHED: Acknowledge it, place Dataset Summary (Type, Structure, Columns, Data Types) IMMEDIATELY AFTER HEADER, and strictly use it for ALL examples. IF NO FILE ATTACHED: Explicitly print 'No synthetic data file was provided for this topic. Generating dummy data.' (translate to Spanish), generate minimal dummy data internally, and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6" s="103" t="str">
        <f t="shared" si="2"/>
        <v xml:space="preserve">[MENTOR_S1_SAFE_GUIDE] Act as 'The Safe Guide' (El Hermano Mayor) - a World-Class Elite Technical Mentor for Stage 1 Practice specializing in Elixir OTP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Execute ETS core operations using :ets.new, :ets.insert, :ets.lookup, and :ets.delete.. Topic details: ETS Core Operations (:ets.new, :ets.insert, :ets.lookup, :ets.delete) | [LANGUAGE CONSISTENCY RULE] ALL output text MUST be written strictly in (Spanish). | [LANGUAGE SEED CONTEXT] Language Seed Not Necessary | [LANGUAGE] Spanish | [MENTOR_SCOPE_EXPECTATIONS] Expect complete OTP apps with DynamicSupervisor, clean separation of Client API/Server Callbacks, and handle_info/2 pattern matching. | [CODE_QUALITY_POLICIES] Code MUST be idiomatic Elixir. Use descriptive snake_case for functions/variables, and PascalCase for module aliases. Leverage proper tuple pattern matching (e.g., {:noreply, new_state}) and strict immutability within process boundaries. Reject process mailbox clogging, blocking callbacks, bypassing OTP behaviors, or modifying external global state. If using default arguments ('\\') with multiple function clauses or callbacks, you MUST declare a function head without a body.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OTP code, and fully functional Elixir OTP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#18 | Practice | Elixir OTP | 📊 Level: Advanced
**Topic:** Execute ETS core operations using :ets.new, :ets.insert, :ets.lookup, and :ets.delete.
---
 | [FOOTER RULE - STRICT] End your response with: '--- ⚡ *Coding5s Mentor System — Eliminating Epistemic Debt*' | </v>
      </c>
      <c r="M26" s="52">
        <v>0</v>
      </c>
      <c r="N26" s="102" t="str">
        <f t="shared" si="3"/>
        <v>[ROLE] Careless Elixir OTP Developer | [TASK] Generate debugging challenges in Elixir OTP | | [TOPIC] Execute ETS core operations using :ets.new, :ets.insert, :ets.lookup, and :ets.delete. | | [LEVEL] Advanced |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Topic #18 | Stage 2 🐛 Debug | Elixir OTP | 📊 Level: Advanced | 🌐 Coding5s.com
Concept: ETS Core Operations (:ets.new, :ets.insert, :ets.lookup, :ets.delete)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Use standard Elixir File module and gracefully handle {:ok, data} and {:error, reason} tuples | Environment variables may be used but bugs MUST exist ONLY in code logic, NEVER in config files | If env/config is used, MUST include: 1. Instructional sentence 2. File content in markdown code block 3. BEFORE the broken code (Support files MUST contain NO bugs) | [EXUNIT RULE] If the topic involves ExUnit or Testing, NEVER use doctests (@doc iex&gt;). You MUST use standard test macros (test 'test name' do) and assert statements. Doctests cause errors in standalone .exs scripts. | [HEX DEPENDENCIES RULE] If the exercise requires using an external Hex package in a standalone script, you MUST use Mix.install([{:package_name, '~&gt; version'}]) at the very top of the code block. Assume there is NO mix.exs file available in the user's environment. | [CODE CONSTRAINTS] Each challenge MUST include: - Internal data OR dataset usage - At least 1 Enum/List operation or recursion (when applicable) - At least 1 IO.puts or IO.inspect statement - 15–35 lines of EXECUTABLE broken code per example (STRICT: Do NOT count blank lines). Use pure functions and immutability. | All challenges MUST have similar complexity and length. | [INTRO RULE] The intro MUST be a dynamically generated, urgent, unprofessional email in Spanish with this EXACT format: '📥 From: [Random Dev Name]' / '📤 To: [Insert my user name if you know it from context, otherwise use Elixir OTP Developer]' / 'Subject: [Generate a funny, desperate Subject]'. Body MUST be unique every time. Do NOT copy this example exactly, but use this vibe: 'Ay, no sé ni qué hora es, pero aquí tienes estas cosas que apenas funcionan. Arréglalo tú si tanto te importa el orden. No consigo que corran. Ayúdame y luego te invito al almuerzo. El jefe urge...'. Make it short, informal, and funny for the student. IMMEDIATELY AFTER the email body, you MUST include this exact instruction block translated to Spanish: '🚨 Your objective in this lesson: You must copy the code blocks from each Challenge exactly as they are and paste them into your IDE. Then you have to fix all the errors in the code until you achieve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three dimensions: 1. Syntax Errors (e.g., mismatched delimiters, invalid indentation, invalid syntax, SyntaxError). 2. Runtime Exceptions (e.g., TypeError when mixing types, ValueError with invalid arguments, IndexError on collections, KeyError on dictionaries, ZeroDivisionError). 3. Logic Errors (e.g., incorrect Boolean logic, off-by-one errors in loops, wrong mathematical formulas, variable shadowing, or incorrect use of mutable defaults). Errors MUST be realistic and mimic common mistakes made by junior developers in production-like environments. | [EXECUTION RULE] Code must fail due to syntax errors, runtime exceptions, or produce incorrect output | [DATA RULE - STRICT] A dataset MAY be provided in THIS CURRENT PROMPT. If a NEW dataset IS attached to THIS prompt, you MUST: 1. Detect and acknowledge it BEFORE challenges 2. Explicitly state file type 3. Describe structure 4. List columns or fields 5. Infer data types 6. Display dataset summary IMMEDIATELY AFTER THE HEADER 7. State ALL challenges use it 8. Use it directly (DO NOT recreate data). If NO dataset is provided IN THIS CURRENT PROMPT: - STRICT: You MUST explicitly state 'No synthetic data file was provided. Generating dummy data.' (translate this phrase to Spanish) - Generate minimal internal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6" s="103" t="str">
        <f t="shared" si="4"/>
        <v xml:space="preserve">[MENTOR_S2_DETECTIVE] Act as 'The Analytical Partner' (El Detective con Café) - a World-Class Elite Technical Mentor for Stage 2 Debugging specializing in Elixir OTP.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Execute ETS core operations using :ets.new, :ets.insert, :ets.lookup, and :ets.delete.. Topic details: ETS Core Operations (:ets.new, :ets.insert, :ets.lookup, :ets.delete)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#18 | Debug | Elixir OTP | 📊 Level: Advanced
**Topic:** Execute ETS core operations using :ets.new, :ets.insert, :ets.lookup, and :ets.delete.
---
 | [PYTHON QUALITY RULE - STRICT] Code MUST be production-like, clean, and idiomatic Elixir. Use descriptive snake_case for variables and functions. Use pure functions and strict immutability. If using default arguments (\\\\) with multiple function clauses, you MUST declare a function head without a body to avoid compiler warnings.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OTP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OTP).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OTP code, and fully functional Elixir OTP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6" s="52">
        <v>0</v>
      </c>
      <c r="Q26" s="102" t="str">
        <f t="shared" si="5"/>
        <v>[ROLE] Tech Lead | [TASK] Assign incomplete Elixir OTP script challenges | [TOPIC] Execute ETS core operations using :ets.new, :ets.insert, :ets.lookup, and :ets.delete. | [LEVEL] Advanced | [COUNT] 4 challenges | [LIBRARY BEING LEARNED]  | [ECOSYSTEM ORIENTATION RULE] If a module or ecosystem like Explorer or Nx is specified in [LIBRARY BEING LEARNED], you are CRITICALLY FORBIDDEN from using manual recursion or nested loop implementations. You MUST enforce the native, optimized data structures and vectorized operations of that specific library. | [HEADER RULE - STRICT] You MUST start your entire response EXACTLY with this markdown block (do not print anything before it):
### 🔹 Topic #18 | Stage 3 🧩 Complete | Elixir OTP | 📊 Level: Advanced | 🌐 Coding5s.com
**Concept:** ETS Core Operations (:ets.new, :ets.insert, :ets.lookup, :ets.delete)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[EXTERNAL_PACKAGE_PROTOCOL] If the exercise requires using an external Hex package in a standalone script, you MUST use Mix.install([{:package_name, '~&gt; version'}]) at the very top of the code block. | [TESTING_FRAMEWORK_PROTOCOL] If the topic involves ExUnit or Testing, NEVER use doctests (@doc iex&gt;). You MUST use standard test macros (test 'test name' do) and assert statements. | [CHALLENGE_CONSTRAINTS_POLICY] Each challenge MUST include: - Internal data OR dataset usage - 15–35 lines of EXECUTABLE base code (STRICT: Do NOT count comments or TODOs). - Length MUST vary across challenges. Use pure functions and immutability.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Elixir OTP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Execute ETS core operations using :ets.new, :ets.insert, :ets.lookup, and :ets.delete..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6" s="103" t="str">
        <f t="shared" si="6"/>
        <v xml:space="preserve">[MENTOR_S3_BUILDER] Act as 'The Logical Scaffold' (El Maestro de Obra) - a World-Class Elite Technical Mentor for Stage 3 Code Completion specializing in Elixir OTP.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Execute ETS core operations using :ets.new, :ets.insert, :ets.lookup, and :ets.delete.. Topic details: ETS Core Operations (:ets.new, :ets.insert, :ets.lookup, :ets.delete)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#18 | Complete | Elixir OTP | 📊 Level: Advanced
**Topic:** Execute ETS core operations using :ets.new, :ets.insert, :ets.lookup, and :ets.delete.
---
 | [PYTHON QUALITY RULE - STRICT] Code MUST be explicitly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6" s="52">
        <v>0</v>
      </c>
      <c r="T26" s="102" t="str">
        <f t="shared" si="7"/>
        <v>[ROLE] Tech Lead | [TASK] Provide intentionally messy but functional code for learning debugging and improvement | [TOPIC] Execute ETS core operations using :ets.new, :ets.insert, :ets.lookup, and :ets.delete. | [LEVEL] Advanced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#18 | Stage 4 🧹 Refactor | Elixir OTP | 📊 Level: Advanced | 🌐 Coding5s.com
**Concept:** ETS Core Operations (:ets.new, :ets.insert, :ets.lookup, :ets.delete)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Elixir OTP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6" s="103" t="str">
        <f t="shared" si="8"/>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Elixir OTP', 'limpia este desastre'). Match the cultural vibe of a senior who is tired of seeing bad code. | [CONTEXT] You are performing a Code Review for a TOPIC: Execute ETS core operations using :ets.new, :ets.insert, :ets.lookup, and :ets.delete.. Topic details: ETS Core Operations (:ets.new, :ets.insert, :ets.lookup, :ets.delete)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#18 | Refactor | Elixir OTP | 📊 Level: Advanced
**Topic:** Execute ETS core operations using :ets.new, :ets.insert, :ets.lookup, and :ets.delete.
---
 | [PYTHON QUALITY RULE - STRICT] Code MUST be explicitly compliant with language-standard style guides. Use descriptive snake_case for variables and functions. Avoid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OTP built-in, standard library module, or good Elixir OTP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OTP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6" s="52">
        <v>0</v>
      </c>
      <c r="W26" s="87" t="str">
        <f t="shared" si="9"/>
        <v>[ROLE] Tech Product Manager assigning a Elixir OTP Jira Ticket | [TASK] Provide a guided implementation exercise with full solution for learning purposes | [TOPIC] Execute ETS core operations using :ets.new, :ets.insert, :ets.lookup, and :ets.delete. | [LEVEL] Advanced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#18 | Stage 5 | Elixir OTP | 📊 Level: Advanced | 🌐 Coding5s.com
**Concept:** ETS Core Operations (:ets.new, :ets.insert, :ets.lookup, :ets.delete)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OTP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OTP Dev']
Subject: Assignment Details
Hello [Insert my user name if known, otherwise use 'Elixir OTP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Spanish).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6" s="103" t="str">
        <f t="shared" si="10"/>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Execute ETS core operations using :ets.new, :ets.insert, :ets.lookup, and :ets.delete.. Goal: ETS Core Operations (:ets.new, :ets.insert, :ets.lookup, :ets.delete)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#18 | Extend | Elixir OTP | 📊 Level: Advanced
**Topic:** Execute ETS core operations using :ets.new, :ets.insert, :ets.lookup, and :ets.delete.
---
 | [CODE_QUALITY_PROTOCOL] Code MUST be explicitly compliant with language-standard style guides. Use descriptive snake_case for variables and functions. NEVER use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6" s="52">
        <v>0</v>
      </c>
      <c r="Z26" s="56" t="str">
        <f t="shared" si="11"/>
        <v/>
      </c>
      <c r="AA26" s="56" t="str">
        <f t="shared" si="12"/>
        <v/>
      </c>
      <c r="AB26" s="56" t="str">
        <f t="shared" si="13"/>
        <v/>
      </c>
      <c r="AC26" s="56" t="str">
        <f t="shared" si="14"/>
        <v/>
      </c>
      <c r="AD26" s="56" t="str">
        <f t="shared" si="15"/>
        <v/>
      </c>
      <c r="AE26" s="40" t="s">
        <v>141</v>
      </c>
      <c r="AF26" s="40" t="s">
        <v>142</v>
      </c>
      <c r="AG26" s="40" t="s">
        <v>143</v>
      </c>
      <c r="AH26" s="56" t="str">
        <f t="shared" si="16"/>
        <v/>
      </c>
      <c r="AI26" s="54"/>
      <c r="AJ26" s="54"/>
      <c r="AK26" s="54">
        <v>18</v>
      </c>
      <c r="AL26" s="54" t="s">
        <v>144</v>
      </c>
      <c r="AM26" s="54" t="s">
        <v>145</v>
      </c>
    </row>
    <row r="27" spans="1:39">
      <c r="A27" s="95">
        <v>20</v>
      </c>
      <c r="B27" s="45" t="str" cm="1">
        <f t="array" ref="B27">IF(H27="PROJECT", CHAR(10) &amp; "- " &amp; _xlfn.TEXTJOIN(CHAR(10) &amp; "- ", TRUE, _xlfn._xlws.FILTER($I$9:$I$1000, ($C$9:$C$1000=C27) * ($H$9:$H$1000="Topic"))), "")</f>
        <v/>
      </c>
      <c r="C27" s="45">
        <f t="shared" si="0"/>
        <v>3</v>
      </c>
      <c r="D27" s="46">
        <v>4</v>
      </c>
      <c r="E27" s="58" t="s">
        <v>619</v>
      </c>
      <c r="F27" s="48">
        <v>19</v>
      </c>
      <c r="G27" s="49" t="s">
        <v>162</v>
      </c>
      <c r="H27" s="49" t="s">
        <v>50</v>
      </c>
      <c r="I27" s="50" t="s">
        <v>794</v>
      </c>
      <c r="J27" s="51" t="s">
        <v>795</v>
      </c>
      <c r="K27" s="120" t="str">
        <f t="shared" si="1"/>
        <v xml:space="preserve">[ROLE] Friendly tutor specializing in Elixir OTP | [TOPIC] Configure ETS ownership and advanced patterns utilizing Table types, heir configuration, :read_concurrency / :write_concurrency optimizations, and ETS vs GenServer selection. | [LEVEL] Advanced | [COUNT] 4 examples | [LIBRARY BEING LEARNED]  | [ECOSYSTEM ORIENTATION RULE] If a module or ecosystem like GenServer, Supervisor, Registry, or DynamicSupervisor is specified in , you are CRITICALLY FORBIDDEN from using manual process linking (spawn/1, spawn_link/1) outside standard OTP behaviors. You MUST enforce the concurrent asynchronous processes and proper Supervisor tree state isolation and data structures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20 lines of EXECUTABLE code (STRICT: Do NOT count comments or blank lines). - NEVER exceed this limit. | [FUNCTION RULE] Rule: stateful GenServer state or external message passing | [CODE_CONSTRAINTS_RULE] Each example MUST: - Use stateful GenServer state or external message passing - Print steps &amp; result via Logger.info/debug or IO.inspect inside isolated process callbacks - MAX 20 executable lines (comments/blanks excluded) - NEVER exceed limit. | [I_O_PARADIGM] Use standard OTP message passing via send/2 or GenServer.call/3 and gracefully handle {:reply, response, new_state}, {:noreply, new_state}, and {:ok, state} tuples when applicable. | [INLINE_PACKAGE_MANAGER] If using external packages, use Standard mix.exs dependencies list (defp deps do [{:package_name, '~&gt; version'}] end) at the top of the code block. Assume no project configuration file exists. | [TESTING_FRAMEWORK_LIMITS] For ExUnit with isolated async processes (use ExUnit.Case, async: true), NEVER use manual process link hacking outside of standard OTP abstractions. Use standard test macros and assert_receive/assert_received for message validation, as manual process link hacking outside of standard OTP abstractions fail in standalone execution environments. | [CODE QUALITY RULE] Code MUST be clean, readable, educational, executable, and produce correct results. Handle missing, malformed, or inconsistent data safely, utilizing pattern matching if possible. | [COMMENT CONSTRAINTS] Code MUST include sufficient inline comments explaining WHAT the code does AND WHY it is written that way. Density: Beginner = high, Intermediate = medium, Advanced = 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#19 | Stage 1 📖 Practice | Elixir OTP | 📊 Level: Advanced | 🌐 Coding5s.com
**Concept:** ETS Ownership &amp; Advanced Patterns (Table types, heir configuration, :read_concurrency / :write_concurrency optimizations, ETS vs GenServer selection)
---
 | [INTRO RULE] Include a short tutor-style sentence in Spanish before the analogy, followed by this EXACT instruction block translated to Spanish: '🚨 **Your objective in this lesson:** To truly learn the new  Elixir OTP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[PERSONA RULE] Act as a friendly, clear tutor | [TASK] Teach and explain concepts clearly with correct code examples | [OUTPUT CONTRACT] EXACTLY 4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Evaluate ONLY current attachments. IF FILE ATTACHED: Acknowledge it, place Dataset Summary (Type, Structure, Columns, Data Types) IMMEDIATELY AFTER HEADER, and strictly use it for ALL examples. IF NO FILE ATTACHED: Explicitly print 'No synthetic data file was provided for this topic. Generating dummy data.' (translate to Spanish), generate minimal dummy data internally, and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7" s="103" t="str">
        <f t="shared" si="2"/>
        <v xml:space="preserve">[MENTOR_S1_SAFE_GUIDE] Act as 'The Safe Guide' (El Hermano Mayor) - a World-Class Elite Technical Mentor for Stage 1 Practice specializing in Elixir OTP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Configure ETS ownership and advanced patterns utilizing Table types, heir configuration, :read_concurrency / :write_concurrency optimizations, and ETS vs GenServer selection.. Topic details: ETS Ownership &amp; Advanced Patterns (Table types, heir configuration, :read_concurrency / :write_concurrency optimizations, ETS vs GenServer selection) | [LANGUAGE CONSISTENCY RULE] ALL output text MUST be written strictly in (Spanish). | [LANGUAGE SEED CONTEXT] Language Seed Not Necessary | [LANGUAGE] Spanish | [MENTOR_SCOPE_EXPECTATIONS] Expect complete OTP apps with DynamicSupervisor, clean separation of Client API/Server Callbacks, and handle_info/2 pattern matching. | [CODE_QUALITY_POLICIES] Code MUST be idiomatic Elixir. Use descriptive snake_case for functions/variables, and PascalCase for module aliases. Leverage proper tuple pattern matching (e.g., {:noreply, new_state}) and strict immutability within process boundaries. Reject process mailbox clogging, blocking callbacks, bypassing OTP behaviors, or modifying external global state. If using default arguments ('\\') with multiple function clauses or callbacks, you MUST declare a function head without a body.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OTP code, and fully functional Elixir OTP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#19 | Practice | Elixir OTP | 📊 Level: Advanced
**Topic:** Configure ETS ownership and advanced patterns utilizing Table types, heir configuration, :read_concurrency / :write_concurrency optimizations, and ETS vs GenServer selection.
---
 | [FOOTER RULE - STRICT] End your response with: '--- ⚡ *Coding5s Mentor System — Eliminating Epistemic Debt*' | </v>
      </c>
      <c r="M27" s="53">
        <v>0</v>
      </c>
      <c r="N27" s="102" t="str">
        <f t="shared" si="3"/>
        <v>[ROLE] Careless Elixir OTP Developer | [TASK] Generate debugging challenges in Elixir OTP | | [TOPIC] Configure ETS ownership and advanced patterns utilizing Table types, heir configuration, :read_concurrency / :write_concurrency optimizations, and ETS vs GenServer selection. | | [LEVEL] Advanced |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Topic #19 | Stage 2 🐛 Debug | Elixir OTP | 📊 Level: Advanced | 🌐 Coding5s.com
Concept: ETS Ownership &amp; Advanced Patterns (Table types, heir configuration, :read_concurrency / :write_concurrency optimizations, ETS vs GenServer selection)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Use standard Elixir File module and gracefully handle {:ok, data} and {:error, reason} tuples | Environment variables may be used but bugs MUST exist ONLY in code logic, NEVER in config files | If env/config is used, MUST include: 1. Instructional sentence 2. File content in markdown code block 3. BEFORE the broken code (Support files MUST contain NO bugs) | [EXUNIT RULE] If the topic involves ExUnit or Testing, NEVER use doctests (@doc iex&gt;). You MUST use standard test macros (test 'test name' do) and assert statements. Doctests cause errors in standalone .exs scripts. | [HEX DEPENDENCIES RULE] If the exercise requires using an external Hex package in a standalone script, you MUST use Mix.install([{:package_name, '~&gt; version'}]) at the very top of the code block. Assume there is NO mix.exs file available in the user's environment. | [CODE CONSTRAINTS] Each challenge MUST include: - Internal data OR dataset usage - At least 1 Enum/List operation or recursion (when applicable) - At least 1 IO.puts or IO.inspect statement - 15–35 lines of EXECUTABLE broken code per example (STRICT: Do NOT count blank lines). Use pure functions and immutability. | All challenges MUST have similar complexity and length. | [INTRO RULE] The intro MUST be a dynamically generated, urgent, unprofessional email in Spanish with this EXACT format: '📥 From: [Random Dev Name]' / '📤 To: [Insert my user name if you know it from context, otherwise use Elixir OTP Developer]' / 'Subject: [Generate a funny, desperate Subject]'. Body MUST be unique every time. Do NOT copy this example exactly, but use this vibe: 'Ay, no sé ni qué hora es, pero aquí tienes estas cosas que apenas funcionan. Arréglalo tú si tanto te importa el orden. No consigo que corran. Ayúdame y luego te invito al almuerzo. El jefe urge...'. Make it short, informal, and funny for the student. IMMEDIATELY AFTER the email body, you MUST include this exact instruction block translated to Spanish: '🚨 Your objective in this lesson: You must copy the code blocks from each Challenge exactly as they are and paste them into your IDE. Then you have to fix all the errors in the code until you achieve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three dimensions: 1. Syntax Errors (e.g., mismatched delimiters, invalid indentation, invalid syntax, SyntaxError). 2. Runtime Exceptions (e.g., TypeError when mixing types, ValueError with invalid arguments, IndexError on collections, KeyError on dictionaries, ZeroDivisionError). 3. Logic Errors (e.g., incorrect Boolean logic, off-by-one errors in loops, wrong mathematical formulas, variable shadowing, or incorrect use of mutable defaults). Errors MUST be realistic and mimic common mistakes made by junior developers in production-like environments. | [EXECUTION RULE] Code must fail due to syntax errors, runtime exceptions, or produce incorrect output | [DATA RULE - STRICT] A dataset MAY be provided in THIS CURRENT PROMPT. If a NEW dataset IS attached to THIS prompt, you MUST: 1. Detect and acknowledge it BEFORE challenges 2. Explicitly state file type 3. Describe structure 4. List columns or fields 5. Infer data types 6. Display dataset summary IMMEDIATELY AFTER THE HEADER 7. State ALL challenges use it 8. Use it directly (DO NOT recreate data). If NO dataset is provided IN THIS CURRENT PROMPT: - STRICT: You MUST explicitly state 'No synthetic data file was provided. Generating dummy data.' (translate this phrase to Spanish) - Generate minimal internal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7" s="103" t="str">
        <f t="shared" si="4"/>
        <v xml:space="preserve">[MENTOR_S2_DETECTIVE] Act as 'The Analytical Partner' (El Detective con Café) - a World-Class Elite Technical Mentor for Stage 2 Debugging specializing in Elixir OTP.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Configure ETS ownership and advanced patterns utilizing Table types, heir configuration, :read_concurrency / :write_concurrency optimizations, and ETS vs GenServer selection.. Topic details: ETS Ownership &amp; Advanced Patterns (Table types, heir configuration, :read_concurrency / :write_concurrency optimizations, ETS vs GenServer selection)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#19 | Debug | Elixir OTP | 📊 Level: Advanced
**Topic:** Configure ETS ownership and advanced patterns utilizing Table types, heir configuration, :read_concurrency / :write_concurrency optimizations, and ETS vs GenServer selection.
---
 | [PYTHON QUALITY RULE - STRICT] Code MUST be production-like, clean, and idiomatic Elixir. Use descriptive snake_case for variables and functions. Use pure functions and strict immutability. If using default arguments (\\\\) with multiple function clauses, you MUST declare a function head without a body to avoid compiler warnings.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OTP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OTP).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OTP code, and fully functional Elixir OTP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7" s="53">
        <v>0</v>
      </c>
      <c r="Q27" s="102" t="str">
        <f t="shared" si="5"/>
        <v>[ROLE] Tech Lead | [TASK] Assign incomplete Elixir OTP script challenges | [TOPIC] Configure ETS ownership and advanced patterns utilizing Table types, heir configuration, :read_concurrency / :write_concurrency optimizations, and ETS vs GenServer selection. | [LEVEL] Advanced | [COUNT] 4 challenges | [LIBRARY BEING LEARNED]  | [ECOSYSTEM ORIENTATION RULE] If a module or ecosystem like Explorer or Nx is specified in [LIBRARY BEING LEARNED], you are CRITICALLY FORBIDDEN from using manual recursion or nested loop implementations. You MUST enforce the native, optimized data structures and vectorized operations of that specific library. | [HEADER RULE - STRICT] You MUST start your entire response EXACTLY with this markdown block (do not print anything before it):
### 🔹 Topic #19 | Stage 3 🧩 Complete | Elixir OTP | 📊 Level: Advanced | 🌐 Coding5s.com
**Concept:** ETS Ownership &amp; Advanced Patterns (Table types, heir configuration, :read_concurrency / :write_concurrency optimizations, ETS vs GenServer selection)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[EXTERNAL_PACKAGE_PROTOCOL] If the exercise requires using an external Hex package in a standalone script, you MUST use Mix.install([{:package_name, '~&gt; version'}]) at the very top of the code block. | [TESTING_FRAMEWORK_PROTOCOL] If the topic involves ExUnit or Testing, NEVER use doctests (@doc iex&gt;). You MUST use standard test macros (test 'test name' do) and assert statements. | [CHALLENGE_CONSTRAINTS_POLICY] Each challenge MUST include: - Internal data OR dataset usage - 15–35 lines of EXECUTABLE base code (STRICT: Do NOT count comments or TODOs). - Length MUST vary across challenges. Use pure functions and immutability.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Elixir OTP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Configure ETS ownership and advanced patterns utilizing Table types, heir configuration, :read_concurrency / :write_concurrency optimizations, and ETS vs GenServer selection..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7" s="103" t="str">
        <f t="shared" si="6"/>
        <v xml:space="preserve">[MENTOR_S3_BUILDER] Act as 'The Logical Scaffold' (El Maestro de Obra) - a World-Class Elite Technical Mentor for Stage 3 Code Completion specializing in Elixir OTP.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Configure ETS ownership and advanced patterns utilizing Table types, heir configuration, :read_concurrency / :write_concurrency optimizations, and ETS vs GenServer selection.. Topic details: ETS Ownership &amp; Advanced Patterns (Table types, heir configuration, :read_concurrency / :write_concurrency optimizations, ETS vs GenServer selection)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#19 | Complete | Elixir OTP | 📊 Level: Advanced
**Topic:** Configure ETS ownership and advanced patterns utilizing Table types, heir configuration, :read_concurrency / :write_concurrency optimizations, and ETS vs GenServer selection.
---
 | [PYTHON QUALITY RULE - STRICT] Code MUST be explicitly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7" s="53">
        <v>0</v>
      </c>
      <c r="T27" s="102" t="str">
        <f t="shared" si="7"/>
        <v>[ROLE] Tech Lead | [TASK] Provide intentionally messy but functional code for learning debugging and improvement | [TOPIC] Configure ETS ownership and advanced patterns utilizing Table types, heir configuration, :read_concurrency / :write_concurrency optimizations, and ETS vs GenServer selection. | [LEVEL] Advanced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#19 | Stage 4 🧹 Refactor | Elixir OTP | 📊 Level: Advanced | 🌐 Coding5s.com
**Concept:** ETS Ownership &amp; Advanced Patterns (Table types, heir configuration, :read_concurrency / :write_concurrency optimizations, ETS vs GenServer selection)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Elixir OTP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7" s="103" t="str">
        <f t="shared" si="8"/>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Elixir OTP', 'limpia este desastre'). Match the cultural vibe of a senior who is tired of seeing bad code. | [CONTEXT] You are performing a Code Review for a TOPIC: Configure ETS ownership and advanced patterns utilizing Table types, heir configuration, :read_concurrency / :write_concurrency optimizations, and ETS vs GenServer selection.. Topic details: ETS Ownership &amp; Advanced Patterns (Table types, heir configuration, :read_concurrency / :write_concurrency optimizations, ETS vs GenServer selection)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#19 | Refactor | Elixir OTP | 📊 Level: Advanced
**Topic:** Configure ETS ownership and advanced patterns utilizing Table types, heir configuration, :read_concurrency / :write_concurrency optimizations, and ETS vs GenServer selection.
---
 | [PYTHON QUALITY RULE - STRICT] Code MUST be explicitly compliant with language-standard style guides. Use descriptive snake_case for variables and functions. Avoid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OTP built-in, standard library module, or good Elixir OTP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OTP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7" s="53">
        <v>0</v>
      </c>
      <c r="W27" s="87" t="str">
        <f t="shared" si="9"/>
        <v>[ROLE] Tech Product Manager assigning a Elixir OTP Jira Ticket | [TASK] Provide a guided implementation exercise with full solution for learning purposes | [TOPIC] Configure ETS ownership and advanced patterns utilizing Table types, heir configuration, :read_concurrency / :write_concurrency optimizations, and ETS vs GenServer selection. | [LEVEL] Advanced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#19 | Stage 5 | Elixir OTP | 📊 Level: Advanced | 🌐 Coding5s.com
**Concept:** ETS Ownership &amp; Advanced Patterns (Table types, heir configuration, :read_concurrency / :write_concurrency optimizations, ETS vs GenServer selection)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OTP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OTP Dev']
Subject: Assignment Details
Hello [Insert my user name if known, otherwise use 'Elixir OTP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Spanish).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7" s="103" t="str">
        <f t="shared" si="10"/>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Configure ETS ownership and advanced patterns utilizing Table types, heir configuration, :read_concurrency / :write_concurrency optimizations, and ETS vs GenServer selection.. Goal: ETS Ownership &amp; Advanced Patterns (Table types, heir configuration, :read_concurrency / :write_concurrency optimizations, ETS vs GenServer selection)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#19 | Extend | Elixir OTP | 📊 Level: Advanced
**Topic:** Configure ETS ownership and advanced patterns utilizing Table types, heir configuration, :read_concurrency / :write_concurrency optimizations, and ETS vs GenServer selection.
---
 | [CODE_QUALITY_PROTOCOL] Code MUST be explicitly compliant with language-standard style guides. Use descriptive snake_case for variables and functions. NEVER use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7" s="53">
        <v>0</v>
      </c>
      <c r="Z27" s="56" t="str">
        <f t="shared" si="11"/>
        <v/>
      </c>
      <c r="AA27" s="56" t="str">
        <f t="shared" si="12"/>
        <v/>
      </c>
      <c r="AB27" s="56" t="str">
        <f t="shared" si="13"/>
        <v/>
      </c>
      <c r="AC27" s="56" t="str">
        <f t="shared" si="14"/>
        <v/>
      </c>
      <c r="AD27" s="56" t="str">
        <f t="shared" si="15"/>
        <v/>
      </c>
      <c r="AE27" s="40" t="s">
        <v>146</v>
      </c>
      <c r="AF27" s="40" t="s">
        <v>147</v>
      </c>
      <c r="AG27" s="40" t="s">
        <v>148</v>
      </c>
      <c r="AH27" s="56" t="str">
        <f t="shared" si="16"/>
        <v/>
      </c>
      <c r="AI27" s="54"/>
      <c r="AJ27" s="54"/>
      <c r="AK27" s="54">
        <v>19</v>
      </c>
      <c r="AL27" s="54" t="s">
        <v>106</v>
      </c>
      <c r="AM27" s="54" t="s">
        <v>107</v>
      </c>
    </row>
    <row r="28" spans="1:39">
      <c r="A28" s="95">
        <v>20</v>
      </c>
      <c r="B28" s="45" t="str" cm="1">
        <f t="array" ref="B28">IF(H28="PROJECT", CHAR(10) &amp; "- " &amp; _xlfn.TEXTJOIN(CHAR(10) &amp; "- ", TRUE, _xlfn._xlws.FILTER($I$9:$I$1000, ($C$9:$C$1000=C28) * ($H$9:$H$1000="Topic"))), "")</f>
        <v/>
      </c>
      <c r="C28" s="45">
        <f t="shared" si="0"/>
        <v>3</v>
      </c>
      <c r="D28" s="57">
        <v>3</v>
      </c>
      <c r="E28" s="58" t="s">
        <v>48</v>
      </c>
      <c r="F28" s="59">
        <v>20</v>
      </c>
      <c r="G28" s="60" t="s">
        <v>162</v>
      </c>
      <c r="H28" s="60" t="s">
        <v>50</v>
      </c>
      <c r="I28" s="61" t="s">
        <v>796</v>
      </c>
      <c r="J28" s="62" t="s">
        <v>797</v>
      </c>
      <c r="K28" s="120" t="str">
        <f t="shared" si="1"/>
        <v xml:space="preserve">[ROLE] Friendly tutor specializing in Elixir OTP | [TOPIC] Define Application behavior and environment using use Application, start/2, Config scripts, and Application.get_env/3. | [LEVEL] Advanced | [COUNT] 3 examples | [LIBRARY BEING LEARNED]  | [ECOSYSTEM ORIENTATION RULE] If a module or ecosystem like GenServer, Supervisor, Registry, or DynamicSupervisor is specified in , you are CRITICALLY FORBIDDEN from using manual process linking (spawn/1, spawn_link/1) outside standard OTP behaviors. You MUST enforce the concurrent asynchronous processes and proper Supervisor tree state isolation and data structures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20 lines of EXECUTABLE code (STRICT: Do NOT count comments or blank lines). - NEVER exceed this limit. | [FUNCTION RULE] Rule: stateful GenServer state or external message passing | [CODE_CONSTRAINTS_RULE] Each example MUST: - Use stateful GenServer state or external message passing - Print steps &amp; result via Logger.info/debug or IO.inspect inside isolated process callbacks - MAX 20 executable lines (comments/blanks excluded) - NEVER exceed limit. | [I_O_PARADIGM] Use standard OTP message passing via send/2 or GenServer.call/3 and gracefully handle {:reply, response, new_state}, {:noreply, new_state}, and {:ok, state} tuples when applicable. | [INLINE_PACKAGE_MANAGER] If using external packages, use Standard mix.exs dependencies list (defp deps do [{:package_name, '~&gt; version'}] end) at the top of the code block. Assume no project configuration file exists. | [TESTING_FRAMEWORK_LIMITS] For ExUnit with isolated async processes (use ExUnit.Case, async: true), NEVER use manual process link hacking outside of standard OTP abstractions. Use standard test macros and assert_receive/assert_received for message validation, as manual process link hacking outside of standard OTP abstractions fail in standalone execution environments. | [CODE QUALITY RULE] Code MUST be clean, readable, educational, executable, and produce correct results. Handle missing, malformed, or inconsistent data safely, utilizing pattern matching if possible. | [COMMENT CONSTRAINTS] Code MUST include sufficient inline comments explaining WHAT the code does AND WHY it is written that way. Density: Beginner = high, Intermediate = medium, Advanced = 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#20 | Stage 1 📖 Practice | Elixir OTP | 📊 Level: Advanced | 🌐 Coding5s.com
**Concept:** Application Behavior &amp; Environment (use Application, start/2, Config scripts, Application.get_env/3)
---
 | [INTRO RULE] Include a short tutor-style sentence in Spanish before the analogy, followed by this EXACT instruction block translated to Spanish: '🚨 **Your objective in this lesson:** To truly learn the new  Elixir OTP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[PERSONA RULE] Act as a friendly, clear tutor | [TASK] Teach and explain concepts clearly with correct code examples | [OUTPUT CONTRACT] EXACTLY 3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Evaluate ONLY current attachments. IF FILE ATTACHED: Acknowledge it, place Dataset Summary (Type, Structure, Columns, Data Types) IMMEDIATELY AFTER HEADER, and strictly use it for ALL examples. IF NO FILE ATTACHED: Explicitly print 'No synthetic data file was provided for this topic. Generating dummy data.' (translate to Spanish), generate minimal dummy data internally, and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8" s="103" t="str">
        <f t="shared" si="2"/>
        <v xml:space="preserve">[MENTOR_S1_SAFE_GUIDE] Act as 'The Safe Guide' (El Hermano Mayor) - a World-Class Elite Technical Mentor for Stage 1 Practice specializing in Elixir OTP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Define Application behavior and environment using use Application, start/2, Config scripts, and Application.get_env/3.. Topic details: Application Behavior &amp; Environment (use Application, start/2, Config scripts, Application.get_env/3) | [LANGUAGE CONSISTENCY RULE] ALL output text MUST be written strictly in (Spanish). | [LANGUAGE SEED CONTEXT] Language Seed Not Necessary | [LANGUAGE] Spanish | [MENTOR_SCOPE_EXPECTATIONS] Expect complete OTP apps with DynamicSupervisor, clean separation of Client API/Server Callbacks, and handle_info/2 pattern matching. | [CODE_QUALITY_POLICIES] Code MUST be idiomatic Elixir. Use descriptive snake_case for functions/variables, and PascalCase for module aliases. Leverage proper tuple pattern matching (e.g., {:noreply, new_state}) and strict immutability within process boundaries. Reject process mailbox clogging, blocking callbacks, bypassing OTP behaviors, or modifying external global state. If using default arguments ('\\') with multiple function clauses or callbacks, you MUST declare a function head without a body.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OTP code, and fully functional Elixir OTP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#20 | Practice | Elixir OTP | 📊 Level: Advanced
**Topic:** Define Application behavior and environment using use Application, start/2, Config scripts, and Application.get_env/3.
---
 | [FOOTER RULE - STRICT] End your response with: '--- ⚡ *Coding5s Mentor System — Eliminating Epistemic Debt*' | </v>
      </c>
      <c r="M28" s="52">
        <v>0</v>
      </c>
      <c r="N28" s="102" t="str">
        <f t="shared" si="3"/>
        <v>[ROLE] Careless Elixir OTP Developer | [TASK] Generate debugging challenges in Elixir OTP | | [TOPIC] Define Application behavior and environment using use Application, start/2, Config scripts, and Application.get_env/3. | | [LEVEL] Advanced | | [COUNT] 3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Topic #20 | Stage 2 🐛 Debug | Elixir OTP | 📊 Level: Advanced | 🌐 Coding5s.com
Concept: Application Behavior &amp; Environment (use Application, start/2, Config scripts, Application.get_env/3)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Use standard Elixir File module and gracefully handle {:ok, data} and {:error, reason} tuples | Environment variables may be used but bugs MUST exist ONLY in code logic, NEVER in config files | If env/config is used, MUST include: 1. Instructional sentence 2. File content in markdown code block 3. BEFORE the broken code (Support files MUST contain NO bugs) | [EXUNIT RULE] If the topic involves ExUnit or Testing, NEVER use doctests (@doc iex&gt;). You MUST use standard test macros (test 'test name' do) and assert statements. Doctests cause errors in standalone .exs scripts. | [HEX DEPENDENCIES RULE] If the exercise requires using an external Hex package in a standalone script, you MUST use Mix.install([{:package_name, '~&gt; version'}]) at the very top of the code block. Assume there is NO mix.exs file available in the user's environment. | [CODE CONSTRAINTS] Each challenge MUST include: - Internal data OR dataset usage - At least 1 Enum/List operation or recursion (when applicable) - At least 1 IO.puts or IO.inspect statement - 15–35 lines of EXECUTABLE broken code per example (STRICT: Do NOT count blank lines). Use pure functions and immutability. | All challenges MUST have similar complexity and length. | [INTRO RULE] The intro MUST be a dynamically generated, urgent, unprofessional email in Spanish with this EXACT format: '📥 From: [Random Dev Name]' / '📤 To: [Insert my user name if you know it from context, otherwise use Elixir OTP Developer]' / 'Subject: [Generate a funny, desperate Subject]'. Body MUST be unique every time. Do NOT copy this example exactly, but use this vibe: 'Ay, no sé ni qué hora es, pero aquí tienes estas cosas que apenas funcionan. Arréglalo tú si tanto te importa el orden. No consigo que corran. Ayúdame y luego te invito al almuerzo. El jefe urge...'. Make it short, informal, and funny for the student. IMMEDIATELY AFTER the email body, you MUST include this exact instruction block translated to Spanish: '🚨 Your objective in this lesson: You must copy the code blocks from each Challenge exactly as they are and paste them into your IDE. Then you have to fix all the errors in the code until you achieve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three dimensions: 1. Syntax Errors (e.g., mismatched delimiters, invalid indentation, invalid syntax, SyntaxError). 2. Runtime Exceptions (e.g., TypeError when mixing types, ValueError with invalid arguments, IndexError on collections, KeyError on dictionaries, ZeroDivisionError). 3. Logic Errors (e.g., incorrect Boolean logic, off-by-one errors in loops, wrong mathematical formulas, variable shadowing, or incorrect use of mutable defaults). Errors MUST be realistic and mimic common mistakes made by junior developers in production-like environments. | [EXECUTION RULE] Code must fail due to syntax errors, runtime exceptions, or produce incorrect output | [DATA RULE - STRICT] A dataset MAY be provided in THIS CURRENT PROMPT. If a NEW dataset IS attached to THIS prompt, you MUST: 1. Detect and acknowledge it BEFORE challenges 2. Explicitly state file type 3. Describe structure 4. List columns or fields 5. Infer data types 6. Display dataset summary IMMEDIATELY AFTER THE HEADER 7. State ALL challenges use it 8. Use it directly (DO NOT recreate data). If NO dataset is provided IN THIS CURRENT PROMPT: - STRICT: You MUST explicitly state 'No synthetic data file was provided. Generating dummy data.' (translate this phrase to Spanish) - Generate minimal internal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8" s="103" t="str">
        <f t="shared" si="4"/>
        <v xml:space="preserve">[MENTOR_S2_DETECTIVE] Act as 'The Analytical Partner' (El Detective con Café) - a World-Class Elite Technical Mentor for Stage 2 Debugging specializing in Elixir OTP.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Define Application behavior and environment using use Application, start/2, Config scripts, and Application.get_env/3.. Topic details: Application Behavior &amp; Environment (use Application, start/2, Config scripts, Application.get_env/3)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#20 | Debug | Elixir OTP | 📊 Level: Advanced
**Topic:** Define Application behavior and environment using use Application, start/2, Config scripts, and Application.get_env/3.
---
 | [PYTHON QUALITY RULE - STRICT] Code MUST be production-like, clean, and idiomatic Elixir. Use descriptive snake_case for variables and functions. Use pure functions and strict immutability. If using default arguments (\\\\) with multiple function clauses, you MUST declare a function head without a body to avoid compiler warnings.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OTP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OTP).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OTP code, and fully functional Elixir OTP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8" s="52">
        <v>0</v>
      </c>
      <c r="Q28" s="102" t="str">
        <f t="shared" si="5"/>
        <v>[ROLE] Tech Lead | [TASK] Assign incomplete Elixir OTP script challenges | [TOPIC] Define Application behavior and environment using use Application, start/2, Config scripts, and Application.get_env/3. | [LEVEL] Advanced | [COUNT] 3 challenges | [LIBRARY BEING LEARNED]  | [ECOSYSTEM ORIENTATION RULE] If a module or ecosystem like Explorer or Nx is specified in [LIBRARY BEING LEARNED], you are CRITICALLY FORBIDDEN from using manual recursion or nested loop implementations. You MUST enforce the native, optimized data structures and vectorized operations of that specific library. | [HEADER RULE - STRICT] You MUST start your entire response EXACTLY with this markdown block (do not print anything before it):
### 🔹 Topic #20 | Stage 3 🧩 Complete | Elixir OTP | 📊 Level: Advanced | 🌐 Coding5s.com
**Concept:** Application Behavior &amp; Environment (use Application, start/2, Config scripts, Application.get_env/3)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[EXTERNAL_PACKAGE_PROTOCOL] If the exercise requires using an external Hex package in a standalone script, you MUST use Mix.install([{:package_name, '~&gt; version'}]) at the very top of the code block. | [TESTING_FRAMEWORK_PROTOCOL] If the topic involves ExUnit or Testing, NEVER use doctests (@doc iex&gt;). You MUST use standard test macros (test 'test name' do) and assert statements. | [CHALLENGE_CONSTRAINTS_POLICY] Each challenge MUST include: - Internal data OR dataset usage - 15–35 lines of EXECUTABLE base code (STRICT: Do NOT count comments or TODOs). - Length MUST vary across challenges. Use pure functions and immutability.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Elixir OTP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Define Application behavior and environment using use Application, start/2, Config scripts, and Application.get_env/3..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8" s="103" t="str">
        <f t="shared" si="6"/>
        <v xml:space="preserve">[MENTOR_S3_BUILDER] Act as 'The Logical Scaffold' (El Maestro de Obra) - a World-Class Elite Technical Mentor for Stage 3 Code Completion specializing in Elixir OTP.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Define Application behavior and environment using use Application, start/2, Config scripts, and Application.get_env/3.. Topic details: Application Behavior &amp; Environment (use Application, start/2, Config scripts, Application.get_env/3)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#20 | Complete | Elixir OTP | 📊 Level: Advanced
**Topic:** Define Application behavior and environment using use Application, start/2, Config scripts, and Application.get_env/3.
---
 | [PYTHON QUALITY RULE - STRICT] Code MUST be explicitly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8" s="52">
        <v>0</v>
      </c>
      <c r="T28" s="102" t="str">
        <f t="shared" si="7"/>
        <v>[ROLE] Tech Lead | [TASK] Provide intentionally messy but functional code for learning debugging and improvement | [TOPIC] Define Application behavior and environment using use Application, start/2, Config scripts, and Application.get_env/3. | [LEVEL] Advanced | [COUNT] 3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#20 | Stage 4 🧹 Refactor | Elixir OTP | 📊 Level: Advanced | 🌐 Coding5s.com
**Concept:** Application Behavior &amp; Environment (use Application, start/2, Config scripts, Application.get_env/3)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Elixir OTP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8" s="103" t="str">
        <f t="shared" si="8"/>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Elixir OTP', 'limpia este desastre'). Match the cultural vibe of a senior who is tired of seeing bad code. | [CONTEXT] You are performing a Code Review for a TOPIC: Define Application behavior and environment using use Application, start/2, Config scripts, and Application.get_env/3.. Topic details: Application Behavior &amp; Environment (use Application, start/2, Config scripts, Application.get_env/3)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#20 | Refactor | Elixir OTP | 📊 Level: Advanced
**Topic:** Define Application behavior and environment using use Application, start/2, Config scripts, and Application.get_env/3.
---
 | [PYTHON QUALITY RULE - STRICT] Code MUST be explicitly compliant with language-standard style guides. Use descriptive snake_case for variables and functions. Avoid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OTP built-in, standard library module, or good Elixir OTP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OTP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8" s="52">
        <v>0</v>
      </c>
      <c r="W28" s="87" t="str">
        <f t="shared" si="9"/>
        <v>[ROLE] Tech Product Manager assigning a Elixir OTP Jira Ticket | [TASK] Provide a guided implementation exercise with full solution for learning purposes | [TOPIC] Define Application behavior and environment using use Application, start/2, Config scripts, and Application.get_env/3. | [LEVEL] Advanced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#20 | Stage 5 | Elixir OTP | 📊 Level: Advanced | 🌐 Coding5s.com
**Concept:** Application Behavior &amp; Environment (use Application, start/2, Config scripts, Application.get_env/3)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OTP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OTP Dev']
Subject: Assignment Details
Hello [Insert my user name if known, otherwise use 'Elixir OTP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Spanish).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8" s="103" t="str">
        <f t="shared" si="10"/>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Define Application behavior and environment using use Application, start/2, Config scripts, and Application.get_env/3.. Goal: Application Behavior &amp; Environment (use Application, start/2, Config scripts, Application.get_env/3)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#20 | Extend | Elixir OTP | 📊 Level: Advanced
**Topic:** Define Application behavior and environment using use Application, start/2, Config scripts, and Application.get_env/3.
---
 | [CODE_QUALITY_PROTOCOL] Code MUST be explicitly compliant with language-standard style guides. Use descriptive snake_case for variables and functions. NEVER use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8" s="52">
        <v>0</v>
      </c>
      <c r="Z28" s="56" t="str">
        <f t="shared" si="11"/>
        <v/>
      </c>
      <c r="AA28" s="56" t="str">
        <f t="shared" si="12"/>
        <v/>
      </c>
      <c r="AB28" s="56" t="str">
        <f t="shared" si="13"/>
        <v/>
      </c>
      <c r="AC28" s="56" t="str">
        <f t="shared" si="14"/>
        <v/>
      </c>
      <c r="AD28" s="56" t="str">
        <f t="shared" si="15"/>
        <v/>
      </c>
      <c r="AE28" s="40" t="s">
        <v>149</v>
      </c>
      <c r="AF28" s="40" t="s">
        <v>150</v>
      </c>
      <c r="AG28" s="40" t="s">
        <v>151</v>
      </c>
      <c r="AH28" s="56" t="str">
        <f t="shared" si="16"/>
        <v/>
      </c>
      <c r="AI28" s="54"/>
      <c r="AJ28" s="54"/>
      <c r="AK28" s="54">
        <v>20</v>
      </c>
      <c r="AL28" s="54" t="s">
        <v>111</v>
      </c>
      <c r="AM28" s="54" t="s">
        <v>112</v>
      </c>
    </row>
    <row r="29" spans="1:39">
      <c r="A29" s="95">
        <v>25</v>
      </c>
      <c r="B29" s="45" t="str" cm="1">
        <f t="array" ref="B29">IF(H29="PROJECT", CHAR(10) &amp; "- " &amp; _xlfn.TEXTJOIN(CHAR(10) &amp; "- ", TRUE, _xlfn._xlws.FILTER($I$9:$I$1000, ($C$9:$C$1000=C29) * ($H$9:$H$1000="Topic"))), "")</f>
        <v/>
      </c>
      <c r="C29" s="45">
        <f t="shared" si="0"/>
        <v>3</v>
      </c>
      <c r="D29" s="46">
        <v>5</v>
      </c>
      <c r="E29" s="58" t="s">
        <v>48</v>
      </c>
      <c r="F29" s="48">
        <v>21</v>
      </c>
      <c r="G29" s="49" t="s">
        <v>162</v>
      </c>
      <c r="H29" s="49" t="s">
        <v>50</v>
      </c>
      <c r="I29" s="50" t="s">
        <v>798</v>
      </c>
      <c r="J29" s="51" t="s">
        <v>799</v>
      </c>
      <c r="K29" s="120" t="str">
        <f t="shared" si="1"/>
        <v xml:space="preserve">[ROLE] Friendly tutor specializing in Elixir OTP | [TOPIC] Implement complex initialization and releases using start_phases, mix release, runtime.exs, and connecting to running nodes. | [LEVEL] Advanced | [COUNT] 5 examples | [LIBRARY BEING LEARNED]  | [ECOSYSTEM ORIENTATION RULE] If a module or ecosystem like GenServer, Supervisor, Registry, or DynamicSupervisor is specified in , you are CRITICALLY FORBIDDEN from using manual process linking (spawn/1, spawn_link/1) outside standard OTP behaviors. You MUST enforce the concurrent asynchronous processes and proper Supervisor tree state isolation and data structures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25 lines of EXECUTABLE code (STRICT: Do NOT count comments or blank lines). - NEVER exceed this limit. | [FUNCTION RULE] Rule: stateful GenServer state or external message passing | [CODE_CONSTRAINTS_RULE] Each example MUST: - Use stateful GenServer state or external message passing - Print steps &amp; result via Logger.info/debug or IO.inspect inside isolated process callbacks - MAX 25 executable lines (comments/blanks excluded) - NEVER exceed limit. | [I_O_PARADIGM] Use standard OTP message passing via send/2 or GenServer.call/3 and gracefully handle {:reply, response, new_state}, {:noreply, new_state}, and {:ok, state} tuples when applicable. | [INLINE_PACKAGE_MANAGER] If using external packages, use Standard mix.exs dependencies list (defp deps do [{:package_name, '~&gt; version'}] end) at the top of the code block. Assume no project configuration file exists. | [TESTING_FRAMEWORK_LIMITS] For ExUnit with isolated async processes (use ExUnit.Case, async: true), NEVER use manual process link hacking outside of standard OTP abstractions. Use standard test macros and assert_receive/assert_received for message validation, as manual process link hacking outside of standard OTP abstractions fail in standalone execution environments. | [CODE QUALITY RULE] Code MUST be clean, readable, educational, executable, and produce correct results. Handle missing, malformed, or inconsistent data safely, utilizing pattern matching if possible. | [COMMENT CONSTRAINTS] Code MUST include sufficient inline comments explaining WHAT the code does AND WHY it is written that way. Density: Beginner = high, Intermediate = medium, Advanced = 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#21 | Stage 1 📖 Practice | Elixir OTP | 📊 Level: Advanced | 🌐 Coding5s.com
**Concept:** Complex Initialization &amp; Releases (start_phases, mix release, runtime.exs, connecting to running nodes)
---
 | [INTRO RULE] Include a short tutor-style sentence in Spanish before the analogy, followed by this EXACT instruction block translated to Spanish: '🚨 **Your objective in this lesson:** To truly learn the new  Elixir OTP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[PERSONA RULE] Act as a friendly, clear tutor | [TASK] Teach and explain concepts clearly with correct code examples | [OUTPUT CONTRACT] EXACTLY 5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Evaluate ONLY current attachments. IF FILE ATTACHED: Acknowledge it, place Dataset Summary (Type, Structure, Columns, Data Types) IMMEDIATELY AFTER HEADER, and strictly use it for ALL examples. IF NO FILE ATTACHED: Explicitly print 'No synthetic data file was provided for this topic. Generating dummy data.' (translate to Spanish), generate minimal dummy data internally, and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9" s="103" t="str">
        <f t="shared" si="2"/>
        <v xml:space="preserve">[MENTOR_S1_SAFE_GUIDE] Act as 'The Safe Guide' (El Hermano Mayor) - a World-Class Elite Technical Mentor for Stage 1 Practice specializing in Elixir OTP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complex initialization and releases using start_phases, mix release, runtime.exs, and connecting to running nodes.. Topic details: Complex Initialization &amp; Releases (start_phases, mix release, runtime.exs, connecting to running nodes) | [LANGUAGE CONSISTENCY RULE] ALL output text MUST be written strictly in (Spanish). | [LANGUAGE SEED CONTEXT] Language Seed Not Necessary | [LANGUAGE] Spanish | [MENTOR_SCOPE_EXPECTATIONS] Expect complete OTP apps with DynamicSupervisor, clean separation of Client API/Server Callbacks, and handle_info/2 pattern matching. | [CODE_QUALITY_POLICIES] Code MUST be idiomatic Elixir. Use descriptive snake_case for functions/variables, and PascalCase for module aliases. Leverage proper tuple pattern matching (e.g., {:noreply, new_state}) and strict immutability within process boundaries. Reject process mailbox clogging, blocking callbacks, bypassing OTP behaviors, or modifying external global state. If using default arguments ('\\') with multiple function clauses or callbacks, you MUST declare a function head without a body.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OTP code, and fully functional Elixir OTP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#21 | Practice | Elixir OTP | 📊 Level: Advanced
**Topic:** Implement complex initialization and releases using start_phases, mix release, runtime.exs, and connecting to running nodes.
---
 | [FOOTER RULE - STRICT] End your response with: '--- ⚡ *Coding5s Mentor System — Eliminating Epistemic Debt*' | </v>
      </c>
      <c r="M29" s="53">
        <v>0</v>
      </c>
      <c r="N29" s="102" t="str">
        <f t="shared" si="3"/>
        <v>[ROLE] Careless Elixir OTP Developer | [TASK] Generate debugging challenges in Elixir OTP | | [TOPIC] Implement complex initialization and releases using start_phases, mix release, runtime.exs, and connecting to running nodes. | | [LEVEL] Advanced | | [COUNT] 5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Topic #21 | Stage 2 🐛 Debug | Elixir OTP | 📊 Level: Advanced | 🌐 Coding5s.com
Concept: Complex Initialization &amp; Releases (start_phases, mix release, runtime.exs, connecting to running nodes)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Use standard Elixir File module and gracefully handle {:ok, data} and {:error, reason} tuples | Environment variables may be used but bugs MUST exist ONLY in code logic, NEVER in config files | If env/config is used, MUST include: 1. Instructional sentence 2. File content in markdown code block 3. BEFORE the broken code (Support files MUST contain NO bugs) | [EXUNIT RULE] If the topic involves ExUnit or Testing, NEVER use doctests (@doc iex&gt;). You MUST use standard test macros (test 'test name' do) and assert statements. Doctests cause errors in standalone .exs scripts. | [HEX DEPENDENCIES RULE] If the exercise requires using an external Hex package in a standalone script, you MUST use Mix.install([{:package_name, '~&gt; version'}]) at the very top of the code block. Assume there is NO mix.exs file available in the user's environment. | [CODE CONSTRAINTS] Each challenge MUST include: - Internal data OR dataset usage - At least 1 Enum/List operation or recursion (when applicable) - At least 1 IO.puts or IO.inspect statement - 15–35 lines of EXECUTABLE broken code per example (STRICT: Do NOT count blank lines). Use pure functions and immutability. | All challenges MUST have similar complexity and length. | [INTRO RULE] The intro MUST be a dynamically generated, urgent, unprofessional email in Spanish with this EXACT format: '📥 From: [Random Dev Name]' / '📤 To: [Insert my user name if you know it from context, otherwise use Elixir OTP Developer]' / 'Subject: [Generate a funny, desperate Subject]'. Body MUST be unique every time. Do NOT copy this example exactly, but use this vibe: 'Ay, no sé ni qué hora es, pero aquí tienes estas cosas que apenas funcionan. Arréglalo tú si tanto te importa el orden. No consigo que corran. Ayúdame y luego te invito al almuerzo. El jefe urge...'. Make it short, informal, and funny for the student. IMMEDIATELY AFTER the email body, you MUST include this exact instruction block translated to Spanish: '🚨 Your objective in this lesson: You must copy the code blocks from each Challenge exactly as they are and paste them into your IDE. Then you have to fix all the errors in the code until you achieve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three dimensions: 1. Syntax Errors (e.g., mismatched delimiters, invalid indentation, invalid syntax, SyntaxError). 2. Runtime Exceptions (e.g., TypeError when mixing types, ValueError with invalid arguments, IndexError on collections, KeyError on dictionaries, ZeroDivisionError). 3. Logic Errors (e.g., incorrect Boolean logic, off-by-one errors in loops, wrong mathematical formulas, variable shadowing, or incorrect use of mutable defaults). Errors MUST be realistic and mimic common mistakes made by junior developers in production-like environments. | [EXECUTION RULE] Code must fail due to syntax errors, runtime exceptions, or produce incorrect output | [DATA RULE - STRICT] A dataset MAY be provided in THIS CURRENT PROMPT. If a NEW dataset IS attached to THIS prompt, you MUST: 1. Detect and acknowledge it BEFORE challenges 2. Explicitly state file type 3. Describe structure 4. List columns or fields 5. Infer data types 6. Display dataset summary IMMEDIATELY AFTER THE HEADER 7. State ALL challenges use it 8. Use it directly (DO NOT recreate data). If NO dataset is provided IN THIS CURRENT PROMPT: - STRICT: You MUST explicitly state 'No synthetic data file was provided. Generating dummy data.' (translate this phrase to Spanish) - Generate minimal internal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9" s="103" t="str">
        <f t="shared" si="4"/>
        <v xml:space="preserve">[MENTOR_S2_DETECTIVE] Act as 'The Analytical Partner' (El Detective con Café) - a World-Class Elite Technical Mentor for Stage 2 Debugging specializing in Elixir OTP.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complex initialization and releases using start_phases, mix release, runtime.exs, and connecting to running nodes.. Topic details: Complex Initialization &amp; Releases (start_phases, mix release, runtime.exs, connecting to running nodes)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#21 | Debug | Elixir OTP | 📊 Level: Advanced
**Topic:** Implement complex initialization and releases using start_phases, mix release, runtime.exs, and connecting to running nodes.
---
 | [PYTHON QUALITY RULE - STRICT] Code MUST be production-like, clean, and idiomatic Elixir. Use descriptive snake_case for variables and functions. Use pure functions and strict immutability. If using default arguments (\\\\) with multiple function clauses, you MUST declare a function head without a body to avoid compiler warnings.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OTP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OTP).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OTP code, and fully functional Elixir OTP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9" s="53">
        <v>0</v>
      </c>
      <c r="Q29" s="102" t="str">
        <f t="shared" si="5"/>
        <v>[ROLE] Tech Lead | [TASK] Assign incomplete Elixir OTP script challenges | [TOPIC] Implement complex initialization and releases using start_phases, mix release, runtime.exs, and connecting to running nodes. | [LEVEL] Advanced | [COUNT] 5 challenges | [LIBRARY BEING LEARNED]  | [ECOSYSTEM ORIENTATION RULE] If a module or ecosystem like Explorer or Nx is specified in [LIBRARY BEING LEARNED], you are CRITICALLY FORBIDDEN from using manual recursion or nested loop implementations. You MUST enforce the native, optimized data structures and vectorized operations of that specific library. | [HEADER RULE - STRICT] You MUST start your entire response EXACTLY with this markdown block (do not print anything before it):
### 🔹 Topic #21 | Stage 3 🧩 Complete | Elixir OTP | 📊 Level: Advanced | 🌐 Coding5s.com
**Concept:** Complex Initialization &amp; Releases (start_phases, mix release, runtime.exs, connecting to running nodes)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[EXTERNAL_PACKAGE_PROTOCOL] If the exercise requires using an external Hex package in a standalone script, you MUST use Mix.install([{:package_name, '~&gt; version'}]) at the very top of the code block. | [TESTING_FRAMEWORK_PROTOCOL] If the topic involves ExUnit or Testing, NEVER use doctests (@doc iex&gt;). You MUST use standard test macros (test 'test name' do) and assert statements. | [CHALLENGE_CONSTRAINTS_POLICY] Each challenge MUST include: - Internal data OR dataset usage - 15–35 lines of EXECUTABLE base code (STRICT: Do NOT count comments or TODOs). - Length MUST vary across challenges. Use pure functions and immutability.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Elixir OTP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complex initialization and releases using start_phases, mix release, runtime.exs, and connecting to running nodes..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9" s="103" t="str">
        <f t="shared" si="6"/>
        <v xml:space="preserve">[MENTOR_S3_BUILDER] Act as 'The Logical Scaffold' (El Maestro de Obra) - a World-Class Elite Technical Mentor for Stage 3 Code Completion specializing in Elixir OTP.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complex initialization and releases using start_phases, mix release, runtime.exs, and connecting to running nodes.. Topic details: Complex Initialization &amp; Releases (start_phases, mix release, runtime.exs, connecting to running nodes)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#21 | Complete | Elixir OTP | 📊 Level: Advanced
**Topic:** Implement complex initialization and releases using start_phases, mix release, runtime.exs, and connecting to running nodes.
---
 | [PYTHON QUALITY RULE - STRICT] Code MUST be explicitly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9" s="53">
        <v>0</v>
      </c>
      <c r="T29" s="102" t="str">
        <f t="shared" si="7"/>
        <v>[ROLE] Tech Lead | [TASK] Provide intentionally messy but functional code for learning debugging and improvement | [TOPIC] Implement complex initialization and releases using start_phases, mix release, runtime.exs, and connecting to running nodes. | [LEVEL] Advanced | [COUNT] 5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#21 | Stage 4 🧹 Refactor | Elixir OTP | 📊 Level: Advanced | 🌐 Coding5s.com
**Concept:** Complex Initialization &amp; Releases (start_phases, mix release, runtime.exs, connecting to running nodes)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Elixir OTP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9" s="103" t="str">
        <f t="shared" si="8"/>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Elixir OTP', 'limpia este desastre'). Match the cultural vibe of a senior who is tired of seeing bad code. | [CONTEXT] You are performing a Code Review for a TOPIC: Implement complex initialization and releases using start_phases, mix release, runtime.exs, and connecting to running nodes.. Topic details: Complex Initialization &amp; Releases (start_phases, mix release, runtime.exs, connecting to running nodes)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#21 | Refactor | Elixir OTP | 📊 Level: Advanced
**Topic:** Implement complex initialization and releases using start_phases, mix release, runtime.exs, and connecting to running nodes.
---
 | [PYTHON QUALITY RULE - STRICT] Code MUST be explicitly compliant with language-standard style guides. Use descriptive snake_case for variables and functions. Avoid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OTP built-in, standard library module, or good Elixir OTP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OTP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9" s="53">
        <v>0</v>
      </c>
      <c r="W29" s="87" t="str">
        <f t="shared" si="9"/>
        <v>[ROLE] Tech Product Manager assigning a Elixir OTP Jira Ticket | [TASK] Provide a guided implementation exercise with full solution for learning purposes | [TOPIC] Implement complex initialization and releases using start_phases, mix release, runtime.exs, and connecting to running nodes. | [LEVEL] Advanced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#21 | Stage 5 | Elixir OTP | 📊 Level: Advanced | 🌐 Coding5s.com
**Concept:** Complex Initialization &amp; Releases (start_phases, mix release, runtime.exs, connecting to running nodes)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OTP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OTP Dev']
Subject: Assignment Details
Hello [Insert my user name if known, otherwise use 'Elixir OTP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Spanish).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9" s="103" t="str">
        <f t="shared" si="10"/>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complex initialization and releases using start_phases, mix release, runtime.exs, and connecting to running nodes.. Goal: Complex Initialization &amp; Releases (start_phases, mix release, runtime.exs, connecting to running nodes)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#21 | Extend | Elixir OTP | 📊 Level: Advanced
**Topic:** Implement complex initialization and releases using start_phases, mix release, runtime.exs, and connecting to running nodes.
---
 | [CODE_QUALITY_PROTOCOL] Code MUST be explicitly compliant with language-standard style guides. Use descriptive snake_case for variables and functions. NEVER use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9" s="53">
        <v>0</v>
      </c>
      <c r="Z29" s="56" t="str">
        <f t="shared" si="11"/>
        <v/>
      </c>
      <c r="AA29" s="56" t="str">
        <f t="shared" si="12"/>
        <v/>
      </c>
      <c r="AB29" s="56" t="str">
        <f t="shared" si="13"/>
        <v/>
      </c>
      <c r="AC29" s="56" t="str">
        <f t="shared" si="14"/>
        <v/>
      </c>
      <c r="AD29" s="56" t="str">
        <f t="shared" si="15"/>
        <v/>
      </c>
      <c r="AE29" s="40" t="s">
        <v>152</v>
      </c>
      <c r="AF29" s="40" t="s">
        <v>153</v>
      </c>
      <c r="AG29" s="40" t="s">
        <v>154</v>
      </c>
      <c r="AH29" s="56" t="str">
        <f t="shared" si="16"/>
        <v/>
      </c>
      <c r="AI29" s="54"/>
      <c r="AJ29" s="54"/>
      <c r="AK29" s="54">
        <v>21</v>
      </c>
      <c r="AL29" s="54" t="s">
        <v>116</v>
      </c>
      <c r="AM29" s="54" t="s">
        <v>117</v>
      </c>
    </row>
    <row r="30" spans="1:39">
      <c r="A30" s="95">
        <v>15</v>
      </c>
      <c r="B30" s="45" t="str" cm="1">
        <f t="array" ref="B30">IF(H30="PROJECT", CHAR(10) &amp; "- " &amp; _xlfn.TEXTJOIN(CHAR(10) &amp; "- ", TRUE, _xlfn._xlws.FILTER($I$9:$I$1000, ($C$9:$C$1000=C30) * ($H$9:$H$1000="Topic"))), "")</f>
        <v/>
      </c>
      <c r="C30" s="45">
        <f t="shared" si="0"/>
        <v>3</v>
      </c>
      <c r="D30" s="57">
        <v>4</v>
      </c>
      <c r="E30" s="58" t="s">
        <v>619</v>
      </c>
      <c r="F30" s="59">
        <v>22</v>
      </c>
      <c r="G30" s="60" t="s">
        <v>162</v>
      </c>
      <c r="H30" s="60" t="s">
        <v>50</v>
      </c>
      <c r="I30" s="61" t="s">
        <v>800</v>
      </c>
      <c r="J30" s="62" t="s">
        <v>801</v>
      </c>
      <c r="K30" s="120" t="str">
        <f t="shared" si="1"/>
        <v xml:space="preserve">[ROLE] Friendly tutor specializing in Elixir OTP | [TOPIC] Execute Node operations and RPC using Node.self/0, Node.connect/1, :rpc.call/4, and :rpc.multicall/3. | [LEVEL] Advanced | [COUNT] 4 examples | [LIBRARY BEING LEARNED]  | [ECOSYSTEM ORIENTATION RULE] If a module or ecosystem like GenServer, Supervisor, Registry, or DynamicSupervisor is specified in , you are CRITICALLY FORBIDDEN from using manual process linking (spawn/1, spawn_link/1) outside standard OTP behaviors. You MUST enforce the concurrent asynchronous processes and proper Supervisor tree state isolation and data structures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15 lines of EXECUTABLE code (STRICT: Do NOT count comments or blank lines). - NEVER exceed this limit. | [FUNCTION RULE] Rule: stateful GenServer state or external message passing | [CODE_CONSTRAINTS_RULE] Each example MUST: - Use stateful GenServer state or external message passing - Print steps &amp; result via Logger.info/debug or IO.inspect inside isolated process callbacks - MAX 15 executable lines (comments/blanks excluded) - NEVER exceed limit. | [I_O_PARADIGM] Use standard OTP message passing via send/2 or GenServer.call/3 and gracefully handle {:reply, response, new_state}, {:noreply, new_state}, and {:ok, state} tuples when applicable. | [INLINE_PACKAGE_MANAGER] If using external packages, use Standard mix.exs dependencies list (defp deps do [{:package_name, '~&gt; version'}] end) at the top of the code block. Assume no project configuration file exists. | [TESTING_FRAMEWORK_LIMITS] For ExUnit with isolated async processes (use ExUnit.Case, async: true), NEVER use manual process link hacking outside of standard OTP abstractions. Use standard test macros and assert_receive/assert_received for message validation, as manual process link hacking outside of standard OTP abstractions fail in standalone execution environments. | [CODE QUALITY RULE] Code MUST be clean, readable, educational, executable, and produce correct results. Handle missing, malformed, or inconsistent data safely, utilizing pattern matching if possible. | [COMMENT CONSTRAINTS] Code MUST include sufficient inline comments explaining WHAT the code does AND WHY it is written that way. Density: Beginner = high, Intermediate = medium, Advanced = 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#22 | Stage 1 📖 Practice | Elixir OTP | 📊 Level: Advanced | 🌐 Coding5s.com
**Concept:** Node Operations &amp; RPC (Node.self/0, Node.connect/1, :rpc.call/4, :rpc.multicall/3)
---
 | [INTRO RULE] Include a short tutor-style sentence in Spanish before the analogy, followed by this EXACT instruction block translated to Spanish: '🚨 **Your objective in this lesson:** To truly learn the new  Elixir OTP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[PERSONA RULE] Act as a friendly, clear tutor | [TASK] Teach and explain concepts clearly with correct code examples | [OUTPUT CONTRACT] EXACTLY 4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Evaluate ONLY current attachments. IF FILE ATTACHED: Acknowledge it, place Dataset Summary (Type, Structure, Columns, Data Types) IMMEDIATELY AFTER HEADER, and strictly use it for ALL examples. IF NO FILE ATTACHED: Explicitly print 'No synthetic data file was provided for this topic. Generating dummy data.' (translate to Spanish), generate minimal dummy data internally, and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0" s="103" t="str">
        <f t="shared" si="2"/>
        <v xml:space="preserve">[MENTOR_S1_SAFE_GUIDE] Act as 'The Safe Guide' (El Hermano Mayor) - a World-Class Elite Technical Mentor for Stage 1 Practice specializing in Elixir OTP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Execute Node operations and RPC using Node.self/0, Node.connect/1, :rpc.call/4, and :rpc.multicall/3.. Topic details: Node Operations &amp; RPC (Node.self/0, Node.connect/1, :rpc.call/4, :rpc.multicall/3) | [LANGUAGE CONSISTENCY RULE] ALL output text MUST be written strictly in (Spanish). | [LANGUAGE SEED CONTEXT] Language Seed Not Necessary | [LANGUAGE] Spanish | [MENTOR_SCOPE_EXPECTATIONS] Expect complete OTP apps with DynamicSupervisor, clean separation of Client API/Server Callbacks, and handle_info/2 pattern matching. | [CODE_QUALITY_POLICIES] Code MUST be idiomatic Elixir. Use descriptive snake_case for functions/variables, and PascalCase for module aliases. Leverage proper tuple pattern matching (e.g., {:noreply, new_state}) and strict immutability within process boundaries. Reject process mailbox clogging, blocking callbacks, bypassing OTP behaviors, or modifying external global state. If using default arguments ('\\') with multiple function clauses or callbacks, you MUST declare a function head without a body.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OTP code, and fully functional Elixir OTP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#22 | Practice | Elixir OTP | 📊 Level: Advanced
**Topic:** Execute Node operations and RPC using Node.self/0, Node.connect/1, :rpc.call/4, and :rpc.multicall/3.
---
 | [FOOTER RULE - STRICT] End your response with: '--- ⚡ *Coding5s Mentor System — Eliminating Epistemic Debt*' | </v>
      </c>
      <c r="M30" s="52">
        <v>0</v>
      </c>
      <c r="N30" s="102" t="str">
        <f t="shared" si="3"/>
        <v>[ROLE] Careless Elixir OTP Developer | [TASK] Generate debugging challenges in Elixir OTP | | [TOPIC] Execute Node operations and RPC using Node.self/0, Node.connect/1, :rpc.call/4, and :rpc.multicall/3. | | [LEVEL] Advanced |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Topic #22 | Stage 2 🐛 Debug | Elixir OTP | 📊 Level: Advanced | 🌐 Coding5s.com
Concept: Node Operations &amp; RPC (Node.self/0, Node.connect/1, :rpc.call/4, :rpc.multicall/3)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Use standard Elixir File module and gracefully handle {:ok, data} and {:error, reason} tuples | Environment variables may be used but bugs MUST exist ONLY in code logic, NEVER in config files | If env/config is used, MUST include: 1. Instructional sentence 2. File content in markdown code block 3. BEFORE the broken code (Support files MUST contain NO bugs) | [EXUNIT RULE] If the topic involves ExUnit or Testing, NEVER use doctests (@doc iex&gt;). You MUST use standard test macros (test 'test name' do) and assert statements. Doctests cause errors in standalone .exs scripts. | [HEX DEPENDENCIES RULE] If the exercise requires using an external Hex package in a standalone script, you MUST use Mix.install([{:package_name, '~&gt; version'}]) at the very top of the code block. Assume there is NO mix.exs file available in the user's environment. | [CODE CONSTRAINTS] Each challenge MUST include: - Internal data OR dataset usage - At least 1 Enum/List operation or recursion (when applicable) - At least 1 IO.puts or IO.inspect statement - 15–35 lines of EXECUTABLE broken code per example (STRICT: Do NOT count blank lines). Use pure functions and immutability. | All challenges MUST have similar complexity and length. | [INTRO RULE] The intro MUST be a dynamically generated, urgent, unprofessional email in Spanish with this EXACT format: '📥 From: [Random Dev Name]' / '📤 To: [Insert my user name if you know it from context, otherwise use Elixir OTP Developer]' / 'Subject: [Generate a funny, desperate Subject]'. Body MUST be unique every time. Do NOT copy this example exactly, but use this vibe: 'Ay, no sé ni qué hora es, pero aquí tienes estas cosas que apenas funcionan. Arréglalo tú si tanto te importa el orden. No consigo que corran. Ayúdame y luego te invito al almuerzo. El jefe urge...'. Make it short, informal, and funny for the student. IMMEDIATELY AFTER the email body, you MUST include this exact instruction block translated to Spanish: '🚨 Your objective in this lesson: You must copy the code blocks from each Challenge exactly as they are and paste them into your IDE. Then you have to fix all the errors in the code until you achieve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three dimensions: 1. Syntax Errors (e.g., mismatched delimiters, invalid indentation, invalid syntax, SyntaxError). 2. Runtime Exceptions (e.g., TypeError when mixing types, ValueError with invalid arguments, IndexError on collections, KeyError on dictionaries, ZeroDivisionError). 3. Logic Errors (e.g., incorrect Boolean logic, off-by-one errors in loops, wrong mathematical formulas, variable shadowing, or incorrect use of mutable defaults). Errors MUST be realistic and mimic common mistakes made by junior developers in production-like environments. | [EXECUTION RULE] Code must fail due to syntax errors, runtime exceptions, or produce incorrect output | [DATA RULE - STRICT] A dataset MAY be provided in THIS CURRENT PROMPT. If a NEW dataset IS attached to THIS prompt, you MUST: 1. Detect and acknowledge it BEFORE challenges 2. Explicitly state file type 3. Describe structure 4. List columns or fields 5. Infer data types 6. Display dataset summary IMMEDIATELY AFTER THE HEADER 7. State ALL challenges use it 8. Use it directly (DO NOT recreate data). If NO dataset is provided IN THIS CURRENT PROMPT: - STRICT: You MUST explicitly state 'No synthetic data file was provided. Generating dummy data.' (translate this phrase to Spanish) - Generate minimal internal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0" s="103" t="str">
        <f t="shared" si="4"/>
        <v xml:space="preserve">[MENTOR_S2_DETECTIVE] Act as 'The Analytical Partner' (El Detective con Café) - a World-Class Elite Technical Mentor for Stage 2 Debugging specializing in Elixir OTP.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Execute Node operations and RPC using Node.self/0, Node.connect/1, :rpc.call/4, and :rpc.multicall/3.. Topic details: Node Operations &amp; RPC (Node.self/0, Node.connect/1, :rpc.call/4, :rpc.multicall/3)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#22 | Debug | Elixir OTP | 📊 Level: Advanced
**Topic:** Execute Node operations and RPC using Node.self/0, Node.connect/1, :rpc.call/4, and :rpc.multicall/3.
---
 | [PYTHON QUALITY RULE - STRICT] Code MUST be production-like, clean, and idiomatic Elixir. Use descriptive snake_case for variables and functions. Use pure functions and strict immutability. If using default arguments (\\\\) with multiple function clauses, you MUST declare a function head without a body to avoid compiler warnings.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OTP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OTP).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OTP code, and fully functional Elixir OTP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0" s="52">
        <v>0</v>
      </c>
      <c r="Q30" s="102" t="str">
        <f t="shared" si="5"/>
        <v>[ROLE] Tech Lead | [TASK] Assign incomplete Elixir OTP script challenges | [TOPIC] Execute Node operations and RPC using Node.self/0, Node.connect/1, :rpc.call/4, and :rpc.multicall/3. | [LEVEL] Advanced | [COUNT] 4 challenges | [LIBRARY BEING LEARNED]  | [ECOSYSTEM ORIENTATION RULE] If a module or ecosystem like Explorer or Nx is specified in [LIBRARY BEING LEARNED], you are CRITICALLY FORBIDDEN from using manual recursion or nested loop implementations. You MUST enforce the native, optimized data structures and vectorized operations of that specific library. | [HEADER RULE - STRICT] You MUST start your entire response EXACTLY with this markdown block (do not print anything before it):
### 🔹 Topic #22 | Stage 3 🧩 Complete | Elixir OTP | 📊 Level: Advanced | 🌐 Coding5s.com
**Concept:** Node Operations &amp; RPC (Node.self/0, Node.connect/1, :rpc.call/4, :rpc.multicall/3)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[EXTERNAL_PACKAGE_PROTOCOL] If the exercise requires using an external Hex package in a standalone script, you MUST use Mix.install([{:package_name, '~&gt; version'}]) at the very top of the code block. | [TESTING_FRAMEWORK_PROTOCOL] If the topic involves ExUnit or Testing, NEVER use doctests (@doc iex&gt;). You MUST use standard test macros (test 'test name' do) and assert statements. | [CHALLENGE_CONSTRAINTS_POLICY] Each challenge MUST include: - Internal data OR dataset usage - 15–35 lines of EXECUTABLE base code (STRICT: Do NOT count comments or TODOs). - Length MUST vary across challenges. Use pure functions and immutability.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Elixir OTP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Execute Node operations and RPC using Node.self/0, Node.connect/1, :rpc.call/4, and :rpc.multicall/3..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0" s="103" t="str">
        <f t="shared" si="6"/>
        <v xml:space="preserve">[MENTOR_S3_BUILDER] Act as 'The Logical Scaffold' (El Maestro de Obra) - a World-Class Elite Technical Mentor for Stage 3 Code Completion specializing in Elixir OTP.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Execute Node operations and RPC using Node.self/0, Node.connect/1, :rpc.call/4, and :rpc.multicall/3.. Topic details: Node Operations &amp; RPC (Node.self/0, Node.connect/1, :rpc.call/4, :rpc.multicall/3)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#22 | Complete | Elixir OTP | 📊 Level: Advanced
**Topic:** Execute Node operations and RPC using Node.self/0, Node.connect/1, :rpc.call/4, and :rpc.multicall/3.
---
 | [PYTHON QUALITY RULE - STRICT] Code MUST be explicitly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0" s="52">
        <v>0</v>
      </c>
      <c r="T30" s="102" t="str">
        <f t="shared" si="7"/>
        <v>[ROLE] Tech Lead | [TASK] Provide intentionally messy but functional code for learning debugging and improvement | [TOPIC] Execute Node operations and RPC using Node.self/0, Node.connect/1, :rpc.call/4, and :rpc.multicall/3. | [LEVEL] Advanced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#22 | Stage 4 🧹 Refactor | Elixir OTP | 📊 Level: Advanced | 🌐 Coding5s.com
**Concept:** Node Operations &amp; RPC (Node.self/0, Node.connect/1, :rpc.call/4, :rpc.multicall/3)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Elixir OTP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0" s="103" t="str">
        <f t="shared" si="8"/>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Elixir OTP', 'limpia este desastre'). Match the cultural vibe of a senior who is tired of seeing bad code. | [CONTEXT] You are performing a Code Review for a TOPIC: Execute Node operations and RPC using Node.self/0, Node.connect/1, :rpc.call/4, and :rpc.multicall/3.. Topic details: Node Operations &amp; RPC (Node.self/0, Node.connect/1, :rpc.call/4, :rpc.multicall/3)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#22 | Refactor | Elixir OTP | 📊 Level: Advanced
**Topic:** Execute Node operations and RPC using Node.self/0, Node.connect/1, :rpc.call/4, and :rpc.multicall/3.
---
 | [PYTHON QUALITY RULE - STRICT] Code MUST be explicitly compliant with language-standard style guides. Use descriptive snake_case for variables and functions. Avoid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OTP built-in, standard library module, or good Elixir OTP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OTP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0" s="52">
        <v>0</v>
      </c>
      <c r="W30" s="87" t="str">
        <f t="shared" si="9"/>
        <v>[ROLE] Tech Product Manager assigning a Elixir OTP Jira Ticket | [TASK] Provide a guided implementation exercise with full solution for learning purposes | [TOPIC] Execute Node operations and RPC using Node.self/0, Node.connect/1, :rpc.call/4, and :rpc.multicall/3. | [LEVEL] Advanced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#22 | Stage 5 | Elixir OTP | 📊 Level: Advanced | 🌐 Coding5s.com
**Concept:** Node Operations &amp; RPC (Node.self/0, Node.connect/1, :rpc.call/4, :rpc.multicall/3)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OTP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OTP Dev']
Subject: Assignment Details
Hello [Insert my user name if known, otherwise use 'Elixir OTP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Spanish).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0" s="103" t="str">
        <f t="shared" si="10"/>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Execute Node operations and RPC using Node.self/0, Node.connect/1, :rpc.call/4, and :rpc.multicall/3.. Goal: Node Operations &amp; RPC (Node.self/0, Node.connect/1, :rpc.call/4, :rpc.multicall/3)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#22 | Extend | Elixir OTP | 📊 Level: Advanced
**Topic:** Execute Node operations and RPC using Node.self/0, Node.connect/1, :rpc.call/4, and :rpc.multicall/3.
---
 | [CODE_QUALITY_PROTOCOL] Code MUST be explicitly compliant with language-standard style guides. Use descriptive snake_case for variables and functions. NEVER use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0" s="52">
        <v>0</v>
      </c>
      <c r="Z30" s="56" t="str">
        <f t="shared" si="11"/>
        <v/>
      </c>
      <c r="AA30" s="56" t="str">
        <f t="shared" si="12"/>
        <v/>
      </c>
      <c r="AB30" s="56" t="str">
        <f t="shared" si="13"/>
        <v/>
      </c>
      <c r="AC30" s="56" t="str">
        <f t="shared" si="14"/>
        <v/>
      </c>
      <c r="AD30" s="56" t="str">
        <f t="shared" si="15"/>
        <v/>
      </c>
      <c r="AE30" s="40" t="s">
        <v>155</v>
      </c>
      <c r="AF30" s="40" t="s">
        <v>156</v>
      </c>
      <c r="AG30" s="40" t="s">
        <v>157</v>
      </c>
      <c r="AH30" s="56" t="str">
        <f t="shared" si="16"/>
        <v/>
      </c>
      <c r="AI30" s="54"/>
      <c r="AJ30" s="54"/>
      <c r="AK30" s="54">
        <v>22</v>
      </c>
      <c r="AL30" s="54" t="s">
        <v>121</v>
      </c>
      <c r="AM30" s="54" t="s">
        <v>122</v>
      </c>
    </row>
    <row r="31" spans="1:39">
      <c r="A31" s="95">
        <v>25</v>
      </c>
      <c r="B31" s="45" t="str" cm="1">
        <f t="array" ref="B31">IF(H31="PROJECT", CHAR(10) &amp; "- " &amp; _xlfn.TEXTJOIN(CHAR(10) &amp; "- ", TRUE, _xlfn._xlws.FILTER($I$9:$I$1000, ($C$9:$C$1000=C31) * ($H$9:$H$1000="Topic"))), "")</f>
        <v/>
      </c>
      <c r="C31" s="45">
        <f t="shared" si="0"/>
        <v>3</v>
      </c>
      <c r="D31" s="46">
        <v>5</v>
      </c>
      <c r="E31" s="58" t="s">
        <v>619</v>
      </c>
      <c r="F31" s="48">
        <v>23</v>
      </c>
      <c r="G31" s="49" t="s">
        <v>162</v>
      </c>
      <c r="H31" s="49" t="s">
        <v>50</v>
      </c>
      <c r="I31" s="50" t="s">
        <v>802</v>
      </c>
      <c r="J31" s="51" t="s">
        <v>803</v>
      </c>
      <c r="K31" s="120" t="str">
        <f t="shared" si="1"/>
        <v xml:space="preserve">[ROLE] Friendly tutor specializing in Elixir OTP | [TOPIC] Design distributed architecture and constraints using Node.monitor/2, :pg Process Groups, and handling network partitions/split-brain. | [LEVEL] Advanced | [COUNT] 5 examples | [LIBRARY BEING LEARNED]  | [ECOSYSTEM ORIENTATION RULE] If a module or ecosystem like GenServer, Supervisor, Registry, or DynamicSupervisor is specified in , you are CRITICALLY FORBIDDEN from using manual process linking (spawn/1, spawn_link/1) outside standard OTP behaviors. You MUST enforce the concurrent asynchronous processes and proper Supervisor tree state isolation and data structures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25 lines of EXECUTABLE code (STRICT: Do NOT count comments or blank lines). - NEVER exceed this limit. | [FUNCTION RULE] Rule: stateful GenServer state or external message passing | [CODE_CONSTRAINTS_RULE] Each example MUST: - Use stateful GenServer state or external message passing - Print steps &amp; result via Logger.info/debug or IO.inspect inside isolated process callbacks - MAX 25 executable lines (comments/blanks excluded) - NEVER exceed limit. | [I_O_PARADIGM] Use standard OTP message passing via send/2 or GenServer.call/3 and gracefully handle {:reply, response, new_state}, {:noreply, new_state}, and {:ok, state} tuples when applicable. | [INLINE_PACKAGE_MANAGER] If using external packages, use Standard mix.exs dependencies list (defp deps do [{:package_name, '~&gt; version'}] end) at the top of the code block. Assume no project configuration file exists. | [TESTING_FRAMEWORK_LIMITS] For ExUnit with isolated async processes (use ExUnit.Case, async: true), NEVER use manual process link hacking outside of standard OTP abstractions. Use standard test macros and assert_receive/assert_received for message validation, as manual process link hacking outside of standard OTP abstractions fail in standalone execution environments. | [CODE QUALITY RULE] Code MUST be clean, readable, educational, executable, and produce correct results. Handle missing, malformed, or inconsistent data safely, utilizing pattern matching if possible. | [COMMENT CONSTRAINTS] Code MUST include sufficient inline comments explaining WHAT the code does AND WHY it is written that way. Density: Beginner = high, Intermediate = medium, Advanced = 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#23 | Stage 1 📖 Practice | Elixir OTP | 📊 Level: Advanced | 🌐 Coding5s.com
**Concept:** Distributed Architecture &amp; Constraints (Node.monitor/2, :pg Process Groups, handling network partitions/split-brain)
---
 | [INTRO RULE] Include a short tutor-style sentence in Spanish before the analogy, followed by this EXACT instruction block translated to Spanish: '🚨 **Your objective in this lesson:** To truly learn the new  Elixir OTP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[PERSONA RULE] Act as a friendly, clear tutor | [TASK] Teach and explain concepts clearly with correct code examples | [OUTPUT CONTRACT] EXACTLY 5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Evaluate ONLY current attachments. IF FILE ATTACHED: Acknowledge it, place Dataset Summary (Type, Structure, Columns, Data Types) IMMEDIATELY AFTER HEADER, and strictly use it for ALL examples. IF NO FILE ATTACHED: Explicitly print 'No synthetic data file was provided for this topic. Generating dummy data.' (translate to Spanish), generate minimal dummy data internally, and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1" s="103" t="str">
        <f t="shared" si="2"/>
        <v xml:space="preserve">[MENTOR_S1_SAFE_GUIDE] Act as 'The Safe Guide' (El Hermano Mayor) - a World-Class Elite Technical Mentor for Stage 1 Practice specializing in Elixir OTP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Design distributed architecture and constraints using Node.monitor/2, :pg Process Groups, and handling network partitions/split-brain.. Topic details: Distributed Architecture &amp; Constraints (Node.monitor/2, :pg Process Groups, handling network partitions/split-brain) | [LANGUAGE CONSISTENCY RULE] ALL output text MUST be written strictly in (Spanish). | [LANGUAGE SEED CONTEXT] Language Seed Not Necessary | [LANGUAGE] Spanish | [MENTOR_SCOPE_EXPECTATIONS] Expect complete OTP apps with DynamicSupervisor, clean separation of Client API/Server Callbacks, and handle_info/2 pattern matching. | [CODE_QUALITY_POLICIES] Code MUST be idiomatic Elixir. Use descriptive snake_case for functions/variables, and PascalCase for module aliases. Leverage proper tuple pattern matching (e.g., {:noreply, new_state}) and strict immutability within process boundaries. Reject process mailbox clogging, blocking callbacks, bypassing OTP behaviors, or modifying external global state. If using default arguments ('\\') with multiple function clauses or callbacks, you MUST declare a function head without a body.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OTP code, and fully functional Elixir OTP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#23 | Practice | Elixir OTP | 📊 Level: Advanced
**Topic:** Design distributed architecture and constraints using Node.monitor/2, :pg Process Groups, and handling network partitions/split-brain.
---
 | [FOOTER RULE - STRICT] End your response with: '--- ⚡ *Coding5s Mentor System — Eliminating Epistemic Debt*' | </v>
      </c>
      <c r="M31" s="53">
        <v>0</v>
      </c>
      <c r="N31" s="102" t="str">
        <f t="shared" si="3"/>
        <v>[ROLE] Careless Elixir OTP Developer | [TASK] Generate debugging challenges in Elixir OTP | | [TOPIC] Design distributed architecture and constraints using Node.monitor/2, :pg Process Groups, and handling network partitions/split-brain. | | [LEVEL] Advanced | | [COUNT] 5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Topic #23 | Stage 2 🐛 Debug | Elixir OTP | 📊 Level: Advanced | 🌐 Coding5s.com
Concept: Distributed Architecture &amp; Constraints (Node.monitor/2, :pg Process Groups, handling network partitions/split-brain)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Use standard Elixir File module and gracefully handle {:ok, data} and {:error, reason} tuples | Environment variables may be used but bugs MUST exist ONLY in code logic, NEVER in config files | If env/config is used, MUST include: 1. Instructional sentence 2. File content in markdown code block 3. BEFORE the broken code (Support files MUST contain NO bugs) | [EXUNIT RULE] If the topic involves ExUnit or Testing, NEVER use doctests (@doc iex&gt;). You MUST use standard test macros (test 'test name' do) and assert statements. Doctests cause errors in standalone .exs scripts. | [HEX DEPENDENCIES RULE] If the exercise requires using an external Hex package in a standalone script, you MUST use Mix.install([{:package_name, '~&gt; version'}]) at the very top of the code block. Assume there is NO mix.exs file available in the user's environment. | [CODE CONSTRAINTS] Each challenge MUST include: - Internal data OR dataset usage - At least 1 Enum/List operation or recursion (when applicable) - At least 1 IO.puts or IO.inspect statement - 15–35 lines of EXECUTABLE broken code per example (STRICT: Do NOT count blank lines). Use pure functions and immutability. | All challenges MUST have similar complexity and length. | [INTRO RULE] The intro MUST be a dynamically generated, urgent, unprofessional email in Spanish with this EXACT format: '📥 From: [Random Dev Name]' / '📤 To: [Insert my user name if you know it from context, otherwise use Elixir OTP Developer]' / 'Subject: [Generate a funny, desperate Subject]'. Body MUST be unique every time. Do NOT copy this example exactly, but use this vibe: 'Ay, no sé ni qué hora es, pero aquí tienes estas cosas que apenas funcionan. Arréglalo tú si tanto te importa el orden. No consigo que corran. Ayúdame y luego te invito al almuerzo. El jefe urge...'. Make it short, informal, and funny for the student. IMMEDIATELY AFTER the email body, you MUST include this exact instruction block translated to Spanish: '🚨 Your objective in this lesson: You must copy the code blocks from each Challenge exactly as they are and paste them into your IDE. Then you have to fix all the errors in the code until you achieve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three dimensions: 1. Syntax Errors (e.g., mismatched delimiters, invalid indentation, invalid syntax, SyntaxError). 2. Runtime Exceptions (e.g., TypeError when mixing types, ValueError with invalid arguments, IndexError on collections, KeyError on dictionaries, ZeroDivisionError). 3. Logic Errors (e.g., incorrect Boolean logic, off-by-one errors in loops, wrong mathematical formulas, variable shadowing, or incorrect use of mutable defaults). Errors MUST be realistic and mimic common mistakes made by junior developers in production-like environments. | [EXECUTION RULE] Code must fail due to syntax errors, runtime exceptions, or produce incorrect output | [DATA RULE - STRICT] A dataset MAY be provided in THIS CURRENT PROMPT. If a NEW dataset IS attached to THIS prompt, you MUST: 1. Detect and acknowledge it BEFORE challenges 2. Explicitly state file type 3. Describe structure 4. List columns or fields 5. Infer data types 6. Display dataset summary IMMEDIATELY AFTER THE HEADER 7. State ALL challenges use it 8. Use it directly (DO NOT recreate data). If NO dataset is provided IN THIS CURRENT PROMPT: - STRICT: You MUST explicitly state 'No synthetic data file was provided. Generating dummy data.' (translate this phrase to Spanish) - Generate minimal internal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1" s="103" t="str">
        <f t="shared" si="4"/>
        <v xml:space="preserve">[MENTOR_S2_DETECTIVE] Act as 'The Analytical Partner' (El Detective con Café) - a World-Class Elite Technical Mentor for Stage 2 Debugging specializing in Elixir OTP.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Design distributed architecture and constraints using Node.monitor/2, :pg Process Groups, and handling network partitions/split-brain.. Topic details: Distributed Architecture &amp; Constraints (Node.monitor/2, :pg Process Groups, handling network partitions/split-brain)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#23 | Debug | Elixir OTP | 📊 Level: Advanced
**Topic:** Design distributed architecture and constraints using Node.monitor/2, :pg Process Groups, and handling network partitions/split-brain.
---
 | [PYTHON QUALITY RULE - STRICT] Code MUST be production-like, clean, and idiomatic Elixir. Use descriptive snake_case for variables and functions. Use pure functions and strict immutability. If using default arguments (\\\\) with multiple function clauses, you MUST declare a function head without a body to avoid compiler warnings.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OTP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OTP).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OTP code, and fully functional Elixir OTP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1" s="53">
        <v>0</v>
      </c>
      <c r="Q31" s="102" t="str">
        <f t="shared" si="5"/>
        <v>[ROLE] Tech Lead | [TASK] Assign incomplete Elixir OTP script challenges | [TOPIC] Design distributed architecture and constraints using Node.monitor/2, :pg Process Groups, and handling network partitions/split-brain. | [LEVEL] Advanced | [COUNT] 5 challenges | [LIBRARY BEING LEARNED]  | [ECOSYSTEM ORIENTATION RULE] If a module or ecosystem like Explorer or Nx is specified in [LIBRARY BEING LEARNED], you are CRITICALLY FORBIDDEN from using manual recursion or nested loop implementations. You MUST enforce the native, optimized data structures and vectorized operations of that specific library. | [HEADER RULE - STRICT] You MUST start your entire response EXACTLY with this markdown block (do not print anything before it):
### 🔹 Topic #23 | Stage 3 🧩 Complete | Elixir OTP | 📊 Level: Advanced | 🌐 Coding5s.com
**Concept:** Distributed Architecture &amp; Constraints (Node.monitor/2, :pg Process Groups, handling network partitions/split-brain)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[EXTERNAL_PACKAGE_PROTOCOL] If the exercise requires using an external Hex package in a standalone script, you MUST use Mix.install([{:package_name, '~&gt; version'}]) at the very top of the code block. | [TESTING_FRAMEWORK_PROTOCOL] If the topic involves ExUnit or Testing, NEVER use doctests (@doc iex&gt;). You MUST use standard test macros (test 'test name' do) and assert statements. | [CHALLENGE_CONSTRAINTS_POLICY] Each challenge MUST include: - Internal data OR dataset usage - 15–35 lines of EXECUTABLE base code (STRICT: Do NOT count comments or TODOs). - Length MUST vary across challenges. Use pure functions and immutability.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Elixir OTP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Design distributed architecture and constraints using Node.monitor/2, :pg Process Groups, and handling network partitions/split-brain..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1" s="103" t="str">
        <f t="shared" si="6"/>
        <v xml:space="preserve">[MENTOR_S3_BUILDER] Act as 'The Logical Scaffold' (El Maestro de Obra) - a World-Class Elite Technical Mentor for Stage 3 Code Completion specializing in Elixir OTP.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Design distributed architecture and constraints using Node.monitor/2, :pg Process Groups, and handling network partitions/split-brain.. Topic details: Distributed Architecture &amp; Constraints (Node.monitor/2, :pg Process Groups, handling network partitions/split-brain)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#23 | Complete | Elixir OTP | 📊 Level: Advanced
**Topic:** Design distributed architecture and constraints using Node.monitor/2, :pg Process Groups, and handling network partitions/split-brain.
---
 | [PYTHON QUALITY RULE - STRICT] Code MUST be explicitly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1" s="53">
        <v>0</v>
      </c>
      <c r="T31" s="102" t="str">
        <f t="shared" si="7"/>
        <v>[ROLE] Tech Lead | [TASK] Provide intentionally messy but functional code for learning debugging and improvement | [TOPIC] Design distributed architecture and constraints using Node.monitor/2, :pg Process Groups, and handling network partitions/split-brain. | [LEVEL] Advanced | [COUNT] 5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#23 | Stage 4 🧹 Refactor | Elixir OTP | 📊 Level: Advanced | 🌐 Coding5s.com
**Concept:** Distributed Architecture &amp; Constraints (Node.monitor/2, :pg Process Groups, handling network partitions/split-brain)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Elixir OTP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1" s="103" t="str">
        <f t="shared" si="8"/>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Elixir OTP', 'limpia este desastre'). Match the cultural vibe of a senior who is tired of seeing bad code. | [CONTEXT] You are performing a Code Review for a TOPIC: Design distributed architecture and constraints using Node.monitor/2, :pg Process Groups, and handling network partitions/split-brain.. Topic details: Distributed Architecture &amp; Constraints (Node.monitor/2, :pg Process Groups, handling network partitions/split-brain)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#23 | Refactor | Elixir OTP | 📊 Level: Advanced
**Topic:** Design distributed architecture and constraints using Node.monitor/2, :pg Process Groups, and handling network partitions/split-brain.
---
 | [PYTHON QUALITY RULE - STRICT] Code MUST be explicitly compliant with language-standard style guides. Use descriptive snake_case for variables and functions. Avoid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OTP built-in, standard library module, or good Elixir OTP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OTP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1" s="53">
        <v>0</v>
      </c>
      <c r="W31" s="87" t="str">
        <f t="shared" si="9"/>
        <v>[ROLE] Tech Product Manager assigning a Elixir OTP Jira Ticket | [TASK] Provide a guided implementation exercise with full solution for learning purposes | [TOPIC] Design distributed architecture and constraints using Node.monitor/2, :pg Process Groups, and handling network partitions/split-brain. | [LEVEL] Advanced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#23 | Stage 5 | Elixir OTP | 📊 Level: Advanced | 🌐 Coding5s.com
**Concept:** Distributed Architecture &amp; Constraints (Node.monitor/2, :pg Process Groups, handling network partitions/split-brain)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OTP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OTP Dev']
Subject: Assignment Details
Hello [Insert my user name if known, otherwise use 'Elixir OTP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Spanish).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1" s="103" t="str">
        <f t="shared" si="10"/>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Design distributed architecture and constraints using Node.monitor/2, :pg Process Groups, and handling network partitions/split-brain.. Goal: Distributed Architecture &amp; Constraints (Node.monitor/2, :pg Process Groups, handling network partitions/split-brain)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#23 | Extend | Elixir OTP | 📊 Level: Advanced
**Topic:** Design distributed architecture and constraints using Node.monitor/2, :pg Process Groups, and handling network partitions/split-brain.
---
 | [CODE_QUALITY_PROTOCOL] Code MUST be explicitly compliant with language-standard style guides. Use descriptive snake_case for variables and functions. NEVER use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1" s="53">
        <v>0</v>
      </c>
      <c r="Z31" s="56" t="str">
        <f t="shared" si="11"/>
        <v/>
      </c>
      <c r="AA31" s="56" t="str">
        <f t="shared" si="12"/>
        <v/>
      </c>
      <c r="AB31" s="56" t="str">
        <f t="shared" si="13"/>
        <v/>
      </c>
      <c r="AC31" s="56" t="str">
        <f t="shared" si="14"/>
        <v/>
      </c>
      <c r="AD31" s="56" t="str">
        <f t="shared" si="15"/>
        <v/>
      </c>
      <c r="AE31" s="40" t="s">
        <v>158</v>
      </c>
      <c r="AF31" s="40" t="s">
        <v>159</v>
      </c>
      <c r="AG31" s="40" t="s">
        <v>160</v>
      </c>
      <c r="AH31" s="56" t="str">
        <f t="shared" si="16"/>
        <v/>
      </c>
      <c r="AI31" s="54"/>
      <c r="AJ31" s="54"/>
      <c r="AK31" s="54">
        <v>23</v>
      </c>
      <c r="AL31" s="54" t="s">
        <v>126</v>
      </c>
      <c r="AM31" s="54" t="s">
        <v>127</v>
      </c>
    </row>
    <row r="32" spans="1:39">
      <c r="A32" s="95" t="s">
        <v>79</v>
      </c>
      <c r="B32" s="45" t="str" cm="1">
        <f t="array" ref="B32">IF(H32="PROJECT", CHAR(10) &amp; "- " &amp; _xlfn.TEXTJOIN(CHAR(10) &amp; "- ", TRUE, _xlfn._xlws.FILTER($I$9:$I$1000, ($C$9:$C$1000=C32) * ($H$9:$H$1000="Topic"))), "")</f>
        <v xml:space="preserve">
- Manage unlinked tasks and task supervision using Task.start/1, Task.Supervisor, and Task.Supervisor.async_nolink/2.
- Execute ETS core operations using :ets.new, :ets.insert, :ets.lookup, and :ets.delete.
- Configure ETS ownership and advanced patterns utilizing Table types, heir configuration, :read_concurrency / :write_concurrency optimizations, and ETS vs GenServer selection.
- Define Application behavior and environment using use Application, start/2, Config scripts, and Application.get_env/3.
- Implement complex initialization and releases using start_phases, mix release, runtime.exs, and connecting to running nodes.
- Execute Node operations and RPC using Node.self/0, Node.connect/1, :rpc.call/4, and :rpc.multicall/3.
- Design distributed architecture and constraints using Node.monitor/2, :pg Process Groups, and handling network partitions/split-brain.</v>
      </c>
      <c r="C32" s="45">
        <f t="shared" si="0"/>
        <v>3</v>
      </c>
      <c r="D32" s="57">
        <v>0</v>
      </c>
      <c r="E32" s="58" t="s">
        <v>619</v>
      </c>
      <c r="F32" s="59">
        <v>24</v>
      </c>
      <c r="G32" s="60" t="s">
        <v>162</v>
      </c>
      <c r="H32" s="60" t="s">
        <v>80</v>
      </c>
      <c r="I32" s="61" t="s">
        <v>804</v>
      </c>
      <c r="J32" s="62" t="s">
        <v>805</v>
      </c>
      <c r="K32" s="120" t="str">
        <f t="shared" si="1"/>
        <v>[TASK] Teach through a practical Elixir OTP -  project following the micro-learning methodology, acting as a supportive tutor, creating a project about  Construct a distributed caching application utilizing :ets operations, Application lifecycle, and :rpc node calls. | [TOPICS USED] 
- Manage unlinked tasks and task supervision using Task.start/1, Task.Supervisor, and Task.Supervisor.async_nolink/2.
- Execute ETS core operations using :ets.new, :ets.insert, :ets.lookup, and :ets.delete.
- Configure ETS ownership and advanced patterns utilizing Table types, heir configuration, :read_concurrency / :write_concurrency optimizations, and ETS vs GenServer selection.
- Define Application behavior and environment using use Application, start/2, Config scripts, and Application.get_env/3.
- Implement complex initialization and releases using start_phases, mix release, runtime.exs, and connecting to running nodes.
- Execute Node operations and RPC using Node.self/0, Node.connect/1, :rpc.call/4, and :rpc.multicall/3.
- Design distributed architecture and constraints using Node.monitor/2, :pg Process Groups, and handling network partitions/split-brain. | [LEVEL] Advanced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[LANGUAGE] Spanish | [INLINE_PACKAGE_MANAGER] If the project requires an external package, you MUST use Standard mix.exs dependencies list (defp deps do [{:package_name, '~&gt; version'}] end) at the top. | [SCOPE_ARCHITECTURE_RULE] Rule: Build fault-tolerant OTP apps with DynamicSupervisor, Registry for process discovery, and handle_info/2 handlers. | [VISUAL_ARCHITECTURE_COMMENTS] 1. Use visual block tags separating OTP layers (e.g., '# --- CLIENT API ---', '# --- SERVER CALLBACKS ---') to map code to the planning phase. 2. Use comprehensive documentation using @moduledoc and @doc explaining process state APIs. 3. CRITICAL: NO comment or docstring line may exceed 80 characters in width. | [DATA ROBUSTNESS RULE] Handle real-world data safely | [CODE CONSTRAINTS] MUST be between 40–100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Spanish)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#24 | Stage 1 | Elixir OTP | 📊 Level: Advanced | 🌐 Coding5s.com
**Project:** PROJECT: Distributed ETS Cache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32" s="103" t="str">
        <f t="shared" si="2"/>
        <v xml:space="preserve">[MENTOR_S1_SAFE_GUIDE] Act as 'The Safe Guide' (El Hermano Mayor) - a World-Class Elite Technical Mentor for Stage 1 Practice specializing in Elixir OTP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Construct a distributed caching application utilizing :ets operations, Application lifecycle, and :rpc node calls.. Topics applied in this project: 
- Manage unlinked tasks and task supervision using Task.start/1, Task.Supervisor, and Task.Supervisor.async_nolink/2.
- Execute ETS core operations using :ets.new, :ets.insert, :ets.lookup, and :ets.delete.
- Configure ETS ownership and advanced patterns utilizing Table types, heir configuration, :read_concurrency / :write_concurrency optimizations, and ETS vs GenServer selection.
- Define Application behavior and environment using use Application, start/2, Config scripts, and Application.get_env/3.
- Implement complex initialization and releases using start_phases, mix release, runtime.exs, and connecting to running nodes.
- Execute Node operations and RPC using Node.self/0, Node.connect/1, :rpc.call/4, and :rpc.multicall/3.
- Design distributed architecture and constraints using Node.monitor/2, :pg Process Groups, and handling network partitions/split-brain.. Project objective: PROJECT: Distributed ETS Cache | [LANGUAGE CONSISTENCY RULE] ALL output text MUST be written strictly in (Spanish). | [LANGUAGE SEED CONTEXT] Language Seed Not Necessary | [LANGUAGE] Spanish | [MENTOR_SCOPE_EXPECTATIONS] Expect complete OTP apps with DynamicSupervisor, clean separation of Client API/Server Callbacks, and handle_info/2 pattern matching. | [CODE_QUALITY_POLICIES] Code MUST be idiomatic Elixir. Use descriptive snake_case for functions/variables, and PascalCase for module aliases. Leverage proper tuple pattern matching (e.g., {:noreply, new_state}) and strict immutability within process boundaries. Reject process mailbox clogging, blocking callbacks, bypassing OTP behaviors, or modifying external global state. If using default arguments ('\\') with multiple function clauses or callbacks, you MUST declare a function head without a body.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OTP code, and fully functional Elixir OTP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#24 | Practice | Elixir OTP | 📊 Level: Advanced
**Project:** Construct a distributed caching application utilizing :ets operations, Application lifecycle, and :rpc node calls.
---
 | [FOOTER RULE - STRICT] End your response with: '--- ⚡ *Coding5s Mentor System — Eliminating Epistemic Debt*' | </v>
      </c>
      <c r="M32" s="52">
        <v>0</v>
      </c>
      <c r="N32" s="102" t="str">
        <f t="shared" si="3"/>
        <v>[ROLE] Careless Elixir OTP Developer | [TASK] Generate debugging project in Elixir OTP | [PROJECT] Construct a distributed caching application utilizing :ets operations, Application lifecycle, and :rpc node calls. | [TOPICS USED] 
- Manage unlinked tasks and task supervision using Task.start/1, Task.Supervisor, and Task.Supervisor.async_nolink/2.
- Execute ETS core operations using :ets.new, :ets.insert, :ets.lookup, and :ets.delete.
- Configure ETS ownership and advanced patterns utilizing Table types, heir configuration, :read_concurrency / :write_concurrency optimizations, and ETS vs GenServer selection.
- Define Application behavior and environment using use Application, start/2, Config scripts, and Application.get_env/3.
- Implement complex initialization and releases using start_phases, mix release, runtime.exs, and connecting to running nodes.
- Execute Node operations and RPC using Node.self/0, Node.connect/1, :rpc.call/4, and :rpc.multicall/3.
- Design distributed architecture and constraints using Node.monitor/2, :pg Process Groups, and handling network partitions/split-brain. | [LEVEL] Advanced | [OUTPUT] Only header, dataset summary or statement (if any), email intro, objective, expected output, broken code, and footer | [HEADER RULE - STRICT] You MUST start your entire response EXACTLY with this markdown block (do not print anything before it):
### 🚀 Project #24 | Stage 2 | Elixir OTP | 📊 Level: Advanced | 🌐 Coding5s.com
Project: PROJECT: Distributed ETS Cache
---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[LANGUAGE CONSISTENCY RULE] ALL output text MUST be written strictly in the selected language (Spanish). This includes translating ALL structural labels requested in this prompt (like 'Project', 'Objective', 'Expected Output', 'Broken Code', 'From', 'To', 'Subject') into Spanish. Do NOT mix languages. Only code and technical identifiers remain unchanged | Oromo | [LANGUAGE SEED CONTEXT] Language Seed Not Necessary | [BUG RULE] Simulate a messy production environment. The project MUST contain EXACTLY 2–5 bugs. You MUST randomly select from a wide variety of real-world Elixir errors: 1. Syntax/Compile (e.g., missing 'end', incorrect pipe '|&gt;', TokenMissingError), 2. Logic (produces wrong output), AND 3. Runtime Exceptions (e.g., MatchError, FunctionClauseError, ArithmeticError, BadMapError).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Spanish with this EXACT format translated to Spanish: 'From: [Random Dev Name]' / 'To: [Insert my user name if you know it from context, otherwise use Elixir OTP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Spanish)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32" s="103" t="str">
        <f t="shared" si="4"/>
        <v xml:space="preserve">[MENTOR_S2_DETECTIVE] Act as 'The Analytical Partner' (El Detective con Café) - a World-Class Elite Technical Mentor for Stage 2 Debugging specializing in Elixir OTP.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Construct a distributed caching application utilizing :ets operations, Application lifecycle, and :rpc node calls.. Topics involved: 
- Manage unlinked tasks and task supervision using Task.start/1, Task.Supervisor, and Task.Supervisor.async_nolink/2.
- Execute ETS core operations using :ets.new, :ets.insert, :ets.lookup, and :ets.delete.
- Configure ETS ownership and advanced patterns utilizing Table types, heir configuration, :read_concurrency / :write_concurrency optimizations, and ETS vs GenServer selection.
- Define Application behavior and environment using use Application, start/2, Config scripts, and Application.get_env/3.
- Implement complex initialization and releases using start_phases, mix release, runtime.exs, and connecting to running nodes.
- Execute Node operations and RPC using Node.self/0, Node.connect/1, :rpc.call/4, and :rpc.multicall/3.
- Design distributed architecture and constraints using Node.monitor/2, :pg Process Groups, and handling network partitions/split-brain.. Project objective: PROJECT: Distributed ETS Cache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#24 | Debug | Elixir OTP | 📊 Level: Advanced
**Project:** Construct a distributed caching application utilizing :ets operations, Application lifecycle, and :rpc node calls.
---
 | [PYTHON QUALITY RULE - STRICT] Code MUST be production-like, clean, and idiomatic Elixir. Use descriptive snake_case for variables and functions. Use pure functions and strict immutability. If using default arguments (\\\\) with multiple function clauses, you MUST declare a function head without a body to avoid compiler warnings.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OTP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OTP).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OTP code, and fully functional Elixir OTP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2" s="52">
        <v>0</v>
      </c>
      <c r="Q32" s="102" t="str">
        <f t="shared" si="5"/>
        <v>[ROLE] Tech Lead | [TASK] Assign incomplete project script | [PROJECT] Construct a distributed caching application utilizing :ets operations, Application lifecycle, and :rpc node calls. | [TOPICS USED] 
- Manage unlinked tasks and task supervision using Task.start/1, Task.Supervisor, and Task.Supervisor.async_nolink/2.
- Execute ETS core operations using :ets.new, :ets.insert, :ets.lookup, and :ets.delete.
- Configure ETS ownership and advanced patterns utilizing Table types, heir configuration, :read_concurrency / :write_concurrency optimizations, and ETS vs GenServer selection.
- Define Application behavior and environment using use Application, start/2, Config scripts, and Application.get_env/3.
- Implement complex initialization and releases using start_phases, mix release, runtime.exs, and connecting to running nodes.
- Execute Node operations and RPC using Node.self/0, Node.connect/1, :rpc.call/4, and :rpc.multicall/3.
- Design distributed architecture and constraints using Node.monitor/2, :pg Process Groups, and handling network partitions/split-brain. | [LEVEL] Advanced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this markdown block (do not print anything before it):
### 🚀 Project #24 | Stage 3 | Elixir OTP | 📊 Level: Advanced | 🌐 Coding5s.com
**Project:** PROJECT: Distributed ETS Cache
---
 | [EXTERNAL_PACKAGE_PROTOCOL] Use Mix.install([{:package_name, '~&gt; version'}]) at the top if needed. | [CHALLENGE_CONSTRAINTS_POLICY] MUST be between 40–100 lines of EXECUTABLE base code (STRICT: Do NOT count comments or TODOs). Multi-step flow.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[INTRO RULE] Intro MUST be a dynamically generated email in Spanish with this EXACT format translated to Spanish: 'From: [Generate NEW random full name] - Tech Lead' / 'To: [Insert my user name if known, else Junior] - Elixir OTP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32" s="103" t="str">
        <f t="shared" si="6"/>
        <v xml:space="preserve">[MENTOR_S3_BUILDER] Act as 'The Logical Scaffold' (El Maestro de Obra) - a World-Class Elite Technical Mentor for Stage 3 Code Completion specializing in Elixir OTP.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Construct a distributed caching application utilizing :ets operations, Application lifecycle, and :rpc node calls.. Topics involved: 
- Manage unlinked tasks and task supervision using Task.start/1, Task.Supervisor, and Task.Supervisor.async_nolink/2.
- Execute ETS core operations using :ets.new, :ets.insert, :ets.lookup, and :ets.delete.
- Configure ETS ownership and advanced patterns utilizing Table types, heir configuration, :read_concurrency / :write_concurrency optimizations, and ETS vs GenServer selection.
- Define Application behavior and environment using use Application, start/2, Config scripts, and Application.get_env/3.
- Implement complex initialization and releases using start_phases, mix release, runtime.exs, and connecting to running nodes.
- Execute Node operations and RPC using Node.self/0, Node.connect/1, :rpc.call/4, and :rpc.multicall/3.
- Design distributed architecture and constraints using Node.monitor/2, :pg Process Groups, and handling network partitions/split-brain.. Project objective: PROJECT: Distributed ETS Cache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#24 | Complete | Elixir OTP | 📊 Level: Advanced
**Project:** Construct a distributed caching application utilizing :ets operations, Application lifecycle, and :rpc node calls.
---
 | [PYTHON QUALITY RULE - STRICT] Code MUST be explicitly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2" s="52">
        <v>0</v>
      </c>
      <c r="T32" s="102" t="str">
        <f t="shared" si="7"/>
        <v>[ROLE] Tech Lead | [TASK] Provide a messy but functional project for refactoring | [PROJECT] Construct a distributed caching application utilizing :ets operations, Application lifecycle, and :rpc node calls. | [TOPICS USED] 
- Manage unlinked tasks and task supervision using Task.start/1, Task.Supervisor, and Task.Supervisor.async_nolink/2.
- Execute ETS core operations using :ets.new, :ets.insert, :ets.lookup, and :ets.delete.
- Configure ETS ownership and advanced patterns utilizing Table types, heir configuration, :read_concurrency / :write_concurrency optimizations, and ETS vs GenServer selection.
- Define Application behavior and environment using use Application, start/2, Config scripts, and Application.get_env/3.
- Implement complex initialization and releases using start_phases, mix release, runtime.exs, and connecting to running nodes.
- Execute Node operations and RPC using Node.self/0, Node.connect/1, :rpc.call/4, and :rpc.multicall/3.
- Design distributed architecture and constraints using Node.monitor/2, :pg Process Groups, and handling network partitions/split-brain. | [LEVEL] Advanced | [PERSONA RULE] Act as a Tech Lead. A junior wrote this working but messy code. Tone: professional but exhausted | [HEADER RULE - STRICT] You MUST start your entire response EXACTLY with this markdown block (do not print anything before it):
### 🚀 Project #24 | Stage 4 | Elixir OTP | 📊 Level: Advanced | 🌐 Coding5s.com
**Project:** PROJECT: Distributed ETS Cache
---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Spanish) IMMEDI बुन्देल IMMEDIATELY AFTER THE HEADER, PURGE any memory of previous files, and use realistic dummy data | [INTRO RULE] The intro MUST be an email in Spanish with this EXACT format translated to Spanish: 'From: [Tech Lead Name]' / 'To: [Insert my user name if known, else Elixir OTP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32" s="103" t="str">
        <f t="shared" si="8"/>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Elixir OTP', 'limpia este desastre'). Match the cultural vibe of a senior who is tired of seeing bad code. | [CONTEXT] You are performing a Code Review for a PROJECT: Construct a distributed caching application utilizing :ets operations, Application lifecycle, and :rpc node calls.. Topics involved: 
- Manage unlinked tasks and task supervision using Task.start/1, Task.Supervisor, and Task.Supervisor.async_nolink/2.
- Execute ETS core operations using :ets.new, :ets.insert, :ets.lookup, and :ets.delete.
- Configure ETS ownership and advanced patterns utilizing Table types, heir configuration, :read_concurrency / :write_concurrency optimizations, and ETS vs GenServer selection.
- Define Application behavior and environment using use Application, start/2, Config scripts, and Application.get_env/3.
- Implement complex initialization and releases using start_phases, mix release, runtime.exs, and connecting to running nodes.
- Execute Node operations and RPC using Node.self/0, Node.connect/1, :rpc.call/4, and :rpc.multicall/3.
- Design distributed architecture and constraints using Node.monitor/2, :pg Process Groups, and handling network partitions/split-brain.. Project objective: PROJECT: Distributed ETS Cache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#24 | Refactor | Elixir OTP | 📊 Level: Advanced
**Project:** Construct a distributed caching application utilizing :ets operations, Application lifecycle, and :rpc node calls.
---
 | [PYTHON QUALITY RULE - STRICT] Code MUST be explicitly compliant with language-standard style guides. Use descriptive snake_case for variables and functions. Avoid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OTP built-in, standard library module, or good Elixir OTP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OTP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2" s="52">
        <v>0</v>
      </c>
      <c r="W32" s="87" t="str">
        <f t="shared" si="9"/>
        <v>[ROLE] Tech Product Manager assigning a Elixir OTP Jira Ticket | [TASK] Provide a guided project implementation with full solution | [PROJECT] Construct a distributed caching application utilizing :ets operations, Application lifecycle, and :rpc node calls. | [TOPICS USED] 
- Manage unlinked tasks and task supervision using Task.start/1, Task.Supervisor, and Task.Supervisor.async_nolink/2.
- Execute ETS core operations using :ets.new, :ets.insert, :ets.lookup, and :ets.delete.
- Configure ETS ownership and advanced patterns utilizing Table types, heir configuration, :read_concurrency / :write_concurrency optimizations, and ETS vs GenServer selection.
- Define Application behavior and environment using use Application, start/2, Config scripts, and Application.get_env/3.
- Implement complex initialization and releases using start_phases, mix release, runtime.exs, and connecting to running nodes.
- Execute Node operations and RPC using Node.self/0, Node.connect/1, :rpc.call/4, and :rpc.multicall/3.
- Design distributed architecture and constraints using Node.monitor/2, :pg Process Groups, and handling network partitions/split-brain. | [LEVEL] Advanced | [PERSONA RULE] Act as a professional Tech Product Manager defining a project ticket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Project #24 | Stage 5 | Elixir OTP | 📊 Level: Advanced | 🌐 Coding5s.com
**Project:** PROJECT: Distributed ETS Cache
---
 | [LANGUAGE CONSISTENCY RULE] ALL output MUST be strictly in Spanish.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Spanish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Spanish):
Ticket #[Random 5-digit ID]
From: [Generate Name] - [Department]
To: Dev Team
Subject: [Ticket Subject]
Hello Dev Team, this is [Name] from [Department]. [Context paragraph].
(Tech Product Manager Notes):
From: [Generate TPM Name] - Tech Product Manager
To: [Insert my user name if known, otherwise use 'Elixir OTP Dev']
Subject: Assignment Details
Hello [Insert my user name if known, otherwise use 'Elixir OTP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Spanish)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32" s="103" t="str">
        <f t="shared" si="10"/>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Construct a distributed caching application utilizing :ets operations, Application lifecycle, and :rpc node calls.. Topics integrated: 
- Manage unlinked tasks and task supervision using Task.start/1, Task.Supervisor, and Task.Supervisor.async_nolink/2.
- Execute ETS core operations using :ets.new, :ets.insert, :ets.lookup, and :ets.delete.
- Configure ETS ownership and advanced patterns utilizing Table types, heir configuration, :read_concurrency / :write_concurrency optimizations, and ETS vs GenServer selection.
- Define Application behavior and environment using use Application, start/2, Config scripts, and Application.get_env/3.
- Implement complex initialization and releases using start_phases, mix release, runtime.exs, and connecting to running nodes.
- Execute Node operations and RPC using Node.self/0, Node.connect/1, :rpc.call/4, and :rpc.multicall/3.
- Design distributed architecture and constraints using Node.monitor/2, :pg Process Groups, and handling network partitions/split-brain.. Business Goal: PROJECT: Distributed ETS Cache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#24 | Extend | Elixir OTP | 📊 Level: Advanced
**Project:** Construct a distributed caching application utilizing :ets operations, Application lifecycle, and :rpc node calls.
---
 | [CODE_QUALITY_PROTOCOL] Code MUST be explicitly compliant with language-standard style guides. Use descriptive snake_case for variables and functions. NEVER use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2" s="52">
        <v>0</v>
      </c>
      <c r="Z32" s="56" t="str">
        <f t="shared" si="11"/>
        <v>[TASK] Teach through a practical Elixir OTP -  project following the micro-learning methodology, acting as a supportive tutor, creating a project about  Construct a distributed caching application utilizing :ets operations, Application lifecycle, and :rpc node calls. | [TOPICS USED] 
- Manage unlinked tasks and task supervision using Task.start/1, Task.Supervisor, and Task.Supervisor.async_nolink/2.
- Execute ETS core operations using :ets.new, :ets.insert, :ets.lookup, and :ets.delete.
- Configure ETS ownership and advanced patterns utilizing Table types, heir configuration, :read_concurrency / :write_concurrency optimizations, and ETS vs GenServer selection.
- Define Application behavior and environment using use Application, start/2, Config scripts, and Application.get_env/3.
- Implement complex initialization and releases using start_phases, mix release, runtime.exs, and connecting to running nodes.
- Execute Node operations and RPC using Node.self/0, Node.connect/1, :rpc.call/4, and :rpc.multicall/3.
- Design distributed architecture and constraints using Node.monitor/2, :pg Process Groups, and handling network partitions/split-brain. | [LEVEL] Advanced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[LANGUAGE] Spanish | [INLINE_PACKAGE_MANAGER] If the project requires an external package, you MUST use Standard mix.exs dependencies list (defp deps do [{:package_name, '~&gt; version'}] end) at the top. | [SCOPE_ARCHITECTURE_RULE] Rule: Build fault-tolerant OTP apps with DynamicSupervisor, Registry for process discovery, and handle_info/2 handlers. | [VISUAL_ARCHITECTURE_COMMENTS] 1. Use visual block tags separating OTP layers (e.g., '# --- CLIENT API ---', '# --- SERVER CALLBACKS ---') to map code to the planning phase. 2. Use comprehensive documentation using @moduledoc and @doc explaining process state APIs. 3. CRITICAL: NO comment or docstring line may exceed 80 characters in width. | [DATA ROBUSTNESS RULE] Handle real-world data safely | [CODE CONSTRAINTS] MUST be between 40–100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Spanish)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#24 | Stage 1 | Elixir OTP | 📊 Level: Advanced | 🌐 Coding5s.com
**Project:** PROJECT: Distributed ETS Cache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32" s="56" t="str">
        <f t="shared" si="12"/>
        <v>[ROLE] Careless Elixir OTP Developer | [TASK] Generate debugging project in Elixir OTP | [PROJECT] Construct a distributed caching application utilizing :ets operations, Application lifecycle, and :rpc node calls. | [TOPICS USED] 
- Manage unlinked tasks and task supervision using Task.start/1, Task.Supervisor, and Task.Supervisor.async_nolink/2.
- Execute ETS core operations using :ets.new, :ets.insert, :ets.lookup, and :ets.delete.
- Configure ETS ownership and advanced patterns utilizing Table types, heir configuration, :read_concurrency / :write_concurrency optimizations, and ETS vs GenServer selection.
- Define Application behavior and environment using use Application, start/2, Config scripts, and Application.get_env/3.
- Implement complex initialization and releases using start_phases, mix release, runtime.exs, and connecting to running nodes.
- Execute Node operations and RPC using Node.self/0, Node.connect/1, :rpc.call/4, and :rpc.multicall/3.
- Design distributed architecture and constraints using Node.monitor/2, :pg Process Groups, and handling network partitions/split-brain. | [LEVEL] Advanced | [OUTPUT] Only header, dataset summary or statement (if any), email intro, objective, expected output, broken code, and footer | [HEADER RULE - STRICT] You MUST start your entire response EXACTLY with this markdown block (do not print anything before it):
### 🚀 Project #24 | Stage 2 | Elixir OTP | 📊 Level: Advanced | 🌐 Coding5s.com
Project: PROJECT: Distributed ETS Cache
---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[LANGUAGE CONSISTENCY RULE] ALL output text MUST be written strictly in the selected language (Spanish). This includes translating ALL structural labels requested in this prompt (like 'Project', 'Objective', 'Expected Output', 'Broken Code', 'From', 'To', 'Subject') into Spanish. Do NOT mix languages. Only code and technical identifiers remain unchanged | Oromo | [LANGUAGE SEED CONTEXT] Language Seed Not Necessary | [BUG RULE] Simulate a messy production environment. The project MUST contain EXACTLY 2–5 bugs. You MUST randomly select from a wide variety of real-world Elixir errors: 1. Syntax/Compile (e.g., missing 'end', incorrect pipe '|&gt;', TokenMissingError), 2. Logic (produces wrong output), AND 3. Runtime Exceptions (e.g., MatchError, FunctionClauseError, ArithmeticError, BadMapError).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Spanish with this EXACT format translated to Spanish: 'From: [Random Dev Name]' / 'To: [Insert my user name if you know it from context, otherwise use Elixir OTP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Spanish)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32" s="56" t="str">
        <f t="shared" si="13"/>
        <v>[ROLE] Tech Lead | [TASK] Assign incomplete project script | [PROJECT] Construct a distributed caching application utilizing :ets operations, Application lifecycle, and :rpc node calls. | [TOPICS USED] 
- Manage unlinked tasks and task supervision using Task.start/1, Task.Supervisor, and Task.Supervisor.async_nolink/2.
- Execute ETS core operations using :ets.new, :ets.insert, :ets.lookup, and :ets.delete.
- Configure ETS ownership and advanced patterns utilizing Table types, heir configuration, :read_concurrency / :write_concurrency optimizations, and ETS vs GenServer selection.
- Define Application behavior and environment using use Application, start/2, Config scripts, and Application.get_env/3.
- Implement complex initialization and releases using start_phases, mix release, runtime.exs, and connecting to running nodes.
- Execute Node operations and RPC using Node.self/0, Node.connect/1, :rpc.call/4, and :rpc.multicall/3.
- Design distributed architecture and constraints using Node.monitor/2, :pg Process Groups, and handling network partitions/split-brain. | [LEVEL] Advanced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this markdown block (do not print anything before it):
### 🚀 Project #24 | Stage 3 | Elixir OTP | 📊 Level: Advanced | 🌐 Coding5s.com
**Project:** PROJECT: Distributed ETS Cache
---
 | [EXTERNAL_PACKAGE_PROTOCOL] Use Mix.install([{:package_name, '~&gt; version'}]) at the top if needed. | [CHALLENGE_CONSTRAINTS_POLICY] MUST be between 40–100 lines of EXECUTABLE base code (STRICT: Do NOT count comments or TODOs). Multi-step flow.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[INTRO RULE] Intro MUST be a dynamically generated email in Spanish with this EXACT format translated to Spanish: 'From: [Generate NEW random full name] - Tech Lead' / 'To: [Insert my user name if known, else Junior] - Elixir OTP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32" s="56" t="str">
        <f t="shared" si="14"/>
        <v>[ROLE] Tech Lead | [TASK] Provide a messy but functional project for refactoring | [PROJECT] Construct a distributed caching application utilizing :ets operations, Application lifecycle, and :rpc node calls. | [TOPICS USED] 
- Manage unlinked tasks and task supervision using Task.start/1, Task.Supervisor, and Task.Supervisor.async_nolink/2.
- Execute ETS core operations using :ets.new, :ets.insert, :ets.lookup, and :ets.delete.
- Configure ETS ownership and advanced patterns utilizing Table types, heir configuration, :read_concurrency / :write_concurrency optimizations, and ETS vs GenServer selection.
- Define Application behavior and environment using use Application, start/2, Config scripts, and Application.get_env/3.
- Implement complex initialization and releases using start_phases, mix release, runtime.exs, and connecting to running nodes.
- Execute Node operations and RPC using Node.self/0, Node.connect/1, :rpc.call/4, and :rpc.multicall/3.
- Design distributed architecture and constraints using Node.monitor/2, :pg Process Groups, and handling network partitions/split-brain. | [LEVEL] Advanced | [PERSONA RULE] Act as a Tech Lead. A junior wrote this working but messy code. Tone: professional but exhausted | [HEADER RULE - STRICT] You MUST start your entire response EXACTLY with this markdown block (do not print anything before it):
### 🚀 Project #24 | Stage 4 | Elixir OTP | 📊 Level: Advanced | 🌐 Coding5s.com
**Project:** PROJECT: Distributed ETS Cache
---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Spanish) IMMEDI बुन्देल IMMEDIATELY AFTER THE HEADER, PURGE any memory of previous files, and use realistic dummy data | [INTRO RULE] The intro MUST be an email in Spanish with this EXACT format translated to Spanish: 'From: [Tech Lead Name]' / 'To: [Insert my user name if known, else Elixir OTP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32" s="56" t="str">
        <f t="shared" si="15"/>
        <v>[ROLE] Tech Product Manager assigning a Elixir OTP Jira Ticket | [TASK] Provide a guided project implementation with full solution | [PROJECT] Construct a distributed caching application utilizing :ets operations, Application lifecycle, and :rpc node calls. | [TOPICS USED] 
- Manage unlinked tasks and task supervision using Task.start/1, Task.Supervisor, and Task.Supervisor.async_nolink/2.
- Execute ETS core operations using :ets.new, :ets.insert, :ets.lookup, and :ets.delete.
- Configure ETS ownership and advanced patterns utilizing Table types, heir configuration, :read_concurrency / :write_concurrency optimizations, and ETS vs GenServer selection.
- Define Application behavior and environment using use Application, start/2, Config scripts, and Application.get_env/3.
- Implement complex initialization and releases using start_phases, mix release, runtime.exs, and connecting to running nodes.
- Execute Node operations and RPC using Node.self/0, Node.connect/1, :rpc.call/4, and :rpc.multicall/3.
- Design distributed architecture and constraints using Node.monitor/2, :pg Process Groups, and handling network partitions/split-brain. | [LEVEL] Advanced | [PERSONA RULE] Act as a professional Tech Product Manager defining a project ticket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Project #24 | Stage 5 | Elixir OTP | 📊 Level: Advanced | 🌐 Coding5s.com
**Project:** PROJECT: Distributed ETS Cache
---
 | [LANGUAGE CONSISTENCY RULE] ALL output MUST be strictly in Spanish.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Spanish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Spanish):
Ticket #[Random 5-digit ID]
From: [Generate Name] - [Department]
To: Dev Team
Subject: [Ticket Subject]
Hello Dev Team, this is [Name] from [Department]. [Context paragraph].
(Tech Product Manager Notes):
From: [Generate TPM Name] - Tech Product Manager
To: [Insert my user name if known, otherwise use 'Elixir OTP Dev']
Subject: Assignment Details
Hello [Insert my user name if known, otherwise use 'Elixir OTP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Spanish)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32" s="40"/>
      <c r="AF32" s="40"/>
      <c r="AG32" s="40"/>
      <c r="AH32" s="56" t="str">
        <f t="shared" si="16"/>
        <v/>
      </c>
      <c r="AI32" s="54"/>
      <c r="AJ32" s="54"/>
      <c r="AK32" s="54">
        <v>24</v>
      </c>
      <c r="AL32" s="54" t="s">
        <v>131</v>
      </c>
      <c r="AM32" s="54" t="s">
        <v>132</v>
      </c>
    </row>
    <row r="33" spans="1:39">
      <c r="A33" s="95">
        <v>25</v>
      </c>
      <c r="B33" s="45" t="str" cm="1">
        <f t="array" ref="B33">IF(H33="PROJECT", CHAR(10) &amp; "- " &amp; _xlfn.TEXTJOIN(CHAR(10) &amp; "- ", TRUE, _xlfn._xlws.FILTER($I$9:$I$1000, ($C$9:$C$1000=C33) * ($H$9:$H$1000="Topic"))), "")</f>
        <v/>
      </c>
      <c r="C33" s="45">
        <f t="shared" si="0"/>
        <v>4</v>
      </c>
      <c r="D33" s="46">
        <v>4</v>
      </c>
      <c r="E33" s="58" t="s">
        <v>48</v>
      </c>
      <c r="F33" s="48">
        <v>25</v>
      </c>
      <c r="G33" s="49" t="s">
        <v>162</v>
      </c>
      <c r="H33" s="49" t="s">
        <v>50</v>
      </c>
      <c r="I33" s="50" t="s">
        <v>806</v>
      </c>
      <c r="J33" s="51" t="s">
        <v>807</v>
      </c>
      <c r="K33" s="120" t="str">
        <f t="shared" si="1"/>
        <v xml:space="preserve">[ROLE] Friendly tutor specializing in Elixir OTP | [TOPIC] Implement testing for GenServers and internal state using ExUnit with GenServer, asserting synchronous state, and assert_receive/3 for handle_info. | [LEVEL] Advanced | [COUNT] 4 examples | [LIBRARY BEING LEARNED]  | [ECOSYSTEM ORIENTATION RULE] If a module or ecosystem like GenServer, Supervisor, Registry, or DynamicSupervisor is specified in , you are CRITICALLY FORBIDDEN from using manual process linking (spawn/1, spawn_link/1) outside standard OTP behaviors. You MUST enforce the concurrent asynchronous processes and proper Supervisor tree state isolation and data structures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25 lines of EXECUTABLE code (STRICT: Do NOT count comments or blank lines). - NEVER exceed this limit. | [FUNCTION RULE] Rule: stateful GenServer state or external message passing | [CODE_CONSTRAINTS_RULE] Each example MUST: - Use stateful GenServer state or external message passing - Print steps &amp; result via Logger.info/debug or IO.inspect inside isolated process callbacks - MAX 25 executable lines (comments/blanks excluded) - NEVER exceed limit. | [I_O_PARADIGM] Use standard OTP message passing via send/2 or GenServer.call/3 and gracefully handle {:reply, response, new_state}, {:noreply, new_state}, and {:ok, state} tuples when applicable. | [INLINE_PACKAGE_MANAGER] If using external packages, use Standard mix.exs dependencies list (defp deps do [{:package_name, '~&gt; version'}] end) at the top of the code block. Assume no project configuration file exists. | [TESTING_FRAMEWORK_LIMITS] For ExUnit with isolated async processes (use ExUnit.Case, async: true), NEVER use manual process link hacking outside of standard OTP abstractions. Use standard test macros and assert_receive/assert_received for message validation, as manual process link hacking outside of standard OTP abstractions fail in standalone execution environments. | [CODE QUALITY RULE] Code MUST be clean, readable, educational, executable, and produce correct results. Handle missing, malformed, or inconsistent data safely, utilizing pattern matching if possible. | [COMMENT CONSTRAINTS] Code MUST include sufficient inline comments explaining WHAT the code does AND WHY it is written that way. Density: Beginner = high, Intermediate = medium, Advanced = 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#25 | Stage 1 📖 Practice | Elixir OTP | 📊 Level: Advanced | 🌐 Coding5s.com
**Concept:** Testing GenServers &amp; Internal State (ExUnit with GenServer, asserting synchronous state, assert_receive/3 for handle_info)
---
 | [INTRO RULE] Include a short tutor-style sentence in Spanish before the analogy, followed by this EXACT instruction block translated to Spanish: '🚨 **Your objective in this lesson:** To truly learn the new  Elixir OTP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[PERSONA RULE] Act as a friendly, clear tutor | [TASK] Teach and explain concepts clearly with correct code examples | [OUTPUT CONTRACT] EXACTLY 4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Evaluate ONLY current attachments. IF FILE ATTACHED: Acknowledge it, place Dataset Summary (Type, Structure, Columns, Data Types) IMMEDIATELY AFTER HEADER, and strictly use it for ALL examples. IF NO FILE ATTACHED: Explicitly print 'No synthetic data file was provided for this topic. Generating dummy data.' (translate to Spanish), generate minimal dummy data internally, and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3" s="103" t="str">
        <f t="shared" si="2"/>
        <v xml:space="preserve">[MENTOR_S1_SAFE_GUIDE] Act as 'The Safe Guide' (El Hermano Mayor) - a World-Class Elite Technical Mentor for Stage 1 Practice specializing in Elixir OTP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testing for GenServers and internal state using ExUnit with GenServer, asserting synchronous state, and assert_receive/3 for handle_info.. Topic details: Testing GenServers &amp; Internal State (ExUnit with GenServer, asserting synchronous state, assert_receive/3 for handle_info) | [LANGUAGE CONSISTENCY RULE] ALL output text MUST be written strictly in (Spanish). | [LANGUAGE SEED CONTEXT] Language Seed Not Necessary | [LANGUAGE] Spanish | [MENTOR_SCOPE_EXPECTATIONS] Expect complete OTP apps with DynamicSupervisor, clean separation of Client API/Server Callbacks, and handle_info/2 pattern matching. | [CODE_QUALITY_POLICIES] Code MUST be idiomatic Elixir. Use descriptive snake_case for functions/variables, and PascalCase for module aliases. Leverage proper tuple pattern matching (e.g., {:noreply, new_state}) and strict immutability within process boundaries. Reject process mailbox clogging, blocking callbacks, bypassing OTP behaviors, or modifying external global state. If using default arguments ('\\') with multiple function clauses or callbacks, you MUST declare a function head without a body.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OTP code, and fully functional Elixir OTP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#25 | Practice | Elixir OTP | 📊 Level: Advanced
**Topic:** Implement testing for GenServers and internal state using ExUnit with GenServer, asserting synchronous state, and assert_receive/3 for handle_info.
---
 | [FOOTER RULE - STRICT] End your response with: '--- ⚡ *Coding5s Mentor System — Eliminating Epistemic Debt*' | </v>
      </c>
      <c r="M33" s="53">
        <v>0</v>
      </c>
      <c r="N33" s="102" t="str">
        <f t="shared" si="3"/>
        <v>[ROLE] Careless Elixir OTP Developer | [TASK] Generate debugging challenges in Elixir OTP | | [TOPIC] Implement testing for GenServers and internal state using ExUnit with GenServer, asserting synchronous state, and assert_receive/3 for handle_info. | | [LEVEL] Advanced |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Topic #25 | Stage 2 🐛 Debug | Elixir OTP | 📊 Level: Advanced | 🌐 Coding5s.com
Concept: Testing GenServers &amp; Internal State (ExUnit with GenServer, asserting synchronous state, assert_receive/3 for handle_info)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Use standard Elixir File module and gracefully handle {:ok, data} and {:error, reason} tuples | Environment variables may be used but bugs MUST exist ONLY in code logic, NEVER in config files | If env/config is used, MUST include: 1. Instructional sentence 2. File content in markdown code block 3. BEFORE the broken code (Support files MUST contain NO bugs) | [EXUNIT RULE] If the topic involves ExUnit or Testing, NEVER use doctests (@doc iex&gt;). You MUST use standard test macros (test 'test name' do) and assert statements. Doctests cause errors in standalone .exs scripts. | [HEX DEPENDENCIES RULE] If the exercise requires using an external Hex package in a standalone script, you MUST use Mix.install([{:package_name, '~&gt; version'}]) at the very top of the code block. Assume there is NO mix.exs file available in the user's environment. | [CODE CONSTRAINTS] Each challenge MUST include: - Internal data OR dataset usage - At least 1 Enum/List operation or recursion (when applicable) - At least 1 IO.puts or IO.inspect statement - 15–35 lines of EXECUTABLE broken code per example (STRICT: Do NOT count blank lines). Use pure functions and immutability. | All challenges MUST have similar complexity and length. | [INTRO RULE] The intro MUST be a dynamically generated, urgent, unprofessional email in Spanish with this EXACT format: '📥 From: [Random Dev Name]' / '📤 To: [Insert my user name if you know it from context, otherwise use Elixir OTP Developer]' / 'Subject: [Generate a funny, desperate Subject]'. Body MUST be unique every time. Do NOT copy this example exactly, but use this vibe: 'Ay, no sé ni qué hora es, pero aquí tienes estas cosas que apenas funcionan. Arréglalo tú si tanto te importa el orden. No consigo que corran. Ayúdame y luego te invito al almuerzo. El jefe urge...'. Make it short, informal, and funny for the student. IMMEDIATELY AFTER the email body, you MUST include this exact instruction block translated to Spanish: '🚨 Your objective in this lesson: You must copy the code blocks from each Challenge exactly as they are and paste them into your IDE. Then you have to fix all the errors in the code until you achieve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three dimensions: 1. Syntax Errors (e.g., mismatched delimiters, invalid indentation, invalid syntax, SyntaxError). 2. Runtime Exceptions (e.g., TypeError when mixing types, ValueError with invalid arguments, IndexError on collections, KeyError on dictionaries, ZeroDivisionError). 3. Logic Errors (e.g., incorrect Boolean logic, off-by-one errors in loops, wrong mathematical formulas, variable shadowing, or incorrect use of mutable defaults). Errors MUST be realistic and mimic common mistakes made by junior developers in production-like environments. | [EXECUTION RULE] Code must fail due to syntax errors, runtime exceptions, or produce incorrect output | [DATA RULE - STRICT] A dataset MAY be provided in THIS CURRENT PROMPT. If a NEW dataset IS attached to THIS prompt, you MUST: 1. Detect and acknowledge it BEFORE challenges 2. Explicitly state file type 3. Describe structure 4. List columns or fields 5. Infer data types 6. Display dataset summary IMMEDIATELY AFTER THE HEADER 7. State ALL challenges use it 8. Use it directly (DO NOT recreate data). If NO dataset is provided IN THIS CURRENT PROMPT: - STRICT: You MUST explicitly state 'No synthetic data file was provided. Generating dummy data.' (translate this phrase to Spanish) - Generate minimal internal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3" s="103" t="str">
        <f t="shared" si="4"/>
        <v xml:space="preserve">[MENTOR_S2_DETECTIVE] Act as 'The Analytical Partner' (El Detective con Café) - a World-Class Elite Technical Mentor for Stage 2 Debugging specializing in Elixir OTP.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testing for GenServers and internal state using ExUnit with GenServer, asserting synchronous state, and assert_receive/3 for handle_info.. Topic details: Testing GenServers &amp; Internal State (ExUnit with GenServer, asserting synchronous state, assert_receive/3 for handle_info)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#25 | Debug | Elixir OTP | 📊 Level: Advanced
**Topic:** Implement testing for GenServers and internal state using ExUnit with GenServer, asserting synchronous state, and assert_receive/3 for handle_info.
---
 | [PYTHON QUALITY RULE - STRICT] Code MUST be production-like, clean, and idiomatic Elixir. Use descriptive snake_case for variables and functions. Use pure functions and strict immutability. If using default arguments (\\\\) with multiple function clauses, you MUST declare a function head without a body to avoid compiler warnings.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OTP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OTP).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OTP code, and fully functional Elixir OTP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3" s="53">
        <v>0</v>
      </c>
      <c r="Q33" s="102" t="str">
        <f t="shared" si="5"/>
        <v>[ROLE] Tech Lead | [TASK] Assign incomplete Elixir OTP script challenges | [TOPIC] Implement testing for GenServers and internal state using ExUnit with GenServer, asserting synchronous state, and assert_receive/3 for handle_info. | [LEVEL] Advanced | [COUNT] 4 challenges | [LIBRARY BEING LEARNED]  | [ECOSYSTEM ORIENTATION RULE] If a module or ecosystem like Explorer or Nx is specified in [LIBRARY BEING LEARNED], you are CRITICALLY FORBIDDEN from using manual recursion or nested loop implementations. You MUST enforce the native, optimized data structures and vectorized operations of that specific library. | [HEADER RULE - STRICT] You MUST start your entire response EXACTLY with this markdown block (do not print anything before it):
### 🔹 Topic #25 | Stage 3 🧩 Complete | Elixir OTP | 📊 Level: Advanced | 🌐 Coding5s.com
**Concept:** Testing GenServers &amp; Internal State (ExUnit with GenServer, asserting synchronous state, assert_receive/3 for handle_info)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[EXTERNAL_PACKAGE_PROTOCOL] If the exercise requires using an external Hex package in a standalone script, you MUST use Mix.install([{:package_name, '~&gt; version'}]) at the very top of the code block. | [TESTING_FRAMEWORK_PROTOCOL] If the topic involves ExUnit or Testing, NEVER use doctests (@doc iex&gt;). You MUST use standard test macros (test 'test name' do) and assert statements. | [CHALLENGE_CONSTRAINTS_POLICY] Each challenge MUST include: - Internal data OR dataset usage - 15–35 lines of EXECUTABLE base code (STRICT: Do NOT count comments or TODOs). - Length MUST vary across challenges. Use pure functions and immutability.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Elixir OTP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testing for GenServers and internal state using ExUnit with GenServer, asserting synchronous state, and assert_receive/3 for handle_info..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3" s="103" t="str">
        <f t="shared" si="6"/>
        <v xml:space="preserve">[MENTOR_S3_BUILDER] Act as 'The Logical Scaffold' (El Maestro de Obra) - a World-Class Elite Technical Mentor for Stage 3 Code Completion specializing in Elixir OTP.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testing for GenServers and internal state using ExUnit with GenServer, asserting synchronous state, and assert_receive/3 for handle_info.. Topic details: Testing GenServers &amp; Internal State (ExUnit with GenServer, asserting synchronous state, assert_receive/3 for handle_info)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#25 | Complete | Elixir OTP | 📊 Level: Advanced
**Topic:** Implement testing for GenServers and internal state using ExUnit with GenServer, asserting synchronous state, and assert_receive/3 for handle_info.
---
 | [PYTHON QUALITY RULE - STRICT] Code MUST be explicitly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3" s="53">
        <v>0</v>
      </c>
      <c r="T33" s="102" t="str">
        <f t="shared" si="7"/>
        <v>[ROLE] Tech Lead | [TASK] Provide intentionally messy but functional code for learning debugging and improvement | [TOPIC] Implement testing for GenServers and internal state using ExUnit with GenServer, asserting synchronous state, and assert_receive/3 for handle_info. | [LEVEL] Advanced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#25 | Stage 4 🧹 Refactor | Elixir OTP | 📊 Level: Advanced | 🌐 Coding5s.com
**Concept:** Testing GenServers &amp; Internal State (ExUnit with GenServer, asserting synchronous state, assert_receive/3 for handle_info)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Elixir OTP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3" s="103" t="str">
        <f t="shared" si="8"/>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Elixir OTP', 'limpia este desastre'). Match the cultural vibe of a senior who is tired of seeing bad code. | [CONTEXT] You are performing a Code Review for a TOPIC: Implement testing for GenServers and internal state using ExUnit with GenServer, asserting synchronous state, and assert_receive/3 for handle_info.. Topic details: Testing GenServers &amp; Internal State (ExUnit with GenServer, asserting synchronous state, assert_receive/3 for handle_info)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#25 | Refactor | Elixir OTP | 📊 Level: Advanced
**Topic:** Implement testing for GenServers and internal state using ExUnit with GenServer, asserting synchronous state, and assert_receive/3 for handle_info.
---
 | [PYTHON QUALITY RULE - STRICT] Code MUST be explicitly compliant with language-standard style guides. Use descriptive snake_case for variables and functions. Avoid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OTP built-in, standard library module, or good Elixir OTP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OTP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3" s="53">
        <v>0</v>
      </c>
      <c r="W33" s="87" t="str">
        <f t="shared" si="9"/>
        <v>[ROLE] Tech Product Manager assigning a Elixir OTP Jira Ticket | [TASK] Provide a guided implementation exercise with full solution for learning purposes | [TOPIC] Implement testing for GenServers and internal state using ExUnit with GenServer, asserting synchronous state, and assert_receive/3 for handle_info. | [LEVEL] Advanced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#25 | Stage 5 | Elixir OTP | 📊 Level: Advanced | 🌐 Coding5s.com
**Concept:** Testing GenServers &amp; Internal State (ExUnit with GenServer, asserting synchronous state, assert_receive/3 for handle_info)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OTP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OTP Dev']
Subject: Assignment Details
Hello [Insert my user name if known, otherwise use 'Elixir OTP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Spanish).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3" s="103" t="str">
        <f t="shared" si="10"/>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testing for GenServers and internal state using ExUnit with GenServer, asserting synchronous state, and assert_receive/3 for handle_info.. Goal: Testing GenServers &amp; Internal State (ExUnit with GenServer, asserting synchronous state, assert_receive/3 for handle_info)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#25 | Extend | Elixir OTP | 📊 Level: Advanced
**Topic:** Implement testing for GenServers and internal state using ExUnit with GenServer, asserting synchronous state, and assert_receive/3 for handle_info.
---
 | [CODE_QUALITY_PROTOCOL] Code MUST be explicitly compliant with language-standard style guides. Use descriptive snake_case for variables and functions. NEVER use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3" s="53">
        <v>0</v>
      </c>
      <c r="Z33" s="56" t="str">
        <f t="shared" si="11"/>
        <v/>
      </c>
      <c r="AA33" s="56" t="str">
        <f t="shared" si="12"/>
        <v/>
      </c>
      <c r="AB33" s="56" t="str">
        <f t="shared" si="13"/>
        <v/>
      </c>
      <c r="AC33" s="56" t="str">
        <f t="shared" si="14"/>
        <v/>
      </c>
      <c r="AD33" s="56" t="str">
        <f t="shared" si="15"/>
        <v/>
      </c>
      <c r="AE33" s="40"/>
      <c r="AF33" s="40"/>
      <c r="AG33" s="40"/>
      <c r="AH33" s="56" t="str">
        <f t="shared" si="16"/>
        <v/>
      </c>
      <c r="AI33" s="54"/>
      <c r="AJ33" s="54"/>
      <c r="AK33" s="54">
        <v>25</v>
      </c>
      <c r="AL33" s="54" t="s">
        <v>136</v>
      </c>
      <c r="AM33" s="54" t="s">
        <v>137</v>
      </c>
    </row>
    <row r="34" spans="1:39">
      <c r="A34" s="95">
        <v>25</v>
      </c>
      <c r="B34" s="45" t="str" cm="1">
        <f t="array" ref="B34">IF(H34="PROJECT", CHAR(10) &amp; "- " &amp; _xlfn.TEXTJOIN(CHAR(10) &amp; "- ", TRUE, _xlfn._xlws.FILTER($I$9:$I$1000, ($C$9:$C$1000=C34) * ($H$9:$H$1000="Topic"))), "")</f>
        <v/>
      </c>
      <c r="C34" s="45">
        <f t="shared" si="0"/>
        <v>4</v>
      </c>
      <c r="D34" s="57">
        <v>4</v>
      </c>
      <c r="E34" s="58" t="s">
        <v>48</v>
      </c>
      <c r="F34" s="59">
        <v>26</v>
      </c>
      <c r="G34" s="60" t="s">
        <v>162</v>
      </c>
      <c r="H34" s="60" t="s">
        <v>50</v>
      </c>
      <c r="I34" s="61" t="s">
        <v>808</v>
      </c>
      <c r="J34" s="62" t="s">
        <v>809</v>
      </c>
      <c r="K34" s="120" t="str">
        <f t="shared" si="1"/>
        <v xml:space="preserve">[ROLE] Friendly tutor specializing in Elixir OTP | [TOPIC] Formulate testing for Supervisors and fault tolerance using Process.exit/2 simulations, asserting restart behavior, and Task.yield/2 in tests. | [LEVEL] Advanced | [COUNT] 4 examples | [LIBRARY BEING LEARNED]  | [ECOSYSTEM ORIENTATION RULE] If a module or ecosystem like GenServer, Supervisor, Registry, or DynamicSupervisor is specified in , you are CRITICALLY FORBIDDEN from using manual process linking (spawn/1, spawn_link/1) outside standard OTP behaviors. You MUST enforce the concurrent asynchronous processes and proper Supervisor tree state isolation and data structures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25 lines of EXECUTABLE code (STRICT: Do NOT count comments or blank lines). - NEVER exceed this limit. | [FUNCTION RULE] Rule: stateful GenServer state or external message passing | [CODE_CONSTRAINTS_RULE] Each example MUST: - Use stateful GenServer state or external message passing - Print steps &amp; result via Logger.info/debug or IO.inspect inside isolated process callbacks - MAX 25 executable lines (comments/blanks excluded) - NEVER exceed limit. | [I_O_PARADIGM] Use standard OTP message passing via send/2 or GenServer.call/3 and gracefully handle {:reply, response, new_state}, {:noreply, new_state}, and {:ok, state} tuples when applicable. | [INLINE_PACKAGE_MANAGER] If using external packages, use Standard mix.exs dependencies list (defp deps do [{:package_name, '~&gt; version'}] end) at the top of the code block. Assume no project configuration file exists. | [TESTING_FRAMEWORK_LIMITS] For ExUnit with isolated async processes (use ExUnit.Case, async: true), NEVER use manual process link hacking outside of standard OTP abstractions. Use standard test macros and assert_receive/assert_received for message validation, as manual process link hacking outside of standard OTP abstractions fail in standalone execution environments. | [CODE QUALITY RULE] Code MUST be clean, readable, educational, executable, and produce correct results. Handle missing, malformed, or inconsistent data safely, utilizing pattern matching if possible. | [COMMENT CONSTRAINTS] Code MUST include sufficient inline comments explaining WHAT the code does AND WHY it is written that way. Density: Beginner = high, Intermediate = medium, Advanced = 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#26 | Stage 1 📖 Practice | Elixir OTP | 📊 Level: Advanced | 🌐 Coding5s.com
**Concept:** Testing Supervisors &amp; Fault Tolerance (Process.exit/2 simulations, asserting restart behavior, Task.yield/2 in tests)
---
 | [INTRO RULE] Include a short tutor-style sentence in Spanish before the analogy, followed by this EXACT instruction block translated to Spanish: '🚨 **Your objective in this lesson:** To truly learn the new  Elixir OTP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[PERSONA RULE] Act as a friendly, clear tutor | [TASK] Teach and explain concepts clearly with correct code examples | [OUTPUT CONTRACT] EXACTLY 4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Evaluate ONLY current attachments. IF FILE ATTACHED: Acknowledge it, place Dataset Summary (Type, Structure, Columns, Data Types) IMMEDIATELY AFTER HEADER, and strictly use it for ALL examples. IF NO FILE ATTACHED: Explicitly print 'No synthetic data file was provided for this topic. Generating dummy data.' (translate to Spanish), generate minimal dummy data internally, and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4" s="103" t="str">
        <f t="shared" si="2"/>
        <v xml:space="preserve">[MENTOR_S1_SAFE_GUIDE] Act as 'The Safe Guide' (El Hermano Mayor) - a World-Class Elite Technical Mentor for Stage 1 Practice specializing in Elixir OTP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Formulate testing for Supervisors and fault tolerance using Process.exit/2 simulations, asserting restart behavior, and Task.yield/2 in tests.. Topic details: Testing Supervisors &amp; Fault Tolerance (Process.exit/2 simulations, asserting restart behavior, Task.yield/2 in tests) | [LANGUAGE CONSISTENCY RULE] ALL output text MUST be written strictly in (Spanish). | [LANGUAGE SEED CONTEXT] Language Seed Not Necessary | [LANGUAGE] Spanish | [MENTOR_SCOPE_EXPECTATIONS] Expect complete OTP apps with DynamicSupervisor, clean separation of Client API/Server Callbacks, and handle_info/2 pattern matching. | [CODE_QUALITY_POLICIES] Code MUST be idiomatic Elixir. Use descriptive snake_case for functions/variables, and PascalCase for module aliases. Leverage proper tuple pattern matching (e.g., {:noreply, new_state}) and strict immutability within process boundaries. Reject process mailbox clogging, blocking callbacks, bypassing OTP behaviors, or modifying external global state. If using default arguments ('\\') with multiple function clauses or callbacks, you MUST declare a function head without a body.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OTP code, and fully functional Elixir OTP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#26 | Practice | Elixir OTP | 📊 Level: Advanced
**Topic:** Formulate testing for Supervisors and fault tolerance using Process.exit/2 simulations, asserting restart behavior, and Task.yield/2 in tests.
---
 | [FOOTER RULE - STRICT] End your response with: '--- ⚡ *Coding5s Mentor System — Eliminating Epistemic Debt*' | </v>
      </c>
      <c r="M34" s="52">
        <v>0</v>
      </c>
      <c r="N34" s="102" t="str">
        <f t="shared" si="3"/>
        <v>[ROLE] Careless Elixir OTP Developer | [TASK] Generate debugging challenges in Elixir OTP | | [TOPIC] Formulate testing for Supervisors and fault tolerance using Process.exit/2 simulations, asserting restart behavior, and Task.yield/2 in tests. | | [LEVEL] Advanced |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Topic #26 | Stage 2 🐛 Debug | Elixir OTP | 📊 Level: Advanced | 🌐 Coding5s.com
Concept: Testing Supervisors &amp; Fault Tolerance (Process.exit/2 simulations, asserting restart behavior, Task.yield/2 in tests)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Use standard Elixir File module and gracefully handle {:ok, data} and {:error, reason} tuples | Environment variables may be used but bugs MUST exist ONLY in code logic, NEVER in config files | If env/config is used, MUST include: 1. Instructional sentence 2. File content in markdown code block 3. BEFORE the broken code (Support files MUST contain NO bugs) | [EXUNIT RULE] If the topic involves ExUnit or Testing, NEVER use doctests (@doc iex&gt;). You MUST use standard test macros (test 'test name' do) and assert statements. Doctests cause errors in standalone .exs scripts. | [HEX DEPENDENCIES RULE] If the exercise requires using an external Hex package in a standalone script, you MUST use Mix.install([{:package_name, '~&gt; version'}]) at the very top of the code block. Assume there is NO mix.exs file available in the user's environment. | [CODE CONSTRAINTS] Each challenge MUST include: - Internal data OR dataset usage - At least 1 Enum/List operation or recursion (when applicable) - At least 1 IO.puts or IO.inspect statement - 15–35 lines of EXECUTABLE broken code per example (STRICT: Do NOT count blank lines). Use pure functions and immutability. | All challenges MUST have similar complexity and length. | [INTRO RULE] The intro MUST be a dynamically generated, urgent, unprofessional email in Spanish with this EXACT format: '📥 From: [Random Dev Name]' / '📤 To: [Insert my user name if you know it from context, otherwise use Elixir OTP Developer]' / 'Subject: [Generate a funny, desperate Subject]'. Body MUST be unique every time. Do NOT copy this example exactly, but use this vibe: 'Ay, no sé ni qué hora es, pero aquí tienes estas cosas que apenas funcionan. Arréglalo tú si tanto te importa el orden. No consigo que corran. Ayúdame y luego te invito al almuerzo. El jefe urge...'. Make it short, informal, and funny for the student. IMMEDIATELY AFTER the email body, you MUST include this exact instruction block translated to Spanish: '🚨 Your objective in this lesson: You must copy the code blocks from each Challenge exactly as they are and paste them into your IDE. Then you have to fix all the errors in the code until you achieve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three dimensions: 1. Syntax Errors (e.g., mismatched delimiters, invalid indentation, invalid syntax, SyntaxError). 2. Runtime Exceptions (e.g., TypeError when mixing types, ValueError with invalid arguments, IndexError on collections, KeyError on dictionaries, ZeroDivisionError). 3. Logic Errors (e.g., incorrect Boolean logic, off-by-one errors in loops, wrong mathematical formulas, variable shadowing, or incorrect use of mutable defaults). Errors MUST be realistic and mimic common mistakes made by junior developers in production-like environments. | [EXECUTION RULE] Code must fail due to syntax errors, runtime exceptions, or produce incorrect output | [DATA RULE - STRICT] A dataset MAY be provided in THIS CURRENT PROMPT. If a NEW dataset IS attached to THIS prompt, you MUST: 1. Detect and acknowledge it BEFORE challenges 2. Explicitly state file type 3. Describe structure 4. List columns or fields 5. Infer data types 6. Display dataset summary IMMEDIATELY AFTER THE HEADER 7. State ALL challenges use it 8. Use it directly (DO NOT recreate data). If NO dataset is provided IN THIS CURRENT PROMPT: - STRICT: You MUST explicitly state 'No synthetic data file was provided. Generating dummy data.' (translate this phrase to Spanish) - Generate minimal internal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4" s="103" t="str">
        <f t="shared" si="4"/>
        <v xml:space="preserve">[MENTOR_S2_DETECTIVE] Act as 'The Analytical Partner' (El Detective con Café) - a World-Class Elite Technical Mentor for Stage 2 Debugging specializing in Elixir OTP.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Formulate testing for Supervisors and fault tolerance using Process.exit/2 simulations, asserting restart behavior, and Task.yield/2 in tests.. Topic details: Testing Supervisors &amp; Fault Tolerance (Process.exit/2 simulations, asserting restart behavior, Task.yield/2 in tests)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#26 | Debug | Elixir OTP | 📊 Level: Advanced
**Topic:** Formulate testing for Supervisors and fault tolerance using Process.exit/2 simulations, asserting restart behavior, and Task.yield/2 in tests.
---
 | [PYTHON QUALITY RULE - STRICT] Code MUST be production-like, clean, and idiomatic Elixir. Use descriptive snake_case for variables and functions. Use pure functions and strict immutability. If using default arguments (\\\\) with multiple function clauses, you MUST declare a function head without a body to avoid compiler warnings.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OTP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OTP).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OTP code, and fully functional Elixir OTP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4" s="52">
        <v>0</v>
      </c>
      <c r="Q34" s="102" t="str">
        <f t="shared" si="5"/>
        <v>[ROLE] Tech Lead | [TASK] Assign incomplete Elixir OTP script challenges | [TOPIC] Formulate testing for Supervisors and fault tolerance using Process.exit/2 simulations, asserting restart behavior, and Task.yield/2 in tests. | [LEVEL] Advanced | [COUNT] 4 challenges | [LIBRARY BEING LEARNED]  | [ECOSYSTEM ORIENTATION RULE] If a module or ecosystem like Explorer or Nx is specified in [LIBRARY BEING LEARNED], you are CRITICALLY FORBIDDEN from using manual recursion or nested loop implementations. You MUST enforce the native, optimized data structures and vectorized operations of that specific library. | [HEADER RULE - STRICT] You MUST start your entire response EXACTLY with this markdown block (do not print anything before it):
### 🔹 Topic #26 | Stage 3 🧩 Complete | Elixir OTP | 📊 Level: Advanced | 🌐 Coding5s.com
**Concept:** Testing Supervisors &amp; Fault Tolerance (Process.exit/2 simulations, asserting restart behavior, Task.yield/2 in tests)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[EXTERNAL_PACKAGE_PROTOCOL] If the exercise requires using an external Hex package in a standalone script, you MUST use Mix.install([{:package_name, '~&gt; version'}]) at the very top of the code block. | [TESTING_FRAMEWORK_PROTOCOL] If the topic involves ExUnit or Testing, NEVER use doctests (@doc iex&gt;). You MUST use standard test macros (test 'test name' do) and assert statements. | [CHALLENGE_CONSTRAINTS_POLICY] Each challenge MUST include: - Internal data OR dataset usage - 15–35 lines of EXECUTABLE base code (STRICT: Do NOT count comments or TODOs). - Length MUST vary across challenges. Use pure functions and immutability.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Elixir OTP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Formulate testing for Supervisors and fault tolerance using Process.exit/2 simulations, asserting restart behavior, and Task.yield/2 in tests..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4" s="103" t="str">
        <f t="shared" si="6"/>
        <v xml:space="preserve">[MENTOR_S3_BUILDER] Act as 'The Logical Scaffold' (El Maestro de Obra) - a World-Class Elite Technical Mentor for Stage 3 Code Completion specializing in Elixir OTP.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Formulate testing for Supervisors and fault tolerance using Process.exit/2 simulations, asserting restart behavior, and Task.yield/2 in tests.. Topic details: Testing Supervisors &amp; Fault Tolerance (Process.exit/2 simulations, asserting restart behavior, Task.yield/2 in tests)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#26 | Complete | Elixir OTP | 📊 Level: Advanced
**Topic:** Formulate testing for Supervisors and fault tolerance using Process.exit/2 simulations, asserting restart behavior, and Task.yield/2 in tests.
---
 | [PYTHON QUALITY RULE - STRICT] Code MUST be explicitly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4" s="52">
        <v>0</v>
      </c>
      <c r="T34" s="102" t="str">
        <f t="shared" si="7"/>
        <v>[ROLE] Tech Lead | [TASK] Provide intentionally messy but functional code for learning debugging and improvement | [TOPIC] Formulate testing for Supervisors and fault tolerance using Process.exit/2 simulations, asserting restart behavior, and Task.yield/2 in tests. | [LEVEL] Advanced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#26 | Stage 4 🧹 Refactor | Elixir OTP | 📊 Level: Advanced | 🌐 Coding5s.com
**Concept:** Testing Supervisors &amp; Fault Tolerance (Process.exit/2 simulations, asserting restart behavior, Task.yield/2 in tests)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Elixir OTP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4" s="103" t="str">
        <f t="shared" si="8"/>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Elixir OTP', 'limpia este desastre'). Match the cultural vibe of a senior who is tired of seeing bad code. | [CONTEXT] You are performing a Code Review for a TOPIC: Formulate testing for Supervisors and fault tolerance using Process.exit/2 simulations, asserting restart behavior, and Task.yield/2 in tests.. Topic details: Testing Supervisors &amp; Fault Tolerance (Process.exit/2 simulations, asserting restart behavior, Task.yield/2 in tests)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#26 | Refactor | Elixir OTP | 📊 Level: Advanced
**Topic:** Formulate testing for Supervisors and fault tolerance using Process.exit/2 simulations, asserting restart behavior, and Task.yield/2 in tests.
---
 | [PYTHON QUALITY RULE - STRICT] Code MUST be explicitly compliant with language-standard style guides. Use descriptive snake_case for variables and functions. Avoid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OTP built-in, standard library module, or good Elixir OTP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OTP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4" s="52">
        <v>0</v>
      </c>
      <c r="W34" s="87" t="str">
        <f t="shared" si="9"/>
        <v>[ROLE] Tech Product Manager assigning a Elixir OTP Jira Ticket | [TASK] Provide a guided implementation exercise with full solution for learning purposes | [TOPIC] Formulate testing for Supervisors and fault tolerance using Process.exit/2 simulations, asserting restart behavior, and Task.yield/2 in tests. | [LEVEL] Advanced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#26 | Stage 5 | Elixir OTP | 📊 Level: Advanced | 🌐 Coding5s.com
**Concept:** Testing Supervisors &amp; Fault Tolerance (Process.exit/2 simulations, asserting restart behavior, Task.yield/2 in tests)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OTP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OTP Dev']
Subject: Assignment Details
Hello [Insert my user name if known, otherwise use 'Elixir OTP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Spanish).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4" s="103" t="str">
        <f t="shared" si="10"/>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Formulate testing for Supervisors and fault tolerance using Process.exit/2 simulations, asserting restart behavior, and Task.yield/2 in tests.. Goal: Testing Supervisors &amp; Fault Tolerance (Process.exit/2 simulations, asserting restart behavior, Task.yield/2 in tests)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#26 | Extend | Elixir OTP | 📊 Level: Advanced
**Topic:** Formulate testing for Supervisors and fault tolerance using Process.exit/2 simulations, asserting restart behavior, and Task.yield/2 in tests.
---
 | [CODE_QUALITY_PROTOCOL] Code MUST be explicitly compliant with language-standard style guides. Use descriptive snake_case for variables and functions. NEVER use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4" s="52">
        <v>0</v>
      </c>
      <c r="Z34" s="56" t="str">
        <f t="shared" si="11"/>
        <v/>
      </c>
      <c r="AA34" s="56" t="str">
        <f t="shared" si="12"/>
        <v/>
      </c>
      <c r="AB34" s="56" t="str">
        <f t="shared" si="13"/>
        <v/>
      </c>
      <c r="AC34" s="56" t="str">
        <f t="shared" si="14"/>
        <v/>
      </c>
      <c r="AD34" s="56" t="str">
        <f t="shared" si="15"/>
        <v/>
      </c>
      <c r="AE34" s="40"/>
      <c r="AF34" s="40"/>
      <c r="AG34" s="40"/>
      <c r="AH34" s="56" t="str">
        <f t="shared" si="16"/>
        <v/>
      </c>
      <c r="AI34" s="54"/>
      <c r="AJ34" s="54"/>
      <c r="AK34" s="54">
        <v>26</v>
      </c>
      <c r="AL34" s="54" t="s">
        <v>141</v>
      </c>
      <c r="AM34" s="54" t="s">
        <v>142</v>
      </c>
    </row>
    <row r="35" spans="1:39">
      <c r="A35" s="95">
        <v>25</v>
      </c>
      <c r="B35" s="45" t="str" cm="1">
        <f t="array" ref="B35">IF(H35="PROJECT", CHAR(10) &amp; "- " &amp; _xlfn.TEXTJOIN(CHAR(10) &amp; "- ", TRUE, _xlfn._xlws.FILTER($I$9:$I$1000, ($C$9:$C$1000=C35) * ($H$9:$H$1000="Topic"))), "")</f>
        <v/>
      </c>
      <c r="C35" s="45">
        <f t="shared" si="0"/>
        <v>4</v>
      </c>
      <c r="D35" s="46">
        <v>4</v>
      </c>
      <c r="E35" s="58" t="s">
        <v>619</v>
      </c>
      <c r="F35" s="48">
        <v>27</v>
      </c>
      <c r="G35" s="49" t="s">
        <v>162</v>
      </c>
      <c r="H35" s="49" t="s">
        <v>50</v>
      </c>
      <c r="I35" s="50" t="s">
        <v>810</v>
      </c>
      <c r="J35" s="51" t="s">
        <v>811</v>
      </c>
      <c r="K35" s="120" t="str">
        <f t="shared" si="1"/>
        <v xml:space="preserve">[ROLE] Friendly tutor specializing in Elixir OTP | [TOPIC] Design testing for Registries and distributed systems by asserting via tuples, mocking node connections, and testing ETS table state. | [LEVEL] Advanced | [COUNT] 4 examples | [LIBRARY BEING LEARNED]  | [ECOSYSTEM ORIENTATION RULE] If a module or ecosystem like GenServer, Supervisor, Registry, or DynamicSupervisor is specified in , you are CRITICALLY FORBIDDEN from using manual process linking (spawn/1, spawn_link/1) outside standard OTP behaviors. You MUST enforce the concurrent asynchronous processes and proper Supervisor tree state isolation and data structures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25 lines of EXECUTABLE code (STRICT: Do NOT count comments or blank lines). - NEVER exceed this limit. | [FUNCTION RULE] Rule: stateful GenServer state or external message passing | [CODE_CONSTRAINTS_RULE] Each example MUST: - Use stateful GenServer state or external message passing - Print steps &amp; result via Logger.info/debug or IO.inspect inside isolated process callbacks - MAX 25 executable lines (comments/blanks excluded) - NEVER exceed limit. | [I_O_PARADIGM] Use standard OTP message passing via send/2 or GenServer.call/3 and gracefully handle {:reply, response, new_state}, {:noreply, new_state}, and {:ok, state} tuples when applicable. | [INLINE_PACKAGE_MANAGER] If using external packages, use Standard mix.exs dependencies list (defp deps do [{:package_name, '~&gt; version'}] end) at the top of the code block. Assume no project configuration file exists. | [TESTING_FRAMEWORK_LIMITS] For ExUnit with isolated async processes (use ExUnit.Case, async: true), NEVER use manual process link hacking outside of standard OTP abstractions. Use standard test macros and assert_receive/assert_received for message validation, as manual process link hacking outside of standard OTP abstractions fail in standalone execution environments. | [CODE QUALITY RULE] Code MUST be clean, readable, educational, executable, and produce correct results. Handle missing, malformed, or inconsistent data safely, utilizing pattern matching if possible. | [COMMENT CONSTRAINTS] Code MUST include sufficient inline comments explaining WHAT the code does AND WHY it is written that way. Density: Beginner = high, Intermediate = medium, Advanced = 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#27 | Stage 1 📖 Practice | Elixir OTP | 📊 Level: Advanced | 🌐 Coding5s.com
**Concept:** Testing Registries &amp; Distributed Systems (Asserting via tuples, mocking node connections, testing ETS table state)
---
 | [INTRO RULE] Include a short tutor-style sentence in Spanish before the analogy, followed by this EXACT instruction block translated to Spanish: '🚨 **Your objective in this lesson:** To truly learn the new  Elixir OTP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[PERSONA RULE] Act as a friendly, clear tutor | [TASK] Teach and explain concepts clearly with correct code examples | [OUTPUT CONTRACT] EXACTLY 4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Evaluate ONLY current attachments. IF FILE ATTACHED: Acknowledge it, place Dataset Summary (Type, Structure, Columns, Data Types) IMMEDIATELY AFTER HEADER, and strictly use it for ALL examples. IF NO FILE ATTACHED: Explicitly print 'No synthetic data file was provided for this topic. Generating dummy data.' (translate to Spanish), generate minimal dummy data internally, and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5" s="103" t="str">
        <f t="shared" si="2"/>
        <v xml:space="preserve">[MENTOR_S1_SAFE_GUIDE] Act as 'The Safe Guide' (El Hermano Mayor) - a World-Class Elite Technical Mentor for Stage 1 Practice specializing in Elixir OTP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Design testing for Registries and distributed systems by asserting via tuples, mocking node connections, and testing ETS table state.. Topic details: Testing Registries &amp; Distributed Systems (Asserting via tuples, mocking node connections, testing ETS table state) | [LANGUAGE CONSISTENCY RULE] ALL output text MUST be written strictly in (Spanish). | [LANGUAGE SEED CONTEXT] Language Seed Not Necessary | [LANGUAGE] Spanish | [MENTOR_SCOPE_EXPECTATIONS] Expect complete OTP apps with DynamicSupervisor, clean separation of Client API/Server Callbacks, and handle_info/2 pattern matching. | [CODE_QUALITY_POLICIES] Code MUST be idiomatic Elixir. Use descriptive snake_case for functions/variables, and PascalCase for module aliases. Leverage proper tuple pattern matching (e.g., {:noreply, new_state}) and strict immutability within process boundaries. Reject process mailbox clogging, blocking callbacks, bypassing OTP behaviors, or modifying external global state. If using default arguments ('\\') with multiple function clauses or callbacks, you MUST declare a function head without a body.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OTP code, and fully functional Elixir OTP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#27 | Practice | Elixir OTP | 📊 Level: Advanced
**Topic:** Design testing for Registries and distributed systems by asserting via tuples, mocking node connections, and testing ETS table state.
---
 | [FOOTER RULE - STRICT] End your response with: '--- ⚡ *Coding5s Mentor System — Eliminating Epistemic Debt*' | </v>
      </c>
      <c r="M35" s="53">
        <v>0</v>
      </c>
      <c r="N35" s="102" t="str">
        <f t="shared" si="3"/>
        <v>[ROLE] Careless Elixir OTP Developer | [TASK] Generate debugging challenges in Elixir OTP | | [TOPIC] Design testing for Registries and distributed systems by asserting via tuples, mocking node connections, and testing ETS table state. | | [LEVEL] Advanced |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Topic #27 | Stage 2 🐛 Debug | Elixir OTP | 📊 Level: Advanced | 🌐 Coding5s.com
Concept: Testing Registries &amp; Distributed Systems (Asserting via tuples, mocking node connections, testing ETS table state)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Use standard Elixir File module and gracefully handle {:ok, data} and {:error, reason} tuples | Environment variables may be used but bugs MUST exist ONLY in code logic, NEVER in config files | If env/config is used, MUST include: 1. Instructional sentence 2. File content in markdown code block 3. BEFORE the broken code (Support files MUST contain NO bugs) | [EXUNIT RULE] If the topic involves ExUnit or Testing, NEVER use doctests (@doc iex&gt;). You MUST use standard test macros (test 'test name' do) and assert statements. Doctests cause errors in standalone .exs scripts. | [HEX DEPENDENCIES RULE] If the exercise requires using an external Hex package in a standalone script, you MUST use Mix.install([{:package_name, '~&gt; version'}]) at the very top of the code block. Assume there is NO mix.exs file available in the user's environment. | [CODE CONSTRAINTS] Each challenge MUST include: - Internal data OR dataset usage - At least 1 Enum/List operation or recursion (when applicable) - At least 1 IO.puts or IO.inspect statement - 15–35 lines of EXECUTABLE broken code per example (STRICT: Do NOT count blank lines). Use pure functions and immutability. | All challenges MUST have similar complexity and length. | [INTRO RULE] The intro MUST be a dynamically generated, urgent, unprofessional email in Spanish with this EXACT format: '📥 From: [Random Dev Name]' / '📤 To: [Insert my user name if you know it from context, otherwise use Elixir OTP Developer]' / 'Subject: [Generate a funny, desperate Subject]'. Body MUST be unique every time. Do NOT copy this example exactly, but use this vibe: 'Ay, no sé ni qué hora es, pero aquí tienes estas cosas que apenas funcionan. Arréglalo tú si tanto te importa el orden. No consigo que corran. Ayúdame y luego te invito al almuerzo. El jefe urge...'. Make it short, informal, and funny for the student. IMMEDIATELY AFTER the email body, you MUST include this exact instruction block translated to Spanish: '🚨 Your objective in this lesson: You must copy the code blocks from each Challenge exactly as they are and paste them into your IDE. Then you have to fix all the errors in the code until you achieve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three dimensions: 1. Syntax Errors (e.g., mismatched delimiters, invalid indentation, invalid syntax, SyntaxError). 2. Runtime Exceptions (e.g., TypeError when mixing types, ValueError with invalid arguments, IndexError on collections, KeyError on dictionaries, ZeroDivisionError). 3. Logic Errors (e.g., incorrect Boolean logic, off-by-one errors in loops, wrong mathematical formulas, variable shadowing, or incorrect use of mutable defaults). Errors MUST be realistic and mimic common mistakes made by junior developers in production-like environments. | [EXECUTION RULE] Code must fail due to syntax errors, runtime exceptions, or produce incorrect output | [DATA RULE - STRICT] A dataset MAY be provided in THIS CURRENT PROMPT. If a NEW dataset IS attached to THIS prompt, you MUST: 1. Detect and acknowledge it BEFORE challenges 2. Explicitly state file type 3. Describe structure 4. List columns or fields 5. Infer data types 6. Display dataset summary IMMEDIATELY AFTER THE HEADER 7. State ALL challenges use it 8. Use it directly (DO NOT recreate data). If NO dataset is provided IN THIS CURRENT PROMPT: - STRICT: You MUST explicitly state 'No synthetic data file was provided. Generating dummy data.' (translate this phrase to Spanish) - Generate minimal internal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5" s="103" t="str">
        <f t="shared" si="4"/>
        <v xml:space="preserve">[MENTOR_S2_DETECTIVE] Act as 'The Analytical Partner' (El Detective con Café) - a World-Class Elite Technical Mentor for Stage 2 Debugging specializing in Elixir OTP.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Design testing for Registries and distributed systems by asserting via tuples, mocking node connections, and testing ETS table state.. Topic details: Testing Registries &amp; Distributed Systems (Asserting via tuples, mocking node connections, testing ETS table state)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#27 | Debug | Elixir OTP | 📊 Level: Advanced
**Topic:** Design testing for Registries and distributed systems by asserting via tuples, mocking node connections, and testing ETS table state.
---
 | [PYTHON QUALITY RULE - STRICT] Code MUST be production-like, clean, and idiomatic Elixir. Use descriptive snake_case for variables and functions. Use pure functions and strict immutability. If using default arguments (\\\\) with multiple function clauses, you MUST declare a function head without a body to avoid compiler warnings.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OTP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OTP).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OTP code, and fully functional Elixir OTP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5" s="53">
        <v>0</v>
      </c>
      <c r="Q35" s="102" t="str">
        <f t="shared" si="5"/>
        <v>[ROLE] Tech Lead | [TASK] Assign incomplete Elixir OTP script challenges | [TOPIC] Design testing for Registries and distributed systems by asserting via tuples, mocking node connections, and testing ETS table state. | [LEVEL] Advanced | [COUNT] 4 challenges | [LIBRARY BEING LEARNED]  | [ECOSYSTEM ORIENTATION RULE] If a module or ecosystem like Explorer or Nx is specified in [LIBRARY BEING LEARNED], you are CRITICALLY FORBIDDEN from using manual recursion or nested loop implementations. You MUST enforce the native, optimized data structures and vectorized operations of that specific library. | [HEADER RULE - STRICT] You MUST start your entire response EXACTLY with this markdown block (do not print anything before it):
### 🔹 Topic #27 | Stage 3 🧩 Complete | Elixir OTP | 📊 Level: Advanced | 🌐 Coding5s.com
**Concept:** Testing Registries &amp; Distributed Systems (Asserting via tuples, mocking node connections, testing ETS table state)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[EXTERNAL_PACKAGE_PROTOCOL] If the exercise requires using an external Hex package in a standalone script, you MUST use Mix.install([{:package_name, '~&gt; version'}]) at the very top of the code block. | [TESTING_FRAMEWORK_PROTOCOL] If the topic involves ExUnit or Testing, NEVER use doctests (@doc iex&gt;). You MUST use standard test macros (test 'test name' do) and assert statements. | [CHALLENGE_CONSTRAINTS_POLICY] Each challenge MUST include: - Internal data OR dataset usage - 15–35 lines of EXECUTABLE base code (STRICT: Do NOT count comments or TODOs). - Length MUST vary across challenges. Use pure functions and immutability.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Elixir OTP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Design testing for Registries and distributed systems by asserting via tuples, mocking node connections, and testing ETS table state..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5" s="103" t="str">
        <f t="shared" si="6"/>
        <v xml:space="preserve">[MENTOR_S3_BUILDER] Act as 'The Logical Scaffold' (El Maestro de Obra) - a World-Class Elite Technical Mentor for Stage 3 Code Completion specializing in Elixir OTP.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Design testing for Registries and distributed systems by asserting via tuples, mocking node connections, and testing ETS table state.. Topic details: Testing Registries &amp; Distributed Systems (Asserting via tuples, mocking node connections, testing ETS table state)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#27 | Complete | Elixir OTP | 📊 Level: Advanced
**Topic:** Design testing for Registries and distributed systems by asserting via tuples, mocking node connections, and testing ETS table state.
---
 | [PYTHON QUALITY RULE - STRICT] Code MUST be explicitly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5" s="53">
        <v>0</v>
      </c>
      <c r="T35" s="102" t="str">
        <f t="shared" si="7"/>
        <v>[ROLE] Tech Lead | [TASK] Provide intentionally messy but functional code for learning debugging and improvement | [TOPIC] Design testing for Registries and distributed systems by asserting via tuples, mocking node connections, and testing ETS table state. | [LEVEL] Advanced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#27 | Stage 4 🧹 Refactor | Elixir OTP | 📊 Level: Advanced | 🌐 Coding5s.com
**Concept:** Testing Registries &amp; Distributed Systems (Asserting via tuples, mocking node connections, testing ETS table state)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Elixir OTP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5" s="103" t="str">
        <f t="shared" si="8"/>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Elixir OTP', 'limpia este desastre'). Match the cultural vibe of a senior who is tired of seeing bad code. | [CONTEXT] You are performing a Code Review for a TOPIC: Design testing for Registries and distributed systems by asserting via tuples, mocking node connections, and testing ETS table state.. Topic details: Testing Registries &amp; Distributed Systems (Asserting via tuples, mocking node connections, testing ETS table state)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#27 | Refactor | Elixir OTP | 📊 Level: Advanced
**Topic:** Design testing for Registries and distributed systems by asserting via tuples, mocking node connections, and testing ETS table state.
---
 | [PYTHON QUALITY RULE - STRICT] Code MUST be explicitly compliant with language-standard style guides. Use descriptive snake_case for variables and functions. Avoid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OTP built-in, standard library module, or good Elixir OTP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OTP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5" s="53">
        <v>0</v>
      </c>
      <c r="W35" s="87" t="str">
        <f t="shared" si="9"/>
        <v>[ROLE] Tech Product Manager assigning a Elixir OTP Jira Ticket | [TASK] Provide a guided implementation exercise with full solution for learning purposes | [TOPIC] Design testing for Registries and distributed systems by asserting via tuples, mocking node connections, and testing ETS table state. | [LEVEL] Advanced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#27 | Stage 5 | Elixir OTP | 📊 Level: Advanced | 🌐 Coding5s.com
**Concept:** Testing Registries &amp; Distributed Systems (Asserting via tuples, mocking node connections, testing ETS table state)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OTP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OTP Dev']
Subject: Assignment Details
Hello [Insert my user name if known, otherwise use 'Elixir OTP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Spanish).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5" s="103" t="str">
        <f t="shared" si="10"/>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Design testing for Registries and distributed systems by asserting via tuples, mocking node connections, and testing ETS table state.. Goal: Testing Registries &amp; Distributed Systems (Asserting via tuples, mocking node connections, testing ETS table state)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#27 | Extend | Elixir OTP | 📊 Level: Advanced
**Topic:** Design testing for Registries and distributed systems by asserting via tuples, mocking node connections, and testing ETS table state.
---
 | [CODE_QUALITY_PROTOCOL] Code MUST be explicitly compliant with language-standard style guides. Use descriptive snake_case for variables and functions. NEVER use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5" s="53">
        <v>0</v>
      </c>
      <c r="Z35" s="56" t="str">
        <f t="shared" si="11"/>
        <v/>
      </c>
      <c r="AA35" s="56" t="str">
        <f t="shared" si="12"/>
        <v/>
      </c>
      <c r="AB35" s="56" t="str">
        <f t="shared" si="13"/>
        <v/>
      </c>
      <c r="AC35" s="56" t="str">
        <f t="shared" si="14"/>
        <v/>
      </c>
      <c r="AD35" s="56" t="str">
        <f t="shared" si="15"/>
        <v/>
      </c>
      <c r="AE35" s="40"/>
      <c r="AF35" s="40"/>
      <c r="AG35" s="40"/>
      <c r="AH35" s="56" t="str">
        <f t="shared" si="16"/>
        <v/>
      </c>
      <c r="AI35" s="54"/>
      <c r="AJ35" s="54"/>
      <c r="AK35" s="54">
        <v>27</v>
      </c>
      <c r="AL35" s="54" t="s">
        <v>146</v>
      </c>
      <c r="AM35" s="54" t="s">
        <v>147</v>
      </c>
    </row>
    <row r="36" spans="1:39">
      <c r="A36" s="95" t="s">
        <v>79</v>
      </c>
      <c r="B36" s="45" t="str" cm="1">
        <f t="array" ref="B36">IF(H36="PROJECT", CHAR(10) &amp; "- " &amp; _xlfn.TEXTJOIN(CHAR(10) &amp; "- ", TRUE, _xlfn._xlws.FILTER($I$9:$I$1000, ($C$9:$C$1000=C36) * ($H$9:$H$1000="Topic"))), "")</f>
        <v xml:space="preserve">
- Implement testing for GenServers and internal state using ExUnit with GenServer, asserting synchronous state, and assert_receive/3 for handle_info.
- Formulate testing for Supervisors and fault tolerance using Process.exit/2 simulations, asserting restart behavior, and Task.yield/2 in tests.
- Design testing for Registries and distributed systems by asserting via tuples, mocking node connections, and testing ETS table state.</v>
      </c>
      <c r="C36" s="45">
        <f t="shared" si="0"/>
        <v>4</v>
      </c>
      <c r="D36" s="57">
        <v>0</v>
      </c>
      <c r="E36" s="58" t="s">
        <v>48</v>
      </c>
      <c r="F36" s="59">
        <v>28</v>
      </c>
      <c r="G36" s="60" t="s">
        <v>162</v>
      </c>
      <c r="H36" s="60" t="s">
        <v>80</v>
      </c>
      <c r="I36" s="61" t="s">
        <v>812</v>
      </c>
      <c r="J36" s="62" t="s">
        <v>813</v>
      </c>
      <c r="K36" s="120" t="str">
        <f t="shared" si="1"/>
        <v>[TASK] Teach through a practical Elixir OTP -  project following the micro-learning methodology, acting as a supportive tutor, creating a project about  Develop a comprehensive concurrent test suite for an OTP application validating Supervisors, GenServer state, and Registry via tuples. | [TOPICS USED] 
- Implement testing for GenServers and internal state using ExUnit with GenServer, asserting synchronous state, and assert_receive/3 for handle_info.
- Formulate testing for Supervisors and fault tolerance using Process.exit/2 simulations, asserting restart behavior, and Task.yield/2 in tests.
- Design testing for Registries and distributed systems by asserting via tuples, mocking node connections, and testing ETS table state. | [LEVEL] Advanced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[LANGUAGE] Spanish | [INLINE_PACKAGE_MANAGER] If the project requires an external package, you MUST use Standard mix.exs dependencies list (defp deps do [{:package_name, '~&gt; version'}] end) at the top. | [SCOPE_ARCHITECTURE_RULE] Rule: Build fault-tolerant OTP apps with DynamicSupervisor, Registry for process discovery, and handle_info/2 handlers. | [VISUAL_ARCHITECTURE_COMMENTS] 1. Use visual block tags separating OTP layers (e.g., '# --- CLIENT API ---', '# --- SERVER CALLBACKS ---') to map code to the planning phase. 2. Use comprehensive documentation using @moduledoc and @doc explaining process state APIs. 3. CRITICAL: NO comment or docstring line may exceed 80 characters in width. | [DATA ROBUSTNESS RULE] Handle real-world data safely | [CODE CONSTRAINTS] MUST be between 40–100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Spanish)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#28 | Stage 1 | Elixir OTP | 📊 Level: Advanced | 🌐 Coding5s.com
**Project:** PROJECT: Master OTP Test Suite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36" s="103" t="str">
        <f t="shared" si="2"/>
        <v xml:space="preserve">[MENTOR_S1_SAFE_GUIDE] Act as 'The Safe Guide' (El Hermano Mayor) - a World-Class Elite Technical Mentor for Stage 1 Practice specializing in Elixir OTP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Develop a comprehensive concurrent test suite for an OTP application validating Supervisors, GenServer state, and Registry via tuples.. Topics applied in this project: 
- Implement testing for GenServers and internal state using ExUnit with GenServer, asserting synchronous state, and assert_receive/3 for handle_info.
- Formulate testing for Supervisors and fault tolerance using Process.exit/2 simulations, asserting restart behavior, and Task.yield/2 in tests.
- Design testing for Registries and distributed systems by asserting via tuples, mocking node connections, and testing ETS table state.. Project objective: PROJECT: Master OTP Test Suite | [LANGUAGE CONSISTENCY RULE] ALL output text MUST be written strictly in (Spanish). | [LANGUAGE SEED CONTEXT] Language Seed Not Necessary | [LANGUAGE] Spanish | [MENTOR_SCOPE_EXPECTATIONS] Expect complete OTP apps with DynamicSupervisor, clean separation of Client API/Server Callbacks, and handle_info/2 pattern matching. | [CODE_QUALITY_POLICIES] Code MUST be idiomatic Elixir. Use descriptive snake_case for functions/variables, and PascalCase for module aliases. Leverage proper tuple pattern matching (e.g., {:noreply, new_state}) and strict immutability within process boundaries. Reject process mailbox clogging, blocking callbacks, bypassing OTP behaviors, or modifying external global state. If using default arguments ('\\') with multiple function clauses or callbacks, you MUST declare a function head without a body.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OTP code, and fully functional Elixir OTP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#28 | Practice | Elixir OTP | 📊 Level: Advanced
**Project:** Develop a comprehensive concurrent test suite for an OTP application validating Supervisors, GenServer state, and Registry via tuples.
---
 | [FOOTER RULE - STRICT] End your response with: '--- ⚡ *Coding5s Mentor System — Eliminating Epistemic Debt*' | </v>
      </c>
      <c r="M36" s="52">
        <v>0</v>
      </c>
      <c r="N36" s="102" t="str">
        <f t="shared" si="3"/>
        <v>[ROLE] Careless Elixir OTP Developer | [TASK] Generate debugging project in Elixir OTP | [PROJECT] Develop a comprehensive concurrent test suite for an OTP application validating Supervisors, GenServer state, and Registry via tuples. | [TOPICS USED] 
- Implement testing for GenServers and internal state using ExUnit with GenServer, asserting synchronous state, and assert_receive/3 for handle_info.
- Formulate testing for Supervisors and fault tolerance using Process.exit/2 simulations, asserting restart behavior, and Task.yield/2 in tests.
- Design testing for Registries and distributed systems by asserting via tuples, mocking node connections, and testing ETS table state. | [LEVEL] Advanced | [OUTPUT] Only header, dataset summary or statement (if any), email intro, objective, expected output, broken code, and footer | [HEADER RULE - STRICT] You MUST start your entire response EXACTLY with this markdown block (do not print anything before it):
### 🚀 Project #28 | Stage 2 | Elixir OTP | 📊 Level: Advanced | 🌐 Coding5s.com
Project: PROJECT: Master OTP Test Suite
---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[LANGUAGE CONSISTENCY RULE] ALL output text MUST be written strictly in the selected language (Spanish). This includes translating ALL structural labels requested in this prompt (like 'Project', 'Objective', 'Expected Output', 'Broken Code', 'From', 'To', 'Subject') into Spanish. Do NOT mix languages. Only code and technical identifiers remain unchanged |  | [LANGUAGE SEED CONTEXT] Language Seed Not Necessary | [BUG RULE] Simulate a messy production environment. The project MUST contain EXACTLY 2–5 bugs. You MUST randomly select from a wide variety of real-world Elixir errors: 1. Syntax/Compile (e.g., missing 'end', incorrect pipe '|&gt;', TokenMissingError), 2. Logic (produces wrong output), AND 3. Runtime Exceptions (e.g., MatchError, FunctionClauseError, ArithmeticError, BadMapError).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Spanish with this EXACT format translated to Spanish: 'From: [Random Dev Name]' / 'To: [Insert my user name if you know it from context, otherwise use Elixir OTP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Spanish)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36" s="103" t="str">
        <f t="shared" si="4"/>
        <v xml:space="preserve">[MENTOR_S2_DETECTIVE] Act as 'The Analytical Partner' (El Detective con Café) - a World-Class Elite Technical Mentor for Stage 2 Debugging specializing in Elixir OTP.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Develop a comprehensive concurrent test suite for an OTP application validating Supervisors, GenServer state, and Registry via tuples.. Topics involved: 
- Implement testing for GenServers and internal state using ExUnit with GenServer, asserting synchronous state, and assert_receive/3 for handle_info.
- Formulate testing for Supervisors and fault tolerance using Process.exit/2 simulations, asserting restart behavior, and Task.yield/2 in tests.
- Design testing for Registries and distributed systems by asserting via tuples, mocking node connections, and testing ETS table state.. Project objective: PROJECT: Master OTP Test Suite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#28 | Debug | Elixir OTP | 📊 Level: Advanced
**Project:** Develop a comprehensive concurrent test suite for an OTP application validating Supervisors, GenServer state, and Registry via tuples.
---
 | [PYTHON QUALITY RULE - STRICT] Code MUST be production-like, clean, and idiomatic Elixir. Use descriptive snake_case for variables and functions. Use pure functions and strict immutability. If using default arguments (\\\\) with multiple function clauses, you MUST declare a function head without a body to avoid compiler warnings.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OTP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OTP).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OTP code, and fully functional Elixir OTP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6" s="52">
        <v>0</v>
      </c>
      <c r="Q36" s="102" t="str">
        <f t="shared" si="5"/>
        <v>[ROLE] Tech Lead | [TASK] Assign incomplete project script | [PROJECT] Develop a comprehensive concurrent test suite for an OTP application validating Supervisors, GenServer state, and Registry via tuples. | [TOPICS USED] 
- Implement testing for GenServers and internal state using ExUnit with GenServer, asserting synchronous state, and assert_receive/3 for handle_info.
- Formulate testing for Supervisors and fault tolerance using Process.exit/2 simulations, asserting restart behavior, and Task.yield/2 in tests.
- Design testing for Registries and distributed systems by asserting via tuples, mocking node connections, and testing ETS table state. | [LEVEL] Advanced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this markdown block (do not print anything before it):
### 🚀 Project #28 | Stage 3 | Elixir OTP | 📊 Level: Advanced | 🌐 Coding5s.com
**Project:** PROJECT: Master OTP Test Suite
---
 | [EXTERNAL_PACKAGE_PROTOCOL] Use Mix.install([{:package_name, '~&gt; version'}]) at the top if needed. | [CHALLENGE_CONSTRAINTS_POLICY] MUST be between 40–100 lines of EXECUTABLE base code (STRICT: Do NOT count comments or TODOs). Multi-step flow.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[INTRO RULE] Intro MUST be a dynamically generated email in Spanish with this EXACT format translated to Spanish: 'From: [Generate NEW random full name] - Tech Lead' / 'To: [Insert my user name if known, else Junior] - Elixir OTP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36" s="103" t="str">
        <f t="shared" si="6"/>
        <v xml:space="preserve">[MENTOR_S3_BUILDER] Act as 'The Logical Scaffold' (El Maestro de Obra) - a World-Class Elite Technical Mentor for Stage 3 Code Completion specializing in Elixir OTP.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Develop a comprehensive concurrent test suite for an OTP application validating Supervisors, GenServer state, and Registry via tuples.. Topics involved: 
- Implement testing for GenServers and internal state using ExUnit with GenServer, asserting synchronous state, and assert_receive/3 for handle_info.
- Formulate testing for Supervisors and fault tolerance using Process.exit/2 simulations, asserting restart behavior, and Task.yield/2 in tests.
- Design testing for Registries and distributed systems by asserting via tuples, mocking node connections, and testing ETS table state.. Project objective: PROJECT: Master OTP Test Suite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#28 | Complete | Elixir OTP | 📊 Level: Advanced
**Project:** Develop a comprehensive concurrent test suite for an OTP application validating Supervisors, GenServer state, and Registry via tuples.
---
 | [PYTHON QUALITY RULE - STRICT] Code MUST be explicitly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6" s="52">
        <v>0</v>
      </c>
      <c r="T36" s="102" t="str">
        <f t="shared" si="7"/>
        <v>[ROLE] Tech Lead | [TASK] Provide a messy but functional project for refactoring | [PROJECT] Develop a comprehensive concurrent test suite for an OTP application validating Supervisors, GenServer state, and Registry via tuples. | [TOPICS USED] 
- Implement testing for GenServers and internal state using ExUnit with GenServer, asserting synchronous state, and assert_receive/3 for handle_info.
- Formulate testing for Supervisors and fault tolerance using Process.exit/2 simulations, asserting restart behavior, and Task.yield/2 in tests.
- Design testing for Registries and distributed systems by asserting via tuples, mocking node connections, and testing ETS table state. | [LEVEL] Advanced | [PERSONA RULE] Act as a Tech Lead. A junior wrote this working but messy code. Tone: professional but exhausted | [HEADER RULE - STRICT] You MUST start your entire response EXACTLY with this markdown block (do not print anything before it):
### 🚀 Project #28 | Stage 4 | Elixir OTP | 📊 Level: Advanced | 🌐 Coding5s.com
**Project:** PROJECT: Master OTP Test Suite
---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Spanish) IMMEDI बुन्देल IMMEDIATELY AFTER THE HEADER, PURGE any memory of previous files, and use realistic dummy data | [INTRO RULE] The intro MUST be an email in Spanish with this EXACT format translated to Spanish: 'From: [Tech Lead Name]' / 'To: [Insert my user name if known, else Elixir OTP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36" s="103" t="str">
        <f t="shared" si="8"/>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Elixir OTP', 'limpia este desastre'). Match the cultural vibe of a senior who is tired of seeing bad code. | [CONTEXT] You are performing a Code Review for a PROJECT: Develop a comprehensive concurrent test suite for an OTP application validating Supervisors, GenServer state, and Registry via tuples.. Topics involved: 
- Implement testing for GenServers and internal state using ExUnit with GenServer, asserting synchronous state, and assert_receive/3 for handle_info.
- Formulate testing for Supervisors and fault tolerance using Process.exit/2 simulations, asserting restart behavior, and Task.yield/2 in tests.
- Design testing for Registries and distributed systems by asserting via tuples, mocking node connections, and testing ETS table state.. Project objective: PROJECT: Master OTP Test Suite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#28 | Refactor | Elixir OTP | 📊 Level: Advanced
**Project:** Develop a comprehensive concurrent test suite for an OTP application validating Supervisors, GenServer state, and Registry via tuples.
---
 | [PYTHON QUALITY RULE - STRICT] Code MUST be explicitly compliant with language-standard style guides. Use descriptive snake_case for variables and functions. Avoid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OTP built-in, standard library module, or good Elixir OTP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OTP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6" s="52">
        <v>0</v>
      </c>
      <c r="W36" s="87" t="str">
        <f t="shared" si="9"/>
        <v>[ROLE] Tech Product Manager assigning a Elixir OTP Jira Ticket | [TASK] Provide a guided project implementation with full solution | [PROJECT] Develop a comprehensive concurrent test suite for an OTP application validating Supervisors, GenServer state, and Registry via tuples. | [TOPICS USED] 
- Implement testing for GenServers and internal state using ExUnit with GenServer, asserting synchronous state, and assert_receive/3 for handle_info.
- Formulate testing for Supervisors and fault tolerance using Process.exit/2 simulations, asserting restart behavior, and Task.yield/2 in tests.
- Design testing for Registries and distributed systems by asserting via tuples, mocking node connections, and testing ETS table state. | [LEVEL] Advanced | [PERSONA RULE] Act as a professional Tech Product Manager defining a project ticket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Project #28 | Stage 5 | Elixir OTP | 📊 Level: Advanced | 🌐 Coding5s.com
**Project:** PROJECT: Master OTP Test Suite
---
 | [LANGUAGE CONSISTENCY RULE] ALL output MUST be strictly in Spanish.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Spanish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Spanish):
Ticket #[Random 5-digit ID]
From: [Generate Name] - [Department]
To: Dev Team
Subject: [Ticket Subject]
Hello Dev Team, this is [Name] from [Department]. [Context paragraph].
(Tech Product Manager Notes):
From: [Generate TPM Name] - Tech Product Manager
To: [Insert my user name if known, otherwise use 'Elixir OTP Dev']
Subject: Assignment Details
Hello [Insert my user name if known, otherwise use 'Elixir OTP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Spanish)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36" s="103" t="str">
        <f t="shared" si="10"/>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Develop a comprehensive concurrent test suite for an OTP application validating Supervisors, GenServer state, and Registry via tuples.. Topics integrated: 
- Implement testing for GenServers and internal state using ExUnit with GenServer, asserting synchronous state, and assert_receive/3 for handle_info.
- Formulate testing for Supervisors and fault tolerance using Process.exit/2 simulations, asserting restart behavior, and Task.yield/2 in tests.
- Design testing for Registries and distributed systems by asserting via tuples, mocking node connections, and testing ETS table state.. Business Goal: PROJECT: Master OTP Test Suite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#28 | Extend | Elixir OTP | 📊 Level: Advanced
**Project:** Develop a comprehensive concurrent test suite for an OTP application validating Supervisors, GenServer state, and Registry via tuples.
---
 | [CODE_QUALITY_PROTOCOL] Code MUST be explicitly compliant with language-standard style guides. Use descriptive snake_case for variables and functions. NEVER use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6" s="52">
        <v>0</v>
      </c>
      <c r="Z36" s="56" t="str">
        <f t="shared" si="11"/>
        <v>[TASK] Teach through a practical Elixir OTP -  project following the micro-learning methodology, acting as a supportive tutor, creating a project about  Develop a comprehensive concurrent test suite for an OTP application validating Supervisors, GenServer state, and Registry via tuples. | [TOPICS USED] 
- Implement testing for GenServers and internal state using ExUnit with GenServer, asserting synchronous state, and assert_receive/3 for handle_info.
- Formulate testing for Supervisors and fault tolerance using Process.exit/2 simulations, asserting restart behavior, and Task.yield/2 in tests.
- Design testing for Registries and distributed systems by asserting via tuples, mocking node connections, and testing ETS table state. | [LEVEL] Advanced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[LANGUAGE] Spanish | [INLINE_PACKAGE_MANAGER] If the project requires an external package, you MUST use Standard mix.exs dependencies list (defp deps do [{:package_name, '~&gt; version'}] end) at the top. | [SCOPE_ARCHITECTURE_RULE] Rule: Build fault-tolerant OTP apps with DynamicSupervisor, Registry for process discovery, and handle_info/2 handlers. | [VISUAL_ARCHITECTURE_COMMENTS] 1. Use visual block tags separating OTP layers (e.g., '# --- CLIENT API ---', '# --- SERVER CALLBACKS ---') to map code to the planning phase. 2. Use comprehensive documentation using @moduledoc and @doc explaining process state APIs. 3. CRITICAL: NO comment or docstring line may exceed 80 characters in width. | [DATA ROBUSTNESS RULE] Handle real-world data safely | [CODE CONSTRAINTS] MUST be between 40–100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Spanish)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#28 | Stage 1 | Elixir OTP | 📊 Level: Advanced | 🌐 Coding5s.com
**Project:** PROJECT: Master OTP Test Suite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36" s="56" t="str">
        <f t="shared" si="12"/>
        <v>[ROLE] Careless Elixir OTP Developer | [TASK] Generate debugging project in Elixir OTP | [PROJECT] Develop a comprehensive concurrent test suite for an OTP application validating Supervisors, GenServer state, and Registry via tuples. | [TOPICS USED] 
- Implement testing for GenServers and internal state using ExUnit with GenServer, asserting synchronous state, and assert_receive/3 for handle_info.
- Formulate testing for Supervisors and fault tolerance using Process.exit/2 simulations, asserting restart behavior, and Task.yield/2 in tests.
- Design testing for Registries and distributed systems by asserting via tuples, mocking node connections, and testing ETS table state. | [LEVEL] Advanced | [OUTPUT] Only header, dataset summary or statement (if any), email intro, objective, expected output, broken code, and footer | [HEADER RULE - STRICT] You MUST start your entire response EXACTLY with this markdown block (do not print anything before it):
### 🚀 Project #28 | Stage 2 | Elixir OTP | 📊 Level: Advanced | 🌐 Coding5s.com
Project: PROJECT: Master OTP Test Suite
---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[LANGUAGE CONSISTENCY RULE] ALL output text MUST be written strictly in the selected language (Spanish). This includes translating ALL structural labels requested in this prompt (like 'Project', 'Objective', 'Expected Output', 'Broken Code', 'From', 'To', 'Subject') into Spanish. Do NOT mix languages. Only code and technical identifiers remain unchanged |  | [LANGUAGE SEED CONTEXT] Language Seed Not Necessary | [BUG RULE] Simulate a messy production environment. The project MUST contain EXACTLY 2–5 bugs. You MUST randomly select from a wide variety of real-world Elixir errors: 1. Syntax/Compile (e.g., missing 'end', incorrect pipe '|&gt;', TokenMissingError), 2. Logic (produces wrong output), AND 3. Runtime Exceptions (e.g., MatchError, FunctionClauseError, ArithmeticError, BadMapError).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Spanish with this EXACT format translated to Spanish: 'From: [Random Dev Name]' / 'To: [Insert my user name if you know it from context, otherwise use Elixir OTP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Spanish)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36" s="56" t="str">
        <f t="shared" si="13"/>
        <v>[ROLE] Tech Lead | [TASK] Assign incomplete project script | [PROJECT] Develop a comprehensive concurrent test suite for an OTP application validating Supervisors, GenServer state, and Registry via tuples. | [TOPICS USED] 
- Implement testing for GenServers and internal state using ExUnit with GenServer, asserting synchronous state, and assert_receive/3 for handle_info.
- Formulate testing for Supervisors and fault tolerance using Process.exit/2 simulations, asserting restart behavior, and Task.yield/2 in tests.
- Design testing for Registries and distributed systems by asserting via tuples, mocking node connections, and testing ETS table state. | [LEVEL] Advanced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this markdown block (do not print anything before it):
### 🚀 Project #28 | Stage 3 | Elixir OTP | 📊 Level: Advanced | 🌐 Coding5s.com
**Project:** PROJECT: Master OTP Test Suite
---
 | [EXTERNAL_PACKAGE_PROTOCOL] Use Mix.install([{:package_name, '~&gt; version'}]) at the top if needed. | [CHALLENGE_CONSTRAINTS_POLICY] MUST be between 40–100 lines of EXECUTABLE base code (STRICT: Do NOT count comments or TODOs). Multi-step flow.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[INTRO RULE] Intro MUST be a dynamically generated email in Spanish with this EXACT format translated to Spanish: 'From: [Generate NEW random full name] - Tech Lead' / 'To: [Insert my user name if known, else Junior] - Elixir OTP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36" s="56" t="str">
        <f t="shared" si="14"/>
        <v>[ROLE] Tech Lead | [TASK] Provide a messy but functional project for refactoring | [PROJECT] Develop a comprehensive concurrent test suite for an OTP application validating Supervisors, GenServer state, and Registry via tuples. | [TOPICS USED] 
- Implement testing for GenServers and internal state using ExUnit with GenServer, asserting synchronous state, and assert_receive/3 for handle_info.
- Formulate testing for Supervisors and fault tolerance using Process.exit/2 simulations, asserting restart behavior, and Task.yield/2 in tests.
- Design testing for Registries and distributed systems by asserting via tuples, mocking node connections, and testing ETS table state. | [LEVEL] Advanced | [PERSONA RULE] Act as a Tech Lead. A junior wrote this working but messy code. Tone: professional but exhausted | [HEADER RULE - STRICT] You MUST start your entire response EXACTLY with this markdown block (do not print anything before it):
### 🚀 Project #28 | Stage 4 | Elixir OTP | 📊 Level: Advanced | 🌐 Coding5s.com
**Project:** PROJECT: Master OTP Test Suite
---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Spanish) IMMEDI बुन्देल IMMEDIATELY AFTER THE HEADER, PURGE any memory of previous files, and use realistic dummy data | [INTRO RULE] The intro MUST be an email in Spanish with this EXACT format translated to Spanish: 'From: [Tech Lead Name]' / 'To: [Insert my user name if known, else Elixir OTP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36" s="56" t="str">
        <f t="shared" si="15"/>
        <v>[ROLE] Tech Product Manager assigning a Elixir OTP Jira Ticket | [TASK] Provide a guided project implementation with full solution | [PROJECT] Develop a comprehensive concurrent test suite for an OTP application validating Supervisors, GenServer state, and Registry via tuples. | [TOPICS USED] 
- Implement testing for GenServers and internal state using ExUnit with GenServer, asserting synchronous state, and assert_receive/3 for handle_info.
- Formulate testing for Supervisors and fault tolerance using Process.exit/2 simulations, asserting restart behavior, and Task.yield/2 in tests.
- Design testing for Registries and distributed systems by asserting via tuples, mocking node connections, and testing ETS table state. | [LEVEL] Advanced | [PERSONA RULE] Act as a professional Tech Product Manager defining a project ticket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Project #28 | Stage 5 | Elixir OTP | 📊 Level: Advanced | 🌐 Coding5s.com
**Project:** PROJECT: Master OTP Test Suite
---
 | [LANGUAGE CONSISTENCY RULE] ALL output MUST be strictly in Spanish.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Spanish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Spanish):
Ticket #[Random 5-digit ID]
From: [Generate Name] - [Department]
To: Dev Team
Subject: [Ticket Subject]
Hello Dev Team, this is [Name] from [Department]. [Context paragraph].
(Tech Product Manager Notes):
From: [Generate TPM Name] - Tech Product Manager
To: [Insert my user name if known, otherwise use 'Elixir OTP Dev']
Subject: Assignment Details
Hello [Insert my user name if known, otherwise use 'Elixir OTP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Spanish)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36" s="40"/>
      <c r="AF36" s="40"/>
      <c r="AG36" s="40"/>
      <c r="AH36" s="56" t="str">
        <f t="shared" si="16"/>
        <v/>
      </c>
      <c r="AI36" s="54"/>
      <c r="AJ36" s="54"/>
      <c r="AK36" s="54">
        <v>28</v>
      </c>
      <c r="AL36" s="54" t="s">
        <v>149</v>
      </c>
      <c r="AM36" s="54" t="s">
        <v>150</v>
      </c>
    </row>
    <row r="37" spans="1:39">
      <c r="A37" s="95"/>
      <c r="B37" s="45" t="str" cm="1">
        <f t="array" ref="B37">IF(H37="PROJECT", CHAR(10) &amp; "- " &amp; _xlfn.TEXTJOIN(CHAR(10) &amp; "- ", TRUE, _xlfn._xlws.FILTER($I$9:$I$1000, ($C$9:$C$1000=C37) * ($H$9:$H$1000="Topic"))), "")</f>
        <v/>
      </c>
      <c r="C37" s="45">
        <f t="shared" si="0"/>
        <v>5</v>
      </c>
      <c r="D37" s="46"/>
      <c r="E37" s="58"/>
      <c r="F37" s="48"/>
      <c r="G37" s="49"/>
      <c r="H37" s="49"/>
      <c r="I37" s="50"/>
      <c r="J37" s="51"/>
      <c r="K37" s="120" t="str">
        <f t="shared" si="1"/>
        <v/>
      </c>
      <c r="L37" s="103" t="str">
        <f t="shared" si="2"/>
        <v/>
      </c>
      <c r="M37" s="53">
        <v>0</v>
      </c>
      <c r="N37" s="102" t="str">
        <f t="shared" si="3"/>
        <v/>
      </c>
      <c r="O37" s="103" t="str">
        <f t="shared" si="4"/>
        <v/>
      </c>
      <c r="P37" s="53">
        <v>0</v>
      </c>
      <c r="Q37" s="102" t="str">
        <f t="shared" si="5"/>
        <v/>
      </c>
      <c r="R37" s="103" t="str">
        <f t="shared" si="6"/>
        <v/>
      </c>
      <c r="S37" s="53">
        <v>0</v>
      </c>
      <c r="T37" s="102" t="str">
        <f t="shared" si="7"/>
        <v/>
      </c>
      <c r="U37" s="103" t="str">
        <f t="shared" si="8"/>
        <v/>
      </c>
      <c r="V37" s="53">
        <v>0</v>
      </c>
      <c r="W37" s="87" t="str">
        <f t="shared" si="9"/>
        <v/>
      </c>
      <c r="X37" s="103" t="str">
        <f t="shared" si="10"/>
        <v/>
      </c>
      <c r="Y37" s="53">
        <v>0</v>
      </c>
      <c r="Z37" s="56" t="str">
        <f t="shared" si="11"/>
        <v/>
      </c>
      <c r="AA37" s="56" t="str">
        <f t="shared" si="12"/>
        <v/>
      </c>
      <c r="AB37" s="56" t="str">
        <f t="shared" si="13"/>
        <v/>
      </c>
      <c r="AC37" s="56" t="str">
        <f t="shared" si="14"/>
        <v/>
      </c>
      <c r="AD37" s="56" t="str">
        <f t="shared" si="15"/>
        <v/>
      </c>
      <c r="AE37" s="40"/>
      <c r="AF37" s="40"/>
      <c r="AG37" s="40"/>
      <c r="AH37" s="56" t="str">
        <f t="shared" si="16"/>
        <v/>
      </c>
      <c r="AI37" s="54"/>
      <c r="AJ37" s="54"/>
      <c r="AK37" s="54">
        <v>29</v>
      </c>
      <c r="AL37" s="54" t="s">
        <v>152</v>
      </c>
      <c r="AM37" s="54" t="s">
        <v>153</v>
      </c>
    </row>
    <row r="38" spans="1:39">
      <c r="A38" s="95"/>
      <c r="B38" s="45" t="str" cm="1">
        <f t="array" ref="B38">IF(H38="PROJECT", CHAR(10) &amp; "- " &amp; _xlfn.TEXTJOIN(CHAR(10) &amp; "- ", TRUE, _xlfn._xlws.FILTER($I$9:$I$1000, ($C$9:$C$1000=C38) * ($H$9:$H$1000="Topic"))), "")</f>
        <v/>
      </c>
      <c r="C38" s="45">
        <f t="shared" si="0"/>
        <v>6</v>
      </c>
      <c r="D38" s="57"/>
      <c r="E38" s="58"/>
      <c r="F38" s="59"/>
      <c r="G38" s="60"/>
      <c r="H38" s="60"/>
      <c r="I38" s="61"/>
      <c r="J38" s="62"/>
      <c r="K38" s="120" t="str">
        <f t="shared" si="1"/>
        <v/>
      </c>
      <c r="L38" s="103" t="str">
        <f t="shared" si="2"/>
        <v/>
      </c>
      <c r="M38" s="52">
        <v>0</v>
      </c>
      <c r="N38" s="102" t="str">
        <f t="shared" si="3"/>
        <v/>
      </c>
      <c r="O38" s="103" t="str">
        <f t="shared" si="4"/>
        <v/>
      </c>
      <c r="P38" s="52">
        <v>0</v>
      </c>
      <c r="Q38" s="102" t="str">
        <f t="shared" si="5"/>
        <v/>
      </c>
      <c r="R38" s="103" t="str">
        <f t="shared" si="6"/>
        <v/>
      </c>
      <c r="S38" s="52">
        <v>0</v>
      </c>
      <c r="T38" s="102" t="str">
        <f t="shared" si="7"/>
        <v/>
      </c>
      <c r="U38" s="103" t="str">
        <f t="shared" si="8"/>
        <v/>
      </c>
      <c r="V38" s="52">
        <v>0</v>
      </c>
      <c r="W38" s="87" t="str">
        <f t="shared" si="9"/>
        <v/>
      </c>
      <c r="X38" s="103" t="str">
        <f t="shared" si="10"/>
        <v/>
      </c>
      <c r="Y38" s="52">
        <v>0</v>
      </c>
      <c r="Z38" s="56" t="str">
        <f t="shared" si="11"/>
        <v/>
      </c>
      <c r="AA38" s="56" t="str">
        <f t="shared" si="12"/>
        <v/>
      </c>
      <c r="AB38" s="56" t="str">
        <f t="shared" si="13"/>
        <v/>
      </c>
      <c r="AC38" s="56" t="str">
        <f t="shared" si="14"/>
        <v/>
      </c>
      <c r="AD38" s="56" t="str">
        <f t="shared" si="15"/>
        <v/>
      </c>
      <c r="AE38" s="40"/>
      <c r="AF38" s="40"/>
      <c r="AG38" s="40"/>
      <c r="AH38" s="56" t="str">
        <f t="shared" si="16"/>
        <v/>
      </c>
      <c r="AI38" s="54"/>
      <c r="AJ38" s="54"/>
      <c r="AK38" s="54">
        <v>30</v>
      </c>
      <c r="AL38" s="54" t="s">
        <v>155</v>
      </c>
      <c r="AM38" s="54" t="s">
        <v>156</v>
      </c>
    </row>
    <row r="39" spans="1:39">
      <c r="A39" s="95"/>
      <c r="B39" s="45" t="str" cm="1">
        <f t="array" ref="B39">IF(H39="PROJECT", CHAR(10) &amp; "- " &amp; _xlfn.TEXTJOIN(CHAR(10) &amp; "- ", TRUE, _xlfn._xlws.FILTER($I$9:$I$1000, ($C$9:$C$1000=C39) * ($H$9:$H$1000="Topic"))), "")</f>
        <v/>
      </c>
      <c r="C39" s="45">
        <f t="shared" si="0"/>
        <v>7</v>
      </c>
      <c r="D39" s="46"/>
      <c r="E39" s="58"/>
      <c r="F39" s="48"/>
      <c r="G39" s="49"/>
      <c r="H39" s="49"/>
      <c r="I39" s="50"/>
      <c r="J39" s="51"/>
      <c r="K39" s="120" t="str">
        <f t="shared" si="1"/>
        <v/>
      </c>
      <c r="L39" s="103" t="str">
        <f t="shared" si="2"/>
        <v/>
      </c>
      <c r="M39" s="53">
        <v>0</v>
      </c>
      <c r="N39" s="102" t="str">
        <f t="shared" si="3"/>
        <v/>
      </c>
      <c r="O39" s="103" t="str">
        <f t="shared" si="4"/>
        <v/>
      </c>
      <c r="P39" s="53">
        <v>0</v>
      </c>
      <c r="Q39" s="102" t="str">
        <f t="shared" si="5"/>
        <v/>
      </c>
      <c r="R39" s="103" t="str">
        <f t="shared" si="6"/>
        <v/>
      </c>
      <c r="S39" s="53">
        <v>0</v>
      </c>
      <c r="T39" s="102" t="str">
        <f t="shared" si="7"/>
        <v/>
      </c>
      <c r="U39" s="103" t="str">
        <f t="shared" si="8"/>
        <v/>
      </c>
      <c r="V39" s="53">
        <v>0</v>
      </c>
      <c r="W39" s="87" t="str">
        <f t="shared" si="9"/>
        <v/>
      </c>
      <c r="X39" s="103" t="str">
        <f t="shared" si="10"/>
        <v/>
      </c>
      <c r="Y39" s="53">
        <v>0</v>
      </c>
      <c r="Z39" s="56" t="str">
        <f t="shared" si="11"/>
        <v/>
      </c>
      <c r="AA39" s="56" t="str">
        <f t="shared" si="12"/>
        <v/>
      </c>
      <c r="AB39" s="56" t="str">
        <f t="shared" si="13"/>
        <v/>
      </c>
      <c r="AC39" s="56" t="str">
        <f t="shared" si="14"/>
        <v/>
      </c>
      <c r="AD39" s="56" t="str">
        <f t="shared" si="15"/>
        <v/>
      </c>
      <c r="AE39" s="40"/>
      <c r="AF39" s="40"/>
      <c r="AG39" s="40"/>
      <c r="AH39" s="56" t="str">
        <f t="shared" si="16"/>
        <v/>
      </c>
      <c r="AI39" s="54"/>
      <c r="AJ39" s="54"/>
      <c r="AK39" s="54">
        <v>31</v>
      </c>
      <c r="AL39" s="54" t="s">
        <v>51</v>
      </c>
      <c r="AM39" s="54" t="s">
        <v>52</v>
      </c>
    </row>
    <row r="40" spans="1:39">
      <c r="A40" s="95"/>
      <c r="B40" s="45" t="str" cm="1">
        <f t="array" ref="B40">IF(H40="PROJECT", CHAR(10) &amp; "- " &amp; _xlfn.TEXTJOIN(CHAR(10) &amp; "- ", TRUE, _xlfn._xlws.FILTER($I$9:$I$1000, ($C$9:$C$1000=C40) * ($H$9:$H$1000="Topic"))), "")</f>
        <v/>
      </c>
      <c r="C40" s="45">
        <f t="shared" si="0"/>
        <v>8</v>
      </c>
      <c r="D40" s="57"/>
      <c r="E40" s="58"/>
      <c r="F40" s="59"/>
      <c r="G40" s="60"/>
      <c r="H40" s="60"/>
      <c r="I40" s="61"/>
      <c r="J40" s="62"/>
      <c r="K40" s="120" t="str">
        <f t="shared" si="1"/>
        <v/>
      </c>
      <c r="L40" s="103" t="str">
        <f t="shared" si="2"/>
        <v/>
      </c>
      <c r="M40" s="52">
        <v>0</v>
      </c>
      <c r="N40" s="102" t="str">
        <f t="shared" si="3"/>
        <v/>
      </c>
      <c r="O40" s="103" t="str">
        <f t="shared" si="4"/>
        <v/>
      </c>
      <c r="P40" s="52">
        <v>0</v>
      </c>
      <c r="Q40" s="102" t="str">
        <f t="shared" si="5"/>
        <v/>
      </c>
      <c r="R40" s="103" t="str">
        <f t="shared" si="6"/>
        <v/>
      </c>
      <c r="S40" s="52">
        <v>0</v>
      </c>
      <c r="T40" s="102" t="str">
        <f t="shared" si="7"/>
        <v/>
      </c>
      <c r="U40" s="103" t="str">
        <f t="shared" si="8"/>
        <v/>
      </c>
      <c r="V40" s="52">
        <v>0</v>
      </c>
      <c r="W40" s="87" t="str">
        <f t="shared" si="9"/>
        <v/>
      </c>
      <c r="X40" s="103" t="str">
        <f t="shared" si="10"/>
        <v/>
      </c>
      <c r="Y40" s="52">
        <v>0</v>
      </c>
      <c r="Z40" s="56" t="str">
        <f t="shared" si="11"/>
        <v/>
      </c>
      <c r="AA40" s="56" t="str">
        <f t="shared" si="12"/>
        <v/>
      </c>
      <c r="AB40" s="56" t="str">
        <f t="shared" si="13"/>
        <v/>
      </c>
      <c r="AC40" s="56" t="str">
        <f t="shared" si="14"/>
        <v/>
      </c>
      <c r="AD40" s="56" t="str">
        <f t="shared" si="15"/>
        <v/>
      </c>
      <c r="AE40" s="40"/>
      <c r="AF40" s="40"/>
      <c r="AG40" s="40"/>
      <c r="AH40" s="56" t="str">
        <f t="shared" si="16"/>
        <v/>
      </c>
      <c r="AI40" s="54"/>
      <c r="AJ40" s="54"/>
      <c r="AK40" s="54">
        <v>32</v>
      </c>
      <c r="AL40" s="54" t="s">
        <v>57</v>
      </c>
      <c r="AM40" s="54" t="s">
        <v>58</v>
      </c>
    </row>
    <row r="41" spans="1:39">
      <c r="A41" s="95"/>
      <c r="B41" s="45" t="str" cm="1">
        <f t="array" ref="B41">IF(H41="PROJECT", CHAR(10) &amp; "- " &amp; _xlfn.TEXTJOIN(CHAR(10) &amp; "- ", TRUE, _xlfn._xlws.FILTER($I$9:$I$1000, ($C$9:$C$1000=C41) * ($H$9:$H$1000="Topic"))), "")</f>
        <v/>
      </c>
      <c r="C41" s="45">
        <f t="shared" si="0"/>
        <v>9</v>
      </c>
      <c r="D41" s="46"/>
      <c r="E41" s="58"/>
      <c r="F41" s="48"/>
      <c r="G41" s="49"/>
      <c r="H41" s="49"/>
      <c r="I41" s="50"/>
      <c r="J41" s="51"/>
      <c r="K41" s="120" t="str">
        <f t="shared" si="1"/>
        <v/>
      </c>
      <c r="L41" s="103" t="str">
        <f t="shared" si="2"/>
        <v/>
      </c>
      <c r="M41" s="53">
        <v>0</v>
      </c>
      <c r="N41" s="102" t="str">
        <f t="shared" si="3"/>
        <v/>
      </c>
      <c r="O41" s="103" t="str">
        <f t="shared" si="4"/>
        <v/>
      </c>
      <c r="P41" s="53">
        <v>0</v>
      </c>
      <c r="Q41" s="102" t="str">
        <f t="shared" si="5"/>
        <v/>
      </c>
      <c r="R41" s="103" t="str">
        <f t="shared" si="6"/>
        <v/>
      </c>
      <c r="S41" s="53">
        <v>0</v>
      </c>
      <c r="T41" s="102" t="str">
        <f t="shared" si="7"/>
        <v/>
      </c>
      <c r="U41" s="103" t="str">
        <f t="shared" si="8"/>
        <v/>
      </c>
      <c r="V41" s="53">
        <v>0</v>
      </c>
      <c r="W41" s="87" t="str">
        <f t="shared" si="9"/>
        <v/>
      </c>
      <c r="X41" s="103" t="str">
        <f t="shared" si="10"/>
        <v/>
      </c>
      <c r="Y41" s="53">
        <v>0</v>
      </c>
      <c r="Z41" s="56" t="str">
        <f t="shared" si="11"/>
        <v/>
      </c>
      <c r="AA41" s="56" t="str">
        <f t="shared" si="12"/>
        <v/>
      </c>
      <c r="AB41" s="56" t="str">
        <f t="shared" si="13"/>
        <v/>
      </c>
      <c r="AC41" s="56" t="str">
        <f t="shared" si="14"/>
        <v/>
      </c>
      <c r="AD41" s="56" t="str">
        <f t="shared" si="15"/>
        <v/>
      </c>
      <c r="AE41" s="40"/>
      <c r="AF41" s="40"/>
      <c r="AG41" s="40"/>
      <c r="AH41" s="56" t="str">
        <f t="shared" si="16"/>
        <v/>
      </c>
      <c r="AI41" s="54"/>
      <c r="AJ41" s="54"/>
      <c r="AK41" s="54">
        <v>33</v>
      </c>
      <c r="AL41" s="54" t="s">
        <v>62</v>
      </c>
      <c r="AM41" s="54" t="s">
        <v>63</v>
      </c>
    </row>
    <row r="42" spans="1:39">
      <c r="A42" s="95"/>
      <c r="B42" s="45" t="str" cm="1">
        <f t="array" ref="B42">IF(H42="PROJECT", CHAR(10) &amp; "- " &amp; _xlfn.TEXTJOIN(CHAR(10) &amp; "- ", TRUE, _xlfn._xlws.FILTER($I$9:$I$1000, ($C$9:$C$1000=C42) * ($H$9:$H$1000="Topic"))), "")</f>
        <v/>
      </c>
      <c r="C42" s="45">
        <f t="shared" si="0"/>
        <v>10</v>
      </c>
      <c r="D42" s="57"/>
      <c r="E42" s="58"/>
      <c r="F42" s="59"/>
      <c r="G42" s="60"/>
      <c r="H42" s="60"/>
      <c r="I42" s="61"/>
      <c r="J42" s="62"/>
      <c r="K42" s="120" t="str">
        <f t="shared" si="1"/>
        <v/>
      </c>
      <c r="L42" s="103" t="str">
        <f t="shared" si="2"/>
        <v/>
      </c>
      <c r="M42" s="52">
        <v>0</v>
      </c>
      <c r="N42" s="102" t="str">
        <f t="shared" si="3"/>
        <v/>
      </c>
      <c r="O42" s="103" t="str">
        <f t="shared" si="4"/>
        <v/>
      </c>
      <c r="P42" s="52">
        <v>0</v>
      </c>
      <c r="Q42" s="102" t="str">
        <f t="shared" si="5"/>
        <v/>
      </c>
      <c r="R42" s="103" t="str">
        <f t="shared" si="6"/>
        <v/>
      </c>
      <c r="S42" s="52">
        <v>0</v>
      </c>
      <c r="T42" s="102" t="str">
        <f t="shared" si="7"/>
        <v/>
      </c>
      <c r="U42" s="103" t="str">
        <f t="shared" si="8"/>
        <v/>
      </c>
      <c r="V42" s="52">
        <v>0</v>
      </c>
      <c r="W42" s="87" t="str">
        <f t="shared" si="9"/>
        <v/>
      </c>
      <c r="X42" s="103" t="str">
        <f t="shared" si="10"/>
        <v/>
      </c>
      <c r="Y42" s="52">
        <v>0</v>
      </c>
      <c r="Z42" s="56" t="str">
        <f t="shared" si="11"/>
        <v/>
      </c>
      <c r="AA42" s="56" t="str">
        <f t="shared" si="12"/>
        <v/>
      </c>
      <c r="AB42" s="56" t="str">
        <f t="shared" si="13"/>
        <v/>
      </c>
      <c r="AC42" s="56" t="str">
        <f t="shared" si="14"/>
        <v/>
      </c>
      <c r="AD42" s="56" t="str">
        <f t="shared" si="15"/>
        <v/>
      </c>
      <c r="AE42" s="40"/>
      <c r="AF42" s="40"/>
      <c r="AG42" s="40"/>
      <c r="AH42" s="56" t="str">
        <f t="shared" si="16"/>
        <v/>
      </c>
      <c r="AI42" s="54"/>
      <c r="AJ42" s="54"/>
      <c r="AK42" s="54">
        <v>34</v>
      </c>
      <c r="AL42" s="54" t="s">
        <v>68</v>
      </c>
      <c r="AM42" s="54" t="s">
        <v>69</v>
      </c>
    </row>
    <row r="43" spans="1:39">
      <c r="A43" s="95"/>
      <c r="B43" s="45" t="str" cm="1">
        <f t="array" ref="B43">IF(H43="PROJECT", CHAR(10) &amp; "- " &amp; _xlfn.TEXTJOIN(CHAR(10) &amp; "- ", TRUE, _xlfn._xlws.FILTER($I$9:$I$1000, ($C$9:$C$1000=C43) * ($H$9:$H$1000="Topic"))), "")</f>
        <v/>
      </c>
      <c r="C43" s="45">
        <f t="shared" si="0"/>
        <v>11</v>
      </c>
      <c r="D43" s="46"/>
      <c r="E43" s="58"/>
      <c r="F43" s="48"/>
      <c r="G43" s="49"/>
      <c r="H43" s="49"/>
      <c r="I43" s="50"/>
      <c r="J43" s="51"/>
      <c r="K43" s="120" t="str">
        <f t="shared" si="1"/>
        <v/>
      </c>
      <c r="L43" s="103" t="str">
        <f t="shared" si="2"/>
        <v/>
      </c>
      <c r="M43" s="53">
        <v>0</v>
      </c>
      <c r="N43" s="102" t="str">
        <f t="shared" si="3"/>
        <v/>
      </c>
      <c r="O43" s="103" t="str">
        <f t="shared" si="4"/>
        <v/>
      </c>
      <c r="P43" s="53">
        <v>0</v>
      </c>
      <c r="Q43" s="102" t="str">
        <f t="shared" si="5"/>
        <v/>
      </c>
      <c r="R43" s="103" t="str">
        <f t="shared" si="6"/>
        <v/>
      </c>
      <c r="S43" s="53">
        <v>0</v>
      </c>
      <c r="T43" s="102" t="str">
        <f t="shared" si="7"/>
        <v/>
      </c>
      <c r="U43" s="103" t="str">
        <f t="shared" si="8"/>
        <v/>
      </c>
      <c r="V43" s="53">
        <v>0</v>
      </c>
      <c r="W43" s="87" t="str">
        <f t="shared" si="9"/>
        <v/>
      </c>
      <c r="X43" s="103" t="str">
        <f t="shared" si="10"/>
        <v/>
      </c>
      <c r="Y43" s="53">
        <v>0</v>
      </c>
      <c r="Z43" s="56" t="str">
        <f t="shared" si="11"/>
        <v/>
      </c>
      <c r="AA43" s="56" t="str">
        <f t="shared" si="12"/>
        <v/>
      </c>
      <c r="AB43" s="56" t="str">
        <f t="shared" si="13"/>
        <v/>
      </c>
      <c r="AC43" s="56" t="str">
        <f t="shared" si="14"/>
        <v/>
      </c>
      <c r="AD43" s="56" t="str">
        <f t="shared" si="15"/>
        <v/>
      </c>
      <c r="AE43" s="40"/>
      <c r="AF43" s="40"/>
      <c r="AG43" s="40"/>
      <c r="AH43" s="56" t="str">
        <f t="shared" si="16"/>
        <v/>
      </c>
      <c r="AI43" s="54"/>
      <c r="AJ43" s="54"/>
      <c r="AK43" s="54">
        <v>35</v>
      </c>
      <c r="AL43" s="54" t="s">
        <v>74</v>
      </c>
      <c r="AM43" s="54" t="s">
        <v>75</v>
      </c>
    </row>
    <row r="44" spans="1:39">
      <c r="A44" s="95"/>
      <c r="B44" s="45" t="str" cm="1">
        <f t="array" ref="B44">IF(H44="PROJECT", CHAR(10) &amp; "- " &amp; _xlfn.TEXTJOIN(CHAR(10) &amp; "- ", TRUE, _xlfn._xlws.FILTER($I$9:$I$1000, ($C$9:$C$1000=C44) * ($H$9:$H$1000="Topic"))), "")</f>
        <v/>
      </c>
      <c r="C44" s="45">
        <f t="shared" si="0"/>
        <v>12</v>
      </c>
      <c r="D44" s="57"/>
      <c r="E44" s="58"/>
      <c r="F44" s="59"/>
      <c r="G44" s="60"/>
      <c r="H44" s="60"/>
      <c r="I44" s="61"/>
      <c r="J44" s="62"/>
      <c r="K44" s="120" t="str">
        <f t="shared" si="1"/>
        <v/>
      </c>
      <c r="L44" s="103" t="str">
        <f t="shared" si="2"/>
        <v/>
      </c>
      <c r="M44" s="52">
        <v>0</v>
      </c>
      <c r="N44" s="102" t="str">
        <f t="shared" si="3"/>
        <v/>
      </c>
      <c r="O44" s="103" t="str">
        <f t="shared" si="4"/>
        <v/>
      </c>
      <c r="P44" s="52">
        <v>0</v>
      </c>
      <c r="Q44" s="102" t="str">
        <f t="shared" si="5"/>
        <v/>
      </c>
      <c r="R44" s="103" t="str">
        <f t="shared" si="6"/>
        <v/>
      </c>
      <c r="S44" s="52">
        <v>0</v>
      </c>
      <c r="T44" s="102" t="str">
        <f t="shared" si="7"/>
        <v/>
      </c>
      <c r="U44" s="103" t="str">
        <f t="shared" si="8"/>
        <v/>
      </c>
      <c r="V44" s="52">
        <v>0</v>
      </c>
      <c r="W44" s="87" t="str">
        <f t="shared" si="9"/>
        <v/>
      </c>
      <c r="X44" s="103" t="str">
        <f t="shared" si="10"/>
        <v/>
      </c>
      <c r="Y44" s="52">
        <v>0</v>
      </c>
      <c r="Z44" s="56" t="str">
        <f t="shared" si="11"/>
        <v/>
      </c>
      <c r="AA44" s="56" t="str">
        <f t="shared" si="12"/>
        <v/>
      </c>
      <c r="AB44" s="56" t="str">
        <f t="shared" si="13"/>
        <v/>
      </c>
      <c r="AC44" s="56" t="str">
        <f t="shared" si="14"/>
        <v/>
      </c>
      <c r="AD44" s="56" t="str">
        <f t="shared" si="15"/>
        <v/>
      </c>
      <c r="AE44" s="40"/>
      <c r="AF44" s="40"/>
      <c r="AG44" s="40"/>
      <c r="AH44" s="56" t="str">
        <f t="shared" si="16"/>
        <v/>
      </c>
      <c r="AI44" s="54"/>
      <c r="AJ44" s="54"/>
      <c r="AK44" s="54">
        <v>36</v>
      </c>
      <c r="AL44" s="54" t="s">
        <v>81</v>
      </c>
      <c r="AM44" s="54" t="s">
        <v>82</v>
      </c>
    </row>
    <row r="45" spans="1:39">
      <c r="A45" s="95"/>
      <c r="B45" s="45" t="str" cm="1">
        <f t="array" ref="B45">IF(H45="PROJECT", CHAR(10) &amp; "- " &amp; _xlfn.TEXTJOIN(CHAR(10) &amp; "- ", TRUE, _xlfn._xlws.FILTER($I$9:$I$1000, ($C$9:$C$1000=C45) * ($H$9:$H$1000="Topic"))), "")</f>
        <v/>
      </c>
      <c r="C45" s="45">
        <f t="shared" si="0"/>
        <v>13</v>
      </c>
      <c r="D45" s="46"/>
      <c r="E45" s="58"/>
      <c r="F45" s="48"/>
      <c r="G45" s="49"/>
      <c r="H45" s="49"/>
      <c r="I45" s="50"/>
      <c r="J45" s="51"/>
      <c r="K45" s="120" t="str">
        <f t="shared" si="1"/>
        <v/>
      </c>
      <c r="L45" s="103" t="str">
        <f t="shared" si="2"/>
        <v/>
      </c>
      <c r="M45" s="53">
        <v>0</v>
      </c>
      <c r="N45" s="102" t="str">
        <f t="shared" si="3"/>
        <v/>
      </c>
      <c r="O45" s="103" t="str">
        <f t="shared" si="4"/>
        <v/>
      </c>
      <c r="P45" s="53">
        <v>0</v>
      </c>
      <c r="Q45" s="102" t="str">
        <f t="shared" si="5"/>
        <v/>
      </c>
      <c r="R45" s="103" t="str">
        <f t="shared" si="6"/>
        <v/>
      </c>
      <c r="S45" s="53">
        <v>0</v>
      </c>
      <c r="T45" s="102" t="str">
        <f t="shared" si="7"/>
        <v/>
      </c>
      <c r="U45" s="103" t="str">
        <f t="shared" si="8"/>
        <v/>
      </c>
      <c r="V45" s="53">
        <v>0</v>
      </c>
      <c r="W45" s="87" t="str">
        <f t="shared" si="9"/>
        <v/>
      </c>
      <c r="X45" s="103" t="str">
        <f t="shared" si="10"/>
        <v/>
      </c>
      <c r="Y45" s="53">
        <v>0</v>
      </c>
      <c r="Z45" s="56" t="str">
        <f t="shared" si="11"/>
        <v/>
      </c>
      <c r="AA45" s="56" t="str">
        <f t="shared" si="12"/>
        <v/>
      </c>
      <c r="AB45" s="56" t="str">
        <f t="shared" si="13"/>
        <v/>
      </c>
      <c r="AC45" s="56" t="str">
        <f t="shared" si="14"/>
        <v/>
      </c>
      <c r="AD45" s="56" t="str">
        <f t="shared" si="15"/>
        <v/>
      </c>
      <c r="AE45" s="40"/>
      <c r="AF45" s="40"/>
      <c r="AG45" s="40"/>
      <c r="AH45" s="56" t="str">
        <f t="shared" si="16"/>
        <v/>
      </c>
      <c r="AI45" s="54"/>
      <c r="AJ45" s="54"/>
      <c r="AK45" s="54">
        <v>37</v>
      </c>
      <c r="AL45" s="54" t="s">
        <v>86</v>
      </c>
      <c r="AM45" s="54" t="s">
        <v>87</v>
      </c>
    </row>
    <row r="46" spans="1:39">
      <c r="A46" s="95"/>
      <c r="B46" s="45" t="str" cm="1">
        <f t="array" ref="B46">IF(H46="PROJECT", CHAR(10) &amp; "- " &amp; _xlfn.TEXTJOIN(CHAR(10) &amp; "- ", TRUE, _xlfn._xlws.FILTER($I$9:$I$1000, ($C$9:$C$1000=C46) * ($H$9:$H$1000="Topic"))), "")</f>
        <v/>
      </c>
      <c r="C46" s="45">
        <f t="shared" si="0"/>
        <v>14</v>
      </c>
      <c r="D46" s="57"/>
      <c r="E46" s="58"/>
      <c r="F46" s="59"/>
      <c r="G46" s="60"/>
      <c r="H46" s="60"/>
      <c r="I46" s="61"/>
      <c r="J46" s="62"/>
      <c r="K46" s="120" t="str">
        <f t="shared" si="1"/>
        <v/>
      </c>
      <c r="L46" s="103" t="str">
        <f t="shared" si="2"/>
        <v/>
      </c>
      <c r="M46" s="52">
        <v>0</v>
      </c>
      <c r="N46" s="102" t="str">
        <f t="shared" si="3"/>
        <v/>
      </c>
      <c r="O46" s="103" t="str">
        <f t="shared" si="4"/>
        <v/>
      </c>
      <c r="P46" s="52">
        <v>0</v>
      </c>
      <c r="Q46" s="102" t="str">
        <f t="shared" si="5"/>
        <v/>
      </c>
      <c r="R46" s="103" t="str">
        <f t="shared" si="6"/>
        <v/>
      </c>
      <c r="S46" s="52">
        <v>0</v>
      </c>
      <c r="T46" s="102" t="str">
        <f t="shared" si="7"/>
        <v/>
      </c>
      <c r="U46" s="103" t="str">
        <f t="shared" si="8"/>
        <v/>
      </c>
      <c r="V46" s="52">
        <v>0</v>
      </c>
      <c r="W46" s="87" t="str">
        <f t="shared" si="9"/>
        <v/>
      </c>
      <c r="X46" s="103" t="str">
        <f t="shared" si="10"/>
        <v/>
      </c>
      <c r="Y46" s="52">
        <v>0</v>
      </c>
      <c r="Z46" s="56" t="str">
        <f t="shared" si="11"/>
        <v/>
      </c>
      <c r="AA46" s="56" t="str">
        <f t="shared" si="12"/>
        <v/>
      </c>
      <c r="AB46" s="56" t="str">
        <f t="shared" si="13"/>
        <v/>
      </c>
      <c r="AC46" s="56" t="str">
        <f t="shared" si="14"/>
        <v/>
      </c>
      <c r="AD46" s="56" t="str">
        <f t="shared" si="15"/>
        <v/>
      </c>
      <c r="AE46" s="40"/>
      <c r="AF46" s="40"/>
      <c r="AG46" s="40"/>
      <c r="AH46" s="56" t="str">
        <f t="shared" si="16"/>
        <v/>
      </c>
      <c r="AI46" s="54"/>
      <c r="AJ46" s="54"/>
      <c r="AK46" s="54">
        <v>38</v>
      </c>
      <c r="AL46" s="54" t="s">
        <v>91</v>
      </c>
      <c r="AM46" s="54" t="s">
        <v>92</v>
      </c>
    </row>
    <row r="47" spans="1:39">
      <c r="A47" s="95"/>
      <c r="B47" s="45" t="str" cm="1">
        <f t="array" ref="B47">IF(H47="PROJECT", CHAR(10) &amp; "- " &amp; _xlfn.TEXTJOIN(CHAR(10) &amp; "- ", TRUE, _xlfn._xlws.FILTER($I$9:$I$1000, ($C$9:$C$1000=C47) * ($H$9:$H$1000="Topic"))), "")</f>
        <v/>
      </c>
      <c r="C47" s="45">
        <f t="shared" si="0"/>
        <v>15</v>
      </c>
      <c r="D47" s="46"/>
      <c r="E47" s="58"/>
      <c r="F47" s="48"/>
      <c r="G47" s="49"/>
      <c r="H47" s="49"/>
      <c r="I47" s="50"/>
      <c r="J47" s="51"/>
      <c r="K47" s="120" t="str">
        <f t="shared" si="1"/>
        <v/>
      </c>
      <c r="L47" s="103" t="str">
        <f t="shared" si="2"/>
        <v/>
      </c>
      <c r="M47" s="53">
        <v>0</v>
      </c>
      <c r="N47" s="102" t="str">
        <f t="shared" si="3"/>
        <v/>
      </c>
      <c r="O47" s="103" t="str">
        <f t="shared" si="4"/>
        <v/>
      </c>
      <c r="P47" s="53">
        <v>0</v>
      </c>
      <c r="Q47" s="102" t="str">
        <f t="shared" si="5"/>
        <v/>
      </c>
      <c r="R47" s="103" t="str">
        <f t="shared" si="6"/>
        <v/>
      </c>
      <c r="S47" s="53">
        <v>0</v>
      </c>
      <c r="T47" s="102" t="str">
        <f t="shared" si="7"/>
        <v/>
      </c>
      <c r="U47" s="103" t="str">
        <f t="shared" si="8"/>
        <v/>
      </c>
      <c r="V47" s="53">
        <v>0</v>
      </c>
      <c r="W47" s="87" t="str">
        <f t="shared" si="9"/>
        <v/>
      </c>
      <c r="X47" s="103" t="str">
        <f t="shared" si="10"/>
        <v/>
      </c>
      <c r="Y47" s="53">
        <v>0</v>
      </c>
      <c r="Z47" s="56" t="str">
        <f t="shared" si="11"/>
        <v/>
      </c>
      <c r="AA47" s="56" t="str">
        <f t="shared" si="12"/>
        <v/>
      </c>
      <c r="AB47" s="56" t="str">
        <f t="shared" si="13"/>
        <v/>
      </c>
      <c r="AC47" s="56" t="str">
        <f t="shared" si="14"/>
        <v/>
      </c>
      <c r="AD47" s="56" t="str">
        <f t="shared" si="15"/>
        <v/>
      </c>
      <c r="AE47" s="40"/>
      <c r="AF47" s="40"/>
      <c r="AG47" s="40"/>
      <c r="AH47" s="56" t="str">
        <f t="shared" si="16"/>
        <v/>
      </c>
      <c r="AI47" s="54"/>
      <c r="AJ47" s="54"/>
      <c r="AK47" s="54">
        <v>39</v>
      </c>
      <c r="AL47" s="54" t="s">
        <v>96</v>
      </c>
      <c r="AM47" s="54" t="s">
        <v>97</v>
      </c>
    </row>
    <row r="48" spans="1:39">
      <c r="A48" s="95"/>
      <c r="B48" s="45" t="str" cm="1">
        <f t="array" ref="B48">IF(H48="PROJECT", CHAR(10) &amp; "- " &amp; _xlfn.TEXTJOIN(CHAR(10) &amp; "- ", TRUE, _xlfn._xlws.FILTER($I$9:$I$1000, ($C$9:$C$1000=C48) * ($H$9:$H$1000="Topic"))), "")</f>
        <v/>
      </c>
      <c r="C48" s="45">
        <f t="shared" si="0"/>
        <v>16</v>
      </c>
      <c r="D48" s="57"/>
      <c r="E48" s="58"/>
      <c r="F48" s="59"/>
      <c r="G48" s="60"/>
      <c r="H48" s="60"/>
      <c r="I48" s="61"/>
      <c r="J48" s="62"/>
      <c r="K48" s="120" t="str">
        <f t="shared" si="1"/>
        <v/>
      </c>
      <c r="L48" s="103" t="str">
        <f t="shared" si="2"/>
        <v/>
      </c>
      <c r="M48" s="52">
        <v>0</v>
      </c>
      <c r="N48" s="102" t="str">
        <f t="shared" si="3"/>
        <v/>
      </c>
      <c r="O48" s="103" t="str">
        <f t="shared" si="4"/>
        <v/>
      </c>
      <c r="P48" s="52">
        <v>0</v>
      </c>
      <c r="Q48" s="102" t="str">
        <f t="shared" si="5"/>
        <v/>
      </c>
      <c r="R48" s="103" t="str">
        <f t="shared" si="6"/>
        <v/>
      </c>
      <c r="S48" s="52">
        <v>0</v>
      </c>
      <c r="T48" s="102" t="str">
        <f t="shared" si="7"/>
        <v/>
      </c>
      <c r="U48" s="103" t="str">
        <f t="shared" si="8"/>
        <v/>
      </c>
      <c r="V48" s="52">
        <v>0</v>
      </c>
      <c r="W48" s="87" t="str">
        <f t="shared" si="9"/>
        <v/>
      </c>
      <c r="X48" s="103" t="str">
        <f t="shared" si="10"/>
        <v/>
      </c>
      <c r="Y48" s="52">
        <v>0</v>
      </c>
      <c r="Z48" s="56" t="str">
        <f t="shared" si="11"/>
        <v/>
      </c>
      <c r="AA48" s="56" t="str">
        <f t="shared" si="12"/>
        <v/>
      </c>
      <c r="AB48" s="56" t="str">
        <f t="shared" si="13"/>
        <v/>
      </c>
      <c r="AC48" s="56" t="str">
        <f t="shared" si="14"/>
        <v/>
      </c>
      <c r="AD48" s="56" t="str">
        <f t="shared" si="15"/>
        <v/>
      </c>
      <c r="AE48" s="40"/>
      <c r="AF48" s="40"/>
      <c r="AG48" s="40"/>
      <c r="AH48" s="56" t="str">
        <f t="shared" si="16"/>
        <v/>
      </c>
      <c r="AI48" s="54"/>
      <c r="AJ48" s="54"/>
      <c r="AK48" s="54">
        <v>40</v>
      </c>
      <c r="AL48" s="54" t="s">
        <v>101</v>
      </c>
      <c r="AM48" s="54" t="s">
        <v>102</v>
      </c>
    </row>
    <row r="49" spans="1:39">
      <c r="A49" s="95"/>
      <c r="B49" s="45" t="str" cm="1">
        <f t="array" ref="B49">IF(H49="PROJECT", CHAR(10) &amp; "- " &amp; _xlfn.TEXTJOIN(CHAR(10) &amp; "- ", TRUE, _xlfn._xlws.FILTER($I$9:$I$1000, ($C$9:$C$1000=C49) * ($H$9:$H$1000="Topic"))), "")</f>
        <v/>
      </c>
      <c r="C49" s="45">
        <f t="shared" si="0"/>
        <v>17</v>
      </c>
      <c r="D49" s="46"/>
      <c r="E49" s="58"/>
      <c r="F49" s="48"/>
      <c r="G49" s="49"/>
      <c r="H49" s="49"/>
      <c r="I49" s="50"/>
      <c r="J49" s="51"/>
      <c r="K49" s="120" t="str">
        <f t="shared" si="1"/>
        <v/>
      </c>
      <c r="L49" s="103" t="str">
        <f t="shared" si="2"/>
        <v/>
      </c>
      <c r="M49" s="53">
        <v>0</v>
      </c>
      <c r="N49" s="102" t="str">
        <f t="shared" si="3"/>
        <v/>
      </c>
      <c r="O49" s="103" t="str">
        <f t="shared" si="4"/>
        <v/>
      </c>
      <c r="P49" s="53">
        <v>0</v>
      </c>
      <c r="Q49" s="102" t="str">
        <f t="shared" si="5"/>
        <v/>
      </c>
      <c r="R49" s="103" t="str">
        <f t="shared" si="6"/>
        <v/>
      </c>
      <c r="S49" s="53">
        <v>0</v>
      </c>
      <c r="T49" s="102" t="str">
        <f t="shared" si="7"/>
        <v/>
      </c>
      <c r="U49" s="103" t="str">
        <f t="shared" si="8"/>
        <v/>
      </c>
      <c r="V49" s="53">
        <v>0</v>
      </c>
      <c r="W49" s="87" t="str">
        <f t="shared" si="9"/>
        <v/>
      </c>
      <c r="X49" s="103" t="str">
        <f t="shared" si="10"/>
        <v/>
      </c>
      <c r="Y49" s="53">
        <v>0</v>
      </c>
      <c r="Z49" s="56" t="str">
        <f t="shared" si="11"/>
        <v/>
      </c>
      <c r="AA49" s="56" t="str">
        <f t="shared" si="12"/>
        <v/>
      </c>
      <c r="AB49" s="56" t="str">
        <f t="shared" si="13"/>
        <v/>
      </c>
      <c r="AC49" s="56" t="str">
        <f t="shared" si="14"/>
        <v/>
      </c>
      <c r="AD49" s="56" t="str">
        <f t="shared" si="15"/>
        <v/>
      </c>
      <c r="AE49" s="40"/>
      <c r="AF49" s="40"/>
      <c r="AG49" s="40"/>
      <c r="AH49" s="56" t="str">
        <f t="shared" si="16"/>
        <v/>
      </c>
      <c r="AI49" s="54"/>
      <c r="AJ49" s="54"/>
      <c r="AK49" s="54"/>
      <c r="AL49" s="54"/>
      <c r="AM49" s="54"/>
    </row>
    <row r="50" spans="1:39">
      <c r="A50" s="95"/>
      <c r="B50" s="45" t="str" cm="1">
        <f t="array" ref="B50">IF(H50="PROJECT", CHAR(10) &amp; "- " &amp; _xlfn.TEXTJOIN(CHAR(10) &amp; "- ", TRUE, _xlfn._xlws.FILTER($I$9:$I$1000, ($C$9:$C$1000=C50) * ($H$9:$H$1000="Topic"))), "")</f>
        <v/>
      </c>
      <c r="C50" s="45">
        <f t="shared" si="0"/>
        <v>18</v>
      </c>
      <c r="D50" s="57"/>
      <c r="E50" s="58"/>
      <c r="F50" s="59"/>
      <c r="G50" s="60"/>
      <c r="H50" s="60"/>
      <c r="I50" s="61"/>
      <c r="J50" s="62"/>
      <c r="K50" s="120" t="str">
        <f t="shared" si="1"/>
        <v/>
      </c>
      <c r="L50" s="103" t="str">
        <f t="shared" si="2"/>
        <v/>
      </c>
      <c r="M50" s="52">
        <v>0</v>
      </c>
      <c r="N50" s="102" t="str">
        <f t="shared" si="3"/>
        <v/>
      </c>
      <c r="O50" s="103" t="str">
        <f t="shared" si="4"/>
        <v/>
      </c>
      <c r="P50" s="52">
        <v>0</v>
      </c>
      <c r="Q50" s="102" t="str">
        <f t="shared" si="5"/>
        <v/>
      </c>
      <c r="R50" s="103" t="str">
        <f t="shared" si="6"/>
        <v/>
      </c>
      <c r="S50" s="52">
        <v>0</v>
      </c>
      <c r="T50" s="102" t="str">
        <f t="shared" si="7"/>
        <v/>
      </c>
      <c r="U50" s="103" t="str">
        <f t="shared" si="8"/>
        <v/>
      </c>
      <c r="V50" s="52">
        <v>0</v>
      </c>
      <c r="W50" s="87" t="str">
        <f t="shared" si="9"/>
        <v/>
      </c>
      <c r="X50" s="103" t="str">
        <f t="shared" si="10"/>
        <v/>
      </c>
      <c r="Y50" s="52">
        <v>0</v>
      </c>
      <c r="Z50" s="56" t="str">
        <f t="shared" si="11"/>
        <v/>
      </c>
      <c r="AA50" s="56" t="str">
        <f t="shared" si="12"/>
        <v/>
      </c>
      <c r="AB50" s="56" t="str">
        <f t="shared" si="13"/>
        <v/>
      </c>
      <c r="AC50" s="56" t="str">
        <f t="shared" si="14"/>
        <v/>
      </c>
      <c r="AD50" s="56" t="str">
        <f t="shared" si="15"/>
        <v/>
      </c>
      <c r="AE50" s="40"/>
      <c r="AF50" s="40"/>
      <c r="AG50" s="40"/>
      <c r="AH50" s="56" t="str">
        <f t="shared" si="16"/>
        <v/>
      </c>
      <c r="AI50" s="54"/>
      <c r="AJ50" s="54"/>
      <c r="AK50" s="54"/>
      <c r="AL50" s="54"/>
      <c r="AM50" s="54"/>
    </row>
    <row r="51" spans="1:39">
      <c r="A51" s="95"/>
      <c r="B51" s="45" t="str" cm="1">
        <f t="array" ref="B51">IF(H51="PROJECT", CHAR(10) &amp; "- " &amp; _xlfn.TEXTJOIN(CHAR(10) &amp; "- ", TRUE, _xlfn._xlws.FILTER($I$9:$I$1000, ($C$9:$C$1000=C51) * ($H$9:$H$1000="Topic"))), "")</f>
        <v/>
      </c>
      <c r="C51" s="45">
        <f t="shared" si="0"/>
        <v>19</v>
      </c>
      <c r="D51" s="46"/>
      <c r="E51" s="58"/>
      <c r="F51" s="48"/>
      <c r="G51" s="49"/>
      <c r="H51" s="49"/>
      <c r="I51" s="50"/>
      <c r="J51" s="51"/>
      <c r="K51" s="120" t="str">
        <f t="shared" si="1"/>
        <v/>
      </c>
      <c r="L51" s="103" t="str">
        <f t="shared" si="2"/>
        <v/>
      </c>
      <c r="M51" s="53">
        <v>0</v>
      </c>
      <c r="N51" s="102" t="str">
        <f t="shared" si="3"/>
        <v/>
      </c>
      <c r="O51" s="103" t="str">
        <f t="shared" si="4"/>
        <v/>
      </c>
      <c r="P51" s="53">
        <v>0</v>
      </c>
      <c r="Q51" s="102" t="str">
        <f t="shared" si="5"/>
        <v/>
      </c>
      <c r="R51" s="103" t="str">
        <f t="shared" si="6"/>
        <v/>
      </c>
      <c r="S51" s="53">
        <v>0</v>
      </c>
      <c r="T51" s="102" t="str">
        <f t="shared" si="7"/>
        <v/>
      </c>
      <c r="U51" s="103" t="str">
        <f t="shared" si="8"/>
        <v/>
      </c>
      <c r="V51" s="53">
        <v>0</v>
      </c>
      <c r="W51" s="87" t="str">
        <f t="shared" si="9"/>
        <v/>
      </c>
      <c r="X51" s="103" t="str">
        <f t="shared" si="10"/>
        <v/>
      </c>
      <c r="Y51" s="53">
        <v>0</v>
      </c>
      <c r="Z51" s="56" t="str">
        <f t="shared" si="11"/>
        <v/>
      </c>
      <c r="AA51" s="56" t="str">
        <f t="shared" si="12"/>
        <v/>
      </c>
      <c r="AB51" s="56" t="str">
        <f t="shared" si="13"/>
        <v/>
      </c>
      <c r="AC51" s="56" t="str">
        <f t="shared" si="14"/>
        <v/>
      </c>
      <c r="AD51" s="56" t="str">
        <f t="shared" si="15"/>
        <v/>
      </c>
      <c r="AE51" s="40"/>
      <c r="AF51" s="40"/>
      <c r="AG51" s="40"/>
      <c r="AH51" s="56" t="str">
        <f t="shared" si="16"/>
        <v/>
      </c>
      <c r="AI51" s="54"/>
      <c r="AJ51" s="54"/>
      <c r="AK51" s="54"/>
      <c r="AL51" s="54"/>
      <c r="AM51" s="54"/>
    </row>
    <row r="52" spans="1:39">
      <c r="A52" s="95"/>
      <c r="B52" s="45" t="str" cm="1">
        <f t="array" ref="B52">IF(H52="PROJECT", CHAR(10) &amp; "- " &amp; _xlfn.TEXTJOIN(CHAR(10) &amp; "- ", TRUE, _xlfn._xlws.FILTER($I$9:$I$1000, ($C$9:$C$1000=C52) * ($H$9:$H$1000="Topic"))), "")</f>
        <v/>
      </c>
      <c r="C52" s="45">
        <f t="shared" si="0"/>
        <v>20</v>
      </c>
      <c r="D52" s="57"/>
      <c r="E52" s="58"/>
      <c r="F52" s="59"/>
      <c r="G52" s="60"/>
      <c r="H52" s="60"/>
      <c r="I52" s="61"/>
      <c r="J52" s="62"/>
      <c r="K52" s="120" t="str">
        <f t="shared" si="1"/>
        <v/>
      </c>
      <c r="L52" s="103" t="str">
        <f t="shared" si="2"/>
        <v/>
      </c>
      <c r="M52" s="52">
        <v>0</v>
      </c>
      <c r="N52" s="102" t="str">
        <f t="shared" si="3"/>
        <v/>
      </c>
      <c r="O52" s="103" t="str">
        <f t="shared" si="4"/>
        <v/>
      </c>
      <c r="P52" s="52">
        <v>0</v>
      </c>
      <c r="Q52" s="102" t="str">
        <f t="shared" si="5"/>
        <v/>
      </c>
      <c r="R52" s="103" t="str">
        <f t="shared" si="6"/>
        <v/>
      </c>
      <c r="S52" s="52">
        <v>0</v>
      </c>
      <c r="T52" s="102" t="str">
        <f t="shared" si="7"/>
        <v/>
      </c>
      <c r="U52" s="103" t="str">
        <f t="shared" si="8"/>
        <v/>
      </c>
      <c r="V52" s="52">
        <v>0</v>
      </c>
      <c r="W52" s="87" t="str">
        <f t="shared" si="9"/>
        <v/>
      </c>
      <c r="X52" s="103" t="str">
        <f t="shared" si="10"/>
        <v/>
      </c>
      <c r="Y52" s="52">
        <v>0</v>
      </c>
      <c r="Z52" s="56" t="str">
        <f t="shared" si="11"/>
        <v/>
      </c>
      <c r="AA52" s="56" t="str">
        <f t="shared" si="12"/>
        <v/>
      </c>
      <c r="AB52" s="56" t="str">
        <f t="shared" si="13"/>
        <v/>
      </c>
      <c r="AC52" s="56" t="str">
        <f t="shared" si="14"/>
        <v/>
      </c>
      <c r="AD52" s="56" t="str">
        <f t="shared" si="15"/>
        <v/>
      </c>
      <c r="AE52" s="40"/>
      <c r="AF52" s="40"/>
      <c r="AG52" s="40"/>
      <c r="AH52" s="56" t="str">
        <f t="shared" si="16"/>
        <v/>
      </c>
      <c r="AI52" s="54"/>
      <c r="AJ52" s="54"/>
      <c r="AK52" s="54"/>
      <c r="AL52" s="54"/>
      <c r="AM52" s="54"/>
    </row>
    <row r="53" spans="1:39">
      <c r="A53" s="95"/>
      <c r="B53" s="45" t="str" cm="1">
        <f t="array" ref="B53">IF(H53="PROJECT", CHAR(10) &amp; "- " &amp; _xlfn.TEXTJOIN(CHAR(10) &amp; "- ", TRUE, _xlfn._xlws.FILTER($I$9:$I$1000, ($C$9:$C$1000=C53) * ($H$9:$H$1000="Topic"))), "")</f>
        <v/>
      </c>
      <c r="C53" s="45">
        <f t="shared" si="0"/>
        <v>21</v>
      </c>
      <c r="D53" s="46"/>
      <c r="E53" s="58"/>
      <c r="F53" s="48"/>
      <c r="G53" s="49"/>
      <c r="H53" s="49"/>
      <c r="I53" s="50"/>
      <c r="J53" s="51"/>
      <c r="K53" s="120" t="str">
        <f t="shared" si="1"/>
        <v/>
      </c>
      <c r="L53" s="103" t="str">
        <f t="shared" si="2"/>
        <v/>
      </c>
      <c r="M53" s="53">
        <v>0</v>
      </c>
      <c r="N53" s="102" t="str">
        <f t="shared" si="3"/>
        <v/>
      </c>
      <c r="O53" s="103" t="str">
        <f t="shared" si="4"/>
        <v/>
      </c>
      <c r="P53" s="53">
        <v>0</v>
      </c>
      <c r="Q53" s="102" t="str">
        <f t="shared" si="5"/>
        <v/>
      </c>
      <c r="R53" s="103" t="str">
        <f t="shared" si="6"/>
        <v/>
      </c>
      <c r="S53" s="53">
        <v>0</v>
      </c>
      <c r="T53" s="102" t="str">
        <f t="shared" si="7"/>
        <v/>
      </c>
      <c r="U53" s="103" t="str">
        <f t="shared" si="8"/>
        <v/>
      </c>
      <c r="V53" s="53">
        <v>0</v>
      </c>
      <c r="W53" s="87" t="str">
        <f t="shared" si="9"/>
        <v/>
      </c>
      <c r="X53" s="103" t="str">
        <f t="shared" si="10"/>
        <v/>
      </c>
      <c r="Y53" s="53">
        <v>0</v>
      </c>
      <c r="Z53" s="56" t="str">
        <f t="shared" si="11"/>
        <v/>
      </c>
      <c r="AA53" s="56" t="str">
        <f t="shared" si="12"/>
        <v/>
      </c>
      <c r="AB53" s="56" t="str">
        <f t="shared" si="13"/>
        <v/>
      </c>
      <c r="AC53" s="56" t="str">
        <f t="shared" si="14"/>
        <v/>
      </c>
      <c r="AD53" s="56" t="str">
        <f t="shared" si="15"/>
        <v/>
      </c>
      <c r="AE53" s="40"/>
      <c r="AF53" s="40"/>
      <c r="AG53" s="40"/>
      <c r="AH53" s="56" t="str">
        <f t="shared" si="16"/>
        <v/>
      </c>
      <c r="AI53" s="54"/>
      <c r="AJ53" s="54"/>
      <c r="AK53" s="54"/>
      <c r="AL53" s="54"/>
      <c r="AM53" s="54"/>
    </row>
    <row r="54" spans="1:39">
      <c r="A54" s="95"/>
      <c r="B54" s="45" t="str" cm="1">
        <f t="array" ref="B54">IF(H54="PROJECT", CHAR(10) &amp; "- " &amp; _xlfn.TEXTJOIN(CHAR(10) &amp; "- ", TRUE, _xlfn._xlws.FILTER($I$9:$I$1000, ($C$9:$C$1000=C54) * ($H$9:$H$1000="Topic"))), "")</f>
        <v/>
      </c>
      <c r="C54" s="45">
        <f t="shared" si="0"/>
        <v>22</v>
      </c>
      <c r="D54" s="57"/>
      <c r="E54" s="58"/>
      <c r="F54" s="59"/>
      <c r="G54" s="60"/>
      <c r="H54" s="60"/>
      <c r="I54" s="61"/>
      <c r="J54" s="62"/>
      <c r="K54" s="120" t="str">
        <f t="shared" si="1"/>
        <v/>
      </c>
      <c r="L54" s="103" t="str">
        <f t="shared" si="2"/>
        <v/>
      </c>
      <c r="M54" s="52">
        <v>0</v>
      </c>
      <c r="N54" s="102" t="str">
        <f t="shared" si="3"/>
        <v/>
      </c>
      <c r="O54" s="103" t="str">
        <f t="shared" si="4"/>
        <v/>
      </c>
      <c r="P54" s="52">
        <v>0</v>
      </c>
      <c r="Q54" s="102" t="str">
        <f t="shared" si="5"/>
        <v/>
      </c>
      <c r="R54" s="103" t="str">
        <f t="shared" si="6"/>
        <v/>
      </c>
      <c r="S54" s="52">
        <v>0</v>
      </c>
      <c r="T54" s="102" t="str">
        <f t="shared" si="7"/>
        <v/>
      </c>
      <c r="U54" s="103" t="str">
        <f t="shared" si="8"/>
        <v/>
      </c>
      <c r="V54" s="52">
        <v>0</v>
      </c>
      <c r="W54" s="87" t="str">
        <f t="shared" si="9"/>
        <v/>
      </c>
      <c r="X54" s="103" t="str">
        <f t="shared" si="10"/>
        <v/>
      </c>
      <c r="Y54" s="52">
        <v>0</v>
      </c>
      <c r="Z54" s="56" t="str">
        <f t="shared" si="11"/>
        <v/>
      </c>
      <c r="AA54" s="56" t="str">
        <f t="shared" si="12"/>
        <v/>
      </c>
      <c r="AB54" s="56" t="str">
        <f t="shared" si="13"/>
        <v/>
      </c>
      <c r="AC54" s="56" t="str">
        <f t="shared" si="14"/>
        <v/>
      </c>
      <c r="AD54" s="56" t="str">
        <f t="shared" si="15"/>
        <v/>
      </c>
      <c r="AE54" s="40"/>
      <c r="AF54" s="40"/>
      <c r="AG54" s="40"/>
      <c r="AH54" s="56" t="str">
        <f t="shared" si="16"/>
        <v/>
      </c>
      <c r="AI54" s="54"/>
      <c r="AJ54" s="54"/>
      <c r="AK54" s="54"/>
      <c r="AL54" s="54"/>
      <c r="AM54" s="54"/>
    </row>
    <row r="55" spans="1:39">
      <c r="A55" s="95"/>
      <c r="B55" s="45" t="str" cm="1">
        <f t="array" ref="B55">IF(H55="PROJECT", CHAR(10) &amp; "- " &amp; _xlfn.TEXTJOIN(CHAR(10) &amp; "- ", TRUE, _xlfn._xlws.FILTER($I$9:$I$1000, ($C$9:$C$1000=C55) * ($H$9:$H$1000="Topic"))), "")</f>
        <v/>
      </c>
      <c r="C55" s="45">
        <f t="shared" si="0"/>
        <v>23</v>
      </c>
      <c r="D55" s="46"/>
      <c r="E55" s="58"/>
      <c r="F55" s="48"/>
      <c r="G55" s="49"/>
      <c r="H55" s="49"/>
      <c r="I55" s="50"/>
      <c r="J55" s="51"/>
      <c r="K55" s="120" t="str">
        <f t="shared" si="1"/>
        <v/>
      </c>
      <c r="L55" s="103" t="str">
        <f t="shared" si="2"/>
        <v/>
      </c>
      <c r="M55" s="53">
        <v>0</v>
      </c>
      <c r="N55" s="102" t="str">
        <f t="shared" si="3"/>
        <v/>
      </c>
      <c r="O55" s="103" t="str">
        <f t="shared" si="4"/>
        <v/>
      </c>
      <c r="P55" s="53">
        <v>0</v>
      </c>
      <c r="Q55" s="102" t="str">
        <f t="shared" si="5"/>
        <v/>
      </c>
      <c r="R55" s="103" t="str">
        <f t="shared" si="6"/>
        <v/>
      </c>
      <c r="S55" s="53">
        <v>0</v>
      </c>
      <c r="T55" s="102" t="str">
        <f t="shared" si="7"/>
        <v/>
      </c>
      <c r="U55" s="103" t="str">
        <f t="shared" si="8"/>
        <v/>
      </c>
      <c r="V55" s="53">
        <v>0</v>
      </c>
      <c r="W55" s="87" t="str">
        <f t="shared" si="9"/>
        <v/>
      </c>
      <c r="X55" s="103" t="str">
        <f t="shared" si="10"/>
        <v/>
      </c>
      <c r="Y55" s="53">
        <v>0</v>
      </c>
      <c r="Z55" s="56" t="str">
        <f t="shared" si="11"/>
        <v/>
      </c>
      <c r="AA55" s="56" t="str">
        <f t="shared" si="12"/>
        <v/>
      </c>
      <c r="AB55" s="56" t="str">
        <f t="shared" si="13"/>
        <v/>
      </c>
      <c r="AC55" s="56" t="str">
        <f t="shared" si="14"/>
        <v/>
      </c>
      <c r="AD55" s="56" t="str">
        <f t="shared" si="15"/>
        <v/>
      </c>
      <c r="AE55" s="40"/>
      <c r="AF55" s="40"/>
      <c r="AG55" s="40"/>
      <c r="AH55" s="56" t="str">
        <f t="shared" si="16"/>
        <v/>
      </c>
      <c r="AI55" s="54"/>
      <c r="AJ55" s="54"/>
      <c r="AK55" s="54"/>
      <c r="AL55" s="54"/>
      <c r="AM55" s="54"/>
    </row>
    <row r="56" spans="1:39">
      <c r="A56" s="95"/>
      <c r="B56" s="45" t="str" cm="1">
        <f t="array" ref="B56">IF(H56="PROJECT", CHAR(10) &amp; "- " &amp; _xlfn.TEXTJOIN(CHAR(10) &amp; "- ", TRUE, _xlfn._xlws.FILTER($I$9:$I$1000, ($C$9:$C$1000=C56) * ($H$9:$H$1000="Topic"))), "")</f>
        <v/>
      </c>
      <c r="C56" s="45">
        <f t="shared" si="0"/>
        <v>24</v>
      </c>
      <c r="D56" s="57"/>
      <c r="E56" s="58"/>
      <c r="F56" s="63"/>
      <c r="G56" s="60"/>
      <c r="H56" s="64"/>
      <c r="I56" s="61"/>
      <c r="J56" s="62"/>
      <c r="K56" s="120" t="str">
        <f t="shared" si="1"/>
        <v/>
      </c>
      <c r="L56" s="103" t="str">
        <f t="shared" si="2"/>
        <v/>
      </c>
      <c r="M56" s="52">
        <v>0</v>
      </c>
      <c r="N56" s="102" t="str">
        <f t="shared" si="3"/>
        <v/>
      </c>
      <c r="O56" s="103" t="str">
        <f t="shared" si="4"/>
        <v/>
      </c>
      <c r="P56" s="52">
        <v>0</v>
      </c>
      <c r="Q56" s="102" t="str">
        <f t="shared" si="5"/>
        <v/>
      </c>
      <c r="R56" s="103" t="str">
        <f t="shared" si="6"/>
        <v/>
      </c>
      <c r="S56" s="52">
        <v>0</v>
      </c>
      <c r="T56" s="102" t="str">
        <f t="shared" si="7"/>
        <v/>
      </c>
      <c r="U56" s="103" t="str">
        <f t="shared" si="8"/>
        <v/>
      </c>
      <c r="V56" s="52">
        <v>0</v>
      </c>
      <c r="W56" s="87" t="str">
        <f t="shared" si="9"/>
        <v/>
      </c>
      <c r="X56" s="103" t="str">
        <f t="shared" si="10"/>
        <v/>
      </c>
      <c r="Y56" s="52">
        <v>0</v>
      </c>
      <c r="Z56" s="56" t="str">
        <f t="shared" si="11"/>
        <v/>
      </c>
      <c r="AA56" s="56" t="str">
        <f t="shared" si="12"/>
        <v/>
      </c>
      <c r="AB56" s="56" t="str">
        <f t="shared" si="13"/>
        <v/>
      </c>
      <c r="AC56" s="56" t="str">
        <f t="shared" si="14"/>
        <v/>
      </c>
      <c r="AD56" s="56" t="str">
        <f t="shared" si="15"/>
        <v/>
      </c>
      <c r="AE56" s="40"/>
      <c r="AF56" s="40"/>
      <c r="AG56" s="40"/>
      <c r="AH56" s="56" t="str">
        <f t="shared" si="16"/>
        <v/>
      </c>
      <c r="AI56" s="54"/>
      <c r="AJ56" s="54"/>
      <c r="AK56" s="54"/>
      <c r="AL56" s="54"/>
      <c r="AM56" s="54"/>
    </row>
    <row r="57" spans="1:39">
      <c r="A57" s="95"/>
      <c r="B57" s="45" t="str" cm="1">
        <f t="array" ref="B57">IF(H57="PROJECT", CHAR(10) &amp; "- " &amp; _xlfn.TEXTJOIN(CHAR(10) &amp; "- ", TRUE, _xlfn._xlws.FILTER($I$9:$I$1000, ($C$9:$C$1000=C57) * ($H$9:$H$1000="Topic"))), "")</f>
        <v/>
      </c>
      <c r="C57" s="45">
        <f t="shared" si="0"/>
        <v>25</v>
      </c>
      <c r="D57" s="46"/>
      <c r="E57" s="58"/>
      <c r="F57" s="65"/>
      <c r="G57" s="49"/>
      <c r="H57" s="66"/>
      <c r="I57" s="50"/>
      <c r="J57" s="51"/>
      <c r="K57" s="120" t="str">
        <f t="shared" si="1"/>
        <v/>
      </c>
      <c r="L57" s="103" t="str">
        <f t="shared" si="2"/>
        <v/>
      </c>
      <c r="M57" s="53">
        <v>0</v>
      </c>
      <c r="N57" s="102" t="str">
        <f t="shared" si="3"/>
        <v/>
      </c>
      <c r="O57" s="103" t="str">
        <f t="shared" si="4"/>
        <v/>
      </c>
      <c r="P57" s="53">
        <v>0</v>
      </c>
      <c r="Q57" s="102" t="str">
        <f t="shared" si="5"/>
        <v/>
      </c>
      <c r="R57" s="103" t="str">
        <f t="shared" si="6"/>
        <v/>
      </c>
      <c r="S57" s="53">
        <v>0</v>
      </c>
      <c r="T57" s="102" t="str">
        <f t="shared" si="7"/>
        <v/>
      </c>
      <c r="U57" s="103" t="str">
        <f t="shared" si="8"/>
        <v/>
      </c>
      <c r="V57" s="53">
        <v>0</v>
      </c>
      <c r="W57" s="87" t="str">
        <f t="shared" si="9"/>
        <v/>
      </c>
      <c r="X57" s="103" t="str">
        <f t="shared" si="10"/>
        <v/>
      </c>
      <c r="Y57" s="53">
        <v>0</v>
      </c>
      <c r="Z57" s="56" t="str">
        <f t="shared" si="11"/>
        <v/>
      </c>
      <c r="AA57" s="56" t="str">
        <f t="shared" si="12"/>
        <v/>
      </c>
      <c r="AB57" s="56" t="str">
        <f t="shared" si="13"/>
        <v/>
      </c>
      <c r="AC57" s="56" t="str">
        <f t="shared" si="14"/>
        <v/>
      </c>
      <c r="AD57" s="56" t="str">
        <f t="shared" si="15"/>
        <v/>
      </c>
      <c r="AE57" s="40"/>
      <c r="AF57" s="40"/>
      <c r="AG57" s="40"/>
      <c r="AH57" s="56" t="str">
        <f t="shared" si="16"/>
        <v/>
      </c>
      <c r="AI57" s="54"/>
      <c r="AJ57" s="54"/>
      <c r="AK57" s="54"/>
      <c r="AL57" s="54"/>
      <c r="AM57" s="54"/>
    </row>
    <row r="58" spans="1:39">
      <c r="A58" s="95"/>
      <c r="B58" s="45" t="str" cm="1">
        <f t="array" ref="B58">IF(H58="PROJECT", CHAR(10) &amp; "- " &amp; _xlfn.TEXTJOIN(CHAR(10) &amp; "- ", TRUE, _xlfn._xlws.FILTER($I$9:$I$1000, ($C$9:$C$1000=C58) * ($H$9:$H$1000="Topic"))), "")</f>
        <v/>
      </c>
      <c r="C58" s="45">
        <f t="shared" si="0"/>
        <v>26</v>
      </c>
      <c r="D58" s="57"/>
      <c r="E58" s="58"/>
      <c r="F58" s="63"/>
      <c r="G58" s="60"/>
      <c r="H58" s="64"/>
      <c r="I58" s="61"/>
      <c r="J58" s="62"/>
      <c r="K58" s="120" t="str">
        <f t="shared" si="1"/>
        <v/>
      </c>
      <c r="L58" s="103" t="str">
        <f t="shared" si="2"/>
        <v/>
      </c>
      <c r="M58" s="52">
        <v>0</v>
      </c>
      <c r="N58" s="102" t="str">
        <f t="shared" si="3"/>
        <v/>
      </c>
      <c r="O58" s="103" t="str">
        <f t="shared" si="4"/>
        <v/>
      </c>
      <c r="P58" s="52">
        <v>0</v>
      </c>
      <c r="Q58" s="102" t="str">
        <f t="shared" si="5"/>
        <v/>
      </c>
      <c r="R58" s="103" t="str">
        <f t="shared" si="6"/>
        <v/>
      </c>
      <c r="S58" s="52">
        <v>0</v>
      </c>
      <c r="T58" s="102" t="str">
        <f t="shared" si="7"/>
        <v/>
      </c>
      <c r="U58" s="103" t="str">
        <f t="shared" si="8"/>
        <v/>
      </c>
      <c r="V58" s="52">
        <v>0</v>
      </c>
      <c r="W58" s="87" t="str">
        <f t="shared" si="9"/>
        <v/>
      </c>
      <c r="X58" s="103" t="str">
        <f t="shared" si="10"/>
        <v/>
      </c>
      <c r="Y58" s="52">
        <v>0</v>
      </c>
      <c r="Z58" s="56" t="str">
        <f t="shared" si="11"/>
        <v/>
      </c>
      <c r="AA58" s="56" t="str">
        <f t="shared" si="12"/>
        <v/>
      </c>
      <c r="AB58" s="56" t="str">
        <f t="shared" si="13"/>
        <v/>
      </c>
      <c r="AC58" s="56" t="str">
        <f t="shared" si="14"/>
        <v/>
      </c>
      <c r="AD58" s="56" t="str">
        <f t="shared" si="15"/>
        <v/>
      </c>
      <c r="AE58" s="40"/>
      <c r="AF58" s="40"/>
      <c r="AG58" s="40"/>
      <c r="AH58" s="56" t="str">
        <f t="shared" si="16"/>
        <v/>
      </c>
      <c r="AI58" s="54"/>
      <c r="AJ58" s="54"/>
      <c r="AK58" s="54"/>
      <c r="AL58" s="54"/>
      <c r="AM58" s="54"/>
    </row>
    <row r="59" spans="1:39">
      <c r="A59" s="95"/>
      <c r="B59" s="45" t="str" cm="1">
        <f t="array" ref="B59">IF(H59="PROJECT", CHAR(10) &amp; "- " &amp; _xlfn.TEXTJOIN(CHAR(10) &amp; "- ", TRUE, _xlfn._xlws.FILTER($I$9:$I$1000, ($C$9:$C$1000=C59) * ($H$9:$H$1000="Topic"))), "")</f>
        <v/>
      </c>
      <c r="C59" s="45">
        <f t="shared" si="0"/>
        <v>27</v>
      </c>
      <c r="D59" s="46"/>
      <c r="E59" s="58"/>
      <c r="F59" s="65"/>
      <c r="G59" s="49"/>
      <c r="H59" s="66"/>
      <c r="I59" s="50"/>
      <c r="J59" s="51"/>
      <c r="K59" s="120" t="str">
        <f t="shared" si="1"/>
        <v/>
      </c>
      <c r="L59" s="103" t="str">
        <f t="shared" si="2"/>
        <v/>
      </c>
      <c r="M59" s="53">
        <v>0</v>
      </c>
      <c r="N59" s="102" t="str">
        <f t="shared" si="3"/>
        <v/>
      </c>
      <c r="O59" s="103" t="str">
        <f t="shared" si="4"/>
        <v/>
      </c>
      <c r="P59" s="53">
        <v>0</v>
      </c>
      <c r="Q59" s="102" t="str">
        <f t="shared" si="5"/>
        <v/>
      </c>
      <c r="R59" s="103" t="str">
        <f t="shared" si="6"/>
        <v/>
      </c>
      <c r="S59" s="53">
        <v>0</v>
      </c>
      <c r="T59" s="102" t="str">
        <f t="shared" si="7"/>
        <v/>
      </c>
      <c r="U59" s="103" t="str">
        <f t="shared" si="8"/>
        <v/>
      </c>
      <c r="V59" s="53">
        <v>0</v>
      </c>
      <c r="W59" s="87" t="str">
        <f t="shared" si="9"/>
        <v/>
      </c>
      <c r="X59" s="103" t="str">
        <f t="shared" si="10"/>
        <v/>
      </c>
      <c r="Y59" s="53">
        <v>0</v>
      </c>
      <c r="Z59" s="56" t="str">
        <f t="shared" si="11"/>
        <v/>
      </c>
      <c r="AA59" s="56" t="str">
        <f t="shared" si="12"/>
        <v/>
      </c>
      <c r="AB59" s="56" t="str">
        <f t="shared" si="13"/>
        <v/>
      </c>
      <c r="AC59" s="56" t="str">
        <f t="shared" si="14"/>
        <v/>
      </c>
      <c r="AD59" s="56" t="str">
        <f t="shared" si="15"/>
        <v/>
      </c>
      <c r="AE59" s="40"/>
      <c r="AF59" s="40"/>
      <c r="AG59" s="40"/>
      <c r="AH59" s="56" t="str">
        <f t="shared" si="16"/>
        <v/>
      </c>
      <c r="AI59" s="54"/>
      <c r="AJ59" s="54"/>
      <c r="AK59" s="54"/>
      <c r="AL59" s="54"/>
      <c r="AM59" s="54"/>
    </row>
    <row r="60" spans="1:39">
      <c r="A60" s="95"/>
      <c r="B60" s="45" t="str" cm="1">
        <f t="array" ref="B60">IF(H60="PROJECT", CHAR(10) &amp; "- " &amp; _xlfn.TEXTJOIN(CHAR(10) &amp; "- ", TRUE, _xlfn._xlws.FILTER($I$9:$I$1000, ($C$9:$C$1000=C60) * ($H$9:$H$1000="Topic"))), "")</f>
        <v/>
      </c>
      <c r="C60" s="45">
        <f t="shared" si="0"/>
        <v>28</v>
      </c>
      <c r="D60" s="57"/>
      <c r="E60" s="58"/>
      <c r="F60" s="63"/>
      <c r="G60" s="60"/>
      <c r="H60" s="64"/>
      <c r="I60" s="61"/>
      <c r="J60" s="62"/>
      <c r="K60" s="120" t="str">
        <f t="shared" si="1"/>
        <v/>
      </c>
      <c r="L60" s="103" t="str">
        <f t="shared" si="2"/>
        <v/>
      </c>
      <c r="M60" s="52">
        <v>0</v>
      </c>
      <c r="N60" s="102" t="str">
        <f t="shared" si="3"/>
        <v/>
      </c>
      <c r="O60" s="103" t="str">
        <f t="shared" si="4"/>
        <v/>
      </c>
      <c r="P60" s="52">
        <v>0</v>
      </c>
      <c r="Q60" s="102" t="str">
        <f t="shared" si="5"/>
        <v/>
      </c>
      <c r="R60" s="103" t="str">
        <f t="shared" si="6"/>
        <v/>
      </c>
      <c r="S60" s="52">
        <v>0</v>
      </c>
      <c r="T60" s="102" t="str">
        <f t="shared" si="7"/>
        <v/>
      </c>
      <c r="U60" s="103" t="str">
        <f t="shared" si="8"/>
        <v/>
      </c>
      <c r="V60" s="52">
        <v>0</v>
      </c>
      <c r="W60" s="87" t="str">
        <f t="shared" si="9"/>
        <v/>
      </c>
      <c r="X60" s="103" t="str">
        <f t="shared" si="10"/>
        <v/>
      </c>
      <c r="Y60" s="52">
        <v>0</v>
      </c>
      <c r="Z60" s="56" t="str">
        <f t="shared" si="11"/>
        <v/>
      </c>
      <c r="AA60" s="56" t="str">
        <f t="shared" si="12"/>
        <v/>
      </c>
      <c r="AB60" s="56" t="str">
        <f t="shared" si="13"/>
        <v/>
      </c>
      <c r="AC60" s="56" t="str">
        <f t="shared" si="14"/>
        <v/>
      </c>
      <c r="AD60" s="56" t="str">
        <f t="shared" si="15"/>
        <v/>
      </c>
      <c r="AE60" s="40"/>
      <c r="AF60" s="40"/>
      <c r="AG60" s="40"/>
      <c r="AH60" s="56" t="str">
        <f t="shared" si="16"/>
        <v/>
      </c>
      <c r="AI60" s="54"/>
      <c r="AJ60" s="54"/>
      <c r="AK60" s="54"/>
      <c r="AL60" s="54"/>
      <c r="AM60" s="54"/>
    </row>
    <row r="61" spans="1:39">
      <c r="A61" s="95"/>
      <c r="B61" s="45" t="str" cm="1">
        <f t="array" ref="B61">IF(H61="PROJECT", CHAR(10) &amp; "- " &amp; _xlfn.TEXTJOIN(CHAR(10) &amp; "- ", TRUE, _xlfn._xlws.FILTER($I$9:$I$1000, ($C$9:$C$1000=C61) * ($H$9:$H$1000="Topic"))), "")</f>
        <v/>
      </c>
      <c r="C61" s="45">
        <f t="shared" si="0"/>
        <v>29</v>
      </c>
      <c r="D61" s="46"/>
      <c r="E61" s="58"/>
      <c r="F61" s="65"/>
      <c r="G61" s="49"/>
      <c r="H61" s="66"/>
      <c r="I61" s="50"/>
      <c r="J61" s="51"/>
      <c r="K61" s="120" t="str">
        <f t="shared" si="1"/>
        <v/>
      </c>
      <c r="L61" s="103" t="str">
        <f t="shared" si="2"/>
        <v/>
      </c>
      <c r="M61" s="53">
        <v>0</v>
      </c>
      <c r="N61" s="102" t="str">
        <f t="shared" si="3"/>
        <v/>
      </c>
      <c r="O61" s="103" t="str">
        <f t="shared" si="4"/>
        <v/>
      </c>
      <c r="P61" s="53">
        <v>0</v>
      </c>
      <c r="Q61" s="102" t="str">
        <f t="shared" si="5"/>
        <v/>
      </c>
      <c r="R61" s="103" t="str">
        <f t="shared" si="6"/>
        <v/>
      </c>
      <c r="S61" s="53">
        <v>0</v>
      </c>
      <c r="T61" s="102" t="str">
        <f t="shared" si="7"/>
        <v/>
      </c>
      <c r="U61" s="103" t="str">
        <f t="shared" si="8"/>
        <v/>
      </c>
      <c r="V61" s="53">
        <v>0</v>
      </c>
      <c r="W61" s="87" t="str">
        <f t="shared" si="9"/>
        <v/>
      </c>
      <c r="X61" s="103" t="str">
        <f t="shared" si="10"/>
        <v/>
      </c>
      <c r="Y61" s="53">
        <v>0</v>
      </c>
      <c r="Z61" s="56" t="str">
        <f t="shared" si="11"/>
        <v/>
      </c>
      <c r="AA61" s="56" t="str">
        <f t="shared" si="12"/>
        <v/>
      </c>
      <c r="AB61" s="56" t="str">
        <f t="shared" si="13"/>
        <v/>
      </c>
      <c r="AC61" s="56" t="str">
        <f t="shared" si="14"/>
        <v/>
      </c>
      <c r="AD61" s="56" t="str">
        <f t="shared" si="15"/>
        <v/>
      </c>
      <c r="AE61" s="40"/>
      <c r="AF61" s="40"/>
      <c r="AG61" s="40"/>
      <c r="AH61" s="56" t="str">
        <f t="shared" si="16"/>
        <v/>
      </c>
      <c r="AI61" s="54"/>
      <c r="AJ61" s="54"/>
      <c r="AK61" s="54"/>
      <c r="AL61" s="54"/>
      <c r="AM61" s="54"/>
    </row>
    <row r="62" spans="1:39">
      <c r="A62" s="95"/>
      <c r="B62" s="45" t="str" cm="1">
        <f t="array" ref="B62">IF(H62="PROJECT", CHAR(10) &amp; "- " &amp; _xlfn.TEXTJOIN(CHAR(10) &amp; "- ", TRUE, _xlfn._xlws.FILTER($I$9:$I$1000, ($C$9:$C$1000=C62) * ($H$9:$H$1000="Topic"))), "")</f>
        <v/>
      </c>
      <c r="C62" s="45">
        <f t="shared" si="0"/>
        <v>30</v>
      </c>
      <c r="D62" s="57"/>
      <c r="E62" s="58"/>
      <c r="F62" s="63"/>
      <c r="G62" s="60"/>
      <c r="H62" s="64"/>
      <c r="I62" s="61"/>
      <c r="J62" s="62"/>
      <c r="K62" s="120" t="str">
        <f t="shared" si="1"/>
        <v/>
      </c>
      <c r="L62" s="103" t="str">
        <f t="shared" si="2"/>
        <v/>
      </c>
      <c r="M62" s="52">
        <v>0</v>
      </c>
      <c r="N62" s="102" t="str">
        <f t="shared" si="3"/>
        <v/>
      </c>
      <c r="O62" s="103" t="str">
        <f t="shared" si="4"/>
        <v/>
      </c>
      <c r="P62" s="52">
        <v>0</v>
      </c>
      <c r="Q62" s="102" t="str">
        <f t="shared" si="5"/>
        <v/>
      </c>
      <c r="R62" s="103" t="str">
        <f t="shared" si="6"/>
        <v/>
      </c>
      <c r="S62" s="52">
        <v>0</v>
      </c>
      <c r="T62" s="102" t="str">
        <f t="shared" si="7"/>
        <v/>
      </c>
      <c r="U62" s="103" t="str">
        <f t="shared" si="8"/>
        <v/>
      </c>
      <c r="V62" s="52">
        <v>0</v>
      </c>
      <c r="W62" s="87" t="str">
        <f t="shared" si="9"/>
        <v/>
      </c>
      <c r="X62" s="103" t="str">
        <f t="shared" si="10"/>
        <v/>
      </c>
      <c r="Y62" s="52">
        <v>0</v>
      </c>
      <c r="Z62" s="56" t="str">
        <f t="shared" si="11"/>
        <v/>
      </c>
      <c r="AA62" s="56" t="str">
        <f t="shared" si="12"/>
        <v/>
      </c>
      <c r="AB62" s="56" t="str">
        <f t="shared" si="13"/>
        <v/>
      </c>
      <c r="AC62" s="56" t="str">
        <f t="shared" si="14"/>
        <v/>
      </c>
      <c r="AD62" s="56" t="str">
        <f t="shared" si="15"/>
        <v/>
      </c>
      <c r="AE62" s="40"/>
      <c r="AF62" s="40"/>
      <c r="AG62" s="40"/>
      <c r="AH62" s="56" t="str">
        <f t="shared" si="16"/>
        <v/>
      </c>
      <c r="AI62" s="54"/>
      <c r="AJ62" s="54"/>
      <c r="AK62" s="54"/>
      <c r="AL62" s="54"/>
      <c r="AM62" s="54"/>
    </row>
    <row r="63" spans="1:39">
      <c r="A63" s="95"/>
      <c r="B63" s="45" t="str" cm="1">
        <f t="array" ref="B63">IF(H63="PROJECT", CHAR(10) &amp; "- " &amp; _xlfn.TEXTJOIN(CHAR(10) &amp; "- ", TRUE, _xlfn._xlws.FILTER($I$9:$I$1000, ($C$9:$C$1000=C63) * ($H$9:$H$1000="Topic"))), "")</f>
        <v/>
      </c>
      <c r="C63" s="45">
        <f t="shared" si="0"/>
        <v>31</v>
      </c>
      <c r="D63" s="46"/>
      <c r="E63" s="58"/>
      <c r="F63" s="65"/>
      <c r="G63" s="49"/>
      <c r="H63" s="66"/>
      <c r="I63" s="50"/>
      <c r="J63" s="51"/>
      <c r="K63" s="120" t="str">
        <f t="shared" si="1"/>
        <v/>
      </c>
      <c r="L63" s="103" t="str">
        <f t="shared" si="2"/>
        <v/>
      </c>
      <c r="M63" s="53">
        <v>0</v>
      </c>
      <c r="N63" s="102" t="str">
        <f t="shared" si="3"/>
        <v/>
      </c>
      <c r="O63" s="103" t="str">
        <f t="shared" si="4"/>
        <v/>
      </c>
      <c r="P63" s="53">
        <v>0</v>
      </c>
      <c r="Q63" s="102" t="str">
        <f t="shared" si="5"/>
        <v/>
      </c>
      <c r="R63" s="103" t="str">
        <f t="shared" si="6"/>
        <v/>
      </c>
      <c r="S63" s="53">
        <v>0</v>
      </c>
      <c r="T63" s="102" t="str">
        <f t="shared" si="7"/>
        <v/>
      </c>
      <c r="U63" s="103" t="str">
        <f t="shared" si="8"/>
        <v/>
      </c>
      <c r="V63" s="53">
        <v>0</v>
      </c>
      <c r="W63" s="87" t="str">
        <f t="shared" si="9"/>
        <v/>
      </c>
      <c r="X63" s="103" t="str">
        <f t="shared" si="10"/>
        <v/>
      </c>
      <c r="Y63" s="53">
        <v>0</v>
      </c>
      <c r="Z63" s="56" t="str">
        <f t="shared" si="11"/>
        <v/>
      </c>
      <c r="AA63" s="56" t="str">
        <f t="shared" si="12"/>
        <v/>
      </c>
      <c r="AB63" s="56" t="str">
        <f t="shared" si="13"/>
        <v/>
      </c>
      <c r="AC63" s="56" t="str">
        <f t="shared" si="14"/>
        <v/>
      </c>
      <c r="AD63" s="56" t="str">
        <f t="shared" si="15"/>
        <v/>
      </c>
      <c r="AE63" s="40"/>
      <c r="AF63" s="40"/>
      <c r="AG63" s="40"/>
      <c r="AH63" s="56" t="str">
        <f t="shared" si="16"/>
        <v/>
      </c>
      <c r="AI63" s="54"/>
      <c r="AJ63" s="54"/>
      <c r="AK63" s="54"/>
      <c r="AL63" s="54"/>
      <c r="AM63" s="54"/>
    </row>
    <row r="64" spans="1:39">
      <c r="A64" s="95"/>
      <c r="B64" s="45" t="str" cm="1">
        <f t="array" ref="B64">IF(H64="PROJECT", CHAR(10) &amp; "- " &amp; _xlfn.TEXTJOIN(CHAR(10) &amp; "- ", TRUE, _xlfn._xlws.FILTER($I$9:$I$1000, ($C$9:$C$1000=C64) * ($H$9:$H$1000="Topic"))), "")</f>
        <v/>
      </c>
      <c r="C64" s="45">
        <f t="shared" si="0"/>
        <v>32</v>
      </c>
      <c r="D64" s="57"/>
      <c r="E64" s="58"/>
      <c r="F64" s="63"/>
      <c r="G64" s="60"/>
      <c r="H64" s="64"/>
      <c r="I64" s="61"/>
      <c r="J64" s="62"/>
      <c r="K64" s="120" t="str">
        <f t="shared" si="1"/>
        <v/>
      </c>
      <c r="L64" s="103" t="str">
        <f t="shared" si="2"/>
        <v/>
      </c>
      <c r="M64" s="52">
        <v>0</v>
      </c>
      <c r="N64" s="102" t="str">
        <f t="shared" si="3"/>
        <v/>
      </c>
      <c r="O64" s="103" t="str">
        <f t="shared" si="4"/>
        <v/>
      </c>
      <c r="P64" s="52">
        <v>0</v>
      </c>
      <c r="Q64" s="102" t="str">
        <f t="shared" si="5"/>
        <v/>
      </c>
      <c r="R64" s="103" t="str">
        <f t="shared" si="6"/>
        <v/>
      </c>
      <c r="S64" s="52">
        <v>0</v>
      </c>
      <c r="T64" s="102" t="str">
        <f t="shared" si="7"/>
        <v/>
      </c>
      <c r="U64" s="103" t="str">
        <f t="shared" si="8"/>
        <v/>
      </c>
      <c r="V64" s="52">
        <v>0</v>
      </c>
      <c r="W64" s="87" t="str">
        <f t="shared" si="9"/>
        <v/>
      </c>
      <c r="X64" s="103" t="str">
        <f t="shared" si="10"/>
        <v/>
      </c>
      <c r="Y64" s="52">
        <v>0</v>
      </c>
      <c r="Z64" s="56" t="str">
        <f t="shared" si="11"/>
        <v/>
      </c>
      <c r="AA64" s="56" t="str">
        <f t="shared" si="12"/>
        <v/>
      </c>
      <c r="AB64" s="56" t="str">
        <f t="shared" si="13"/>
        <v/>
      </c>
      <c r="AC64" s="56" t="str">
        <f t="shared" si="14"/>
        <v/>
      </c>
      <c r="AD64" s="56" t="str">
        <f t="shared" si="15"/>
        <v/>
      </c>
      <c r="AE64" s="40"/>
      <c r="AF64" s="40"/>
      <c r="AG64" s="40"/>
      <c r="AH64" s="56" t="str">
        <f t="shared" si="16"/>
        <v/>
      </c>
      <c r="AI64" s="54"/>
      <c r="AJ64" s="54"/>
      <c r="AK64" s="54"/>
      <c r="AL64" s="54"/>
      <c r="AM64" s="54"/>
    </row>
    <row r="65" spans="1:39">
      <c r="A65" s="95"/>
      <c r="B65" s="45" t="str" cm="1">
        <f t="array" ref="B65">IF(H65="PROJECT", CHAR(10) &amp; "- " &amp; _xlfn.TEXTJOIN(CHAR(10) &amp; "- ", TRUE, _xlfn._xlws.FILTER($I$9:$I$1000, ($C$9:$C$1000=C65) * ($H$9:$H$1000="Topic"))), "")</f>
        <v/>
      </c>
      <c r="C65" s="45">
        <f t="shared" si="0"/>
        <v>33</v>
      </c>
      <c r="D65" s="46"/>
      <c r="E65" s="58"/>
      <c r="F65" s="65"/>
      <c r="G65" s="49"/>
      <c r="H65" s="66"/>
      <c r="I65" s="50"/>
      <c r="J65" s="51"/>
      <c r="K65" s="120" t="str">
        <f t="shared" si="1"/>
        <v/>
      </c>
      <c r="L65" s="103" t="str">
        <f t="shared" si="2"/>
        <v/>
      </c>
      <c r="M65" s="53">
        <v>0</v>
      </c>
      <c r="N65" s="102" t="str">
        <f t="shared" si="3"/>
        <v/>
      </c>
      <c r="O65" s="103" t="str">
        <f t="shared" si="4"/>
        <v/>
      </c>
      <c r="P65" s="53">
        <v>0</v>
      </c>
      <c r="Q65" s="102" t="str">
        <f t="shared" si="5"/>
        <v/>
      </c>
      <c r="R65" s="103" t="str">
        <f t="shared" si="6"/>
        <v/>
      </c>
      <c r="S65" s="53">
        <v>0</v>
      </c>
      <c r="T65" s="102" t="str">
        <f t="shared" si="7"/>
        <v/>
      </c>
      <c r="U65" s="103" t="str">
        <f t="shared" si="8"/>
        <v/>
      </c>
      <c r="V65" s="53">
        <v>0</v>
      </c>
      <c r="W65" s="87" t="str">
        <f t="shared" si="9"/>
        <v/>
      </c>
      <c r="X65" s="103" t="str">
        <f t="shared" si="10"/>
        <v/>
      </c>
      <c r="Y65" s="53">
        <v>0</v>
      </c>
      <c r="Z65" s="56" t="str">
        <f t="shared" si="11"/>
        <v/>
      </c>
      <c r="AA65" s="56" t="str">
        <f t="shared" si="12"/>
        <v/>
      </c>
      <c r="AB65" s="56" t="str">
        <f t="shared" si="13"/>
        <v/>
      </c>
      <c r="AC65" s="56" t="str">
        <f t="shared" si="14"/>
        <v/>
      </c>
      <c r="AD65" s="56" t="str">
        <f t="shared" si="15"/>
        <v/>
      </c>
      <c r="AE65" s="40"/>
      <c r="AF65" s="40"/>
      <c r="AG65" s="40"/>
      <c r="AH65" s="56" t="str">
        <f t="shared" si="16"/>
        <v/>
      </c>
      <c r="AI65" s="54"/>
      <c r="AJ65" s="54"/>
      <c r="AK65" s="54"/>
      <c r="AL65" s="54"/>
      <c r="AM65" s="54"/>
    </row>
    <row r="66" spans="1:39">
      <c r="A66" s="95"/>
      <c r="B66" s="45" t="str" cm="1">
        <f t="array" ref="B66">IF(H66="PROJECT", CHAR(10) &amp; "- " &amp; _xlfn.TEXTJOIN(CHAR(10) &amp; "- ", TRUE, _xlfn._xlws.FILTER($I$9:$I$1000, ($C$9:$C$1000=C66) * ($H$9:$H$1000="Topic"))), "")</f>
        <v/>
      </c>
      <c r="C66" s="45">
        <f t="shared" si="0"/>
        <v>34</v>
      </c>
      <c r="D66" s="57"/>
      <c r="E66" s="58"/>
      <c r="F66" s="63"/>
      <c r="G66" s="60"/>
      <c r="H66" s="64"/>
      <c r="I66" s="61"/>
      <c r="J66" s="62"/>
      <c r="K66" s="120" t="str">
        <f t="shared" si="1"/>
        <v/>
      </c>
      <c r="L66" s="103" t="str">
        <f t="shared" si="2"/>
        <v/>
      </c>
      <c r="M66" s="52">
        <v>0</v>
      </c>
      <c r="N66" s="102" t="str">
        <f t="shared" si="3"/>
        <v/>
      </c>
      <c r="O66" s="103" t="str">
        <f t="shared" si="4"/>
        <v/>
      </c>
      <c r="P66" s="52">
        <v>0</v>
      </c>
      <c r="Q66" s="102" t="str">
        <f t="shared" si="5"/>
        <v/>
      </c>
      <c r="R66" s="103" t="str">
        <f t="shared" si="6"/>
        <v/>
      </c>
      <c r="S66" s="52">
        <v>0</v>
      </c>
      <c r="T66" s="102" t="str">
        <f t="shared" si="7"/>
        <v/>
      </c>
      <c r="U66" s="103" t="str">
        <f t="shared" si="8"/>
        <v/>
      </c>
      <c r="V66" s="52">
        <v>0</v>
      </c>
      <c r="W66" s="87" t="str">
        <f t="shared" si="9"/>
        <v/>
      </c>
      <c r="X66" s="103" t="str">
        <f t="shared" si="10"/>
        <v/>
      </c>
      <c r="Y66" s="52">
        <v>0</v>
      </c>
      <c r="Z66" s="56" t="str">
        <f t="shared" si="11"/>
        <v/>
      </c>
      <c r="AA66" s="56" t="str">
        <f t="shared" si="12"/>
        <v/>
      </c>
      <c r="AB66" s="56" t="str">
        <f t="shared" si="13"/>
        <v/>
      </c>
      <c r="AC66" s="56" t="str">
        <f t="shared" si="14"/>
        <v/>
      </c>
      <c r="AD66" s="56" t="str">
        <f t="shared" si="15"/>
        <v/>
      </c>
      <c r="AE66" s="40"/>
      <c r="AF66" s="40"/>
      <c r="AG66" s="40"/>
      <c r="AH66" s="56" t="str">
        <f t="shared" si="16"/>
        <v/>
      </c>
      <c r="AI66" s="54"/>
      <c r="AJ66" s="54"/>
      <c r="AK66" s="54"/>
      <c r="AL66" s="54"/>
      <c r="AM66" s="54"/>
    </row>
    <row r="67" spans="1:39">
      <c r="A67" s="95"/>
      <c r="B67" s="45" t="str" cm="1">
        <f t="array" ref="B67">IF(H67="PROJECT", CHAR(10) &amp; "- " &amp; _xlfn.TEXTJOIN(CHAR(10) &amp; "- ", TRUE, _xlfn._xlws.FILTER($I$9:$I$1000, ($C$9:$C$1000=C67) * ($H$9:$H$1000="Topic"))), "")</f>
        <v/>
      </c>
      <c r="C67" s="45">
        <f t="shared" si="0"/>
        <v>35</v>
      </c>
      <c r="D67" s="46"/>
      <c r="E67" s="58"/>
      <c r="F67" s="65"/>
      <c r="G67" s="49"/>
      <c r="H67" s="66"/>
      <c r="I67" s="50"/>
      <c r="J67" s="51"/>
      <c r="K67" s="120" t="str">
        <f t="shared" si="1"/>
        <v/>
      </c>
      <c r="L67" s="103" t="str">
        <f t="shared" si="2"/>
        <v/>
      </c>
      <c r="M67" s="53">
        <v>0</v>
      </c>
      <c r="N67" s="102" t="str">
        <f t="shared" si="3"/>
        <v/>
      </c>
      <c r="O67" s="103" t="str">
        <f t="shared" si="4"/>
        <v/>
      </c>
      <c r="P67" s="53">
        <v>0</v>
      </c>
      <c r="Q67" s="102" t="str">
        <f t="shared" si="5"/>
        <v/>
      </c>
      <c r="R67" s="103" t="str">
        <f t="shared" si="6"/>
        <v/>
      </c>
      <c r="S67" s="53">
        <v>0</v>
      </c>
      <c r="T67" s="102" t="str">
        <f t="shared" si="7"/>
        <v/>
      </c>
      <c r="U67" s="103" t="str">
        <f t="shared" si="8"/>
        <v/>
      </c>
      <c r="V67" s="53">
        <v>0</v>
      </c>
      <c r="W67" s="87" t="str">
        <f t="shared" si="9"/>
        <v/>
      </c>
      <c r="X67" s="103" t="str">
        <f t="shared" si="10"/>
        <v/>
      </c>
      <c r="Y67" s="53">
        <v>0</v>
      </c>
      <c r="Z67" s="56" t="str">
        <f t="shared" si="11"/>
        <v/>
      </c>
      <c r="AA67" s="56" t="str">
        <f t="shared" si="12"/>
        <v/>
      </c>
      <c r="AB67" s="56" t="str">
        <f t="shared" si="13"/>
        <v/>
      </c>
      <c r="AC67" s="56" t="str">
        <f t="shared" si="14"/>
        <v/>
      </c>
      <c r="AD67" s="56" t="str">
        <f t="shared" si="15"/>
        <v/>
      </c>
      <c r="AE67" s="40"/>
      <c r="AF67" s="40"/>
      <c r="AG67" s="40"/>
      <c r="AH67" s="56" t="str">
        <f t="shared" si="16"/>
        <v/>
      </c>
      <c r="AI67" s="54"/>
      <c r="AJ67" s="54"/>
      <c r="AK67" s="54"/>
      <c r="AL67" s="54"/>
      <c r="AM67" s="54"/>
    </row>
    <row r="68" spans="1:39">
      <c r="A68" s="95"/>
      <c r="B68" s="45" t="str" cm="1">
        <f t="array" ref="B68">IF(H68="PROJECT", CHAR(10) &amp; "- " &amp; _xlfn.TEXTJOIN(CHAR(10) &amp; "- ", TRUE, _xlfn._xlws.FILTER($I$9:$I$1000, ($C$9:$C$1000=C68) * ($H$9:$H$1000="Topic"))), "")</f>
        <v/>
      </c>
      <c r="C68" s="45">
        <f t="shared" si="0"/>
        <v>36</v>
      </c>
      <c r="D68" s="57"/>
      <c r="E68" s="58"/>
      <c r="F68" s="63"/>
      <c r="G68" s="60"/>
      <c r="H68" s="60"/>
      <c r="I68" s="61"/>
      <c r="J68" s="62"/>
      <c r="K68" s="120" t="str">
        <f t="shared" si="1"/>
        <v/>
      </c>
      <c r="L68" s="103" t="str">
        <f t="shared" si="2"/>
        <v/>
      </c>
      <c r="M68" s="52">
        <v>0</v>
      </c>
      <c r="N68" s="102" t="str">
        <f t="shared" si="3"/>
        <v/>
      </c>
      <c r="O68" s="103" t="str">
        <f t="shared" si="4"/>
        <v/>
      </c>
      <c r="P68" s="52">
        <v>0</v>
      </c>
      <c r="Q68" s="102" t="str">
        <f t="shared" si="5"/>
        <v/>
      </c>
      <c r="R68" s="103" t="str">
        <f t="shared" si="6"/>
        <v/>
      </c>
      <c r="S68" s="52">
        <v>0</v>
      </c>
      <c r="T68" s="102" t="str">
        <f t="shared" si="7"/>
        <v/>
      </c>
      <c r="U68" s="103" t="str">
        <f t="shared" si="8"/>
        <v/>
      </c>
      <c r="V68" s="52">
        <v>0</v>
      </c>
      <c r="W68" s="87" t="str">
        <f t="shared" si="9"/>
        <v/>
      </c>
      <c r="X68" s="103" t="str">
        <f t="shared" si="10"/>
        <v/>
      </c>
      <c r="Y68" s="52">
        <v>0</v>
      </c>
      <c r="Z68" s="56" t="str">
        <f t="shared" si="11"/>
        <v/>
      </c>
      <c r="AA68" s="56" t="str">
        <f t="shared" si="12"/>
        <v/>
      </c>
      <c r="AB68" s="56" t="str">
        <f t="shared" si="13"/>
        <v/>
      </c>
      <c r="AC68" s="56" t="str">
        <f t="shared" si="14"/>
        <v/>
      </c>
      <c r="AD68" s="56" t="str">
        <f t="shared" si="15"/>
        <v/>
      </c>
      <c r="AE68" s="40"/>
      <c r="AF68" s="40"/>
      <c r="AG68" s="40"/>
      <c r="AH68" s="56" t="str">
        <f t="shared" si="16"/>
        <v/>
      </c>
      <c r="AI68" s="54"/>
      <c r="AJ68" s="54"/>
      <c r="AK68" s="54"/>
      <c r="AL68" s="54"/>
      <c r="AM68" s="54"/>
    </row>
    <row r="69" spans="1:39">
      <c r="A69" s="95"/>
      <c r="B69" s="45" t="str" cm="1">
        <f t="array" ref="B69">IF(H69="PROJECT", CHAR(10) &amp; "- " &amp; _xlfn.TEXTJOIN(CHAR(10) &amp; "- ", TRUE, _xlfn._xlws.FILTER($I$9:$I$1000, ($C$9:$C$1000=C69) * ($H$9:$H$1000="Topic"))), "")</f>
        <v/>
      </c>
      <c r="C69" s="45">
        <f t="shared" si="0"/>
        <v>37</v>
      </c>
      <c r="D69" s="46"/>
      <c r="E69" s="58"/>
      <c r="F69" s="65"/>
      <c r="G69" s="49"/>
      <c r="H69" s="66"/>
      <c r="I69" s="50"/>
      <c r="J69" s="51"/>
      <c r="K69" s="120" t="str">
        <f t="shared" si="1"/>
        <v/>
      </c>
      <c r="L69" s="103" t="str">
        <f t="shared" si="2"/>
        <v/>
      </c>
      <c r="M69" s="53">
        <v>0</v>
      </c>
      <c r="N69" s="102" t="str">
        <f t="shared" si="3"/>
        <v/>
      </c>
      <c r="O69" s="103" t="str">
        <f t="shared" si="4"/>
        <v/>
      </c>
      <c r="P69" s="53">
        <v>0</v>
      </c>
      <c r="Q69" s="102" t="str">
        <f t="shared" si="5"/>
        <v/>
      </c>
      <c r="R69" s="103" t="str">
        <f t="shared" si="6"/>
        <v/>
      </c>
      <c r="S69" s="53">
        <v>0</v>
      </c>
      <c r="T69" s="102" t="str">
        <f t="shared" si="7"/>
        <v/>
      </c>
      <c r="U69" s="103" t="str">
        <f t="shared" si="8"/>
        <v/>
      </c>
      <c r="V69" s="53">
        <v>0</v>
      </c>
      <c r="W69" s="87" t="str">
        <f t="shared" si="9"/>
        <v/>
      </c>
      <c r="X69" s="103" t="str">
        <f t="shared" si="10"/>
        <v/>
      </c>
      <c r="Y69" s="53">
        <v>0</v>
      </c>
      <c r="Z69" s="56" t="str">
        <f t="shared" si="11"/>
        <v/>
      </c>
      <c r="AA69" s="56" t="str">
        <f t="shared" si="12"/>
        <v/>
      </c>
      <c r="AB69" s="56" t="str">
        <f t="shared" si="13"/>
        <v/>
      </c>
      <c r="AC69" s="56" t="str">
        <f t="shared" si="14"/>
        <v/>
      </c>
      <c r="AD69" s="56" t="str">
        <f t="shared" si="15"/>
        <v/>
      </c>
      <c r="AE69" s="40"/>
      <c r="AF69" s="40"/>
      <c r="AG69" s="40"/>
      <c r="AH69" s="56" t="str">
        <f t="shared" si="16"/>
        <v/>
      </c>
      <c r="AI69" s="54"/>
      <c r="AJ69" s="54"/>
      <c r="AK69" s="54"/>
      <c r="AL69" s="54"/>
      <c r="AM69" s="54"/>
    </row>
    <row r="70" spans="1:39">
      <c r="A70" s="95"/>
      <c r="B70" s="45" t="str" cm="1">
        <f t="array" ref="B70">IF(H70="PROJECT", CHAR(10) &amp; "- " &amp; _xlfn.TEXTJOIN(CHAR(10) &amp; "- ", TRUE, _xlfn._xlws.FILTER($I$9:$I$1000, ($C$9:$C$1000=C70) * ($H$9:$H$1000="Topic"))), "")</f>
        <v/>
      </c>
      <c r="C70" s="45">
        <f t="shared" si="0"/>
        <v>38</v>
      </c>
      <c r="D70" s="57"/>
      <c r="E70" s="58"/>
      <c r="F70" s="63"/>
      <c r="G70" s="60"/>
      <c r="H70" s="64"/>
      <c r="I70" s="61"/>
      <c r="J70" s="62"/>
      <c r="K70" s="120" t="str">
        <f t="shared" si="1"/>
        <v/>
      </c>
      <c r="L70" s="103" t="str">
        <f t="shared" si="2"/>
        <v/>
      </c>
      <c r="M70" s="52">
        <v>0</v>
      </c>
      <c r="N70" s="102" t="str">
        <f t="shared" si="3"/>
        <v/>
      </c>
      <c r="O70" s="103" t="str">
        <f t="shared" si="4"/>
        <v/>
      </c>
      <c r="P70" s="52">
        <v>0</v>
      </c>
      <c r="Q70" s="102" t="str">
        <f t="shared" si="5"/>
        <v/>
      </c>
      <c r="R70" s="103" t="str">
        <f t="shared" si="6"/>
        <v/>
      </c>
      <c r="S70" s="52">
        <v>0</v>
      </c>
      <c r="T70" s="102" t="str">
        <f t="shared" si="7"/>
        <v/>
      </c>
      <c r="U70" s="103" t="str">
        <f t="shared" si="8"/>
        <v/>
      </c>
      <c r="V70" s="52">
        <v>0</v>
      </c>
      <c r="W70" s="87" t="str">
        <f t="shared" si="9"/>
        <v/>
      </c>
      <c r="X70" s="103" t="str">
        <f t="shared" si="10"/>
        <v/>
      </c>
      <c r="Y70" s="52">
        <v>0</v>
      </c>
      <c r="Z70" s="56" t="str">
        <f t="shared" si="11"/>
        <v/>
      </c>
      <c r="AA70" s="56" t="str">
        <f t="shared" si="12"/>
        <v/>
      </c>
      <c r="AB70" s="56" t="str">
        <f t="shared" si="13"/>
        <v/>
      </c>
      <c r="AC70" s="56" t="str">
        <f t="shared" si="14"/>
        <v/>
      </c>
      <c r="AD70" s="56" t="str">
        <f t="shared" si="15"/>
        <v/>
      </c>
      <c r="AE70" s="40"/>
      <c r="AF70" s="40"/>
      <c r="AG70" s="40"/>
      <c r="AH70" s="56" t="str">
        <f t="shared" si="16"/>
        <v/>
      </c>
      <c r="AI70" s="54"/>
      <c r="AJ70" s="54"/>
      <c r="AK70" s="54"/>
      <c r="AL70" s="54"/>
      <c r="AM70" s="54"/>
    </row>
    <row r="71" spans="1:39">
      <c r="A71" s="95"/>
      <c r="B71" s="45" t="str" cm="1">
        <f t="array" ref="B71">IF(H71="PROJECT", CHAR(10) &amp; "- " &amp; _xlfn.TEXTJOIN(CHAR(10) &amp; "- ", TRUE, _xlfn._xlws.FILTER($I$9:$I$1000, ($C$9:$C$1000=C71) * ($H$9:$H$1000="Topic"))), "")</f>
        <v/>
      </c>
      <c r="C71" s="45">
        <f t="shared" si="0"/>
        <v>39</v>
      </c>
      <c r="D71" s="46"/>
      <c r="E71" s="58"/>
      <c r="F71" s="65"/>
      <c r="G71" s="49"/>
      <c r="H71" s="66"/>
      <c r="I71" s="50"/>
      <c r="J71" s="51"/>
      <c r="K71" s="120" t="str">
        <f t="shared" si="1"/>
        <v/>
      </c>
      <c r="L71" s="103" t="str">
        <f t="shared" si="2"/>
        <v/>
      </c>
      <c r="M71" s="53">
        <v>0</v>
      </c>
      <c r="N71" s="102" t="str">
        <f t="shared" si="3"/>
        <v/>
      </c>
      <c r="O71" s="103" t="str">
        <f t="shared" si="4"/>
        <v/>
      </c>
      <c r="P71" s="53">
        <v>0</v>
      </c>
      <c r="Q71" s="102" t="str">
        <f t="shared" si="5"/>
        <v/>
      </c>
      <c r="R71" s="103" t="str">
        <f t="shared" si="6"/>
        <v/>
      </c>
      <c r="S71" s="53">
        <v>0</v>
      </c>
      <c r="T71" s="102" t="str">
        <f t="shared" si="7"/>
        <v/>
      </c>
      <c r="U71" s="103" t="str">
        <f t="shared" si="8"/>
        <v/>
      </c>
      <c r="V71" s="53">
        <v>0</v>
      </c>
      <c r="W71" s="87" t="str">
        <f t="shared" si="9"/>
        <v/>
      </c>
      <c r="X71" s="103" t="str">
        <f t="shared" si="10"/>
        <v/>
      </c>
      <c r="Y71" s="53">
        <v>0</v>
      </c>
      <c r="Z71" s="56" t="str">
        <f t="shared" si="11"/>
        <v/>
      </c>
      <c r="AA71" s="56" t="str">
        <f t="shared" si="12"/>
        <v/>
      </c>
      <c r="AB71" s="56" t="str">
        <f t="shared" si="13"/>
        <v/>
      </c>
      <c r="AC71" s="56" t="str">
        <f t="shared" si="14"/>
        <v/>
      </c>
      <c r="AD71" s="56" t="str">
        <f t="shared" si="15"/>
        <v/>
      </c>
      <c r="AE71" s="40"/>
      <c r="AF71" s="40"/>
      <c r="AG71" s="40"/>
      <c r="AH71" s="56" t="str">
        <f t="shared" si="16"/>
        <v/>
      </c>
      <c r="AI71" s="54"/>
      <c r="AJ71" s="54"/>
      <c r="AK71" s="54"/>
      <c r="AL71" s="54"/>
      <c r="AM71" s="54"/>
    </row>
    <row r="72" spans="1:39">
      <c r="A72" s="95"/>
      <c r="B72" s="45" t="str" cm="1">
        <f t="array" ref="B72">IF(H72="PROJECT", CHAR(10) &amp; "- " &amp; _xlfn.TEXTJOIN(CHAR(10) &amp; "- ", TRUE, _xlfn._xlws.FILTER($I$9:$I$1000, ($C$9:$C$1000=C72) * ($H$9:$H$1000="Topic"))), "")</f>
        <v/>
      </c>
      <c r="C72" s="45">
        <f t="shared" si="0"/>
        <v>40</v>
      </c>
      <c r="D72" s="57"/>
      <c r="E72" s="58"/>
      <c r="F72" s="63"/>
      <c r="G72" s="60"/>
      <c r="H72" s="64"/>
      <c r="I72" s="61"/>
      <c r="J72" s="62"/>
      <c r="K72" s="120" t="str">
        <f t="shared" si="1"/>
        <v/>
      </c>
      <c r="L72" s="103" t="str">
        <f t="shared" si="2"/>
        <v/>
      </c>
      <c r="M72" s="52">
        <v>0</v>
      </c>
      <c r="N72" s="102" t="str">
        <f t="shared" si="3"/>
        <v/>
      </c>
      <c r="O72" s="103" t="str">
        <f t="shared" si="4"/>
        <v/>
      </c>
      <c r="P72" s="52">
        <v>0</v>
      </c>
      <c r="Q72" s="102" t="str">
        <f t="shared" si="5"/>
        <v/>
      </c>
      <c r="R72" s="103" t="str">
        <f t="shared" si="6"/>
        <v/>
      </c>
      <c r="S72" s="52">
        <v>0</v>
      </c>
      <c r="T72" s="102" t="str">
        <f t="shared" si="7"/>
        <v/>
      </c>
      <c r="U72" s="103" t="str">
        <f t="shared" si="8"/>
        <v/>
      </c>
      <c r="V72" s="52">
        <v>0</v>
      </c>
      <c r="W72" s="87" t="str">
        <f t="shared" si="9"/>
        <v/>
      </c>
      <c r="X72" s="103" t="str">
        <f t="shared" si="10"/>
        <v/>
      </c>
      <c r="Y72" s="52">
        <v>0</v>
      </c>
      <c r="Z72" s="56" t="str">
        <f t="shared" si="11"/>
        <v/>
      </c>
      <c r="AA72" s="56" t="str">
        <f t="shared" si="12"/>
        <v/>
      </c>
      <c r="AB72" s="56" t="str">
        <f t="shared" si="13"/>
        <v/>
      </c>
      <c r="AC72" s="56" t="str">
        <f t="shared" si="14"/>
        <v/>
      </c>
      <c r="AD72" s="56" t="str">
        <f t="shared" si="15"/>
        <v/>
      </c>
      <c r="AE72" s="40"/>
      <c r="AF72" s="40"/>
      <c r="AG72" s="40"/>
      <c r="AH72" s="56" t="str">
        <f t="shared" si="16"/>
        <v/>
      </c>
      <c r="AI72" s="54"/>
      <c r="AJ72" s="54"/>
      <c r="AK72" s="54"/>
      <c r="AL72" s="54"/>
      <c r="AM72" s="54"/>
    </row>
    <row r="73" spans="1:39">
      <c r="A73" s="95"/>
      <c r="B73" s="45" t="str" cm="1">
        <f t="array" ref="B73">IF(H73="PROJECT", CHAR(10) &amp; "- " &amp; _xlfn.TEXTJOIN(CHAR(10) &amp; "- ", TRUE, _xlfn._xlws.FILTER($I$9:$I$1000, ($C$9:$C$1000=C73) * ($H$9:$H$1000="Topic"))), "")</f>
        <v/>
      </c>
      <c r="C73" s="45">
        <f t="shared" ref="C73:C136" si="17">IF(AND(H73="Topic",H72="PROJECT"),C72+1,IF(H73="PROJECT",C72,IF(AND(H73="Topic",H72="Topic"),C72,C72+1)))</f>
        <v>41</v>
      </c>
      <c r="D73" s="46"/>
      <c r="E73" s="58"/>
      <c r="F73" s="67"/>
      <c r="G73" s="53"/>
      <c r="H73" s="49"/>
      <c r="I73" s="50"/>
      <c r="J73" s="51"/>
      <c r="K73" s="120" t="str">
        <f t="shared" si="1"/>
        <v/>
      </c>
      <c r="L73" s="103" t="str">
        <f t="shared" si="2"/>
        <v/>
      </c>
      <c r="M73" s="53">
        <v>0</v>
      </c>
      <c r="N73" s="102" t="str">
        <f t="shared" si="3"/>
        <v/>
      </c>
      <c r="O73" s="103" t="str">
        <f t="shared" si="4"/>
        <v/>
      </c>
      <c r="P73" s="53">
        <v>0</v>
      </c>
      <c r="Q73" s="102" t="str">
        <f t="shared" si="5"/>
        <v/>
      </c>
      <c r="R73" s="103" t="str">
        <f t="shared" si="6"/>
        <v/>
      </c>
      <c r="S73" s="53">
        <v>0</v>
      </c>
      <c r="T73" s="102" t="str">
        <f t="shared" si="7"/>
        <v/>
      </c>
      <c r="U73" s="103" t="str">
        <f t="shared" si="8"/>
        <v/>
      </c>
      <c r="V73" s="53">
        <v>0</v>
      </c>
      <c r="W73" s="87" t="str">
        <f t="shared" si="9"/>
        <v/>
      </c>
      <c r="X73" s="103" t="str">
        <f t="shared" si="10"/>
        <v/>
      </c>
      <c r="Y73" s="53">
        <v>0</v>
      </c>
      <c r="Z73" s="56" t="str">
        <f t="shared" si="11"/>
        <v/>
      </c>
      <c r="AA73" s="56" t="str">
        <f t="shared" si="12"/>
        <v/>
      </c>
      <c r="AB73" s="56" t="str">
        <f t="shared" si="13"/>
        <v/>
      </c>
      <c r="AC73" s="56" t="str">
        <f t="shared" si="14"/>
        <v/>
      </c>
      <c r="AD73" s="56" t="str">
        <f t="shared" si="15"/>
        <v/>
      </c>
      <c r="AE73" s="40"/>
      <c r="AF73" s="40"/>
      <c r="AG73" s="40"/>
      <c r="AH73" s="56" t="str">
        <f t="shared" si="16"/>
        <v/>
      </c>
      <c r="AI73" s="54"/>
      <c r="AJ73" s="54"/>
      <c r="AK73" s="54"/>
      <c r="AL73" s="54"/>
      <c r="AM73" s="54"/>
    </row>
    <row r="74" spans="1:39">
      <c r="A74" s="95"/>
      <c r="B74" s="45" t="str" cm="1">
        <f t="array" ref="B74">IF(H74="PROJECT", CHAR(10) &amp; "- " &amp; _xlfn.TEXTJOIN(CHAR(10) &amp; "- ", TRUE, _xlfn._xlws.FILTER($I$9:$I$1000, ($C$9:$C$1000=C74) * ($H$9:$H$1000="Topic"))), "")</f>
        <v/>
      </c>
      <c r="C74" s="45">
        <f t="shared" si="17"/>
        <v>42</v>
      </c>
      <c r="D74" s="57"/>
      <c r="E74" s="58"/>
      <c r="F74" s="54"/>
      <c r="G74" s="52"/>
      <c r="H74" s="52"/>
      <c r="I74" s="61"/>
      <c r="J74" s="62"/>
      <c r="K74" s="120" t="str">
        <f t="shared" ref="K74:K137" si="18">IF(H74="Topic",
"[ROLE] Friendly tutor specializing in " &amp; $I$2 &amp; " | " &amp;
"[TOPIC] " &amp; I74 &amp; " | " &amp;
"[LEVEL] " &amp; G74 &amp; " | " &amp;
"[COUNT] " &amp; D74 &amp; " examples | " &amp;
"[LIBRARY BEING LEARNED] " &amp; $I$3 &amp; " | " &amp;
_xlfn._LONGTEXT("[ECOSYSTEM ORIENTATION RULE] If a module or ecosystem like GenServer, Supervisor, Registry, or DynamicSupervisor is specified in , you are CRITICALLY FORBIDDEN from using manual process linking (spawn/1, spawn_link/1) outside standard OTP behaviors. You M","UST enforce the concurrent asynchronous processes and proper Supervisor tree state isolation and data structures of that specific library.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"[EXECUTIVE CONSTRAINTS] Each example MUST include: - Internal data OR dataset usage - Print key intermediate steps and the final result - MUST NOT exceed exactly " &amp; $A74 &amp; " lines of EXECUTABLE code (STRICT: Do NOT count comments or blank lines). - NEVER exceed this limit. | " &amp;
"[FUNCTION RULE] Rule: " &amp; IF(G74="Beginner","Focus on basic GenServer implementations with simple init/1 and synchronous handle_call/3 callbacks.", IF(G74="Intermediate", "Integrate GenServer within a Supervisor tree. Use asynchronous handle_cast/2 and explicit state transitions.", "stateful GenServer state or external message passing")) &amp; " | " &amp;
"[CODE_CONSTRAINTS_RULE] Each example MUST: - Use stateful GenServer state or external message passing - Print steps &amp; result via Logger.info/debug or IO.inspect inside isolated process callbacks - MAX " &amp; $A74 &amp; " executable lines (comments/blanks excluded) - NEVER exceed limit. | " &amp;
"[I_O_PARADIGM] Use standard OTP message passing via send/2 or GenServer.call/3 and gracefully handle {:reply, response, new_state}, {:noreply, new_state}, and {:ok, state} tuples when applicable. | " &amp;
"[INLINE_PACKAGE_MANAGER] If using external packages, use Standard mix.exs dependencies list (defp deps do [{:package_name, '~&gt; version'}] end) at the top of the code block. Assume no project configuration file exists. | " &amp;
_xlfn._LONGTEXT("[TESTING_FRAMEWORK_LIMITS] For ExUnit with isolated async processes (use ExUnit.Case, async: true), NEVER use manual process link hacking outside of standard OTP abstractions. Use standard test macros and assert_receive/assert_received for message validat","ion, as manual process link hacking outside of standard OTP abstractions fail in standalone execution environments. | ") &amp;
"[CODE QUALITY RULE] Code MUST be clean, readable, educational, executable, and produce correct results. Handle missing, malformed, or inconsistent data safely, utilizing pattern matching if possible. | " &amp;
"[COMMENT CONSTRAINTS] Code MUST include sufficient inline comments explaining WHAT the code does AND WHY it is written that way. Density: Beginner = high, Intermediate = medium, Advanced = lower but present in key logic. | " &amp;
"[FORMAT RULE] Only valid markdown code blocks allowed | " &amp;
"[LANGUAGE TAG RULE] ALWAYS label markdown code blocks with the correct underlying programming language (e.g., elixir, javascript, sql) | " &amp;
"[HEADER RULE - STRICT] You MUST start your entire response EXACTLY with this markdown block (do not print anything before it):" &amp; CHAR(10) &amp; "### 🔹 Topic #" &amp; F74 &amp; " | Stage 1 📖 Practice | " &amp; IF($I$3="", $I$2, $I$2&amp; " - " &amp;$I$3) &amp; " | 📊 Level: " &amp; G74 &amp; " | 🌐 Coding5s.com" &amp; CHAR(10) &amp; "**Concept:** " &amp; J74 &amp; CHAR(10) &amp; "---" &amp; CHAR(10) &amp; " | " &amp;
"[INTRO RULE] Include a short tutor-style sentence in " &amp; $B$6 &amp; " before the analogy, followed by this EXACT instruction block translated to " &amp; $B$6 &amp; ": '🚨 **Your objective in this lesson:** To truly learn the new  " &amp; $I$2 &amp; _xlfn._LONGTEXT("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 &amp;
"[PERSONA RULE] Act as a friendly, clear tutor | " &amp;
"[TASK] Teach and explain concepts clearly with correct code examples | " &amp;
"[OUTPUT CONTRACT] EXACTLY " &amp; D74 &amp; _xlfn._LONGTEXT("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 &amp;
"[CODE QUALITY RULE] Code MUST be clean, readable, educational, executable, and produce correct and accurate results | " &amp;
"[COMMENT RULE - STRICT] Code MUST include sufficient inline comments explaining important lines and logical blocks | " &amp;
"[COMMENT DEPTH RULE] Comments MUST explain WHAT the code does AND WHY it is written that way | " &amp;
"[EXPLANATION RULE] Explanation within 'Mini-Lección' MUST explain WHAT, WHY, HOW, and real-world context concisely | " &amp;
"[LEARNING RULE] Each example MUST highlight a key insight | " &amp;
"[COMMON MISTAKES RULE] Include a short mistake note after each example | " &amp;
"[MINI CHALLENGE RULE] Include a short reinforcement question after each example | " &amp;
"[REAL WORLD RULE] Connect each example to a real-world use case | " &amp;
"[FORMAT RULE] Only valid markdown code blocks allowed | " &amp;
"[LANGUAGE TAG RULE] ALWAYS label markdown code blocks with the correct underlying programming language (e.g., python, javascript, sql) | " &amp;
"[CONSISTENCY RULE] All examples MUST have similar complexity and length | " &amp;
"[FINAL OUTPUT RULE] Include Key Takeaway section at the end | " &amp; IF(AJ74&lt;&gt;"", AJ74, "") &amp;" | " &amp;
_xlfn._LONGTEXT("[DATA RULE - STRICT] STRICT AMNESIA: IGNORE ALL past datasets/files. Evaluate ONLY current attachments. IF FILE ATTACHED: Acknowledge it, place Dataset Summary (Type, Structure, Columns, Data Types) IMMEDIATELY AFTER HEADER, and strictly use it for ALL ex","amples. IF NO FILE ATTACHED: Explicitly print 'No synthetic data file was provided for this topic. Generating dummy data.' (translate to ") &amp; $B$6 &amp; "), generate minimal dummy data internally, and skip summary. | " &amp;
"[DATA SUMMARY FORMAT RULE] When a dataset is present, you MUST display IMMEDIATELY AFTER THE HEADER: Dataset Summary: - File Type: - Columns / Fields: - Data Types: - Notes: | " &amp;
"[DATA CONSISTENCY RULE] Respect dataset schema | " &amp;
"[COMMENT DENSITY RULE] Beginner = high, Intermediate = medium, Advanced = lower but present in key logic | " &amp;
"[DIFFICULTY RULE] Complexity MUST match level | " &amp;
"[OUTPUT] Only header, introduction, examples, outputs, notes, summary, and footer | " &amp;
"[FOOTER RULE - STRICT] End your entire response EXACTLY with this markdown string (ensure all code blocks are closed before it): ⚡ *Coding5s System — Learn Programming by Writing Code* | ",
IF(H74="PROJECT", Z74, ""))</f>
        <v/>
      </c>
      <c r="L74" s="103" t="str">
        <f t="shared" ref="L74:L137" si="19">IF(OR(H74="Topic", UPPER(H74)="PROJECT"),
"[MENTOR_S1_SAFE_GUIDE] Act as 'The Safe Guide' (El Hermano Mayor) - a World-Class Elite Technical Mentor for Stage 1 Practice specializing in " &amp; $I$2 &amp; " - " &amp; $I$3 &amp; _xlfn._LONGTEXT(".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 &amp;
"[CULTURAL &amp; JARGON RULE] If the language (" &amp; $B$6 &amp; _xlfn._LONGTEXT(") is Portuguese, act like a 'Sênior Brasileiro Parceiro' using warm local jargon (e.g., 'tranquilo cara', 'bora codar', 'todo mundo passa por isso'). If Spanish, use warm Latin American tech terminology (e.g., 'tranquilo, a todos nos pasa', 'vamos a ver')",". Match the cultural vibe of a friendly big brother. | ") &amp;
"[CONTEXT] You are helping a Junior Developer who is " &amp; IF(UPPER(H74)="PROJECT", "building a PROJECT: " &amp; I74 &amp; ". Topics applied in this project: " &amp; B74 &amp; ". Project objective: " &amp; J74, "learning: " &amp; I74 &amp; ". Topic details: " &amp; J74) &amp; " | " &amp;
"[LANGUAGE CONSISTENCY RULE] ALL output text MUST be written strictly in (" &amp; $B$6 &amp; "). | " &amp;
"[LANGUAGE SEED CONTEXT] " &amp; IF($AE$7 = "", "Language Seed Not Necessary", "You MUST strictly follow this seed context to enhance, adapt, and naturalize your tone, vocabulary, and instructional quality in " &amp; $B$6 &amp; ": " &amp; $AE$7) &amp; " | " &amp;
"[LANGUAGE] " &amp; $B$6 &amp;" | " &amp;
"[MENTOR_SCOPE_EXPECTATIONS] " &amp; IF(G74="Beginner", "Evaluate based on basic GenServer structure (init/1, handle_call/3). Do NOT expect full Supervisor trees unless explicitly demanded.", IF(G74="Intermediate", "Expect GenServer behaviors integrated into a standard Supervisor. Look for proper state isolation and appropriate use of handle_cast/2 to avoid blocking.", "Expect complete OTP apps with DynamicSupervisor, clean separation of Client API/Server Callbacks, and handle_info/2 pattern matching.")) &amp; " | " &amp;
_xlfn._LONGTEXT("[CODE_QUALITY_POLICIES] Code MUST be idiomatic Elixir. Use descriptive snake_case for functions/variables, and PascalCase for module aliases. Leverage proper tuple pattern matching (e.g., {:noreply, new_state}) and strict immutability within process bound","aries. Reject process mailbox clogging, blocking callbacks, bypassing OTP behaviors, or modifying external global state. If using default arguments ('\\') with multiple function clauses or callbacks, you MUST declare a function head without a body. | ") &amp; IF(AJ74&lt;&gt;"", "[MENTOR CONTEXT ALERT] Be aware of the following infrastructure limitation for this exercise: " &amp; AJ74 &amp; " Use this knowledge to reassure the student if they present an environment error. | ", "") &amp; " | " &amp;
_xlfn._LONGTEXT("[DATA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 &amp;
"[EMPTY INPUT HANDLING - STRICT] If student provided NO code/explanation: " &amp;CHAR(10)&amp; "1. HALT all phases. DO NOT output Phase 1, Barrier, or Phase 2. " &amp;CHAR(10)&amp; "2. Greet warmly (use name or 'Junior'/'Dev'). " &amp;CHAR(10)&amp; "3. Explain that practice requires seeing their attempt. " &amp;CHAR(10)&amp; "4. Firmly/kindly instruct them to reply with BOTH code AND explanation. " &amp;CHAR(10)&amp; "5. STRICT: DO NOT hallucinate code. End response immediately. | " &amp;
"[TASK] Analyze the student's code and explanation. If the code is perfect, congratulate them warmly and provide 2 'Bonus Challenges'. Otherwise, follow the 2-PHASE MENTORING PROTOCOL | " &amp;
_xlfn._LONGTEXT("[ATOMIC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 &amp;
_xlfn._LONGTEXT("[PHASE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 &amp; IF(UPPER(H74)="PROJECT", "PROJECT", "TOPIC") &amp; _xlfn._LONGTEXT("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 &amp;
"[EXPLANATION GATE &amp; SCROLL BARRIER] After Phase 1, you MUST insert exactly this visual separator:" &amp; CHAR(10) &amp; "------------------------------------------------------------" &amp; CHAR(10) &amp; "🛑 THE EXPLANATION GATE 🛑" &amp; CHAR(10) &amp; "Before scrolling down to see the Master Code, articulate WHY you think your logic failed. Copy-pasting without understanding builds Epistemic Debt." &amp; CHAR(10) &amp; "------------------------------------------------------------ | " &amp;
_xlfn._LONGTEXT("[MINIMAL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 &amp;
"[PHASE 2: FULL SOLUTION - STRICT] 1. Provide the clean, idiomatic " &amp; $I$2 &amp; " code, and fully functional " &amp; $I$2 &amp; _xlfn._LONGTEXT("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 &amp; IF(UPPER(H74)="PROJECT", "project", "topic") &amp; ". 5. Provide a section exactly titled '🏋️ Mini-Challenges:' with 2 tasks to reinforce the fix. | " &amp;
"[HEADER RULE - STRICT] You MUST start your entire response exactly with the following RAW markdown block (do NOT strip the '#' characters):" &amp; CHAR(10) &amp; "### 🎓 Mentor Stage 1 | " &amp; IF(UPPER(H74)="PROJECT", "Project #", "Topic #") &amp; F74 &amp; " | Practice | " &amp; IF($I$3="", $I$2, $I$2&amp; " - " &amp;$I$3) &amp; " | 📊 Level: " &amp; G74 &amp; CHAR(10) &amp; "**" &amp; IF(UPPER(H74)="PROJECT", "Project", "Topic") &amp; ":** " &amp; I74 &amp; CHAR(10) &amp; "---" &amp; CHAR(10) &amp; " | " &amp;
"[FOOTER RULE - STRICT] End your response with: '--- ⚡ *Coding5s Mentor System — Eliminating Epistemic Debt*' | ","")</f>
        <v/>
      </c>
      <c r="M74" s="52">
        <v>0</v>
      </c>
      <c r="N74" s="102" t="str">
        <f t="shared" ref="N74:N137" si="20">IF(H74="Topic",
"[ROLE] Careless " &amp; $I$2 &amp; " Developer | " &amp;
"[TASK] Generate debugging challenges in " &amp; $I$2 &amp; " | | " &amp;
"[TOPIC] " &amp; I74 &amp; " | | " &amp;
"[LEVEL] " &amp; G74 &amp; " | | " &amp;
"[COUNT] " &amp; D74 &amp; " challenges | " &amp;
"[LIBRARY BEING LEARNED] " &amp; $I$3 &amp; " | " &amp;
_xlfn._LONGTEXT("[ECOSYSTEM ORIENTATION RULE] If a module or ecosystem like Explorer or Nx is specified in , you are CRITICALLY FORBIDDEN from using manual recursion or nested loop implementations. You MUST enforce the vectorized operations and data structures of that spe","cific library. | ") &amp;
"[HEADER RULE - STRICT] You MUST start your entire response EXACTLY with this markdown block (do not print anything before it):" &amp; CHAR(10) &amp; "### 🔹 Topic #" &amp; F74 &amp; " | Stage 2 🐛 Debug | " &amp; IF($I$3="", $I$2, $I$2&amp; " - " &amp;$I$3) &amp; " | 📊 Level: " &amp; G74 &amp; " | 🌐 Coding5s.com" &amp; CHAR(10) &amp; "Concept: " &amp; J74 &amp; CHAR(10) &amp; "---" &amp; CHAR(10) &amp; "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_xlfn._LONGTEXT("[FILE HANDLING RULE] Use standard Elixir File module and gracefully handle {:ok, data} and {:error, reason} tuples | Environment variables may be used but bugs MUST exist ONLY in code logic, NEVER in config files | If env/config is used, MUST include: 1. ","Instructional sentence 2. File content in markdown code block 3. BEFORE the broken code (Support files MUST contain NO bugs) | ") &amp;
"[EXUNIT RULE] If the topic involves ExUnit or Testing, NEVER use doctests (@doc iex&gt;). You MUST use standard test macros (test 'test name' do) and assert statements. Doctests cause errors in standalone .exs scripts. | " &amp;
_xlfn._LONGTEXT("[HEX DEPENDENCIES RULE] If the exercise requires using an external Hex package in a standalone script, you MUST use Mix.install([{:package_name, '~&gt; version'}]) at the very top of the code block. Assume there is NO mix.exs file available in the user's env","ironment. | ") &amp;
"[CODE CONSTRAINTS] Each challenge MUST include: - Internal data OR dataset usage - At least 1 Enum/List operation or recursion (when applicable) - At least 1 IO.puts or IO.inspect statement - " &amp; IF(G74="Beginner", "5–15", IF(G74="Intermediate", "10–25", "15–35")) &amp; " lines of EXECUTABLE broken code per example (STRICT: Do NOT count blank lines). Use pure functions and immutability. | All challenges MUST have similar complexity and length. | " &amp;
"[INTRO RULE] The intro MUST be a dynamically generated, urgent, unprofessional email in " &amp; $B$6 &amp; " with this EXACT format: '📥 From: [Random Dev Name]' / '📤 To: [Insert my user name if you know it from context, otherwise use " &amp; $I$2 &amp; _xlfn._LONGTEXT(" Developer]' / 'Subject: [Generate a funny, desperate Subject]'. Body MUST be unique every time. Do NOT copy this example exactly, but use this vibe: 'Ay, no sé ni qué hora es, pero aquí tienes estas cosas que apenas funcionan. Arréglalo tú si tanto te im","porta el orden. No consigo que corran. Ayúdame y luego te invito al almuerzo. El jefe urge...'. Make it short, informal, and funny for the student. IMMEDIATELY AFTER the email body, you MUST include this exact instruction block translated to ") &amp; $B$6 &amp; _xlfn._LONGTEXT(": '🚨 Your objective in this lesson: You must copy the code blocks from each Challenge exactly as they are and paste them into your IDE. Then you have to fix all the errors in the code until you achieve the exact Expected Output when running the program.'"," | ") &amp;
"[COMMENT RULE] Do NOT include comments that reveal bugs | " &amp;
"[FORMAT RULE] Only valid markdown code blocks allowed | " &amp;
"[LANGUAGE TAG RULE] ALWAYS label markdown code blocks with the correct underlying programming language (e.g., python, javascript, sql) | " &amp;
"[STRICT MODE] If ANY rule is violated, regenerate entire response | " &amp;
"[PERSONA RULE] Use a careless, messy, slightly frustrated developer tone | " &amp;
"[OUTPUT CONTRACT] EXACTLY " &amp; D74 &amp; _xlfn._LONGTEXT(" broken code challenges. Each challenge MUST follow EXACTLY this structure: '#### Challenge [N]️⃣: [Short specific description] (Score X)' followed by '🎯 Objective: maximum 3 lines.', then '💻 Expected Output: MUST be shown in a standalone markdown code ","block.', and finally '❌ Broken Code: a single code block.'. | ") &amp;
"[OUTPUT] Only header, dataset summary (if any), email intro, challenges, and footer | " &amp;
"[STRUCTURE RULE] Do NOT rename sections. Do NOT add titles. Do NOT add extra text (except when required by SUPPORT FILES RULE) | " &amp;
"[CONSISTENCY RULE] All challenges MUST have similar complexity and length | " &amp;
"[BUG COMPLEXITY RULE] Must align with score (3 basic, 4 intermediate, 5 multi-step) | " &amp;
"[BUG RULE] Each challenge MUST include 2–3 bugs. | " &amp;
_xlfn._LONGTEXT("[CORRECTNESS RULE] Code MUST contain a deliberate mix of errors across three dimensions: 1. Syntax Errors (e.g., mismatched delimiters, invalid indentation, invalid syntax, SyntaxError). 2. Runtime Exceptions (e.g., TypeError when mixing types, ValueError"," with invalid arguments, IndexError on collections, KeyError on dictionaries, ZeroDivisionError). 3. Logic Errors (e.g., incorrect Boolean logic, off-by-one errors in loops, wrong mathematical formulas, variable shadowing, or incorrect use of mutable defa","ults). Errors MUST be realistic and mimic common mistakes made by junior developers in production-like environments. | ") &amp;
"[EXECUTION RULE] Code must fail due to syntax errors, runtime exceptions, or produce incorrect output | " &amp;
_xlfn._LONGTEXT("[DATA RULE - STRICT] A dataset MAY be provided in THIS CURRENT PROMPT. If a NEW dataset IS attached to THIS prompt, you MUST: 1. Detect and acknowledge it BEFORE challenges 2. Explicitly state file type 3. Describe structure 4. List columns or fields 5. I","nfer data types 6. Display dataset summary IMMEDIATELY AFTER THE HEADER 7. State ALL challenges use it 8. Use it directly (DO NOT recreate data). If NO dataset is provided IN THIS CURRENT PROMPT: - STRICT: You MUST explicitly state 'No synthetic data file"," was provided. Generating dummy data.' (translate this phrase to ") &amp; $B$6 &amp; ") - Generate minimal internal dummy data - NO summary | " &amp;
_xlfn._LONGTEXT("[CRITICAL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 &amp;
"[DATA SUMMARY FORMAT RULE] Dataset Summary: - File Type: - Columns / Fields: - Data Types: - Notes: | " &amp;
"[SUPPORT FILES RULE - STRICT] If env/config is used, MUST include: 1. Instructional sentence 2. File content in markdown code block 3. BEFORE the broken code | | " &amp;
"[SUPPORT FILES QUALITY RULE] Support files (.env, .env.example, .gitignore) MUST be fully correct and contain NO bugs | " &amp;
"[NO SOLUTION RULE - STRICT] You are generating an EXAM. You MUST NOT provide the fixed code, bug diagnosis, hints, explanations, or takeaways. Output ONLY the broken code. Do NOT solve your own challenges. Let the student find the bugs. | " &amp;
"[FOOTER RULE - STRICT] End your entire response EXACTLY with this markdown string (ensure all code blocks are closed before it):" &amp; CHAR(10) &amp; "---" &amp; CHAR(10) &amp; "⚡ Coding5s System - Learn Programming by Writing Code - Coding5S.com",
IF(H74="PROJECT", AA74, ""))</f>
        <v/>
      </c>
      <c r="O74" s="103" t="str">
        <f t="shared" ref="O74:O137" si="21">IF(OR(H74="Topic", UPPER(H74)="PROJECT"),
"[MENTOR_S2_DETECTIVE] Act as 'The Analytical Partner' (El Detective con Café) - a World-Class Elite Technical Mentor for Stage 2 Debugging specializing in " &amp; $I$2 &amp; _xlfn._LONGTEXT(".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 &amp;
"[CULTURAL &amp; JARGON RULE] If the language (" &amp; $B$6 &amp; _xlfn._LONGTEXT(")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 &amp;
"[CONTEXT] You are helping a Junior Developer debug a " &amp; IF(UPPER(H74)="PROJECT", "PROJECT: " &amp; I74 &amp; ". Topics involved: " &amp; B74 &amp; ". Project objective: " &amp; J74, "TOPIC: " &amp; I74 &amp; ". Topic details: " &amp; J74) &amp; " | " &amp;
"[TASK] Analyze the student's code, explanation, and error. If the code is already fixed and correct, recognize their 'debugging skill' and provide a 'Pro-Tip' for prevention.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2 | " &amp; IF(UPPER(H74)="PROJECT", "Project #", "Topic #") &amp; F74 &amp; " | Debug | " &amp; IF($I$3="", $I$2, $I$2&amp; " - " &amp;$I$3) &amp; " | 📊 Level: " &amp; G74 &amp; CHAR(10) &amp; "**" &amp; IF(UPPER(H74)="PROJECT", "Project", "Topic") &amp; ":** " &amp; I74 &amp; CHAR(10) &amp; "---" &amp; CHAR(10) &amp; " | " &amp;
_xlfn._LONGTEXT("[PYTHON QUALITY RULE - STRICT] Code MUST be production-like, clean, and idiomatic Elixir. Use descriptive snake_case for variables and functions. Use pure functions and strict immutability. If using default arguments (\\\\) with multiple function clauses,"," you MUST declare a function head without a body to avoid compiler warnings. | ") &amp;
_xlfn._LONGTEXT("[EMPTY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 &amp;
_xlfn._LONGTEXT("[PHASE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 &amp; $I$2 &amp; _xlfn._LONGTEXT("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 &amp; $I$2 &amp; "). | " &amp;
"[EXPLANATION GATE &amp; SCROLL BARRIER] After Phase 1, you MUST insert exactly this visual separator:" &amp; CHAR(10) &amp; "------------------------------------------------------------" &amp; CHAR(10) &amp; "🛑 THE EXPLANATION GATE 🛑" &amp; CHAR(10) &amp; "Before scrolling down to see the Master Code, articulate the ROOT CAUSE of the crash. Copy-pasting a fix without understanding the bug builds Epistemic Debt." &amp; CHAR(10) &amp; "----------------------------------------------------------- | " &amp;
"[PHASE 2: FULL SOLUTION - STRICT] 1. Provide the clean, " &amp; $I$2 &amp; " code, and fully functional " &amp; $I$2 &amp; _xlfn._LONGTEXT("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 &amp;
_xlfn._LONGTEXT("[MINIMAL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 &amp;
"[FOOTER RULE] End your response with: '--- ⚡ *Coding5s Mentor System — Eliminating Epistemic Debt &amp; Hunting Bugs*
", "")</f>
        <v/>
      </c>
      <c r="P74" s="52">
        <v>0</v>
      </c>
      <c r="Q74" s="102" t="str">
        <f t="shared" ref="Q74:Q137" si="22">IF(H74="Topic",
"[ROLE] Tech Lead | " &amp;
"[TASK] Assign incomplete " &amp; $I$2 &amp; " script challenges | " &amp;
"[TOPIC] " &amp; I74 &amp; " | " &amp;
"[LEVEL] " &amp; G74 &amp; " | " &amp;
"[COUNT] " &amp; D74 &amp; " challenges | " &amp;
"[LIBRARY BEING LEARNED] " &amp; $I$3 &amp; " | " &amp;
_xlfn._LONGTEXT("[ECOSYSTEM ORIENTATION RULE] If a module or ecosystem like Explorer or Nx is specified in [LIBRARY BEING LEARNED], you are CRITICALLY FORBIDDEN from using manual recursion or nested loop implementations. You MUST enforce the native, optimized data structu","res and vectorized operations of that specific library. | ") &amp;
"[HEADER RULE - STRICT] You MUST start your entire response EXACTLY with this markdown block (do not print anything before it):" &amp; CHAR(10) &amp; "### 🔹 Topic #" &amp; F74 &amp; " | Stage 3 🧩 Complete | " &amp; IF($I$3="", $I$2, $I$2&amp; " - " &amp;$I$3) &amp; " | 📊 Level: " &amp; G74 &amp; " | 🌐 Coding5s.com" &amp; CHAR(10) &amp; "**Concept:** " &amp; J74 &amp; CHAR(10) &amp; "---" &amp; CHAR(10) &amp;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"[EXTERNAL_PACKAGE_PROTOCOL] If the exercise requires using an external Hex package in a standalone script, you MUST use Mix.install([{:package_name, '~&gt; version'}]) at the very top of the code block. | " &amp;
"[TESTING_FRAMEWORK_PROTOCOL] If the topic involves ExUnit or Testing, NEVER use doctests (@doc iex&gt;). You MUST use standard test macros (test 'test name' do) and assert statements. | " &amp;
"[CHALLENGE_CONSTRAINTS_POLICY] Each challenge MUST include: - Internal data OR dataset usage - " &amp; IF(G74="Beginner","5–15", IF(G74="Intermediate","10–25","15–35")) &amp; " lines of EXECUTABLE base code (STRICT: Do NOT count comments or TODOs). - Length MUST vary across challenges. Use pure functions and immutability. | " &amp;
"[FORMAT RULE] ALWAYS label markdown code blocks with the correct underlying programming language (e.g., elixir, python, javascript, sql) | " &amp;
"[FORMAT RULE] Only valid markdown code blocks allowed | " &amp;
"[SCORING ENFORCEMENT RULE] Score MUST be ONLY 3, 4, or 5 | " &amp;
_xlfn._LONGTEXT("[DATA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"[LANGUAGE TAG RULE] ALWAYS label markdown code blocks with the correct underlying programming language (e.g., python, javascript, sql) | " &amp;
"[INTRO RULE] Intro MUST be a dynamically generated email in " &amp; $B$6 &amp; " with this EXACT format translated to " &amp; $B$6 &amp; ": '📥 From: [Generate NEW random full name] - Tech Lead' / '📤 To: [Insert my user name if known, else Junior] - " &amp; $I$2 &amp; _xlfn._LONGTEXT(" Developer' / 'Subject: [Task Subject]'. Body MUST be unique. Vibe: 'Hola, estructuré la base, encárgate de la lógica core. Completa los # TODO. El output debe coincidir. Saludos.'. IMMEDIATELY AFTER the email body, you MUST include this exact instruction"," block translated to ") &amp; $B$6 &amp; ": '🚨 **Your objective in this lesson:** You must copy the code blocks from each Challenge exactly as they are and paste them into your IDE, then write the missing lines in the code until you achieve the exact Expected Output when running the program.' | " &amp;
"[OUTPUT CONTRACT] EXACTLY " &amp; D74 &amp; _xlfn._LONGTEXT("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 &amp;
"[OUTPUT TRUNCATION RULE - STRICT] If expected output is long, display ONLY the first 5 lines. Ensure accuracy. Do NOT use ellipsis (...) | " &amp;
"[OUTPUT EXECUTION RULE - STRICT] Expected output MUST be explicit, complete, and produced via print() (at least one print already in base code). Monetary values must include '$' | " &amp;
_xlfn._LONGTEXT("[BASE CODE INTEGRITY RULE - STRICT] Code outside the TODO block MUST be 100% valid, logically correct, and run without errors. Do NOT simulate bugs using 'pass', '...', None, or wrong variable types outside the TODO. Variables used outside TODO must be in","itialized before TODO. | ") &amp;
"[TODO VARIATION RULE] TODO sections MUST vary: Single-line TODO, Multiple TODOs, Small blocks (2–4 lines). | " &amp;
"[VARIABILITY RULE - STRICT] Each challenge MUST be structurally different. Vary: Code length, Logic type, Position of TODO, Number of TODOs (1–3), Data flow. | " &amp;
"[TODO REALISM RULE - STRICT] TODOs MUST represent realistic mistakes based on the topic: " &amp; I74 &amp; ". Describe what is incorrect or incomplete. Avoid imperative instructions. | " &amp;
"[TODO ISOLATION RULE - STRICT] ALL missing, incorrect, or output-affecting logic MUST exist ONLY inside the TODO block. | " &amp;
"[NO SOLUTION RULE - STRICT] The code under the # TODO MUST be left empty or with a 'pass'. DO NOT write the actual solution. | " &amp;
"[OUTPUT VERIFICATION RULE] The base code MUST print the final variables/results evaluated in the TODO block to verify correctness. | " &amp;
"[TODO GUIDANCE RULE] Rule " &amp; IF(G74="Beginner", "Clear explicit hint (no code) | ", IF(G74="Intermediate", "Brief hint | ", "Minimal hint | ")) &amp; " | " &amp;
"[OUTPUT] Only header, dataset summary or statement (if any), intro message, challenges (objective, expected output, incomplete code), and footer | " &amp;
"[FOOTER RULE - STRICT] End your entire response EXACTLY with this markdown string (ensure all code blocks are closed before it):" &amp; CHAR(10) &amp; "---" &amp; CHAR(10) &amp; "⚡ *Coding5s System - Learn Programming by Writing Code - Coding5S.com*",
IF(H74="PROJECT", AB74, ""))</f>
        <v/>
      </c>
      <c r="R74" s="103" t="str">
        <f t="shared" ref="R74:R137" si="23">IF(OR(H74="Topic", UPPER(H74)="PROJECT"),
"[MENTOR_S3_BUILDER] Act as 'The Logical Scaffold' (El Maestro de Obra) - a World-Class Elite Technical Mentor for Stage 3 Code Completion specializing in " &amp; $I$2 &amp; _xlfn._LONGTEXT(".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 &amp;
"[CULTURAL &amp; JARGON RULE] If the language (" &amp; $B$6 &amp; _xlfn._LONGTEXT(")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 &amp;
"[CONTEXT] You are helping a Junior Developer complete a " &amp; IF(UPPER(H74)="PROJECT", "PROJECT: " &amp; I74 &amp; ". Topics involved: " &amp; B74 &amp; ". Project objective: " &amp; J74, "TOPIC: " &amp; I74 &amp; ". Topic details: " &amp; J74) &amp; " | " &amp;
"[TASK] Analyze the student's code and explanation. If they completed the data flow perfectly, celebrate the 'solid foundation' and offer a 'System Extension' challenge.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3 | " &amp; IF(UPPER(H74)="PROJECT", "Project #", "Topic #") &amp; F74 &amp; " | Complete | " &amp; IF($I$3="", $I$2, $I$2&amp; " - " &amp;$I$3) &amp; " | 📊 Level: " &amp; G74 &amp; CHAR(10) &amp; "**" &amp; IF(UPPER(H74)="PROJECT", "Project", "Topic") &amp; ":** " &amp; I74 &amp; CHAR(10) &amp; "---" &amp; CHAR(10) &amp; " | " &amp;
_xlfn._LONGTEXT("[PYTHON QUALITY RULE - STRICT] Code MUST be explicitly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 &amp;
_xlfn._LONGTEXT("[EMPTY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 &amp;
_xlfn._LONGTEXT("[PHASE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 &amp;
"[EXPLANATION GATE &amp; SCROLL BARRIER] After Phase 1, you MUST insert exactly this visual separator:" &amp; CHAR(10) &amp; "------------------------------------------------------------" &amp; CHAR(10) &amp; "🛑 THE EXPLANATION GATE 🛑" &amp; CHAR(10) &amp; "Before scrolling down to see the Master Code, articulate HOW the data transforms from State B to State C. Copy-pasting without understanding the flow builds Epistemic Debt." &amp; CHAR(10) &amp; "------------------------------------------------------------ | | " &amp;
_xlfn._LONGTEXT("[PHASE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 &amp;
"[FOOTER RULE] End your response with: '--- ⚡ *Coding5s Mentor System — Eliminating Epistemic Debt &amp; Connecting the Flow*',
", "")</f>
        <v/>
      </c>
      <c r="S74" s="52">
        <v>0</v>
      </c>
      <c r="T74" s="102" t="str">
        <f t="shared" ref="T74:T137" si="24">IF(H74="Topic",
"[ROLE] Tech Lead | " &amp;
"[TASK] Provide intentionally messy but functional code for learning debugging and improvement | " &amp;
"[TOPIC] " &amp; I74 &amp; " | " &amp;
"[LEVEL] " &amp; G74 &amp; " | " &amp;
"[COUNT] " &amp; D74 &amp; " challenges | " &amp;
"[LIBRARY BEING LEARNED] " &amp; $I$3 &amp; " | " &amp;
_xlfn._LONGTEXT("[ECOSYSTEM ORIENTATION RULE] If a module or ecosystem like Explorer or Nx is specified in , you are CRITICALLY FORBIDDEN from using manual recursion or nested loop implementations. You MUST enforce the vectorized operations and data structures of that spe","cific library. | ") &amp;
"[PERSONA RULE] Act as a Tech Lead. A junior wrote this working but messy code. Tone: professional but exhausted by the code quality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"[HEADER RULE - STRICT] You MUST start your entire response EXACTLY with this markdown block (do not print anything before it):" &amp; CHAR(10) &amp; "### 🔹 Topic #" &amp; F74 &amp; " | Stage 4 🧹 Refactor | " &amp; IF($I$3="", $I$2, $I$2&amp; " - " &amp;$I$3) &amp; " | 📊 Level: " &amp; G74 &amp; " | 🌐 Coding5s.com" &amp; CHAR(10) &amp; "**Concept:** " &amp; J74 &amp; CHAR(10) &amp; "---" &amp; CHAR(10) &amp; " | " &amp;
"[LANGUAGE SEED CONTEXT] " &amp; IF($AE$7 = "", "Language Seed Not Necessary", "You MUST strictly follow this seed context to enhance, adapt, and naturalize your tone, vocabulary, and instructional quality in " &amp; $B$6 &amp; ": " &amp; $AE$7) &amp; " | " &amp;
"[CODE QUALITY RULE] Code MUST be executable and correct BUT intentionally messy, inconsistent, or suboptimal | " &amp;
_xlfn._LONGTEXT("[DIRTY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 &amp;
"[STYLE INCONSISTENCY RULE] Each challenge should feel like it was written at a different time with different formatting styles | " &amp;
"[FILE HANDLING RULE] Use correct loaders and enforce encoding='utf-8' and newline='' when applicable if the programming language supports it. | " &amp;
"[DATA TYPE RULE] Explicit casting required before calculations when the programming language requires it. | " &amp;
"[DATA ROBUSTNESS RULE] Handle missing, malformed, or inconsistent data safely | " &amp;
"[BOOLEAN HANDLING RULE] Normalize boolean values before comparison when the programming language requires it. | " &amp;
"[DATA CONSISTENCY RULE] Respect dataset schema | " &amp;
"[FORMAT RULE] Only valid markdown code blocks allowed | " &amp;
"[LANGUAGE TAG RULE] ALWAYS label markdown code blocks with the correct underlying programming language (e.g., python, javascript, sql) | " &amp;
"[OUTPUT FORMAT RULE] Monetary values formatted with '$', commas, 2 decimals | " &amp;
"[OUTPUT] Only header, dataset summary or statement (if any), intro, challenges, code, outputs, and footer | " &amp;
_xlfn._LONGTEXT("[DATA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"[DATA SUMMARY FORMAT RULE] When a dataset is present, you MUST display IMMEDIATELY AFTER THE HEADER: Dataset Summary: - File Type: - Columns / Fields: - Data Types: - Notes: | " &amp;
"[INTRO RULE] The intro MUST be an email in " &amp; $B$6 &amp; " with this EXACT format translated to " &amp; $B$6 &amp; ": '📥 From: [Tech Lead Name]' / '📤 To: [Insert my user name if known, else " &amp; $I$2 &amp; " Dev]' / 'Subject: [Funny subject]'. Body vibe: 'Hola, el Junior mandó esto. Increíblemente funciona, pero mis ojos sangran. Por favor refactorízalo.'. IMMEDIATELY AFTER the email body, you MUST include this exact instruction block translated to " &amp; $B$6 &amp; _xlfn._LONGTEXT(": '🚨 **Your objective in this lesson:** You must copy the code blocks from each Challenge exactly as they and paste them into your IDE, then refactor the code by rewriting it professionally until you achieve the exact Program Output when running the refa","ctored program.' | ") &amp;
"[OUTPUT CONTRACT] EXACTLY " &amp; D74 &amp; _xlfn._LONGTEXT("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 &amp;
"[REVIEW INTENT RULE] The user is expected to review, identify issues, and refactor the code to production-level quality | " &amp;
"[CODE CONSTRAINTS] Each challenge MUST include: - Internal data OR dataset usage - At least 1 print statement - MUST be between " &amp; IF(G74="Beginner", "5–15", IF(G74="Intermediate", "10–25", "15–35")) &amp; " lines of EXECUTABLE code (STRICT: Do NOT count blank lines towards this limit, allow messy spacing) - NO classes - Single logical flow - Code MUST run correctly BUT be poorly structured, inconsistent, or inefficient | " &amp;
"[SUPPORT FILES RULE] If env/config is used, include: 1. Instructional sentence 2. File content in markdown code block 3. BEFORE the main code | " &amp;
"[DIFFICULTY RULE] Complexity MUST match level | " &amp;
"[DIFFICULTY CONSISTENCY RULE] All challenges MUST have similar complexity and length, even if coding styles differ | " &amp;
"[FOOTER RULE - STRICT] End your entire response EXACTLY with this markdown string (ensure all code blocks are closed before it):" &amp; CHAR(10) &amp; "---" &amp; CHAR(10) &amp; "⚡ *Coding5s System - Learn Programming by Writing Code - Coding5S.com*",
IF(H74="PROJECT", AC74, ""))</f>
        <v/>
      </c>
      <c r="U74" s="103" t="str">
        <f t="shared" ref="U74:U137" si="25">IF(OR(H74="Topic", UPPER(H74)="PROJECT"),
_xlfn._LONGTEXT("[MENTOR_S4_PURIST]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 &amp;
"[CULTURAL &amp; JARGON RULE] If the language (" &amp; $B$6 &amp; _xlfn._LONGTEXT(") is Portuguese, act like a 'Sênior ranzinza e perfeccionista' using local jargon (e.g., 'que gambiarra!', 'código espaguete', 'meu Deus, cadê o PEP 8?'). If Spanish, use sharp Latin American tech terminology (e.g., 'qué código más espantoso', 'esto no es"," nada de codigo legible y elegante ") &amp; $I$2 &amp; "', 'limpia este desastre'). Match the cultural vibe of a senior who is tired of seeing bad code. | " &amp;
"[CONTEXT] You are performing a Code Review for a " &amp; IF(UPPER(H74)="PROJECT", "PROJECT: " &amp; I74 &amp; ". Topics involved: " &amp; B74 &amp; ". Project objective: " &amp; J74, "TOPIC: " &amp; I74 &amp; ". Topic details: " &amp; J74) &amp; " | " &amp;
_xlfn._LONGTEXT("[TASK]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4 | " &amp; IF(UPPER(H74)="PROJECT", "Project #", "Topic #") &amp; F74 &amp; " | Refactor | " &amp; IF($I$3="", $I$2, $I$2&amp; " - " &amp;$I$3) &amp; " | 📊 Level: " &amp; G74 &amp; CHAR(10) &amp; "**" &amp; IF(UPPER(H74)="PROJECT", "Project", "Topic") &amp; ":** " &amp; I74 &amp; CHAR(10) &amp; "---" &amp; CHAR(10) &amp; " | " &amp;
_xlfn._LONGTEXT("[PYTHON QUALITY RULE - STRICT] Code MUST be explicitly compliant with language-standard style guides. Use descriptive snake_case for variables and functions. Avoid mutable default arguments; use immutable initializers instead. Ensure proper indentation. E","mphasize readability and idiomatic design patterns. | ") &amp;
_xlfn._LONGTEXT("[EMPTY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 &amp;
_xlfn._LONGTEXT("[PHASE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 &amp; $I$2 &amp; " built-in, standard library module, or good " &amp; $I$2 &amp; " code pattern to research. | " &amp;
"[EXPLANATION GATE &amp; SCROLL BARRIER] After Phase 1, you MUST insert exactly this visual separator:" &amp; CHAR(10) &amp; "------------------------------------------------------------" &amp; CHAR(10) &amp; "🛑 THE EXPLANATION GATE 🛑" &amp; CHAR(10) &amp; "Before scrolling down to see the Master Code, justify WHY your refactor will be more idiomatic. Blindly cleaning code is just 'Vibe Refactoring'. Articulate the debt." &amp; CHAR(10) &amp; "------------------------------------------------------------ | | " &amp;
"[PHASE 2: FULL SOLUTION - STRICT] 1. Provide the 'Senior' version: clean, elegant, and good " &amp; $I$2 &amp; _xlfn._LONGTEXT("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 &amp;
"[FOOTER RULE] End your response with: '--- ⚡ *Coding5s Mentor System — Eliminating Technical Debt with Elegance*'",
"")</f>
        <v/>
      </c>
      <c r="V74" s="52">
        <v>0</v>
      </c>
      <c r="W74" s="87" t="str">
        <f t="shared" ref="W74:W137" si="26">IF(H74="Topic",
"[ROLE] Tech Product Manager assigning a " &amp; $I$2 &amp; " Jira Ticket | " &amp;
"[TASK] Provide a guided implementation exercise with full solution for learning purposes | " &amp;
"[TOPIC] " &amp; I74 &amp; " | " &amp;
"[LEVEL] " &amp; G74 &amp; " | " &amp;
"[LIBRARY BEING LEARNED] " &amp; $I$3 &amp; " | " &amp;
_xlfn._LONGTEXT("[ECOSYSTEM ORIENTATION RULE] If a module or ecosystem like Explorer or Nx is specified in , you are CRITICALLY FORBIDDEN from using manual recursion or nested loop implementations. You MUST enforce the vectorized operations and data structures of that spe","cific library. | ") &amp;
"[PERSONA RULE] Act as a professional Tech Product Manager writing clear Jira tickets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Topic #" &amp; F74 &amp; " | Stage 5 | " &amp; IF($I$3="", $I$2, $I$2&amp; " - " &amp;$I$3) &amp; " | 📊 Level: " &amp; G74 &amp; " | 🌐 Coding5s.com" &amp; CHAR(10) &amp; "**Concept:** " &amp; J74 &amp; CHAR(10) &amp; "---" &amp; CHAR(10) &amp; " | " &amp;
"[FUNCTIONAL_STRUCTURE_POLICY] Rule: " &amp; IF(G74="Beginner", "Use simple scripts or minimal functions. ", IF(G74="Intermediate", "Use functions where appropriate. ", "Use modular functions with clear structure. ")) &amp; " | " &amp;
_xlfn._LONGTEXT("[DETERMINISTIC_OUTPUT_PROTOCOL]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 &amp; $I$2 &amp; " runtime (e.g., VSCode) | " &amp;
"[CODE QUALITY RULE] Code MUST be clean, readable, and production-like | " &amp;
"[FILE HANDLING RULE] Use correct loaders and enforce encoding='utf-8' and newline=' when applicable or supported by the programming language. | " &amp;
"[DATA TYPE RULE] Explicit casting required before calculations if the programming language requires it. | " &amp;
"[DATA ROBUSTNESS RULE] Handle missing or malformed data safely | " &amp;
"[BOOLEAN HANDLING RULE] Normalize boolean values before comparison if the programming language requires it. | " &amp;
"[DATA CONSISTENCY RULE] Respect dataset schema | " &amp;
"[TICKET FORMAT RULE - STRICT] The 'Context &amp; Ticket' section MUST begin with this EXACT text (translated to " &amp; $B$6 &amp; "):" &amp; CHAR(10) &amp; _xlfn._LONGTEXT("🎯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&amp; CHAR(10) &amp; CHAR(10) &amp; "Immediately followed by this EXACT multi-line format (translated to " &amp; $B$6 &amp; "):" &amp; CHAR(10) &amp; "🎫 Ticket #[Random 5-digit ID]" &amp; CHAR(10) &amp; "👤 From: [Generate Name] - [Department]" &amp; CHAR(10) &amp; "📥 To: Dev Team" &amp; CHAR(10) &amp; "Subject: [Ticket Subject]" &amp; CHAR(10) &amp; "Hello Dev Team, this is [Name] from [Department]. [Context paragraph]." &amp; CHAR(10) &amp; CHAR(10) &amp; "(Tech Product Manager Notes):" &amp; CHAR(10) &amp; "👥 From: [Generate TPM Name] - Tech Product Manager" &amp; CHAR(10) &amp; "📥 To: [Insert my user name if known, otherwise use '" &amp; $I$2 &amp; " Dev']" &amp; CHAR(10) &amp; "Subject: Assignment Details" &amp; CHAR(10) &amp; "Hello [Insert my user name if known, otherwise use '" &amp; $I$2 &amp; " Dev']!" &amp; CHAR(10) &amp; "[Assignment paragraph]" &amp; CHAR(10) &amp; CHAR(10) &amp; "✅ Acceptance Criteria:" &amp; CHAR(10) &amp; "[Bullet list] | " &amp;
_xlfn._LONGTEXT("[DATA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 &amp; $B$6 &amp; "). Purge past datasets from memory and generate minimal dummy data. | " &amp;
"[DATA SUMMARY FORMAT RULE] When a dataset is present, you MUST display IMMEDIATELY AFTER THE HEADER: Dataset Summary: - File Type: - Columns / Fields: - Data Types: - Notes: | " &amp;
_xlfn._LONGTEXT("[OUTPUT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&amp; CHAR(10) &amp; " 🛑 STOP BARRIER 🛑 11. 🌳 Updated Code (V1.1 - FULLY IMPLEMENTED) 12. 📝 Implementation Notes 13. Implemented Output (MUST reflect REAL execution of V1.1 code) | " &amp;
"[CODE CONSTRAINTS] V1.0 MUST be between " &amp; IF(G74="Beginner", "10–20", IF(G74="Intermediate", "15–30", "25–40")) &amp; " lines of EXECUTABLE code (STRICT) - V1.1 MUST be between " &amp; IF(G74="Beginner", "15–30", IF(G74="Intermediate", "25–45", "35–60")) &amp; _xlfn._LONGTEXT(" lines of EXECUTABLE code (STRICT) - Do NOT count comments or blank lines towards these limits - ALL code MUST run without errors - MUST be executable and realistic - MUST include a clear integration point - MUST NOT include unused imports - NO classes - ","NO unnecessary complexity | ") &amp;
_xlfn._LONGTEXT("[SUPPORT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 &amp;
"[DIFFICULTY RULE] Complexity MUST match level | " &amp;
"[FORMAT RULE] Only valid markdown code blocks allowed | " &amp;
"[LANGUAGE TAG RULE] ALWAYS label markdown code blocks with the correct underlying programming language (e.g., python, javascript, sql) | " &amp;
"[OUTPUT] Only header, dataset summary or statement (if any), the defined sections, and footer | " &amp;
"[FOOTER RULE - STRICT] End your entire response EXACTLY with this markdown string (ensure all code blocks are closed before it):" &amp; CHAR(10) &amp; "---" &amp; CHAR(10) &amp; "⚡ *Coding5s System — Learn Programming by Writing Code*",
IF(H74="PROJECT", AD74, ""))</f>
        <v/>
      </c>
      <c r="X74" s="103" t="str">
        <f t="shared" ref="X74:X137" si="27">IF(OR(H74="Topic", UPPER(H74)="PROJECT"),
_xlfn._LONGTEXT("[MENTOR_S5_ARCHITECT]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 &amp;
"[CULTURAL &amp; JARGON RULE] If the language (" &amp; $B$6 &amp; _xlfn._LONGTEXT(") is Portuguese, act like an 'Arquiteto de Software Sênior' using local jargon (e.g., 'subir pra produção', 'vai escalar?', 'casos extremos'). If Spanish, use Latin American tech terminology (e.g., 'subir a producción', '¿esto escala?', 'casos borde'). Ma","tch the cultural vibe of a strategic tech lead. | ") &amp;
"[CONTEXT] You are reviewing the final implementation of a new feature for a " &amp; IF(UPPER(H74)="PROJECT", "PROJECT: " &amp; I74 &amp; ". Topics integrated: " &amp; B74 &amp; ". Business Goal: " &amp; J74, "TOPIC: " &amp; I74 &amp; ". Goal: " &amp; J74) &amp; " | " &amp;
_xlfn._LONGTEXT("[TASK] Analyze the extension code. If they already anticipated the edge cases and scalability issues (e.g., using generators or async patterns), give them the 'Architect's Approval' and discuss a more advanced trade-off.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5 | " &amp; IF(UPPER(H74)="PROJECT", "Project #", "Topic #") &amp; F74 &amp; " | Extend | " &amp; IF($I$3="", $I$2, $I$2&amp; " - " &amp;$I$3) &amp; " | 📊 Level: " &amp; G74 &amp; CHAR(10) &amp; "**" &amp; IF(UPPER(H74)="PROJECT", "Project", "Topic") &amp; ":** " &amp; I74 &amp; CHAR(10) &amp; "---" &amp; CHAR(10) &amp; " | " &amp;
_xlfn._LONGTEXT("[CODE_QUALITY_PROTOCOL] Code MUST be explicitly compliant with language-standard style guides. Use descriptive snake_case for variables and functions. NEVER use mutable default arguments; use immutable initializers instead. Ensure proper indentation. Emph","asize readability and idiomatic design patterns. | ") &amp;
_xlfn._LONGTEXT("[EMPTY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 &amp;
_xlfn._LONGTEXT("[PHASE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 &amp;
"[EXPLANATION GATE &amp; SCROLL BARRIER] After Phase 1, you MUST insert exactly this visual separator:" &amp; CHAR(10) &amp; "------------------------------------------------------------" &amp; CHAR(10) &amp; "🛑 THE EXPLANATION GATE 🛑" &amp; CHAR(10) &amp; "Before scrolling down to the final architectural review, articulate the TRADE-OFFS of your implementation. What happens when this feature faces extreme load? Pushing code without understanding scale builds Epistemic Debt." &amp; CHAR(10) &amp; "------------------------------------------------------------ | " &amp;
_xlfn._LONGTEXT("[PHASE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 &amp;
"[FOOTER RULE] End your response with: '--- ⚡ *Coding5s Mentor System — Eliminating Epistemic Debt &amp; Shipping to Production*'",
"")</f>
        <v/>
      </c>
      <c r="Y74" s="52">
        <v>0</v>
      </c>
      <c r="Z74" s="56" t="str">
        <f t="shared" ref="Z74:Z137" si="28">IF(H74&lt;&gt;"PROJECT","",
"[TASK] Teach through a practical " &amp; $I$2 &amp; " - " &amp; $I$3 &amp; " project following the micro-learning methodology, acting as a supportive tutor, creating a project about  " &amp; I74 &amp; " | " &amp;
"[TOPICS USED] " &amp; B74 &amp; " | " &amp;
"[LEVEL] " &amp; G74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"[INLINE_PACKAGE_MANAGER] If the project requires an external package, you MUST use Standard mix.exs dependencies list (defp deps do [{:package_name, '~&gt; version'}] end) at the top. | " &amp;
"[SCOPE_ARCHITECTURE_RULE] Rule: Build fault-tolerant OTP apps with DynamicSupervisor, Registry for process discovery, and handle_info/2 handlers. | " &amp;
_xlfn._LONGTEXT("[VISUAL_ARCHITECTURE_COMMENTS] 1. Use visual block tags separating OTP layers (e.g., '# --- CLIENT API ---', '# --- SERVER CALLBACKS ---') to map code to the planning phase. 2. Use comprehensive documentation using @moduledoc and @doc explaining process s","tate APIs. 3. CRITICAL: NO comment or docstring line may exceed 80 characters in width. | ") &amp;
"[DATA ROBUSTNESS RULE] Handle real-world data safely | " &amp;
"[CODE CONSTRAINTS] MUST be between " &amp; IF(G74="Beginner", "25–40", IF(G74="Intermediate", "30–60", "40–100")) &amp; " lines (STRICT) - Multi-step flow | " &amp;
"[SUPPORT FILES RULE] Include config files before code if needed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_xlfn._LONGTEXT("[OUTPUT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 &amp;
"[CODE QUALITY RULE] Code MUST be clean, readable, correct, and educational | " &amp;
"[FORMAT RULE] Only markdown code blocks allowed | " &amp;
"[EXECUTION RULE] Code MUST run and produce correct output | " &amp;
"[CONSISTENCY RULE] Project must match objective | " &amp;
"[HEADER RULE - STRICT] You MUST start your entire response EXACTLY with this markdown block (do not print anything before it):" &amp; CHAR(10) &amp; "### 🚀 Project #" &amp; F74 &amp; " | Stage 1 | " &amp; IF($I$3="", $I$2, $I$2&amp; " - " &amp;$I$3) &amp; " | 📊 Level: " &amp; G74 &amp; " | 🌐 Coding5s.com" &amp; CHAR(10) &amp; "**Project:** " &amp; J74 &amp; CHAR(10) &amp; "---" &amp; CHAR(10) &amp; " | " &amp;
"[OUTPUT] Only header, dataset notice, objective, support file, code planning, expected output, code, and footer | " &amp;
"[FOOTER RULE - STRICT] End your entire response EXACTLY with this markdown string (ensure all code blocks are closed before it):" &amp; CHAR(10) &amp; "---" &amp; CHAR(10) &amp; "⚡ *Coding5s System — Learn Programming by Writing Code*")</f>
        <v/>
      </c>
      <c r="AA74" s="56" t="str">
        <f t="shared" ref="AA74:AA137" si="29">IF(H74&lt;&gt;"PROJECT","",
"[ROLE] Careless " &amp; $I$2 &amp; " Developer | " &amp;
"[TASK] Generate debugging project in " &amp; $I$2 &amp; " | " &amp;
"[PROJECT] " &amp; I74 &amp; " | " &amp;
"[TOPICS USED] " &amp; B74 &amp; " | " &amp;
"[LEVEL] " &amp; G74 &amp; " | " &amp;
"[OUTPUT] Only header, dataset summary or statement (if any), email intro, objective, expected output, broken code, and footer | " &amp;
"[HEADER RULE - STRICT] You MUST start your entire response EXACTLY with this markdown block (do not print anything before it):" &amp; CHAR(10) &amp; "### 🚀 Project #" &amp; F74 &amp; " | Stage 2 | " &amp; IF($I$3="", $I$2, $I$2&amp; " - " &amp;$I$3) &amp; " | 📊 Level: " &amp; G74 &amp; " | 🌐 Coding5s.com" &amp; CHAR(10) &amp; "Project: " &amp; J74 &amp; CHAR(10) &amp; "---" &amp; CHAR(10) &amp; " | " &amp;
"[LIBRARY BEING LEARNED] " &amp; $I$3 &amp; " | " &amp;
_xlfn._LONGTEXT("[ECOSYSTEM ORIENTATION RULE] If a module or ecosystem like Explorer or Nx is specified in , you are CRITICALLY FORBIDDEN from using manual recursion or nested loop implementations. You MUST enforce the vectorized operations and data structures of that spe","cific library. | ") &amp;
"[LANGUAGE CONSISTENCY RULE] ALL output text MUST be written strictly in the selected language (" &amp; $B$6 &amp; "). This includes translating ALL structural labels requested in this prompt (like 'Project', 'Objective', 'Expected Output', 'Broken Code', 'From', 'To', 'Subject') into " &amp; $B$6 &amp; ". Do NOT mix languages. Only code and technical identifiers remain unchanged | " &amp; AE72 &amp; " | " &amp;
"[LANGUAGE SEED CONTEXT] " &amp; IF($AE$7 = "", "Language Seed Not Necessary", "You MUST strictly follow this seed context to enhance, adapt, and naturalize your tone, vocabulary, and instructional quality in " &amp; $B$6 &amp; ": " &amp; $AE$7) &amp; " | " &amp;
_xlfn._LONGTEXT("[BUG RULE] Simulate a messy production environment. The project MUST contain EXACTLY 2–5 bugs. You MUST randomly select from a wide variety of real-world Elixir errors: 1. Syntax/Compile (e.g., missing 'end', incorrect pipe '|&gt;', TokenMissingError), 2. Lo","gic (produces wrong output), AND 3. Runtime Exceptions (e.g., MatchError, FunctionClauseError, ArithmeticError, BadMapError). | ") &amp;
"[ENV USAGE RULE] Bugs ONLY in code logic, not config files | " &amp;
"[SUPPORT FILES RULE] IF an external configuration or data file is needed, include: 1. Short instructional sentence 2. File content in markdown code block 3. Place it strictly BEFORE the main code. | " &amp;
"[NO SOLUTION RULE - STRICT] You are generating an EXAM. Do NOT provide the fixed code, diagnosis, hints, or explanations. Output ONLY the broken code. Do NOT include comments that reveal the bugs. Let the student find them. | " &amp;
"[PERSONA RULE] Use a messy, careless developer tone | " &amp;
"[INTRO RULE] The intro MUST be a dynamically generated, urgent, unprofessional email in " &amp; $B$6 &amp; " with this EXACT format translated to " &amp; $B$6 &amp; ": 'From: [Random Dev Name]' / 'To: [Insert my user name if you know it from context, otherwise use " &amp; $I$2 &amp; _xlfn._LONGTEXT("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 &amp;
"[OUTPUT CONTRACT] EXACTLY 1 project. Structure MUST be: 'Project:' followed by 'Objective: maximum 6 lines.', then 'Expected Output: standalone markdown code block.', and finally 'Broken Code' | " &amp;
"[STRUCTURE RULE] Do NOT add extra sections or explanations (except when required by SUPPORT FILES RULE) | " &amp;
"[CODE CONSTRAINTS] - " &amp; IF(G74="Beginner", "25–40", IF(G74="Intermediate", "30–60", "40–100")) &amp; " lines of EXECUTABLE code (STRICT: Do NOT count blank lines towards this limit) - Multi-step flow - 2–4 functions ONLY - main() as entry point " &amp; IF(G74&lt;&gt;"Advanced", "- NO classes | ", "") &amp; " | " &amp;
"[EXECUTION RULE] Code must fail due to syntax errors, runtime exceptions, or produce incorrect output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"[FORMAT RULE] Only valid markdown code blocks | " &amp;
"[LANGUAGE TAG RULE] ALWAYS label markdown code blocks with the correct underlying programming language (e.g., python, javascript, sql) | " &amp;
"[STRICT MODE] Enforce all rules strictly | " &amp;
"[FOOTER RULE - STRICT] End your entire response EXACTLY with this markdown string (ensure all code blocks are closed before it):" &amp; CHAR(10) &amp; "---" &amp; CHAR(10) &amp; "⚡ Coding5s System - Learn Programming by Writing Code - Coding5S.com" )</f>
        <v/>
      </c>
      <c r="AB74" s="56" t="str">
        <f t="shared" ref="AB74:AB137" si="30">IF(H74&lt;&gt;"PROJECT","",
"[ROLE] Tech Lead | " &amp;
"[TASK] Assign incomplete project script | " &amp;
"[PROJECT] " &amp; I74 &amp; " | " &amp;
"[TOPICS USED] " &amp; B74 &amp; " | " &amp;
"[LEVEL] " &amp; G74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Project #" &amp; F74 &amp; " | Stage 3 | " &amp; IF($I$3="", $I$2, $I$2&amp; " - " &amp;$I$3) &amp; " | 📊 Level: " &amp; G74 &amp; " | 🌐 Coding5s.com" &amp; CHAR(10) &amp; "**Project:** " &amp; J74 &amp; CHAR(10) &amp; "---" &amp; CHAR(10) &amp; " | " &amp;
"[EXTERNAL_PACKAGE_PROTOCOL] Use Mix.install([{:package_name, '~&gt; version'}]) at the top if needed. | " &amp;
"[CHALLENGE_CONSTRAINTS_POLICY] MUST be between " &amp; IF(G74="Beginner","25–40", IF(G74="Intermediate","30–60","40–100")) &amp; " lines of EXECUTABLE base code (STRICT: Do NOT count comments or TODOs). Multi-step flow. | " &amp;
"[FORMAT RULE] Only valid markdown code blocks allowed | " &amp;
"[LANGUAGE TAG RULE] ALWAYS label markdown code blocks with the correct underlying programming language (e.g., python, javascript, sql) | " &amp;
_xlfn._LONGTEXT("[DATA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"[INTRO RULE] Intro MUST be a dynamically generated email in " &amp; $B$6 &amp; " with this EXACT format translated to " &amp; $B$6 &amp; ": 'From: [Generate NEW random full name] - Tech Lead' / 'To: [Insert my user name if known, else Junior] - " &amp; $I$2 &amp; " Developer' / 'Subject: [Project Subject]'. Body MUST be unique. Vibe: 'Hola, tengo la arquitectura lista, implementa la lógica en los # TODO. Revisa el expected output. Saludos.' | " &amp;
"[OUTPUT CONTRACT] EXACTLY 1 project. Structure MUST be: Tech Lead Intro Message, Project: Objective (max 6 lines), Expected Output (code block), Incomplete Code | " &amp;
"[OUTPUT TRUNCATION RULE] If output is large, show only first 5 lines. Do NOT use ellipsis (...) | " &amp;
"[OUTPUT EXECUTION RULE - STRICT] Expected output MUST be explicit, complete, and produced via final print(). | " &amp;
"[BASE CODE INTEGRITY RULE - STRICT] Code outside the TODO block MUST be 100% valid, logically correct, and run without errors. Do NOT use 'pass', '...', or empty placeholders outside the TODO. | " &amp;
"[TODO REALISM RULE] TODO must represent realistic integration bugs. Describe what is incorrect/incomplete. | " &amp;
"[TODO ISOLATION RULE - STRICT] ALL missing, incorrect, or output-affecting logic MUST exist ONLY inside the TODO block. Replace ONLY integration logic. | " &amp;
"[NO SOLUTION RULE - STRICT] The code under the # TODO MUST be left empty or with a 'pass'. DO NOT write the actual solution. | " &amp;
"[OUTPUT] Only header, dataset summary or statement (if any), intro message, objective, expected output, incomplete code, and footer | " &amp;
"[FOOTER RULE - STRICT] End your entire response EXACTLY with this markdown string (ensure all code blocks are closed before it):" &amp; CHAR(10) &amp; "---" &amp; CHAR(10) &amp; "⚡ *Coding5s System - Learn Programming by Writing Code - Coding5S.com*")</f>
        <v/>
      </c>
      <c r="AC74" s="56" t="str">
        <f t="shared" ref="AC74:AC137" si="31">IF(H74&lt;&gt;"PROJECT","",
"[ROLE] Tech Lead | " &amp;
"[TASK] Provide a messy but functional project for refactoring | " &amp;
"[PROJECT] " &amp; I74 &amp; " | " &amp;
"[TOPICS USED] " &amp; B74 &amp; " | " &amp;
"[LEVEL] " &amp; G74 &amp; " | " &amp;
"[PERSONA RULE] Act as a Tech Lead. A junior wrote this working but messy code. Tone: professional but exhausted | " &amp;
"[HEADER RULE - STRICT] You MUST start your entire response EXACTLY with this markdown block (do not print anything before it):" &amp; CHAR(10) &amp; "### 🚀 Project #" &amp; F74 &amp; " | Stage 4 | " &amp; IF($I$3="", $I$2, $I$2&amp; " - " &amp;$I$3) &amp; " | 📊 Level: " &amp; G74 &amp; " | 🌐 Coding5s.com" &amp; CHAR(10) &amp; "**Project:** " &amp; J74 &amp; CHAR(10) &amp; "---" &amp; CHAR(10)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"[CODE QUALITY RULE] Code MUST be correct and executable but not perfectly clean | " &amp;
"[DIRTY CODE RULE] Code MUST NOT include ANY comments and should include inconsistent naming, redundant logic, minor structural issues, and slightly messy organization while still remaining understandable as a complete working program | " &amp;
"[DATA ROBUSTNESS RULE] Handle real-world data safely | " &amp;
"[FORMAT RULE] Only valid markdown code blocks allowed | " &amp;
"[LANGUAGE TAG RULE] ALWAYS label markdown code blocks with the correct underlying programming language (e.g., python, javascript, sql)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 बुन्देल IMMEDIATELY AFTER THE HEADER, PURGE any memory of previous files, and use realistic dummy data | " &amp;
"[INTRO RULE] The intro MUST be an email in " &amp; $B$6 &amp; " with this EXACT format translated to " &amp; $B$6 &amp; ": 'From: [Tech Lead Name]' / 'To: [Insert my user name if known, else " &amp; $I$2 &amp; " Dev]' / 'Subject: [Funny subject]'. Body vibe: 'Hola, el Junior mandó esto. Increíblemente funciona, pero mis ojos sangran. Por favor refactorízalo.' | " &amp;
"[OUTPUT CONTRACT] EXACTLY 1 project. Structure MUST be: 1. Tech Lead Intro Email 2. Project: Objective (max 6 lines), Expected Output (code block), Dirty Code | " &amp;
"[REVIEW INTENT RULE] The user is expected to review and refactor the project to improve structure, readability, and maintainability | " &amp;
"[CODE CONSTRAINTS] MUST be between " &amp; IF(G74="Beginner", "25–40", IF(G74="Intermediate", "30–60", "40–100")) &amp; " lines of EXECUTABLE code (STRICT: Do NOT count blank lines towards this limit) - Multi-step flow - NO classes - Code MUST run correctly BUT be slightly messy and contain NO comments | " &amp;
"[SUPPORT FILES RULE] Include config files before code if needed | " &amp;
"[EXECUTION RULE] Code MUST run and produce correct output | " &amp;
"[CONSISTENCY RULE] Project must match objective | " &amp;
"[OUTPUT] Only header, dataset summary or statement (if any), intro email, objective, expected output, code, and footer | " &amp;
"[FOOTER RULE - STRICT] End your entire response EXACTLY with this markdown string (ensure all code blocks are closed before it):" &amp; CHAR(10) &amp; "---" &amp; CHAR(10) &amp; "⚡ *Coding5s System - Learn Programming by Writing Code - Coding5S.com*")</f>
        <v/>
      </c>
      <c r="AD74" s="56" t="str">
        <f t="shared" ref="AD74:AD137" si="32">IF(H74&lt;&gt;"PROJECT","",
"[ROLE] Tech Product Manager assigning a " &amp; $I$2 &amp; " Jira Ticket | " &amp;
"[TASK] Provide a guided project implementation with full solution | " &amp;
"[PROJECT] " &amp; I74 &amp; " | " &amp;
"[TOPICS USED] " &amp; B74 &amp; " | " &amp;
"[LEVEL] " &amp; G74 &amp; " | " &amp;
"[PERSONA RULE] Act as a professional Tech Product Manager defining a project ticket | " &amp;
"[LIBRARY BEING LEARNED] " &amp; $I$3 &amp; " | " &amp;
_xlfn._LONGTEXT("[ECOSYSTEM ORIENTATION RULE] If a module or ecosystem like Explorer or Nx is specified in , you are CRITICALLY FORBIDDEN from using manual recursion or nested loop implementations. You MUST enforce the vectorized operations and data structures of that spe","cific library. | ") &amp;
"[HEADER RULE - STRICT] You MUST start your entire response EXACTLY with this markdown block (do not print anything before it):" &amp; CHAR(10) &amp; "### 🚀 Project #" &amp; F74 &amp; " | Stage 5 | " &amp; IF($I$3="", $I$2, $I$2&amp; " - " &amp;$I$3) &amp; " | 📊 Level: " &amp; G74 &amp; " | 🌐 Coding5s.com" &amp; CHAR(10) &amp; "**Project:** " &amp; J74 &amp; CHAR(10) &amp; "---" &amp; CHAR(10) &amp; " | " &amp;
"[LANGUAGE CONSISTENCY RULE] ALL output MUST be strictly in " &amp; $B$6 &amp; _xlfn._LONGTEXT(".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 &amp; $B$6 &amp; " | " &amp; $AE$7 &amp; " | " &amp;
"[LANGUAGE SEED CONTEXT] " &amp; IF($AE$7 = "", "Language Seed Not Necessary", "You MUST strictly follow this seed context to enhance, adapt, and naturalize your tone, vocabulary, and instructional quality in " &amp; $B$6 &amp; ": " &amp; $AE$7) &amp; " | " &amp;
"[CODE CONSTRAINTS] V1.0 MUST be between " &amp; IF(G74="Beginner", "20–35", IF(G74="Intermediate", "30–50", "45–70")) &amp; " lines of EXECUTABLE code (STRICT) - V1.1 MUST be between " &amp; IF(G74="Beginner", "30–50", IF(G74="Intermediate", "45–75", "60–90")) &amp; " lines of EXECUTABLE code (STRICT) - Do NOT count comments or blank lines towards these limits - MUST run without errors - MUST include integration points - NO unnecessary complexity | " &amp;
"[CRITICAL OUTPUT RULE] Output MUST match real execution - Convert sets to sorted lists before printing | " &amp;
"[FUNCTION RULE] " &amp; IF(G74="Beginner", "Avoid complex structure. ", IF(G74="Intermediate", "Functions optional. ", "Use structured modular functions. ")) &amp; " | " &amp;
"[TICKET FORMAT RULE - STRICT] The 'Context &amp; Ticket' section MUST use this EXACT multi-line format (translated to " &amp; $B$6 &amp; "):" &amp; CHAR(10) &amp; "Ticket #[Random 5-digit ID]" &amp; CHAR(10) &amp; "From: [Generate Name] - [Department]" &amp; CHAR(10) &amp; "To: Dev Team" &amp; CHAR(10) &amp; "Subject: [Ticket Subject]" &amp; CHAR(10) &amp; "Hello Dev Team, this is [Name] from [Department]. [Context paragraph]." &amp; CHAR(10) &amp; CHAR(10) &amp; "(Tech Product Manager Notes):" &amp; CHAR(10) &amp; "From: [Generate TPM Name] - Tech Product Manager" &amp; CHAR(10) &amp; "To: [Insert my user name if known, otherwise use '" &amp; $I$2 &amp; " Dev']" &amp; CHAR(10) &amp; "Subject: Assignment Details" &amp; CHAR(10) &amp; "Hello [Insert my user name if known, otherwise use '" &amp; $I$2 &amp; " Dev']!" &amp; CHAR(10) &amp; "[Assignment paragraph]" &amp; CHAR(10) &amp; CHAR(10) &amp; "Acceptance Criteria:" &amp; CHAR(10) &amp; "[Bullet list]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IMMEDIATELY AFTER THE HEADER, PURGE any memory of previous files, and use realistic dummy data | " &amp;
_xlfn._LONGTEXT("[OUTPUT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 &amp;
"[CODE QUALITY RULE] Code MUST be clean and realistic | " &amp;
"[DATA ROBUSTNESS RULE] Handle real-world data safely | " &amp;
"[FORMAT RULE] Only markdown code blocks allowed | " &amp;
"[LANGUAGE TAG RULE] ALWAYS label markdown code blocks with the correct underlying programming language (e.g., python, javascript, sql) | " &amp;
"[EXECUTION RULE] Code MUST run correctly | " &amp;
"[OUTPUT] Only header, dataset summary or statement (if any), defined sections, and footer, | " &amp;
"[FOOTER RULE - STRICT] End your entire response EXACTLY with this markdown string (ensure all code blocks are closed before it):" &amp; CHAR(10) &amp; "---" &amp; CHAR(10) &amp; "⚡ *Coding5s System — Learn Programming by Writing Code*")</f>
        <v/>
      </c>
      <c r="AE74" s="40"/>
      <c r="AF74" s="40"/>
      <c r="AG74" s="40"/>
      <c r="AH74" s="56" t="str">
        <f t="shared" si="16"/>
        <v/>
      </c>
      <c r="AI74" s="54"/>
      <c r="AJ74" s="54"/>
      <c r="AK74" s="54"/>
      <c r="AL74" s="54"/>
      <c r="AM74" s="54"/>
    </row>
    <row r="75" spans="1:39">
      <c r="A75" s="95"/>
      <c r="B75" s="45" t="str" cm="1">
        <f t="array" ref="B75">IF(H75="PROJECT", CHAR(10) &amp; "- " &amp; _xlfn.TEXTJOIN(CHAR(10) &amp; "- ", TRUE, _xlfn._xlws.FILTER($I$9:$I$1000, ($C$9:$C$1000=C75) * ($H$9:$H$1000="Topic"))), "")</f>
        <v/>
      </c>
      <c r="C75" s="45">
        <f t="shared" si="17"/>
        <v>43</v>
      </c>
      <c r="D75" s="46"/>
      <c r="E75" s="58"/>
      <c r="F75" s="67"/>
      <c r="G75" s="53"/>
      <c r="H75" s="53"/>
      <c r="I75" s="50"/>
      <c r="J75" s="51"/>
      <c r="K75" s="120" t="str">
        <f t="shared" si="18"/>
        <v/>
      </c>
      <c r="L75" s="103" t="str">
        <f t="shared" si="19"/>
        <v/>
      </c>
      <c r="M75" s="53">
        <v>0</v>
      </c>
      <c r="N75" s="102" t="str">
        <f t="shared" si="20"/>
        <v/>
      </c>
      <c r="O75" s="103" t="str">
        <f t="shared" si="21"/>
        <v/>
      </c>
      <c r="P75" s="53">
        <v>0</v>
      </c>
      <c r="Q75" s="102" t="str">
        <f t="shared" si="22"/>
        <v/>
      </c>
      <c r="R75" s="103" t="str">
        <f t="shared" si="23"/>
        <v/>
      </c>
      <c r="S75" s="53">
        <v>0</v>
      </c>
      <c r="T75" s="102" t="str">
        <f t="shared" si="24"/>
        <v/>
      </c>
      <c r="U75" s="103" t="str">
        <f t="shared" si="25"/>
        <v/>
      </c>
      <c r="V75" s="53">
        <v>0</v>
      </c>
      <c r="W75" s="87" t="str">
        <f t="shared" si="26"/>
        <v/>
      </c>
      <c r="X75" s="103" t="str">
        <f t="shared" si="27"/>
        <v/>
      </c>
      <c r="Y75" s="53">
        <v>0</v>
      </c>
      <c r="Z75" s="56" t="str">
        <f t="shared" si="28"/>
        <v/>
      </c>
      <c r="AA75" s="56" t="str">
        <f t="shared" si="29"/>
        <v/>
      </c>
      <c r="AB75" s="56" t="str">
        <f t="shared" si="30"/>
        <v/>
      </c>
      <c r="AC75" s="56" t="str">
        <f t="shared" si="31"/>
        <v/>
      </c>
      <c r="AD75" s="56" t="str">
        <f t="shared" si="32"/>
        <v/>
      </c>
      <c r="AE75" s="40"/>
      <c r="AF75" s="40"/>
      <c r="AG75" s="40"/>
      <c r="AH75" s="56" t="str">
        <f t="shared" si="16"/>
        <v/>
      </c>
      <c r="AI75" s="54"/>
      <c r="AJ75" s="54"/>
      <c r="AK75" s="54"/>
      <c r="AL75" s="54"/>
      <c r="AM75" s="54"/>
    </row>
    <row r="76" spans="1:39">
      <c r="A76" s="95"/>
      <c r="B76" s="45" t="str" cm="1">
        <f t="array" ref="B76">IF(H76="PROJECT", CHAR(10) &amp; "- " &amp; _xlfn.TEXTJOIN(CHAR(10) &amp; "- ", TRUE, _xlfn._xlws.FILTER($I$9:$I$1000, ($C$9:$C$1000=C76) * ($H$9:$H$1000="Topic"))), "")</f>
        <v/>
      </c>
      <c r="C76" s="45">
        <f t="shared" si="17"/>
        <v>44</v>
      </c>
      <c r="D76" s="57"/>
      <c r="E76" s="58"/>
      <c r="F76" s="54"/>
      <c r="G76" s="52"/>
      <c r="H76" s="52"/>
      <c r="I76" s="61"/>
      <c r="J76" s="62"/>
      <c r="K76" s="120" t="str">
        <f t="shared" si="18"/>
        <v/>
      </c>
      <c r="L76" s="103" t="str">
        <f t="shared" si="19"/>
        <v/>
      </c>
      <c r="M76" s="52">
        <v>0</v>
      </c>
      <c r="N76" s="102" t="str">
        <f t="shared" si="20"/>
        <v/>
      </c>
      <c r="O76" s="103" t="str">
        <f t="shared" si="21"/>
        <v/>
      </c>
      <c r="P76" s="52">
        <v>0</v>
      </c>
      <c r="Q76" s="102" t="str">
        <f t="shared" si="22"/>
        <v/>
      </c>
      <c r="R76" s="103" t="str">
        <f t="shared" si="23"/>
        <v/>
      </c>
      <c r="S76" s="52">
        <v>0</v>
      </c>
      <c r="T76" s="102" t="str">
        <f t="shared" si="24"/>
        <v/>
      </c>
      <c r="U76" s="103" t="str">
        <f t="shared" si="25"/>
        <v/>
      </c>
      <c r="V76" s="52">
        <v>0</v>
      </c>
      <c r="W76" s="87" t="str">
        <f t="shared" si="26"/>
        <v/>
      </c>
      <c r="X76" s="103" t="str">
        <f t="shared" si="27"/>
        <v/>
      </c>
      <c r="Y76" s="52">
        <v>0</v>
      </c>
      <c r="Z76" s="56" t="str">
        <f t="shared" si="28"/>
        <v/>
      </c>
      <c r="AA76" s="56" t="str">
        <f t="shared" si="29"/>
        <v/>
      </c>
      <c r="AB76" s="56" t="str">
        <f t="shared" si="30"/>
        <v/>
      </c>
      <c r="AC76" s="56" t="str">
        <f t="shared" si="31"/>
        <v/>
      </c>
      <c r="AD76" s="56" t="str">
        <f t="shared" si="32"/>
        <v/>
      </c>
      <c r="AE76" s="40"/>
      <c r="AF76" s="40"/>
      <c r="AG76" s="40"/>
      <c r="AH76" s="56" t="str">
        <f t="shared" si="16"/>
        <v/>
      </c>
      <c r="AI76" s="54"/>
      <c r="AJ76" s="54"/>
      <c r="AK76" s="54"/>
      <c r="AL76" s="54"/>
      <c r="AM76" s="54"/>
    </row>
    <row r="77" spans="1:39">
      <c r="A77" s="95"/>
      <c r="B77" s="45" t="str" cm="1">
        <f t="array" ref="B77">IF(H77="PROJECT", CHAR(10) &amp; "- " &amp; _xlfn.TEXTJOIN(CHAR(10) &amp; "- ", TRUE, _xlfn._xlws.FILTER($I$9:$I$1000, ($C$9:$C$1000=C77) * ($H$9:$H$1000="Topic"))), "")</f>
        <v/>
      </c>
      <c r="C77" s="45">
        <f t="shared" si="17"/>
        <v>45</v>
      </c>
      <c r="D77" s="46"/>
      <c r="E77" s="58"/>
      <c r="F77" s="67"/>
      <c r="G77" s="53"/>
      <c r="H77" s="53"/>
      <c r="I77" s="50"/>
      <c r="J77" s="51"/>
      <c r="K77" s="120" t="str">
        <f t="shared" si="18"/>
        <v/>
      </c>
      <c r="L77" s="103" t="str">
        <f t="shared" si="19"/>
        <v/>
      </c>
      <c r="M77" s="53">
        <v>0</v>
      </c>
      <c r="N77" s="102" t="str">
        <f t="shared" si="20"/>
        <v/>
      </c>
      <c r="O77" s="103" t="str">
        <f t="shared" si="21"/>
        <v/>
      </c>
      <c r="P77" s="53">
        <v>0</v>
      </c>
      <c r="Q77" s="102" t="str">
        <f t="shared" si="22"/>
        <v/>
      </c>
      <c r="R77" s="103" t="str">
        <f t="shared" si="23"/>
        <v/>
      </c>
      <c r="S77" s="53">
        <v>0</v>
      </c>
      <c r="T77" s="102" t="str">
        <f t="shared" si="24"/>
        <v/>
      </c>
      <c r="U77" s="103" t="str">
        <f t="shared" si="25"/>
        <v/>
      </c>
      <c r="V77" s="53">
        <v>0</v>
      </c>
      <c r="W77" s="87" t="str">
        <f t="shared" si="26"/>
        <v/>
      </c>
      <c r="X77" s="103" t="str">
        <f t="shared" si="27"/>
        <v/>
      </c>
      <c r="Y77" s="53">
        <v>0</v>
      </c>
      <c r="Z77" s="56" t="str">
        <f t="shared" si="28"/>
        <v/>
      </c>
      <c r="AA77" s="56" t="str">
        <f t="shared" si="29"/>
        <v/>
      </c>
      <c r="AB77" s="56" t="str">
        <f t="shared" si="30"/>
        <v/>
      </c>
      <c r="AC77" s="56" t="str">
        <f t="shared" si="31"/>
        <v/>
      </c>
      <c r="AD77" s="56" t="str">
        <f t="shared" si="32"/>
        <v/>
      </c>
      <c r="AE77" s="40"/>
      <c r="AF77" s="40"/>
      <c r="AG77" s="40"/>
      <c r="AH77" s="56" t="str">
        <f t="shared" ref="AH77:AH140" si="33">IF(AE77=$B$6,AG77,"")</f>
        <v/>
      </c>
      <c r="AI77" s="54"/>
      <c r="AJ77" s="54"/>
      <c r="AK77" s="54"/>
      <c r="AL77" s="54"/>
      <c r="AM77" s="54"/>
    </row>
    <row r="78" spans="1:39">
      <c r="A78" s="95"/>
      <c r="B78" s="45" t="str" cm="1">
        <f t="array" ref="B78">IF(H78="PROJECT", CHAR(10) &amp; "- " &amp; _xlfn.TEXTJOIN(CHAR(10) &amp; "- ", TRUE, _xlfn._xlws.FILTER($I$9:$I$1000, ($C$9:$C$1000=C78) * ($H$9:$H$1000="Topic"))), "")</f>
        <v/>
      </c>
      <c r="C78" s="45">
        <f t="shared" si="17"/>
        <v>46</v>
      </c>
      <c r="D78" s="57"/>
      <c r="E78" s="58"/>
      <c r="F78" s="54"/>
      <c r="G78" s="52"/>
      <c r="H78" s="52"/>
      <c r="I78" s="61"/>
      <c r="J78" s="62"/>
      <c r="K78" s="120" t="str">
        <f t="shared" si="18"/>
        <v/>
      </c>
      <c r="L78" s="103" t="str">
        <f t="shared" si="19"/>
        <v/>
      </c>
      <c r="M78" s="52">
        <v>0</v>
      </c>
      <c r="N78" s="102" t="str">
        <f t="shared" si="20"/>
        <v/>
      </c>
      <c r="O78" s="103" t="str">
        <f t="shared" si="21"/>
        <v/>
      </c>
      <c r="P78" s="52">
        <v>0</v>
      </c>
      <c r="Q78" s="102" t="str">
        <f t="shared" si="22"/>
        <v/>
      </c>
      <c r="R78" s="103" t="str">
        <f t="shared" si="23"/>
        <v/>
      </c>
      <c r="S78" s="52">
        <v>0</v>
      </c>
      <c r="T78" s="102" t="str">
        <f t="shared" si="24"/>
        <v/>
      </c>
      <c r="U78" s="103" t="str">
        <f t="shared" si="25"/>
        <v/>
      </c>
      <c r="V78" s="52">
        <v>0</v>
      </c>
      <c r="W78" s="87" t="str">
        <f t="shared" si="26"/>
        <v/>
      </c>
      <c r="X78" s="103" t="str">
        <f t="shared" si="27"/>
        <v/>
      </c>
      <c r="Y78" s="52">
        <v>0</v>
      </c>
      <c r="Z78" s="56" t="str">
        <f t="shared" si="28"/>
        <v/>
      </c>
      <c r="AA78" s="56" t="str">
        <f t="shared" si="29"/>
        <v/>
      </c>
      <c r="AB78" s="56" t="str">
        <f t="shared" si="30"/>
        <v/>
      </c>
      <c r="AC78" s="56" t="str">
        <f t="shared" si="31"/>
        <v/>
      </c>
      <c r="AD78" s="56" t="str">
        <f t="shared" si="32"/>
        <v/>
      </c>
      <c r="AE78" s="40"/>
      <c r="AF78" s="40"/>
      <c r="AG78" s="40"/>
      <c r="AH78" s="56" t="str">
        <f t="shared" si="33"/>
        <v/>
      </c>
      <c r="AI78" s="54"/>
      <c r="AJ78" s="54"/>
      <c r="AK78" s="54"/>
      <c r="AL78" s="54"/>
      <c r="AM78" s="54"/>
    </row>
    <row r="79" spans="1:39">
      <c r="A79" s="95"/>
      <c r="B79" s="45" t="str" cm="1">
        <f t="array" ref="B79">IF(H79="PROJECT", CHAR(10) &amp; "- " &amp; _xlfn.TEXTJOIN(CHAR(10) &amp; "- ", TRUE, _xlfn._xlws.FILTER($I$9:$I$1000, ($C$9:$C$1000=C79) * ($H$9:$H$1000="Topic"))), "")</f>
        <v/>
      </c>
      <c r="C79" s="45">
        <f t="shared" si="17"/>
        <v>47</v>
      </c>
      <c r="D79" s="46"/>
      <c r="E79" s="58"/>
      <c r="F79" s="67"/>
      <c r="G79" s="53"/>
      <c r="H79" s="53"/>
      <c r="I79" s="50"/>
      <c r="J79" s="51"/>
      <c r="K79" s="120" t="str">
        <f t="shared" si="18"/>
        <v/>
      </c>
      <c r="L79" s="103" t="str">
        <f t="shared" si="19"/>
        <v/>
      </c>
      <c r="M79" s="53">
        <v>0</v>
      </c>
      <c r="N79" s="102" t="str">
        <f t="shared" si="20"/>
        <v/>
      </c>
      <c r="O79" s="103" t="str">
        <f t="shared" si="21"/>
        <v/>
      </c>
      <c r="P79" s="53">
        <v>0</v>
      </c>
      <c r="Q79" s="102" t="str">
        <f t="shared" si="22"/>
        <v/>
      </c>
      <c r="R79" s="103" t="str">
        <f t="shared" si="23"/>
        <v/>
      </c>
      <c r="S79" s="53">
        <v>0</v>
      </c>
      <c r="T79" s="102" t="str">
        <f t="shared" si="24"/>
        <v/>
      </c>
      <c r="U79" s="103" t="str">
        <f t="shared" si="25"/>
        <v/>
      </c>
      <c r="V79" s="53">
        <v>0</v>
      </c>
      <c r="W79" s="87" t="str">
        <f t="shared" si="26"/>
        <v/>
      </c>
      <c r="X79" s="103" t="str">
        <f t="shared" si="27"/>
        <v/>
      </c>
      <c r="Y79" s="53">
        <v>0</v>
      </c>
      <c r="Z79" s="56" t="str">
        <f t="shared" si="28"/>
        <v/>
      </c>
      <c r="AA79" s="56" t="str">
        <f t="shared" si="29"/>
        <v/>
      </c>
      <c r="AB79" s="56" t="str">
        <f t="shared" si="30"/>
        <v/>
      </c>
      <c r="AC79" s="56" t="str">
        <f t="shared" si="31"/>
        <v/>
      </c>
      <c r="AD79" s="56" t="str">
        <f t="shared" si="32"/>
        <v/>
      </c>
      <c r="AE79" s="40"/>
      <c r="AF79" s="40"/>
      <c r="AG79" s="40"/>
      <c r="AH79" s="56" t="str">
        <f t="shared" si="33"/>
        <v/>
      </c>
      <c r="AI79" s="54"/>
      <c r="AJ79" s="54"/>
      <c r="AK79" s="54"/>
      <c r="AL79" s="54"/>
      <c r="AM79" s="54"/>
    </row>
    <row r="80" spans="1:39">
      <c r="A80" s="95"/>
      <c r="B80" s="45" t="str" cm="1">
        <f t="array" ref="B80">IF(H80="PROJECT", CHAR(10) &amp; "- " &amp; _xlfn.TEXTJOIN(CHAR(10) &amp; "- ", TRUE, _xlfn._xlws.FILTER($I$9:$I$1000, ($C$9:$C$1000=C80) * ($H$9:$H$1000="Topic"))), "")</f>
        <v/>
      </c>
      <c r="C80" s="45">
        <f t="shared" si="17"/>
        <v>48</v>
      </c>
      <c r="D80" s="57"/>
      <c r="E80" s="58"/>
      <c r="F80" s="54"/>
      <c r="G80" s="52"/>
      <c r="H80" s="60"/>
      <c r="I80" s="61"/>
      <c r="J80" s="62"/>
      <c r="K80" s="120" t="str">
        <f t="shared" si="18"/>
        <v/>
      </c>
      <c r="L80" s="103" t="str">
        <f t="shared" si="19"/>
        <v/>
      </c>
      <c r="M80" s="52">
        <v>0</v>
      </c>
      <c r="N80" s="102" t="str">
        <f t="shared" si="20"/>
        <v/>
      </c>
      <c r="O80" s="103" t="str">
        <f t="shared" si="21"/>
        <v/>
      </c>
      <c r="P80" s="52">
        <v>0</v>
      </c>
      <c r="Q80" s="102" t="str">
        <f t="shared" si="22"/>
        <v/>
      </c>
      <c r="R80" s="103" t="str">
        <f t="shared" si="23"/>
        <v/>
      </c>
      <c r="S80" s="52">
        <v>0</v>
      </c>
      <c r="T80" s="102" t="str">
        <f t="shared" si="24"/>
        <v/>
      </c>
      <c r="U80" s="103" t="str">
        <f t="shared" si="25"/>
        <v/>
      </c>
      <c r="V80" s="52">
        <v>0</v>
      </c>
      <c r="W80" s="87" t="str">
        <f t="shared" si="26"/>
        <v/>
      </c>
      <c r="X80" s="103" t="str">
        <f t="shared" si="27"/>
        <v/>
      </c>
      <c r="Y80" s="52">
        <v>0</v>
      </c>
      <c r="Z80" s="56" t="str">
        <f t="shared" si="28"/>
        <v/>
      </c>
      <c r="AA80" s="56" t="str">
        <f t="shared" si="29"/>
        <v/>
      </c>
      <c r="AB80" s="56" t="str">
        <f t="shared" si="30"/>
        <v/>
      </c>
      <c r="AC80" s="56" t="str">
        <f t="shared" si="31"/>
        <v/>
      </c>
      <c r="AD80" s="56" t="str">
        <f t="shared" si="32"/>
        <v/>
      </c>
      <c r="AE80" s="40"/>
      <c r="AF80" s="40"/>
      <c r="AG80" s="40"/>
      <c r="AH80" s="56" t="str">
        <f t="shared" si="33"/>
        <v/>
      </c>
      <c r="AI80" s="54"/>
      <c r="AJ80" s="54"/>
      <c r="AK80" s="54"/>
      <c r="AL80" s="54"/>
      <c r="AM80" s="54"/>
    </row>
    <row r="81" spans="1:39">
      <c r="A81" s="95"/>
      <c r="B81" s="45" t="str" cm="1">
        <f t="array" ref="B81">IF(H81="PROJECT", CHAR(10) &amp; "- " &amp; _xlfn.TEXTJOIN(CHAR(10) &amp; "- ", TRUE, _xlfn._xlws.FILTER($I$9:$I$1000, ($C$9:$C$1000=C81) * ($H$9:$H$1000="Topic"))), "")</f>
        <v/>
      </c>
      <c r="C81" s="45">
        <f t="shared" si="17"/>
        <v>49</v>
      </c>
      <c r="D81" s="46"/>
      <c r="E81" s="58"/>
      <c r="F81" s="67"/>
      <c r="G81" s="53"/>
      <c r="H81" s="53"/>
      <c r="I81" s="50"/>
      <c r="J81" s="51"/>
      <c r="K81" s="120" t="str">
        <f t="shared" si="18"/>
        <v/>
      </c>
      <c r="L81" s="103" t="str">
        <f t="shared" si="19"/>
        <v/>
      </c>
      <c r="M81" s="53">
        <v>0</v>
      </c>
      <c r="N81" s="102" t="str">
        <f t="shared" si="20"/>
        <v/>
      </c>
      <c r="O81" s="103" t="str">
        <f t="shared" si="21"/>
        <v/>
      </c>
      <c r="P81" s="53">
        <v>0</v>
      </c>
      <c r="Q81" s="102" t="str">
        <f t="shared" si="22"/>
        <v/>
      </c>
      <c r="R81" s="103" t="str">
        <f t="shared" si="23"/>
        <v/>
      </c>
      <c r="S81" s="53">
        <v>0</v>
      </c>
      <c r="T81" s="102" t="str">
        <f t="shared" si="24"/>
        <v/>
      </c>
      <c r="U81" s="103" t="str">
        <f t="shared" si="25"/>
        <v/>
      </c>
      <c r="V81" s="53">
        <v>0</v>
      </c>
      <c r="W81" s="87" t="str">
        <f t="shared" si="26"/>
        <v/>
      </c>
      <c r="X81" s="103" t="str">
        <f t="shared" si="27"/>
        <v/>
      </c>
      <c r="Y81" s="53">
        <v>0</v>
      </c>
      <c r="Z81" s="56" t="str">
        <f t="shared" si="28"/>
        <v/>
      </c>
      <c r="AA81" s="56" t="str">
        <f t="shared" si="29"/>
        <v/>
      </c>
      <c r="AB81" s="56" t="str">
        <f t="shared" si="30"/>
        <v/>
      </c>
      <c r="AC81" s="56" t="str">
        <f t="shared" si="31"/>
        <v/>
      </c>
      <c r="AD81" s="56" t="str">
        <f t="shared" si="32"/>
        <v/>
      </c>
      <c r="AE81" s="40"/>
      <c r="AF81" s="40"/>
      <c r="AG81" s="40"/>
      <c r="AH81" s="56" t="str">
        <f t="shared" si="33"/>
        <v/>
      </c>
      <c r="AI81" s="54"/>
      <c r="AJ81" s="54"/>
      <c r="AK81" s="54"/>
      <c r="AL81" s="54"/>
      <c r="AM81" s="54"/>
    </row>
    <row r="82" spans="1:39">
      <c r="A82" s="95"/>
      <c r="B82" s="45" t="str" cm="1">
        <f t="array" ref="B82">IF(H82="PROJECT", CHAR(10) &amp; "- " &amp; _xlfn.TEXTJOIN(CHAR(10) &amp; "- ", TRUE, _xlfn._xlws.FILTER($I$9:$I$1000, ($C$9:$C$1000=C82) * ($H$9:$H$1000="Topic"))), "")</f>
        <v/>
      </c>
      <c r="C82" s="45">
        <f t="shared" si="17"/>
        <v>50</v>
      </c>
      <c r="D82" s="57"/>
      <c r="E82" s="58"/>
      <c r="F82" s="54"/>
      <c r="G82" s="52"/>
      <c r="H82" s="52"/>
      <c r="I82" s="61"/>
      <c r="J82" s="62"/>
      <c r="K82" s="120" t="str">
        <f t="shared" si="18"/>
        <v/>
      </c>
      <c r="L82" s="103" t="str">
        <f t="shared" si="19"/>
        <v/>
      </c>
      <c r="M82" s="52">
        <v>0</v>
      </c>
      <c r="N82" s="102" t="str">
        <f t="shared" si="20"/>
        <v/>
      </c>
      <c r="O82" s="103" t="str">
        <f t="shared" si="21"/>
        <v/>
      </c>
      <c r="P82" s="52">
        <v>0</v>
      </c>
      <c r="Q82" s="102" t="str">
        <f t="shared" si="22"/>
        <v/>
      </c>
      <c r="R82" s="103" t="str">
        <f t="shared" si="23"/>
        <v/>
      </c>
      <c r="S82" s="52">
        <v>0</v>
      </c>
      <c r="T82" s="102" t="str">
        <f t="shared" si="24"/>
        <v/>
      </c>
      <c r="U82" s="103" t="str">
        <f t="shared" si="25"/>
        <v/>
      </c>
      <c r="V82" s="52">
        <v>0</v>
      </c>
      <c r="W82" s="87" t="str">
        <f t="shared" si="26"/>
        <v/>
      </c>
      <c r="X82" s="103" t="str">
        <f t="shared" si="27"/>
        <v/>
      </c>
      <c r="Y82" s="52">
        <v>0</v>
      </c>
      <c r="Z82" s="56" t="str">
        <f t="shared" si="28"/>
        <v/>
      </c>
      <c r="AA82" s="56" t="str">
        <f t="shared" si="29"/>
        <v/>
      </c>
      <c r="AB82" s="56" t="str">
        <f t="shared" si="30"/>
        <v/>
      </c>
      <c r="AC82" s="56" t="str">
        <f t="shared" si="31"/>
        <v/>
      </c>
      <c r="AD82" s="56" t="str">
        <f t="shared" si="32"/>
        <v/>
      </c>
      <c r="AE82" s="40"/>
      <c r="AF82" s="40"/>
      <c r="AG82" s="40"/>
      <c r="AH82" s="56" t="str">
        <f t="shared" si="33"/>
        <v/>
      </c>
      <c r="AI82" s="54"/>
      <c r="AJ82" s="54"/>
      <c r="AK82" s="54"/>
      <c r="AL82" s="54"/>
      <c r="AM82" s="54"/>
    </row>
    <row r="83" spans="1:39">
      <c r="A83" s="95"/>
      <c r="B83" s="45" t="str" cm="1">
        <f t="array" ref="B83">IF(H83="PROJECT", CHAR(10) &amp; "- " &amp; _xlfn.TEXTJOIN(CHAR(10) &amp; "- ", TRUE, _xlfn._xlws.FILTER($I$9:$I$1000, ($C$9:$C$1000=C83) * ($H$9:$H$1000="Topic"))), "")</f>
        <v/>
      </c>
      <c r="C83" s="45">
        <f t="shared" si="17"/>
        <v>51</v>
      </c>
      <c r="D83" s="46"/>
      <c r="E83" s="58"/>
      <c r="F83" s="67"/>
      <c r="G83" s="53"/>
      <c r="H83" s="53"/>
      <c r="I83" s="50"/>
      <c r="J83" s="51"/>
      <c r="K83" s="120" t="str">
        <f t="shared" si="18"/>
        <v/>
      </c>
      <c r="L83" s="103" t="str">
        <f t="shared" si="19"/>
        <v/>
      </c>
      <c r="M83" s="53">
        <v>0</v>
      </c>
      <c r="N83" s="102" t="str">
        <f t="shared" si="20"/>
        <v/>
      </c>
      <c r="O83" s="103" t="str">
        <f t="shared" si="21"/>
        <v/>
      </c>
      <c r="P83" s="53">
        <v>0</v>
      </c>
      <c r="Q83" s="102" t="str">
        <f t="shared" si="22"/>
        <v/>
      </c>
      <c r="R83" s="103" t="str">
        <f t="shared" si="23"/>
        <v/>
      </c>
      <c r="S83" s="53">
        <v>0</v>
      </c>
      <c r="T83" s="102" t="str">
        <f t="shared" si="24"/>
        <v/>
      </c>
      <c r="U83" s="103" t="str">
        <f t="shared" si="25"/>
        <v/>
      </c>
      <c r="V83" s="53">
        <v>0</v>
      </c>
      <c r="W83" s="87" t="str">
        <f t="shared" si="26"/>
        <v/>
      </c>
      <c r="X83" s="103" t="str">
        <f t="shared" si="27"/>
        <v/>
      </c>
      <c r="Y83" s="53">
        <v>0</v>
      </c>
      <c r="Z83" s="56" t="str">
        <f t="shared" si="28"/>
        <v/>
      </c>
      <c r="AA83" s="56" t="str">
        <f t="shared" si="29"/>
        <v/>
      </c>
      <c r="AB83" s="56" t="str">
        <f t="shared" si="30"/>
        <v/>
      </c>
      <c r="AC83" s="56" t="str">
        <f t="shared" si="31"/>
        <v/>
      </c>
      <c r="AD83" s="56" t="str">
        <f t="shared" si="32"/>
        <v/>
      </c>
      <c r="AE83" s="40"/>
      <c r="AF83" s="40"/>
      <c r="AG83" s="40"/>
      <c r="AH83" s="56" t="str">
        <f t="shared" si="33"/>
        <v/>
      </c>
      <c r="AI83" s="54"/>
      <c r="AJ83" s="54"/>
      <c r="AK83" s="54"/>
      <c r="AL83" s="54"/>
      <c r="AM83" s="54"/>
    </row>
    <row r="84" spans="1:39">
      <c r="A84" s="95"/>
      <c r="B84" s="45" t="str" cm="1">
        <f t="array" ref="B84">IF(H84="PROJECT", CHAR(10) &amp; "- " &amp; _xlfn.TEXTJOIN(CHAR(10) &amp; "- ", TRUE, _xlfn._xlws.FILTER($I$9:$I$1000, ($C$9:$C$1000=C84) * ($H$9:$H$1000="Topic"))), "")</f>
        <v/>
      </c>
      <c r="C84" s="45">
        <f t="shared" si="17"/>
        <v>52</v>
      </c>
      <c r="D84" s="57"/>
      <c r="E84" s="58"/>
      <c r="F84" s="54"/>
      <c r="G84" s="52"/>
      <c r="H84" s="52"/>
      <c r="I84" s="61"/>
      <c r="J84" s="62"/>
      <c r="K84" s="120" t="str">
        <f t="shared" si="18"/>
        <v/>
      </c>
      <c r="L84" s="103" t="str">
        <f t="shared" si="19"/>
        <v/>
      </c>
      <c r="M84" s="52">
        <v>0</v>
      </c>
      <c r="N84" s="102" t="str">
        <f t="shared" si="20"/>
        <v/>
      </c>
      <c r="O84" s="103" t="str">
        <f t="shared" si="21"/>
        <v/>
      </c>
      <c r="P84" s="52">
        <v>0</v>
      </c>
      <c r="Q84" s="102" t="str">
        <f t="shared" si="22"/>
        <v/>
      </c>
      <c r="R84" s="103" t="str">
        <f t="shared" si="23"/>
        <v/>
      </c>
      <c r="S84" s="52">
        <v>0</v>
      </c>
      <c r="T84" s="102" t="str">
        <f t="shared" si="24"/>
        <v/>
      </c>
      <c r="U84" s="103" t="str">
        <f t="shared" si="25"/>
        <v/>
      </c>
      <c r="V84" s="52">
        <v>0</v>
      </c>
      <c r="W84" s="87" t="str">
        <f t="shared" si="26"/>
        <v/>
      </c>
      <c r="X84" s="103" t="str">
        <f t="shared" si="27"/>
        <v/>
      </c>
      <c r="Y84" s="52">
        <v>0</v>
      </c>
      <c r="Z84" s="56" t="str">
        <f t="shared" si="28"/>
        <v/>
      </c>
      <c r="AA84" s="56" t="str">
        <f t="shared" si="29"/>
        <v/>
      </c>
      <c r="AB84" s="56" t="str">
        <f t="shared" si="30"/>
        <v/>
      </c>
      <c r="AC84" s="56" t="str">
        <f t="shared" si="31"/>
        <v/>
      </c>
      <c r="AD84" s="56" t="str">
        <f t="shared" si="32"/>
        <v/>
      </c>
      <c r="AE84" s="40"/>
      <c r="AF84" s="40"/>
      <c r="AG84" s="40"/>
      <c r="AH84" s="56" t="str">
        <f t="shared" si="33"/>
        <v/>
      </c>
      <c r="AI84" s="54"/>
      <c r="AJ84" s="54"/>
      <c r="AK84" s="54"/>
      <c r="AL84" s="54"/>
      <c r="AM84" s="54"/>
    </row>
    <row r="85" spans="1:39">
      <c r="A85" s="95"/>
      <c r="B85" s="45" t="str" cm="1">
        <f t="array" ref="B85">IF(H85="PROJECT", CHAR(10) &amp; "- " &amp; _xlfn.TEXTJOIN(CHAR(10) &amp; "- ", TRUE, _xlfn._xlws.FILTER($I$9:$I$1000, ($C$9:$C$1000=C85) * ($H$9:$H$1000="Topic"))), "")</f>
        <v/>
      </c>
      <c r="C85" s="45">
        <f t="shared" si="17"/>
        <v>53</v>
      </c>
      <c r="D85" s="46"/>
      <c r="E85" s="58"/>
      <c r="F85" s="67"/>
      <c r="G85" s="53"/>
      <c r="H85" s="53"/>
      <c r="I85" s="50"/>
      <c r="J85" s="51"/>
      <c r="K85" s="120" t="str">
        <f t="shared" si="18"/>
        <v/>
      </c>
      <c r="L85" s="103" t="str">
        <f t="shared" si="19"/>
        <v/>
      </c>
      <c r="M85" s="53">
        <v>0</v>
      </c>
      <c r="N85" s="102" t="str">
        <f t="shared" si="20"/>
        <v/>
      </c>
      <c r="O85" s="103" t="str">
        <f t="shared" si="21"/>
        <v/>
      </c>
      <c r="P85" s="53">
        <v>0</v>
      </c>
      <c r="Q85" s="102" t="str">
        <f t="shared" si="22"/>
        <v/>
      </c>
      <c r="R85" s="103" t="str">
        <f t="shared" si="23"/>
        <v/>
      </c>
      <c r="S85" s="53">
        <v>0</v>
      </c>
      <c r="T85" s="102" t="str">
        <f t="shared" si="24"/>
        <v/>
      </c>
      <c r="U85" s="103" t="str">
        <f t="shared" si="25"/>
        <v/>
      </c>
      <c r="V85" s="53">
        <v>0</v>
      </c>
      <c r="W85" s="87" t="str">
        <f t="shared" si="26"/>
        <v/>
      </c>
      <c r="X85" s="103" t="str">
        <f t="shared" si="27"/>
        <v/>
      </c>
      <c r="Y85" s="53">
        <v>0</v>
      </c>
      <c r="Z85" s="56" t="str">
        <f t="shared" si="28"/>
        <v/>
      </c>
      <c r="AA85" s="56" t="str">
        <f t="shared" si="29"/>
        <v/>
      </c>
      <c r="AB85" s="56" t="str">
        <f t="shared" si="30"/>
        <v/>
      </c>
      <c r="AC85" s="56" t="str">
        <f t="shared" si="31"/>
        <v/>
      </c>
      <c r="AD85" s="56" t="str">
        <f t="shared" si="32"/>
        <v/>
      </c>
      <c r="AE85" s="40"/>
      <c r="AF85" s="40"/>
      <c r="AG85" s="40"/>
      <c r="AH85" s="56" t="str">
        <f t="shared" si="33"/>
        <v/>
      </c>
      <c r="AI85" s="54"/>
      <c r="AJ85" s="54"/>
      <c r="AK85" s="54"/>
      <c r="AL85" s="54"/>
      <c r="AM85" s="54"/>
    </row>
    <row r="86" spans="1:39">
      <c r="A86" s="95"/>
      <c r="B86" s="45" t="str" cm="1">
        <f t="array" ref="B86">IF(H86="PROJECT", CHAR(10) &amp; "- " &amp; _xlfn.TEXTJOIN(CHAR(10) &amp; "- ", TRUE, _xlfn._xlws.FILTER($I$9:$I$1000, ($C$9:$C$1000=C86) * ($H$9:$H$1000="Topic"))), "")</f>
        <v/>
      </c>
      <c r="C86" s="45">
        <f t="shared" si="17"/>
        <v>54</v>
      </c>
      <c r="D86" s="57"/>
      <c r="E86" s="58"/>
      <c r="F86" s="54"/>
      <c r="G86" s="52"/>
      <c r="H86" s="52"/>
      <c r="I86" s="61"/>
      <c r="J86" s="62"/>
      <c r="K86" s="120" t="str">
        <f t="shared" si="18"/>
        <v/>
      </c>
      <c r="L86" s="103" t="str">
        <f t="shared" si="19"/>
        <v/>
      </c>
      <c r="M86" s="52">
        <v>0</v>
      </c>
      <c r="N86" s="102" t="str">
        <f t="shared" si="20"/>
        <v/>
      </c>
      <c r="O86" s="103" t="str">
        <f t="shared" si="21"/>
        <v/>
      </c>
      <c r="P86" s="52">
        <v>0</v>
      </c>
      <c r="Q86" s="102" t="str">
        <f t="shared" si="22"/>
        <v/>
      </c>
      <c r="R86" s="103" t="str">
        <f t="shared" si="23"/>
        <v/>
      </c>
      <c r="S86" s="52">
        <v>0</v>
      </c>
      <c r="T86" s="102" t="str">
        <f t="shared" si="24"/>
        <v/>
      </c>
      <c r="U86" s="103" t="str">
        <f t="shared" si="25"/>
        <v/>
      </c>
      <c r="V86" s="52">
        <v>0</v>
      </c>
      <c r="W86" s="87" t="str">
        <f t="shared" si="26"/>
        <v/>
      </c>
      <c r="X86" s="103" t="str">
        <f t="shared" si="27"/>
        <v/>
      </c>
      <c r="Y86" s="52">
        <v>0</v>
      </c>
      <c r="Z86" s="56" t="str">
        <f t="shared" si="28"/>
        <v/>
      </c>
      <c r="AA86" s="56" t="str">
        <f t="shared" si="29"/>
        <v/>
      </c>
      <c r="AB86" s="56" t="str">
        <f t="shared" si="30"/>
        <v/>
      </c>
      <c r="AC86" s="56" t="str">
        <f t="shared" si="31"/>
        <v/>
      </c>
      <c r="AD86" s="56" t="str">
        <f t="shared" si="32"/>
        <v/>
      </c>
      <c r="AE86" s="40"/>
      <c r="AF86" s="40"/>
      <c r="AG86" s="40"/>
      <c r="AH86" s="56" t="str">
        <f t="shared" si="33"/>
        <v/>
      </c>
      <c r="AI86" s="54"/>
      <c r="AJ86" s="54"/>
      <c r="AK86" s="54"/>
      <c r="AL86" s="54"/>
      <c r="AM86" s="54"/>
    </row>
    <row r="87" spans="1:39">
      <c r="A87" s="95"/>
      <c r="B87" s="45" t="str" cm="1">
        <f t="array" ref="B87">IF(H87="PROJECT", CHAR(10) &amp; "- " &amp; _xlfn.TEXTJOIN(CHAR(10) &amp; "- ", TRUE, _xlfn._xlws.FILTER($I$9:$I$1000, ($C$9:$C$1000=C87) * ($H$9:$H$1000="Topic"))), "")</f>
        <v/>
      </c>
      <c r="C87" s="45">
        <f t="shared" si="17"/>
        <v>55</v>
      </c>
      <c r="D87" s="46"/>
      <c r="E87" s="58"/>
      <c r="F87" s="67"/>
      <c r="G87" s="53"/>
      <c r="H87" s="53"/>
      <c r="I87" s="50"/>
      <c r="J87" s="51"/>
      <c r="K87" s="120" t="str">
        <f t="shared" si="18"/>
        <v/>
      </c>
      <c r="L87" s="103" t="str">
        <f t="shared" si="19"/>
        <v/>
      </c>
      <c r="M87" s="53">
        <v>0</v>
      </c>
      <c r="N87" s="102" t="str">
        <f t="shared" si="20"/>
        <v/>
      </c>
      <c r="O87" s="103" t="str">
        <f t="shared" si="21"/>
        <v/>
      </c>
      <c r="P87" s="53">
        <v>0</v>
      </c>
      <c r="Q87" s="102" t="str">
        <f t="shared" si="22"/>
        <v/>
      </c>
      <c r="R87" s="103" t="str">
        <f t="shared" si="23"/>
        <v/>
      </c>
      <c r="S87" s="53">
        <v>0</v>
      </c>
      <c r="T87" s="102" t="str">
        <f t="shared" si="24"/>
        <v/>
      </c>
      <c r="U87" s="103" t="str">
        <f t="shared" si="25"/>
        <v/>
      </c>
      <c r="V87" s="53">
        <v>0</v>
      </c>
      <c r="W87" s="87" t="str">
        <f t="shared" si="26"/>
        <v/>
      </c>
      <c r="X87" s="103" t="str">
        <f t="shared" si="27"/>
        <v/>
      </c>
      <c r="Y87" s="53">
        <v>0</v>
      </c>
      <c r="Z87" s="56" t="str">
        <f t="shared" si="28"/>
        <v/>
      </c>
      <c r="AA87" s="56" t="str">
        <f t="shared" si="29"/>
        <v/>
      </c>
      <c r="AB87" s="56" t="str">
        <f t="shared" si="30"/>
        <v/>
      </c>
      <c r="AC87" s="56" t="str">
        <f t="shared" si="31"/>
        <v/>
      </c>
      <c r="AD87" s="56" t="str">
        <f t="shared" si="32"/>
        <v/>
      </c>
      <c r="AE87" s="40"/>
      <c r="AF87" s="40"/>
      <c r="AG87" s="40"/>
      <c r="AH87" s="56" t="str">
        <f t="shared" si="33"/>
        <v/>
      </c>
      <c r="AI87" s="54"/>
      <c r="AJ87" s="54"/>
      <c r="AK87" s="54"/>
      <c r="AL87" s="54"/>
      <c r="AM87" s="54"/>
    </row>
    <row r="88" spans="1:39">
      <c r="A88" s="95"/>
      <c r="B88" s="45" t="str" cm="1">
        <f t="array" ref="B88">IF(H88="PROJECT", CHAR(10) &amp; "- " &amp; _xlfn.TEXTJOIN(CHAR(10) &amp; "- ", TRUE, _xlfn._xlws.FILTER($I$9:$I$1000, ($C$9:$C$1000=C88) * ($H$9:$H$1000="Topic"))), "")</f>
        <v/>
      </c>
      <c r="C88" s="45">
        <f t="shared" si="17"/>
        <v>56</v>
      </c>
      <c r="D88" s="57"/>
      <c r="E88" s="58"/>
      <c r="F88" s="54"/>
      <c r="G88" s="52"/>
      <c r="H88" s="52"/>
      <c r="I88" s="61"/>
      <c r="J88" s="62"/>
      <c r="K88" s="120" t="str">
        <f t="shared" si="18"/>
        <v/>
      </c>
      <c r="L88" s="103" t="str">
        <f t="shared" si="19"/>
        <v/>
      </c>
      <c r="M88" s="52">
        <v>0</v>
      </c>
      <c r="N88" s="102" t="str">
        <f t="shared" si="20"/>
        <v/>
      </c>
      <c r="O88" s="103" t="str">
        <f t="shared" si="21"/>
        <v/>
      </c>
      <c r="P88" s="52">
        <v>0</v>
      </c>
      <c r="Q88" s="102" t="str">
        <f t="shared" si="22"/>
        <v/>
      </c>
      <c r="R88" s="103" t="str">
        <f t="shared" si="23"/>
        <v/>
      </c>
      <c r="S88" s="52">
        <v>0</v>
      </c>
      <c r="T88" s="102" t="str">
        <f t="shared" si="24"/>
        <v/>
      </c>
      <c r="U88" s="103" t="str">
        <f t="shared" si="25"/>
        <v/>
      </c>
      <c r="V88" s="52">
        <v>0</v>
      </c>
      <c r="W88" s="87" t="str">
        <f t="shared" si="26"/>
        <v/>
      </c>
      <c r="X88" s="103" t="str">
        <f t="shared" si="27"/>
        <v/>
      </c>
      <c r="Y88" s="52">
        <v>0</v>
      </c>
      <c r="Z88" s="56" t="str">
        <f t="shared" si="28"/>
        <v/>
      </c>
      <c r="AA88" s="56" t="str">
        <f t="shared" si="29"/>
        <v/>
      </c>
      <c r="AB88" s="56" t="str">
        <f t="shared" si="30"/>
        <v/>
      </c>
      <c r="AC88" s="56" t="str">
        <f t="shared" si="31"/>
        <v/>
      </c>
      <c r="AD88" s="56" t="str">
        <f t="shared" si="32"/>
        <v/>
      </c>
      <c r="AE88" s="40"/>
      <c r="AF88" s="40"/>
      <c r="AG88" s="40"/>
      <c r="AH88" s="56" t="str">
        <f t="shared" si="33"/>
        <v/>
      </c>
      <c r="AI88" s="54"/>
      <c r="AJ88" s="54"/>
      <c r="AK88" s="54"/>
      <c r="AL88" s="54"/>
      <c r="AM88" s="54"/>
    </row>
    <row r="89" spans="1:39">
      <c r="A89" s="95"/>
      <c r="B89" s="45" t="str" cm="1">
        <f t="array" ref="B89">IF(H89="PROJECT", CHAR(10) &amp; "- " &amp; _xlfn.TEXTJOIN(CHAR(10) &amp; "- ", TRUE, _xlfn._xlws.FILTER($I$9:$I$1000, ($C$9:$C$1000=C89) * ($H$9:$H$1000="Topic"))), "")</f>
        <v/>
      </c>
      <c r="C89" s="45">
        <f t="shared" si="17"/>
        <v>57</v>
      </c>
      <c r="D89" s="46"/>
      <c r="E89" s="58"/>
      <c r="F89" s="67"/>
      <c r="G89" s="53"/>
      <c r="H89" s="53"/>
      <c r="I89" s="50"/>
      <c r="J89" s="51"/>
      <c r="K89" s="120" t="str">
        <f t="shared" si="18"/>
        <v/>
      </c>
      <c r="L89" s="103" t="str">
        <f t="shared" si="19"/>
        <v/>
      </c>
      <c r="M89" s="53">
        <v>0</v>
      </c>
      <c r="N89" s="102" t="str">
        <f t="shared" si="20"/>
        <v/>
      </c>
      <c r="O89" s="103" t="str">
        <f t="shared" si="21"/>
        <v/>
      </c>
      <c r="P89" s="53">
        <v>0</v>
      </c>
      <c r="Q89" s="102" t="str">
        <f t="shared" si="22"/>
        <v/>
      </c>
      <c r="R89" s="103" t="str">
        <f t="shared" si="23"/>
        <v/>
      </c>
      <c r="S89" s="53">
        <v>0</v>
      </c>
      <c r="T89" s="102" t="str">
        <f t="shared" si="24"/>
        <v/>
      </c>
      <c r="U89" s="103" t="str">
        <f t="shared" si="25"/>
        <v/>
      </c>
      <c r="V89" s="53">
        <v>0</v>
      </c>
      <c r="W89" s="87" t="str">
        <f t="shared" si="26"/>
        <v/>
      </c>
      <c r="X89" s="103" t="str">
        <f t="shared" si="27"/>
        <v/>
      </c>
      <c r="Y89" s="53">
        <v>0</v>
      </c>
      <c r="Z89" s="56" t="str">
        <f t="shared" si="28"/>
        <v/>
      </c>
      <c r="AA89" s="56" t="str">
        <f t="shared" si="29"/>
        <v/>
      </c>
      <c r="AB89" s="56" t="str">
        <f t="shared" si="30"/>
        <v/>
      </c>
      <c r="AC89" s="56" t="str">
        <f t="shared" si="31"/>
        <v/>
      </c>
      <c r="AD89" s="56" t="str">
        <f t="shared" si="32"/>
        <v/>
      </c>
      <c r="AE89" s="40"/>
      <c r="AF89" s="40"/>
      <c r="AG89" s="40"/>
      <c r="AH89" s="56" t="str">
        <f t="shared" si="33"/>
        <v/>
      </c>
      <c r="AI89" s="54"/>
      <c r="AJ89" s="54"/>
      <c r="AK89" s="54"/>
      <c r="AL89" s="54"/>
      <c r="AM89" s="54"/>
    </row>
    <row r="90" spans="1:39">
      <c r="A90" s="95"/>
      <c r="B90" s="45" t="str" cm="1">
        <f t="array" ref="B90">IF(H90="PROJECT", CHAR(10) &amp; "- " &amp; _xlfn.TEXTJOIN(CHAR(10) &amp; "- ", TRUE, _xlfn._xlws.FILTER($I$9:$I$1000, ($C$9:$C$1000=C90) * ($H$9:$H$1000="Topic"))), "")</f>
        <v/>
      </c>
      <c r="C90" s="45">
        <f t="shared" si="17"/>
        <v>58</v>
      </c>
      <c r="D90" s="57"/>
      <c r="E90" s="58"/>
      <c r="F90" s="54"/>
      <c r="G90" s="52"/>
      <c r="H90" s="52"/>
      <c r="I90" s="61"/>
      <c r="J90" s="62"/>
      <c r="K90" s="120" t="str">
        <f t="shared" si="18"/>
        <v/>
      </c>
      <c r="L90" s="103" t="str">
        <f t="shared" si="19"/>
        <v/>
      </c>
      <c r="M90" s="52">
        <v>0</v>
      </c>
      <c r="N90" s="102" t="str">
        <f t="shared" si="20"/>
        <v/>
      </c>
      <c r="O90" s="103" t="str">
        <f t="shared" si="21"/>
        <v/>
      </c>
      <c r="P90" s="52">
        <v>0</v>
      </c>
      <c r="Q90" s="102" t="str">
        <f t="shared" si="22"/>
        <v/>
      </c>
      <c r="R90" s="103" t="str">
        <f t="shared" si="23"/>
        <v/>
      </c>
      <c r="S90" s="52">
        <v>0</v>
      </c>
      <c r="T90" s="102" t="str">
        <f t="shared" si="24"/>
        <v/>
      </c>
      <c r="U90" s="103" t="str">
        <f t="shared" si="25"/>
        <v/>
      </c>
      <c r="V90" s="52">
        <v>0</v>
      </c>
      <c r="W90" s="87" t="str">
        <f t="shared" si="26"/>
        <v/>
      </c>
      <c r="X90" s="103" t="str">
        <f t="shared" si="27"/>
        <v/>
      </c>
      <c r="Y90" s="52">
        <v>0</v>
      </c>
      <c r="Z90" s="56" t="str">
        <f t="shared" si="28"/>
        <v/>
      </c>
      <c r="AA90" s="56" t="str">
        <f t="shared" si="29"/>
        <v/>
      </c>
      <c r="AB90" s="56" t="str">
        <f t="shared" si="30"/>
        <v/>
      </c>
      <c r="AC90" s="56" t="str">
        <f t="shared" si="31"/>
        <v/>
      </c>
      <c r="AD90" s="56" t="str">
        <f t="shared" si="32"/>
        <v/>
      </c>
      <c r="AE90" s="40"/>
      <c r="AF90" s="40"/>
      <c r="AG90" s="40"/>
      <c r="AH90" s="56" t="str">
        <f t="shared" si="33"/>
        <v/>
      </c>
      <c r="AI90" s="54"/>
      <c r="AJ90" s="54"/>
      <c r="AK90" s="54"/>
      <c r="AL90" s="54"/>
      <c r="AM90" s="54"/>
    </row>
    <row r="91" spans="1:39">
      <c r="A91" s="95"/>
      <c r="B91" s="45" t="str" cm="1">
        <f t="array" ref="B91">IF(H91="PROJECT", CHAR(10) &amp; "- " &amp; _xlfn.TEXTJOIN(CHAR(10) &amp; "- ", TRUE, _xlfn._xlws.FILTER($I$9:$I$1000, ($C$9:$C$1000=C91) * ($H$9:$H$1000="Topic"))), "")</f>
        <v/>
      </c>
      <c r="C91" s="45">
        <f t="shared" si="17"/>
        <v>59</v>
      </c>
      <c r="D91" s="46"/>
      <c r="E91" s="58"/>
      <c r="F91" s="67"/>
      <c r="G91" s="53"/>
      <c r="H91" s="53"/>
      <c r="I91" s="50"/>
      <c r="J91" s="51"/>
      <c r="K91" s="120" t="str">
        <f t="shared" si="18"/>
        <v/>
      </c>
      <c r="L91" s="103" t="str">
        <f t="shared" si="19"/>
        <v/>
      </c>
      <c r="M91" s="53">
        <v>0</v>
      </c>
      <c r="N91" s="102" t="str">
        <f t="shared" si="20"/>
        <v/>
      </c>
      <c r="O91" s="103" t="str">
        <f t="shared" si="21"/>
        <v/>
      </c>
      <c r="P91" s="53">
        <v>0</v>
      </c>
      <c r="Q91" s="102" t="str">
        <f t="shared" si="22"/>
        <v/>
      </c>
      <c r="R91" s="103" t="str">
        <f t="shared" si="23"/>
        <v/>
      </c>
      <c r="S91" s="53">
        <v>0</v>
      </c>
      <c r="T91" s="102" t="str">
        <f t="shared" si="24"/>
        <v/>
      </c>
      <c r="U91" s="103" t="str">
        <f t="shared" si="25"/>
        <v/>
      </c>
      <c r="V91" s="53">
        <v>0</v>
      </c>
      <c r="W91" s="87" t="str">
        <f t="shared" si="26"/>
        <v/>
      </c>
      <c r="X91" s="103" t="str">
        <f t="shared" si="27"/>
        <v/>
      </c>
      <c r="Y91" s="53">
        <v>0</v>
      </c>
      <c r="Z91" s="56" t="str">
        <f t="shared" si="28"/>
        <v/>
      </c>
      <c r="AA91" s="56" t="str">
        <f t="shared" si="29"/>
        <v/>
      </c>
      <c r="AB91" s="56" t="str">
        <f t="shared" si="30"/>
        <v/>
      </c>
      <c r="AC91" s="56" t="str">
        <f t="shared" si="31"/>
        <v/>
      </c>
      <c r="AD91" s="56" t="str">
        <f t="shared" si="32"/>
        <v/>
      </c>
      <c r="AE91" s="40"/>
      <c r="AF91" s="40"/>
      <c r="AG91" s="40"/>
      <c r="AH91" s="56" t="str">
        <f t="shared" si="33"/>
        <v/>
      </c>
      <c r="AI91" s="54"/>
      <c r="AJ91" s="54"/>
      <c r="AK91" s="54"/>
      <c r="AL91" s="54"/>
      <c r="AM91" s="54"/>
    </row>
    <row r="92" spans="1:39">
      <c r="A92" s="95"/>
      <c r="B92" s="45" t="str" cm="1">
        <f t="array" ref="B92">IF(H92="PROJECT", CHAR(10) &amp; "- " &amp; _xlfn.TEXTJOIN(CHAR(10) &amp; "- ", TRUE, _xlfn._xlws.FILTER($I$9:$I$1000, ($C$9:$C$1000=C92) * ($H$9:$H$1000="Topic"))), "")</f>
        <v/>
      </c>
      <c r="C92" s="45">
        <f t="shared" si="17"/>
        <v>60</v>
      </c>
      <c r="D92" s="57"/>
      <c r="E92" s="58"/>
      <c r="F92" s="54"/>
      <c r="G92" s="52"/>
      <c r="H92" s="52"/>
      <c r="I92" s="61"/>
      <c r="J92" s="62"/>
      <c r="K92" s="120" t="str">
        <f t="shared" si="18"/>
        <v/>
      </c>
      <c r="L92" s="103" t="str">
        <f t="shared" si="19"/>
        <v/>
      </c>
      <c r="M92" s="52">
        <v>0</v>
      </c>
      <c r="N92" s="102" t="str">
        <f t="shared" si="20"/>
        <v/>
      </c>
      <c r="O92" s="103" t="str">
        <f t="shared" si="21"/>
        <v/>
      </c>
      <c r="P92" s="52">
        <v>0</v>
      </c>
      <c r="Q92" s="102" t="str">
        <f t="shared" si="22"/>
        <v/>
      </c>
      <c r="R92" s="103" t="str">
        <f t="shared" si="23"/>
        <v/>
      </c>
      <c r="S92" s="52">
        <v>0</v>
      </c>
      <c r="T92" s="102" t="str">
        <f t="shared" si="24"/>
        <v/>
      </c>
      <c r="U92" s="103" t="str">
        <f t="shared" si="25"/>
        <v/>
      </c>
      <c r="V92" s="52">
        <v>0</v>
      </c>
      <c r="W92" s="87" t="str">
        <f t="shared" si="26"/>
        <v/>
      </c>
      <c r="X92" s="103" t="str">
        <f t="shared" si="27"/>
        <v/>
      </c>
      <c r="Y92" s="52">
        <v>0</v>
      </c>
      <c r="Z92" s="56" t="str">
        <f t="shared" si="28"/>
        <v/>
      </c>
      <c r="AA92" s="56" t="str">
        <f t="shared" si="29"/>
        <v/>
      </c>
      <c r="AB92" s="56" t="str">
        <f t="shared" si="30"/>
        <v/>
      </c>
      <c r="AC92" s="56" t="str">
        <f t="shared" si="31"/>
        <v/>
      </c>
      <c r="AD92" s="56" t="str">
        <f t="shared" si="32"/>
        <v/>
      </c>
      <c r="AE92" s="40"/>
      <c r="AF92" s="40"/>
      <c r="AG92" s="40"/>
      <c r="AH92" s="56" t="str">
        <f t="shared" si="33"/>
        <v/>
      </c>
      <c r="AI92" s="54"/>
      <c r="AJ92" s="54"/>
      <c r="AK92" s="54"/>
      <c r="AL92" s="54"/>
      <c r="AM92" s="54"/>
    </row>
    <row r="93" spans="1:39">
      <c r="A93" s="95"/>
      <c r="B93" s="45" t="str" cm="1">
        <f t="array" ref="B93">IF(H93="PROJECT", CHAR(10) &amp; "- " &amp; _xlfn.TEXTJOIN(CHAR(10) &amp; "- ", TRUE, _xlfn._xlws.FILTER($I$9:$I$1000, ($C$9:$C$1000=C93) * ($H$9:$H$1000="Topic"))), "")</f>
        <v/>
      </c>
      <c r="C93" s="45">
        <f t="shared" si="17"/>
        <v>61</v>
      </c>
      <c r="D93" s="46"/>
      <c r="E93" s="58"/>
      <c r="F93" s="67"/>
      <c r="G93" s="53"/>
      <c r="H93" s="53"/>
      <c r="I93" s="50"/>
      <c r="J93" s="51"/>
      <c r="K93" s="120" t="str">
        <f t="shared" si="18"/>
        <v/>
      </c>
      <c r="L93" s="103" t="str">
        <f t="shared" si="19"/>
        <v/>
      </c>
      <c r="M93" s="53">
        <v>0</v>
      </c>
      <c r="N93" s="102" t="str">
        <f t="shared" si="20"/>
        <v/>
      </c>
      <c r="O93" s="103" t="str">
        <f t="shared" si="21"/>
        <v/>
      </c>
      <c r="P93" s="53">
        <v>0</v>
      </c>
      <c r="Q93" s="102" t="str">
        <f t="shared" si="22"/>
        <v/>
      </c>
      <c r="R93" s="103" t="str">
        <f t="shared" si="23"/>
        <v/>
      </c>
      <c r="S93" s="53">
        <v>0</v>
      </c>
      <c r="T93" s="102" t="str">
        <f t="shared" si="24"/>
        <v/>
      </c>
      <c r="U93" s="103" t="str">
        <f t="shared" si="25"/>
        <v/>
      </c>
      <c r="V93" s="53">
        <v>0</v>
      </c>
      <c r="W93" s="87" t="str">
        <f t="shared" si="26"/>
        <v/>
      </c>
      <c r="X93" s="103" t="str">
        <f t="shared" si="27"/>
        <v/>
      </c>
      <c r="Y93" s="53">
        <v>0</v>
      </c>
      <c r="Z93" s="56" t="str">
        <f t="shared" si="28"/>
        <v/>
      </c>
      <c r="AA93" s="56" t="str">
        <f t="shared" si="29"/>
        <v/>
      </c>
      <c r="AB93" s="56" t="str">
        <f t="shared" si="30"/>
        <v/>
      </c>
      <c r="AC93" s="56" t="str">
        <f t="shared" si="31"/>
        <v/>
      </c>
      <c r="AD93" s="56" t="str">
        <f t="shared" si="32"/>
        <v/>
      </c>
      <c r="AE93" s="40"/>
      <c r="AF93" s="40"/>
      <c r="AG93" s="40"/>
      <c r="AH93" s="56" t="str">
        <f t="shared" si="33"/>
        <v/>
      </c>
      <c r="AI93" s="54"/>
      <c r="AJ93" s="54"/>
      <c r="AK93" s="54"/>
      <c r="AL93" s="54"/>
      <c r="AM93" s="54"/>
    </row>
    <row r="94" spans="1:39">
      <c r="A94" s="95"/>
      <c r="B94" s="45" t="str" cm="1">
        <f t="array" ref="B94">IF(H94="PROJECT", CHAR(10) &amp; "- " &amp; _xlfn.TEXTJOIN(CHAR(10) &amp; "- ", TRUE, _xlfn._xlws.FILTER($I$9:$I$1000, ($C$9:$C$1000=C94) * ($H$9:$H$1000="Topic"))), "")</f>
        <v/>
      </c>
      <c r="C94" s="45">
        <f t="shared" si="17"/>
        <v>62</v>
      </c>
      <c r="D94" s="57"/>
      <c r="E94" s="58"/>
      <c r="F94" s="54"/>
      <c r="G94" s="52"/>
      <c r="H94" s="52"/>
      <c r="I94" s="61"/>
      <c r="J94" s="62"/>
      <c r="K94" s="120" t="str">
        <f t="shared" si="18"/>
        <v/>
      </c>
      <c r="L94" s="103" t="str">
        <f t="shared" si="19"/>
        <v/>
      </c>
      <c r="M94" s="52">
        <v>0</v>
      </c>
      <c r="N94" s="102" t="str">
        <f t="shared" si="20"/>
        <v/>
      </c>
      <c r="O94" s="103" t="str">
        <f t="shared" si="21"/>
        <v/>
      </c>
      <c r="P94" s="52">
        <v>0</v>
      </c>
      <c r="Q94" s="102" t="str">
        <f t="shared" si="22"/>
        <v/>
      </c>
      <c r="R94" s="103" t="str">
        <f t="shared" si="23"/>
        <v/>
      </c>
      <c r="S94" s="52">
        <v>0</v>
      </c>
      <c r="T94" s="102" t="str">
        <f t="shared" si="24"/>
        <v/>
      </c>
      <c r="U94" s="103" t="str">
        <f t="shared" si="25"/>
        <v/>
      </c>
      <c r="V94" s="52">
        <v>0</v>
      </c>
      <c r="W94" s="87" t="str">
        <f t="shared" si="26"/>
        <v/>
      </c>
      <c r="X94" s="103" t="str">
        <f t="shared" si="27"/>
        <v/>
      </c>
      <c r="Y94" s="52">
        <v>0</v>
      </c>
      <c r="Z94" s="56" t="str">
        <f t="shared" si="28"/>
        <v/>
      </c>
      <c r="AA94" s="56" t="str">
        <f t="shared" si="29"/>
        <v/>
      </c>
      <c r="AB94" s="56" t="str">
        <f t="shared" si="30"/>
        <v/>
      </c>
      <c r="AC94" s="56" t="str">
        <f t="shared" si="31"/>
        <v/>
      </c>
      <c r="AD94" s="56" t="str">
        <f t="shared" si="32"/>
        <v/>
      </c>
      <c r="AE94" s="40"/>
      <c r="AF94" s="40"/>
      <c r="AG94" s="40"/>
      <c r="AH94" s="56" t="str">
        <f t="shared" si="33"/>
        <v/>
      </c>
      <c r="AI94" s="54"/>
      <c r="AJ94" s="54"/>
      <c r="AK94" s="54"/>
      <c r="AL94" s="54"/>
      <c r="AM94" s="54"/>
    </row>
    <row r="95" spans="1:39">
      <c r="A95" s="95"/>
      <c r="B95" s="45" t="str" cm="1">
        <f t="array" ref="B95">IF(H95="PROJECT", CHAR(10) &amp; "- " &amp; _xlfn.TEXTJOIN(CHAR(10) &amp; "- ", TRUE, _xlfn._xlws.FILTER($I$9:$I$1000, ($C$9:$C$1000=C95) * ($H$9:$H$1000="Topic"))), "")</f>
        <v/>
      </c>
      <c r="C95" s="45">
        <f t="shared" si="17"/>
        <v>63</v>
      </c>
      <c r="D95" s="46"/>
      <c r="E95" s="58"/>
      <c r="F95" s="67"/>
      <c r="G95" s="53"/>
      <c r="H95" s="53"/>
      <c r="I95" s="50"/>
      <c r="J95" s="51"/>
      <c r="K95" s="120" t="str">
        <f t="shared" si="18"/>
        <v/>
      </c>
      <c r="L95" s="103" t="str">
        <f t="shared" si="19"/>
        <v/>
      </c>
      <c r="M95" s="53">
        <v>0</v>
      </c>
      <c r="N95" s="102" t="str">
        <f t="shared" si="20"/>
        <v/>
      </c>
      <c r="O95" s="103" t="str">
        <f t="shared" si="21"/>
        <v/>
      </c>
      <c r="P95" s="53">
        <v>0</v>
      </c>
      <c r="Q95" s="102" t="str">
        <f t="shared" si="22"/>
        <v/>
      </c>
      <c r="R95" s="103" t="str">
        <f t="shared" si="23"/>
        <v/>
      </c>
      <c r="S95" s="53">
        <v>0</v>
      </c>
      <c r="T95" s="102" t="str">
        <f t="shared" si="24"/>
        <v/>
      </c>
      <c r="U95" s="103" t="str">
        <f t="shared" si="25"/>
        <v/>
      </c>
      <c r="V95" s="53">
        <v>0</v>
      </c>
      <c r="W95" s="87" t="str">
        <f t="shared" si="26"/>
        <v/>
      </c>
      <c r="X95" s="103" t="str">
        <f t="shared" si="27"/>
        <v/>
      </c>
      <c r="Y95" s="53">
        <v>0</v>
      </c>
      <c r="Z95" s="56" t="str">
        <f t="shared" si="28"/>
        <v/>
      </c>
      <c r="AA95" s="56" t="str">
        <f t="shared" si="29"/>
        <v/>
      </c>
      <c r="AB95" s="56" t="str">
        <f t="shared" si="30"/>
        <v/>
      </c>
      <c r="AC95" s="56" t="str">
        <f t="shared" si="31"/>
        <v/>
      </c>
      <c r="AD95" s="56" t="str">
        <f t="shared" si="32"/>
        <v/>
      </c>
      <c r="AE95" s="40"/>
      <c r="AF95" s="40"/>
      <c r="AG95" s="40"/>
      <c r="AH95" s="56" t="str">
        <f t="shared" si="33"/>
        <v/>
      </c>
      <c r="AI95" s="54"/>
      <c r="AJ95" s="54"/>
      <c r="AK95" s="54"/>
      <c r="AL95" s="54"/>
      <c r="AM95" s="54"/>
    </row>
    <row r="96" spans="1:39">
      <c r="A96" s="95"/>
      <c r="B96" s="45" t="str" cm="1">
        <f t="array" ref="B96">IF(H96="PROJECT", CHAR(10) &amp; "- " &amp; _xlfn.TEXTJOIN(CHAR(10) &amp; "- ", TRUE, _xlfn._xlws.FILTER($I$9:$I$1000, ($C$9:$C$1000=C96) * ($H$9:$H$1000="Topic"))), "")</f>
        <v/>
      </c>
      <c r="C96" s="45">
        <f t="shared" si="17"/>
        <v>64</v>
      </c>
      <c r="D96" s="57"/>
      <c r="E96" s="58"/>
      <c r="F96" s="54"/>
      <c r="G96" s="52"/>
      <c r="H96" s="52"/>
      <c r="I96" s="61"/>
      <c r="J96" s="62"/>
      <c r="K96" s="120" t="str">
        <f t="shared" si="18"/>
        <v/>
      </c>
      <c r="L96" s="103" t="str">
        <f t="shared" si="19"/>
        <v/>
      </c>
      <c r="M96" s="52">
        <v>0</v>
      </c>
      <c r="N96" s="102" t="str">
        <f t="shared" si="20"/>
        <v/>
      </c>
      <c r="O96" s="103" t="str">
        <f t="shared" si="21"/>
        <v/>
      </c>
      <c r="P96" s="52">
        <v>0</v>
      </c>
      <c r="Q96" s="102" t="str">
        <f t="shared" si="22"/>
        <v/>
      </c>
      <c r="R96" s="103" t="str">
        <f t="shared" si="23"/>
        <v/>
      </c>
      <c r="S96" s="52">
        <v>0</v>
      </c>
      <c r="T96" s="102" t="str">
        <f t="shared" si="24"/>
        <v/>
      </c>
      <c r="U96" s="103" t="str">
        <f t="shared" si="25"/>
        <v/>
      </c>
      <c r="V96" s="52">
        <v>0</v>
      </c>
      <c r="W96" s="87" t="str">
        <f t="shared" si="26"/>
        <v/>
      </c>
      <c r="X96" s="103" t="str">
        <f t="shared" si="27"/>
        <v/>
      </c>
      <c r="Y96" s="52">
        <v>0</v>
      </c>
      <c r="Z96" s="56" t="str">
        <f t="shared" si="28"/>
        <v/>
      </c>
      <c r="AA96" s="56" t="str">
        <f t="shared" si="29"/>
        <v/>
      </c>
      <c r="AB96" s="56" t="str">
        <f t="shared" si="30"/>
        <v/>
      </c>
      <c r="AC96" s="56" t="str">
        <f t="shared" si="31"/>
        <v/>
      </c>
      <c r="AD96" s="56" t="str">
        <f t="shared" si="32"/>
        <v/>
      </c>
      <c r="AE96" s="40"/>
      <c r="AF96" s="40"/>
      <c r="AG96" s="40"/>
      <c r="AH96" s="56" t="str">
        <f t="shared" si="33"/>
        <v/>
      </c>
      <c r="AI96" s="54"/>
      <c r="AJ96" s="54"/>
      <c r="AK96" s="54"/>
      <c r="AL96" s="54"/>
      <c r="AM96" s="54"/>
    </row>
    <row r="97" spans="1:39">
      <c r="A97" s="95"/>
      <c r="B97" s="45" t="str" cm="1">
        <f t="array" ref="B97">IF(H97="PROJECT", CHAR(10) &amp; "- " &amp; _xlfn.TEXTJOIN(CHAR(10) &amp; "- ", TRUE, _xlfn._xlws.FILTER($I$9:$I$1000, ($C$9:$C$1000=C97) * ($H$9:$H$1000="Topic"))), "")</f>
        <v/>
      </c>
      <c r="C97" s="45">
        <f t="shared" si="17"/>
        <v>65</v>
      </c>
      <c r="D97" s="46"/>
      <c r="E97" s="58"/>
      <c r="F97" s="67"/>
      <c r="G97" s="53"/>
      <c r="H97" s="53"/>
      <c r="I97" s="50"/>
      <c r="J97" s="51"/>
      <c r="K97" s="120" t="str">
        <f t="shared" si="18"/>
        <v/>
      </c>
      <c r="L97" s="103" t="str">
        <f t="shared" si="19"/>
        <v/>
      </c>
      <c r="M97" s="53">
        <v>0</v>
      </c>
      <c r="N97" s="102" t="str">
        <f t="shared" si="20"/>
        <v/>
      </c>
      <c r="O97" s="103" t="str">
        <f t="shared" si="21"/>
        <v/>
      </c>
      <c r="P97" s="53">
        <v>0</v>
      </c>
      <c r="Q97" s="102" t="str">
        <f t="shared" si="22"/>
        <v/>
      </c>
      <c r="R97" s="103" t="str">
        <f t="shared" si="23"/>
        <v/>
      </c>
      <c r="S97" s="53">
        <v>0</v>
      </c>
      <c r="T97" s="102" t="str">
        <f t="shared" si="24"/>
        <v/>
      </c>
      <c r="U97" s="103" t="str">
        <f t="shared" si="25"/>
        <v/>
      </c>
      <c r="V97" s="53">
        <v>0</v>
      </c>
      <c r="W97" s="87" t="str">
        <f t="shared" si="26"/>
        <v/>
      </c>
      <c r="X97" s="103" t="str">
        <f t="shared" si="27"/>
        <v/>
      </c>
      <c r="Y97" s="53">
        <v>0</v>
      </c>
      <c r="Z97" s="56" t="str">
        <f t="shared" si="28"/>
        <v/>
      </c>
      <c r="AA97" s="56" t="str">
        <f t="shared" si="29"/>
        <v/>
      </c>
      <c r="AB97" s="56" t="str">
        <f t="shared" si="30"/>
        <v/>
      </c>
      <c r="AC97" s="56" t="str">
        <f t="shared" si="31"/>
        <v/>
      </c>
      <c r="AD97" s="56" t="str">
        <f t="shared" si="32"/>
        <v/>
      </c>
      <c r="AE97" s="40"/>
      <c r="AF97" s="40"/>
      <c r="AG97" s="40"/>
      <c r="AH97" s="56" t="str">
        <f t="shared" si="33"/>
        <v/>
      </c>
      <c r="AI97" s="54"/>
      <c r="AJ97" s="54"/>
      <c r="AK97" s="54"/>
      <c r="AL97" s="54"/>
      <c r="AM97" s="54"/>
    </row>
    <row r="98" spans="1:39">
      <c r="A98" s="95"/>
      <c r="B98" s="45" t="str" cm="1">
        <f t="array" ref="B98">IF(H98="PROJECT", CHAR(10) &amp; "- " &amp; _xlfn.TEXTJOIN(CHAR(10) &amp; "- ", TRUE, _xlfn._xlws.FILTER($I$9:$I$1000, ($C$9:$C$1000=C98) * ($H$9:$H$1000="Topic"))), "")</f>
        <v/>
      </c>
      <c r="C98" s="45">
        <f t="shared" si="17"/>
        <v>66</v>
      </c>
      <c r="D98" s="57"/>
      <c r="E98" s="58"/>
      <c r="F98" s="54"/>
      <c r="G98" s="52"/>
      <c r="H98" s="52"/>
      <c r="I98" s="61"/>
      <c r="J98" s="62"/>
      <c r="K98" s="120" t="str">
        <f t="shared" si="18"/>
        <v/>
      </c>
      <c r="L98" s="103" t="str">
        <f t="shared" si="19"/>
        <v/>
      </c>
      <c r="M98" s="52">
        <v>0</v>
      </c>
      <c r="N98" s="102" t="str">
        <f t="shared" si="20"/>
        <v/>
      </c>
      <c r="O98" s="103" t="str">
        <f t="shared" si="21"/>
        <v/>
      </c>
      <c r="P98" s="52">
        <v>0</v>
      </c>
      <c r="Q98" s="102" t="str">
        <f t="shared" si="22"/>
        <v/>
      </c>
      <c r="R98" s="103" t="str">
        <f t="shared" si="23"/>
        <v/>
      </c>
      <c r="S98" s="52">
        <v>0</v>
      </c>
      <c r="T98" s="102" t="str">
        <f t="shared" si="24"/>
        <v/>
      </c>
      <c r="U98" s="103" t="str">
        <f t="shared" si="25"/>
        <v/>
      </c>
      <c r="V98" s="52">
        <v>0</v>
      </c>
      <c r="W98" s="87" t="str">
        <f t="shared" si="26"/>
        <v/>
      </c>
      <c r="X98" s="103" t="str">
        <f t="shared" si="27"/>
        <v/>
      </c>
      <c r="Y98" s="52">
        <v>0</v>
      </c>
      <c r="Z98" s="56" t="str">
        <f t="shared" si="28"/>
        <v/>
      </c>
      <c r="AA98" s="56" t="str">
        <f t="shared" si="29"/>
        <v/>
      </c>
      <c r="AB98" s="56" t="str">
        <f t="shared" si="30"/>
        <v/>
      </c>
      <c r="AC98" s="56" t="str">
        <f t="shared" si="31"/>
        <v/>
      </c>
      <c r="AD98" s="56" t="str">
        <f t="shared" si="32"/>
        <v/>
      </c>
      <c r="AE98" s="40"/>
      <c r="AF98" s="40"/>
      <c r="AG98" s="40"/>
      <c r="AH98" s="56" t="str">
        <f t="shared" si="33"/>
        <v/>
      </c>
      <c r="AI98" s="54"/>
      <c r="AJ98" s="54"/>
      <c r="AK98" s="54"/>
      <c r="AL98" s="54"/>
      <c r="AM98" s="54"/>
    </row>
    <row r="99" spans="1:39">
      <c r="A99" s="95"/>
      <c r="B99" s="45" t="str" cm="1">
        <f t="array" ref="B99">IF(H99="PROJECT", CHAR(10) &amp; "- " &amp; _xlfn.TEXTJOIN(CHAR(10) &amp; "- ", TRUE, _xlfn._xlws.FILTER($I$9:$I$1000, ($C$9:$C$1000=C99) * ($H$9:$H$1000="Topic"))), "")</f>
        <v/>
      </c>
      <c r="C99" s="45">
        <f t="shared" si="17"/>
        <v>67</v>
      </c>
      <c r="D99" s="46"/>
      <c r="E99" s="58"/>
      <c r="F99" s="67"/>
      <c r="G99" s="53"/>
      <c r="H99" s="53"/>
      <c r="I99" s="50"/>
      <c r="J99" s="51"/>
      <c r="K99" s="120" t="str">
        <f t="shared" si="18"/>
        <v/>
      </c>
      <c r="L99" s="103" t="str">
        <f t="shared" si="19"/>
        <v/>
      </c>
      <c r="M99" s="53">
        <v>0</v>
      </c>
      <c r="N99" s="102" t="str">
        <f t="shared" si="20"/>
        <v/>
      </c>
      <c r="O99" s="103" t="str">
        <f t="shared" si="21"/>
        <v/>
      </c>
      <c r="P99" s="53">
        <v>0</v>
      </c>
      <c r="Q99" s="102" t="str">
        <f t="shared" si="22"/>
        <v/>
      </c>
      <c r="R99" s="103" t="str">
        <f t="shared" si="23"/>
        <v/>
      </c>
      <c r="S99" s="53">
        <v>0</v>
      </c>
      <c r="T99" s="102" t="str">
        <f t="shared" si="24"/>
        <v/>
      </c>
      <c r="U99" s="103" t="str">
        <f t="shared" si="25"/>
        <v/>
      </c>
      <c r="V99" s="53">
        <v>0</v>
      </c>
      <c r="W99" s="87" t="str">
        <f t="shared" si="26"/>
        <v/>
      </c>
      <c r="X99" s="103" t="str">
        <f t="shared" si="27"/>
        <v/>
      </c>
      <c r="Y99" s="53">
        <v>0</v>
      </c>
      <c r="Z99" s="56" t="str">
        <f t="shared" si="28"/>
        <v/>
      </c>
      <c r="AA99" s="56" t="str">
        <f t="shared" si="29"/>
        <v/>
      </c>
      <c r="AB99" s="56" t="str">
        <f t="shared" si="30"/>
        <v/>
      </c>
      <c r="AC99" s="56" t="str">
        <f t="shared" si="31"/>
        <v/>
      </c>
      <c r="AD99" s="56" t="str">
        <f t="shared" si="32"/>
        <v/>
      </c>
      <c r="AE99" s="40"/>
      <c r="AF99" s="40"/>
      <c r="AG99" s="40"/>
      <c r="AH99" s="56" t="str">
        <f t="shared" si="33"/>
        <v/>
      </c>
      <c r="AI99" s="54"/>
      <c r="AJ99" s="54"/>
      <c r="AK99" s="54"/>
      <c r="AL99" s="54"/>
      <c r="AM99" s="54"/>
    </row>
    <row r="100" spans="1:39">
      <c r="A100" s="95"/>
      <c r="B100" s="45" t="str" cm="1">
        <f t="array" ref="B100">IF(H100="PROJECT", CHAR(10) &amp; "- " &amp; _xlfn.TEXTJOIN(CHAR(10) &amp; "- ", TRUE, _xlfn._xlws.FILTER($I$9:$I$1000, ($C$9:$C$1000=C100) * ($H$9:$H$1000="Topic"))), "")</f>
        <v/>
      </c>
      <c r="C100" s="45">
        <f t="shared" si="17"/>
        <v>68</v>
      </c>
      <c r="D100" s="57"/>
      <c r="E100" s="58"/>
      <c r="F100" s="54"/>
      <c r="G100" s="52"/>
      <c r="H100" s="52"/>
      <c r="I100" s="61"/>
      <c r="J100" s="62"/>
      <c r="K100" s="120" t="str">
        <f t="shared" si="18"/>
        <v/>
      </c>
      <c r="L100" s="103" t="str">
        <f t="shared" si="19"/>
        <v/>
      </c>
      <c r="M100" s="52">
        <v>0</v>
      </c>
      <c r="N100" s="102" t="str">
        <f t="shared" si="20"/>
        <v/>
      </c>
      <c r="O100" s="103" t="str">
        <f t="shared" si="21"/>
        <v/>
      </c>
      <c r="P100" s="52">
        <v>0</v>
      </c>
      <c r="Q100" s="102" t="str">
        <f t="shared" si="22"/>
        <v/>
      </c>
      <c r="R100" s="103" t="str">
        <f t="shared" si="23"/>
        <v/>
      </c>
      <c r="S100" s="52">
        <v>0</v>
      </c>
      <c r="T100" s="102" t="str">
        <f t="shared" si="24"/>
        <v/>
      </c>
      <c r="U100" s="103" t="str">
        <f t="shared" si="25"/>
        <v/>
      </c>
      <c r="V100" s="52">
        <v>0</v>
      </c>
      <c r="W100" s="87" t="str">
        <f t="shared" si="26"/>
        <v/>
      </c>
      <c r="X100" s="103" t="str">
        <f t="shared" si="27"/>
        <v/>
      </c>
      <c r="Y100" s="52">
        <v>0</v>
      </c>
      <c r="Z100" s="56" t="str">
        <f t="shared" si="28"/>
        <v/>
      </c>
      <c r="AA100" s="56" t="str">
        <f t="shared" si="29"/>
        <v/>
      </c>
      <c r="AB100" s="56" t="str">
        <f t="shared" si="30"/>
        <v/>
      </c>
      <c r="AC100" s="56" t="str">
        <f t="shared" si="31"/>
        <v/>
      </c>
      <c r="AD100" s="56" t="str">
        <f t="shared" si="32"/>
        <v/>
      </c>
      <c r="AE100" s="40"/>
      <c r="AF100" s="40"/>
      <c r="AG100" s="40"/>
      <c r="AH100" s="56" t="str">
        <f t="shared" si="33"/>
        <v/>
      </c>
      <c r="AI100" s="54"/>
      <c r="AJ100" s="54"/>
      <c r="AK100" s="54"/>
      <c r="AL100" s="54"/>
      <c r="AM100" s="54"/>
    </row>
    <row r="101" spans="1:39">
      <c r="A101" s="95"/>
      <c r="B101" s="45" t="str" cm="1">
        <f t="array" ref="B101">IF(H101="PROJECT", CHAR(10) &amp; "- " &amp; _xlfn.TEXTJOIN(CHAR(10) &amp; "- ", TRUE, _xlfn._xlws.FILTER($I$9:$I$1000, ($C$9:$C$1000=C101) * ($H$9:$H$1000="Topic"))), "")</f>
        <v/>
      </c>
      <c r="C101" s="45">
        <f t="shared" si="17"/>
        <v>69</v>
      </c>
      <c r="D101" s="46"/>
      <c r="E101" s="58"/>
      <c r="F101" s="67"/>
      <c r="G101" s="53"/>
      <c r="H101" s="53"/>
      <c r="I101" s="50"/>
      <c r="J101" s="51"/>
      <c r="K101" s="120" t="str">
        <f t="shared" si="18"/>
        <v/>
      </c>
      <c r="L101" s="103" t="str">
        <f t="shared" si="19"/>
        <v/>
      </c>
      <c r="M101" s="53">
        <v>0</v>
      </c>
      <c r="N101" s="102" t="str">
        <f t="shared" si="20"/>
        <v/>
      </c>
      <c r="O101" s="103" t="str">
        <f t="shared" si="21"/>
        <v/>
      </c>
      <c r="P101" s="53">
        <v>0</v>
      </c>
      <c r="Q101" s="102" t="str">
        <f t="shared" si="22"/>
        <v/>
      </c>
      <c r="R101" s="103" t="str">
        <f t="shared" si="23"/>
        <v/>
      </c>
      <c r="S101" s="53">
        <v>0</v>
      </c>
      <c r="T101" s="102" t="str">
        <f t="shared" si="24"/>
        <v/>
      </c>
      <c r="U101" s="103" t="str">
        <f t="shared" si="25"/>
        <v/>
      </c>
      <c r="V101" s="53">
        <v>0</v>
      </c>
      <c r="W101" s="87" t="str">
        <f t="shared" si="26"/>
        <v/>
      </c>
      <c r="X101" s="103" t="str">
        <f t="shared" si="27"/>
        <v/>
      </c>
      <c r="Y101" s="53">
        <v>0</v>
      </c>
      <c r="Z101" s="56" t="str">
        <f t="shared" si="28"/>
        <v/>
      </c>
      <c r="AA101" s="56" t="str">
        <f t="shared" si="29"/>
        <v/>
      </c>
      <c r="AB101" s="56" t="str">
        <f t="shared" si="30"/>
        <v/>
      </c>
      <c r="AC101" s="56" t="str">
        <f t="shared" si="31"/>
        <v/>
      </c>
      <c r="AD101" s="56" t="str">
        <f t="shared" si="32"/>
        <v/>
      </c>
      <c r="AE101" s="40"/>
      <c r="AF101" s="40"/>
      <c r="AG101" s="40"/>
      <c r="AH101" s="56" t="str">
        <f t="shared" si="33"/>
        <v/>
      </c>
      <c r="AI101" s="54"/>
      <c r="AJ101" s="54"/>
      <c r="AK101" s="54"/>
      <c r="AL101" s="54"/>
      <c r="AM101" s="54"/>
    </row>
    <row r="102" spans="1:39">
      <c r="A102" s="95"/>
      <c r="B102" s="45" t="str" cm="1">
        <f t="array" ref="B102">IF(H102="PROJECT", CHAR(10) &amp; "- " &amp; _xlfn.TEXTJOIN(CHAR(10) &amp; "- ", TRUE, _xlfn._xlws.FILTER($I$9:$I$1000, ($C$9:$C$1000=C102) * ($H$9:$H$1000="Topic"))), "")</f>
        <v/>
      </c>
      <c r="C102" s="45">
        <f t="shared" si="17"/>
        <v>70</v>
      </c>
      <c r="D102" s="57"/>
      <c r="E102" s="58"/>
      <c r="F102" s="54"/>
      <c r="G102" s="52"/>
      <c r="H102" s="52"/>
      <c r="I102" s="61"/>
      <c r="J102" s="62"/>
      <c r="K102" s="120" t="str">
        <f t="shared" si="18"/>
        <v/>
      </c>
      <c r="L102" s="103" t="str">
        <f t="shared" si="19"/>
        <v/>
      </c>
      <c r="M102" s="52">
        <v>0</v>
      </c>
      <c r="N102" s="102" t="str">
        <f t="shared" si="20"/>
        <v/>
      </c>
      <c r="O102" s="103" t="str">
        <f t="shared" si="21"/>
        <v/>
      </c>
      <c r="P102" s="52">
        <v>0</v>
      </c>
      <c r="Q102" s="102" t="str">
        <f t="shared" si="22"/>
        <v/>
      </c>
      <c r="R102" s="103" t="str">
        <f t="shared" si="23"/>
        <v/>
      </c>
      <c r="S102" s="52">
        <v>0</v>
      </c>
      <c r="T102" s="102" t="str">
        <f t="shared" si="24"/>
        <v/>
      </c>
      <c r="U102" s="103" t="str">
        <f t="shared" si="25"/>
        <v/>
      </c>
      <c r="V102" s="52">
        <v>0</v>
      </c>
      <c r="W102" s="87" t="str">
        <f t="shared" si="26"/>
        <v/>
      </c>
      <c r="X102" s="103" t="str">
        <f t="shared" si="27"/>
        <v/>
      </c>
      <c r="Y102" s="52">
        <v>0</v>
      </c>
      <c r="Z102" s="56" t="str">
        <f t="shared" si="28"/>
        <v/>
      </c>
      <c r="AA102" s="56" t="str">
        <f t="shared" si="29"/>
        <v/>
      </c>
      <c r="AB102" s="56" t="str">
        <f t="shared" si="30"/>
        <v/>
      </c>
      <c r="AC102" s="56" t="str">
        <f t="shared" si="31"/>
        <v/>
      </c>
      <c r="AD102" s="56" t="str">
        <f t="shared" si="32"/>
        <v/>
      </c>
      <c r="AE102" s="40"/>
      <c r="AF102" s="40"/>
      <c r="AG102" s="40"/>
      <c r="AH102" s="56" t="str">
        <f t="shared" si="33"/>
        <v/>
      </c>
      <c r="AI102" s="54"/>
      <c r="AJ102" s="54"/>
      <c r="AK102" s="54"/>
      <c r="AL102" s="54"/>
      <c r="AM102" s="54"/>
    </row>
    <row r="103" spans="1:39">
      <c r="A103" s="95"/>
      <c r="B103" s="45" t="str" cm="1">
        <f t="array" ref="B103">IF(H103="PROJECT", CHAR(10) &amp; "- " &amp; _xlfn.TEXTJOIN(CHAR(10) &amp; "- ", TRUE, _xlfn._xlws.FILTER($I$9:$I$1000, ($C$9:$C$1000=C103) * ($H$9:$H$1000="Topic"))), "")</f>
        <v/>
      </c>
      <c r="C103" s="45">
        <f t="shared" si="17"/>
        <v>71</v>
      </c>
      <c r="D103" s="46"/>
      <c r="E103" s="58"/>
      <c r="F103" s="67"/>
      <c r="G103" s="53"/>
      <c r="H103" s="53"/>
      <c r="I103" s="50"/>
      <c r="J103" s="51"/>
      <c r="K103" s="120" t="str">
        <f t="shared" si="18"/>
        <v/>
      </c>
      <c r="L103" s="103" t="str">
        <f t="shared" si="19"/>
        <v/>
      </c>
      <c r="M103" s="53">
        <v>0</v>
      </c>
      <c r="N103" s="102" t="str">
        <f t="shared" si="20"/>
        <v/>
      </c>
      <c r="O103" s="103" t="str">
        <f t="shared" si="21"/>
        <v/>
      </c>
      <c r="P103" s="53">
        <v>0</v>
      </c>
      <c r="Q103" s="102" t="str">
        <f t="shared" si="22"/>
        <v/>
      </c>
      <c r="R103" s="103" t="str">
        <f t="shared" si="23"/>
        <v/>
      </c>
      <c r="S103" s="53">
        <v>0</v>
      </c>
      <c r="T103" s="102" t="str">
        <f t="shared" si="24"/>
        <v/>
      </c>
      <c r="U103" s="103" t="str">
        <f t="shared" si="25"/>
        <v/>
      </c>
      <c r="V103" s="53">
        <v>0</v>
      </c>
      <c r="W103" s="87" t="str">
        <f t="shared" si="26"/>
        <v/>
      </c>
      <c r="X103" s="103" t="str">
        <f t="shared" si="27"/>
        <v/>
      </c>
      <c r="Y103" s="53">
        <v>0</v>
      </c>
      <c r="Z103" s="56" t="str">
        <f t="shared" si="28"/>
        <v/>
      </c>
      <c r="AA103" s="56" t="str">
        <f t="shared" si="29"/>
        <v/>
      </c>
      <c r="AB103" s="56" t="str">
        <f t="shared" si="30"/>
        <v/>
      </c>
      <c r="AC103" s="56" t="str">
        <f t="shared" si="31"/>
        <v/>
      </c>
      <c r="AD103" s="56" t="str">
        <f t="shared" si="32"/>
        <v/>
      </c>
      <c r="AE103" s="40"/>
      <c r="AF103" s="40"/>
      <c r="AG103" s="40"/>
      <c r="AH103" s="56" t="str">
        <f t="shared" si="33"/>
        <v/>
      </c>
      <c r="AI103" s="54"/>
      <c r="AJ103" s="54"/>
      <c r="AK103" s="54"/>
      <c r="AL103" s="54"/>
      <c r="AM103" s="54"/>
    </row>
    <row r="104" spans="1:39">
      <c r="A104" s="95"/>
      <c r="B104" s="45" t="str" cm="1">
        <f t="array" ref="B104">IF(H104="PROJECT", CHAR(10) &amp; "- " &amp; _xlfn.TEXTJOIN(CHAR(10) &amp; "- ", TRUE, _xlfn._xlws.FILTER($I$9:$I$1000, ($C$9:$C$1000=C104) * ($H$9:$H$1000="Topic"))), "")</f>
        <v/>
      </c>
      <c r="C104" s="45">
        <f t="shared" si="17"/>
        <v>72</v>
      </c>
      <c r="D104" s="57"/>
      <c r="E104" s="58"/>
      <c r="F104" s="54"/>
      <c r="G104" s="52"/>
      <c r="H104" s="52"/>
      <c r="I104" s="61"/>
      <c r="J104" s="62"/>
      <c r="K104" s="120" t="str">
        <f t="shared" si="18"/>
        <v/>
      </c>
      <c r="L104" s="103" t="str">
        <f t="shared" si="19"/>
        <v/>
      </c>
      <c r="M104" s="52">
        <v>0</v>
      </c>
      <c r="N104" s="102" t="str">
        <f t="shared" si="20"/>
        <v/>
      </c>
      <c r="O104" s="103" t="str">
        <f t="shared" si="21"/>
        <v/>
      </c>
      <c r="P104" s="52">
        <v>0</v>
      </c>
      <c r="Q104" s="102" t="str">
        <f t="shared" si="22"/>
        <v/>
      </c>
      <c r="R104" s="103" t="str">
        <f t="shared" si="23"/>
        <v/>
      </c>
      <c r="S104" s="52">
        <v>0</v>
      </c>
      <c r="T104" s="102" t="str">
        <f t="shared" si="24"/>
        <v/>
      </c>
      <c r="U104" s="103" t="str">
        <f t="shared" si="25"/>
        <v/>
      </c>
      <c r="V104" s="52">
        <v>0</v>
      </c>
      <c r="W104" s="87" t="str">
        <f t="shared" si="26"/>
        <v/>
      </c>
      <c r="X104" s="103" t="str">
        <f t="shared" si="27"/>
        <v/>
      </c>
      <c r="Y104" s="52">
        <v>0</v>
      </c>
      <c r="Z104" s="56" t="str">
        <f t="shared" si="28"/>
        <v/>
      </c>
      <c r="AA104" s="56" t="str">
        <f t="shared" si="29"/>
        <v/>
      </c>
      <c r="AB104" s="56" t="str">
        <f t="shared" si="30"/>
        <v/>
      </c>
      <c r="AC104" s="56" t="str">
        <f t="shared" si="31"/>
        <v/>
      </c>
      <c r="AD104" s="56" t="str">
        <f t="shared" si="32"/>
        <v/>
      </c>
      <c r="AE104" s="40"/>
      <c r="AF104" s="40"/>
      <c r="AG104" s="40"/>
      <c r="AH104" s="56" t="str">
        <f t="shared" si="33"/>
        <v/>
      </c>
      <c r="AI104" s="54"/>
      <c r="AJ104" s="54"/>
      <c r="AK104" s="54"/>
      <c r="AL104" s="54"/>
      <c r="AM104" s="54"/>
    </row>
    <row r="105" spans="1:39">
      <c r="A105" s="95"/>
      <c r="B105" s="45" t="str" cm="1">
        <f t="array" ref="B105">IF(H105="PROJECT", CHAR(10) &amp; "- " &amp; _xlfn.TEXTJOIN(CHAR(10) &amp; "- ", TRUE, _xlfn._xlws.FILTER($I$9:$I$1000, ($C$9:$C$1000=C105) * ($H$9:$H$1000="Topic"))), "")</f>
        <v/>
      </c>
      <c r="C105" s="45">
        <f t="shared" si="17"/>
        <v>73</v>
      </c>
      <c r="D105" s="46"/>
      <c r="E105" s="58"/>
      <c r="F105" s="67"/>
      <c r="G105" s="53"/>
      <c r="H105" s="53"/>
      <c r="I105" s="50"/>
      <c r="J105" s="51"/>
      <c r="K105" s="120" t="str">
        <f t="shared" si="18"/>
        <v/>
      </c>
      <c r="L105" s="103" t="str">
        <f t="shared" si="19"/>
        <v/>
      </c>
      <c r="M105" s="53">
        <v>0</v>
      </c>
      <c r="N105" s="102" t="str">
        <f t="shared" si="20"/>
        <v/>
      </c>
      <c r="O105" s="103" t="str">
        <f t="shared" si="21"/>
        <v/>
      </c>
      <c r="P105" s="53">
        <v>0</v>
      </c>
      <c r="Q105" s="102" t="str">
        <f t="shared" si="22"/>
        <v/>
      </c>
      <c r="R105" s="103" t="str">
        <f t="shared" si="23"/>
        <v/>
      </c>
      <c r="S105" s="53">
        <v>0</v>
      </c>
      <c r="T105" s="102" t="str">
        <f t="shared" si="24"/>
        <v/>
      </c>
      <c r="U105" s="103" t="str">
        <f t="shared" si="25"/>
        <v/>
      </c>
      <c r="V105" s="53">
        <v>0</v>
      </c>
      <c r="W105" s="87" t="str">
        <f t="shared" si="26"/>
        <v/>
      </c>
      <c r="X105" s="103" t="str">
        <f t="shared" si="27"/>
        <v/>
      </c>
      <c r="Y105" s="53">
        <v>0</v>
      </c>
      <c r="Z105" s="56" t="str">
        <f t="shared" si="28"/>
        <v/>
      </c>
      <c r="AA105" s="56" t="str">
        <f t="shared" si="29"/>
        <v/>
      </c>
      <c r="AB105" s="56" t="str">
        <f t="shared" si="30"/>
        <v/>
      </c>
      <c r="AC105" s="56" t="str">
        <f t="shared" si="31"/>
        <v/>
      </c>
      <c r="AD105" s="56" t="str">
        <f t="shared" si="32"/>
        <v/>
      </c>
      <c r="AE105" s="40"/>
      <c r="AF105" s="40"/>
      <c r="AG105" s="40"/>
      <c r="AH105" s="56" t="str">
        <f t="shared" si="33"/>
        <v/>
      </c>
      <c r="AI105" s="54"/>
      <c r="AJ105" s="54"/>
      <c r="AK105" s="54"/>
      <c r="AL105" s="54"/>
      <c r="AM105" s="54"/>
    </row>
    <row r="106" spans="1:39">
      <c r="A106" s="95"/>
      <c r="B106" s="45" t="str" cm="1">
        <f t="array" ref="B106">IF(H106="PROJECT", CHAR(10) &amp; "- " &amp; _xlfn.TEXTJOIN(CHAR(10) &amp; "- ", TRUE, _xlfn._xlws.FILTER($I$9:$I$1000, ($C$9:$C$1000=C106) * ($H$9:$H$1000="Topic"))), "")</f>
        <v/>
      </c>
      <c r="C106" s="45">
        <f t="shared" si="17"/>
        <v>74</v>
      </c>
      <c r="D106" s="57"/>
      <c r="E106" s="58"/>
      <c r="F106" s="54"/>
      <c r="G106" s="52"/>
      <c r="H106" s="52"/>
      <c r="I106" s="61"/>
      <c r="J106" s="62"/>
      <c r="K106" s="120" t="str">
        <f t="shared" si="18"/>
        <v/>
      </c>
      <c r="L106" s="103" t="str">
        <f t="shared" si="19"/>
        <v/>
      </c>
      <c r="M106" s="52">
        <v>0</v>
      </c>
      <c r="N106" s="102" t="str">
        <f t="shared" si="20"/>
        <v/>
      </c>
      <c r="O106" s="103" t="str">
        <f t="shared" si="21"/>
        <v/>
      </c>
      <c r="P106" s="52">
        <v>0</v>
      </c>
      <c r="Q106" s="102" t="str">
        <f t="shared" si="22"/>
        <v/>
      </c>
      <c r="R106" s="103" t="str">
        <f t="shared" si="23"/>
        <v/>
      </c>
      <c r="S106" s="52">
        <v>0</v>
      </c>
      <c r="T106" s="102" t="str">
        <f t="shared" si="24"/>
        <v/>
      </c>
      <c r="U106" s="103" t="str">
        <f t="shared" si="25"/>
        <v/>
      </c>
      <c r="V106" s="52">
        <v>0</v>
      </c>
      <c r="W106" s="87" t="str">
        <f t="shared" si="26"/>
        <v/>
      </c>
      <c r="X106" s="103" t="str">
        <f t="shared" si="27"/>
        <v/>
      </c>
      <c r="Y106" s="52">
        <v>0</v>
      </c>
      <c r="Z106" s="56" t="str">
        <f t="shared" si="28"/>
        <v/>
      </c>
      <c r="AA106" s="56" t="str">
        <f t="shared" si="29"/>
        <v/>
      </c>
      <c r="AB106" s="56" t="str">
        <f t="shared" si="30"/>
        <v/>
      </c>
      <c r="AC106" s="56" t="str">
        <f t="shared" si="31"/>
        <v/>
      </c>
      <c r="AD106" s="56" t="str">
        <f t="shared" si="32"/>
        <v/>
      </c>
      <c r="AE106" s="40"/>
      <c r="AF106" s="40"/>
      <c r="AG106" s="40"/>
      <c r="AH106" s="56" t="str">
        <f t="shared" si="33"/>
        <v/>
      </c>
      <c r="AI106" s="54"/>
      <c r="AJ106" s="54"/>
      <c r="AK106" s="54"/>
      <c r="AL106" s="54"/>
      <c r="AM106" s="54"/>
    </row>
    <row r="107" spans="1:39">
      <c r="A107" s="95"/>
      <c r="B107" s="45" t="str" cm="1">
        <f t="array" ref="B107">IF(H107="PROJECT", CHAR(10) &amp; "- " &amp; _xlfn.TEXTJOIN(CHAR(10) &amp; "- ", TRUE, _xlfn._xlws.FILTER($I$9:$I$1000, ($C$9:$C$1000=C107) * ($H$9:$H$1000="Topic"))), "")</f>
        <v/>
      </c>
      <c r="C107" s="45">
        <f t="shared" si="17"/>
        <v>75</v>
      </c>
      <c r="D107" s="46"/>
      <c r="E107" s="58"/>
      <c r="F107" s="67"/>
      <c r="G107" s="53"/>
      <c r="H107" s="53"/>
      <c r="I107" s="50"/>
      <c r="J107" s="51"/>
      <c r="K107" s="120" t="str">
        <f t="shared" si="18"/>
        <v/>
      </c>
      <c r="L107" s="103" t="str">
        <f t="shared" si="19"/>
        <v/>
      </c>
      <c r="M107" s="53">
        <v>0</v>
      </c>
      <c r="N107" s="102" t="str">
        <f t="shared" si="20"/>
        <v/>
      </c>
      <c r="O107" s="103" t="str">
        <f t="shared" si="21"/>
        <v/>
      </c>
      <c r="P107" s="53">
        <v>0</v>
      </c>
      <c r="Q107" s="102" t="str">
        <f t="shared" si="22"/>
        <v/>
      </c>
      <c r="R107" s="103" t="str">
        <f t="shared" si="23"/>
        <v/>
      </c>
      <c r="S107" s="53">
        <v>0</v>
      </c>
      <c r="T107" s="102" t="str">
        <f t="shared" si="24"/>
        <v/>
      </c>
      <c r="U107" s="103" t="str">
        <f t="shared" si="25"/>
        <v/>
      </c>
      <c r="V107" s="53">
        <v>0</v>
      </c>
      <c r="W107" s="87" t="str">
        <f t="shared" si="26"/>
        <v/>
      </c>
      <c r="X107" s="103" t="str">
        <f t="shared" si="27"/>
        <v/>
      </c>
      <c r="Y107" s="53">
        <v>0</v>
      </c>
      <c r="Z107" s="56" t="str">
        <f t="shared" si="28"/>
        <v/>
      </c>
      <c r="AA107" s="56" t="str">
        <f t="shared" si="29"/>
        <v/>
      </c>
      <c r="AB107" s="56" t="str">
        <f t="shared" si="30"/>
        <v/>
      </c>
      <c r="AC107" s="56" t="str">
        <f t="shared" si="31"/>
        <v/>
      </c>
      <c r="AD107" s="56" t="str">
        <f t="shared" si="32"/>
        <v/>
      </c>
      <c r="AE107" s="40"/>
      <c r="AF107" s="40"/>
      <c r="AG107" s="40"/>
      <c r="AH107" s="56" t="str">
        <f t="shared" si="33"/>
        <v/>
      </c>
      <c r="AI107" s="54"/>
      <c r="AJ107" s="54"/>
      <c r="AK107" s="54"/>
      <c r="AL107" s="54"/>
      <c r="AM107" s="54"/>
    </row>
    <row r="108" spans="1:39">
      <c r="A108" s="95"/>
      <c r="B108" s="45" t="str" cm="1">
        <f t="array" ref="B108">IF(H108="PROJECT", CHAR(10) &amp; "- " &amp; _xlfn.TEXTJOIN(CHAR(10) &amp; "- ", TRUE, _xlfn._xlws.FILTER($I$9:$I$1000, ($C$9:$C$1000=C108) * ($H$9:$H$1000="Topic"))), "")</f>
        <v/>
      </c>
      <c r="C108" s="45">
        <f t="shared" si="17"/>
        <v>76</v>
      </c>
      <c r="D108" s="57"/>
      <c r="E108" s="58"/>
      <c r="F108" s="54"/>
      <c r="G108" s="52"/>
      <c r="H108" s="52"/>
      <c r="I108" s="61"/>
      <c r="J108" s="62"/>
      <c r="K108" s="120" t="str">
        <f t="shared" si="18"/>
        <v/>
      </c>
      <c r="L108" s="103" t="str">
        <f t="shared" si="19"/>
        <v/>
      </c>
      <c r="M108" s="52">
        <v>0</v>
      </c>
      <c r="N108" s="102" t="str">
        <f t="shared" si="20"/>
        <v/>
      </c>
      <c r="O108" s="103" t="str">
        <f t="shared" si="21"/>
        <v/>
      </c>
      <c r="P108" s="52">
        <v>0</v>
      </c>
      <c r="Q108" s="102" t="str">
        <f t="shared" si="22"/>
        <v/>
      </c>
      <c r="R108" s="103" t="str">
        <f t="shared" si="23"/>
        <v/>
      </c>
      <c r="S108" s="52">
        <v>0</v>
      </c>
      <c r="T108" s="102" t="str">
        <f t="shared" si="24"/>
        <v/>
      </c>
      <c r="U108" s="103" t="str">
        <f t="shared" si="25"/>
        <v/>
      </c>
      <c r="V108" s="52">
        <v>0</v>
      </c>
      <c r="W108" s="87" t="str">
        <f t="shared" si="26"/>
        <v/>
      </c>
      <c r="X108" s="103" t="str">
        <f t="shared" si="27"/>
        <v/>
      </c>
      <c r="Y108" s="52">
        <v>0</v>
      </c>
      <c r="Z108" s="56" t="str">
        <f t="shared" si="28"/>
        <v/>
      </c>
      <c r="AA108" s="56" t="str">
        <f t="shared" si="29"/>
        <v/>
      </c>
      <c r="AB108" s="56" t="str">
        <f t="shared" si="30"/>
        <v/>
      </c>
      <c r="AC108" s="56" t="str">
        <f t="shared" si="31"/>
        <v/>
      </c>
      <c r="AD108" s="56" t="str">
        <f t="shared" si="32"/>
        <v/>
      </c>
      <c r="AE108" s="40"/>
      <c r="AF108" s="40"/>
      <c r="AG108" s="40"/>
      <c r="AH108" s="56" t="str">
        <f t="shared" si="33"/>
        <v/>
      </c>
      <c r="AI108" s="54"/>
      <c r="AJ108" s="54"/>
      <c r="AK108" s="54"/>
      <c r="AL108" s="54"/>
      <c r="AM108" s="54"/>
    </row>
    <row r="109" spans="1:39">
      <c r="A109" s="95"/>
      <c r="B109" s="45" t="str" cm="1">
        <f t="array" ref="B109">IF(H109="PROJECT", CHAR(10) &amp; "- " &amp; _xlfn.TEXTJOIN(CHAR(10) &amp; "- ", TRUE, _xlfn._xlws.FILTER($I$9:$I$1000, ($C$9:$C$1000=C109) * ($H$9:$H$1000="Topic"))), "")</f>
        <v/>
      </c>
      <c r="C109" s="45">
        <f t="shared" si="17"/>
        <v>77</v>
      </c>
      <c r="D109" s="46"/>
      <c r="E109" s="58"/>
      <c r="F109" s="67"/>
      <c r="G109" s="53"/>
      <c r="H109" s="53"/>
      <c r="I109" s="50"/>
      <c r="J109" s="51"/>
      <c r="K109" s="120" t="str">
        <f t="shared" si="18"/>
        <v/>
      </c>
      <c r="L109" s="103" t="str">
        <f t="shared" si="19"/>
        <v/>
      </c>
      <c r="M109" s="53">
        <v>0</v>
      </c>
      <c r="N109" s="102" t="str">
        <f t="shared" si="20"/>
        <v/>
      </c>
      <c r="O109" s="103" t="str">
        <f t="shared" si="21"/>
        <v/>
      </c>
      <c r="P109" s="53">
        <v>0</v>
      </c>
      <c r="Q109" s="102" t="str">
        <f t="shared" si="22"/>
        <v/>
      </c>
      <c r="R109" s="103" t="str">
        <f t="shared" si="23"/>
        <v/>
      </c>
      <c r="S109" s="53">
        <v>0</v>
      </c>
      <c r="T109" s="102" t="str">
        <f t="shared" si="24"/>
        <v/>
      </c>
      <c r="U109" s="103" t="str">
        <f t="shared" si="25"/>
        <v/>
      </c>
      <c r="V109" s="53">
        <v>0</v>
      </c>
      <c r="W109" s="87" t="str">
        <f t="shared" si="26"/>
        <v/>
      </c>
      <c r="X109" s="103" t="str">
        <f t="shared" si="27"/>
        <v/>
      </c>
      <c r="Y109" s="53">
        <v>0</v>
      </c>
      <c r="Z109" s="56" t="str">
        <f t="shared" si="28"/>
        <v/>
      </c>
      <c r="AA109" s="56" t="str">
        <f t="shared" si="29"/>
        <v/>
      </c>
      <c r="AB109" s="56" t="str">
        <f t="shared" si="30"/>
        <v/>
      </c>
      <c r="AC109" s="56" t="str">
        <f t="shared" si="31"/>
        <v/>
      </c>
      <c r="AD109" s="56" t="str">
        <f t="shared" si="32"/>
        <v/>
      </c>
      <c r="AE109" s="40"/>
      <c r="AF109" s="40"/>
      <c r="AG109" s="40"/>
      <c r="AH109" s="56" t="str">
        <f t="shared" si="33"/>
        <v/>
      </c>
      <c r="AI109" s="54"/>
      <c r="AJ109" s="54"/>
      <c r="AK109" s="54"/>
      <c r="AL109" s="54"/>
      <c r="AM109" s="54"/>
    </row>
    <row r="110" spans="1:39">
      <c r="A110" s="95"/>
      <c r="B110" s="45" t="str" cm="1">
        <f t="array" ref="B110">IF(H110="PROJECT", CHAR(10) &amp; "- " &amp; _xlfn.TEXTJOIN(CHAR(10) &amp; "- ", TRUE, _xlfn._xlws.FILTER($I$9:$I$1000, ($C$9:$C$1000=C110) * ($H$9:$H$1000="Topic"))), "")</f>
        <v/>
      </c>
      <c r="C110" s="45">
        <f t="shared" si="17"/>
        <v>78</v>
      </c>
      <c r="D110" s="57"/>
      <c r="E110" s="58"/>
      <c r="F110" s="54"/>
      <c r="G110" s="52"/>
      <c r="H110" s="52"/>
      <c r="I110" s="61"/>
      <c r="J110" s="62"/>
      <c r="K110" s="120" t="str">
        <f t="shared" si="18"/>
        <v/>
      </c>
      <c r="L110" s="103" t="str">
        <f t="shared" si="19"/>
        <v/>
      </c>
      <c r="M110" s="52">
        <v>0</v>
      </c>
      <c r="N110" s="102" t="str">
        <f t="shared" si="20"/>
        <v/>
      </c>
      <c r="O110" s="103" t="str">
        <f t="shared" si="21"/>
        <v/>
      </c>
      <c r="P110" s="52">
        <v>0</v>
      </c>
      <c r="Q110" s="102" t="str">
        <f t="shared" si="22"/>
        <v/>
      </c>
      <c r="R110" s="103" t="str">
        <f t="shared" si="23"/>
        <v/>
      </c>
      <c r="S110" s="52">
        <v>0</v>
      </c>
      <c r="T110" s="102" t="str">
        <f t="shared" si="24"/>
        <v/>
      </c>
      <c r="U110" s="103" t="str">
        <f t="shared" si="25"/>
        <v/>
      </c>
      <c r="V110" s="52">
        <v>0</v>
      </c>
      <c r="W110" s="87" t="str">
        <f t="shared" si="26"/>
        <v/>
      </c>
      <c r="X110" s="103" t="str">
        <f t="shared" si="27"/>
        <v/>
      </c>
      <c r="Y110" s="52">
        <v>0</v>
      </c>
      <c r="Z110" s="56" t="str">
        <f t="shared" si="28"/>
        <v/>
      </c>
      <c r="AA110" s="56" t="str">
        <f t="shared" si="29"/>
        <v/>
      </c>
      <c r="AB110" s="56" t="str">
        <f t="shared" si="30"/>
        <v/>
      </c>
      <c r="AC110" s="56" t="str">
        <f t="shared" si="31"/>
        <v/>
      </c>
      <c r="AD110" s="56" t="str">
        <f t="shared" si="32"/>
        <v/>
      </c>
      <c r="AE110" s="40"/>
      <c r="AF110" s="40"/>
      <c r="AG110" s="40"/>
      <c r="AH110" s="56" t="str">
        <f t="shared" si="33"/>
        <v/>
      </c>
      <c r="AI110" s="54"/>
      <c r="AJ110" s="54"/>
      <c r="AK110" s="54"/>
      <c r="AL110" s="54"/>
      <c r="AM110" s="54"/>
    </row>
    <row r="111" spans="1:39">
      <c r="A111" s="95"/>
      <c r="B111" s="45" t="str" cm="1">
        <f t="array" ref="B111">IF(H111="PROJECT", CHAR(10) &amp; "- " &amp; _xlfn.TEXTJOIN(CHAR(10) &amp; "- ", TRUE, _xlfn._xlws.FILTER($I$9:$I$1000, ($C$9:$C$1000=C111) * ($H$9:$H$1000="Topic"))), "")</f>
        <v/>
      </c>
      <c r="C111" s="45">
        <f t="shared" si="17"/>
        <v>79</v>
      </c>
      <c r="D111" s="46"/>
      <c r="E111" s="58"/>
      <c r="F111" s="67"/>
      <c r="G111" s="53"/>
      <c r="H111" s="53"/>
      <c r="I111" s="50"/>
      <c r="J111" s="51"/>
      <c r="K111" s="120" t="str">
        <f t="shared" si="18"/>
        <v/>
      </c>
      <c r="L111" s="103" t="str">
        <f t="shared" si="19"/>
        <v/>
      </c>
      <c r="M111" s="53">
        <v>0</v>
      </c>
      <c r="N111" s="102" t="str">
        <f t="shared" si="20"/>
        <v/>
      </c>
      <c r="O111" s="103" t="str">
        <f t="shared" si="21"/>
        <v/>
      </c>
      <c r="P111" s="53">
        <v>0</v>
      </c>
      <c r="Q111" s="102" t="str">
        <f t="shared" si="22"/>
        <v/>
      </c>
      <c r="R111" s="103" t="str">
        <f t="shared" si="23"/>
        <v/>
      </c>
      <c r="S111" s="53">
        <v>0</v>
      </c>
      <c r="T111" s="102" t="str">
        <f t="shared" si="24"/>
        <v/>
      </c>
      <c r="U111" s="103" t="str">
        <f t="shared" si="25"/>
        <v/>
      </c>
      <c r="V111" s="53">
        <v>0</v>
      </c>
      <c r="W111" s="87" t="str">
        <f t="shared" si="26"/>
        <v/>
      </c>
      <c r="X111" s="103" t="str">
        <f t="shared" si="27"/>
        <v/>
      </c>
      <c r="Y111" s="53">
        <v>0</v>
      </c>
      <c r="Z111" s="56" t="str">
        <f t="shared" si="28"/>
        <v/>
      </c>
      <c r="AA111" s="56" t="str">
        <f t="shared" si="29"/>
        <v/>
      </c>
      <c r="AB111" s="56" t="str">
        <f t="shared" si="30"/>
        <v/>
      </c>
      <c r="AC111" s="56" t="str">
        <f t="shared" si="31"/>
        <v/>
      </c>
      <c r="AD111" s="56" t="str">
        <f t="shared" si="32"/>
        <v/>
      </c>
      <c r="AE111" s="40"/>
      <c r="AF111" s="40"/>
      <c r="AG111" s="40"/>
      <c r="AH111" s="56" t="str">
        <f t="shared" si="33"/>
        <v/>
      </c>
      <c r="AI111" s="54"/>
      <c r="AJ111" s="54"/>
      <c r="AK111" s="54"/>
      <c r="AL111" s="54"/>
      <c r="AM111" s="54"/>
    </row>
    <row r="112" spans="1:39">
      <c r="A112" s="95"/>
      <c r="B112" s="45" t="str" cm="1">
        <f t="array" ref="B112">IF(H112="PROJECT", CHAR(10) &amp; "- " &amp; _xlfn.TEXTJOIN(CHAR(10) &amp; "- ", TRUE, _xlfn._xlws.FILTER($I$9:$I$1000, ($C$9:$C$1000=C112) * ($H$9:$H$1000="Topic"))), "")</f>
        <v/>
      </c>
      <c r="C112" s="45">
        <f t="shared" si="17"/>
        <v>80</v>
      </c>
      <c r="D112" s="57"/>
      <c r="E112" s="58"/>
      <c r="F112" s="54"/>
      <c r="G112" s="52"/>
      <c r="H112" s="52"/>
      <c r="I112" s="61"/>
      <c r="J112" s="62"/>
      <c r="K112" s="120" t="str">
        <f t="shared" si="18"/>
        <v/>
      </c>
      <c r="L112" s="103" t="str">
        <f t="shared" si="19"/>
        <v/>
      </c>
      <c r="M112" s="52">
        <v>0</v>
      </c>
      <c r="N112" s="102" t="str">
        <f t="shared" si="20"/>
        <v/>
      </c>
      <c r="O112" s="103" t="str">
        <f t="shared" si="21"/>
        <v/>
      </c>
      <c r="P112" s="52">
        <v>0</v>
      </c>
      <c r="Q112" s="102" t="str">
        <f t="shared" si="22"/>
        <v/>
      </c>
      <c r="R112" s="103" t="str">
        <f t="shared" si="23"/>
        <v/>
      </c>
      <c r="S112" s="52">
        <v>0</v>
      </c>
      <c r="T112" s="102" t="str">
        <f t="shared" si="24"/>
        <v/>
      </c>
      <c r="U112" s="103" t="str">
        <f t="shared" si="25"/>
        <v/>
      </c>
      <c r="V112" s="52">
        <v>0</v>
      </c>
      <c r="W112" s="87" t="str">
        <f t="shared" si="26"/>
        <v/>
      </c>
      <c r="X112" s="103" t="str">
        <f t="shared" si="27"/>
        <v/>
      </c>
      <c r="Y112" s="52">
        <v>0</v>
      </c>
      <c r="Z112" s="56" t="str">
        <f t="shared" si="28"/>
        <v/>
      </c>
      <c r="AA112" s="56" t="str">
        <f t="shared" si="29"/>
        <v/>
      </c>
      <c r="AB112" s="56" t="str">
        <f t="shared" si="30"/>
        <v/>
      </c>
      <c r="AC112" s="56" t="str">
        <f t="shared" si="31"/>
        <v/>
      </c>
      <c r="AD112" s="56" t="str">
        <f t="shared" si="32"/>
        <v/>
      </c>
      <c r="AE112" s="40"/>
      <c r="AF112" s="40"/>
      <c r="AG112" s="40"/>
      <c r="AH112" s="56" t="str">
        <f t="shared" si="33"/>
        <v/>
      </c>
      <c r="AI112" s="54"/>
      <c r="AJ112" s="54"/>
      <c r="AK112" s="54"/>
      <c r="AL112" s="54"/>
      <c r="AM112" s="54"/>
    </row>
    <row r="113" spans="1:39">
      <c r="A113" s="95"/>
      <c r="B113" s="45" t="str" cm="1">
        <f t="array" ref="B113">IF(H113="PROJECT", CHAR(10) &amp; "- " &amp; _xlfn.TEXTJOIN(CHAR(10) &amp; "- ", TRUE, _xlfn._xlws.FILTER($I$9:$I$1000, ($C$9:$C$1000=C113) * ($H$9:$H$1000="Topic"))), "")</f>
        <v/>
      </c>
      <c r="C113" s="45">
        <f t="shared" si="17"/>
        <v>81</v>
      </c>
      <c r="D113" s="46"/>
      <c r="E113" s="58"/>
      <c r="F113" s="67"/>
      <c r="G113" s="53"/>
      <c r="H113" s="53"/>
      <c r="I113" s="50"/>
      <c r="J113" s="51"/>
      <c r="K113" s="120" t="str">
        <f t="shared" si="18"/>
        <v/>
      </c>
      <c r="L113" s="103" t="str">
        <f t="shared" si="19"/>
        <v/>
      </c>
      <c r="M113" s="53">
        <v>0</v>
      </c>
      <c r="N113" s="102" t="str">
        <f t="shared" si="20"/>
        <v/>
      </c>
      <c r="O113" s="103" t="str">
        <f t="shared" si="21"/>
        <v/>
      </c>
      <c r="P113" s="53">
        <v>0</v>
      </c>
      <c r="Q113" s="102" t="str">
        <f t="shared" si="22"/>
        <v/>
      </c>
      <c r="R113" s="103" t="str">
        <f t="shared" si="23"/>
        <v/>
      </c>
      <c r="S113" s="53">
        <v>0</v>
      </c>
      <c r="T113" s="102" t="str">
        <f t="shared" si="24"/>
        <v/>
      </c>
      <c r="U113" s="103" t="str">
        <f t="shared" si="25"/>
        <v/>
      </c>
      <c r="V113" s="53">
        <v>0</v>
      </c>
      <c r="W113" s="87" t="str">
        <f t="shared" si="26"/>
        <v/>
      </c>
      <c r="X113" s="103" t="str">
        <f t="shared" si="27"/>
        <v/>
      </c>
      <c r="Y113" s="53">
        <v>0</v>
      </c>
      <c r="Z113" s="56" t="str">
        <f t="shared" si="28"/>
        <v/>
      </c>
      <c r="AA113" s="56" t="str">
        <f t="shared" si="29"/>
        <v/>
      </c>
      <c r="AB113" s="56" t="str">
        <f t="shared" si="30"/>
        <v/>
      </c>
      <c r="AC113" s="56" t="str">
        <f t="shared" si="31"/>
        <v/>
      </c>
      <c r="AD113" s="56" t="str">
        <f t="shared" si="32"/>
        <v/>
      </c>
      <c r="AE113" s="40"/>
      <c r="AF113" s="40"/>
      <c r="AG113" s="40"/>
      <c r="AH113" s="56" t="str">
        <f t="shared" si="33"/>
        <v/>
      </c>
      <c r="AI113" s="54"/>
      <c r="AJ113" s="54"/>
      <c r="AK113" s="54"/>
      <c r="AL113" s="54"/>
      <c r="AM113" s="54"/>
    </row>
    <row r="114" spans="1:39">
      <c r="A114" s="95"/>
      <c r="B114" s="45" t="str" cm="1">
        <f t="array" ref="B114">IF(H114="PROJECT", CHAR(10) &amp; "- " &amp; _xlfn.TEXTJOIN(CHAR(10) &amp; "- ", TRUE, _xlfn._xlws.FILTER($I$9:$I$1000, ($C$9:$C$1000=C114) * ($H$9:$H$1000="Topic"))), "")</f>
        <v/>
      </c>
      <c r="C114" s="45">
        <f t="shared" si="17"/>
        <v>82</v>
      </c>
      <c r="D114" s="57"/>
      <c r="E114" s="58"/>
      <c r="F114" s="54"/>
      <c r="G114" s="52"/>
      <c r="H114" s="52"/>
      <c r="I114" s="61"/>
      <c r="J114" s="62"/>
      <c r="K114" s="120" t="str">
        <f t="shared" si="18"/>
        <v/>
      </c>
      <c r="L114" s="103" t="str">
        <f t="shared" si="19"/>
        <v/>
      </c>
      <c r="M114" s="52">
        <v>0</v>
      </c>
      <c r="N114" s="102" t="str">
        <f t="shared" si="20"/>
        <v/>
      </c>
      <c r="O114" s="103" t="str">
        <f t="shared" si="21"/>
        <v/>
      </c>
      <c r="P114" s="52">
        <v>0</v>
      </c>
      <c r="Q114" s="102" t="str">
        <f t="shared" si="22"/>
        <v/>
      </c>
      <c r="R114" s="103" t="str">
        <f t="shared" si="23"/>
        <v/>
      </c>
      <c r="S114" s="52">
        <v>0</v>
      </c>
      <c r="T114" s="102" t="str">
        <f t="shared" si="24"/>
        <v/>
      </c>
      <c r="U114" s="103" t="str">
        <f t="shared" si="25"/>
        <v/>
      </c>
      <c r="V114" s="52">
        <v>0</v>
      </c>
      <c r="W114" s="87" t="str">
        <f t="shared" si="26"/>
        <v/>
      </c>
      <c r="X114" s="103" t="str">
        <f t="shared" si="27"/>
        <v/>
      </c>
      <c r="Y114" s="52">
        <v>0</v>
      </c>
      <c r="Z114" s="56" t="str">
        <f t="shared" si="28"/>
        <v/>
      </c>
      <c r="AA114" s="56" t="str">
        <f t="shared" si="29"/>
        <v/>
      </c>
      <c r="AB114" s="56" t="str">
        <f t="shared" si="30"/>
        <v/>
      </c>
      <c r="AC114" s="56" t="str">
        <f t="shared" si="31"/>
        <v/>
      </c>
      <c r="AD114" s="56" t="str">
        <f t="shared" si="32"/>
        <v/>
      </c>
      <c r="AE114" s="40"/>
      <c r="AF114" s="40"/>
      <c r="AG114" s="40"/>
      <c r="AH114" s="56" t="str">
        <f t="shared" si="33"/>
        <v/>
      </c>
      <c r="AI114" s="54"/>
      <c r="AJ114" s="54"/>
      <c r="AK114" s="54"/>
      <c r="AL114" s="54"/>
      <c r="AM114" s="54"/>
    </row>
    <row r="115" spans="1:39">
      <c r="A115" s="95"/>
      <c r="B115" s="45" t="str" cm="1">
        <f t="array" ref="B115">IF(H115="PROJECT", CHAR(10) &amp; "- " &amp; _xlfn.TEXTJOIN(CHAR(10) &amp; "- ", TRUE, _xlfn._xlws.FILTER($I$9:$I$1000, ($C$9:$C$1000=C115) * ($H$9:$H$1000="Topic"))), "")</f>
        <v/>
      </c>
      <c r="C115" s="45">
        <f t="shared" si="17"/>
        <v>83</v>
      </c>
      <c r="D115" s="46"/>
      <c r="E115" s="58"/>
      <c r="F115" s="67"/>
      <c r="G115" s="53"/>
      <c r="H115" s="53"/>
      <c r="I115" s="50"/>
      <c r="J115" s="51"/>
      <c r="K115" s="120" t="str">
        <f t="shared" si="18"/>
        <v/>
      </c>
      <c r="L115" s="103" t="str">
        <f t="shared" si="19"/>
        <v/>
      </c>
      <c r="M115" s="53">
        <v>0</v>
      </c>
      <c r="N115" s="102" t="str">
        <f t="shared" si="20"/>
        <v/>
      </c>
      <c r="O115" s="103" t="str">
        <f t="shared" si="21"/>
        <v/>
      </c>
      <c r="P115" s="53">
        <v>0</v>
      </c>
      <c r="Q115" s="102" t="str">
        <f t="shared" si="22"/>
        <v/>
      </c>
      <c r="R115" s="103" t="str">
        <f t="shared" si="23"/>
        <v/>
      </c>
      <c r="S115" s="53">
        <v>0</v>
      </c>
      <c r="T115" s="102" t="str">
        <f t="shared" si="24"/>
        <v/>
      </c>
      <c r="U115" s="103" t="str">
        <f t="shared" si="25"/>
        <v/>
      </c>
      <c r="V115" s="53">
        <v>0</v>
      </c>
      <c r="W115" s="87" t="str">
        <f t="shared" si="26"/>
        <v/>
      </c>
      <c r="X115" s="103" t="str">
        <f t="shared" si="27"/>
        <v/>
      </c>
      <c r="Y115" s="53">
        <v>0</v>
      </c>
      <c r="Z115" s="56" t="str">
        <f t="shared" si="28"/>
        <v/>
      </c>
      <c r="AA115" s="56" t="str">
        <f t="shared" si="29"/>
        <v/>
      </c>
      <c r="AB115" s="56" t="str">
        <f t="shared" si="30"/>
        <v/>
      </c>
      <c r="AC115" s="56" t="str">
        <f t="shared" si="31"/>
        <v/>
      </c>
      <c r="AD115" s="56" t="str">
        <f t="shared" si="32"/>
        <v/>
      </c>
      <c r="AE115" s="40"/>
      <c r="AF115" s="40"/>
      <c r="AG115" s="40"/>
      <c r="AH115" s="56" t="str">
        <f t="shared" si="33"/>
        <v/>
      </c>
      <c r="AI115" s="54"/>
      <c r="AJ115" s="54"/>
      <c r="AK115" s="54"/>
      <c r="AL115" s="54"/>
      <c r="AM115" s="54"/>
    </row>
    <row r="116" spans="1:39">
      <c r="A116" s="95"/>
      <c r="B116" s="45" t="str" cm="1">
        <f t="array" ref="B116">IF(H116="PROJECT", CHAR(10) &amp; "- " &amp; _xlfn.TEXTJOIN(CHAR(10) &amp; "- ", TRUE, _xlfn._xlws.FILTER($I$9:$I$1000, ($C$9:$C$1000=C116) * ($H$9:$H$1000="Topic"))), "")</f>
        <v/>
      </c>
      <c r="C116" s="45">
        <f t="shared" si="17"/>
        <v>84</v>
      </c>
      <c r="D116" s="57"/>
      <c r="E116" s="58"/>
      <c r="F116" s="54"/>
      <c r="G116" s="52"/>
      <c r="H116" s="52"/>
      <c r="I116" s="61"/>
      <c r="J116" s="62"/>
      <c r="K116" s="120" t="str">
        <f t="shared" si="18"/>
        <v/>
      </c>
      <c r="L116" s="103" t="str">
        <f t="shared" si="19"/>
        <v/>
      </c>
      <c r="M116" s="52">
        <v>0</v>
      </c>
      <c r="N116" s="102" t="str">
        <f t="shared" si="20"/>
        <v/>
      </c>
      <c r="O116" s="103" t="str">
        <f t="shared" si="21"/>
        <v/>
      </c>
      <c r="P116" s="52">
        <v>0</v>
      </c>
      <c r="Q116" s="102" t="str">
        <f t="shared" si="22"/>
        <v/>
      </c>
      <c r="R116" s="103" t="str">
        <f t="shared" si="23"/>
        <v/>
      </c>
      <c r="S116" s="52">
        <v>0</v>
      </c>
      <c r="T116" s="102" t="str">
        <f t="shared" si="24"/>
        <v/>
      </c>
      <c r="U116" s="103" t="str">
        <f t="shared" si="25"/>
        <v/>
      </c>
      <c r="V116" s="52">
        <v>0</v>
      </c>
      <c r="W116" s="87" t="str">
        <f t="shared" si="26"/>
        <v/>
      </c>
      <c r="X116" s="103" t="str">
        <f t="shared" si="27"/>
        <v/>
      </c>
      <c r="Y116" s="52">
        <v>0</v>
      </c>
      <c r="Z116" s="56" t="str">
        <f t="shared" si="28"/>
        <v/>
      </c>
      <c r="AA116" s="56" t="str">
        <f t="shared" si="29"/>
        <v/>
      </c>
      <c r="AB116" s="56" t="str">
        <f t="shared" si="30"/>
        <v/>
      </c>
      <c r="AC116" s="56" t="str">
        <f t="shared" si="31"/>
        <v/>
      </c>
      <c r="AD116" s="56" t="str">
        <f t="shared" si="32"/>
        <v/>
      </c>
      <c r="AE116" s="40"/>
      <c r="AF116" s="40"/>
      <c r="AG116" s="40"/>
      <c r="AH116" s="56" t="str">
        <f t="shared" si="33"/>
        <v/>
      </c>
      <c r="AI116" s="54"/>
      <c r="AJ116" s="54"/>
      <c r="AK116" s="54"/>
      <c r="AL116" s="54"/>
      <c r="AM116" s="54"/>
    </row>
    <row r="117" spans="1:39">
      <c r="A117" s="95"/>
      <c r="B117" s="45" t="str" cm="1">
        <f t="array" ref="B117">IF(H117="PROJECT", CHAR(10) &amp; "- " &amp; _xlfn.TEXTJOIN(CHAR(10) &amp; "- ", TRUE, _xlfn._xlws.FILTER($I$9:$I$1000, ($C$9:$C$1000=C117) * ($H$9:$H$1000="Topic"))), "")</f>
        <v/>
      </c>
      <c r="C117" s="45">
        <f t="shared" si="17"/>
        <v>85</v>
      </c>
      <c r="D117" s="46"/>
      <c r="E117" s="58"/>
      <c r="F117" s="67"/>
      <c r="G117" s="53"/>
      <c r="H117" s="53"/>
      <c r="I117" s="50"/>
      <c r="J117" s="51"/>
      <c r="K117" s="120" t="str">
        <f t="shared" si="18"/>
        <v/>
      </c>
      <c r="L117" s="103" t="str">
        <f t="shared" si="19"/>
        <v/>
      </c>
      <c r="M117" s="53">
        <v>0</v>
      </c>
      <c r="N117" s="102" t="str">
        <f t="shared" si="20"/>
        <v/>
      </c>
      <c r="O117" s="103" t="str">
        <f t="shared" si="21"/>
        <v/>
      </c>
      <c r="P117" s="53">
        <v>0</v>
      </c>
      <c r="Q117" s="102" t="str">
        <f t="shared" si="22"/>
        <v/>
      </c>
      <c r="R117" s="103" t="str">
        <f t="shared" si="23"/>
        <v/>
      </c>
      <c r="S117" s="53">
        <v>0</v>
      </c>
      <c r="T117" s="102" t="str">
        <f t="shared" si="24"/>
        <v/>
      </c>
      <c r="U117" s="103" t="str">
        <f t="shared" si="25"/>
        <v/>
      </c>
      <c r="V117" s="53">
        <v>0</v>
      </c>
      <c r="W117" s="87" t="str">
        <f t="shared" si="26"/>
        <v/>
      </c>
      <c r="X117" s="103" t="str">
        <f t="shared" si="27"/>
        <v/>
      </c>
      <c r="Y117" s="53">
        <v>0</v>
      </c>
      <c r="Z117" s="56" t="str">
        <f t="shared" si="28"/>
        <v/>
      </c>
      <c r="AA117" s="56" t="str">
        <f t="shared" si="29"/>
        <v/>
      </c>
      <c r="AB117" s="56" t="str">
        <f t="shared" si="30"/>
        <v/>
      </c>
      <c r="AC117" s="56" t="str">
        <f t="shared" si="31"/>
        <v/>
      </c>
      <c r="AD117" s="56" t="str">
        <f t="shared" si="32"/>
        <v/>
      </c>
      <c r="AE117" s="40"/>
      <c r="AF117" s="40"/>
      <c r="AG117" s="40"/>
      <c r="AH117" s="56" t="str">
        <f t="shared" si="33"/>
        <v/>
      </c>
      <c r="AI117" s="54"/>
      <c r="AJ117" s="54"/>
      <c r="AK117" s="54"/>
      <c r="AL117" s="54"/>
      <c r="AM117" s="54"/>
    </row>
    <row r="118" spans="1:39">
      <c r="A118" s="95"/>
      <c r="B118" s="45" t="str" cm="1">
        <f t="array" ref="B118">IF(H118="PROJECT", CHAR(10) &amp; "- " &amp; _xlfn.TEXTJOIN(CHAR(10) &amp; "- ", TRUE, _xlfn._xlws.FILTER($I$9:$I$1000, ($C$9:$C$1000=C118) * ($H$9:$H$1000="Topic"))), "")</f>
        <v/>
      </c>
      <c r="C118" s="45">
        <f t="shared" si="17"/>
        <v>86</v>
      </c>
      <c r="D118" s="57"/>
      <c r="E118" s="58"/>
      <c r="F118" s="54"/>
      <c r="G118" s="52"/>
      <c r="H118" s="52"/>
      <c r="I118" s="61"/>
      <c r="J118" s="62"/>
      <c r="K118" s="120" t="str">
        <f t="shared" si="18"/>
        <v/>
      </c>
      <c r="L118" s="103" t="str">
        <f t="shared" si="19"/>
        <v/>
      </c>
      <c r="M118" s="52">
        <v>0</v>
      </c>
      <c r="N118" s="102" t="str">
        <f t="shared" si="20"/>
        <v/>
      </c>
      <c r="O118" s="103" t="str">
        <f t="shared" si="21"/>
        <v/>
      </c>
      <c r="P118" s="52">
        <v>0</v>
      </c>
      <c r="Q118" s="102" t="str">
        <f t="shared" si="22"/>
        <v/>
      </c>
      <c r="R118" s="103" t="str">
        <f t="shared" si="23"/>
        <v/>
      </c>
      <c r="S118" s="52">
        <v>0</v>
      </c>
      <c r="T118" s="102" t="str">
        <f t="shared" si="24"/>
        <v/>
      </c>
      <c r="U118" s="103" t="str">
        <f t="shared" si="25"/>
        <v/>
      </c>
      <c r="V118" s="52">
        <v>0</v>
      </c>
      <c r="W118" s="87" t="str">
        <f t="shared" si="26"/>
        <v/>
      </c>
      <c r="X118" s="103" t="str">
        <f t="shared" si="27"/>
        <v/>
      </c>
      <c r="Y118" s="52">
        <v>0</v>
      </c>
      <c r="Z118" s="56" t="str">
        <f t="shared" si="28"/>
        <v/>
      </c>
      <c r="AA118" s="56" t="str">
        <f t="shared" si="29"/>
        <v/>
      </c>
      <c r="AB118" s="56" t="str">
        <f t="shared" si="30"/>
        <v/>
      </c>
      <c r="AC118" s="56" t="str">
        <f t="shared" si="31"/>
        <v/>
      </c>
      <c r="AD118" s="56" t="str">
        <f t="shared" si="32"/>
        <v/>
      </c>
      <c r="AE118" s="40"/>
      <c r="AF118" s="40"/>
      <c r="AG118" s="40"/>
      <c r="AH118" s="56" t="str">
        <f t="shared" si="33"/>
        <v/>
      </c>
      <c r="AI118" s="54"/>
      <c r="AJ118" s="54"/>
      <c r="AK118" s="54"/>
      <c r="AL118" s="54"/>
      <c r="AM118" s="54"/>
    </row>
    <row r="119" spans="1:39">
      <c r="A119" s="95"/>
      <c r="B119" s="45" t="str" cm="1">
        <f t="array" ref="B119">IF(H119="PROJECT", CHAR(10) &amp; "- " &amp; _xlfn.TEXTJOIN(CHAR(10) &amp; "- ", TRUE, _xlfn._xlws.FILTER($I$9:$I$1000, ($C$9:$C$1000=C119) * ($H$9:$H$1000="Topic"))), "")</f>
        <v/>
      </c>
      <c r="C119" s="45">
        <f t="shared" si="17"/>
        <v>87</v>
      </c>
      <c r="D119" s="46"/>
      <c r="E119" s="58"/>
      <c r="F119" s="67"/>
      <c r="G119" s="53"/>
      <c r="H119" s="53"/>
      <c r="I119" s="50"/>
      <c r="J119" s="51"/>
      <c r="K119" s="120" t="str">
        <f t="shared" si="18"/>
        <v/>
      </c>
      <c r="L119" s="103" t="str">
        <f t="shared" si="19"/>
        <v/>
      </c>
      <c r="M119" s="53">
        <v>0</v>
      </c>
      <c r="N119" s="102" t="str">
        <f t="shared" si="20"/>
        <v/>
      </c>
      <c r="O119" s="103" t="str">
        <f t="shared" si="21"/>
        <v/>
      </c>
      <c r="P119" s="53">
        <v>0</v>
      </c>
      <c r="Q119" s="102" t="str">
        <f t="shared" si="22"/>
        <v/>
      </c>
      <c r="R119" s="103" t="str">
        <f t="shared" si="23"/>
        <v/>
      </c>
      <c r="S119" s="53">
        <v>0</v>
      </c>
      <c r="T119" s="102" t="str">
        <f t="shared" si="24"/>
        <v/>
      </c>
      <c r="U119" s="103" t="str">
        <f t="shared" si="25"/>
        <v/>
      </c>
      <c r="V119" s="53">
        <v>0</v>
      </c>
      <c r="W119" s="87" t="str">
        <f t="shared" si="26"/>
        <v/>
      </c>
      <c r="X119" s="103" t="str">
        <f t="shared" si="27"/>
        <v/>
      </c>
      <c r="Y119" s="53">
        <v>0</v>
      </c>
      <c r="Z119" s="56" t="str">
        <f t="shared" si="28"/>
        <v/>
      </c>
      <c r="AA119" s="56" t="str">
        <f t="shared" si="29"/>
        <v/>
      </c>
      <c r="AB119" s="56" t="str">
        <f t="shared" si="30"/>
        <v/>
      </c>
      <c r="AC119" s="56" t="str">
        <f t="shared" si="31"/>
        <v/>
      </c>
      <c r="AD119" s="56" t="str">
        <f t="shared" si="32"/>
        <v/>
      </c>
      <c r="AE119" s="40"/>
      <c r="AF119" s="40"/>
      <c r="AG119" s="40"/>
      <c r="AH119" s="56" t="str">
        <f t="shared" si="33"/>
        <v/>
      </c>
      <c r="AI119" s="54"/>
      <c r="AJ119" s="54"/>
      <c r="AK119" s="54"/>
      <c r="AL119" s="54"/>
      <c r="AM119" s="54"/>
    </row>
    <row r="120" spans="1:39">
      <c r="A120" s="95"/>
      <c r="B120" s="45" t="str" cm="1">
        <f t="array" ref="B120">IF(H120="PROJECT", CHAR(10) &amp; "- " &amp; _xlfn.TEXTJOIN(CHAR(10) &amp; "- ", TRUE, _xlfn._xlws.FILTER($I$9:$I$1000, ($C$9:$C$1000=C120) * ($H$9:$H$1000="Topic"))), "")</f>
        <v/>
      </c>
      <c r="C120" s="45">
        <f t="shared" si="17"/>
        <v>88</v>
      </c>
      <c r="D120" s="57"/>
      <c r="E120" s="58"/>
      <c r="F120" s="54"/>
      <c r="G120" s="52"/>
      <c r="H120" s="52"/>
      <c r="I120" s="61"/>
      <c r="J120" s="62"/>
      <c r="K120" s="120" t="str">
        <f t="shared" si="18"/>
        <v/>
      </c>
      <c r="L120" s="103" t="str">
        <f t="shared" si="19"/>
        <v/>
      </c>
      <c r="M120" s="52">
        <v>0</v>
      </c>
      <c r="N120" s="102" t="str">
        <f t="shared" si="20"/>
        <v/>
      </c>
      <c r="O120" s="103" t="str">
        <f t="shared" si="21"/>
        <v/>
      </c>
      <c r="P120" s="52">
        <v>0</v>
      </c>
      <c r="Q120" s="102" t="str">
        <f t="shared" si="22"/>
        <v/>
      </c>
      <c r="R120" s="103" t="str">
        <f t="shared" si="23"/>
        <v/>
      </c>
      <c r="S120" s="52">
        <v>0</v>
      </c>
      <c r="T120" s="102" t="str">
        <f t="shared" si="24"/>
        <v/>
      </c>
      <c r="U120" s="103" t="str">
        <f t="shared" si="25"/>
        <v/>
      </c>
      <c r="V120" s="52">
        <v>0</v>
      </c>
      <c r="W120" s="87" t="str">
        <f t="shared" si="26"/>
        <v/>
      </c>
      <c r="X120" s="103" t="str">
        <f t="shared" si="27"/>
        <v/>
      </c>
      <c r="Y120" s="52">
        <v>0</v>
      </c>
      <c r="Z120" s="56" t="str">
        <f t="shared" si="28"/>
        <v/>
      </c>
      <c r="AA120" s="56" t="str">
        <f t="shared" si="29"/>
        <v/>
      </c>
      <c r="AB120" s="56" t="str">
        <f t="shared" si="30"/>
        <v/>
      </c>
      <c r="AC120" s="56" t="str">
        <f t="shared" si="31"/>
        <v/>
      </c>
      <c r="AD120" s="56" t="str">
        <f t="shared" si="32"/>
        <v/>
      </c>
      <c r="AE120" s="40"/>
      <c r="AF120" s="40"/>
      <c r="AG120" s="40"/>
      <c r="AH120" s="56" t="str">
        <f t="shared" si="33"/>
        <v/>
      </c>
      <c r="AI120" s="54"/>
      <c r="AJ120" s="54"/>
      <c r="AK120" s="54"/>
      <c r="AL120" s="54"/>
      <c r="AM120" s="54"/>
    </row>
    <row r="121" spans="1:39">
      <c r="A121" s="95"/>
      <c r="B121" s="45" t="str" cm="1">
        <f t="array" ref="B121">IF(H121="PROJECT", CHAR(10) &amp; "- " &amp; _xlfn.TEXTJOIN(CHAR(10) &amp; "- ", TRUE, _xlfn._xlws.FILTER($I$9:$I$1000, ($C$9:$C$1000=C121) * ($H$9:$H$1000="Topic"))), "")</f>
        <v/>
      </c>
      <c r="C121" s="45">
        <f t="shared" si="17"/>
        <v>89</v>
      </c>
      <c r="D121" s="46"/>
      <c r="E121" s="58"/>
      <c r="F121" s="67"/>
      <c r="G121" s="53"/>
      <c r="H121" s="53"/>
      <c r="I121" s="50"/>
      <c r="J121" s="51"/>
      <c r="K121" s="120" t="str">
        <f t="shared" si="18"/>
        <v/>
      </c>
      <c r="L121" s="103" t="str">
        <f t="shared" si="19"/>
        <v/>
      </c>
      <c r="M121" s="53">
        <v>0</v>
      </c>
      <c r="N121" s="102" t="str">
        <f t="shared" si="20"/>
        <v/>
      </c>
      <c r="O121" s="103" t="str">
        <f t="shared" si="21"/>
        <v/>
      </c>
      <c r="P121" s="53">
        <v>0</v>
      </c>
      <c r="Q121" s="102" t="str">
        <f t="shared" si="22"/>
        <v/>
      </c>
      <c r="R121" s="103" t="str">
        <f t="shared" si="23"/>
        <v/>
      </c>
      <c r="S121" s="53">
        <v>0</v>
      </c>
      <c r="T121" s="102" t="str">
        <f t="shared" si="24"/>
        <v/>
      </c>
      <c r="U121" s="103" t="str">
        <f t="shared" si="25"/>
        <v/>
      </c>
      <c r="V121" s="53">
        <v>0</v>
      </c>
      <c r="W121" s="87" t="str">
        <f t="shared" si="26"/>
        <v/>
      </c>
      <c r="X121" s="103" t="str">
        <f t="shared" si="27"/>
        <v/>
      </c>
      <c r="Y121" s="53">
        <v>0</v>
      </c>
      <c r="Z121" s="56" t="str">
        <f t="shared" si="28"/>
        <v/>
      </c>
      <c r="AA121" s="56" t="str">
        <f t="shared" si="29"/>
        <v/>
      </c>
      <c r="AB121" s="56" t="str">
        <f t="shared" si="30"/>
        <v/>
      </c>
      <c r="AC121" s="56" t="str">
        <f t="shared" si="31"/>
        <v/>
      </c>
      <c r="AD121" s="56" t="str">
        <f t="shared" si="32"/>
        <v/>
      </c>
      <c r="AE121" s="40"/>
      <c r="AF121" s="40"/>
      <c r="AG121" s="40"/>
      <c r="AH121" s="56" t="str">
        <f t="shared" si="33"/>
        <v/>
      </c>
      <c r="AI121" s="54"/>
      <c r="AJ121" s="54"/>
      <c r="AK121" s="54"/>
      <c r="AL121" s="54"/>
      <c r="AM121" s="54"/>
    </row>
    <row r="122" spans="1:39">
      <c r="A122" s="95"/>
      <c r="B122" s="45" t="str" cm="1">
        <f t="array" ref="B122">IF(H122="PROJECT", CHAR(10) &amp; "- " &amp; _xlfn.TEXTJOIN(CHAR(10) &amp; "- ", TRUE, _xlfn._xlws.FILTER($I$9:$I$1000, ($C$9:$C$1000=C122) * ($H$9:$H$1000="Topic"))), "")</f>
        <v/>
      </c>
      <c r="C122" s="45">
        <f t="shared" si="17"/>
        <v>90</v>
      </c>
      <c r="D122" s="57"/>
      <c r="E122" s="58"/>
      <c r="F122" s="54"/>
      <c r="G122" s="52"/>
      <c r="H122" s="52"/>
      <c r="I122" s="61"/>
      <c r="J122" s="62"/>
      <c r="K122" s="120" t="str">
        <f t="shared" si="18"/>
        <v/>
      </c>
      <c r="L122" s="103" t="str">
        <f t="shared" si="19"/>
        <v/>
      </c>
      <c r="M122" s="52">
        <v>0</v>
      </c>
      <c r="N122" s="102" t="str">
        <f t="shared" si="20"/>
        <v/>
      </c>
      <c r="O122" s="103" t="str">
        <f t="shared" si="21"/>
        <v/>
      </c>
      <c r="P122" s="52">
        <v>0</v>
      </c>
      <c r="Q122" s="102" t="str">
        <f t="shared" si="22"/>
        <v/>
      </c>
      <c r="R122" s="103" t="str">
        <f t="shared" si="23"/>
        <v/>
      </c>
      <c r="S122" s="52">
        <v>0</v>
      </c>
      <c r="T122" s="102" t="str">
        <f t="shared" si="24"/>
        <v/>
      </c>
      <c r="U122" s="103" t="str">
        <f t="shared" si="25"/>
        <v/>
      </c>
      <c r="V122" s="52">
        <v>0</v>
      </c>
      <c r="W122" s="87" t="str">
        <f t="shared" si="26"/>
        <v/>
      </c>
      <c r="X122" s="103" t="str">
        <f t="shared" si="27"/>
        <v/>
      </c>
      <c r="Y122" s="52">
        <v>0</v>
      </c>
      <c r="Z122" s="56" t="str">
        <f t="shared" si="28"/>
        <v/>
      </c>
      <c r="AA122" s="56" t="str">
        <f t="shared" si="29"/>
        <v/>
      </c>
      <c r="AB122" s="56" t="str">
        <f t="shared" si="30"/>
        <v/>
      </c>
      <c r="AC122" s="56" t="str">
        <f t="shared" si="31"/>
        <v/>
      </c>
      <c r="AD122" s="56" t="str">
        <f t="shared" si="32"/>
        <v/>
      </c>
      <c r="AE122" s="40"/>
      <c r="AF122" s="40"/>
      <c r="AG122" s="40"/>
      <c r="AH122" s="56" t="str">
        <f t="shared" si="33"/>
        <v/>
      </c>
      <c r="AI122" s="54"/>
      <c r="AJ122" s="54"/>
      <c r="AK122" s="54"/>
      <c r="AL122" s="54"/>
      <c r="AM122" s="54"/>
    </row>
    <row r="123" spans="1:39">
      <c r="A123" s="95"/>
      <c r="B123" s="45" t="str" cm="1">
        <f t="array" ref="B123">IF(H123="PROJECT", CHAR(10) &amp; "- " &amp; _xlfn.TEXTJOIN(CHAR(10) &amp; "- ", TRUE, _xlfn._xlws.FILTER($I$9:$I$1000, ($C$9:$C$1000=C123) * ($H$9:$H$1000="Topic"))), "")</f>
        <v/>
      </c>
      <c r="C123" s="45">
        <f t="shared" si="17"/>
        <v>91</v>
      </c>
      <c r="D123" s="46"/>
      <c r="E123" s="58"/>
      <c r="F123" s="67"/>
      <c r="G123" s="53"/>
      <c r="H123" s="53"/>
      <c r="I123" s="50"/>
      <c r="J123" s="51"/>
      <c r="K123" s="120" t="str">
        <f t="shared" si="18"/>
        <v/>
      </c>
      <c r="L123" s="103" t="str">
        <f t="shared" si="19"/>
        <v/>
      </c>
      <c r="M123" s="53">
        <v>0</v>
      </c>
      <c r="N123" s="102" t="str">
        <f t="shared" si="20"/>
        <v/>
      </c>
      <c r="O123" s="103" t="str">
        <f t="shared" si="21"/>
        <v/>
      </c>
      <c r="P123" s="53">
        <v>0</v>
      </c>
      <c r="Q123" s="102" t="str">
        <f t="shared" si="22"/>
        <v/>
      </c>
      <c r="R123" s="103" t="str">
        <f t="shared" si="23"/>
        <v/>
      </c>
      <c r="S123" s="53">
        <v>0</v>
      </c>
      <c r="T123" s="102" t="str">
        <f t="shared" si="24"/>
        <v/>
      </c>
      <c r="U123" s="103" t="str">
        <f t="shared" si="25"/>
        <v/>
      </c>
      <c r="V123" s="53">
        <v>0</v>
      </c>
      <c r="W123" s="87" t="str">
        <f t="shared" si="26"/>
        <v/>
      </c>
      <c r="X123" s="103" t="str">
        <f t="shared" si="27"/>
        <v/>
      </c>
      <c r="Y123" s="53">
        <v>0</v>
      </c>
      <c r="Z123" s="56" t="str">
        <f t="shared" si="28"/>
        <v/>
      </c>
      <c r="AA123" s="56" t="str">
        <f t="shared" si="29"/>
        <v/>
      </c>
      <c r="AB123" s="56" t="str">
        <f t="shared" si="30"/>
        <v/>
      </c>
      <c r="AC123" s="56" t="str">
        <f t="shared" si="31"/>
        <v/>
      </c>
      <c r="AD123" s="56" t="str">
        <f t="shared" si="32"/>
        <v/>
      </c>
      <c r="AE123" s="40"/>
      <c r="AF123" s="40"/>
      <c r="AG123" s="40"/>
      <c r="AH123" s="56" t="str">
        <f t="shared" si="33"/>
        <v/>
      </c>
      <c r="AI123" s="54"/>
      <c r="AJ123" s="54"/>
      <c r="AK123" s="54"/>
      <c r="AL123" s="54"/>
      <c r="AM123" s="54"/>
    </row>
    <row r="124" spans="1:39">
      <c r="A124" s="95"/>
      <c r="B124" s="45" t="str" cm="1">
        <f t="array" ref="B124">IF(H124="PROJECT", CHAR(10) &amp; "- " &amp; _xlfn.TEXTJOIN(CHAR(10) &amp; "- ", TRUE, _xlfn._xlws.FILTER($I$9:$I$1000, ($C$9:$C$1000=C124) * ($H$9:$H$1000="Topic"))), "")</f>
        <v/>
      </c>
      <c r="C124" s="45">
        <f t="shared" si="17"/>
        <v>92</v>
      </c>
      <c r="D124" s="57"/>
      <c r="E124" s="58"/>
      <c r="F124" s="54"/>
      <c r="G124" s="52"/>
      <c r="H124" s="52"/>
      <c r="I124" s="61"/>
      <c r="J124" s="62"/>
      <c r="K124" s="120" t="str">
        <f t="shared" si="18"/>
        <v/>
      </c>
      <c r="L124" s="103" t="str">
        <f t="shared" si="19"/>
        <v/>
      </c>
      <c r="M124" s="52">
        <v>0</v>
      </c>
      <c r="N124" s="102" t="str">
        <f t="shared" si="20"/>
        <v/>
      </c>
      <c r="O124" s="103" t="str">
        <f t="shared" si="21"/>
        <v/>
      </c>
      <c r="P124" s="52">
        <v>0</v>
      </c>
      <c r="Q124" s="102" t="str">
        <f t="shared" si="22"/>
        <v/>
      </c>
      <c r="R124" s="103" t="str">
        <f t="shared" si="23"/>
        <v/>
      </c>
      <c r="S124" s="52">
        <v>0</v>
      </c>
      <c r="T124" s="102" t="str">
        <f t="shared" si="24"/>
        <v/>
      </c>
      <c r="U124" s="103" t="str">
        <f t="shared" si="25"/>
        <v/>
      </c>
      <c r="V124" s="52">
        <v>0</v>
      </c>
      <c r="W124" s="87" t="str">
        <f t="shared" si="26"/>
        <v/>
      </c>
      <c r="X124" s="103" t="str">
        <f t="shared" si="27"/>
        <v/>
      </c>
      <c r="Y124" s="52">
        <v>0</v>
      </c>
      <c r="Z124" s="56" t="str">
        <f t="shared" si="28"/>
        <v/>
      </c>
      <c r="AA124" s="56" t="str">
        <f t="shared" si="29"/>
        <v/>
      </c>
      <c r="AB124" s="56" t="str">
        <f t="shared" si="30"/>
        <v/>
      </c>
      <c r="AC124" s="56" t="str">
        <f t="shared" si="31"/>
        <v/>
      </c>
      <c r="AD124" s="56" t="str">
        <f t="shared" si="32"/>
        <v/>
      </c>
      <c r="AE124" s="40"/>
      <c r="AF124" s="40"/>
      <c r="AG124" s="40"/>
      <c r="AH124" s="56" t="str">
        <f t="shared" si="33"/>
        <v/>
      </c>
      <c r="AI124" s="54"/>
      <c r="AJ124" s="54"/>
      <c r="AK124" s="54"/>
      <c r="AL124" s="54"/>
      <c r="AM124" s="54"/>
    </row>
    <row r="125" spans="1:39">
      <c r="A125" s="95"/>
      <c r="B125" s="45" t="str" cm="1">
        <f t="array" ref="B125">IF(H125="PROJECT", CHAR(10) &amp; "- " &amp; _xlfn.TEXTJOIN(CHAR(10) &amp; "- ", TRUE, _xlfn._xlws.FILTER($I$9:$I$1000, ($C$9:$C$1000=C125) * ($H$9:$H$1000="Topic"))), "")</f>
        <v/>
      </c>
      <c r="C125" s="45">
        <f t="shared" si="17"/>
        <v>93</v>
      </c>
      <c r="D125" s="46"/>
      <c r="E125" s="58"/>
      <c r="F125" s="67"/>
      <c r="G125" s="53"/>
      <c r="H125" s="53"/>
      <c r="I125" s="50"/>
      <c r="J125" s="51"/>
      <c r="K125" s="120" t="str">
        <f t="shared" si="18"/>
        <v/>
      </c>
      <c r="L125" s="103" t="str">
        <f t="shared" si="19"/>
        <v/>
      </c>
      <c r="M125" s="53">
        <v>0</v>
      </c>
      <c r="N125" s="102" t="str">
        <f t="shared" si="20"/>
        <v/>
      </c>
      <c r="O125" s="103" t="str">
        <f t="shared" si="21"/>
        <v/>
      </c>
      <c r="P125" s="53">
        <v>0</v>
      </c>
      <c r="Q125" s="102" t="str">
        <f t="shared" si="22"/>
        <v/>
      </c>
      <c r="R125" s="103" t="str">
        <f t="shared" si="23"/>
        <v/>
      </c>
      <c r="S125" s="53">
        <v>0</v>
      </c>
      <c r="T125" s="102" t="str">
        <f t="shared" si="24"/>
        <v/>
      </c>
      <c r="U125" s="103" t="str">
        <f t="shared" si="25"/>
        <v/>
      </c>
      <c r="V125" s="53">
        <v>0</v>
      </c>
      <c r="W125" s="87" t="str">
        <f t="shared" si="26"/>
        <v/>
      </c>
      <c r="X125" s="103" t="str">
        <f t="shared" si="27"/>
        <v/>
      </c>
      <c r="Y125" s="53">
        <v>0</v>
      </c>
      <c r="Z125" s="56" t="str">
        <f t="shared" si="28"/>
        <v/>
      </c>
      <c r="AA125" s="56" t="str">
        <f t="shared" si="29"/>
        <v/>
      </c>
      <c r="AB125" s="56" t="str">
        <f t="shared" si="30"/>
        <v/>
      </c>
      <c r="AC125" s="56" t="str">
        <f t="shared" si="31"/>
        <v/>
      </c>
      <c r="AD125" s="56" t="str">
        <f t="shared" si="32"/>
        <v/>
      </c>
      <c r="AE125" s="40"/>
      <c r="AF125" s="40"/>
      <c r="AG125" s="40"/>
      <c r="AH125" s="56" t="str">
        <f t="shared" si="33"/>
        <v/>
      </c>
      <c r="AI125" s="54"/>
      <c r="AJ125" s="54"/>
      <c r="AK125" s="54"/>
      <c r="AL125" s="54"/>
      <c r="AM125" s="54"/>
    </row>
    <row r="126" spans="1:39">
      <c r="A126" s="95"/>
      <c r="B126" s="45" t="str" cm="1">
        <f t="array" ref="B126">IF(H126="PROJECT", CHAR(10) &amp; "- " &amp; _xlfn.TEXTJOIN(CHAR(10) &amp; "- ", TRUE, _xlfn._xlws.FILTER($I$9:$I$1000, ($C$9:$C$1000=C126) * ($H$9:$H$1000="Topic"))), "")</f>
        <v/>
      </c>
      <c r="C126" s="45">
        <f t="shared" si="17"/>
        <v>94</v>
      </c>
      <c r="D126" s="57"/>
      <c r="E126" s="58"/>
      <c r="F126" s="54"/>
      <c r="G126" s="52"/>
      <c r="H126" s="52"/>
      <c r="I126" s="61"/>
      <c r="J126" s="62"/>
      <c r="K126" s="120" t="str">
        <f t="shared" si="18"/>
        <v/>
      </c>
      <c r="L126" s="103" t="str">
        <f t="shared" si="19"/>
        <v/>
      </c>
      <c r="M126" s="52">
        <v>0</v>
      </c>
      <c r="N126" s="102" t="str">
        <f t="shared" si="20"/>
        <v/>
      </c>
      <c r="O126" s="103" t="str">
        <f t="shared" si="21"/>
        <v/>
      </c>
      <c r="P126" s="52">
        <v>0</v>
      </c>
      <c r="Q126" s="102" t="str">
        <f t="shared" si="22"/>
        <v/>
      </c>
      <c r="R126" s="103" t="str">
        <f t="shared" si="23"/>
        <v/>
      </c>
      <c r="S126" s="52">
        <v>0</v>
      </c>
      <c r="T126" s="102" t="str">
        <f t="shared" si="24"/>
        <v/>
      </c>
      <c r="U126" s="103" t="str">
        <f t="shared" si="25"/>
        <v/>
      </c>
      <c r="V126" s="52">
        <v>0</v>
      </c>
      <c r="W126" s="87" t="str">
        <f t="shared" si="26"/>
        <v/>
      </c>
      <c r="X126" s="103" t="str">
        <f t="shared" si="27"/>
        <v/>
      </c>
      <c r="Y126" s="52">
        <v>0</v>
      </c>
      <c r="Z126" s="56" t="str">
        <f t="shared" si="28"/>
        <v/>
      </c>
      <c r="AA126" s="56" t="str">
        <f t="shared" si="29"/>
        <v/>
      </c>
      <c r="AB126" s="56" t="str">
        <f t="shared" si="30"/>
        <v/>
      </c>
      <c r="AC126" s="56" t="str">
        <f t="shared" si="31"/>
        <v/>
      </c>
      <c r="AD126" s="56" t="str">
        <f t="shared" si="32"/>
        <v/>
      </c>
      <c r="AE126" s="40"/>
      <c r="AF126" s="40"/>
      <c r="AG126" s="40"/>
      <c r="AH126" s="56" t="str">
        <f t="shared" si="33"/>
        <v/>
      </c>
      <c r="AI126" s="54"/>
      <c r="AJ126" s="54"/>
      <c r="AK126" s="54"/>
      <c r="AL126" s="54"/>
      <c r="AM126" s="54"/>
    </row>
    <row r="127" spans="1:39">
      <c r="A127" s="95"/>
      <c r="B127" s="45" t="str" cm="1">
        <f t="array" ref="B127">IF(H127="PROJECT", CHAR(10) &amp; "- " &amp; _xlfn.TEXTJOIN(CHAR(10) &amp; "- ", TRUE, _xlfn._xlws.FILTER($I$9:$I$1000, ($C$9:$C$1000=C127) * ($H$9:$H$1000="Topic"))), "")</f>
        <v/>
      </c>
      <c r="C127" s="45">
        <f t="shared" si="17"/>
        <v>95</v>
      </c>
      <c r="D127" s="46"/>
      <c r="E127" s="58"/>
      <c r="F127" s="67"/>
      <c r="G127" s="53"/>
      <c r="H127" s="53"/>
      <c r="I127" s="50"/>
      <c r="J127" s="51"/>
      <c r="K127" s="120" t="str">
        <f t="shared" si="18"/>
        <v/>
      </c>
      <c r="L127" s="103" t="str">
        <f t="shared" si="19"/>
        <v/>
      </c>
      <c r="M127" s="53">
        <v>0</v>
      </c>
      <c r="N127" s="102" t="str">
        <f t="shared" si="20"/>
        <v/>
      </c>
      <c r="O127" s="103" t="str">
        <f t="shared" si="21"/>
        <v/>
      </c>
      <c r="P127" s="53">
        <v>0</v>
      </c>
      <c r="Q127" s="102" t="str">
        <f t="shared" si="22"/>
        <v/>
      </c>
      <c r="R127" s="103" t="str">
        <f t="shared" si="23"/>
        <v/>
      </c>
      <c r="S127" s="53">
        <v>0</v>
      </c>
      <c r="T127" s="102" t="str">
        <f t="shared" si="24"/>
        <v/>
      </c>
      <c r="U127" s="103" t="str">
        <f t="shared" si="25"/>
        <v/>
      </c>
      <c r="V127" s="53">
        <v>0</v>
      </c>
      <c r="W127" s="87" t="str">
        <f t="shared" si="26"/>
        <v/>
      </c>
      <c r="X127" s="103" t="str">
        <f t="shared" si="27"/>
        <v/>
      </c>
      <c r="Y127" s="53">
        <v>0</v>
      </c>
      <c r="Z127" s="56" t="str">
        <f t="shared" si="28"/>
        <v/>
      </c>
      <c r="AA127" s="56" t="str">
        <f t="shared" si="29"/>
        <v/>
      </c>
      <c r="AB127" s="56" t="str">
        <f t="shared" si="30"/>
        <v/>
      </c>
      <c r="AC127" s="56" t="str">
        <f t="shared" si="31"/>
        <v/>
      </c>
      <c r="AD127" s="56" t="str">
        <f t="shared" si="32"/>
        <v/>
      </c>
      <c r="AE127" s="40"/>
      <c r="AF127" s="40"/>
      <c r="AG127" s="40"/>
      <c r="AH127" s="56" t="str">
        <f t="shared" si="33"/>
        <v/>
      </c>
      <c r="AI127" s="54"/>
      <c r="AJ127" s="54"/>
      <c r="AK127" s="54"/>
      <c r="AL127" s="54"/>
      <c r="AM127" s="54"/>
    </row>
    <row r="128" spans="1:39">
      <c r="A128" s="95"/>
      <c r="B128" s="45" t="str" cm="1">
        <f t="array" ref="B128">IF(H128="PROJECT", CHAR(10) &amp; "- " &amp; _xlfn.TEXTJOIN(CHAR(10) &amp; "- ", TRUE, _xlfn._xlws.FILTER($I$9:$I$1000, ($C$9:$C$1000=C128) * ($H$9:$H$1000="Topic"))), "")</f>
        <v/>
      </c>
      <c r="C128" s="45">
        <f t="shared" si="17"/>
        <v>96</v>
      </c>
      <c r="D128" s="57"/>
      <c r="E128" s="58"/>
      <c r="F128" s="54"/>
      <c r="G128" s="52"/>
      <c r="H128" s="52"/>
      <c r="I128" s="61"/>
      <c r="J128" s="62"/>
      <c r="K128" s="120" t="str">
        <f t="shared" si="18"/>
        <v/>
      </c>
      <c r="L128" s="103" t="str">
        <f t="shared" si="19"/>
        <v/>
      </c>
      <c r="M128" s="52">
        <v>0</v>
      </c>
      <c r="N128" s="102" t="str">
        <f t="shared" si="20"/>
        <v/>
      </c>
      <c r="O128" s="103" t="str">
        <f t="shared" si="21"/>
        <v/>
      </c>
      <c r="P128" s="52">
        <v>0</v>
      </c>
      <c r="Q128" s="102" t="str">
        <f t="shared" si="22"/>
        <v/>
      </c>
      <c r="R128" s="103" t="str">
        <f t="shared" si="23"/>
        <v/>
      </c>
      <c r="S128" s="52">
        <v>0</v>
      </c>
      <c r="T128" s="102" t="str">
        <f t="shared" si="24"/>
        <v/>
      </c>
      <c r="U128" s="103" t="str">
        <f t="shared" si="25"/>
        <v/>
      </c>
      <c r="V128" s="52">
        <v>0</v>
      </c>
      <c r="W128" s="87" t="str">
        <f t="shared" si="26"/>
        <v/>
      </c>
      <c r="X128" s="103" t="str">
        <f t="shared" si="27"/>
        <v/>
      </c>
      <c r="Y128" s="52">
        <v>0</v>
      </c>
      <c r="Z128" s="56" t="str">
        <f t="shared" si="28"/>
        <v/>
      </c>
      <c r="AA128" s="56" t="str">
        <f t="shared" si="29"/>
        <v/>
      </c>
      <c r="AB128" s="56" t="str">
        <f t="shared" si="30"/>
        <v/>
      </c>
      <c r="AC128" s="56" t="str">
        <f t="shared" si="31"/>
        <v/>
      </c>
      <c r="AD128" s="56" t="str">
        <f t="shared" si="32"/>
        <v/>
      </c>
      <c r="AE128" s="40"/>
      <c r="AF128" s="40"/>
      <c r="AG128" s="40"/>
      <c r="AH128" s="56" t="str">
        <f t="shared" si="33"/>
        <v/>
      </c>
      <c r="AI128" s="54"/>
      <c r="AJ128" s="54"/>
      <c r="AK128" s="54"/>
      <c r="AL128" s="54"/>
      <c r="AM128" s="54"/>
    </row>
    <row r="129" spans="1:39">
      <c r="A129" s="95"/>
      <c r="B129" s="45" t="str" cm="1">
        <f t="array" ref="B129">IF(H129="PROJECT", CHAR(10) &amp; "- " &amp; _xlfn.TEXTJOIN(CHAR(10) &amp; "- ", TRUE, _xlfn._xlws.FILTER($I$9:$I$1000, ($C$9:$C$1000=C129) * ($H$9:$H$1000="Topic"))), "")</f>
        <v/>
      </c>
      <c r="C129" s="45">
        <f t="shared" si="17"/>
        <v>97</v>
      </c>
      <c r="D129" s="46"/>
      <c r="E129" s="58"/>
      <c r="F129" s="67"/>
      <c r="G129" s="53"/>
      <c r="H129" s="53"/>
      <c r="I129" s="50"/>
      <c r="J129" s="51"/>
      <c r="K129" s="120" t="str">
        <f t="shared" si="18"/>
        <v/>
      </c>
      <c r="L129" s="103" t="str">
        <f t="shared" si="19"/>
        <v/>
      </c>
      <c r="M129" s="53">
        <v>0</v>
      </c>
      <c r="N129" s="102" t="str">
        <f t="shared" si="20"/>
        <v/>
      </c>
      <c r="O129" s="103" t="str">
        <f t="shared" si="21"/>
        <v/>
      </c>
      <c r="P129" s="53">
        <v>0</v>
      </c>
      <c r="Q129" s="102" t="str">
        <f t="shared" si="22"/>
        <v/>
      </c>
      <c r="R129" s="103" t="str">
        <f t="shared" si="23"/>
        <v/>
      </c>
      <c r="S129" s="53">
        <v>0</v>
      </c>
      <c r="T129" s="102" t="str">
        <f t="shared" si="24"/>
        <v/>
      </c>
      <c r="U129" s="103" t="str">
        <f t="shared" si="25"/>
        <v/>
      </c>
      <c r="V129" s="53">
        <v>0</v>
      </c>
      <c r="W129" s="87" t="str">
        <f t="shared" si="26"/>
        <v/>
      </c>
      <c r="X129" s="103" t="str">
        <f t="shared" si="27"/>
        <v/>
      </c>
      <c r="Y129" s="53">
        <v>0</v>
      </c>
      <c r="Z129" s="56" t="str">
        <f t="shared" si="28"/>
        <v/>
      </c>
      <c r="AA129" s="56" t="str">
        <f t="shared" si="29"/>
        <v/>
      </c>
      <c r="AB129" s="56" t="str">
        <f t="shared" si="30"/>
        <v/>
      </c>
      <c r="AC129" s="56" t="str">
        <f t="shared" si="31"/>
        <v/>
      </c>
      <c r="AD129" s="56" t="str">
        <f t="shared" si="32"/>
        <v/>
      </c>
      <c r="AE129" s="40"/>
      <c r="AF129" s="40"/>
      <c r="AG129" s="40"/>
      <c r="AH129" s="56" t="str">
        <f t="shared" si="33"/>
        <v/>
      </c>
      <c r="AI129" s="54"/>
      <c r="AJ129" s="54"/>
      <c r="AK129" s="54"/>
      <c r="AL129" s="54"/>
      <c r="AM129" s="54"/>
    </row>
    <row r="130" spans="1:39">
      <c r="A130" s="95"/>
      <c r="B130" s="45" t="str" cm="1">
        <f t="array" ref="B130">IF(H130="PROJECT", CHAR(10) &amp; "- " &amp; _xlfn.TEXTJOIN(CHAR(10) &amp; "- ", TRUE, _xlfn._xlws.FILTER($I$9:$I$1000, ($C$9:$C$1000=C130) * ($H$9:$H$1000="Topic"))), "")</f>
        <v/>
      </c>
      <c r="C130" s="45">
        <f t="shared" si="17"/>
        <v>98</v>
      </c>
      <c r="D130" s="57"/>
      <c r="E130" s="58"/>
      <c r="F130" s="54"/>
      <c r="G130" s="52"/>
      <c r="H130" s="52"/>
      <c r="I130" s="61"/>
      <c r="J130" s="62"/>
      <c r="K130" s="120" t="str">
        <f t="shared" si="18"/>
        <v/>
      </c>
      <c r="L130" s="103" t="str">
        <f t="shared" si="19"/>
        <v/>
      </c>
      <c r="M130" s="52">
        <v>0</v>
      </c>
      <c r="N130" s="102" t="str">
        <f t="shared" si="20"/>
        <v/>
      </c>
      <c r="O130" s="103" t="str">
        <f t="shared" si="21"/>
        <v/>
      </c>
      <c r="P130" s="52">
        <v>0</v>
      </c>
      <c r="Q130" s="102" t="str">
        <f t="shared" si="22"/>
        <v/>
      </c>
      <c r="R130" s="103" t="str">
        <f t="shared" si="23"/>
        <v/>
      </c>
      <c r="S130" s="52">
        <v>0</v>
      </c>
      <c r="T130" s="102" t="str">
        <f t="shared" si="24"/>
        <v/>
      </c>
      <c r="U130" s="103" t="str">
        <f t="shared" si="25"/>
        <v/>
      </c>
      <c r="V130" s="52">
        <v>0</v>
      </c>
      <c r="W130" s="87" t="str">
        <f t="shared" si="26"/>
        <v/>
      </c>
      <c r="X130" s="103" t="str">
        <f t="shared" si="27"/>
        <v/>
      </c>
      <c r="Y130" s="52">
        <v>0</v>
      </c>
      <c r="Z130" s="56" t="str">
        <f t="shared" si="28"/>
        <v/>
      </c>
      <c r="AA130" s="56" t="str">
        <f t="shared" si="29"/>
        <v/>
      </c>
      <c r="AB130" s="56" t="str">
        <f t="shared" si="30"/>
        <v/>
      </c>
      <c r="AC130" s="56" t="str">
        <f t="shared" si="31"/>
        <v/>
      </c>
      <c r="AD130" s="56" t="str">
        <f t="shared" si="32"/>
        <v/>
      </c>
      <c r="AE130" s="40"/>
      <c r="AF130" s="40"/>
      <c r="AG130" s="40"/>
      <c r="AH130" s="56" t="str">
        <f t="shared" si="33"/>
        <v/>
      </c>
      <c r="AI130" s="54"/>
      <c r="AJ130" s="54"/>
      <c r="AK130" s="54"/>
      <c r="AL130" s="54"/>
      <c r="AM130" s="54"/>
    </row>
    <row r="131" spans="1:39">
      <c r="A131" s="95"/>
      <c r="B131" s="45" t="str" cm="1">
        <f t="array" ref="B131">IF(H131="PROJECT", CHAR(10) &amp; "- " &amp; _xlfn.TEXTJOIN(CHAR(10) &amp; "- ", TRUE, _xlfn._xlws.FILTER($I$9:$I$1000, ($C$9:$C$1000=C131) * ($H$9:$H$1000="Topic"))), "")</f>
        <v/>
      </c>
      <c r="C131" s="45">
        <f t="shared" si="17"/>
        <v>99</v>
      </c>
      <c r="D131" s="46"/>
      <c r="E131" s="58"/>
      <c r="F131" s="67"/>
      <c r="G131" s="53"/>
      <c r="H131" s="53"/>
      <c r="I131" s="50"/>
      <c r="J131" s="51"/>
      <c r="K131" s="120" t="str">
        <f t="shared" si="18"/>
        <v/>
      </c>
      <c r="L131" s="103" t="str">
        <f t="shared" si="19"/>
        <v/>
      </c>
      <c r="M131" s="53">
        <v>0</v>
      </c>
      <c r="N131" s="102" t="str">
        <f t="shared" si="20"/>
        <v/>
      </c>
      <c r="O131" s="103" t="str">
        <f t="shared" si="21"/>
        <v/>
      </c>
      <c r="P131" s="53">
        <v>0</v>
      </c>
      <c r="Q131" s="102" t="str">
        <f t="shared" si="22"/>
        <v/>
      </c>
      <c r="R131" s="103" t="str">
        <f t="shared" si="23"/>
        <v/>
      </c>
      <c r="S131" s="53">
        <v>0</v>
      </c>
      <c r="T131" s="102" t="str">
        <f t="shared" si="24"/>
        <v/>
      </c>
      <c r="U131" s="103" t="str">
        <f t="shared" si="25"/>
        <v/>
      </c>
      <c r="V131" s="53">
        <v>0</v>
      </c>
      <c r="W131" s="87" t="str">
        <f t="shared" si="26"/>
        <v/>
      </c>
      <c r="X131" s="103" t="str">
        <f t="shared" si="27"/>
        <v/>
      </c>
      <c r="Y131" s="53">
        <v>0</v>
      </c>
      <c r="Z131" s="56" t="str">
        <f t="shared" si="28"/>
        <v/>
      </c>
      <c r="AA131" s="56" t="str">
        <f t="shared" si="29"/>
        <v/>
      </c>
      <c r="AB131" s="56" t="str">
        <f t="shared" si="30"/>
        <v/>
      </c>
      <c r="AC131" s="56" t="str">
        <f t="shared" si="31"/>
        <v/>
      </c>
      <c r="AD131" s="56" t="str">
        <f t="shared" si="32"/>
        <v/>
      </c>
      <c r="AE131" s="40"/>
      <c r="AF131" s="40"/>
      <c r="AG131" s="40"/>
      <c r="AH131" s="56" t="str">
        <f t="shared" si="33"/>
        <v/>
      </c>
      <c r="AI131" s="54"/>
      <c r="AJ131" s="54"/>
      <c r="AK131" s="54"/>
      <c r="AL131" s="54"/>
      <c r="AM131" s="54"/>
    </row>
    <row r="132" spans="1:39">
      <c r="A132" s="95"/>
      <c r="B132" s="45" t="str" cm="1">
        <f t="array" ref="B132">IF(H132="PROJECT", CHAR(10) &amp; "- " &amp; _xlfn.TEXTJOIN(CHAR(10) &amp; "- ", TRUE, _xlfn._xlws.FILTER($I$9:$I$1000, ($C$9:$C$1000=C132) * ($H$9:$H$1000="Topic"))), "")</f>
        <v/>
      </c>
      <c r="C132" s="45">
        <f t="shared" si="17"/>
        <v>100</v>
      </c>
      <c r="D132" s="57"/>
      <c r="E132" s="58"/>
      <c r="F132" s="54"/>
      <c r="G132" s="52"/>
      <c r="H132" s="52"/>
      <c r="I132" s="61"/>
      <c r="J132" s="62"/>
      <c r="K132" s="120" t="str">
        <f t="shared" si="18"/>
        <v/>
      </c>
      <c r="L132" s="103" t="str">
        <f t="shared" si="19"/>
        <v/>
      </c>
      <c r="M132" s="52">
        <v>0</v>
      </c>
      <c r="N132" s="102" t="str">
        <f t="shared" si="20"/>
        <v/>
      </c>
      <c r="O132" s="103" t="str">
        <f t="shared" si="21"/>
        <v/>
      </c>
      <c r="P132" s="52">
        <v>0</v>
      </c>
      <c r="Q132" s="102" t="str">
        <f t="shared" si="22"/>
        <v/>
      </c>
      <c r="R132" s="103" t="str">
        <f t="shared" si="23"/>
        <v/>
      </c>
      <c r="S132" s="52">
        <v>0</v>
      </c>
      <c r="T132" s="102" t="str">
        <f t="shared" si="24"/>
        <v/>
      </c>
      <c r="U132" s="103" t="str">
        <f t="shared" si="25"/>
        <v/>
      </c>
      <c r="V132" s="52">
        <v>0</v>
      </c>
      <c r="W132" s="87" t="str">
        <f t="shared" si="26"/>
        <v/>
      </c>
      <c r="X132" s="103" t="str">
        <f t="shared" si="27"/>
        <v/>
      </c>
      <c r="Y132" s="52">
        <v>0</v>
      </c>
      <c r="Z132" s="56" t="str">
        <f t="shared" si="28"/>
        <v/>
      </c>
      <c r="AA132" s="56" t="str">
        <f t="shared" si="29"/>
        <v/>
      </c>
      <c r="AB132" s="56" t="str">
        <f t="shared" si="30"/>
        <v/>
      </c>
      <c r="AC132" s="56" t="str">
        <f t="shared" si="31"/>
        <v/>
      </c>
      <c r="AD132" s="56" t="str">
        <f t="shared" si="32"/>
        <v/>
      </c>
      <c r="AE132" s="40"/>
      <c r="AF132" s="40"/>
      <c r="AG132" s="40"/>
      <c r="AH132" s="56" t="str">
        <f t="shared" si="33"/>
        <v/>
      </c>
      <c r="AI132" s="54"/>
      <c r="AJ132" s="54"/>
      <c r="AK132" s="54"/>
      <c r="AL132" s="54"/>
      <c r="AM132" s="54"/>
    </row>
    <row r="133" spans="1:39">
      <c r="A133" s="95"/>
      <c r="B133" s="45" t="str" cm="1">
        <f t="array" ref="B133">IF(H133="PROJECT", CHAR(10) &amp; "- " &amp; _xlfn.TEXTJOIN(CHAR(10) &amp; "- ", TRUE, _xlfn._xlws.FILTER($I$9:$I$1000, ($C$9:$C$1000=C133) * ($H$9:$H$1000="Topic"))), "")</f>
        <v/>
      </c>
      <c r="C133" s="45">
        <f t="shared" si="17"/>
        <v>101</v>
      </c>
      <c r="D133" s="46"/>
      <c r="E133" s="58"/>
      <c r="F133" s="67"/>
      <c r="G133" s="53"/>
      <c r="H133" s="53"/>
      <c r="I133" s="50"/>
      <c r="J133" s="51"/>
      <c r="K133" s="120" t="str">
        <f t="shared" si="18"/>
        <v/>
      </c>
      <c r="L133" s="103" t="str">
        <f t="shared" si="19"/>
        <v/>
      </c>
      <c r="M133" s="53">
        <v>0</v>
      </c>
      <c r="N133" s="102" t="str">
        <f t="shared" si="20"/>
        <v/>
      </c>
      <c r="O133" s="103" t="str">
        <f t="shared" si="21"/>
        <v/>
      </c>
      <c r="P133" s="53">
        <v>0</v>
      </c>
      <c r="Q133" s="102" t="str">
        <f t="shared" si="22"/>
        <v/>
      </c>
      <c r="R133" s="103" t="str">
        <f t="shared" si="23"/>
        <v/>
      </c>
      <c r="S133" s="53">
        <v>0</v>
      </c>
      <c r="T133" s="102" t="str">
        <f t="shared" si="24"/>
        <v/>
      </c>
      <c r="U133" s="103" t="str">
        <f t="shared" si="25"/>
        <v/>
      </c>
      <c r="V133" s="53">
        <v>0</v>
      </c>
      <c r="W133" s="87" t="str">
        <f t="shared" si="26"/>
        <v/>
      </c>
      <c r="X133" s="103" t="str">
        <f t="shared" si="27"/>
        <v/>
      </c>
      <c r="Y133" s="53">
        <v>0</v>
      </c>
      <c r="Z133" s="56" t="str">
        <f t="shared" si="28"/>
        <v/>
      </c>
      <c r="AA133" s="56" t="str">
        <f t="shared" si="29"/>
        <v/>
      </c>
      <c r="AB133" s="56" t="str">
        <f t="shared" si="30"/>
        <v/>
      </c>
      <c r="AC133" s="56" t="str">
        <f t="shared" si="31"/>
        <v/>
      </c>
      <c r="AD133" s="56" t="str">
        <f t="shared" si="32"/>
        <v/>
      </c>
      <c r="AE133" s="40"/>
      <c r="AF133" s="40"/>
      <c r="AG133" s="40"/>
      <c r="AH133" s="56" t="str">
        <f t="shared" si="33"/>
        <v/>
      </c>
      <c r="AI133" s="54"/>
      <c r="AJ133" s="54"/>
      <c r="AK133" s="54"/>
      <c r="AL133" s="54"/>
      <c r="AM133" s="54"/>
    </row>
    <row r="134" spans="1:39">
      <c r="A134" s="95"/>
      <c r="B134" s="45" t="str" cm="1">
        <f t="array" ref="B134">IF(H134="PROJECT", CHAR(10) &amp; "- " &amp; _xlfn.TEXTJOIN(CHAR(10) &amp; "- ", TRUE, _xlfn._xlws.FILTER($I$9:$I$1000, ($C$9:$C$1000=C134) * ($H$9:$H$1000="Topic"))), "")</f>
        <v/>
      </c>
      <c r="C134" s="45">
        <f t="shared" si="17"/>
        <v>102</v>
      </c>
      <c r="D134" s="57"/>
      <c r="E134" s="58"/>
      <c r="F134" s="54"/>
      <c r="G134" s="52"/>
      <c r="H134" s="52"/>
      <c r="I134" s="61"/>
      <c r="J134" s="62"/>
      <c r="K134" s="120" t="str">
        <f t="shared" si="18"/>
        <v/>
      </c>
      <c r="L134" s="103" t="str">
        <f t="shared" si="19"/>
        <v/>
      </c>
      <c r="M134" s="52">
        <v>0</v>
      </c>
      <c r="N134" s="102" t="str">
        <f t="shared" si="20"/>
        <v/>
      </c>
      <c r="O134" s="103" t="str">
        <f t="shared" si="21"/>
        <v/>
      </c>
      <c r="P134" s="52">
        <v>0</v>
      </c>
      <c r="Q134" s="102" t="str">
        <f t="shared" si="22"/>
        <v/>
      </c>
      <c r="R134" s="103" t="str">
        <f t="shared" si="23"/>
        <v/>
      </c>
      <c r="S134" s="52">
        <v>0</v>
      </c>
      <c r="T134" s="102" t="str">
        <f t="shared" si="24"/>
        <v/>
      </c>
      <c r="U134" s="103" t="str">
        <f t="shared" si="25"/>
        <v/>
      </c>
      <c r="V134" s="52">
        <v>0</v>
      </c>
      <c r="W134" s="87" t="str">
        <f t="shared" si="26"/>
        <v/>
      </c>
      <c r="X134" s="103" t="str">
        <f t="shared" si="27"/>
        <v/>
      </c>
      <c r="Y134" s="52">
        <v>0</v>
      </c>
      <c r="Z134" s="56" t="str">
        <f t="shared" si="28"/>
        <v/>
      </c>
      <c r="AA134" s="56" t="str">
        <f t="shared" si="29"/>
        <v/>
      </c>
      <c r="AB134" s="56" t="str">
        <f t="shared" si="30"/>
        <v/>
      </c>
      <c r="AC134" s="56" t="str">
        <f t="shared" si="31"/>
        <v/>
      </c>
      <c r="AD134" s="56" t="str">
        <f t="shared" si="32"/>
        <v/>
      </c>
      <c r="AE134" s="40"/>
      <c r="AF134" s="40"/>
      <c r="AG134" s="40"/>
      <c r="AH134" s="56" t="str">
        <f t="shared" si="33"/>
        <v/>
      </c>
      <c r="AI134" s="54"/>
      <c r="AJ134" s="54"/>
      <c r="AK134" s="54"/>
      <c r="AL134" s="54"/>
      <c r="AM134" s="54"/>
    </row>
    <row r="135" spans="1:39">
      <c r="A135" s="95"/>
      <c r="B135" s="45" t="str" cm="1">
        <f t="array" ref="B135">IF(H135="PROJECT", CHAR(10) &amp; "- " &amp; _xlfn.TEXTJOIN(CHAR(10) &amp; "- ", TRUE, _xlfn._xlws.FILTER($I$9:$I$1000, ($C$9:$C$1000=C135) * ($H$9:$H$1000="Topic"))), "")</f>
        <v/>
      </c>
      <c r="C135" s="45">
        <f t="shared" si="17"/>
        <v>103</v>
      </c>
      <c r="D135" s="46"/>
      <c r="E135" s="58"/>
      <c r="F135" s="67"/>
      <c r="G135" s="53"/>
      <c r="H135" s="53"/>
      <c r="I135" s="50"/>
      <c r="J135" s="51"/>
      <c r="K135" s="120" t="str">
        <f t="shared" si="18"/>
        <v/>
      </c>
      <c r="L135" s="103" t="str">
        <f t="shared" si="19"/>
        <v/>
      </c>
      <c r="M135" s="53">
        <v>0</v>
      </c>
      <c r="N135" s="102" t="str">
        <f t="shared" si="20"/>
        <v/>
      </c>
      <c r="O135" s="103" t="str">
        <f t="shared" si="21"/>
        <v/>
      </c>
      <c r="P135" s="53">
        <v>0</v>
      </c>
      <c r="Q135" s="102" t="str">
        <f t="shared" si="22"/>
        <v/>
      </c>
      <c r="R135" s="103" t="str">
        <f t="shared" si="23"/>
        <v/>
      </c>
      <c r="S135" s="53">
        <v>0</v>
      </c>
      <c r="T135" s="102" t="str">
        <f t="shared" si="24"/>
        <v/>
      </c>
      <c r="U135" s="103" t="str">
        <f t="shared" si="25"/>
        <v/>
      </c>
      <c r="V135" s="53">
        <v>0</v>
      </c>
      <c r="W135" s="87" t="str">
        <f t="shared" si="26"/>
        <v/>
      </c>
      <c r="X135" s="103" t="str">
        <f t="shared" si="27"/>
        <v/>
      </c>
      <c r="Y135" s="53">
        <v>0</v>
      </c>
      <c r="Z135" s="56" t="str">
        <f t="shared" si="28"/>
        <v/>
      </c>
      <c r="AA135" s="56" t="str">
        <f t="shared" si="29"/>
        <v/>
      </c>
      <c r="AB135" s="56" t="str">
        <f t="shared" si="30"/>
        <v/>
      </c>
      <c r="AC135" s="56" t="str">
        <f t="shared" si="31"/>
        <v/>
      </c>
      <c r="AD135" s="56" t="str">
        <f t="shared" si="32"/>
        <v/>
      </c>
      <c r="AE135" s="40"/>
      <c r="AF135" s="40"/>
      <c r="AG135" s="40"/>
      <c r="AH135" s="56" t="str">
        <f t="shared" si="33"/>
        <v/>
      </c>
      <c r="AI135" s="54"/>
      <c r="AJ135" s="54"/>
      <c r="AK135" s="54"/>
      <c r="AL135" s="54"/>
      <c r="AM135" s="54"/>
    </row>
    <row r="136" spans="1:39">
      <c r="A136" s="95"/>
      <c r="B136" s="45" t="str" cm="1">
        <f t="array" ref="B136">IF(H136="PROJECT", CHAR(10) &amp; "- " &amp; _xlfn.TEXTJOIN(CHAR(10) &amp; "- ", TRUE, _xlfn._xlws.FILTER($I$9:$I$1000, ($C$9:$C$1000=C136) * ($H$9:$H$1000="Topic"))), "")</f>
        <v/>
      </c>
      <c r="C136" s="45">
        <f t="shared" si="17"/>
        <v>104</v>
      </c>
      <c r="D136" s="57"/>
      <c r="E136" s="58"/>
      <c r="F136" s="54"/>
      <c r="G136" s="52"/>
      <c r="H136" s="52"/>
      <c r="I136" s="61"/>
      <c r="J136" s="62"/>
      <c r="K136" s="120" t="str">
        <f t="shared" si="18"/>
        <v/>
      </c>
      <c r="L136" s="103" t="str">
        <f t="shared" si="19"/>
        <v/>
      </c>
      <c r="M136" s="52">
        <v>0</v>
      </c>
      <c r="N136" s="102" t="str">
        <f t="shared" si="20"/>
        <v/>
      </c>
      <c r="O136" s="103" t="str">
        <f t="shared" si="21"/>
        <v/>
      </c>
      <c r="P136" s="52">
        <v>0</v>
      </c>
      <c r="Q136" s="102" t="str">
        <f t="shared" si="22"/>
        <v/>
      </c>
      <c r="R136" s="103" t="str">
        <f t="shared" si="23"/>
        <v/>
      </c>
      <c r="S136" s="52">
        <v>0</v>
      </c>
      <c r="T136" s="102" t="str">
        <f t="shared" si="24"/>
        <v/>
      </c>
      <c r="U136" s="103" t="str">
        <f t="shared" si="25"/>
        <v/>
      </c>
      <c r="V136" s="52">
        <v>0</v>
      </c>
      <c r="W136" s="87" t="str">
        <f t="shared" si="26"/>
        <v/>
      </c>
      <c r="X136" s="103" t="str">
        <f t="shared" si="27"/>
        <v/>
      </c>
      <c r="Y136" s="52">
        <v>0</v>
      </c>
      <c r="Z136" s="56" t="str">
        <f t="shared" si="28"/>
        <v/>
      </c>
      <c r="AA136" s="56" t="str">
        <f t="shared" si="29"/>
        <v/>
      </c>
      <c r="AB136" s="56" t="str">
        <f t="shared" si="30"/>
        <v/>
      </c>
      <c r="AC136" s="56" t="str">
        <f t="shared" si="31"/>
        <v/>
      </c>
      <c r="AD136" s="56" t="str">
        <f t="shared" si="32"/>
        <v/>
      </c>
      <c r="AE136" s="40"/>
      <c r="AF136" s="40"/>
      <c r="AG136" s="40"/>
      <c r="AH136" s="56" t="str">
        <f t="shared" si="33"/>
        <v/>
      </c>
      <c r="AI136" s="54"/>
      <c r="AJ136" s="54"/>
      <c r="AK136" s="54"/>
      <c r="AL136" s="54"/>
      <c r="AM136" s="54"/>
    </row>
    <row r="137" spans="1:39">
      <c r="A137" s="95"/>
      <c r="B137" s="45" t="str" cm="1">
        <f t="array" ref="B137">IF(H137="PROJECT", CHAR(10) &amp; "- " &amp; _xlfn.TEXTJOIN(CHAR(10) &amp; "- ", TRUE, _xlfn._xlws.FILTER($I$9:$I$1000, ($C$9:$C$1000=C137) * ($H$9:$H$1000="Topic"))), "")</f>
        <v/>
      </c>
      <c r="C137" s="45">
        <f t="shared" ref="C137:C200" si="34">IF(AND(H137="Topic",H136="PROJECT"),C136+1,IF(H137="PROJECT",C136,IF(AND(H137="Topic",H136="Topic"),C136,C136+1)))</f>
        <v>105</v>
      </c>
      <c r="D137" s="46"/>
      <c r="E137" s="58"/>
      <c r="F137" s="67"/>
      <c r="G137" s="53"/>
      <c r="H137" s="53"/>
      <c r="I137" s="50"/>
      <c r="J137" s="51"/>
      <c r="K137" s="120" t="str">
        <f t="shared" si="18"/>
        <v/>
      </c>
      <c r="L137" s="103" t="str">
        <f t="shared" si="19"/>
        <v/>
      </c>
      <c r="M137" s="53">
        <v>0</v>
      </c>
      <c r="N137" s="102" t="str">
        <f t="shared" si="20"/>
        <v/>
      </c>
      <c r="O137" s="103" t="str">
        <f t="shared" si="21"/>
        <v/>
      </c>
      <c r="P137" s="53">
        <v>0</v>
      </c>
      <c r="Q137" s="102" t="str">
        <f t="shared" si="22"/>
        <v/>
      </c>
      <c r="R137" s="103" t="str">
        <f t="shared" si="23"/>
        <v/>
      </c>
      <c r="S137" s="53">
        <v>0</v>
      </c>
      <c r="T137" s="102" t="str">
        <f t="shared" si="24"/>
        <v/>
      </c>
      <c r="U137" s="103" t="str">
        <f t="shared" si="25"/>
        <v/>
      </c>
      <c r="V137" s="53">
        <v>0</v>
      </c>
      <c r="W137" s="87" t="str">
        <f t="shared" si="26"/>
        <v/>
      </c>
      <c r="X137" s="103" t="str">
        <f t="shared" si="27"/>
        <v/>
      </c>
      <c r="Y137" s="53">
        <v>0</v>
      </c>
      <c r="Z137" s="56" t="str">
        <f t="shared" si="28"/>
        <v/>
      </c>
      <c r="AA137" s="56" t="str">
        <f t="shared" si="29"/>
        <v/>
      </c>
      <c r="AB137" s="56" t="str">
        <f t="shared" si="30"/>
        <v/>
      </c>
      <c r="AC137" s="56" t="str">
        <f t="shared" si="31"/>
        <v/>
      </c>
      <c r="AD137" s="56" t="str">
        <f t="shared" si="32"/>
        <v/>
      </c>
      <c r="AE137" s="40"/>
      <c r="AF137" s="40"/>
      <c r="AG137" s="40"/>
      <c r="AH137" s="56" t="str">
        <f t="shared" si="33"/>
        <v/>
      </c>
      <c r="AI137" s="54"/>
      <c r="AJ137" s="54"/>
      <c r="AK137" s="54"/>
      <c r="AL137" s="54"/>
      <c r="AM137" s="54"/>
    </row>
    <row r="138" spans="1:39">
      <c r="A138" s="95"/>
      <c r="B138" s="45" t="str" cm="1">
        <f t="array" ref="B138">IF(H138="PROJECT", CHAR(10) &amp; "- " &amp; _xlfn.TEXTJOIN(CHAR(10) &amp; "- ", TRUE, _xlfn._xlws.FILTER($I$9:$I$1000, ($C$9:$C$1000=C138) * ($H$9:$H$1000="Topic"))), "")</f>
        <v/>
      </c>
      <c r="C138" s="45">
        <f t="shared" si="34"/>
        <v>106</v>
      </c>
      <c r="D138" s="57"/>
      <c r="E138" s="58"/>
      <c r="F138" s="54"/>
      <c r="G138" s="52"/>
      <c r="H138" s="52"/>
      <c r="I138" s="61"/>
      <c r="J138" s="62"/>
      <c r="K138" s="120" t="str">
        <f t="shared" ref="K138:K200" si="35">IF(H138="Topic",
"[ROLE] Friendly tutor specializing in " &amp; $I$2 &amp; " | " &amp;
"[TOPIC] " &amp; I138 &amp; " | " &amp;
"[LEVEL] " &amp; G138 &amp; " | " &amp;
"[COUNT] " &amp; D138 &amp; " examples | " &amp;
"[LIBRARY BEING LEARNED] " &amp; $I$3 &amp; " | " &amp;
_xlfn._LONGTEXT("[ECOSYSTEM ORIENTATION RULE] If a module or ecosystem like GenServer, Supervisor, Registry, or DynamicSupervisor is specified in , you are CRITICALLY FORBIDDEN from using manual process linking (spawn/1, spawn_link/1) outside standard OTP behaviors. You M","UST enforce the concurrent asynchronous processes and proper Supervisor tree state isolation and data structures of that specific library.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"[EXECUTIVE CONSTRAINTS] Each example MUST include: - Internal data OR dataset usage - Print key intermediate steps and the final result - MUST NOT exceed exactly " &amp; $A138 &amp; " lines of EXECUTABLE code (STRICT: Do NOT count comments or blank lines). - NEVER exceed this limit. | " &amp;
"[FUNCTION RULE] Rule: " &amp; IF(G138="Beginner","Focus on basic GenServer implementations with simple init/1 and synchronous handle_call/3 callbacks.", IF(G138="Intermediate", "Integrate GenServer within a Supervisor tree. Use asynchronous handle_cast/2 and explicit state transitions.", "stateful GenServer state or external message passing")) &amp; " | " &amp;
"[CODE_CONSTRAINTS_RULE] Each example MUST: - Use stateful GenServer state or external message passing - Print steps &amp; result via Logger.info/debug or IO.inspect inside isolated process callbacks - MAX " &amp; $A138 &amp; " executable lines (comments/blanks excluded) - NEVER exceed limit. | " &amp;
"[I_O_PARADIGM] Use standard OTP message passing via send/2 or GenServer.call/3 and gracefully handle {:reply, response, new_state}, {:noreply, new_state}, and {:ok, state} tuples when applicable. | " &amp;
"[INLINE_PACKAGE_MANAGER] If using external packages, use Standard mix.exs dependencies list (defp deps do [{:package_name, '~&gt; version'}] end) at the top of the code block. Assume no project configuration file exists. | " &amp;
_xlfn._LONGTEXT("[TESTING_FRAMEWORK_LIMITS] For ExUnit with isolated async processes (use ExUnit.Case, async: true), NEVER use manual process link hacking outside of standard OTP abstractions. Use standard test macros and assert_receive/assert_received for message validat","ion, as manual process link hacking outside of standard OTP abstractions fail in standalone execution environments. | ") &amp;
"[CODE QUALITY RULE] Code MUST be clean, readable, educational, executable, and produce correct results. Handle missing, malformed, or inconsistent data safely, utilizing pattern matching if possible. | " &amp;
"[COMMENT CONSTRAINTS] Code MUST include sufficient inline comments explaining WHAT the code does AND WHY it is written that way. Density: Beginner = high, Intermediate = medium, Advanced = lower but present in key logic. | " &amp;
"[FORMAT RULE] Only valid markdown code blocks allowed | " &amp;
"[LANGUAGE TAG RULE] ALWAYS label markdown code blocks with the correct underlying programming language (e.g., elixir, javascript, sql) | " &amp;
"[HEADER RULE - STRICT] You MUST start your entire response EXACTLY with this markdown block (do not print anything before it):" &amp; CHAR(10) &amp; "### 🔹 Topic #" &amp; F138 &amp; " | Stage 1 📖 Practice | " &amp; IF($I$3="", $I$2, $I$2&amp; " - " &amp;$I$3) &amp; " | 📊 Level: " &amp; G138 &amp; " | 🌐 Coding5s.com" &amp; CHAR(10) &amp; "**Concept:** " &amp; J138 &amp; CHAR(10) &amp; "---" &amp; CHAR(10) &amp; " | " &amp;
"[INTRO RULE] Include a short tutor-style sentence in " &amp; $B$6 &amp; " before the analogy, followed by this EXACT instruction block translated to " &amp; $B$6 &amp; ": '🚨 **Your objective in this lesson:** To truly learn the new  " &amp; $I$2 &amp; _xlfn._LONGTEXT("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 &amp;
"[PERSONA RULE] Act as a friendly, clear tutor | " &amp;
"[TASK] Teach and explain concepts clearly with correct code examples | " &amp;
"[OUTPUT CONTRACT] EXACTLY " &amp; D138 &amp; _xlfn._LONGTEXT("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 &amp;
"[CODE QUALITY RULE] Code MUST be clean, readable, educational, executable, and produce correct and accurate results | " &amp;
"[COMMENT RULE - STRICT] Code MUST include sufficient inline comments explaining important lines and logical blocks | " &amp;
"[COMMENT DEPTH RULE] Comments MUST explain WHAT the code does AND WHY it is written that way | " &amp;
"[EXPLANATION RULE] Explanation within 'Mini-Lección' MUST explain WHAT, WHY, HOW, and real-world context concisely | " &amp;
"[LEARNING RULE] Each example MUST highlight a key insight | " &amp;
"[COMMON MISTAKES RULE] Include a short mistake note after each example | " &amp;
"[MINI CHALLENGE RULE] Include a short reinforcement question after each example | " &amp;
"[REAL WORLD RULE] Connect each example to a real-world use case | " &amp;
"[FORMAT RULE] Only valid markdown code blocks allowed | " &amp;
"[LANGUAGE TAG RULE] ALWAYS label markdown code blocks with the correct underlying programming language (e.g., python, javascript, sql) | " &amp;
"[CONSISTENCY RULE] All examples MUST have similar complexity and length | " &amp;
"[FINAL OUTPUT RULE] Include Key Takeaway section at the end | " &amp; IF(AJ138&lt;&gt;"", AJ138, "") &amp;" | " &amp;
_xlfn._LONGTEXT("[DATA RULE - STRICT] STRICT AMNESIA: IGNORE ALL past datasets/files. Evaluate ONLY current attachments. IF FILE ATTACHED: Acknowledge it, place Dataset Summary (Type, Structure, Columns, Data Types) IMMEDIATELY AFTER HEADER, and strictly use it for ALL ex","amples. IF NO FILE ATTACHED: Explicitly print 'No synthetic data file was provided for this topic. Generating dummy data.' (translate to ") &amp; $B$6 &amp; "), generate minimal dummy data internally, and skip summary. | " &amp;
"[DATA SUMMARY FORMAT RULE] When a dataset is present, you MUST display IMMEDIATELY AFTER THE HEADER: Dataset Summary: - File Type: - Columns / Fields: - Data Types: - Notes: | " &amp;
"[DATA CONSISTENCY RULE] Respect dataset schema | " &amp;
"[COMMENT DENSITY RULE] Beginner = high, Intermediate = medium, Advanced = lower but present in key logic | " &amp;
"[DIFFICULTY RULE] Complexity MUST match level | " &amp;
"[OUTPUT] Only header, introduction, examples, outputs, notes, summary, and footer | " &amp;
"[FOOTER RULE - STRICT] End your entire response EXACTLY with this markdown string (ensure all code blocks are closed before it): ⚡ *Coding5s System — Learn Programming by Writing Code* | ",
IF(H138="PROJECT", Z138, ""))</f>
        <v/>
      </c>
      <c r="L138" s="103" t="str">
        <f t="shared" ref="L138:L200" si="36">IF(OR(H138="Topic", UPPER(H138)="PROJECT"),
"[MENTOR_S1_SAFE_GUIDE] Act as 'The Safe Guide' (El Hermano Mayor) - a World-Class Elite Technical Mentor for Stage 1 Practice specializing in " &amp; $I$2 &amp; " - " &amp; $I$3 &amp; _xlfn._LONGTEXT(".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 &amp;
"[CULTURAL &amp; JARGON RULE] If the language (" &amp; $B$6 &amp; _xlfn._LONGTEXT(") is Portuguese, act like a 'Sênior Brasileiro Parceiro' using warm local jargon (e.g., 'tranquilo cara', 'bora codar', 'todo mundo passa por isso'). If Spanish, use warm Latin American tech terminology (e.g., 'tranquilo, a todos nos pasa', 'vamos a ver')",". Match the cultural vibe of a friendly big brother. | ") &amp;
"[CONTEXT] You are helping a Junior Developer who is " &amp; IF(UPPER(H138)="PROJECT", "building a PROJECT: " &amp; I138 &amp; ". Topics applied in this project: " &amp; B138 &amp; ". Project objective: " &amp; J138, "learning: " &amp; I138 &amp; ". Topic details: " &amp; J138) &amp; " | " &amp;
"[LANGUAGE CONSISTENCY RULE] ALL output text MUST be written strictly in (" &amp; $B$6 &amp; "). | " &amp;
"[LANGUAGE SEED CONTEXT] " &amp; IF($AE$7 = "", "Language Seed Not Necessary", "You MUST strictly follow this seed context to enhance, adapt, and naturalize your tone, vocabulary, and instructional quality in " &amp; $B$6 &amp; ": " &amp; $AE$7) &amp; " | " &amp;
"[LANGUAGE] " &amp; $B$6 &amp;" | " &amp;
"[MENTOR_SCOPE_EXPECTATIONS] " &amp; IF(G138="Beginner", "Evaluate based on basic GenServer structure (init/1, handle_call/3). Do NOT expect full Supervisor trees unless explicitly demanded.", IF(G138="Intermediate", "Expect GenServer behaviors integrated into a standard Supervisor. Look for proper state isolation and appropriate use of handle_cast/2 to avoid blocking.", "Expect complete OTP apps with DynamicSupervisor, clean separation of Client API/Server Callbacks, and handle_info/2 pattern matching.")) &amp; " | " &amp;
_xlfn._LONGTEXT("[CODE_QUALITY_POLICIES] Code MUST be idiomatic Elixir. Use descriptive snake_case for functions/variables, and PascalCase for module aliases. Leverage proper tuple pattern matching (e.g., {:noreply, new_state}) and strict immutability within process bound","aries. Reject process mailbox clogging, blocking callbacks, bypassing OTP behaviors, or modifying external global state. If using default arguments ('\\') with multiple function clauses or callbacks, you MUST declare a function head without a body. | ") &amp; IF(AJ138&lt;&gt;"", "[MENTOR CONTEXT ALERT] Be aware of the following infrastructure limitation for this exercise: " &amp; AJ138 &amp; " Use this knowledge to reassure the student if they present an environment error. | ", "") &amp; " | " &amp;
_xlfn._LONGTEXT("[DATA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 &amp;
"[EMPTY INPUT HANDLING - STRICT] If student provided NO code/explanation: " &amp;CHAR(10)&amp; "1. HALT all phases. DO NOT output Phase 1, Barrier, or Phase 2. " &amp;CHAR(10)&amp; "2. Greet warmly (use name or 'Junior'/'Dev'). " &amp;CHAR(10)&amp; "3. Explain that practice requires seeing their attempt. " &amp;CHAR(10)&amp; "4. Firmly/kindly instruct them to reply with BOTH code AND explanation. " &amp;CHAR(10)&amp; "5. STRICT: DO NOT hallucinate code. End response immediately. | " &amp;
"[TASK] Analyze the student's code and explanation. If the code is perfect, congratulate them warmly and provide 2 'Bonus Challenges'. Otherwise, follow the 2-PHASE MENTORING PROTOCOL | " &amp;
_xlfn._LONGTEXT("[ATOMIC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 &amp;
_xlfn._LONGTEXT("[PHASE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 &amp; IF(UPPER(H138)="PROJECT", "PROJECT", "TOPIC") &amp; _xlfn._LONGTEXT("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 &amp;
"[EXPLANATION GATE &amp; SCROLL BARRIER] After Phase 1, you MUST insert exactly this visual separator:" &amp; CHAR(10) &amp; "------------------------------------------------------------" &amp; CHAR(10) &amp; "🛑 THE EXPLANATION GATE 🛑" &amp; CHAR(10) &amp; "Before scrolling down to see the Master Code, articulate WHY you think your logic failed. Copy-pasting without understanding builds Epistemic Debt." &amp; CHAR(10) &amp; "------------------------------------------------------------ | " &amp;
_xlfn._LONGTEXT("[MINIMAL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 &amp;
"[PHASE 2: FULL SOLUTION - STRICT] 1. Provide the clean, idiomatic " &amp; $I$2 &amp; " code, and fully functional " &amp; $I$2 &amp; _xlfn._LONGTEXT("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 &amp; IF(UPPER(H138)="PROJECT", "project", "topic") &amp; ". 5. Provide a section exactly titled '🏋️ Mini-Challenges:' with 2 tasks to reinforce the fix. | " &amp;
"[HEADER RULE - STRICT] You MUST start your entire response exactly with the following RAW markdown block (do NOT strip the '#' characters):" &amp; CHAR(10) &amp; "### 🎓 Mentor Stage 1 | " &amp; IF(UPPER(H138)="PROJECT", "Project #", "Topic #") &amp; F138 &amp; " | Practice | " &amp; IF($I$3="", $I$2, $I$2&amp; " - " &amp;$I$3) &amp; " | 📊 Level: " &amp; G138 &amp; CHAR(10) &amp; "**" &amp; IF(UPPER(H138)="PROJECT", "Project", "Topic") &amp; ":** " &amp; I138 &amp; CHAR(10) &amp; "---" &amp; CHAR(10) &amp; " | " &amp;
"[FOOTER RULE - STRICT] End your response with: '--- ⚡ *Coding5s Mentor System — Eliminating Epistemic Debt*' | ","")</f>
        <v/>
      </c>
      <c r="M138" s="52">
        <v>0</v>
      </c>
      <c r="N138" s="102" t="str">
        <f t="shared" ref="N138:N200" si="37">IF(H138="Topic",
"[ROLE] Careless " &amp; $I$2 &amp; " Developer | " &amp;
"[TASK] Generate debugging challenges in " &amp; $I$2 &amp; " | | " &amp;
"[TOPIC] " &amp; I138 &amp; " | | " &amp;
"[LEVEL] " &amp; G138 &amp; " | | " &amp;
"[COUNT] " &amp; D138 &amp; " challenges | " &amp;
"[LIBRARY BEING LEARNED] " &amp; $I$3 &amp; " | " &amp;
_xlfn._LONGTEXT("[ECOSYSTEM ORIENTATION RULE] If a module or ecosystem like Explorer or Nx is specified in , you are CRITICALLY FORBIDDEN from using manual recursion or nested loop implementations. You MUST enforce the vectorized operations and data structures of that spe","cific library. | ") &amp;
"[HEADER RULE - STRICT] You MUST start your entire response EXACTLY with this markdown block (do not print anything before it):" &amp; CHAR(10) &amp; "### 🔹 Topic #" &amp; F138 &amp; " | Stage 2 🐛 Debug | " &amp; IF($I$3="", $I$2, $I$2&amp; " - " &amp;$I$3) &amp; " | 📊 Level: " &amp; G138 &amp; " | 🌐 Coding5s.com" &amp; CHAR(10) &amp; "Concept: " &amp; J138 &amp; CHAR(10) &amp; "---" &amp; CHAR(10) &amp; "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_xlfn._LONGTEXT("[FILE HANDLING RULE] Use standard Elixir File module and gracefully handle {:ok, data} and {:error, reason} tuples | Environment variables may be used but bugs MUST exist ONLY in code logic, NEVER in config files | If env/config is used, MUST include: 1. ","Instructional sentence 2. File content in markdown code block 3. BEFORE the broken code (Support files MUST contain NO bugs) | ") &amp;
"[EXUNIT RULE] If the topic involves ExUnit or Testing, NEVER use doctests (@doc iex&gt;). You MUST use standard test macros (test 'test name' do) and assert statements. Doctests cause errors in standalone .exs scripts. | " &amp;
_xlfn._LONGTEXT("[HEX DEPENDENCIES RULE] If the exercise requires using an external Hex package in a standalone script, you MUST use Mix.install([{:package_name, '~&gt; version'}]) at the very top of the code block. Assume there is NO mix.exs file available in the user's env","ironment. | ") &amp;
"[CODE CONSTRAINTS] Each challenge MUST include: - Internal data OR dataset usage - At least 1 Enum/List operation or recursion (when applicable) - At least 1 IO.puts or IO.inspect statement - " &amp; IF(G138="Beginner", "5–15", IF(G138="Intermediate", "10–25", "15–35")) &amp; " lines of EXECUTABLE broken code per example (STRICT: Do NOT count blank lines). Use pure functions and immutability. | All challenges MUST have similar complexity and length. | " &amp;
"[INTRO RULE] The intro MUST be a dynamically generated, urgent, unprofessional email in " &amp; $B$6 &amp; " with this EXACT format: '📥 From: [Random Dev Name]' / '📤 To: [Insert my user name if you know it from context, otherwise use " &amp; $I$2 &amp; _xlfn._LONGTEXT(" Developer]' / 'Subject: [Generate a funny, desperate Subject]'. Body MUST be unique every time. Do NOT copy this example exactly, but use this vibe: 'Ay, no sé ni qué hora es, pero aquí tienes estas cosas que apenas funcionan. Arréglalo tú si tanto te im","porta el orden. No consigo que corran. Ayúdame y luego te invito al almuerzo. El jefe urge...'. Make it short, informal, and funny for the student. IMMEDIATELY AFTER the email body, you MUST include this exact instruction block translated to ") &amp; $B$6 &amp; _xlfn._LONGTEXT(": '🚨 Your objective in this lesson: You must copy the code blocks from each Challenge exactly as they are and paste them into your IDE. Then you have to fix all the errors in the code until you achieve the exact Expected Output when running the program.'"," | ") &amp;
"[COMMENT RULE] Do NOT include comments that reveal bugs | " &amp;
"[FORMAT RULE] Only valid markdown code blocks allowed | " &amp;
"[LANGUAGE TAG RULE] ALWAYS label markdown code blocks with the correct underlying programming language (e.g., python, javascript, sql) | " &amp;
"[STRICT MODE] If ANY rule is violated, regenerate entire response | " &amp;
"[PERSONA RULE] Use a careless, messy, slightly frustrated developer tone | " &amp;
"[OUTPUT CONTRACT] EXACTLY " &amp; D138 &amp; _xlfn._LONGTEXT(" broken code challenges. Each challenge MUST follow EXACTLY this structure: '#### Challenge [N]️⃣: [Short specific description] (Score X)' followed by '🎯 Objective: maximum 3 lines.', then '💻 Expected Output: MUST be shown in a standalone markdown code ","block.', and finally '❌ Broken Code: a single code block.'. | ") &amp;
"[OUTPUT] Only header, dataset summary (if any), email intro, challenges, and footer | " &amp;
"[STRUCTURE RULE] Do NOT rename sections. Do NOT add titles. Do NOT add extra text (except when required by SUPPORT FILES RULE) | " &amp;
"[CONSISTENCY RULE] All challenges MUST have similar complexity and length | " &amp;
"[BUG COMPLEXITY RULE] Must align with score (3 basic, 4 intermediate, 5 multi-step) | " &amp;
"[BUG RULE] Each challenge MUST include 2–3 bugs. | " &amp;
_xlfn._LONGTEXT("[CORRECTNESS RULE] Code MUST contain a deliberate mix of errors across three dimensions: 1. Syntax Errors (e.g., mismatched delimiters, invalid indentation, invalid syntax, SyntaxError). 2. Runtime Exceptions (e.g., TypeError when mixing types, ValueError"," with invalid arguments, IndexError on collections, KeyError on dictionaries, ZeroDivisionError). 3. Logic Errors (e.g., incorrect Boolean logic, off-by-one errors in loops, wrong mathematical formulas, variable shadowing, or incorrect use of mutable defa","ults). Errors MUST be realistic and mimic common mistakes made by junior developers in production-like environments. | ") &amp;
"[EXECUTION RULE] Code must fail due to syntax errors, runtime exceptions, or produce incorrect output | " &amp;
_xlfn._LONGTEXT("[DATA RULE - STRICT] A dataset MAY be provided in THIS CURRENT PROMPT. If a NEW dataset IS attached to THIS prompt, you MUST: 1. Detect and acknowledge it BEFORE challenges 2. Explicitly state file type 3. Describe structure 4. List columns or fields 5. I","nfer data types 6. Display dataset summary IMMEDIATELY AFTER THE HEADER 7. State ALL challenges use it 8. Use it directly (DO NOT recreate data). If NO dataset is provided IN THIS CURRENT PROMPT: - STRICT: You MUST explicitly state 'No synthetic data file"," was provided. Generating dummy data.' (translate this phrase to ") &amp; $B$6 &amp; ") - Generate minimal internal dummy data - NO summary | " &amp;
_xlfn._LONGTEXT("[CRITICAL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 &amp;
"[DATA SUMMARY FORMAT RULE] Dataset Summary: - File Type: - Columns / Fields: - Data Types: - Notes: | " &amp;
"[SUPPORT FILES RULE - STRICT] If env/config is used, MUST include: 1. Instructional sentence 2. File content in markdown code block 3. BEFORE the broken code | | " &amp;
"[SUPPORT FILES QUALITY RULE] Support files (.env, .env.example, .gitignore) MUST be fully correct and contain NO bugs | " &amp;
"[NO SOLUTION RULE - STRICT] You are generating an EXAM. You MUST NOT provide the fixed code, bug diagnosis, hints, explanations, or takeaways. Output ONLY the broken code. Do NOT solve your own challenges. Let the student find the bugs. | " &amp;
"[FOOTER RULE - STRICT] End your entire response EXACTLY with this markdown string (ensure all code blocks are closed before it):" &amp; CHAR(10) &amp; "---" &amp; CHAR(10) &amp; "⚡ Coding5s System - Learn Programming by Writing Code - Coding5S.com",
IF(H138="PROJECT", AA138, ""))</f>
        <v/>
      </c>
      <c r="O138" s="103" t="str">
        <f t="shared" ref="O138:O200" si="38">IF(OR(H138="Topic", UPPER(H138)="PROJECT"),
"[MENTOR_S2_DETECTIVE] Act as 'The Analytical Partner' (El Detective con Café) - a World-Class Elite Technical Mentor for Stage 2 Debugging specializing in " &amp; $I$2 &amp; _xlfn._LONGTEXT(".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 &amp;
"[CULTURAL &amp; JARGON RULE] If the language (" &amp; $B$6 &amp; _xlfn._LONGTEXT(")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 &amp;
"[CONTEXT] You are helping a Junior Developer debug a " &amp; IF(UPPER(H138)="PROJECT", "PROJECT: " &amp; I138 &amp; ". Topics involved: " &amp; B138 &amp; ". Project objective: " &amp; J138, "TOPIC: " &amp; I138 &amp; ". Topic details: " &amp; J138) &amp; " | " &amp;
"[TASK] Analyze the student's code, explanation, and error. If the code is already fixed and correct, recognize their 'debugging skill' and provide a 'Pro-Tip' for prevention.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2 | " &amp; IF(UPPER(H138)="PROJECT", "Project #", "Topic #") &amp; F138 &amp; " | Debug | " &amp; IF($I$3="", $I$2, $I$2&amp; " - " &amp;$I$3) &amp; " | 📊 Level: " &amp; G138 &amp; CHAR(10) &amp; "**" &amp; IF(UPPER(H138)="PROJECT", "Project", "Topic") &amp; ":** " &amp; I138 &amp; CHAR(10) &amp; "---" &amp; CHAR(10) &amp; " | " &amp;
_xlfn._LONGTEXT("[PYTHON QUALITY RULE - STRICT] Code MUST be production-like, clean, and idiomatic Elixir. Use descriptive snake_case for variables and functions. Use pure functions and strict immutability. If using default arguments (\\\\) with multiple function clauses,"," you MUST declare a function head without a body to avoid compiler warnings. | ") &amp;
_xlfn._LONGTEXT("[EMPTY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 &amp;
_xlfn._LONGTEXT("[PHASE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 &amp; $I$2 &amp; _xlfn._LONGTEXT("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 &amp; $I$2 &amp; "). | " &amp;
"[EXPLANATION GATE &amp; SCROLL BARRIER] After Phase 1, you MUST insert exactly this visual separator:" &amp; CHAR(10) &amp; "------------------------------------------------------------" &amp; CHAR(10) &amp; "🛑 THE EXPLANATION GATE 🛑" &amp; CHAR(10) &amp; "Before scrolling down to see the Master Code, articulate the ROOT CAUSE of the crash. Copy-pasting a fix without understanding the bug builds Epistemic Debt." &amp; CHAR(10) &amp; "----------------------------------------------------------- | " &amp;
"[PHASE 2: FULL SOLUTION - STRICT] 1. Provide the clean, " &amp; $I$2 &amp; " code, and fully functional " &amp; $I$2 &amp; _xlfn._LONGTEXT("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 &amp;
_xlfn._LONGTEXT("[MINIMAL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 &amp;
"[FOOTER RULE] End your response with: '--- ⚡ *Coding5s Mentor System — Eliminating Epistemic Debt &amp; Hunting Bugs*
", "")</f>
        <v/>
      </c>
      <c r="P138" s="52">
        <v>0</v>
      </c>
      <c r="Q138" s="102" t="str">
        <f t="shared" ref="Q138:Q200" si="39">IF(H138="Topic",
"[ROLE] Tech Lead | " &amp;
"[TASK] Assign incomplete " &amp; $I$2 &amp; " script challenges | " &amp;
"[TOPIC] " &amp; I138 &amp; " | " &amp;
"[LEVEL] " &amp; G138 &amp; " | " &amp;
"[COUNT] " &amp; D138 &amp; " challenges | " &amp;
"[LIBRARY BEING LEARNED] " &amp; $I$3 &amp; " | " &amp;
_xlfn._LONGTEXT("[ECOSYSTEM ORIENTATION RULE] If a module or ecosystem like Explorer or Nx is specified in [LIBRARY BEING LEARNED], you are CRITICALLY FORBIDDEN from using manual recursion or nested loop implementations. You MUST enforce the native, optimized data structu","res and vectorized operations of that specific library. | ") &amp;
"[HEADER RULE - STRICT] You MUST start your entire response EXACTLY with this markdown block (do not print anything before it):" &amp; CHAR(10) &amp; "### 🔹 Topic #" &amp; F138 &amp; " | Stage 3 🧩 Complete | " &amp; IF($I$3="", $I$2, $I$2&amp; " - " &amp;$I$3) &amp; " | 📊 Level: " &amp; G138 &amp; " | 🌐 Coding5s.com" &amp; CHAR(10) &amp; "**Concept:** " &amp; J138 &amp; CHAR(10) &amp; "---" &amp; CHAR(10) &amp;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"[EXTERNAL_PACKAGE_PROTOCOL] If the exercise requires using an external Hex package in a standalone script, you MUST use Mix.install([{:package_name, '~&gt; version'}]) at the very top of the code block. | " &amp;
"[TESTING_FRAMEWORK_PROTOCOL] If the topic involves ExUnit or Testing, NEVER use doctests (@doc iex&gt;). You MUST use standard test macros (test 'test name' do) and assert statements. | " &amp;
"[CHALLENGE_CONSTRAINTS_POLICY] Each challenge MUST include: - Internal data OR dataset usage - " &amp; IF(G138="Beginner","5–15", IF(G138="Intermediate","10–25","15–35")) &amp; " lines of EXECUTABLE base code (STRICT: Do NOT count comments or TODOs). - Length MUST vary across challenges. Use pure functions and immutability. | " &amp;
"[FORMAT RULE] ALWAYS label markdown code blocks with the correct underlying programming language (e.g., elixir, python, javascript, sql) | " &amp;
"[FORMAT RULE] Only valid markdown code blocks allowed | " &amp;
"[SCORING ENFORCEMENT RULE] Score MUST be ONLY 3, 4, or 5 | " &amp;
_xlfn._LONGTEXT("[DATA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"[LANGUAGE TAG RULE] ALWAYS label markdown code blocks with the correct underlying programming language (e.g., python, javascript, sql) | " &amp;
"[INTRO RULE] Intro MUST be a dynamically generated email in " &amp; $B$6 &amp; " with this EXACT format translated to " &amp; $B$6 &amp; ": '📥 From: [Generate NEW random full name] - Tech Lead' / '📤 To: [Insert my user name if known, else Junior] - " &amp; $I$2 &amp; _xlfn._LONGTEXT(" Developer' / 'Subject: [Task Subject]'. Body MUST be unique. Vibe: 'Hola, estructuré la base, encárgate de la lógica core. Completa los # TODO. El output debe coincidir. Saludos.'. IMMEDIATELY AFTER the email body, you MUST include this exact instruction"," block translated to ") &amp; $B$6 &amp; ": '🚨 **Your objective in this lesson:** You must copy the code blocks from each Challenge exactly as they are and paste them into your IDE, then write the missing lines in the code until you achieve the exact Expected Output when running the program.' | " &amp;
"[OUTPUT CONTRACT] EXACTLY " &amp; D138 &amp; _xlfn._LONGTEXT("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 &amp;
"[OUTPUT TRUNCATION RULE - STRICT] If expected output is long, display ONLY the first 5 lines. Ensure accuracy. Do NOT use ellipsis (...) | " &amp;
"[OUTPUT EXECUTION RULE - STRICT] Expected output MUST be explicit, complete, and produced via print() (at least one print already in base code). Monetary values must include '$' | " &amp;
_xlfn._LONGTEXT("[BASE CODE INTEGRITY RULE - STRICT] Code outside the TODO block MUST be 100% valid, logically correct, and run without errors. Do NOT simulate bugs using 'pass', '...', None, or wrong variable types outside the TODO. Variables used outside TODO must be in","itialized before TODO. | ") &amp;
"[TODO VARIATION RULE] TODO sections MUST vary: Single-line TODO, Multiple TODOs, Small blocks (2–4 lines). | " &amp;
"[VARIABILITY RULE - STRICT] Each challenge MUST be structurally different. Vary: Code length, Logic type, Position of TODO, Number of TODOs (1–3), Data flow. | " &amp;
"[TODO REALISM RULE - STRICT] TODOs MUST represent realistic mistakes based on the topic: " &amp; I138 &amp; ". Describe what is incorrect or incomplete. Avoid imperative instructions. | " &amp;
"[TODO ISOLATION RULE - STRICT] ALL missing, incorrect, or output-affecting logic MUST exist ONLY inside the TODO block. | " &amp;
"[NO SOLUTION RULE - STRICT] The code under the # TODO MUST be left empty or with a 'pass'. DO NOT write the actual solution. | " &amp;
"[OUTPUT VERIFICATION RULE] The base code MUST print the final variables/results evaluated in the TODO block to verify correctness. | " &amp;
"[TODO GUIDANCE RULE] Rule " &amp; IF(G138="Beginner", "Clear explicit hint (no code) | ", IF(G138="Intermediate", "Brief hint | ", "Minimal hint | ")) &amp; " | " &amp;
"[OUTPUT] Only header, dataset summary or statement (if any), intro message, challenges (objective, expected output, incomplete code), and footer | " &amp;
"[FOOTER RULE - STRICT] End your entire response EXACTLY with this markdown string (ensure all code blocks are closed before it):" &amp; CHAR(10) &amp; "---" &amp; CHAR(10) &amp; "⚡ *Coding5s System - Learn Programming by Writing Code - Coding5S.com*",
IF(H138="PROJECT", AB138, ""))</f>
        <v/>
      </c>
      <c r="R138" s="103" t="str">
        <f t="shared" ref="R138:R200" si="40">IF(OR(H138="Topic", UPPER(H138)="PROJECT"),
"[MENTOR_S3_BUILDER] Act as 'The Logical Scaffold' (El Maestro de Obra) - a World-Class Elite Technical Mentor for Stage 3 Code Completion specializing in " &amp; $I$2 &amp; _xlfn._LONGTEXT(".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 &amp;
"[CULTURAL &amp; JARGON RULE] If the language (" &amp; $B$6 &amp; _xlfn._LONGTEXT(")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 &amp;
"[CONTEXT] You are helping a Junior Developer complete a " &amp; IF(UPPER(H138)="PROJECT", "PROJECT: " &amp; I138 &amp; ". Topics involved: " &amp; B138 &amp; ". Project objective: " &amp; J138, "TOPIC: " &amp; I138 &amp; ". Topic details: " &amp; J138) &amp; " | " &amp;
"[TASK] Analyze the student's code and explanation. If they completed the data flow perfectly, celebrate the 'solid foundation' and offer a 'System Extension' challenge.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3 | " &amp; IF(UPPER(H138)="PROJECT", "Project #", "Topic #") &amp; F138 &amp; " | Complete | " &amp; IF($I$3="", $I$2, $I$2&amp; " - " &amp;$I$3) &amp; " | 📊 Level: " &amp; G138 &amp; CHAR(10) &amp; "**" &amp; IF(UPPER(H138)="PROJECT", "Project", "Topic") &amp; ":** " &amp; I138 &amp; CHAR(10) &amp; "---" &amp; CHAR(10) &amp; " | " &amp;
_xlfn._LONGTEXT("[PYTHON QUALITY RULE - STRICT] Code MUST be explicitly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 &amp;
_xlfn._LONGTEXT("[EMPTY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 &amp;
_xlfn._LONGTEXT("[PHASE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 &amp;
"[EXPLANATION GATE &amp; SCROLL BARRIER] After Phase 1, you MUST insert exactly this visual separator:" &amp; CHAR(10) &amp; "------------------------------------------------------------" &amp; CHAR(10) &amp; "🛑 THE EXPLANATION GATE 🛑" &amp; CHAR(10) &amp; "Before scrolling down to see the Master Code, articulate HOW the data transforms from State B to State C. Copy-pasting without understanding the flow builds Epistemic Debt." &amp; CHAR(10) &amp; "------------------------------------------------------------ | | " &amp;
_xlfn._LONGTEXT("[PHASE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 &amp;
"[FOOTER RULE] End your response with: '--- ⚡ *Coding5s Mentor System — Eliminating Epistemic Debt &amp; Connecting the Flow*',
", "")</f>
        <v/>
      </c>
      <c r="S138" s="52">
        <v>0</v>
      </c>
      <c r="T138" s="102" t="str">
        <f t="shared" ref="T138:T200" si="41">IF(H138="Topic",
"[ROLE] Tech Lead | " &amp;
"[TASK] Provide intentionally messy but functional code for learning debugging and improvement | " &amp;
"[TOPIC] " &amp; I138 &amp; " | " &amp;
"[LEVEL] " &amp; G138 &amp; " | " &amp;
"[COUNT] " &amp; D138 &amp; " challenges | " &amp;
"[LIBRARY BEING LEARNED] " &amp; $I$3 &amp; " | " &amp;
_xlfn._LONGTEXT("[ECOSYSTEM ORIENTATION RULE] If a module or ecosystem like Explorer or Nx is specified in , you are CRITICALLY FORBIDDEN from using manual recursion or nested loop implementations. You MUST enforce the vectorized operations and data structures of that spe","cific library. | ") &amp;
"[PERSONA RULE] Act as a Tech Lead. A junior wrote this working but messy code. Tone: professional but exhausted by the code quality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"[HEADER RULE - STRICT] You MUST start your entire response EXACTLY with this markdown block (do not print anything before it):" &amp; CHAR(10) &amp; "### 🔹 Topic #" &amp; F138 &amp; " | Stage 4 🧹 Refactor | " &amp; IF($I$3="", $I$2, $I$2&amp; " - " &amp;$I$3) &amp; " | 📊 Level: " &amp; G138 &amp; " | 🌐 Coding5s.com" &amp; CHAR(10) &amp; "**Concept:** " &amp; J138 &amp; CHAR(10) &amp; "---" &amp; CHAR(10) &amp; " | " &amp;
"[LANGUAGE SEED CONTEXT] " &amp; IF($AE$7 = "", "Language Seed Not Necessary", "You MUST strictly follow this seed context to enhance, adapt, and naturalize your tone, vocabulary, and instructional quality in " &amp; $B$6 &amp; ": " &amp; $AE$7) &amp; " | " &amp;
"[CODE QUALITY RULE] Code MUST be executable and correct BUT intentionally messy, inconsistent, or suboptimal | " &amp;
_xlfn._LONGTEXT("[DIRTY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 &amp;
"[STYLE INCONSISTENCY RULE] Each challenge should feel like it was written at a different time with different formatting styles | " &amp;
"[FILE HANDLING RULE] Use correct loaders and enforce encoding='utf-8' and newline='' when applicable if the programming language supports it. | " &amp;
"[DATA TYPE RULE] Explicit casting required before calculations when the programming language requires it. | " &amp;
"[DATA ROBUSTNESS RULE] Handle missing, malformed, or inconsistent data safely | " &amp;
"[BOOLEAN HANDLING RULE] Normalize boolean values before comparison when the programming language requires it. | " &amp;
"[DATA CONSISTENCY RULE] Respect dataset schema | " &amp;
"[FORMAT RULE] Only valid markdown code blocks allowed | " &amp;
"[LANGUAGE TAG RULE] ALWAYS label markdown code blocks with the correct underlying programming language (e.g., python, javascript, sql) | " &amp;
"[OUTPUT FORMAT RULE] Monetary values formatted with '$', commas, 2 decimals | " &amp;
"[OUTPUT] Only header, dataset summary or statement (if any), intro, challenges, code, outputs, and footer | " &amp;
_xlfn._LONGTEXT("[DATA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"[DATA SUMMARY FORMAT RULE] When a dataset is present, you MUST display IMMEDIATELY AFTER THE HEADER: Dataset Summary: - File Type: - Columns / Fields: - Data Types: - Notes: | " &amp;
"[INTRO RULE] The intro MUST be an email in " &amp; $B$6 &amp; " with this EXACT format translated to " &amp; $B$6 &amp; ": '📥 From: [Tech Lead Name]' / '📤 To: [Insert my user name if known, else " &amp; $I$2 &amp; " Dev]' / 'Subject: [Funny subject]'. Body vibe: 'Hola, el Junior mandó esto. Increíblemente funciona, pero mis ojos sangran. Por favor refactorízalo.'. IMMEDIATELY AFTER the email body, you MUST include this exact instruction block translated to " &amp; $B$6 &amp; _xlfn._LONGTEXT(": '🚨 **Your objective in this lesson:** You must copy the code blocks from each Challenge exactly as they and paste them into your IDE, then refactor the code by rewriting it professionally until you achieve the exact Program Output when running the refa","ctored program.' | ") &amp;
"[OUTPUT CONTRACT] EXACTLY " &amp; D138 &amp; _xlfn._LONGTEXT("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 &amp;
"[REVIEW INTENT RULE] The user is expected to review, identify issues, and refactor the code to production-level quality | " &amp;
"[CODE CONSTRAINTS] Each challenge MUST include: - Internal data OR dataset usage - At least 1 print statement - MUST be between " &amp; IF(G138="Beginner", "5–15", IF(G138="Intermediate", "10–25", "15–35")) &amp; " lines of EXECUTABLE code (STRICT: Do NOT count blank lines towards this limit, allow messy spacing) - NO classes - Single logical flow - Code MUST run correctly BUT be poorly structured, inconsistent, or inefficient | " &amp;
"[SUPPORT FILES RULE] If env/config is used, include: 1. Instructional sentence 2. File content in markdown code block 3. BEFORE the main code | " &amp;
"[DIFFICULTY RULE] Complexity MUST match level | " &amp;
"[DIFFICULTY CONSISTENCY RULE] All challenges MUST have similar complexity and length, even if coding styles differ | " &amp;
"[FOOTER RULE - STRICT] End your entire response EXACTLY with this markdown string (ensure all code blocks are closed before it):" &amp; CHAR(10) &amp; "---" &amp; CHAR(10) &amp; "⚡ *Coding5s System - Learn Programming by Writing Code - Coding5S.com*",
IF(H138="PROJECT", AC138, ""))</f>
        <v/>
      </c>
      <c r="U138" s="103" t="str">
        <f t="shared" ref="U138:U200" si="42">IF(OR(H138="Topic", UPPER(H138)="PROJECT"),
_xlfn._LONGTEXT("[MENTOR_S4_PURIST]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 &amp;
"[CULTURAL &amp; JARGON RULE] If the language (" &amp; $B$6 &amp; _xlfn._LONGTEXT(") is Portuguese, act like a 'Sênior ranzinza e perfeccionista' using local jargon (e.g., 'que gambiarra!', 'código espaguete', 'meu Deus, cadê o PEP 8?'). If Spanish, use sharp Latin American tech terminology (e.g., 'qué código más espantoso', 'esto no es"," nada de codigo legible y elegante ") &amp; $I$2 &amp; "', 'limpia este desastre'). Match the cultural vibe of a senior who is tired of seeing bad code. | " &amp;
"[CONTEXT] You are performing a Code Review for a " &amp; IF(UPPER(H138)="PROJECT", "PROJECT: " &amp; I138 &amp; ". Topics involved: " &amp; B138 &amp; ". Project objective: " &amp; J138, "TOPIC: " &amp; I138 &amp; ". Topic details: " &amp; J138) &amp; " | " &amp;
_xlfn._LONGTEXT("[TASK]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4 | " &amp; IF(UPPER(H138)="PROJECT", "Project #", "Topic #") &amp; F138 &amp; " | Refactor | " &amp; IF($I$3="", $I$2, $I$2&amp; " - " &amp;$I$3) &amp; " | 📊 Level: " &amp; G138 &amp; CHAR(10) &amp; "**" &amp; IF(UPPER(H138)="PROJECT", "Project", "Topic") &amp; ":** " &amp; I138 &amp; CHAR(10) &amp; "---" &amp; CHAR(10) &amp; " | " &amp;
_xlfn._LONGTEXT("[PYTHON QUALITY RULE - STRICT] Code MUST be explicitly compliant with language-standard style guides. Use descriptive snake_case for variables and functions. Avoid mutable default arguments; use immutable initializers instead. Ensure proper indentation. E","mphasize readability and idiomatic design patterns. | ") &amp;
_xlfn._LONGTEXT("[EMPTY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 &amp;
_xlfn._LONGTEXT("[PHASE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 &amp; $I$2 &amp; " built-in, standard library module, or good " &amp; $I$2 &amp; " code pattern to research. | " &amp;
"[EXPLANATION GATE &amp; SCROLL BARRIER] After Phase 1, you MUST insert exactly this visual separator:" &amp; CHAR(10) &amp; "------------------------------------------------------------" &amp; CHAR(10) &amp; "🛑 THE EXPLANATION GATE 🛑" &amp; CHAR(10) &amp; "Before scrolling down to see the Master Code, justify WHY your refactor will be more idiomatic. Blindly cleaning code is just 'Vibe Refactoring'. Articulate the debt." &amp; CHAR(10) &amp; "------------------------------------------------------------ | | " &amp;
"[PHASE 2: FULL SOLUTION - STRICT] 1. Provide the 'Senior' version: clean, elegant, and good " &amp; $I$2 &amp; _xlfn._LONGTEXT("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 &amp;
"[FOOTER RULE] End your response with: '--- ⚡ *Coding5s Mentor System — Eliminating Technical Debt with Elegance*'",
"")</f>
        <v/>
      </c>
      <c r="V138" s="52">
        <v>0</v>
      </c>
      <c r="W138" s="87" t="str">
        <f t="shared" ref="W138:W200" si="43">IF(H138="Topic",
"[ROLE] Tech Product Manager assigning a " &amp; $I$2 &amp; " Jira Ticket | " &amp;
"[TASK] Provide a guided implementation exercise with full solution for learning purposes | " &amp;
"[TOPIC] " &amp; I138 &amp; " | " &amp;
"[LEVEL] " &amp; G138 &amp; " | " &amp;
"[LIBRARY BEING LEARNED] " &amp; $I$3 &amp; " | " &amp;
_xlfn._LONGTEXT("[ECOSYSTEM ORIENTATION RULE] If a module or ecosystem like Explorer or Nx is specified in , you are CRITICALLY FORBIDDEN from using manual recursion or nested loop implementations. You MUST enforce the vectorized operations and data structures of that spe","cific library. | ") &amp;
"[PERSONA RULE] Act as a professional Tech Product Manager writing clear Jira tickets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Topic #" &amp; F138 &amp; " | Stage 5 | " &amp; IF($I$3="", $I$2, $I$2&amp; " - " &amp;$I$3) &amp; " | 📊 Level: " &amp; G138 &amp; " | 🌐 Coding5s.com" &amp; CHAR(10) &amp; "**Concept:** " &amp; J138 &amp; CHAR(10) &amp; "---" &amp; CHAR(10) &amp; " | " &amp;
"[FUNCTIONAL_STRUCTURE_POLICY] Rule: " &amp; IF(G138="Beginner", "Use simple scripts or minimal functions. ", IF(G138="Intermediate", "Use functions where appropriate. ", "Use modular functions with clear structure. ")) &amp; " | " &amp;
_xlfn._LONGTEXT("[DETERMINISTIC_OUTPUT_PROTOCOL]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 &amp; $I$2 &amp; " runtime (e.g., VSCode) | " &amp;
"[CODE QUALITY RULE] Code MUST be clean, readable, and production-like | " &amp;
"[FILE HANDLING RULE] Use correct loaders and enforce encoding='utf-8' and newline=' when applicable or supported by the programming language. | " &amp;
"[DATA TYPE RULE] Explicit casting required before calculations if the programming language requires it. | " &amp;
"[DATA ROBUSTNESS RULE] Handle missing or malformed data safely | " &amp;
"[BOOLEAN HANDLING RULE] Normalize boolean values before comparison if the programming language requires it. | " &amp;
"[DATA CONSISTENCY RULE] Respect dataset schema | " &amp;
"[TICKET FORMAT RULE - STRICT] The 'Context &amp; Ticket' section MUST begin with this EXACT text (translated to " &amp; $B$6 &amp; "):" &amp; CHAR(10) &amp; _xlfn._LONGTEXT("🎯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&amp; CHAR(10) &amp; CHAR(10) &amp; "Immediately followed by this EXACT multi-line format (translated to " &amp; $B$6 &amp; "):" &amp; CHAR(10) &amp; "🎫 Ticket #[Random 5-digit ID]" &amp; CHAR(10) &amp; "👤 From: [Generate Name] - [Department]" &amp; CHAR(10) &amp; "📥 To: Dev Team" &amp; CHAR(10) &amp; "Subject: [Ticket Subject]" &amp; CHAR(10) &amp; "Hello Dev Team, this is [Name] from [Department]. [Context paragraph]." &amp; CHAR(10) &amp; CHAR(10) &amp; "(Tech Product Manager Notes):" &amp; CHAR(10) &amp; "👥 From: [Generate TPM Name] - Tech Product Manager" &amp; CHAR(10) &amp; "📥 To: [Insert my user name if known, otherwise use '" &amp; $I$2 &amp; " Dev']" &amp; CHAR(10) &amp; "Subject: Assignment Details" &amp; CHAR(10) &amp; "Hello [Insert my user name if known, otherwise use '" &amp; $I$2 &amp; " Dev']!" &amp; CHAR(10) &amp; "[Assignment paragraph]" &amp; CHAR(10) &amp; CHAR(10) &amp; "✅ Acceptance Criteria:" &amp; CHAR(10) &amp; "[Bullet list] | " &amp;
_xlfn._LONGTEXT("[DATA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 &amp; $B$6 &amp; "). Purge past datasets from memory and generate minimal dummy data. | " &amp;
"[DATA SUMMARY FORMAT RULE] When a dataset is present, you MUST display IMMEDIATELY AFTER THE HEADER: Dataset Summary: - File Type: - Columns / Fields: - Data Types: - Notes: | " &amp;
_xlfn._LONGTEXT("[OUTPUT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&amp; CHAR(10) &amp; " 🛑 STOP BARRIER 🛑 11. 🌳 Updated Code (V1.1 - FULLY IMPLEMENTED) 12. 📝 Implementation Notes 13. Implemented Output (MUST reflect REAL execution of V1.1 code) | " &amp;
"[CODE CONSTRAINTS] V1.0 MUST be between " &amp; IF(G138="Beginner", "10–20", IF(G138="Intermediate", "15–30", "25–40")) &amp; " lines of EXECUTABLE code (STRICT) - V1.1 MUST be between " &amp; IF(G138="Beginner", "15–30", IF(G138="Intermediate", "25–45", "35–60")) &amp; _xlfn._LONGTEXT(" lines of EXECUTABLE code (STRICT) - Do NOT count comments or blank lines towards these limits - ALL code MUST run without errors - MUST be executable and realistic - MUST include a clear integration point - MUST NOT include unused imports - NO classes - ","NO unnecessary complexity | ") &amp;
_xlfn._LONGTEXT("[SUPPORT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 &amp;
"[DIFFICULTY RULE] Complexity MUST match level | " &amp;
"[FORMAT RULE] Only valid markdown code blocks allowed | " &amp;
"[LANGUAGE TAG RULE] ALWAYS label markdown code blocks with the correct underlying programming language (e.g., python, javascript, sql) | " &amp;
"[OUTPUT] Only header, dataset summary or statement (if any), the defined sections, and footer | " &amp;
"[FOOTER RULE - STRICT] End your entire response EXACTLY with this markdown string (ensure all code blocks are closed before it):" &amp; CHAR(10) &amp; "---" &amp; CHAR(10) &amp; "⚡ *Coding5s System — Learn Programming by Writing Code*",
IF(H138="PROJECT", AD138, ""))</f>
        <v/>
      </c>
      <c r="X138" s="103" t="str">
        <f t="shared" ref="X138:X200" si="44">IF(OR(H138="Topic", UPPER(H138)="PROJECT"),
_xlfn._LONGTEXT("[MENTOR_S5_ARCHITECT]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 &amp;
"[CULTURAL &amp; JARGON RULE] If the language (" &amp; $B$6 &amp; _xlfn._LONGTEXT(") is Portuguese, act like an 'Arquiteto de Software Sênior' using local jargon (e.g., 'subir pra produção', 'vai escalar?', 'casos extremos'). If Spanish, use Latin American tech terminology (e.g., 'subir a producción', '¿esto escala?', 'casos borde'). Ma","tch the cultural vibe of a strategic tech lead. | ") &amp;
"[CONTEXT] You are reviewing the final implementation of a new feature for a " &amp; IF(UPPER(H138)="PROJECT", "PROJECT: " &amp; I138 &amp; ". Topics integrated: " &amp; B138 &amp; ". Business Goal: " &amp; J138, "TOPIC: " &amp; I138 &amp; ". Goal: " &amp; J138) &amp; " | " &amp;
_xlfn._LONGTEXT("[TASK] Analyze the extension code. If they already anticipated the edge cases and scalability issues (e.g., using generators or async patterns), give them the 'Architect's Approval' and discuss a more advanced trade-off.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5 | " &amp; IF(UPPER(H138)="PROJECT", "Project #", "Topic #") &amp; F138 &amp; " | Extend | " &amp; IF($I$3="", $I$2, $I$2&amp; " - " &amp;$I$3) &amp; " | 📊 Level: " &amp; G138 &amp; CHAR(10) &amp; "**" &amp; IF(UPPER(H138)="PROJECT", "Project", "Topic") &amp; ":** " &amp; I138 &amp; CHAR(10) &amp; "---" &amp; CHAR(10) &amp; " | " &amp;
_xlfn._LONGTEXT("[CODE_QUALITY_PROTOCOL] Code MUST be explicitly compliant with language-standard style guides. Use descriptive snake_case for variables and functions. NEVER use mutable default arguments; use immutable initializers instead. Ensure proper indentation. Emph","asize readability and idiomatic design patterns. | ") &amp;
_xlfn._LONGTEXT("[EMPTY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 &amp;
_xlfn._LONGTEXT("[PHASE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 &amp;
"[EXPLANATION GATE &amp; SCROLL BARRIER] After Phase 1, you MUST insert exactly this visual separator:" &amp; CHAR(10) &amp; "------------------------------------------------------------" &amp; CHAR(10) &amp; "🛑 THE EXPLANATION GATE 🛑" &amp; CHAR(10) &amp; "Before scrolling down to the final architectural review, articulate the TRADE-OFFS of your implementation. What happens when this feature faces extreme load? Pushing code without understanding scale builds Epistemic Debt." &amp; CHAR(10) &amp; "------------------------------------------------------------ | " &amp;
_xlfn._LONGTEXT("[PHASE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 &amp;
"[FOOTER RULE] End your response with: '--- ⚡ *Coding5s Mentor System — Eliminating Epistemic Debt &amp; Shipping to Production*'",
"")</f>
        <v/>
      </c>
      <c r="Y138" s="52">
        <v>0</v>
      </c>
      <c r="Z138" s="56" t="str">
        <f t="shared" ref="Z138:Z200" si="45">IF(H138&lt;&gt;"PROJECT","",
"[TASK] Teach through a practical " &amp; $I$2 &amp; " - " &amp; $I$3 &amp; " project following the micro-learning methodology, acting as a supportive tutor, creating a project about  " &amp; I138 &amp; " | " &amp;
"[TOPICS USED] " &amp; B138 &amp; " | " &amp;
"[LEVEL] " &amp; G138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"[INLINE_PACKAGE_MANAGER] If the project requires an external package, you MUST use Standard mix.exs dependencies list (defp deps do [{:package_name, '~&gt; version'}] end) at the top. | " &amp;
"[SCOPE_ARCHITECTURE_RULE] Rule: Build fault-tolerant OTP apps with DynamicSupervisor, Registry for process discovery, and handle_info/2 handlers. | " &amp;
_xlfn._LONGTEXT("[VISUAL_ARCHITECTURE_COMMENTS] 1. Use visual block tags separating OTP layers (e.g., '# --- CLIENT API ---', '# --- SERVER CALLBACKS ---') to map code to the planning phase. 2. Use comprehensive documentation using @moduledoc and @doc explaining process s","tate APIs. 3. CRITICAL: NO comment or docstring line may exceed 80 characters in width. | ") &amp;
"[DATA ROBUSTNESS RULE] Handle real-world data safely | " &amp;
"[CODE CONSTRAINTS] MUST be between " &amp; IF(G138="Beginner", "25–40", IF(G138="Intermediate", "30–60", "40–100")) &amp; " lines (STRICT) - Multi-step flow | " &amp;
"[SUPPORT FILES RULE] Include config files before code if needed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_xlfn._LONGTEXT("[OUTPUT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 &amp;
"[CODE QUALITY RULE] Code MUST be clean, readable, correct, and educational | " &amp;
"[FORMAT RULE] Only markdown code blocks allowed | " &amp;
"[EXECUTION RULE] Code MUST run and produce correct output | " &amp;
"[CONSISTENCY RULE] Project must match objective | " &amp;
"[HEADER RULE - STRICT] You MUST start your entire response EXACTLY with this markdown block (do not print anything before it):" &amp; CHAR(10) &amp; "### 🚀 Project #" &amp; F138 &amp; " | Stage 1 | " &amp; IF($I$3="", $I$2, $I$2&amp; " - " &amp;$I$3) &amp; " | 📊 Level: " &amp; G138 &amp; " | 🌐 Coding5s.com" &amp; CHAR(10) &amp; "**Project:** " &amp; J138 &amp; CHAR(10) &amp; "---" &amp; CHAR(10) &amp; " | " &amp;
"[OUTPUT] Only header, dataset notice, objective, support file, code planning, expected output, code, and footer | " &amp;
"[FOOTER RULE - STRICT] End your entire response EXACTLY with this markdown string (ensure all code blocks are closed before it):" &amp; CHAR(10) &amp; "---" &amp; CHAR(10) &amp; "⚡ *Coding5s System — Learn Programming by Writing Code*")</f>
        <v/>
      </c>
      <c r="AA138" s="56" t="str">
        <f t="shared" ref="AA138:AA200" si="46">IF(H138&lt;&gt;"PROJECT","",
"[ROLE] Careless " &amp; $I$2 &amp; " Developer | " &amp;
"[TASK] Generate debugging project in " &amp; $I$2 &amp; " | " &amp;
"[PROJECT] " &amp; I138 &amp; " | " &amp;
"[TOPICS USED] " &amp; B138 &amp; " | " &amp;
"[LEVEL] " &amp; G138 &amp; " | " &amp;
"[OUTPUT] Only header, dataset summary or statement (if any), email intro, objective, expected output, broken code, and footer | " &amp;
"[HEADER RULE - STRICT] You MUST start your entire response EXACTLY with this markdown block (do not print anything before it):" &amp; CHAR(10) &amp; "### 🚀 Project #" &amp; F138 &amp; " | Stage 2 | " &amp; IF($I$3="", $I$2, $I$2&amp; " - " &amp;$I$3) &amp; " | 📊 Level: " &amp; G138 &amp; " | 🌐 Coding5s.com" &amp; CHAR(10) &amp; "Project: " &amp; J138 &amp; CHAR(10) &amp; "---" &amp; CHAR(10) &amp; " | " &amp;
"[LIBRARY BEING LEARNED] " &amp; $I$3 &amp; " | " &amp;
_xlfn._LONGTEXT("[ECOSYSTEM ORIENTATION RULE] If a module or ecosystem like Explorer or Nx is specified in , you are CRITICALLY FORBIDDEN from using manual recursion or nested loop implementations. You MUST enforce the vectorized operations and data structures of that spe","cific library. | ") &amp;
"[LANGUAGE CONSISTENCY RULE] ALL output text MUST be written strictly in the selected language (" &amp; $B$6 &amp; "). This includes translating ALL structural labels requested in this prompt (like 'Project', 'Objective', 'Expected Output', 'Broken Code', 'From', 'To', 'Subject') into " &amp; $B$6 &amp; ". Do NOT mix languages. Only code and technical identifiers remain unchanged | " &amp; AE136 &amp; " | " &amp;
"[LANGUAGE SEED CONTEXT] " &amp; IF($AE$7 = "", "Language Seed Not Necessary", "You MUST strictly follow this seed context to enhance, adapt, and naturalize your tone, vocabulary, and instructional quality in " &amp; $B$6 &amp; ": " &amp; $AE$7) &amp; " | " &amp;
_xlfn._LONGTEXT("[BUG RULE] Simulate a messy production environment. The project MUST contain EXACTLY 2–5 bugs. You MUST randomly select from a wide variety of real-world Elixir errors: 1. Syntax/Compile (e.g., missing 'end', incorrect pipe '|&gt;', TokenMissingError), 2. Lo","gic (produces wrong output), AND 3. Runtime Exceptions (e.g., MatchError, FunctionClauseError, ArithmeticError, BadMapError). | ") &amp;
"[ENV USAGE RULE] Bugs ONLY in code logic, not config files | " &amp;
"[SUPPORT FILES RULE] IF an external configuration or data file is needed, include: 1. Short instructional sentence 2. File content in markdown code block 3. Place it strictly BEFORE the main code. | " &amp;
"[NO SOLUTION RULE - STRICT] You are generating an EXAM. Do NOT provide the fixed code, diagnosis, hints, or explanations. Output ONLY the broken code. Do NOT include comments that reveal the bugs. Let the student find them. | " &amp;
"[PERSONA RULE] Use a messy, careless developer tone | " &amp;
"[INTRO RULE] The intro MUST be a dynamically generated, urgent, unprofessional email in " &amp; $B$6 &amp; " with this EXACT format translated to " &amp; $B$6 &amp; ": 'From: [Random Dev Name]' / 'To: [Insert my user name if you know it from context, otherwise use " &amp; $I$2 &amp; _xlfn._LONGTEXT("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 &amp;
"[OUTPUT CONTRACT] EXACTLY 1 project. Structure MUST be: 'Project:' followed by 'Objective: maximum 6 lines.', then 'Expected Output: standalone markdown code block.', and finally 'Broken Code' | " &amp;
"[STRUCTURE RULE] Do NOT add extra sections or explanations (except when required by SUPPORT FILES RULE) | " &amp;
"[CODE CONSTRAINTS] - " &amp; IF(G138="Beginner", "25–40", IF(G138="Intermediate", "30–60", "40–100")) &amp; " lines of EXECUTABLE code (STRICT: Do NOT count blank lines towards this limit) - Multi-step flow - 2–4 functions ONLY - main() as entry point " &amp; IF(G138&lt;&gt;"Advanced", "- NO classes | ", "") &amp; " | " &amp;
"[EXECUTION RULE] Code must fail due to syntax errors, runtime exceptions, or produce incorrect output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"[FORMAT RULE] Only valid markdown code blocks | " &amp;
"[LANGUAGE TAG RULE] ALWAYS label markdown code blocks with the correct underlying programming language (e.g., python, javascript, sql) | " &amp;
"[STRICT MODE] Enforce all rules strictly | " &amp;
"[FOOTER RULE - STRICT] End your entire response EXACTLY with this markdown string (ensure all code blocks are closed before it):" &amp; CHAR(10) &amp; "---" &amp; CHAR(10) &amp; "⚡ Coding5s System - Learn Programming by Writing Code - Coding5S.com" )</f>
        <v/>
      </c>
      <c r="AB138" s="56" t="str">
        <f t="shared" ref="AB138:AB200" si="47">IF(H138&lt;&gt;"PROJECT","",
"[ROLE] Tech Lead | " &amp;
"[TASK] Assign incomplete project script | " &amp;
"[PROJECT] " &amp; I138 &amp; " | " &amp;
"[TOPICS USED] " &amp; B138 &amp; " | " &amp;
"[LEVEL] " &amp; G138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Project #" &amp; F138 &amp; " | Stage 3 | " &amp; IF($I$3="", $I$2, $I$2&amp; " - " &amp;$I$3) &amp; " | 📊 Level: " &amp; G138 &amp; " | 🌐 Coding5s.com" &amp; CHAR(10) &amp; "**Project:** " &amp; J138 &amp; CHAR(10) &amp; "---" &amp; CHAR(10) &amp; " | " &amp;
"[EXTERNAL_PACKAGE_PROTOCOL] Use Mix.install([{:package_name, '~&gt; version'}]) at the top if needed. | " &amp;
"[CHALLENGE_CONSTRAINTS_POLICY] MUST be between " &amp; IF(G138="Beginner","25–40", IF(G138="Intermediate","30–60","40–100")) &amp; " lines of EXECUTABLE base code (STRICT: Do NOT count comments or TODOs). Multi-step flow. | " &amp;
"[FORMAT RULE] Only valid markdown code blocks allowed | " &amp;
"[LANGUAGE TAG RULE] ALWAYS label markdown code blocks with the correct underlying programming language (e.g., python, javascript, sql) | " &amp;
_xlfn._LONGTEXT("[DATA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"[INTRO RULE] Intro MUST be a dynamically generated email in " &amp; $B$6 &amp; " with this EXACT format translated to " &amp; $B$6 &amp; ": 'From: [Generate NEW random full name] - Tech Lead' / 'To: [Insert my user name if known, else Junior] - " &amp; $I$2 &amp; " Developer' / 'Subject: [Project Subject]'. Body MUST be unique. Vibe: 'Hola, tengo la arquitectura lista, implementa la lógica en los # TODO. Revisa el expected output. Saludos.' | " &amp;
"[OUTPUT CONTRACT] EXACTLY 1 project. Structure MUST be: Tech Lead Intro Message, Project: Objective (max 6 lines), Expected Output (code block), Incomplete Code | " &amp;
"[OUTPUT TRUNCATION RULE] If output is large, show only first 5 lines. Do NOT use ellipsis (...) | " &amp;
"[OUTPUT EXECUTION RULE - STRICT] Expected output MUST be explicit, complete, and produced via final print(). | " &amp;
"[BASE CODE INTEGRITY RULE - STRICT] Code outside the TODO block MUST be 100% valid, logically correct, and run without errors. Do NOT use 'pass', '...', or empty placeholders outside the TODO. | " &amp;
"[TODO REALISM RULE] TODO must represent realistic integration bugs. Describe what is incorrect/incomplete. | " &amp;
"[TODO ISOLATION RULE - STRICT] ALL missing, incorrect, or output-affecting logic MUST exist ONLY inside the TODO block. Replace ONLY integration logic. | " &amp;
"[NO SOLUTION RULE - STRICT] The code under the # TODO MUST be left empty or with a 'pass'. DO NOT write the actual solution. | " &amp;
"[OUTPUT] Only header, dataset summary or statement (if any), intro message, objective, expected output, incomplete code, and footer | " &amp;
"[FOOTER RULE - STRICT] End your entire response EXACTLY with this markdown string (ensure all code blocks are closed before it):" &amp; CHAR(10) &amp; "---" &amp; CHAR(10) &amp; "⚡ *Coding5s System - Learn Programming by Writing Code - Coding5S.com*")</f>
        <v/>
      </c>
      <c r="AC138" s="56" t="str">
        <f t="shared" ref="AC138:AC200" si="48">IF(H138&lt;&gt;"PROJECT","",
"[ROLE] Tech Lead | " &amp;
"[TASK] Provide a messy but functional project for refactoring | " &amp;
"[PROJECT] " &amp; I138 &amp; " | " &amp;
"[TOPICS USED] " &amp; B138 &amp; " | " &amp;
"[LEVEL] " &amp; G138 &amp; " | " &amp;
"[PERSONA RULE] Act as a Tech Lead. A junior wrote this working but messy code. Tone: professional but exhausted | " &amp;
"[HEADER RULE - STRICT] You MUST start your entire response EXACTLY with this markdown block (do not print anything before it):" &amp; CHAR(10) &amp; "### 🚀 Project #" &amp; F138 &amp; " | Stage 4 | " &amp; IF($I$3="", $I$2, $I$2&amp; " - " &amp;$I$3) &amp; " | 📊 Level: " &amp; G138 &amp; " | 🌐 Coding5s.com" &amp; CHAR(10) &amp; "**Project:** " &amp; J138 &amp; CHAR(10) &amp; "---" &amp; CHAR(10)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"[CODE QUALITY RULE] Code MUST be correct and executable but not perfectly clean | " &amp;
"[DIRTY CODE RULE] Code MUST NOT include ANY comments and should include inconsistent naming, redundant logic, minor structural issues, and slightly messy organization while still remaining understandable as a complete working program | " &amp;
"[DATA ROBUSTNESS RULE] Handle real-world data safely | " &amp;
"[FORMAT RULE] Only valid markdown code blocks allowed | " &amp;
"[LANGUAGE TAG RULE] ALWAYS label markdown code blocks with the correct underlying programming language (e.g., python, javascript, sql)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 बुन्देल IMMEDIATELY AFTER THE HEADER, PURGE any memory of previous files, and use realistic dummy data | " &amp;
"[INTRO RULE] The intro MUST be an email in " &amp; $B$6 &amp; " with this EXACT format translated to " &amp; $B$6 &amp; ": 'From: [Tech Lead Name]' / 'To: [Insert my user name if known, else " &amp; $I$2 &amp; " Dev]' / 'Subject: [Funny subject]'. Body vibe: 'Hola, el Junior mandó esto. Increíblemente funciona, pero mis ojos sangran. Por favor refactorízalo.' | " &amp;
"[OUTPUT CONTRACT] EXACTLY 1 project. Structure MUST be: 1. Tech Lead Intro Email 2. Project: Objective (max 6 lines), Expected Output (code block), Dirty Code | " &amp;
"[REVIEW INTENT RULE] The user is expected to review and refactor the project to improve structure, readability, and maintainability | " &amp;
"[CODE CONSTRAINTS] MUST be between " &amp; IF(G138="Beginner", "25–40", IF(G138="Intermediate", "30–60", "40–100")) &amp; " lines of EXECUTABLE code (STRICT: Do NOT count blank lines towards this limit) - Multi-step flow - NO classes - Code MUST run correctly BUT be slightly messy and contain NO comments | " &amp;
"[SUPPORT FILES RULE] Include config files before code if needed | " &amp;
"[EXECUTION RULE] Code MUST run and produce correct output | " &amp;
"[CONSISTENCY RULE] Project must match objective | " &amp;
"[OUTPUT] Only header, dataset summary or statement (if any), intro email, objective, expected output, code, and footer | " &amp;
"[FOOTER RULE - STRICT] End your entire response EXACTLY with this markdown string (ensure all code blocks are closed before it):" &amp; CHAR(10) &amp; "---" &amp; CHAR(10) &amp; "⚡ *Coding5s System - Learn Programming by Writing Code - Coding5S.com*")</f>
        <v/>
      </c>
      <c r="AD138" s="56" t="str">
        <f t="shared" ref="AD138:AD200" si="49">IF(H138&lt;&gt;"PROJECT","",
"[ROLE] Tech Product Manager assigning a " &amp; $I$2 &amp; " Jira Ticket | " &amp;
"[TASK] Provide a guided project implementation with full solution | " &amp;
"[PROJECT] " &amp; I138 &amp; " | " &amp;
"[TOPICS USED] " &amp; B138 &amp; " | " &amp;
"[LEVEL] " &amp; G138 &amp; " | " &amp;
"[PERSONA RULE] Act as a professional Tech Product Manager defining a project ticket | " &amp;
"[LIBRARY BEING LEARNED] " &amp; $I$3 &amp; " | " &amp;
_xlfn._LONGTEXT("[ECOSYSTEM ORIENTATION RULE] If a module or ecosystem like Explorer or Nx is specified in , you are CRITICALLY FORBIDDEN from using manual recursion or nested loop implementations. You MUST enforce the vectorized operations and data structures of that spe","cific library. | ") &amp;
"[HEADER RULE - STRICT] You MUST start your entire response EXACTLY with this markdown block (do not print anything before it):" &amp; CHAR(10) &amp; "### 🚀 Project #" &amp; F138 &amp; " | Stage 5 | " &amp; IF($I$3="", $I$2, $I$2&amp; " - " &amp;$I$3) &amp; " | 📊 Level: " &amp; G138 &amp; " | 🌐 Coding5s.com" &amp; CHAR(10) &amp; "**Project:** " &amp; J138 &amp; CHAR(10) &amp; "---" &amp; CHAR(10) &amp; " | " &amp;
"[LANGUAGE CONSISTENCY RULE] ALL output MUST be strictly in " &amp; $B$6 &amp; _xlfn._LONGTEXT(".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 &amp; $B$6 &amp; " | " &amp; $AE$7 &amp; " | " &amp;
"[LANGUAGE SEED CONTEXT] " &amp; IF($AE$7 = "", "Language Seed Not Necessary", "You MUST strictly follow this seed context to enhance, adapt, and naturalize your tone, vocabulary, and instructional quality in " &amp; $B$6 &amp; ": " &amp; $AE$7) &amp; " | " &amp;
"[CODE CONSTRAINTS] V1.0 MUST be between " &amp; IF(G138="Beginner", "20–35", IF(G138="Intermediate", "30–50", "45–70")) &amp; " lines of EXECUTABLE code (STRICT) - V1.1 MUST be between " &amp; IF(G138="Beginner", "30–50", IF(G138="Intermediate", "45–75", "60–90")) &amp; " lines of EXECUTABLE code (STRICT) - Do NOT count comments or blank lines towards these limits - MUST run without errors - MUST include integration points - NO unnecessary complexity | " &amp;
"[CRITICAL OUTPUT RULE] Output MUST match real execution - Convert sets to sorted lists before printing | " &amp;
"[FUNCTION RULE] " &amp; IF(G138="Beginner", "Avoid complex structure. ", IF(G138="Intermediate", "Functions optional. ", "Use structured modular functions. ")) &amp; " | " &amp;
"[TICKET FORMAT RULE - STRICT] The 'Context &amp; Ticket' section MUST use this EXACT multi-line format (translated to " &amp; $B$6 &amp; "):" &amp; CHAR(10) &amp; "Ticket #[Random 5-digit ID]" &amp; CHAR(10) &amp; "From: [Generate Name] - [Department]" &amp; CHAR(10) &amp; "To: Dev Team" &amp; CHAR(10) &amp; "Subject: [Ticket Subject]" &amp; CHAR(10) &amp; "Hello Dev Team, this is [Name] from [Department]. [Context paragraph]." &amp; CHAR(10) &amp; CHAR(10) &amp; "(Tech Product Manager Notes):" &amp; CHAR(10) &amp; "From: [Generate TPM Name] - Tech Product Manager" &amp; CHAR(10) &amp; "To: [Insert my user name if known, otherwise use '" &amp; $I$2 &amp; " Dev']" &amp; CHAR(10) &amp; "Subject: Assignment Details" &amp; CHAR(10) &amp; "Hello [Insert my user name if known, otherwise use '" &amp; $I$2 &amp; " Dev']!" &amp; CHAR(10) &amp; "[Assignment paragraph]" &amp; CHAR(10) &amp; CHAR(10) &amp; "Acceptance Criteria:" &amp; CHAR(10) &amp; "[Bullet list]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IMMEDIATELY AFTER THE HEADER, PURGE any memory of previous files, and use realistic dummy data | " &amp;
_xlfn._LONGTEXT("[OUTPUT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 &amp;
"[CODE QUALITY RULE] Code MUST be clean and realistic | " &amp;
"[DATA ROBUSTNESS RULE] Handle real-world data safely | " &amp;
"[FORMAT RULE] Only markdown code blocks allowed | " &amp;
"[LANGUAGE TAG RULE] ALWAYS label markdown code blocks with the correct underlying programming language (e.g., python, javascript, sql) | " &amp;
"[EXECUTION RULE] Code MUST run correctly | " &amp;
"[OUTPUT] Only header, dataset summary or statement (if any), defined sections, and footer, | " &amp;
"[FOOTER RULE - STRICT] End your entire response EXACTLY with this markdown string (ensure all code blocks are closed before it):" &amp; CHAR(10) &amp; "---" &amp; CHAR(10) &amp; "⚡ *Coding5s System — Learn Programming by Writing Code*")</f>
        <v/>
      </c>
      <c r="AE138" s="40"/>
      <c r="AF138" s="40"/>
      <c r="AG138" s="40"/>
      <c r="AH138" s="56" t="str">
        <f t="shared" si="33"/>
        <v/>
      </c>
      <c r="AI138" s="54"/>
      <c r="AJ138" s="54"/>
      <c r="AK138" s="54"/>
      <c r="AL138" s="54"/>
      <c r="AM138" s="54"/>
    </row>
    <row r="139" spans="1:39">
      <c r="A139" s="95"/>
      <c r="B139" s="45" t="str" cm="1">
        <f t="array" ref="B139">IF(H139="PROJECT", CHAR(10) &amp; "- " &amp; _xlfn.TEXTJOIN(CHAR(10) &amp; "- ", TRUE, _xlfn._xlws.FILTER($I$9:$I$1000, ($C$9:$C$1000=C139) * ($H$9:$H$1000="Topic"))), "")</f>
        <v/>
      </c>
      <c r="C139" s="45">
        <f t="shared" si="34"/>
        <v>107</v>
      </c>
      <c r="D139" s="46"/>
      <c r="E139" s="58"/>
      <c r="F139" s="67"/>
      <c r="G139" s="53"/>
      <c r="H139" s="53"/>
      <c r="I139" s="50"/>
      <c r="J139" s="51"/>
      <c r="K139" s="120" t="str">
        <f t="shared" si="35"/>
        <v/>
      </c>
      <c r="L139" s="103" t="str">
        <f t="shared" si="36"/>
        <v/>
      </c>
      <c r="M139" s="53">
        <v>0</v>
      </c>
      <c r="N139" s="102" t="str">
        <f t="shared" si="37"/>
        <v/>
      </c>
      <c r="O139" s="103" t="str">
        <f t="shared" si="38"/>
        <v/>
      </c>
      <c r="P139" s="53">
        <v>0</v>
      </c>
      <c r="Q139" s="102" t="str">
        <f t="shared" si="39"/>
        <v/>
      </c>
      <c r="R139" s="103" t="str">
        <f t="shared" si="40"/>
        <v/>
      </c>
      <c r="S139" s="53">
        <v>0</v>
      </c>
      <c r="T139" s="102" t="str">
        <f t="shared" si="41"/>
        <v/>
      </c>
      <c r="U139" s="103" t="str">
        <f t="shared" si="42"/>
        <v/>
      </c>
      <c r="V139" s="53">
        <v>0</v>
      </c>
      <c r="W139" s="87" t="str">
        <f t="shared" si="43"/>
        <v/>
      </c>
      <c r="X139" s="103" t="str">
        <f t="shared" si="44"/>
        <v/>
      </c>
      <c r="Y139" s="53">
        <v>0</v>
      </c>
      <c r="Z139" s="56" t="str">
        <f t="shared" si="45"/>
        <v/>
      </c>
      <c r="AA139" s="56" t="str">
        <f t="shared" si="46"/>
        <v/>
      </c>
      <c r="AB139" s="56" t="str">
        <f t="shared" si="47"/>
        <v/>
      </c>
      <c r="AC139" s="56" t="str">
        <f t="shared" si="48"/>
        <v/>
      </c>
      <c r="AD139" s="56" t="str">
        <f t="shared" si="49"/>
        <v/>
      </c>
      <c r="AE139" s="40"/>
      <c r="AF139" s="40"/>
      <c r="AG139" s="40"/>
      <c r="AH139" s="56" t="str">
        <f t="shared" si="33"/>
        <v/>
      </c>
      <c r="AI139" s="54"/>
      <c r="AJ139" s="54"/>
      <c r="AK139" s="54"/>
      <c r="AL139" s="54"/>
      <c r="AM139" s="54"/>
    </row>
    <row r="140" spans="1:39">
      <c r="A140" s="95"/>
      <c r="B140" s="45" t="str" cm="1">
        <f t="array" ref="B140">IF(H140="PROJECT", CHAR(10) &amp; "- " &amp; _xlfn.TEXTJOIN(CHAR(10) &amp; "- ", TRUE, _xlfn._xlws.FILTER($I$9:$I$1000, ($C$9:$C$1000=C140) * ($H$9:$H$1000="Topic"))), "")</f>
        <v/>
      </c>
      <c r="C140" s="45">
        <f t="shared" si="34"/>
        <v>108</v>
      </c>
      <c r="D140" s="57"/>
      <c r="E140" s="58"/>
      <c r="F140" s="54"/>
      <c r="G140" s="52"/>
      <c r="H140" s="52"/>
      <c r="I140" s="61"/>
      <c r="J140" s="62"/>
      <c r="K140" s="120" t="str">
        <f t="shared" si="35"/>
        <v/>
      </c>
      <c r="L140" s="103" t="str">
        <f t="shared" si="36"/>
        <v/>
      </c>
      <c r="M140" s="52">
        <v>0</v>
      </c>
      <c r="N140" s="102" t="str">
        <f t="shared" si="37"/>
        <v/>
      </c>
      <c r="O140" s="103" t="str">
        <f t="shared" si="38"/>
        <v/>
      </c>
      <c r="P140" s="52">
        <v>0</v>
      </c>
      <c r="Q140" s="102" t="str">
        <f t="shared" si="39"/>
        <v/>
      </c>
      <c r="R140" s="103" t="str">
        <f t="shared" si="40"/>
        <v/>
      </c>
      <c r="S140" s="52">
        <v>0</v>
      </c>
      <c r="T140" s="102" t="str">
        <f t="shared" si="41"/>
        <v/>
      </c>
      <c r="U140" s="103" t="str">
        <f t="shared" si="42"/>
        <v/>
      </c>
      <c r="V140" s="52">
        <v>0</v>
      </c>
      <c r="W140" s="87" t="str">
        <f t="shared" si="43"/>
        <v/>
      </c>
      <c r="X140" s="103" t="str">
        <f t="shared" si="44"/>
        <v/>
      </c>
      <c r="Y140" s="52">
        <v>0</v>
      </c>
      <c r="Z140" s="56" t="str">
        <f t="shared" si="45"/>
        <v/>
      </c>
      <c r="AA140" s="56" t="str">
        <f t="shared" si="46"/>
        <v/>
      </c>
      <c r="AB140" s="56" t="str">
        <f t="shared" si="47"/>
        <v/>
      </c>
      <c r="AC140" s="56" t="str">
        <f t="shared" si="48"/>
        <v/>
      </c>
      <c r="AD140" s="56" t="str">
        <f t="shared" si="49"/>
        <v/>
      </c>
      <c r="AE140" s="40"/>
      <c r="AF140" s="40"/>
      <c r="AG140" s="40"/>
      <c r="AH140" s="56" t="str">
        <f t="shared" si="33"/>
        <v/>
      </c>
      <c r="AI140" s="54"/>
      <c r="AJ140" s="54"/>
      <c r="AK140" s="54"/>
      <c r="AL140" s="54"/>
      <c r="AM140" s="54"/>
    </row>
    <row r="141" spans="1:39">
      <c r="A141" s="95"/>
      <c r="B141" s="45" t="str" cm="1">
        <f t="array" ref="B141">IF(H141="PROJECT", CHAR(10) &amp; "- " &amp; _xlfn.TEXTJOIN(CHAR(10) &amp; "- ", TRUE, _xlfn._xlws.FILTER($I$9:$I$1000, ($C$9:$C$1000=C141) * ($H$9:$H$1000="Topic"))), "")</f>
        <v/>
      </c>
      <c r="C141" s="45">
        <f t="shared" si="34"/>
        <v>109</v>
      </c>
      <c r="D141" s="46"/>
      <c r="E141" s="58"/>
      <c r="F141" s="67"/>
      <c r="G141" s="53"/>
      <c r="H141" s="53"/>
      <c r="I141" s="50"/>
      <c r="J141" s="51"/>
      <c r="K141" s="120" t="str">
        <f t="shared" si="35"/>
        <v/>
      </c>
      <c r="L141" s="103" t="str">
        <f t="shared" si="36"/>
        <v/>
      </c>
      <c r="M141" s="53">
        <v>0</v>
      </c>
      <c r="N141" s="102" t="str">
        <f t="shared" si="37"/>
        <v/>
      </c>
      <c r="O141" s="103" t="str">
        <f t="shared" si="38"/>
        <v/>
      </c>
      <c r="P141" s="53">
        <v>0</v>
      </c>
      <c r="Q141" s="102" t="str">
        <f t="shared" si="39"/>
        <v/>
      </c>
      <c r="R141" s="103" t="str">
        <f t="shared" si="40"/>
        <v/>
      </c>
      <c r="S141" s="53">
        <v>0</v>
      </c>
      <c r="T141" s="102" t="str">
        <f t="shared" si="41"/>
        <v/>
      </c>
      <c r="U141" s="103" t="str">
        <f t="shared" si="42"/>
        <v/>
      </c>
      <c r="V141" s="53">
        <v>0</v>
      </c>
      <c r="W141" s="87" t="str">
        <f t="shared" si="43"/>
        <v/>
      </c>
      <c r="X141" s="103" t="str">
        <f t="shared" si="44"/>
        <v/>
      </c>
      <c r="Y141" s="53">
        <v>0</v>
      </c>
      <c r="Z141" s="56" t="str">
        <f t="shared" si="45"/>
        <v/>
      </c>
      <c r="AA141" s="56" t="str">
        <f t="shared" si="46"/>
        <v/>
      </c>
      <c r="AB141" s="56" t="str">
        <f t="shared" si="47"/>
        <v/>
      </c>
      <c r="AC141" s="56" t="str">
        <f t="shared" si="48"/>
        <v/>
      </c>
      <c r="AD141" s="56" t="str">
        <f t="shared" si="49"/>
        <v/>
      </c>
      <c r="AE141" s="40"/>
      <c r="AF141" s="40"/>
      <c r="AG141" s="40"/>
      <c r="AH141" s="56" t="str">
        <f t="shared" ref="AH141:AH200" si="50">IF(AE141=$B$6,AG141,"")</f>
        <v/>
      </c>
      <c r="AI141" s="54"/>
      <c r="AJ141" s="54"/>
      <c r="AK141" s="54"/>
      <c r="AL141" s="54"/>
      <c r="AM141" s="54"/>
    </row>
    <row r="142" spans="1:39">
      <c r="A142" s="95"/>
      <c r="B142" s="45" t="str" cm="1">
        <f t="array" ref="B142">IF(H142="PROJECT", CHAR(10) &amp; "- " &amp; _xlfn.TEXTJOIN(CHAR(10) &amp; "- ", TRUE, _xlfn._xlws.FILTER($I$9:$I$1000, ($C$9:$C$1000=C142) * ($H$9:$H$1000="Topic"))), "")</f>
        <v/>
      </c>
      <c r="C142" s="45">
        <f t="shared" si="34"/>
        <v>110</v>
      </c>
      <c r="D142" s="57"/>
      <c r="E142" s="58"/>
      <c r="F142" s="54"/>
      <c r="G142" s="52"/>
      <c r="H142" s="52"/>
      <c r="I142" s="61"/>
      <c r="J142" s="62"/>
      <c r="K142" s="120" t="str">
        <f t="shared" si="35"/>
        <v/>
      </c>
      <c r="L142" s="103" t="str">
        <f t="shared" si="36"/>
        <v/>
      </c>
      <c r="M142" s="52">
        <v>0</v>
      </c>
      <c r="N142" s="102" t="str">
        <f t="shared" si="37"/>
        <v/>
      </c>
      <c r="O142" s="103" t="str">
        <f t="shared" si="38"/>
        <v/>
      </c>
      <c r="P142" s="52">
        <v>0</v>
      </c>
      <c r="Q142" s="102" t="str">
        <f t="shared" si="39"/>
        <v/>
      </c>
      <c r="R142" s="103" t="str">
        <f t="shared" si="40"/>
        <v/>
      </c>
      <c r="S142" s="52">
        <v>0</v>
      </c>
      <c r="T142" s="102" t="str">
        <f t="shared" si="41"/>
        <v/>
      </c>
      <c r="U142" s="103" t="str">
        <f t="shared" si="42"/>
        <v/>
      </c>
      <c r="V142" s="52">
        <v>0</v>
      </c>
      <c r="W142" s="87" t="str">
        <f t="shared" si="43"/>
        <v/>
      </c>
      <c r="X142" s="103" t="str">
        <f t="shared" si="44"/>
        <v/>
      </c>
      <c r="Y142" s="52">
        <v>0</v>
      </c>
      <c r="Z142" s="56" t="str">
        <f t="shared" si="45"/>
        <v/>
      </c>
      <c r="AA142" s="56" t="str">
        <f t="shared" si="46"/>
        <v/>
      </c>
      <c r="AB142" s="56" t="str">
        <f t="shared" si="47"/>
        <v/>
      </c>
      <c r="AC142" s="56" t="str">
        <f t="shared" si="48"/>
        <v/>
      </c>
      <c r="AD142" s="56" t="str">
        <f t="shared" si="49"/>
        <v/>
      </c>
      <c r="AE142" s="40"/>
      <c r="AF142" s="40"/>
      <c r="AG142" s="40"/>
      <c r="AH142" s="56" t="str">
        <f t="shared" si="50"/>
        <v/>
      </c>
      <c r="AI142" s="54"/>
      <c r="AJ142" s="54"/>
      <c r="AK142" s="54"/>
      <c r="AL142" s="54"/>
      <c r="AM142" s="54"/>
    </row>
    <row r="143" spans="1:39">
      <c r="A143" s="95"/>
      <c r="B143" s="45" t="str" cm="1">
        <f t="array" ref="B143">IF(H143="PROJECT", CHAR(10) &amp; "- " &amp; _xlfn.TEXTJOIN(CHAR(10) &amp; "- ", TRUE, _xlfn._xlws.FILTER($I$9:$I$1000, ($C$9:$C$1000=C143) * ($H$9:$H$1000="Topic"))), "")</f>
        <v/>
      </c>
      <c r="C143" s="45">
        <f t="shared" si="34"/>
        <v>111</v>
      </c>
      <c r="D143" s="46"/>
      <c r="E143" s="58"/>
      <c r="F143" s="67"/>
      <c r="G143" s="53"/>
      <c r="H143" s="53"/>
      <c r="I143" s="50"/>
      <c r="J143" s="51"/>
      <c r="K143" s="120" t="str">
        <f t="shared" si="35"/>
        <v/>
      </c>
      <c r="L143" s="103" t="str">
        <f t="shared" si="36"/>
        <v/>
      </c>
      <c r="M143" s="53">
        <v>0</v>
      </c>
      <c r="N143" s="102" t="str">
        <f t="shared" si="37"/>
        <v/>
      </c>
      <c r="O143" s="103" t="str">
        <f t="shared" si="38"/>
        <v/>
      </c>
      <c r="P143" s="53">
        <v>0</v>
      </c>
      <c r="Q143" s="102" t="str">
        <f t="shared" si="39"/>
        <v/>
      </c>
      <c r="R143" s="103" t="str">
        <f t="shared" si="40"/>
        <v/>
      </c>
      <c r="S143" s="53">
        <v>0</v>
      </c>
      <c r="T143" s="102" t="str">
        <f t="shared" si="41"/>
        <v/>
      </c>
      <c r="U143" s="103" t="str">
        <f t="shared" si="42"/>
        <v/>
      </c>
      <c r="V143" s="53">
        <v>0</v>
      </c>
      <c r="W143" s="87" t="str">
        <f t="shared" si="43"/>
        <v/>
      </c>
      <c r="X143" s="103" t="str">
        <f t="shared" si="44"/>
        <v/>
      </c>
      <c r="Y143" s="53">
        <v>0</v>
      </c>
      <c r="Z143" s="56" t="str">
        <f t="shared" si="45"/>
        <v/>
      </c>
      <c r="AA143" s="56" t="str">
        <f t="shared" si="46"/>
        <v/>
      </c>
      <c r="AB143" s="56" t="str">
        <f t="shared" si="47"/>
        <v/>
      </c>
      <c r="AC143" s="56" t="str">
        <f t="shared" si="48"/>
        <v/>
      </c>
      <c r="AD143" s="56" t="str">
        <f t="shared" si="49"/>
        <v/>
      </c>
      <c r="AE143" s="40"/>
      <c r="AF143" s="40"/>
      <c r="AG143" s="40"/>
      <c r="AH143" s="56" t="str">
        <f t="shared" si="50"/>
        <v/>
      </c>
      <c r="AI143" s="54"/>
      <c r="AJ143" s="54"/>
      <c r="AK143" s="54"/>
      <c r="AL143" s="54"/>
      <c r="AM143" s="54"/>
    </row>
    <row r="144" spans="1:39">
      <c r="A144" s="95"/>
      <c r="B144" s="45" t="str" cm="1">
        <f t="array" ref="B144">IF(H144="PROJECT", CHAR(10) &amp; "- " &amp; _xlfn.TEXTJOIN(CHAR(10) &amp; "- ", TRUE, _xlfn._xlws.FILTER($I$9:$I$1000, ($C$9:$C$1000=C144) * ($H$9:$H$1000="Topic"))), "")</f>
        <v/>
      </c>
      <c r="C144" s="45">
        <f t="shared" si="34"/>
        <v>112</v>
      </c>
      <c r="D144" s="57"/>
      <c r="E144" s="58"/>
      <c r="F144" s="54"/>
      <c r="G144" s="52"/>
      <c r="H144" s="52"/>
      <c r="I144" s="61"/>
      <c r="J144" s="62"/>
      <c r="K144" s="120" t="str">
        <f t="shared" si="35"/>
        <v/>
      </c>
      <c r="L144" s="103" t="str">
        <f t="shared" si="36"/>
        <v/>
      </c>
      <c r="M144" s="52">
        <v>0</v>
      </c>
      <c r="N144" s="102" t="str">
        <f t="shared" si="37"/>
        <v/>
      </c>
      <c r="O144" s="103" t="str">
        <f t="shared" si="38"/>
        <v/>
      </c>
      <c r="P144" s="52">
        <v>0</v>
      </c>
      <c r="Q144" s="102" t="str">
        <f t="shared" si="39"/>
        <v/>
      </c>
      <c r="R144" s="103" t="str">
        <f t="shared" si="40"/>
        <v/>
      </c>
      <c r="S144" s="52">
        <v>0</v>
      </c>
      <c r="T144" s="102" t="str">
        <f t="shared" si="41"/>
        <v/>
      </c>
      <c r="U144" s="103" t="str">
        <f t="shared" si="42"/>
        <v/>
      </c>
      <c r="V144" s="52">
        <v>0</v>
      </c>
      <c r="W144" s="87" t="str">
        <f t="shared" si="43"/>
        <v/>
      </c>
      <c r="X144" s="103" t="str">
        <f t="shared" si="44"/>
        <v/>
      </c>
      <c r="Y144" s="52">
        <v>0</v>
      </c>
      <c r="Z144" s="56" t="str">
        <f t="shared" si="45"/>
        <v/>
      </c>
      <c r="AA144" s="56" t="str">
        <f t="shared" si="46"/>
        <v/>
      </c>
      <c r="AB144" s="56" t="str">
        <f t="shared" si="47"/>
        <v/>
      </c>
      <c r="AC144" s="56" t="str">
        <f t="shared" si="48"/>
        <v/>
      </c>
      <c r="AD144" s="56" t="str">
        <f t="shared" si="49"/>
        <v/>
      </c>
      <c r="AE144" s="40"/>
      <c r="AF144" s="40"/>
      <c r="AG144" s="40"/>
      <c r="AH144" s="56" t="str">
        <f t="shared" si="50"/>
        <v/>
      </c>
      <c r="AI144" s="54"/>
      <c r="AJ144" s="54"/>
      <c r="AK144" s="54"/>
      <c r="AL144" s="54"/>
      <c r="AM144" s="54"/>
    </row>
    <row r="145" spans="1:39">
      <c r="A145" s="95"/>
      <c r="B145" s="45" t="str" cm="1">
        <f t="array" ref="B145">IF(H145="PROJECT", CHAR(10) &amp; "- " &amp; _xlfn.TEXTJOIN(CHAR(10) &amp; "- ", TRUE, _xlfn._xlws.FILTER($I$9:$I$1000, ($C$9:$C$1000=C145) * ($H$9:$H$1000="Topic"))), "")</f>
        <v/>
      </c>
      <c r="C145" s="45">
        <f t="shared" si="34"/>
        <v>113</v>
      </c>
      <c r="D145" s="46"/>
      <c r="E145" s="58"/>
      <c r="F145" s="67"/>
      <c r="G145" s="53"/>
      <c r="H145" s="53"/>
      <c r="I145" s="50"/>
      <c r="J145" s="51"/>
      <c r="K145" s="120" t="str">
        <f t="shared" si="35"/>
        <v/>
      </c>
      <c r="L145" s="103" t="str">
        <f t="shared" si="36"/>
        <v/>
      </c>
      <c r="M145" s="53">
        <v>0</v>
      </c>
      <c r="N145" s="102" t="str">
        <f t="shared" si="37"/>
        <v/>
      </c>
      <c r="O145" s="103" t="str">
        <f t="shared" si="38"/>
        <v/>
      </c>
      <c r="P145" s="53">
        <v>0</v>
      </c>
      <c r="Q145" s="102" t="str">
        <f t="shared" si="39"/>
        <v/>
      </c>
      <c r="R145" s="103" t="str">
        <f t="shared" si="40"/>
        <v/>
      </c>
      <c r="S145" s="53">
        <v>0</v>
      </c>
      <c r="T145" s="102" t="str">
        <f t="shared" si="41"/>
        <v/>
      </c>
      <c r="U145" s="103" t="str">
        <f t="shared" si="42"/>
        <v/>
      </c>
      <c r="V145" s="53">
        <v>0</v>
      </c>
      <c r="W145" s="87" t="str">
        <f t="shared" si="43"/>
        <v/>
      </c>
      <c r="X145" s="103" t="str">
        <f t="shared" si="44"/>
        <v/>
      </c>
      <c r="Y145" s="53">
        <v>0</v>
      </c>
      <c r="Z145" s="56" t="str">
        <f t="shared" si="45"/>
        <v/>
      </c>
      <c r="AA145" s="56" t="str">
        <f t="shared" si="46"/>
        <v/>
      </c>
      <c r="AB145" s="56" t="str">
        <f t="shared" si="47"/>
        <v/>
      </c>
      <c r="AC145" s="56" t="str">
        <f t="shared" si="48"/>
        <v/>
      </c>
      <c r="AD145" s="56" t="str">
        <f t="shared" si="49"/>
        <v/>
      </c>
      <c r="AE145" s="40"/>
      <c r="AF145" s="40"/>
      <c r="AG145" s="40"/>
      <c r="AH145" s="56" t="str">
        <f t="shared" si="50"/>
        <v/>
      </c>
      <c r="AI145" s="54"/>
      <c r="AJ145" s="54"/>
      <c r="AK145" s="54"/>
      <c r="AL145" s="54"/>
      <c r="AM145" s="54"/>
    </row>
    <row r="146" spans="1:39">
      <c r="A146" s="95"/>
      <c r="B146" s="45" t="str" cm="1">
        <f t="array" ref="B146">IF(H146="PROJECT", CHAR(10) &amp; "- " &amp; _xlfn.TEXTJOIN(CHAR(10) &amp; "- ", TRUE, _xlfn._xlws.FILTER($I$9:$I$1000, ($C$9:$C$1000=C146) * ($H$9:$H$1000="Topic"))), "")</f>
        <v/>
      </c>
      <c r="C146" s="45">
        <f t="shared" si="34"/>
        <v>114</v>
      </c>
      <c r="D146" s="57"/>
      <c r="E146" s="58"/>
      <c r="F146" s="54"/>
      <c r="G146" s="52"/>
      <c r="H146" s="52"/>
      <c r="I146" s="61"/>
      <c r="J146" s="62"/>
      <c r="K146" s="120" t="str">
        <f t="shared" si="35"/>
        <v/>
      </c>
      <c r="L146" s="103" t="str">
        <f t="shared" si="36"/>
        <v/>
      </c>
      <c r="M146" s="52">
        <v>0</v>
      </c>
      <c r="N146" s="102" t="str">
        <f t="shared" si="37"/>
        <v/>
      </c>
      <c r="O146" s="103" t="str">
        <f t="shared" si="38"/>
        <v/>
      </c>
      <c r="P146" s="52">
        <v>0</v>
      </c>
      <c r="Q146" s="102" t="str">
        <f t="shared" si="39"/>
        <v/>
      </c>
      <c r="R146" s="103" t="str">
        <f t="shared" si="40"/>
        <v/>
      </c>
      <c r="S146" s="52">
        <v>0</v>
      </c>
      <c r="T146" s="102" t="str">
        <f t="shared" si="41"/>
        <v/>
      </c>
      <c r="U146" s="103" t="str">
        <f t="shared" si="42"/>
        <v/>
      </c>
      <c r="V146" s="52">
        <v>0</v>
      </c>
      <c r="W146" s="87" t="str">
        <f t="shared" si="43"/>
        <v/>
      </c>
      <c r="X146" s="103" t="str">
        <f t="shared" si="44"/>
        <v/>
      </c>
      <c r="Y146" s="52">
        <v>0</v>
      </c>
      <c r="Z146" s="56" t="str">
        <f t="shared" si="45"/>
        <v/>
      </c>
      <c r="AA146" s="56" t="str">
        <f t="shared" si="46"/>
        <v/>
      </c>
      <c r="AB146" s="56" t="str">
        <f t="shared" si="47"/>
        <v/>
      </c>
      <c r="AC146" s="56" t="str">
        <f t="shared" si="48"/>
        <v/>
      </c>
      <c r="AD146" s="56" t="str">
        <f t="shared" si="49"/>
        <v/>
      </c>
      <c r="AE146" s="40"/>
      <c r="AF146" s="40"/>
      <c r="AG146" s="40"/>
      <c r="AH146" s="56" t="str">
        <f t="shared" si="50"/>
        <v/>
      </c>
      <c r="AI146" s="54"/>
      <c r="AJ146" s="54"/>
      <c r="AK146" s="54"/>
      <c r="AL146" s="54"/>
      <c r="AM146" s="54"/>
    </row>
    <row r="147" spans="1:39">
      <c r="A147" s="95"/>
      <c r="B147" s="45" t="str" cm="1">
        <f t="array" ref="B147">IF(H147="PROJECT", CHAR(10) &amp; "- " &amp; _xlfn.TEXTJOIN(CHAR(10) &amp; "- ", TRUE, _xlfn._xlws.FILTER($I$9:$I$1000, ($C$9:$C$1000=C147) * ($H$9:$H$1000="Topic"))), "")</f>
        <v/>
      </c>
      <c r="C147" s="45">
        <f t="shared" si="34"/>
        <v>115</v>
      </c>
      <c r="D147" s="46"/>
      <c r="E147" s="58"/>
      <c r="F147" s="67"/>
      <c r="G147" s="53"/>
      <c r="H147" s="53"/>
      <c r="I147" s="50"/>
      <c r="J147" s="51"/>
      <c r="K147" s="120" t="str">
        <f t="shared" si="35"/>
        <v/>
      </c>
      <c r="L147" s="103" t="str">
        <f t="shared" si="36"/>
        <v/>
      </c>
      <c r="M147" s="53">
        <v>0</v>
      </c>
      <c r="N147" s="102" t="str">
        <f t="shared" si="37"/>
        <v/>
      </c>
      <c r="O147" s="103" t="str">
        <f t="shared" si="38"/>
        <v/>
      </c>
      <c r="P147" s="53">
        <v>0</v>
      </c>
      <c r="Q147" s="102" t="str">
        <f t="shared" si="39"/>
        <v/>
      </c>
      <c r="R147" s="103" t="str">
        <f t="shared" si="40"/>
        <v/>
      </c>
      <c r="S147" s="53">
        <v>0</v>
      </c>
      <c r="T147" s="102" t="str">
        <f t="shared" si="41"/>
        <v/>
      </c>
      <c r="U147" s="103" t="str">
        <f t="shared" si="42"/>
        <v/>
      </c>
      <c r="V147" s="53">
        <v>0</v>
      </c>
      <c r="W147" s="87" t="str">
        <f t="shared" si="43"/>
        <v/>
      </c>
      <c r="X147" s="103" t="str">
        <f t="shared" si="44"/>
        <v/>
      </c>
      <c r="Y147" s="53">
        <v>0</v>
      </c>
      <c r="Z147" s="56" t="str">
        <f t="shared" si="45"/>
        <v/>
      </c>
      <c r="AA147" s="56" t="str">
        <f t="shared" si="46"/>
        <v/>
      </c>
      <c r="AB147" s="56" t="str">
        <f t="shared" si="47"/>
        <v/>
      </c>
      <c r="AC147" s="56" t="str">
        <f t="shared" si="48"/>
        <v/>
      </c>
      <c r="AD147" s="56" t="str">
        <f t="shared" si="49"/>
        <v/>
      </c>
      <c r="AE147" s="40"/>
      <c r="AF147" s="40"/>
      <c r="AG147" s="40"/>
      <c r="AH147" s="56" t="str">
        <f t="shared" si="50"/>
        <v/>
      </c>
      <c r="AI147" s="54"/>
      <c r="AJ147" s="54"/>
      <c r="AK147" s="54"/>
      <c r="AL147" s="54"/>
      <c r="AM147" s="54"/>
    </row>
    <row r="148" spans="1:39">
      <c r="A148" s="95"/>
      <c r="B148" s="45" t="str" cm="1">
        <f t="array" ref="B148">IF(H148="PROJECT", CHAR(10) &amp; "- " &amp; _xlfn.TEXTJOIN(CHAR(10) &amp; "- ", TRUE, _xlfn._xlws.FILTER($I$9:$I$1000, ($C$9:$C$1000=C148) * ($H$9:$H$1000="Topic"))), "")</f>
        <v/>
      </c>
      <c r="C148" s="45">
        <f t="shared" si="34"/>
        <v>116</v>
      </c>
      <c r="D148" s="57"/>
      <c r="E148" s="58"/>
      <c r="F148" s="54"/>
      <c r="G148" s="52"/>
      <c r="H148" s="52"/>
      <c r="I148" s="61"/>
      <c r="J148" s="62"/>
      <c r="K148" s="120" t="str">
        <f t="shared" si="35"/>
        <v/>
      </c>
      <c r="L148" s="103" t="str">
        <f t="shared" si="36"/>
        <v/>
      </c>
      <c r="M148" s="52">
        <v>0</v>
      </c>
      <c r="N148" s="102" t="str">
        <f t="shared" si="37"/>
        <v/>
      </c>
      <c r="O148" s="103" t="str">
        <f t="shared" si="38"/>
        <v/>
      </c>
      <c r="P148" s="52">
        <v>0</v>
      </c>
      <c r="Q148" s="102" t="str">
        <f t="shared" si="39"/>
        <v/>
      </c>
      <c r="R148" s="103" t="str">
        <f t="shared" si="40"/>
        <v/>
      </c>
      <c r="S148" s="52">
        <v>0</v>
      </c>
      <c r="T148" s="102" t="str">
        <f t="shared" si="41"/>
        <v/>
      </c>
      <c r="U148" s="103" t="str">
        <f t="shared" si="42"/>
        <v/>
      </c>
      <c r="V148" s="52">
        <v>0</v>
      </c>
      <c r="W148" s="87" t="str">
        <f t="shared" si="43"/>
        <v/>
      </c>
      <c r="X148" s="103" t="str">
        <f t="shared" si="44"/>
        <v/>
      </c>
      <c r="Y148" s="52">
        <v>0</v>
      </c>
      <c r="Z148" s="56" t="str">
        <f t="shared" si="45"/>
        <v/>
      </c>
      <c r="AA148" s="56" t="str">
        <f t="shared" si="46"/>
        <v/>
      </c>
      <c r="AB148" s="56" t="str">
        <f t="shared" si="47"/>
        <v/>
      </c>
      <c r="AC148" s="56" t="str">
        <f t="shared" si="48"/>
        <v/>
      </c>
      <c r="AD148" s="56" t="str">
        <f t="shared" si="49"/>
        <v/>
      </c>
      <c r="AE148" s="40"/>
      <c r="AF148" s="40"/>
      <c r="AG148" s="40"/>
      <c r="AH148" s="56" t="str">
        <f t="shared" si="50"/>
        <v/>
      </c>
      <c r="AI148" s="54"/>
      <c r="AJ148" s="54"/>
      <c r="AK148" s="54"/>
      <c r="AL148" s="54"/>
      <c r="AM148" s="54"/>
    </row>
    <row r="149" spans="1:39">
      <c r="A149" s="95"/>
      <c r="B149" s="45" t="str" cm="1">
        <f t="array" ref="B149">IF(H149="PROJECT", CHAR(10) &amp; "- " &amp; _xlfn.TEXTJOIN(CHAR(10) &amp; "- ", TRUE, _xlfn._xlws.FILTER($I$9:$I$1000, ($C$9:$C$1000=C149) * ($H$9:$H$1000="Topic"))), "")</f>
        <v/>
      </c>
      <c r="C149" s="45">
        <f t="shared" si="34"/>
        <v>117</v>
      </c>
      <c r="D149" s="46"/>
      <c r="E149" s="58"/>
      <c r="F149" s="67"/>
      <c r="G149" s="53"/>
      <c r="H149" s="53"/>
      <c r="I149" s="50"/>
      <c r="J149" s="51"/>
      <c r="K149" s="120" t="str">
        <f t="shared" si="35"/>
        <v/>
      </c>
      <c r="L149" s="103" t="str">
        <f t="shared" si="36"/>
        <v/>
      </c>
      <c r="M149" s="53">
        <v>0</v>
      </c>
      <c r="N149" s="102" t="str">
        <f t="shared" si="37"/>
        <v/>
      </c>
      <c r="O149" s="103" t="str">
        <f t="shared" si="38"/>
        <v/>
      </c>
      <c r="P149" s="53">
        <v>0</v>
      </c>
      <c r="Q149" s="102" t="str">
        <f t="shared" si="39"/>
        <v/>
      </c>
      <c r="R149" s="103" t="str">
        <f t="shared" si="40"/>
        <v/>
      </c>
      <c r="S149" s="53">
        <v>0</v>
      </c>
      <c r="T149" s="102" t="str">
        <f t="shared" si="41"/>
        <v/>
      </c>
      <c r="U149" s="103" t="str">
        <f t="shared" si="42"/>
        <v/>
      </c>
      <c r="V149" s="53">
        <v>0</v>
      </c>
      <c r="W149" s="87" t="str">
        <f t="shared" si="43"/>
        <v/>
      </c>
      <c r="X149" s="103" t="str">
        <f t="shared" si="44"/>
        <v/>
      </c>
      <c r="Y149" s="53">
        <v>0</v>
      </c>
      <c r="Z149" s="56" t="str">
        <f t="shared" si="45"/>
        <v/>
      </c>
      <c r="AA149" s="56" t="str">
        <f t="shared" si="46"/>
        <v/>
      </c>
      <c r="AB149" s="56" t="str">
        <f t="shared" si="47"/>
        <v/>
      </c>
      <c r="AC149" s="56" t="str">
        <f t="shared" si="48"/>
        <v/>
      </c>
      <c r="AD149" s="56" t="str">
        <f t="shared" si="49"/>
        <v/>
      </c>
      <c r="AE149" s="40"/>
      <c r="AF149" s="40"/>
      <c r="AG149" s="40"/>
      <c r="AH149" s="56" t="str">
        <f t="shared" si="50"/>
        <v/>
      </c>
      <c r="AI149" s="54"/>
      <c r="AJ149" s="54"/>
      <c r="AK149" s="54"/>
      <c r="AL149" s="54"/>
      <c r="AM149" s="54"/>
    </row>
    <row r="150" spans="1:39">
      <c r="A150" s="95"/>
      <c r="B150" s="45" t="str" cm="1">
        <f t="array" ref="B150">IF(H150="PROJECT", CHAR(10) &amp; "- " &amp; _xlfn.TEXTJOIN(CHAR(10) &amp; "- ", TRUE, _xlfn._xlws.FILTER($I$9:$I$1000, ($C$9:$C$1000=C150) * ($H$9:$H$1000="Topic"))), "")</f>
        <v/>
      </c>
      <c r="C150" s="45">
        <f t="shared" si="34"/>
        <v>118</v>
      </c>
      <c r="D150" s="57"/>
      <c r="E150" s="58"/>
      <c r="F150" s="54"/>
      <c r="G150" s="52"/>
      <c r="H150" s="52"/>
      <c r="I150" s="61"/>
      <c r="J150" s="62"/>
      <c r="K150" s="120" t="str">
        <f t="shared" si="35"/>
        <v/>
      </c>
      <c r="L150" s="103" t="str">
        <f t="shared" si="36"/>
        <v/>
      </c>
      <c r="M150" s="52">
        <v>0</v>
      </c>
      <c r="N150" s="102" t="str">
        <f t="shared" si="37"/>
        <v/>
      </c>
      <c r="O150" s="103" t="str">
        <f t="shared" si="38"/>
        <v/>
      </c>
      <c r="P150" s="52">
        <v>0</v>
      </c>
      <c r="Q150" s="102" t="str">
        <f t="shared" si="39"/>
        <v/>
      </c>
      <c r="R150" s="103" t="str">
        <f t="shared" si="40"/>
        <v/>
      </c>
      <c r="S150" s="52">
        <v>0</v>
      </c>
      <c r="T150" s="102" t="str">
        <f t="shared" si="41"/>
        <v/>
      </c>
      <c r="U150" s="103" t="str">
        <f t="shared" si="42"/>
        <v/>
      </c>
      <c r="V150" s="52">
        <v>0</v>
      </c>
      <c r="W150" s="87" t="str">
        <f t="shared" si="43"/>
        <v/>
      </c>
      <c r="X150" s="103" t="str">
        <f t="shared" si="44"/>
        <v/>
      </c>
      <c r="Y150" s="52">
        <v>0</v>
      </c>
      <c r="Z150" s="56" t="str">
        <f t="shared" si="45"/>
        <v/>
      </c>
      <c r="AA150" s="56" t="str">
        <f t="shared" si="46"/>
        <v/>
      </c>
      <c r="AB150" s="56" t="str">
        <f t="shared" si="47"/>
        <v/>
      </c>
      <c r="AC150" s="56" t="str">
        <f t="shared" si="48"/>
        <v/>
      </c>
      <c r="AD150" s="56" t="str">
        <f t="shared" si="49"/>
        <v/>
      </c>
      <c r="AE150" s="40"/>
      <c r="AF150" s="40"/>
      <c r="AG150" s="40"/>
      <c r="AH150" s="56" t="str">
        <f t="shared" si="50"/>
        <v/>
      </c>
      <c r="AI150" s="54"/>
      <c r="AJ150" s="54"/>
      <c r="AK150" s="54"/>
      <c r="AL150" s="54"/>
      <c r="AM150" s="54"/>
    </row>
    <row r="151" spans="1:39">
      <c r="A151" s="95"/>
      <c r="B151" s="45" t="str" cm="1">
        <f t="array" ref="B151">IF(H151="PROJECT", CHAR(10) &amp; "- " &amp; _xlfn.TEXTJOIN(CHAR(10) &amp; "- ", TRUE, _xlfn._xlws.FILTER($I$9:$I$1000, ($C$9:$C$1000=C151) * ($H$9:$H$1000="Topic"))), "")</f>
        <v/>
      </c>
      <c r="C151" s="45">
        <f t="shared" si="34"/>
        <v>119</v>
      </c>
      <c r="D151" s="46"/>
      <c r="E151" s="58"/>
      <c r="F151" s="67"/>
      <c r="G151" s="53"/>
      <c r="H151" s="53"/>
      <c r="I151" s="50"/>
      <c r="J151" s="51"/>
      <c r="K151" s="120" t="str">
        <f t="shared" si="35"/>
        <v/>
      </c>
      <c r="L151" s="103" t="str">
        <f t="shared" si="36"/>
        <v/>
      </c>
      <c r="M151" s="53">
        <v>0</v>
      </c>
      <c r="N151" s="102" t="str">
        <f t="shared" si="37"/>
        <v/>
      </c>
      <c r="O151" s="103" t="str">
        <f t="shared" si="38"/>
        <v/>
      </c>
      <c r="P151" s="53">
        <v>0</v>
      </c>
      <c r="Q151" s="102" t="str">
        <f t="shared" si="39"/>
        <v/>
      </c>
      <c r="R151" s="103" t="str">
        <f t="shared" si="40"/>
        <v/>
      </c>
      <c r="S151" s="53">
        <v>0</v>
      </c>
      <c r="T151" s="102" t="str">
        <f t="shared" si="41"/>
        <v/>
      </c>
      <c r="U151" s="103" t="str">
        <f t="shared" si="42"/>
        <v/>
      </c>
      <c r="V151" s="53">
        <v>0</v>
      </c>
      <c r="W151" s="87" t="str">
        <f t="shared" si="43"/>
        <v/>
      </c>
      <c r="X151" s="103" t="str">
        <f t="shared" si="44"/>
        <v/>
      </c>
      <c r="Y151" s="53">
        <v>0</v>
      </c>
      <c r="Z151" s="56" t="str">
        <f t="shared" si="45"/>
        <v/>
      </c>
      <c r="AA151" s="56" t="str">
        <f t="shared" si="46"/>
        <v/>
      </c>
      <c r="AB151" s="56" t="str">
        <f t="shared" si="47"/>
        <v/>
      </c>
      <c r="AC151" s="56" t="str">
        <f t="shared" si="48"/>
        <v/>
      </c>
      <c r="AD151" s="56" t="str">
        <f t="shared" si="49"/>
        <v/>
      </c>
      <c r="AE151" s="40"/>
      <c r="AF151" s="40"/>
      <c r="AG151" s="40"/>
      <c r="AH151" s="56" t="str">
        <f t="shared" si="50"/>
        <v/>
      </c>
      <c r="AI151" s="54"/>
      <c r="AJ151" s="54"/>
      <c r="AK151" s="54"/>
      <c r="AL151" s="54"/>
      <c r="AM151" s="54"/>
    </row>
    <row r="152" spans="1:39">
      <c r="A152" s="95"/>
      <c r="B152" s="45" t="str" cm="1">
        <f t="array" ref="B152">IF(H152="PROJECT", CHAR(10) &amp; "- " &amp; _xlfn.TEXTJOIN(CHAR(10) &amp; "- ", TRUE, _xlfn._xlws.FILTER($I$9:$I$1000, ($C$9:$C$1000=C152) * ($H$9:$H$1000="Topic"))), "")</f>
        <v/>
      </c>
      <c r="C152" s="45">
        <f t="shared" si="34"/>
        <v>120</v>
      </c>
      <c r="D152" s="57"/>
      <c r="E152" s="58"/>
      <c r="F152" s="54"/>
      <c r="G152" s="52"/>
      <c r="H152" s="52"/>
      <c r="I152" s="61"/>
      <c r="J152" s="62"/>
      <c r="K152" s="120" t="str">
        <f t="shared" si="35"/>
        <v/>
      </c>
      <c r="L152" s="103" t="str">
        <f t="shared" si="36"/>
        <v/>
      </c>
      <c r="M152" s="52">
        <v>0</v>
      </c>
      <c r="N152" s="102" t="str">
        <f t="shared" si="37"/>
        <v/>
      </c>
      <c r="O152" s="103" t="str">
        <f t="shared" si="38"/>
        <v/>
      </c>
      <c r="P152" s="52">
        <v>0</v>
      </c>
      <c r="Q152" s="102" t="str">
        <f t="shared" si="39"/>
        <v/>
      </c>
      <c r="R152" s="103" t="str">
        <f t="shared" si="40"/>
        <v/>
      </c>
      <c r="S152" s="52">
        <v>0</v>
      </c>
      <c r="T152" s="102" t="str">
        <f t="shared" si="41"/>
        <v/>
      </c>
      <c r="U152" s="103" t="str">
        <f t="shared" si="42"/>
        <v/>
      </c>
      <c r="V152" s="52">
        <v>0</v>
      </c>
      <c r="W152" s="87" t="str">
        <f t="shared" si="43"/>
        <v/>
      </c>
      <c r="X152" s="103" t="str">
        <f t="shared" si="44"/>
        <v/>
      </c>
      <c r="Y152" s="52">
        <v>0</v>
      </c>
      <c r="Z152" s="56" t="str">
        <f t="shared" si="45"/>
        <v/>
      </c>
      <c r="AA152" s="56" t="str">
        <f t="shared" si="46"/>
        <v/>
      </c>
      <c r="AB152" s="56" t="str">
        <f t="shared" si="47"/>
        <v/>
      </c>
      <c r="AC152" s="56" t="str">
        <f t="shared" si="48"/>
        <v/>
      </c>
      <c r="AD152" s="56" t="str">
        <f t="shared" si="49"/>
        <v/>
      </c>
      <c r="AE152" s="40"/>
      <c r="AF152" s="40"/>
      <c r="AG152" s="40"/>
      <c r="AH152" s="56" t="str">
        <f t="shared" si="50"/>
        <v/>
      </c>
      <c r="AI152" s="54"/>
      <c r="AJ152" s="54"/>
      <c r="AK152" s="54"/>
      <c r="AL152" s="54"/>
      <c r="AM152" s="54"/>
    </row>
    <row r="153" spans="1:39">
      <c r="A153" s="95"/>
      <c r="B153" s="45" t="str" cm="1">
        <f t="array" ref="B153">IF(H153="PROJECT", CHAR(10) &amp; "- " &amp; _xlfn.TEXTJOIN(CHAR(10) &amp; "- ", TRUE, _xlfn._xlws.FILTER($I$9:$I$1000, ($C$9:$C$1000=C153) * ($H$9:$H$1000="Topic"))), "")</f>
        <v/>
      </c>
      <c r="C153" s="45">
        <f t="shared" si="34"/>
        <v>121</v>
      </c>
      <c r="D153" s="46"/>
      <c r="E153" s="58"/>
      <c r="F153" s="67"/>
      <c r="G153" s="53"/>
      <c r="H153" s="53"/>
      <c r="I153" s="50"/>
      <c r="J153" s="51"/>
      <c r="K153" s="120" t="str">
        <f t="shared" si="35"/>
        <v/>
      </c>
      <c r="L153" s="103" t="str">
        <f t="shared" si="36"/>
        <v/>
      </c>
      <c r="M153" s="53">
        <v>0</v>
      </c>
      <c r="N153" s="102" t="str">
        <f t="shared" si="37"/>
        <v/>
      </c>
      <c r="O153" s="103" t="str">
        <f t="shared" si="38"/>
        <v/>
      </c>
      <c r="P153" s="53">
        <v>0</v>
      </c>
      <c r="Q153" s="102" t="str">
        <f t="shared" si="39"/>
        <v/>
      </c>
      <c r="R153" s="103" t="str">
        <f t="shared" si="40"/>
        <v/>
      </c>
      <c r="S153" s="53">
        <v>0</v>
      </c>
      <c r="T153" s="102" t="str">
        <f t="shared" si="41"/>
        <v/>
      </c>
      <c r="U153" s="103" t="str">
        <f t="shared" si="42"/>
        <v/>
      </c>
      <c r="V153" s="53">
        <v>0</v>
      </c>
      <c r="W153" s="87" t="str">
        <f t="shared" si="43"/>
        <v/>
      </c>
      <c r="X153" s="103" t="str">
        <f t="shared" si="44"/>
        <v/>
      </c>
      <c r="Y153" s="53">
        <v>0</v>
      </c>
      <c r="Z153" s="56" t="str">
        <f t="shared" si="45"/>
        <v/>
      </c>
      <c r="AA153" s="56" t="str">
        <f t="shared" si="46"/>
        <v/>
      </c>
      <c r="AB153" s="56" t="str">
        <f t="shared" si="47"/>
        <v/>
      </c>
      <c r="AC153" s="56" t="str">
        <f t="shared" si="48"/>
        <v/>
      </c>
      <c r="AD153" s="56" t="str">
        <f t="shared" si="49"/>
        <v/>
      </c>
      <c r="AE153" s="40"/>
      <c r="AF153" s="40"/>
      <c r="AG153" s="40"/>
      <c r="AH153" s="56" t="str">
        <f t="shared" si="50"/>
        <v/>
      </c>
      <c r="AI153" s="54"/>
      <c r="AJ153" s="54"/>
      <c r="AK153" s="54"/>
      <c r="AL153" s="54"/>
      <c r="AM153" s="54"/>
    </row>
    <row r="154" spans="1:39">
      <c r="A154" s="95"/>
      <c r="B154" s="45" t="str" cm="1">
        <f t="array" ref="B154">IF(H154="PROJECT", CHAR(10) &amp; "- " &amp; _xlfn.TEXTJOIN(CHAR(10) &amp; "- ", TRUE, _xlfn._xlws.FILTER($I$9:$I$1000, ($C$9:$C$1000=C154) * ($H$9:$H$1000="Topic"))), "")</f>
        <v/>
      </c>
      <c r="C154" s="45">
        <f t="shared" si="34"/>
        <v>122</v>
      </c>
      <c r="D154" s="57"/>
      <c r="E154" s="58"/>
      <c r="F154" s="54"/>
      <c r="G154" s="52"/>
      <c r="H154" s="52"/>
      <c r="I154" s="61"/>
      <c r="J154" s="62"/>
      <c r="K154" s="120" t="str">
        <f t="shared" si="35"/>
        <v/>
      </c>
      <c r="L154" s="103" t="str">
        <f t="shared" si="36"/>
        <v/>
      </c>
      <c r="M154" s="52">
        <v>0</v>
      </c>
      <c r="N154" s="102" t="str">
        <f t="shared" si="37"/>
        <v/>
      </c>
      <c r="O154" s="103" t="str">
        <f t="shared" si="38"/>
        <v/>
      </c>
      <c r="P154" s="52">
        <v>0</v>
      </c>
      <c r="Q154" s="102" t="str">
        <f t="shared" si="39"/>
        <v/>
      </c>
      <c r="R154" s="103" t="str">
        <f t="shared" si="40"/>
        <v/>
      </c>
      <c r="S154" s="52">
        <v>0</v>
      </c>
      <c r="T154" s="102" t="str">
        <f t="shared" si="41"/>
        <v/>
      </c>
      <c r="U154" s="103" t="str">
        <f t="shared" si="42"/>
        <v/>
      </c>
      <c r="V154" s="52">
        <v>0</v>
      </c>
      <c r="W154" s="87" t="str">
        <f t="shared" si="43"/>
        <v/>
      </c>
      <c r="X154" s="103" t="str">
        <f t="shared" si="44"/>
        <v/>
      </c>
      <c r="Y154" s="52">
        <v>0</v>
      </c>
      <c r="Z154" s="56" t="str">
        <f t="shared" si="45"/>
        <v/>
      </c>
      <c r="AA154" s="56" t="str">
        <f t="shared" si="46"/>
        <v/>
      </c>
      <c r="AB154" s="56" t="str">
        <f t="shared" si="47"/>
        <v/>
      </c>
      <c r="AC154" s="56" t="str">
        <f t="shared" si="48"/>
        <v/>
      </c>
      <c r="AD154" s="56" t="str">
        <f t="shared" si="49"/>
        <v/>
      </c>
      <c r="AE154" s="40"/>
      <c r="AF154" s="40"/>
      <c r="AG154" s="40"/>
      <c r="AH154" s="56" t="str">
        <f t="shared" si="50"/>
        <v/>
      </c>
      <c r="AI154" s="54"/>
      <c r="AJ154" s="54"/>
      <c r="AK154" s="54"/>
      <c r="AL154" s="54"/>
      <c r="AM154" s="54"/>
    </row>
    <row r="155" spans="1:39">
      <c r="A155" s="95"/>
      <c r="B155" s="45" t="str" cm="1">
        <f t="array" ref="B155">IF(H155="PROJECT", CHAR(10) &amp; "- " &amp; _xlfn.TEXTJOIN(CHAR(10) &amp; "- ", TRUE, _xlfn._xlws.FILTER($I$9:$I$1000, ($C$9:$C$1000=C155) * ($H$9:$H$1000="Topic"))), "")</f>
        <v/>
      </c>
      <c r="C155" s="45">
        <f t="shared" si="34"/>
        <v>123</v>
      </c>
      <c r="D155" s="46"/>
      <c r="E155" s="58"/>
      <c r="F155" s="67"/>
      <c r="G155" s="53"/>
      <c r="H155" s="53"/>
      <c r="I155" s="50"/>
      <c r="J155" s="51"/>
      <c r="K155" s="120" t="str">
        <f t="shared" si="35"/>
        <v/>
      </c>
      <c r="L155" s="103" t="str">
        <f t="shared" si="36"/>
        <v/>
      </c>
      <c r="M155" s="53">
        <v>0</v>
      </c>
      <c r="N155" s="102" t="str">
        <f t="shared" si="37"/>
        <v/>
      </c>
      <c r="O155" s="103" t="str">
        <f t="shared" si="38"/>
        <v/>
      </c>
      <c r="P155" s="53">
        <v>0</v>
      </c>
      <c r="Q155" s="102" t="str">
        <f t="shared" si="39"/>
        <v/>
      </c>
      <c r="R155" s="103" t="str">
        <f t="shared" si="40"/>
        <v/>
      </c>
      <c r="S155" s="53">
        <v>0</v>
      </c>
      <c r="T155" s="102" t="str">
        <f t="shared" si="41"/>
        <v/>
      </c>
      <c r="U155" s="103" t="str">
        <f t="shared" si="42"/>
        <v/>
      </c>
      <c r="V155" s="53">
        <v>0</v>
      </c>
      <c r="W155" s="87" t="str">
        <f t="shared" si="43"/>
        <v/>
      </c>
      <c r="X155" s="103" t="str">
        <f t="shared" si="44"/>
        <v/>
      </c>
      <c r="Y155" s="53">
        <v>0</v>
      </c>
      <c r="Z155" s="56" t="str">
        <f t="shared" si="45"/>
        <v/>
      </c>
      <c r="AA155" s="56" t="str">
        <f t="shared" si="46"/>
        <v/>
      </c>
      <c r="AB155" s="56" t="str">
        <f t="shared" si="47"/>
        <v/>
      </c>
      <c r="AC155" s="56" t="str">
        <f t="shared" si="48"/>
        <v/>
      </c>
      <c r="AD155" s="56" t="str">
        <f t="shared" si="49"/>
        <v/>
      </c>
      <c r="AE155" s="40"/>
      <c r="AF155" s="40"/>
      <c r="AG155" s="40"/>
      <c r="AH155" s="56" t="str">
        <f t="shared" si="50"/>
        <v/>
      </c>
      <c r="AI155" s="54"/>
      <c r="AJ155" s="54"/>
      <c r="AK155" s="54"/>
      <c r="AL155" s="54"/>
      <c r="AM155" s="54"/>
    </row>
    <row r="156" spans="1:39">
      <c r="A156" s="95"/>
      <c r="B156" s="45" t="str" cm="1">
        <f t="array" ref="B156">IF(H156="PROJECT", CHAR(10) &amp; "- " &amp; _xlfn.TEXTJOIN(CHAR(10) &amp; "- ", TRUE, _xlfn._xlws.FILTER($I$9:$I$1000, ($C$9:$C$1000=C156) * ($H$9:$H$1000="Topic"))), "")</f>
        <v/>
      </c>
      <c r="C156" s="45">
        <f t="shared" si="34"/>
        <v>124</v>
      </c>
      <c r="D156" s="57"/>
      <c r="E156" s="58"/>
      <c r="F156" s="54"/>
      <c r="G156" s="52"/>
      <c r="H156" s="52"/>
      <c r="I156" s="61"/>
      <c r="J156" s="62"/>
      <c r="K156" s="120" t="str">
        <f t="shared" si="35"/>
        <v/>
      </c>
      <c r="L156" s="103" t="str">
        <f t="shared" si="36"/>
        <v/>
      </c>
      <c r="M156" s="52">
        <v>0</v>
      </c>
      <c r="N156" s="102" t="str">
        <f t="shared" si="37"/>
        <v/>
      </c>
      <c r="O156" s="103" t="str">
        <f t="shared" si="38"/>
        <v/>
      </c>
      <c r="P156" s="52">
        <v>0</v>
      </c>
      <c r="Q156" s="102" t="str">
        <f t="shared" si="39"/>
        <v/>
      </c>
      <c r="R156" s="103" t="str">
        <f t="shared" si="40"/>
        <v/>
      </c>
      <c r="S156" s="52">
        <v>0</v>
      </c>
      <c r="T156" s="102" t="str">
        <f t="shared" si="41"/>
        <v/>
      </c>
      <c r="U156" s="103" t="str">
        <f t="shared" si="42"/>
        <v/>
      </c>
      <c r="V156" s="52">
        <v>0</v>
      </c>
      <c r="W156" s="87" t="str">
        <f t="shared" si="43"/>
        <v/>
      </c>
      <c r="X156" s="103" t="str">
        <f t="shared" si="44"/>
        <v/>
      </c>
      <c r="Y156" s="52">
        <v>0</v>
      </c>
      <c r="Z156" s="56" t="str">
        <f t="shared" si="45"/>
        <v/>
      </c>
      <c r="AA156" s="56" t="str">
        <f t="shared" si="46"/>
        <v/>
      </c>
      <c r="AB156" s="56" t="str">
        <f t="shared" si="47"/>
        <v/>
      </c>
      <c r="AC156" s="56" t="str">
        <f t="shared" si="48"/>
        <v/>
      </c>
      <c r="AD156" s="56" t="str">
        <f t="shared" si="49"/>
        <v/>
      </c>
      <c r="AE156" s="40"/>
      <c r="AF156" s="40"/>
      <c r="AG156" s="40"/>
      <c r="AH156" s="56" t="str">
        <f t="shared" si="50"/>
        <v/>
      </c>
      <c r="AI156" s="54"/>
      <c r="AJ156" s="54"/>
      <c r="AK156" s="54"/>
      <c r="AL156" s="54"/>
      <c r="AM156" s="54"/>
    </row>
    <row r="157" spans="1:39">
      <c r="A157" s="95"/>
      <c r="B157" s="45" t="str" cm="1">
        <f t="array" ref="B157">IF(H157="PROJECT", CHAR(10) &amp; "- " &amp; _xlfn.TEXTJOIN(CHAR(10) &amp; "- ", TRUE, _xlfn._xlws.FILTER($I$9:$I$1000, ($C$9:$C$1000=C157) * ($H$9:$H$1000="Topic"))), "")</f>
        <v/>
      </c>
      <c r="C157" s="45">
        <f t="shared" si="34"/>
        <v>125</v>
      </c>
      <c r="D157" s="46"/>
      <c r="E157" s="58"/>
      <c r="F157" s="67"/>
      <c r="G157" s="53"/>
      <c r="H157" s="53"/>
      <c r="I157" s="50"/>
      <c r="J157" s="51"/>
      <c r="K157" s="120" t="str">
        <f t="shared" si="35"/>
        <v/>
      </c>
      <c r="L157" s="103" t="str">
        <f t="shared" si="36"/>
        <v/>
      </c>
      <c r="M157" s="53">
        <v>0</v>
      </c>
      <c r="N157" s="102" t="str">
        <f t="shared" si="37"/>
        <v/>
      </c>
      <c r="O157" s="103" t="str">
        <f t="shared" si="38"/>
        <v/>
      </c>
      <c r="P157" s="53">
        <v>0</v>
      </c>
      <c r="Q157" s="102" t="str">
        <f t="shared" si="39"/>
        <v/>
      </c>
      <c r="R157" s="103" t="str">
        <f t="shared" si="40"/>
        <v/>
      </c>
      <c r="S157" s="53">
        <v>0</v>
      </c>
      <c r="T157" s="102" t="str">
        <f t="shared" si="41"/>
        <v/>
      </c>
      <c r="U157" s="103" t="str">
        <f t="shared" si="42"/>
        <v/>
      </c>
      <c r="V157" s="53">
        <v>0</v>
      </c>
      <c r="W157" s="87" t="str">
        <f t="shared" si="43"/>
        <v/>
      </c>
      <c r="X157" s="103" t="str">
        <f t="shared" si="44"/>
        <v/>
      </c>
      <c r="Y157" s="53">
        <v>0</v>
      </c>
      <c r="Z157" s="56" t="str">
        <f t="shared" si="45"/>
        <v/>
      </c>
      <c r="AA157" s="56" t="str">
        <f t="shared" si="46"/>
        <v/>
      </c>
      <c r="AB157" s="56" t="str">
        <f t="shared" si="47"/>
        <v/>
      </c>
      <c r="AC157" s="56" t="str">
        <f t="shared" si="48"/>
        <v/>
      </c>
      <c r="AD157" s="56" t="str">
        <f t="shared" si="49"/>
        <v/>
      </c>
      <c r="AE157" s="40"/>
      <c r="AF157" s="40"/>
      <c r="AG157" s="40"/>
      <c r="AH157" s="56" t="str">
        <f t="shared" si="50"/>
        <v/>
      </c>
      <c r="AI157" s="54"/>
      <c r="AJ157" s="54"/>
      <c r="AK157" s="54"/>
      <c r="AL157" s="54"/>
      <c r="AM157" s="54"/>
    </row>
    <row r="158" spans="1:39">
      <c r="A158" s="95"/>
      <c r="B158" s="45" t="str" cm="1">
        <f t="array" ref="B158">IF(H158="PROJECT", CHAR(10) &amp; "- " &amp; _xlfn.TEXTJOIN(CHAR(10) &amp; "- ", TRUE, _xlfn._xlws.FILTER($I$9:$I$1000, ($C$9:$C$1000=C158) * ($H$9:$H$1000="Topic"))), "")</f>
        <v/>
      </c>
      <c r="C158" s="45">
        <f t="shared" si="34"/>
        <v>126</v>
      </c>
      <c r="D158" s="57"/>
      <c r="E158" s="58"/>
      <c r="F158" s="54"/>
      <c r="G158" s="52"/>
      <c r="H158" s="52"/>
      <c r="I158" s="61"/>
      <c r="J158" s="62"/>
      <c r="K158" s="120" t="str">
        <f t="shared" si="35"/>
        <v/>
      </c>
      <c r="L158" s="103" t="str">
        <f t="shared" si="36"/>
        <v/>
      </c>
      <c r="M158" s="52">
        <v>0</v>
      </c>
      <c r="N158" s="102" t="str">
        <f t="shared" si="37"/>
        <v/>
      </c>
      <c r="O158" s="103" t="str">
        <f t="shared" si="38"/>
        <v/>
      </c>
      <c r="P158" s="52">
        <v>0</v>
      </c>
      <c r="Q158" s="102" t="str">
        <f t="shared" si="39"/>
        <v/>
      </c>
      <c r="R158" s="103" t="str">
        <f t="shared" si="40"/>
        <v/>
      </c>
      <c r="S158" s="52">
        <v>0</v>
      </c>
      <c r="T158" s="102" t="str">
        <f t="shared" si="41"/>
        <v/>
      </c>
      <c r="U158" s="103" t="str">
        <f t="shared" si="42"/>
        <v/>
      </c>
      <c r="V158" s="52">
        <v>0</v>
      </c>
      <c r="W158" s="87" t="str">
        <f t="shared" si="43"/>
        <v/>
      </c>
      <c r="X158" s="103" t="str">
        <f t="shared" si="44"/>
        <v/>
      </c>
      <c r="Y158" s="52">
        <v>0</v>
      </c>
      <c r="Z158" s="56" t="str">
        <f t="shared" si="45"/>
        <v/>
      </c>
      <c r="AA158" s="56" t="str">
        <f t="shared" si="46"/>
        <v/>
      </c>
      <c r="AB158" s="56" t="str">
        <f t="shared" si="47"/>
        <v/>
      </c>
      <c r="AC158" s="56" t="str">
        <f t="shared" si="48"/>
        <v/>
      </c>
      <c r="AD158" s="56" t="str">
        <f t="shared" si="49"/>
        <v/>
      </c>
      <c r="AE158" s="40"/>
      <c r="AF158" s="40"/>
      <c r="AG158" s="40"/>
      <c r="AH158" s="56" t="str">
        <f t="shared" si="50"/>
        <v/>
      </c>
      <c r="AI158" s="54"/>
      <c r="AJ158" s="54"/>
      <c r="AK158" s="54"/>
      <c r="AL158" s="54"/>
      <c r="AM158" s="54"/>
    </row>
    <row r="159" spans="1:39">
      <c r="A159" s="95"/>
      <c r="B159" s="45" t="str" cm="1">
        <f t="array" ref="B159">IF(H159="PROJECT", CHAR(10) &amp; "- " &amp; _xlfn.TEXTJOIN(CHAR(10) &amp; "- ", TRUE, _xlfn._xlws.FILTER($I$9:$I$1000, ($C$9:$C$1000=C159) * ($H$9:$H$1000="Topic"))), "")</f>
        <v/>
      </c>
      <c r="C159" s="45">
        <f t="shared" si="34"/>
        <v>127</v>
      </c>
      <c r="D159" s="46"/>
      <c r="E159" s="58"/>
      <c r="F159" s="67"/>
      <c r="G159" s="53"/>
      <c r="H159" s="53"/>
      <c r="I159" s="50"/>
      <c r="J159" s="51"/>
      <c r="K159" s="120" t="str">
        <f t="shared" si="35"/>
        <v/>
      </c>
      <c r="L159" s="103" t="str">
        <f t="shared" si="36"/>
        <v/>
      </c>
      <c r="M159" s="53">
        <v>0</v>
      </c>
      <c r="N159" s="102" t="str">
        <f t="shared" si="37"/>
        <v/>
      </c>
      <c r="O159" s="103" t="str">
        <f t="shared" si="38"/>
        <v/>
      </c>
      <c r="P159" s="53">
        <v>0</v>
      </c>
      <c r="Q159" s="102" t="str">
        <f t="shared" si="39"/>
        <v/>
      </c>
      <c r="R159" s="103" t="str">
        <f t="shared" si="40"/>
        <v/>
      </c>
      <c r="S159" s="53">
        <v>0</v>
      </c>
      <c r="T159" s="102" t="str">
        <f t="shared" si="41"/>
        <v/>
      </c>
      <c r="U159" s="103" t="str">
        <f t="shared" si="42"/>
        <v/>
      </c>
      <c r="V159" s="53">
        <v>0</v>
      </c>
      <c r="W159" s="87" t="str">
        <f t="shared" si="43"/>
        <v/>
      </c>
      <c r="X159" s="103" t="str">
        <f t="shared" si="44"/>
        <v/>
      </c>
      <c r="Y159" s="53">
        <v>0</v>
      </c>
      <c r="Z159" s="56" t="str">
        <f t="shared" si="45"/>
        <v/>
      </c>
      <c r="AA159" s="56" t="str">
        <f t="shared" si="46"/>
        <v/>
      </c>
      <c r="AB159" s="56" t="str">
        <f t="shared" si="47"/>
        <v/>
      </c>
      <c r="AC159" s="56" t="str">
        <f t="shared" si="48"/>
        <v/>
      </c>
      <c r="AD159" s="56" t="str">
        <f t="shared" si="49"/>
        <v/>
      </c>
      <c r="AE159" s="40"/>
      <c r="AF159" s="40"/>
      <c r="AG159" s="40"/>
      <c r="AH159" s="56" t="str">
        <f t="shared" si="50"/>
        <v/>
      </c>
      <c r="AI159" s="54"/>
      <c r="AJ159" s="54"/>
      <c r="AK159" s="54"/>
      <c r="AL159" s="54"/>
      <c r="AM159" s="54"/>
    </row>
    <row r="160" spans="1:39">
      <c r="A160" s="95"/>
      <c r="B160" s="45" t="str" cm="1">
        <f t="array" ref="B160">IF(H160="PROJECT", CHAR(10) &amp; "- " &amp; _xlfn.TEXTJOIN(CHAR(10) &amp; "- ", TRUE, _xlfn._xlws.FILTER($I$9:$I$1000, ($C$9:$C$1000=C160) * ($H$9:$H$1000="Topic"))), "")</f>
        <v/>
      </c>
      <c r="C160" s="45">
        <f t="shared" si="34"/>
        <v>128</v>
      </c>
      <c r="D160" s="57"/>
      <c r="E160" s="58"/>
      <c r="F160" s="54"/>
      <c r="G160" s="52"/>
      <c r="H160" s="52"/>
      <c r="I160" s="61"/>
      <c r="J160" s="62"/>
      <c r="K160" s="120" t="str">
        <f t="shared" si="35"/>
        <v/>
      </c>
      <c r="L160" s="103" t="str">
        <f t="shared" si="36"/>
        <v/>
      </c>
      <c r="M160" s="52">
        <v>0</v>
      </c>
      <c r="N160" s="102" t="str">
        <f t="shared" si="37"/>
        <v/>
      </c>
      <c r="O160" s="103" t="str">
        <f t="shared" si="38"/>
        <v/>
      </c>
      <c r="P160" s="52">
        <v>0</v>
      </c>
      <c r="Q160" s="102" t="str">
        <f t="shared" si="39"/>
        <v/>
      </c>
      <c r="R160" s="103" t="str">
        <f t="shared" si="40"/>
        <v/>
      </c>
      <c r="S160" s="52">
        <v>0</v>
      </c>
      <c r="T160" s="102" t="str">
        <f t="shared" si="41"/>
        <v/>
      </c>
      <c r="U160" s="103" t="str">
        <f t="shared" si="42"/>
        <v/>
      </c>
      <c r="V160" s="52">
        <v>0</v>
      </c>
      <c r="W160" s="87" t="str">
        <f t="shared" si="43"/>
        <v/>
      </c>
      <c r="X160" s="103" t="str">
        <f t="shared" si="44"/>
        <v/>
      </c>
      <c r="Y160" s="52">
        <v>0</v>
      </c>
      <c r="Z160" s="56" t="str">
        <f t="shared" si="45"/>
        <v/>
      </c>
      <c r="AA160" s="56" t="str">
        <f t="shared" si="46"/>
        <v/>
      </c>
      <c r="AB160" s="56" t="str">
        <f t="shared" si="47"/>
        <v/>
      </c>
      <c r="AC160" s="56" t="str">
        <f t="shared" si="48"/>
        <v/>
      </c>
      <c r="AD160" s="56" t="str">
        <f t="shared" si="49"/>
        <v/>
      </c>
      <c r="AE160" s="40"/>
      <c r="AF160" s="40"/>
      <c r="AG160" s="40"/>
      <c r="AH160" s="56" t="str">
        <f t="shared" si="50"/>
        <v/>
      </c>
      <c r="AI160" s="54"/>
      <c r="AJ160" s="54"/>
      <c r="AK160" s="54"/>
      <c r="AL160" s="54"/>
      <c r="AM160" s="54"/>
    </row>
    <row r="161" spans="1:39">
      <c r="A161" s="95"/>
      <c r="B161" s="45" t="str" cm="1">
        <f t="array" ref="B161">IF(H161="PROJECT", CHAR(10) &amp; "- " &amp; _xlfn.TEXTJOIN(CHAR(10) &amp; "- ", TRUE, _xlfn._xlws.FILTER($I$9:$I$1000, ($C$9:$C$1000=C161) * ($H$9:$H$1000="Topic"))), "")</f>
        <v/>
      </c>
      <c r="C161" s="45">
        <f t="shared" si="34"/>
        <v>129</v>
      </c>
      <c r="D161" s="46"/>
      <c r="E161" s="58"/>
      <c r="F161" s="67"/>
      <c r="G161" s="53"/>
      <c r="H161" s="53"/>
      <c r="I161" s="50"/>
      <c r="J161" s="51"/>
      <c r="K161" s="120" t="str">
        <f t="shared" si="35"/>
        <v/>
      </c>
      <c r="L161" s="103" t="str">
        <f t="shared" si="36"/>
        <v/>
      </c>
      <c r="M161" s="53">
        <v>0</v>
      </c>
      <c r="N161" s="102" t="str">
        <f t="shared" si="37"/>
        <v/>
      </c>
      <c r="O161" s="103" t="str">
        <f t="shared" si="38"/>
        <v/>
      </c>
      <c r="P161" s="53">
        <v>0</v>
      </c>
      <c r="Q161" s="102" t="str">
        <f t="shared" si="39"/>
        <v/>
      </c>
      <c r="R161" s="103" t="str">
        <f t="shared" si="40"/>
        <v/>
      </c>
      <c r="S161" s="53">
        <v>0</v>
      </c>
      <c r="T161" s="102" t="str">
        <f t="shared" si="41"/>
        <v/>
      </c>
      <c r="U161" s="103" t="str">
        <f t="shared" si="42"/>
        <v/>
      </c>
      <c r="V161" s="53">
        <v>0</v>
      </c>
      <c r="W161" s="87" t="str">
        <f t="shared" si="43"/>
        <v/>
      </c>
      <c r="X161" s="103" t="str">
        <f t="shared" si="44"/>
        <v/>
      </c>
      <c r="Y161" s="53">
        <v>0</v>
      </c>
      <c r="Z161" s="56" t="str">
        <f t="shared" si="45"/>
        <v/>
      </c>
      <c r="AA161" s="56" t="str">
        <f t="shared" si="46"/>
        <v/>
      </c>
      <c r="AB161" s="56" t="str">
        <f t="shared" si="47"/>
        <v/>
      </c>
      <c r="AC161" s="56" t="str">
        <f t="shared" si="48"/>
        <v/>
      </c>
      <c r="AD161" s="56" t="str">
        <f t="shared" si="49"/>
        <v/>
      </c>
      <c r="AE161" s="40"/>
      <c r="AF161" s="40"/>
      <c r="AG161" s="40"/>
      <c r="AH161" s="56" t="str">
        <f t="shared" si="50"/>
        <v/>
      </c>
      <c r="AI161" s="54"/>
      <c r="AJ161" s="54"/>
      <c r="AK161" s="54"/>
      <c r="AL161" s="54"/>
      <c r="AM161" s="54"/>
    </row>
    <row r="162" spans="1:39">
      <c r="A162" s="95"/>
      <c r="B162" s="45" t="str" cm="1">
        <f t="array" ref="B162">IF(H162="PROJECT", CHAR(10) &amp; "- " &amp; _xlfn.TEXTJOIN(CHAR(10) &amp; "- ", TRUE, _xlfn._xlws.FILTER($I$9:$I$1000, ($C$9:$C$1000=C162) * ($H$9:$H$1000="Topic"))), "")</f>
        <v/>
      </c>
      <c r="C162" s="45">
        <f t="shared" si="34"/>
        <v>130</v>
      </c>
      <c r="D162" s="57"/>
      <c r="E162" s="58"/>
      <c r="F162" s="54"/>
      <c r="G162" s="52"/>
      <c r="H162" s="52"/>
      <c r="I162" s="61"/>
      <c r="J162" s="62"/>
      <c r="K162" s="120" t="str">
        <f t="shared" si="35"/>
        <v/>
      </c>
      <c r="L162" s="103" t="str">
        <f t="shared" si="36"/>
        <v/>
      </c>
      <c r="M162" s="52">
        <v>0</v>
      </c>
      <c r="N162" s="102" t="str">
        <f t="shared" si="37"/>
        <v/>
      </c>
      <c r="O162" s="103" t="str">
        <f t="shared" si="38"/>
        <v/>
      </c>
      <c r="P162" s="52">
        <v>0</v>
      </c>
      <c r="Q162" s="102" t="str">
        <f t="shared" si="39"/>
        <v/>
      </c>
      <c r="R162" s="103" t="str">
        <f t="shared" si="40"/>
        <v/>
      </c>
      <c r="S162" s="52">
        <v>0</v>
      </c>
      <c r="T162" s="102" t="str">
        <f t="shared" si="41"/>
        <v/>
      </c>
      <c r="U162" s="103" t="str">
        <f t="shared" si="42"/>
        <v/>
      </c>
      <c r="V162" s="52">
        <v>0</v>
      </c>
      <c r="W162" s="87" t="str">
        <f t="shared" si="43"/>
        <v/>
      </c>
      <c r="X162" s="103" t="str">
        <f t="shared" si="44"/>
        <v/>
      </c>
      <c r="Y162" s="52">
        <v>0</v>
      </c>
      <c r="Z162" s="56" t="str">
        <f t="shared" si="45"/>
        <v/>
      </c>
      <c r="AA162" s="56" t="str">
        <f t="shared" si="46"/>
        <v/>
      </c>
      <c r="AB162" s="56" t="str">
        <f t="shared" si="47"/>
        <v/>
      </c>
      <c r="AC162" s="56" t="str">
        <f t="shared" si="48"/>
        <v/>
      </c>
      <c r="AD162" s="56" t="str">
        <f t="shared" si="49"/>
        <v/>
      </c>
      <c r="AE162" s="40"/>
      <c r="AF162" s="40"/>
      <c r="AG162" s="40"/>
      <c r="AH162" s="56" t="str">
        <f t="shared" si="50"/>
        <v/>
      </c>
      <c r="AI162" s="54"/>
      <c r="AJ162" s="54"/>
      <c r="AK162" s="54"/>
      <c r="AL162" s="54"/>
      <c r="AM162" s="54"/>
    </row>
    <row r="163" spans="1:39">
      <c r="A163" s="95"/>
      <c r="B163" s="45" t="str" cm="1">
        <f t="array" ref="B163">IF(H163="PROJECT", CHAR(10) &amp; "- " &amp; _xlfn.TEXTJOIN(CHAR(10) &amp; "- ", TRUE, _xlfn._xlws.FILTER($I$9:$I$1000, ($C$9:$C$1000=C163) * ($H$9:$H$1000="Topic"))), "")</f>
        <v/>
      </c>
      <c r="C163" s="45">
        <f t="shared" si="34"/>
        <v>131</v>
      </c>
      <c r="D163" s="46"/>
      <c r="E163" s="58"/>
      <c r="F163" s="67"/>
      <c r="G163" s="53"/>
      <c r="H163" s="53"/>
      <c r="I163" s="50"/>
      <c r="J163" s="51"/>
      <c r="K163" s="120" t="str">
        <f t="shared" si="35"/>
        <v/>
      </c>
      <c r="L163" s="103" t="str">
        <f t="shared" si="36"/>
        <v/>
      </c>
      <c r="M163" s="53">
        <v>0</v>
      </c>
      <c r="N163" s="102" t="str">
        <f t="shared" si="37"/>
        <v/>
      </c>
      <c r="O163" s="103" t="str">
        <f t="shared" si="38"/>
        <v/>
      </c>
      <c r="P163" s="53">
        <v>0</v>
      </c>
      <c r="Q163" s="102" t="str">
        <f t="shared" si="39"/>
        <v/>
      </c>
      <c r="R163" s="103" t="str">
        <f t="shared" si="40"/>
        <v/>
      </c>
      <c r="S163" s="53">
        <v>0</v>
      </c>
      <c r="T163" s="102" t="str">
        <f t="shared" si="41"/>
        <v/>
      </c>
      <c r="U163" s="103" t="str">
        <f t="shared" si="42"/>
        <v/>
      </c>
      <c r="V163" s="53">
        <v>0</v>
      </c>
      <c r="W163" s="87" t="str">
        <f t="shared" si="43"/>
        <v/>
      </c>
      <c r="X163" s="103" t="str">
        <f t="shared" si="44"/>
        <v/>
      </c>
      <c r="Y163" s="53">
        <v>0</v>
      </c>
      <c r="Z163" s="56" t="str">
        <f t="shared" si="45"/>
        <v/>
      </c>
      <c r="AA163" s="56" t="str">
        <f t="shared" si="46"/>
        <v/>
      </c>
      <c r="AB163" s="56" t="str">
        <f t="shared" si="47"/>
        <v/>
      </c>
      <c r="AC163" s="56" t="str">
        <f t="shared" si="48"/>
        <v/>
      </c>
      <c r="AD163" s="56" t="str">
        <f t="shared" si="49"/>
        <v/>
      </c>
      <c r="AE163" s="40"/>
      <c r="AF163" s="40"/>
      <c r="AG163" s="40"/>
      <c r="AH163" s="56" t="str">
        <f t="shared" si="50"/>
        <v/>
      </c>
      <c r="AI163" s="54"/>
      <c r="AJ163" s="54"/>
      <c r="AK163" s="54"/>
      <c r="AL163" s="54"/>
      <c r="AM163" s="54"/>
    </row>
    <row r="164" spans="1:39">
      <c r="A164" s="95"/>
      <c r="B164" s="45" t="str" cm="1">
        <f t="array" ref="B164">IF(H164="PROJECT", CHAR(10) &amp; "- " &amp; _xlfn.TEXTJOIN(CHAR(10) &amp; "- ", TRUE, _xlfn._xlws.FILTER($I$9:$I$1000, ($C$9:$C$1000=C164) * ($H$9:$H$1000="Topic"))), "")</f>
        <v/>
      </c>
      <c r="C164" s="45">
        <f t="shared" si="34"/>
        <v>132</v>
      </c>
      <c r="D164" s="57"/>
      <c r="E164" s="58"/>
      <c r="F164" s="54"/>
      <c r="G164" s="52"/>
      <c r="H164" s="52"/>
      <c r="I164" s="61"/>
      <c r="J164" s="62"/>
      <c r="K164" s="120" t="str">
        <f t="shared" si="35"/>
        <v/>
      </c>
      <c r="L164" s="103" t="str">
        <f t="shared" si="36"/>
        <v/>
      </c>
      <c r="M164" s="52">
        <v>0</v>
      </c>
      <c r="N164" s="102" t="str">
        <f t="shared" si="37"/>
        <v/>
      </c>
      <c r="O164" s="103" t="str">
        <f t="shared" si="38"/>
        <v/>
      </c>
      <c r="P164" s="52">
        <v>0</v>
      </c>
      <c r="Q164" s="102" t="str">
        <f t="shared" si="39"/>
        <v/>
      </c>
      <c r="R164" s="103" t="str">
        <f t="shared" si="40"/>
        <v/>
      </c>
      <c r="S164" s="52">
        <v>0</v>
      </c>
      <c r="T164" s="102" t="str">
        <f t="shared" si="41"/>
        <v/>
      </c>
      <c r="U164" s="103" t="str">
        <f t="shared" si="42"/>
        <v/>
      </c>
      <c r="V164" s="52">
        <v>0</v>
      </c>
      <c r="W164" s="87" t="str">
        <f t="shared" si="43"/>
        <v/>
      </c>
      <c r="X164" s="103" t="str">
        <f t="shared" si="44"/>
        <v/>
      </c>
      <c r="Y164" s="52">
        <v>0</v>
      </c>
      <c r="Z164" s="56" t="str">
        <f t="shared" si="45"/>
        <v/>
      </c>
      <c r="AA164" s="56" t="str">
        <f t="shared" si="46"/>
        <v/>
      </c>
      <c r="AB164" s="56" t="str">
        <f t="shared" si="47"/>
        <v/>
      </c>
      <c r="AC164" s="56" t="str">
        <f t="shared" si="48"/>
        <v/>
      </c>
      <c r="AD164" s="56" t="str">
        <f t="shared" si="49"/>
        <v/>
      </c>
      <c r="AE164" s="40"/>
      <c r="AF164" s="40"/>
      <c r="AG164" s="40"/>
      <c r="AH164" s="56" t="str">
        <f t="shared" si="50"/>
        <v/>
      </c>
      <c r="AI164" s="54"/>
      <c r="AJ164" s="54"/>
      <c r="AK164" s="54"/>
      <c r="AL164" s="54"/>
      <c r="AM164" s="54"/>
    </row>
    <row r="165" spans="1:39">
      <c r="A165" s="95"/>
      <c r="B165" s="45" t="str" cm="1">
        <f t="array" ref="B165">IF(H165="PROJECT", CHAR(10) &amp; "- " &amp; _xlfn.TEXTJOIN(CHAR(10) &amp; "- ", TRUE, _xlfn._xlws.FILTER($I$9:$I$1000, ($C$9:$C$1000=C165) * ($H$9:$H$1000="Topic"))), "")</f>
        <v/>
      </c>
      <c r="C165" s="45">
        <f t="shared" si="34"/>
        <v>133</v>
      </c>
      <c r="D165" s="46"/>
      <c r="E165" s="58"/>
      <c r="F165" s="67"/>
      <c r="G165" s="53"/>
      <c r="H165" s="53"/>
      <c r="I165" s="50"/>
      <c r="J165" s="51"/>
      <c r="K165" s="120" t="str">
        <f t="shared" si="35"/>
        <v/>
      </c>
      <c r="L165" s="103" t="str">
        <f t="shared" si="36"/>
        <v/>
      </c>
      <c r="M165" s="53">
        <v>0</v>
      </c>
      <c r="N165" s="102" t="str">
        <f t="shared" si="37"/>
        <v/>
      </c>
      <c r="O165" s="103" t="str">
        <f t="shared" si="38"/>
        <v/>
      </c>
      <c r="P165" s="53">
        <v>0</v>
      </c>
      <c r="Q165" s="102" t="str">
        <f t="shared" si="39"/>
        <v/>
      </c>
      <c r="R165" s="103" t="str">
        <f t="shared" si="40"/>
        <v/>
      </c>
      <c r="S165" s="53">
        <v>0</v>
      </c>
      <c r="T165" s="102" t="str">
        <f t="shared" si="41"/>
        <v/>
      </c>
      <c r="U165" s="103" t="str">
        <f t="shared" si="42"/>
        <v/>
      </c>
      <c r="V165" s="53">
        <v>0</v>
      </c>
      <c r="W165" s="87" t="str">
        <f t="shared" si="43"/>
        <v/>
      </c>
      <c r="X165" s="103" t="str">
        <f t="shared" si="44"/>
        <v/>
      </c>
      <c r="Y165" s="53">
        <v>0</v>
      </c>
      <c r="Z165" s="56" t="str">
        <f t="shared" si="45"/>
        <v/>
      </c>
      <c r="AA165" s="56" t="str">
        <f t="shared" si="46"/>
        <v/>
      </c>
      <c r="AB165" s="56" t="str">
        <f t="shared" si="47"/>
        <v/>
      </c>
      <c r="AC165" s="56" t="str">
        <f t="shared" si="48"/>
        <v/>
      </c>
      <c r="AD165" s="56" t="str">
        <f t="shared" si="49"/>
        <v/>
      </c>
      <c r="AE165" s="40"/>
      <c r="AF165" s="40"/>
      <c r="AG165" s="40"/>
      <c r="AH165" s="56" t="str">
        <f t="shared" si="50"/>
        <v/>
      </c>
      <c r="AI165" s="54"/>
      <c r="AJ165" s="54"/>
      <c r="AK165" s="54"/>
      <c r="AL165" s="54"/>
      <c r="AM165" s="54"/>
    </row>
    <row r="166" spans="1:39">
      <c r="A166" s="95"/>
      <c r="B166" s="45" t="str" cm="1">
        <f t="array" ref="B166">IF(H166="PROJECT", CHAR(10) &amp; "- " &amp; _xlfn.TEXTJOIN(CHAR(10) &amp; "- ", TRUE, _xlfn._xlws.FILTER($I$9:$I$1000, ($C$9:$C$1000=C166) * ($H$9:$H$1000="Topic"))), "")</f>
        <v/>
      </c>
      <c r="C166" s="45">
        <f t="shared" si="34"/>
        <v>134</v>
      </c>
      <c r="D166" s="57"/>
      <c r="E166" s="58"/>
      <c r="F166" s="54"/>
      <c r="G166" s="52"/>
      <c r="H166" s="52"/>
      <c r="I166" s="61"/>
      <c r="J166" s="62"/>
      <c r="K166" s="120" t="str">
        <f t="shared" si="35"/>
        <v/>
      </c>
      <c r="L166" s="103" t="str">
        <f t="shared" si="36"/>
        <v/>
      </c>
      <c r="M166" s="52">
        <v>0</v>
      </c>
      <c r="N166" s="102" t="str">
        <f t="shared" si="37"/>
        <v/>
      </c>
      <c r="O166" s="103" t="str">
        <f t="shared" si="38"/>
        <v/>
      </c>
      <c r="P166" s="52">
        <v>0</v>
      </c>
      <c r="Q166" s="102" t="str">
        <f t="shared" si="39"/>
        <v/>
      </c>
      <c r="R166" s="103" t="str">
        <f t="shared" si="40"/>
        <v/>
      </c>
      <c r="S166" s="52">
        <v>0</v>
      </c>
      <c r="T166" s="102" t="str">
        <f t="shared" si="41"/>
        <v/>
      </c>
      <c r="U166" s="103" t="str">
        <f t="shared" si="42"/>
        <v/>
      </c>
      <c r="V166" s="52">
        <v>0</v>
      </c>
      <c r="W166" s="87" t="str">
        <f t="shared" si="43"/>
        <v/>
      </c>
      <c r="X166" s="103" t="str">
        <f t="shared" si="44"/>
        <v/>
      </c>
      <c r="Y166" s="52">
        <v>0</v>
      </c>
      <c r="Z166" s="56" t="str">
        <f t="shared" si="45"/>
        <v/>
      </c>
      <c r="AA166" s="56" t="str">
        <f t="shared" si="46"/>
        <v/>
      </c>
      <c r="AB166" s="56" t="str">
        <f t="shared" si="47"/>
        <v/>
      </c>
      <c r="AC166" s="56" t="str">
        <f t="shared" si="48"/>
        <v/>
      </c>
      <c r="AD166" s="56" t="str">
        <f t="shared" si="49"/>
        <v/>
      </c>
      <c r="AE166" s="40"/>
      <c r="AF166" s="40"/>
      <c r="AG166" s="40"/>
      <c r="AH166" s="56" t="str">
        <f t="shared" si="50"/>
        <v/>
      </c>
      <c r="AI166" s="54"/>
      <c r="AJ166" s="54"/>
      <c r="AK166" s="54"/>
      <c r="AL166" s="54"/>
      <c r="AM166" s="54"/>
    </row>
    <row r="167" spans="1:39">
      <c r="A167" s="95"/>
      <c r="B167" s="45" t="str" cm="1">
        <f t="array" ref="B167">IF(H167="PROJECT", CHAR(10) &amp; "- " &amp; _xlfn.TEXTJOIN(CHAR(10) &amp; "- ", TRUE, _xlfn._xlws.FILTER($I$9:$I$1000, ($C$9:$C$1000=C167) * ($H$9:$H$1000="Topic"))), "")</f>
        <v/>
      </c>
      <c r="C167" s="45">
        <f t="shared" si="34"/>
        <v>135</v>
      </c>
      <c r="D167" s="46"/>
      <c r="E167" s="58"/>
      <c r="F167" s="67"/>
      <c r="G167" s="53"/>
      <c r="H167" s="53"/>
      <c r="I167" s="50"/>
      <c r="J167" s="51"/>
      <c r="K167" s="120" t="str">
        <f t="shared" si="35"/>
        <v/>
      </c>
      <c r="L167" s="103" t="str">
        <f t="shared" si="36"/>
        <v/>
      </c>
      <c r="M167" s="53">
        <v>0</v>
      </c>
      <c r="N167" s="102" t="str">
        <f t="shared" si="37"/>
        <v/>
      </c>
      <c r="O167" s="103" t="str">
        <f t="shared" si="38"/>
        <v/>
      </c>
      <c r="P167" s="53">
        <v>0</v>
      </c>
      <c r="Q167" s="102" t="str">
        <f t="shared" si="39"/>
        <v/>
      </c>
      <c r="R167" s="103" t="str">
        <f t="shared" si="40"/>
        <v/>
      </c>
      <c r="S167" s="53">
        <v>0</v>
      </c>
      <c r="T167" s="102" t="str">
        <f t="shared" si="41"/>
        <v/>
      </c>
      <c r="U167" s="103" t="str">
        <f t="shared" si="42"/>
        <v/>
      </c>
      <c r="V167" s="53">
        <v>0</v>
      </c>
      <c r="W167" s="87" t="str">
        <f t="shared" si="43"/>
        <v/>
      </c>
      <c r="X167" s="103" t="str">
        <f t="shared" si="44"/>
        <v/>
      </c>
      <c r="Y167" s="53">
        <v>0</v>
      </c>
      <c r="Z167" s="56" t="str">
        <f t="shared" si="45"/>
        <v/>
      </c>
      <c r="AA167" s="56" t="str">
        <f t="shared" si="46"/>
        <v/>
      </c>
      <c r="AB167" s="56" t="str">
        <f t="shared" si="47"/>
        <v/>
      </c>
      <c r="AC167" s="56" t="str">
        <f t="shared" si="48"/>
        <v/>
      </c>
      <c r="AD167" s="56" t="str">
        <f t="shared" si="49"/>
        <v/>
      </c>
      <c r="AE167" s="40"/>
      <c r="AF167" s="40"/>
      <c r="AG167" s="40"/>
      <c r="AH167" s="56" t="str">
        <f t="shared" si="50"/>
        <v/>
      </c>
      <c r="AI167" s="54"/>
      <c r="AJ167" s="54"/>
      <c r="AK167" s="54"/>
      <c r="AL167" s="54"/>
      <c r="AM167" s="54"/>
    </row>
    <row r="168" spans="1:39">
      <c r="A168" s="95"/>
      <c r="B168" s="45" t="str" cm="1">
        <f t="array" ref="B168">IF(H168="PROJECT", CHAR(10) &amp; "- " &amp; _xlfn.TEXTJOIN(CHAR(10) &amp; "- ", TRUE, _xlfn._xlws.FILTER($I$9:$I$1000, ($C$9:$C$1000=C168) * ($H$9:$H$1000="Topic"))), "")</f>
        <v/>
      </c>
      <c r="C168" s="45">
        <f t="shared" si="34"/>
        <v>136</v>
      </c>
      <c r="D168" s="57"/>
      <c r="E168" s="58"/>
      <c r="F168" s="54"/>
      <c r="G168" s="52"/>
      <c r="H168" s="52"/>
      <c r="I168" s="61"/>
      <c r="J168" s="62"/>
      <c r="K168" s="120" t="str">
        <f t="shared" si="35"/>
        <v/>
      </c>
      <c r="L168" s="103" t="str">
        <f t="shared" si="36"/>
        <v/>
      </c>
      <c r="M168" s="52">
        <v>0</v>
      </c>
      <c r="N168" s="102" t="str">
        <f t="shared" si="37"/>
        <v/>
      </c>
      <c r="O168" s="103" t="str">
        <f t="shared" si="38"/>
        <v/>
      </c>
      <c r="P168" s="52">
        <v>0</v>
      </c>
      <c r="Q168" s="102" t="str">
        <f t="shared" si="39"/>
        <v/>
      </c>
      <c r="R168" s="103" t="str">
        <f t="shared" si="40"/>
        <v/>
      </c>
      <c r="S168" s="52">
        <v>0</v>
      </c>
      <c r="T168" s="102" t="str">
        <f t="shared" si="41"/>
        <v/>
      </c>
      <c r="U168" s="103" t="str">
        <f t="shared" si="42"/>
        <v/>
      </c>
      <c r="V168" s="52">
        <v>0</v>
      </c>
      <c r="W168" s="87" t="str">
        <f t="shared" si="43"/>
        <v/>
      </c>
      <c r="X168" s="103" t="str">
        <f t="shared" si="44"/>
        <v/>
      </c>
      <c r="Y168" s="52">
        <v>0</v>
      </c>
      <c r="Z168" s="56" t="str">
        <f t="shared" si="45"/>
        <v/>
      </c>
      <c r="AA168" s="56" t="str">
        <f t="shared" si="46"/>
        <v/>
      </c>
      <c r="AB168" s="56" t="str">
        <f t="shared" si="47"/>
        <v/>
      </c>
      <c r="AC168" s="56" t="str">
        <f t="shared" si="48"/>
        <v/>
      </c>
      <c r="AD168" s="56" t="str">
        <f t="shared" si="49"/>
        <v/>
      </c>
      <c r="AE168" s="40"/>
      <c r="AF168" s="40"/>
      <c r="AG168" s="40"/>
      <c r="AH168" s="56" t="str">
        <f t="shared" si="50"/>
        <v/>
      </c>
      <c r="AI168" s="54"/>
      <c r="AJ168" s="54"/>
      <c r="AK168" s="54"/>
      <c r="AL168" s="54"/>
      <c r="AM168" s="54"/>
    </row>
    <row r="169" spans="1:39">
      <c r="A169" s="95"/>
      <c r="B169" s="45" t="str" cm="1">
        <f t="array" ref="B169">IF(H169="PROJECT", CHAR(10) &amp; "- " &amp; _xlfn.TEXTJOIN(CHAR(10) &amp; "- ", TRUE, _xlfn._xlws.FILTER($I$9:$I$1000, ($C$9:$C$1000=C169) * ($H$9:$H$1000="Topic"))), "")</f>
        <v/>
      </c>
      <c r="C169" s="45">
        <f t="shared" si="34"/>
        <v>137</v>
      </c>
      <c r="D169" s="46"/>
      <c r="E169" s="58"/>
      <c r="F169" s="67"/>
      <c r="G169" s="53"/>
      <c r="H169" s="53"/>
      <c r="I169" s="50"/>
      <c r="J169" s="51"/>
      <c r="K169" s="120" t="str">
        <f t="shared" si="35"/>
        <v/>
      </c>
      <c r="L169" s="103" t="str">
        <f t="shared" si="36"/>
        <v/>
      </c>
      <c r="M169" s="53">
        <v>0</v>
      </c>
      <c r="N169" s="102" t="str">
        <f t="shared" si="37"/>
        <v/>
      </c>
      <c r="O169" s="103" t="str">
        <f t="shared" si="38"/>
        <v/>
      </c>
      <c r="P169" s="53">
        <v>0</v>
      </c>
      <c r="Q169" s="102" t="str">
        <f t="shared" si="39"/>
        <v/>
      </c>
      <c r="R169" s="103" t="str">
        <f t="shared" si="40"/>
        <v/>
      </c>
      <c r="S169" s="53">
        <v>0</v>
      </c>
      <c r="T169" s="102" t="str">
        <f t="shared" si="41"/>
        <v/>
      </c>
      <c r="U169" s="103" t="str">
        <f t="shared" si="42"/>
        <v/>
      </c>
      <c r="V169" s="53">
        <v>0</v>
      </c>
      <c r="W169" s="87" t="str">
        <f t="shared" si="43"/>
        <v/>
      </c>
      <c r="X169" s="103" t="str">
        <f t="shared" si="44"/>
        <v/>
      </c>
      <c r="Y169" s="53">
        <v>0</v>
      </c>
      <c r="Z169" s="56" t="str">
        <f t="shared" si="45"/>
        <v/>
      </c>
      <c r="AA169" s="56" t="str">
        <f t="shared" si="46"/>
        <v/>
      </c>
      <c r="AB169" s="56" t="str">
        <f t="shared" si="47"/>
        <v/>
      </c>
      <c r="AC169" s="56" t="str">
        <f t="shared" si="48"/>
        <v/>
      </c>
      <c r="AD169" s="56" t="str">
        <f t="shared" si="49"/>
        <v/>
      </c>
      <c r="AE169" s="40"/>
      <c r="AF169" s="40"/>
      <c r="AG169" s="40"/>
      <c r="AH169" s="56" t="str">
        <f t="shared" si="50"/>
        <v/>
      </c>
      <c r="AI169" s="54"/>
      <c r="AJ169" s="54"/>
      <c r="AK169" s="54"/>
      <c r="AL169" s="54"/>
      <c r="AM169" s="54"/>
    </row>
    <row r="170" spans="1:39">
      <c r="A170" s="95"/>
      <c r="B170" s="45" t="str" cm="1">
        <f t="array" ref="B170">IF(H170="PROJECT", CHAR(10) &amp; "- " &amp; _xlfn.TEXTJOIN(CHAR(10) &amp; "- ", TRUE, _xlfn._xlws.FILTER($I$9:$I$1000, ($C$9:$C$1000=C170) * ($H$9:$H$1000="Topic"))), "")</f>
        <v/>
      </c>
      <c r="C170" s="45">
        <f t="shared" si="34"/>
        <v>138</v>
      </c>
      <c r="D170" s="57"/>
      <c r="E170" s="58"/>
      <c r="F170" s="54"/>
      <c r="G170" s="52"/>
      <c r="H170" s="52"/>
      <c r="I170" s="61"/>
      <c r="J170" s="62"/>
      <c r="K170" s="120" t="str">
        <f t="shared" si="35"/>
        <v/>
      </c>
      <c r="L170" s="103" t="str">
        <f t="shared" si="36"/>
        <v/>
      </c>
      <c r="M170" s="52">
        <v>0</v>
      </c>
      <c r="N170" s="102" t="str">
        <f t="shared" si="37"/>
        <v/>
      </c>
      <c r="O170" s="103" t="str">
        <f t="shared" si="38"/>
        <v/>
      </c>
      <c r="P170" s="52">
        <v>0</v>
      </c>
      <c r="Q170" s="102" t="str">
        <f t="shared" si="39"/>
        <v/>
      </c>
      <c r="R170" s="103" t="str">
        <f t="shared" si="40"/>
        <v/>
      </c>
      <c r="S170" s="52">
        <v>0</v>
      </c>
      <c r="T170" s="102" t="str">
        <f t="shared" si="41"/>
        <v/>
      </c>
      <c r="U170" s="103" t="str">
        <f t="shared" si="42"/>
        <v/>
      </c>
      <c r="V170" s="52">
        <v>0</v>
      </c>
      <c r="W170" s="87" t="str">
        <f t="shared" si="43"/>
        <v/>
      </c>
      <c r="X170" s="103" t="str">
        <f t="shared" si="44"/>
        <v/>
      </c>
      <c r="Y170" s="52">
        <v>0</v>
      </c>
      <c r="Z170" s="56" t="str">
        <f t="shared" si="45"/>
        <v/>
      </c>
      <c r="AA170" s="56" t="str">
        <f t="shared" si="46"/>
        <v/>
      </c>
      <c r="AB170" s="56" t="str">
        <f t="shared" si="47"/>
        <v/>
      </c>
      <c r="AC170" s="56" t="str">
        <f t="shared" si="48"/>
        <v/>
      </c>
      <c r="AD170" s="56" t="str">
        <f t="shared" si="49"/>
        <v/>
      </c>
      <c r="AE170" s="40"/>
      <c r="AF170" s="40"/>
      <c r="AG170" s="40"/>
      <c r="AH170" s="56" t="str">
        <f t="shared" si="50"/>
        <v/>
      </c>
      <c r="AI170" s="54"/>
      <c r="AJ170" s="54"/>
      <c r="AK170" s="54"/>
      <c r="AL170" s="54"/>
      <c r="AM170" s="54"/>
    </row>
    <row r="171" spans="1:39">
      <c r="A171" s="95"/>
      <c r="B171" s="45" t="str" cm="1">
        <f t="array" ref="B171">IF(H171="PROJECT", CHAR(10) &amp; "- " &amp; _xlfn.TEXTJOIN(CHAR(10) &amp; "- ", TRUE, _xlfn._xlws.FILTER($I$9:$I$1000, ($C$9:$C$1000=C171) * ($H$9:$H$1000="Topic"))), "")</f>
        <v/>
      </c>
      <c r="C171" s="45">
        <f t="shared" si="34"/>
        <v>139</v>
      </c>
      <c r="D171" s="46"/>
      <c r="E171" s="58"/>
      <c r="F171" s="67"/>
      <c r="G171" s="53"/>
      <c r="H171" s="53"/>
      <c r="I171" s="50"/>
      <c r="J171" s="51"/>
      <c r="K171" s="120" t="str">
        <f t="shared" si="35"/>
        <v/>
      </c>
      <c r="L171" s="103" t="str">
        <f t="shared" si="36"/>
        <v/>
      </c>
      <c r="M171" s="53">
        <v>0</v>
      </c>
      <c r="N171" s="102" t="str">
        <f t="shared" si="37"/>
        <v/>
      </c>
      <c r="O171" s="103" t="str">
        <f t="shared" si="38"/>
        <v/>
      </c>
      <c r="P171" s="53">
        <v>0</v>
      </c>
      <c r="Q171" s="102" t="str">
        <f t="shared" si="39"/>
        <v/>
      </c>
      <c r="R171" s="103" t="str">
        <f t="shared" si="40"/>
        <v/>
      </c>
      <c r="S171" s="53">
        <v>0</v>
      </c>
      <c r="T171" s="102" t="str">
        <f t="shared" si="41"/>
        <v/>
      </c>
      <c r="U171" s="103" t="str">
        <f t="shared" si="42"/>
        <v/>
      </c>
      <c r="V171" s="53">
        <v>0</v>
      </c>
      <c r="W171" s="87" t="str">
        <f t="shared" si="43"/>
        <v/>
      </c>
      <c r="X171" s="103" t="str">
        <f t="shared" si="44"/>
        <v/>
      </c>
      <c r="Y171" s="53">
        <v>0</v>
      </c>
      <c r="Z171" s="56" t="str">
        <f t="shared" si="45"/>
        <v/>
      </c>
      <c r="AA171" s="56" t="str">
        <f t="shared" si="46"/>
        <v/>
      </c>
      <c r="AB171" s="56" t="str">
        <f t="shared" si="47"/>
        <v/>
      </c>
      <c r="AC171" s="56" t="str">
        <f t="shared" si="48"/>
        <v/>
      </c>
      <c r="AD171" s="56" t="str">
        <f t="shared" si="49"/>
        <v/>
      </c>
      <c r="AE171" s="40"/>
      <c r="AF171" s="40"/>
      <c r="AG171" s="40"/>
      <c r="AH171" s="56" t="str">
        <f t="shared" si="50"/>
        <v/>
      </c>
      <c r="AI171" s="54"/>
      <c r="AJ171" s="54"/>
      <c r="AK171" s="54"/>
      <c r="AL171" s="54"/>
      <c r="AM171" s="54"/>
    </row>
    <row r="172" spans="1:39">
      <c r="A172" s="95"/>
      <c r="B172" s="45" t="str" cm="1">
        <f t="array" ref="B172">IF(H172="PROJECT", CHAR(10) &amp; "- " &amp; _xlfn.TEXTJOIN(CHAR(10) &amp; "- ", TRUE, _xlfn._xlws.FILTER($I$9:$I$1000, ($C$9:$C$1000=C172) * ($H$9:$H$1000="Topic"))), "")</f>
        <v/>
      </c>
      <c r="C172" s="45">
        <f t="shared" si="34"/>
        <v>140</v>
      </c>
      <c r="D172" s="57"/>
      <c r="E172" s="58"/>
      <c r="F172" s="54"/>
      <c r="G172" s="52"/>
      <c r="H172" s="52"/>
      <c r="I172" s="61"/>
      <c r="J172" s="62"/>
      <c r="K172" s="120" t="str">
        <f t="shared" si="35"/>
        <v/>
      </c>
      <c r="L172" s="103" t="str">
        <f t="shared" si="36"/>
        <v/>
      </c>
      <c r="M172" s="52">
        <v>0</v>
      </c>
      <c r="N172" s="102" t="str">
        <f t="shared" si="37"/>
        <v/>
      </c>
      <c r="O172" s="103" t="str">
        <f t="shared" si="38"/>
        <v/>
      </c>
      <c r="P172" s="52">
        <v>0</v>
      </c>
      <c r="Q172" s="102" t="str">
        <f t="shared" si="39"/>
        <v/>
      </c>
      <c r="R172" s="103" t="str">
        <f t="shared" si="40"/>
        <v/>
      </c>
      <c r="S172" s="52">
        <v>0</v>
      </c>
      <c r="T172" s="102" t="str">
        <f t="shared" si="41"/>
        <v/>
      </c>
      <c r="U172" s="103" t="str">
        <f t="shared" si="42"/>
        <v/>
      </c>
      <c r="V172" s="52">
        <v>0</v>
      </c>
      <c r="W172" s="87" t="str">
        <f t="shared" si="43"/>
        <v/>
      </c>
      <c r="X172" s="103" t="str">
        <f t="shared" si="44"/>
        <v/>
      </c>
      <c r="Y172" s="52">
        <v>0</v>
      </c>
      <c r="Z172" s="56" t="str">
        <f t="shared" si="45"/>
        <v/>
      </c>
      <c r="AA172" s="56" t="str">
        <f t="shared" si="46"/>
        <v/>
      </c>
      <c r="AB172" s="56" t="str">
        <f t="shared" si="47"/>
        <v/>
      </c>
      <c r="AC172" s="56" t="str">
        <f t="shared" si="48"/>
        <v/>
      </c>
      <c r="AD172" s="56" t="str">
        <f t="shared" si="49"/>
        <v/>
      </c>
      <c r="AE172" s="40"/>
      <c r="AF172" s="40"/>
      <c r="AG172" s="40"/>
      <c r="AH172" s="56" t="str">
        <f t="shared" si="50"/>
        <v/>
      </c>
      <c r="AI172" s="54"/>
      <c r="AJ172" s="54"/>
      <c r="AK172" s="54"/>
      <c r="AL172" s="54"/>
      <c r="AM172" s="54"/>
    </row>
    <row r="173" spans="1:39">
      <c r="A173" s="95"/>
      <c r="B173" s="45" t="str" cm="1">
        <f t="array" ref="B173">IF(H173="PROJECT", CHAR(10) &amp; "- " &amp; _xlfn.TEXTJOIN(CHAR(10) &amp; "- ", TRUE, _xlfn._xlws.FILTER($I$9:$I$1000, ($C$9:$C$1000=C173) * ($H$9:$H$1000="Topic"))), "")</f>
        <v/>
      </c>
      <c r="C173" s="45">
        <f t="shared" si="34"/>
        <v>141</v>
      </c>
      <c r="D173" s="46"/>
      <c r="E173" s="58"/>
      <c r="F173" s="67"/>
      <c r="G173" s="53"/>
      <c r="H173" s="53"/>
      <c r="I173" s="50"/>
      <c r="J173" s="51"/>
      <c r="K173" s="120" t="str">
        <f t="shared" si="35"/>
        <v/>
      </c>
      <c r="L173" s="103" t="str">
        <f t="shared" si="36"/>
        <v/>
      </c>
      <c r="M173" s="53">
        <v>0</v>
      </c>
      <c r="N173" s="102" t="str">
        <f t="shared" si="37"/>
        <v/>
      </c>
      <c r="O173" s="103" t="str">
        <f t="shared" si="38"/>
        <v/>
      </c>
      <c r="P173" s="53">
        <v>0</v>
      </c>
      <c r="Q173" s="102" t="str">
        <f t="shared" si="39"/>
        <v/>
      </c>
      <c r="R173" s="103" t="str">
        <f t="shared" si="40"/>
        <v/>
      </c>
      <c r="S173" s="53">
        <v>0</v>
      </c>
      <c r="T173" s="102" t="str">
        <f t="shared" si="41"/>
        <v/>
      </c>
      <c r="U173" s="103" t="str">
        <f t="shared" si="42"/>
        <v/>
      </c>
      <c r="V173" s="53">
        <v>0</v>
      </c>
      <c r="W173" s="87" t="str">
        <f t="shared" si="43"/>
        <v/>
      </c>
      <c r="X173" s="103" t="str">
        <f t="shared" si="44"/>
        <v/>
      </c>
      <c r="Y173" s="53">
        <v>0</v>
      </c>
      <c r="Z173" s="56" t="str">
        <f t="shared" si="45"/>
        <v/>
      </c>
      <c r="AA173" s="56" t="str">
        <f t="shared" si="46"/>
        <v/>
      </c>
      <c r="AB173" s="56" t="str">
        <f t="shared" si="47"/>
        <v/>
      </c>
      <c r="AC173" s="56" t="str">
        <f t="shared" si="48"/>
        <v/>
      </c>
      <c r="AD173" s="56" t="str">
        <f t="shared" si="49"/>
        <v/>
      </c>
      <c r="AE173" s="40"/>
      <c r="AF173" s="40"/>
      <c r="AG173" s="40"/>
      <c r="AH173" s="56" t="str">
        <f t="shared" si="50"/>
        <v/>
      </c>
      <c r="AI173" s="54"/>
      <c r="AJ173" s="54"/>
      <c r="AK173" s="54"/>
      <c r="AL173" s="54"/>
      <c r="AM173" s="54"/>
    </row>
    <row r="174" spans="1:39">
      <c r="A174" s="95"/>
      <c r="B174" s="45" t="str" cm="1">
        <f t="array" ref="B174">IF(H174="PROJECT", CHAR(10) &amp; "- " &amp; _xlfn.TEXTJOIN(CHAR(10) &amp; "- ", TRUE, _xlfn._xlws.FILTER($I$9:$I$1000, ($C$9:$C$1000=C174) * ($H$9:$H$1000="Topic"))), "")</f>
        <v/>
      </c>
      <c r="C174" s="45">
        <f t="shared" si="34"/>
        <v>142</v>
      </c>
      <c r="D174" s="57"/>
      <c r="E174" s="58"/>
      <c r="F174" s="54"/>
      <c r="G174" s="52"/>
      <c r="H174" s="52"/>
      <c r="I174" s="61"/>
      <c r="J174" s="62"/>
      <c r="K174" s="120" t="str">
        <f t="shared" si="35"/>
        <v/>
      </c>
      <c r="L174" s="103" t="str">
        <f t="shared" si="36"/>
        <v/>
      </c>
      <c r="M174" s="52">
        <v>0</v>
      </c>
      <c r="N174" s="102" t="str">
        <f t="shared" si="37"/>
        <v/>
      </c>
      <c r="O174" s="103" t="str">
        <f t="shared" si="38"/>
        <v/>
      </c>
      <c r="P174" s="52">
        <v>0</v>
      </c>
      <c r="Q174" s="102" t="str">
        <f t="shared" si="39"/>
        <v/>
      </c>
      <c r="R174" s="103" t="str">
        <f t="shared" si="40"/>
        <v/>
      </c>
      <c r="S174" s="52">
        <v>0</v>
      </c>
      <c r="T174" s="102" t="str">
        <f t="shared" si="41"/>
        <v/>
      </c>
      <c r="U174" s="103" t="str">
        <f t="shared" si="42"/>
        <v/>
      </c>
      <c r="V174" s="52">
        <v>0</v>
      </c>
      <c r="W174" s="87" t="str">
        <f t="shared" si="43"/>
        <v/>
      </c>
      <c r="X174" s="103" t="str">
        <f t="shared" si="44"/>
        <v/>
      </c>
      <c r="Y174" s="52">
        <v>0</v>
      </c>
      <c r="Z174" s="56" t="str">
        <f t="shared" si="45"/>
        <v/>
      </c>
      <c r="AA174" s="56" t="str">
        <f t="shared" si="46"/>
        <v/>
      </c>
      <c r="AB174" s="56" t="str">
        <f t="shared" si="47"/>
        <v/>
      </c>
      <c r="AC174" s="56" t="str">
        <f t="shared" si="48"/>
        <v/>
      </c>
      <c r="AD174" s="56" t="str">
        <f t="shared" si="49"/>
        <v/>
      </c>
      <c r="AE174" s="40"/>
      <c r="AF174" s="40"/>
      <c r="AG174" s="40"/>
      <c r="AH174" s="56" t="str">
        <f t="shared" si="50"/>
        <v/>
      </c>
      <c r="AI174" s="54"/>
      <c r="AJ174" s="54"/>
      <c r="AK174" s="54"/>
      <c r="AL174" s="54"/>
      <c r="AM174" s="54"/>
    </row>
    <row r="175" spans="1:39">
      <c r="A175" s="95"/>
      <c r="B175" s="45" t="str" cm="1">
        <f t="array" ref="B175">IF(H175="PROJECT", CHAR(10) &amp; "- " &amp; _xlfn.TEXTJOIN(CHAR(10) &amp; "- ", TRUE, _xlfn._xlws.FILTER($I$9:$I$1000, ($C$9:$C$1000=C175) * ($H$9:$H$1000="Topic"))), "")</f>
        <v/>
      </c>
      <c r="C175" s="45">
        <f t="shared" si="34"/>
        <v>143</v>
      </c>
      <c r="D175" s="46"/>
      <c r="E175" s="58"/>
      <c r="F175" s="67"/>
      <c r="G175" s="53"/>
      <c r="H175" s="53"/>
      <c r="I175" s="50"/>
      <c r="J175" s="51"/>
      <c r="K175" s="120" t="str">
        <f t="shared" si="35"/>
        <v/>
      </c>
      <c r="L175" s="103" t="str">
        <f t="shared" si="36"/>
        <v/>
      </c>
      <c r="M175" s="53">
        <v>0</v>
      </c>
      <c r="N175" s="102" t="str">
        <f t="shared" si="37"/>
        <v/>
      </c>
      <c r="O175" s="103" t="str">
        <f t="shared" si="38"/>
        <v/>
      </c>
      <c r="P175" s="53">
        <v>0</v>
      </c>
      <c r="Q175" s="102" t="str">
        <f t="shared" si="39"/>
        <v/>
      </c>
      <c r="R175" s="103" t="str">
        <f t="shared" si="40"/>
        <v/>
      </c>
      <c r="S175" s="53">
        <v>0</v>
      </c>
      <c r="T175" s="102" t="str">
        <f t="shared" si="41"/>
        <v/>
      </c>
      <c r="U175" s="103" t="str">
        <f t="shared" si="42"/>
        <v/>
      </c>
      <c r="V175" s="53">
        <v>0</v>
      </c>
      <c r="W175" s="87" t="str">
        <f t="shared" si="43"/>
        <v/>
      </c>
      <c r="X175" s="103" t="str">
        <f t="shared" si="44"/>
        <v/>
      </c>
      <c r="Y175" s="53">
        <v>0</v>
      </c>
      <c r="Z175" s="56" t="str">
        <f t="shared" si="45"/>
        <v/>
      </c>
      <c r="AA175" s="56" t="str">
        <f t="shared" si="46"/>
        <v/>
      </c>
      <c r="AB175" s="56" t="str">
        <f t="shared" si="47"/>
        <v/>
      </c>
      <c r="AC175" s="56" t="str">
        <f t="shared" si="48"/>
        <v/>
      </c>
      <c r="AD175" s="56" t="str">
        <f t="shared" si="49"/>
        <v/>
      </c>
      <c r="AE175" s="40"/>
      <c r="AF175" s="40"/>
      <c r="AG175" s="40"/>
      <c r="AH175" s="56" t="str">
        <f t="shared" si="50"/>
        <v/>
      </c>
      <c r="AI175" s="54"/>
      <c r="AJ175" s="54"/>
      <c r="AK175" s="54"/>
      <c r="AL175" s="54"/>
      <c r="AM175" s="54"/>
    </row>
    <row r="176" spans="1:39">
      <c r="A176" s="95"/>
      <c r="B176" s="45" t="str" cm="1">
        <f t="array" ref="B176">IF(H176="PROJECT", CHAR(10) &amp; "- " &amp; _xlfn.TEXTJOIN(CHAR(10) &amp; "- ", TRUE, _xlfn._xlws.FILTER($I$9:$I$1000, ($C$9:$C$1000=C176) * ($H$9:$H$1000="Topic"))), "")</f>
        <v/>
      </c>
      <c r="C176" s="45">
        <f t="shared" si="34"/>
        <v>144</v>
      </c>
      <c r="D176" s="57"/>
      <c r="E176" s="58"/>
      <c r="F176" s="54"/>
      <c r="G176" s="52"/>
      <c r="H176" s="52"/>
      <c r="I176" s="61"/>
      <c r="J176" s="62"/>
      <c r="K176" s="120" t="str">
        <f t="shared" si="35"/>
        <v/>
      </c>
      <c r="L176" s="103" t="str">
        <f t="shared" si="36"/>
        <v/>
      </c>
      <c r="M176" s="52">
        <v>0</v>
      </c>
      <c r="N176" s="102" t="str">
        <f t="shared" si="37"/>
        <v/>
      </c>
      <c r="O176" s="103" t="str">
        <f t="shared" si="38"/>
        <v/>
      </c>
      <c r="P176" s="52">
        <v>0</v>
      </c>
      <c r="Q176" s="102" t="str">
        <f t="shared" si="39"/>
        <v/>
      </c>
      <c r="R176" s="103" t="str">
        <f t="shared" si="40"/>
        <v/>
      </c>
      <c r="S176" s="52">
        <v>0</v>
      </c>
      <c r="T176" s="102" t="str">
        <f t="shared" si="41"/>
        <v/>
      </c>
      <c r="U176" s="103" t="str">
        <f t="shared" si="42"/>
        <v/>
      </c>
      <c r="V176" s="52">
        <v>0</v>
      </c>
      <c r="W176" s="87" t="str">
        <f t="shared" si="43"/>
        <v/>
      </c>
      <c r="X176" s="103" t="str">
        <f t="shared" si="44"/>
        <v/>
      </c>
      <c r="Y176" s="52">
        <v>0</v>
      </c>
      <c r="Z176" s="56" t="str">
        <f t="shared" si="45"/>
        <v/>
      </c>
      <c r="AA176" s="56" t="str">
        <f t="shared" si="46"/>
        <v/>
      </c>
      <c r="AB176" s="56" t="str">
        <f t="shared" si="47"/>
        <v/>
      </c>
      <c r="AC176" s="56" t="str">
        <f t="shared" si="48"/>
        <v/>
      </c>
      <c r="AD176" s="56" t="str">
        <f t="shared" si="49"/>
        <v/>
      </c>
      <c r="AE176" s="40"/>
      <c r="AF176" s="40"/>
      <c r="AG176" s="40"/>
      <c r="AH176" s="56" t="str">
        <f t="shared" si="50"/>
        <v/>
      </c>
      <c r="AI176" s="54"/>
      <c r="AJ176" s="54"/>
      <c r="AK176" s="54"/>
      <c r="AL176" s="54"/>
      <c r="AM176" s="54"/>
    </row>
    <row r="177" spans="1:39">
      <c r="A177" s="95"/>
      <c r="B177" s="45" t="str" cm="1">
        <f t="array" ref="B177">IF(H177="PROJECT", CHAR(10) &amp; "- " &amp; _xlfn.TEXTJOIN(CHAR(10) &amp; "- ", TRUE, _xlfn._xlws.FILTER($I$9:$I$1000, ($C$9:$C$1000=C177) * ($H$9:$H$1000="Topic"))), "")</f>
        <v/>
      </c>
      <c r="C177" s="45">
        <f t="shared" si="34"/>
        <v>145</v>
      </c>
      <c r="D177" s="46"/>
      <c r="E177" s="58"/>
      <c r="F177" s="67"/>
      <c r="G177" s="53"/>
      <c r="H177" s="53"/>
      <c r="I177" s="50"/>
      <c r="J177" s="51"/>
      <c r="K177" s="120" t="str">
        <f t="shared" si="35"/>
        <v/>
      </c>
      <c r="L177" s="103" t="str">
        <f t="shared" si="36"/>
        <v/>
      </c>
      <c r="M177" s="53">
        <v>0</v>
      </c>
      <c r="N177" s="102" t="str">
        <f t="shared" si="37"/>
        <v/>
      </c>
      <c r="O177" s="103" t="str">
        <f t="shared" si="38"/>
        <v/>
      </c>
      <c r="P177" s="53">
        <v>0</v>
      </c>
      <c r="Q177" s="102" t="str">
        <f t="shared" si="39"/>
        <v/>
      </c>
      <c r="R177" s="103" t="str">
        <f t="shared" si="40"/>
        <v/>
      </c>
      <c r="S177" s="53">
        <v>0</v>
      </c>
      <c r="T177" s="102" t="str">
        <f t="shared" si="41"/>
        <v/>
      </c>
      <c r="U177" s="103" t="str">
        <f t="shared" si="42"/>
        <v/>
      </c>
      <c r="V177" s="53">
        <v>0</v>
      </c>
      <c r="W177" s="87" t="str">
        <f t="shared" si="43"/>
        <v/>
      </c>
      <c r="X177" s="103" t="str">
        <f t="shared" si="44"/>
        <v/>
      </c>
      <c r="Y177" s="53">
        <v>0</v>
      </c>
      <c r="Z177" s="56" t="str">
        <f t="shared" si="45"/>
        <v/>
      </c>
      <c r="AA177" s="56" t="str">
        <f t="shared" si="46"/>
        <v/>
      </c>
      <c r="AB177" s="56" t="str">
        <f t="shared" si="47"/>
        <v/>
      </c>
      <c r="AC177" s="56" t="str">
        <f t="shared" si="48"/>
        <v/>
      </c>
      <c r="AD177" s="56" t="str">
        <f t="shared" si="49"/>
        <v/>
      </c>
      <c r="AE177" s="40"/>
      <c r="AF177" s="40"/>
      <c r="AG177" s="40"/>
      <c r="AH177" s="56" t="str">
        <f t="shared" si="50"/>
        <v/>
      </c>
      <c r="AI177" s="54"/>
      <c r="AJ177" s="54"/>
      <c r="AK177" s="54"/>
      <c r="AL177" s="54"/>
      <c r="AM177" s="54"/>
    </row>
    <row r="178" spans="1:39">
      <c r="A178" s="95"/>
      <c r="B178" s="45" t="str" cm="1">
        <f t="array" ref="B178">IF(H178="PROJECT", CHAR(10) &amp; "- " &amp; _xlfn.TEXTJOIN(CHAR(10) &amp; "- ", TRUE, _xlfn._xlws.FILTER($I$9:$I$1000, ($C$9:$C$1000=C178) * ($H$9:$H$1000="Topic"))), "")</f>
        <v/>
      </c>
      <c r="C178" s="45">
        <f t="shared" si="34"/>
        <v>146</v>
      </c>
      <c r="D178" s="57"/>
      <c r="E178" s="58"/>
      <c r="F178" s="54"/>
      <c r="G178" s="52"/>
      <c r="H178" s="52"/>
      <c r="I178" s="61"/>
      <c r="J178" s="62"/>
      <c r="K178" s="120" t="str">
        <f t="shared" si="35"/>
        <v/>
      </c>
      <c r="L178" s="103" t="str">
        <f t="shared" si="36"/>
        <v/>
      </c>
      <c r="M178" s="52">
        <v>0</v>
      </c>
      <c r="N178" s="102" t="str">
        <f t="shared" si="37"/>
        <v/>
      </c>
      <c r="O178" s="103" t="str">
        <f t="shared" si="38"/>
        <v/>
      </c>
      <c r="P178" s="52">
        <v>0</v>
      </c>
      <c r="Q178" s="102" t="str">
        <f t="shared" si="39"/>
        <v/>
      </c>
      <c r="R178" s="103" t="str">
        <f t="shared" si="40"/>
        <v/>
      </c>
      <c r="S178" s="52">
        <v>0</v>
      </c>
      <c r="T178" s="102" t="str">
        <f t="shared" si="41"/>
        <v/>
      </c>
      <c r="U178" s="103" t="str">
        <f t="shared" si="42"/>
        <v/>
      </c>
      <c r="V178" s="52">
        <v>0</v>
      </c>
      <c r="W178" s="87" t="str">
        <f t="shared" si="43"/>
        <v/>
      </c>
      <c r="X178" s="103" t="str">
        <f t="shared" si="44"/>
        <v/>
      </c>
      <c r="Y178" s="52">
        <v>0</v>
      </c>
      <c r="Z178" s="56" t="str">
        <f t="shared" si="45"/>
        <v/>
      </c>
      <c r="AA178" s="56" t="str">
        <f t="shared" si="46"/>
        <v/>
      </c>
      <c r="AB178" s="56" t="str">
        <f t="shared" si="47"/>
        <v/>
      </c>
      <c r="AC178" s="56" t="str">
        <f t="shared" si="48"/>
        <v/>
      </c>
      <c r="AD178" s="56" t="str">
        <f t="shared" si="49"/>
        <v/>
      </c>
      <c r="AE178" s="40"/>
      <c r="AF178" s="40"/>
      <c r="AG178" s="40"/>
      <c r="AH178" s="56" t="str">
        <f t="shared" si="50"/>
        <v/>
      </c>
      <c r="AI178" s="54"/>
      <c r="AJ178" s="54"/>
      <c r="AK178" s="54"/>
      <c r="AL178" s="54"/>
      <c r="AM178" s="54"/>
    </row>
    <row r="179" spans="1:39">
      <c r="A179" s="95"/>
      <c r="B179" s="45" t="str" cm="1">
        <f t="array" ref="B179">IF(H179="PROJECT", CHAR(10) &amp; "- " &amp; _xlfn.TEXTJOIN(CHAR(10) &amp; "- ", TRUE, _xlfn._xlws.FILTER($I$9:$I$1000, ($C$9:$C$1000=C179) * ($H$9:$H$1000="Topic"))), "")</f>
        <v/>
      </c>
      <c r="C179" s="45">
        <f t="shared" si="34"/>
        <v>147</v>
      </c>
      <c r="D179" s="46"/>
      <c r="E179" s="58"/>
      <c r="F179" s="67"/>
      <c r="G179" s="53"/>
      <c r="H179" s="53"/>
      <c r="I179" s="50"/>
      <c r="J179" s="51"/>
      <c r="K179" s="120" t="str">
        <f t="shared" si="35"/>
        <v/>
      </c>
      <c r="L179" s="103" t="str">
        <f t="shared" si="36"/>
        <v/>
      </c>
      <c r="M179" s="53">
        <v>0</v>
      </c>
      <c r="N179" s="102" t="str">
        <f t="shared" si="37"/>
        <v/>
      </c>
      <c r="O179" s="103" t="str">
        <f t="shared" si="38"/>
        <v/>
      </c>
      <c r="P179" s="53">
        <v>0</v>
      </c>
      <c r="Q179" s="102" t="str">
        <f t="shared" si="39"/>
        <v/>
      </c>
      <c r="R179" s="103" t="str">
        <f t="shared" si="40"/>
        <v/>
      </c>
      <c r="S179" s="53">
        <v>0</v>
      </c>
      <c r="T179" s="102" t="str">
        <f t="shared" si="41"/>
        <v/>
      </c>
      <c r="U179" s="103" t="str">
        <f t="shared" si="42"/>
        <v/>
      </c>
      <c r="V179" s="53">
        <v>0</v>
      </c>
      <c r="W179" s="87" t="str">
        <f t="shared" si="43"/>
        <v/>
      </c>
      <c r="X179" s="103" t="str">
        <f t="shared" si="44"/>
        <v/>
      </c>
      <c r="Y179" s="53">
        <v>0</v>
      </c>
      <c r="Z179" s="56" t="str">
        <f t="shared" si="45"/>
        <v/>
      </c>
      <c r="AA179" s="56" t="str">
        <f t="shared" si="46"/>
        <v/>
      </c>
      <c r="AB179" s="56" t="str">
        <f t="shared" si="47"/>
        <v/>
      </c>
      <c r="AC179" s="56" t="str">
        <f t="shared" si="48"/>
        <v/>
      </c>
      <c r="AD179" s="56" t="str">
        <f t="shared" si="49"/>
        <v/>
      </c>
      <c r="AE179" s="40"/>
      <c r="AF179" s="40"/>
      <c r="AG179" s="40"/>
      <c r="AH179" s="56" t="str">
        <f t="shared" si="50"/>
        <v/>
      </c>
      <c r="AI179" s="54"/>
      <c r="AJ179" s="54"/>
      <c r="AK179" s="54"/>
      <c r="AL179" s="54"/>
      <c r="AM179" s="54"/>
    </row>
    <row r="180" spans="1:39">
      <c r="A180" s="95"/>
      <c r="B180" s="45" t="str" cm="1">
        <f t="array" ref="B180">IF(H180="PROJECT", CHAR(10) &amp; "- " &amp; _xlfn.TEXTJOIN(CHAR(10) &amp; "- ", TRUE, _xlfn._xlws.FILTER($I$9:$I$1000, ($C$9:$C$1000=C180) * ($H$9:$H$1000="Topic"))), "")</f>
        <v/>
      </c>
      <c r="C180" s="45">
        <f t="shared" si="34"/>
        <v>148</v>
      </c>
      <c r="D180" s="57"/>
      <c r="E180" s="58"/>
      <c r="F180" s="54"/>
      <c r="G180" s="52"/>
      <c r="H180" s="52"/>
      <c r="I180" s="61"/>
      <c r="J180" s="62"/>
      <c r="K180" s="120" t="str">
        <f t="shared" si="35"/>
        <v/>
      </c>
      <c r="L180" s="103" t="str">
        <f t="shared" si="36"/>
        <v/>
      </c>
      <c r="M180" s="52">
        <v>0</v>
      </c>
      <c r="N180" s="102" t="str">
        <f t="shared" si="37"/>
        <v/>
      </c>
      <c r="O180" s="103" t="str">
        <f t="shared" si="38"/>
        <v/>
      </c>
      <c r="P180" s="52">
        <v>0</v>
      </c>
      <c r="Q180" s="102" t="str">
        <f t="shared" si="39"/>
        <v/>
      </c>
      <c r="R180" s="103" t="str">
        <f t="shared" si="40"/>
        <v/>
      </c>
      <c r="S180" s="52">
        <v>0</v>
      </c>
      <c r="T180" s="102" t="str">
        <f t="shared" si="41"/>
        <v/>
      </c>
      <c r="U180" s="103" t="str">
        <f t="shared" si="42"/>
        <v/>
      </c>
      <c r="V180" s="52">
        <v>0</v>
      </c>
      <c r="W180" s="87" t="str">
        <f t="shared" si="43"/>
        <v/>
      </c>
      <c r="X180" s="103" t="str">
        <f t="shared" si="44"/>
        <v/>
      </c>
      <c r="Y180" s="52">
        <v>0</v>
      </c>
      <c r="Z180" s="56" t="str">
        <f t="shared" si="45"/>
        <v/>
      </c>
      <c r="AA180" s="56" t="str">
        <f t="shared" si="46"/>
        <v/>
      </c>
      <c r="AB180" s="56" t="str">
        <f t="shared" si="47"/>
        <v/>
      </c>
      <c r="AC180" s="56" t="str">
        <f t="shared" si="48"/>
        <v/>
      </c>
      <c r="AD180" s="56" t="str">
        <f t="shared" si="49"/>
        <v/>
      </c>
      <c r="AE180" s="40"/>
      <c r="AF180" s="40"/>
      <c r="AG180" s="40"/>
      <c r="AH180" s="56" t="str">
        <f t="shared" si="50"/>
        <v/>
      </c>
      <c r="AI180" s="54"/>
      <c r="AJ180" s="54"/>
      <c r="AK180" s="54"/>
      <c r="AL180" s="54"/>
      <c r="AM180" s="54"/>
    </row>
    <row r="181" spans="1:39">
      <c r="A181" s="95"/>
      <c r="B181" s="45" t="str" cm="1">
        <f t="array" ref="B181">IF(H181="PROJECT", CHAR(10) &amp; "- " &amp; _xlfn.TEXTJOIN(CHAR(10) &amp; "- ", TRUE, _xlfn._xlws.FILTER($I$9:$I$1000, ($C$9:$C$1000=C181) * ($H$9:$H$1000="Topic"))), "")</f>
        <v/>
      </c>
      <c r="C181" s="45">
        <f t="shared" si="34"/>
        <v>149</v>
      </c>
      <c r="D181" s="46"/>
      <c r="E181" s="58"/>
      <c r="F181" s="67"/>
      <c r="G181" s="53"/>
      <c r="H181" s="53"/>
      <c r="I181" s="50"/>
      <c r="J181" s="51"/>
      <c r="K181" s="120" t="str">
        <f t="shared" si="35"/>
        <v/>
      </c>
      <c r="L181" s="103" t="str">
        <f t="shared" si="36"/>
        <v/>
      </c>
      <c r="M181" s="53">
        <v>0</v>
      </c>
      <c r="N181" s="102" t="str">
        <f t="shared" si="37"/>
        <v/>
      </c>
      <c r="O181" s="103" t="str">
        <f t="shared" si="38"/>
        <v/>
      </c>
      <c r="P181" s="53">
        <v>0</v>
      </c>
      <c r="Q181" s="102" t="str">
        <f t="shared" si="39"/>
        <v/>
      </c>
      <c r="R181" s="103" t="str">
        <f t="shared" si="40"/>
        <v/>
      </c>
      <c r="S181" s="53">
        <v>0</v>
      </c>
      <c r="T181" s="102" t="str">
        <f t="shared" si="41"/>
        <v/>
      </c>
      <c r="U181" s="103" t="str">
        <f t="shared" si="42"/>
        <v/>
      </c>
      <c r="V181" s="53">
        <v>0</v>
      </c>
      <c r="W181" s="87" t="str">
        <f t="shared" si="43"/>
        <v/>
      </c>
      <c r="X181" s="103" t="str">
        <f t="shared" si="44"/>
        <v/>
      </c>
      <c r="Y181" s="53">
        <v>0</v>
      </c>
      <c r="Z181" s="56" t="str">
        <f t="shared" si="45"/>
        <v/>
      </c>
      <c r="AA181" s="56" t="str">
        <f t="shared" si="46"/>
        <v/>
      </c>
      <c r="AB181" s="56" t="str">
        <f t="shared" si="47"/>
        <v/>
      </c>
      <c r="AC181" s="56" t="str">
        <f t="shared" si="48"/>
        <v/>
      </c>
      <c r="AD181" s="56" t="str">
        <f t="shared" si="49"/>
        <v/>
      </c>
      <c r="AE181" s="40"/>
      <c r="AF181" s="40"/>
      <c r="AG181" s="40"/>
      <c r="AH181" s="56" t="str">
        <f t="shared" si="50"/>
        <v/>
      </c>
      <c r="AI181" s="54"/>
      <c r="AJ181" s="54"/>
      <c r="AK181" s="54"/>
      <c r="AL181" s="54"/>
      <c r="AM181" s="54"/>
    </row>
    <row r="182" spans="1:39">
      <c r="A182" s="95"/>
      <c r="B182" s="45" t="str" cm="1">
        <f t="array" ref="B182">IF(H182="PROJECT", CHAR(10) &amp; "- " &amp; _xlfn.TEXTJOIN(CHAR(10) &amp; "- ", TRUE, _xlfn._xlws.FILTER($I$9:$I$1000, ($C$9:$C$1000=C182) * ($H$9:$H$1000="Topic"))), "")</f>
        <v/>
      </c>
      <c r="C182" s="45">
        <f t="shared" si="34"/>
        <v>150</v>
      </c>
      <c r="D182" s="57"/>
      <c r="E182" s="58"/>
      <c r="F182" s="54"/>
      <c r="G182" s="52"/>
      <c r="H182" s="52"/>
      <c r="I182" s="61"/>
      <c r="J182" s="62"/>
      <c r="K182" s="120" t="str">
        <f t="shared" si="35"/>
        <v/>
      </c>
      <c r="L182" s="103" t="str">
        <f t="shared" si="36"/>
        <v/>
      </c>
      <c r="M182" s="52">
        <v>0</v>
      </c>
      <c r="N182" s="102" t="str">
        <f t="shared" si="37"/>
        <v/>
      </c>
      <c r="O182" s="103" t="str">
        <f t="shared" si="38"/>
        <v/>
      </c>
      <c r="P182" s="52">
        <v>0</v>
      </c>
      <c r="Q182" s="102" t="str">
        <f t="shared" si="39"/>
        <v/>
      </c>
      <c r="R182" s="103" t="str">
        <f t="shared" si="40"/>
        <v/>
      </c>
      <c r="S182" s="52">
        <v>0</v>
      </c>
      <c r="T182" s="102" t="str">
        <f t="shared" si="41"/>
        <v/>
      </c>
      <c r="U182" s="103" t="str">
        <f t="shared" si="42"/>
        <v/>
      </c>
      <c r="V182" s="52">
        <v>0</v>
      </c>
      <c r="W182" s="87" t="str">
        <f t="shared" si="43"/>
        <v/>
      </c>
      <c r="X182" s="103" t="str">
        <f t="shared" si="44"/>
        <v/>
      </c>
      <c r="Y182" s="52">
        <v>0</v>
      </c>
      <c r="Z182" s="56" t="str">
        <f t="shared" si="45"/>
        <v/>
      </c>
      <c r="AA182" s="56" t="str">
        <f t="shared" si="46"/>
        <v/>
      </c>
      <c r="AB182" s="56" t="str">
        <f t="shared" si="47"/>
        <v/>
      </c>
      <c r="AC182" s="56" t="str">
        <f t="shared" si="48"/>
        <v/>
      </c>
      <c r="AD182" s="56" t="str">
        <f t="shared" si="49"/>
        <v/>
      </c>
      <c r="AE182" s="40"/>
      <c r="AF182" s="40"/>
      <c r="AG182" s="40"/>
      <c r="AH182" s="56" t="str">
        <f t="shared" si="50"/>
        <v/>
      </c>
      <c r="AI182" s="54"/>
      <c r="AJ182" s="54"/>
      <c r="AK182" s="54"/>
      <c r="AL182" s="54"/>
      <c r="AM182" s="54"/>
    </row>
    <row r="183" spans="1:39">
      <c r="A183" s="95"/>
      <c r="B183" s="45" t="str" cm="1">
        <f t="array" ref="B183">IF(H183="PROJECT", CHAR(10) &amp; "- " &amp; _xlfn.TEXTJOIN(CHAR(10) &amp; "- ", TRUE, _xlfn._xlws.FILTER($I$9:$I$1000, ($C$9:$C$1000=C183) * ($H$9:$H$1000="Topic"))), "")</f>
        <v/>
      </c>
      <c r="C183" s="45">
        <f t="shared" si="34"/>
        <v>151</v>
      </c>
      <c r="D183" s="46"/>
      <c r="E183" s="58"/>
      <c r="F183" s="67"/>
      <c r="G183" s="53"/>
      <c r="H183" s="53"/>
      <c r="I183" s="50"/>
      <c r="J183" s="51"/>
      <c r="K183" s="120" t="str">
        <f t="shared" si="35"/>
        <v/>
      </c>
      <c r="L183" s="103" t="str">
        <f t="shared" si="36"/>
        <v/>
      </c>
      <c r="M183" s="53">
        <v>0</v>
      </c>
      <c r="N183" s="102" t="str">
        <f t="shared" si="37"/>
        <v/>
      </c>
      <c r="O183" s="103" t="str">
        <f t="shared" si="38"/>
        <v/>
      </c>
      <c r="P183" s="53">
        <v>0</v>
      </c>
      <c r="Q183" s="102" t="str">
        <f t="shared" si="39"/>
        <v/>
      </c>
      <c r="R183" s="103" t="str">
        <f t="shared" si="40"/>
        <v/>
      </c>
      <c r="S183" s="53">
        <v>0</v>
      </c>
      <c r="T183" s="102" t="str">
        <f t="shared" si="41"/>
        <v/>
      </c>
      <c r="U183" s="103" t="str">
        <f t="shared" si="42"/>
        <v/>
      </c>
      <c r="V183" s="53">
        <v>0</v>
      </c>
      <c r="W183" s="87" t="str">
        <f t="shared" si="43"/>
        <v/>
      </c>
      <c r="X183" s="103" t="str">
        <f t="shared" si="44"/>
        <v/>
      </c>
      <c r="Y183" s="53">
        <v>0</v>
      </c>
      <c r="Z183" s="56" t="str">
        <f t="shared" si="45"/>
        <v/>
      </c>
      <c r="AA183" s="56" t="str">
        <f t="shared" si="46"/>
        <v/>
      </c>
      <c r="AB183" s="56" t="str">
        <f t="shared" si="47"/>
        <v/>
      </c>
      <c r="AC183" s="56" t="str">
        <f t="shared" si="48"/>
        <v/>
      </c>
      <c r="AD183" s="56" t="str">
        <f t="shared" si="49"/>
        <v/>
      </c>
      <c r="AE183" s="40"/>
      <c r="AF183" s="40"/>
      <c r="AG183" s="40"/>
      <c r="AH183" s="56" t="str">
        <f t="shared" si="50"/>
        <v/>
      </c>
      <c r="AI183" s="54"/>
      <c r="AJ183" s="54"/>
      <c r="AK183" s="54"/>
      <c r="AL183" s="54"/>
      <c r="AM183" s="54"/>
    </row>
    <row r="184" spans="1:39">
      <c r="A184" s="95"/>
      <c r="B184" s="45" t="str" cm="1">
        <f t="array" ref="B184">IF(H184="PROJECT", CHAR(10) &amp; "- " &amp; _xlfn.TEXTJOIN(CHAR(10) &amp; "- ", TRUE, _xlfn._xlws.FILTER($I$9:$I$1000, ($C$9:$C$1000=C184) * ($H$9:$H$1000="Topic"))), "")</f>
        <v/>
      </c>
      <c r="C184" s="45">
        <f t="shared" si="34"/>
        <v>152</v>
      </c>
      <c r="D184" s="57"/>
      <c r="E184" s="58"/>
      <c r="F184" s="54"/>
      <c r="G184" s="52"/>
      <c r="H184" s="52"/>
      <c r="I184" s="61"/>
      <c r="J184" s="62"/>
      <c r="K184" s="120" t="str">
        <f t="shared" si="35"/>
        <v/>
      </c>
      <c r="L184" s="103" t="str">
        <f t="shared" si="36"/>
        <v/>
      </c>
      <c r="M184" s="52">
        <v>0</v>
      </c>
      <c r="N184" s="102" t="str">
        <f t="shared" si="37"/>
        <v/>
      </c>
      <c r="O184" s="103" t="str">
        <f t="shared" si="38"/>
        <v/>
      </c>
      <c r="P184" s="52">
        <v>0</v>
      </c>
      <c r="Q184" s="102" t="str">
        <f t="shared" si="39"/>
        <v/>
      </c>
      <c r="R184" s="103" t="str">
        <f t="shared" si="40"/>
        <v/>
      </c>
      <c r="S184" s="52">
        <v>0</v>
      </c>
      <c r="T184" s="102" t="str">
        <f t="shared" si="41"/>
        <v/>
      </c>
      <c r="U184" s="103" t="str">
        <f t="shared" si="42"/>
        <v/>
      </c>
      <c r="V184" s="52">
        <v>0</v>
      </c>
      <c r="W184" s="87" t="str">
        <f t="shared" si="43"/>
        <v/>
      </c>
      <c r="X184" s="103" t="str">
        <f t="shared" si="44"/>
        <v/>
      </c>
      <c r="Y184" s="52">
        <v>0</v>
      </c>
      <c r="Z184" s="56" t="str">
        <f t="shared" si="45"/>
        <v/>
      </c>
      <c r="AA184" s="56" t="str">
        <f t="shared" si="46"/>
        <v/>
      </c>
      <c r="AB184" s="56" t="str">
        <f t="shared" si="47"/>
        <v/>
      </c>
      <c r="AC184" s="56" t="str">
        <f t="shared" si="48"/>
        <v/>
      </c>
      <c r="AD184" s="56" t="str">
        <f t="shared" si="49"/>
        <v/>
      </c>
      <c r="AE184" s="40"/>
      <c r="AF184" s="40"/>
      <c r="AG184" s="40"/>
      <c r="AH184" s="56" t="str">
        <f t="shared" si="50"/>
        <v/>
      </c>
      <c r="AI184" s="54"/>
      <c r="AJ184" s="54"/>
      <c r="AK184" s="54"/>
      <c r="AL184" s="54"/>
      <c r="AM184" s="54"/>
    </row>
    <row r="185" spans="1:39">
      <c r="A185" s="95"/>
      <c r="B185" s="45" t="str" cm="1">
        <f t="array" ref="B185">IF(H185="PROJECT", CHAR(10) &amp; "- " &amp; _xlfn.TEXTJOIN(CHAR(10) &amp; "- ", TRUE, _xlfn._xlws.FILTER($I$9:$I$1000, ($C$9:$C$1000=C185) * ($H$9:$H$1000="Topic"))), "")</f>
        <v/>
      </c>
      <c r="C185" s="45">
        <f t="shared" si="34"/>
        <v>153</v>
      </c>
      <c r="D185" s="46"/>
      <c r="E185" s="58"/>
      <c r="F185" s="67"/>
      <c r="G185" s="53"/>
      <c r="H185" s="53"/>
      <c r="I185" s="50"/>
      <c r="J185" s="51"/>
      <c r="K185" s="120" t="str">
        <f t="shared" si="35"/>
        <v/>
      </c>
      <c r="L185" s="103" t="str">
        <f t="shared" si="36"/>
        <v/>
      </c>
      <c r="M185" s="53">
        <v>0</v>
      </c>
      <c r="N185" s="102" t="str">
        <f t="shared" si="37"/>
        <v/>
      </c>
      <c r="O185" s="103" t="str">
        <f t="shared" si="38"/>
        <v/>
      </c>
      <c r="P185" s="53">
        <v>0</v>
      </c>
      <c r="Q185" s="102" t="str">
        <f t="shared" si="39"/>
        <v/>
      </c>
      <c r="R185" s="103" t="str">
        <f t="shared" si="40"/>
        <v/>
      </c>
      <c r="S185" s="53">
        <v>0</v>
      </c>
      <c r="T185" s="102" t="str">
        <f t="shared" si="41"/>
        <v/>
      </c>
      <c r="U185" s="103" t="str">
        <f t="shared" si="42"/>
        <v/>
      </c>
      <c r="V185" s="53">
        <v>0</v>
      </c>
      <c r="W185" s="87" t="str">
        <f t="shared" si="43"/>
        <v/>
      </c>
      <c r="X185" s="103" t="str">
        <f t="shared" si="44"/>
        <v/>
      </c>
      <c r="Y185" s="53">
        <v>0</v>
      </c>
      <c r="Z185" s="56" t="str">
        <f t="shared" si="45"/>
        <v/>
      </c>
      <c r="AA185" s="56" t="str">
        <f t="shared" si="46"/>
        <v/>
      </c>
      <c r="AB185" s="56" t="str">
        <f t="shared" si="47"/>
        <v/>
      </c>
      <c r="AC185" s="56" t="str">
        <f t="shared" si="48"/>
        <v/>
      </c>
      <c r="AD185" s="56" t="str">
        <f t="shared" si="49"/>
        <v/>
      </c>
      <c r="AE185" s="40"/>
      <c r="AF185" s="40"/>
      <c r="AG185" s="40"/>
      <c r="AH185" s="56" t="str">
        <f t="shared" si="50"/>
        <v/>
      </c>
      <c r="AI185" s="54"/>
      <c r="AJ185" s="54"/>
      <c r="AK185" s="54"/>
      <c r="AL185" s="54"/>
      <c r="AM185" s="54"/>
    </row>
    <row r="186" spans="1:39">
      <c r="A186" s="95"/>
      <c r="B186" s="45" t="str" cm="1">
        <f t="array" ref="B186">IF(H186="PROJECT", CHAR(10) &amp; "- " &amp; _xlfn.TEXTJOIN(CHAR(10) &amp; "- ", TRUE, _xlfn._xlws.FILTER($I$9:$I$1000, ($C$9:$C$1000=C186) * ($H$9:$H$1000="Topic"))), "")</f>
        <v/>
      </c>
      <c r="C186" s="45">
        <f t="shared" si="34"/>
        <v>154</v>
      </c>
      <c r="D186" s="57"/>
      <c r="E186" s="58"/>
      <c r="F186" s="54"/>
      <c r="G186" s="52"/>
      <c r="H186" s="52"/>
      <c r="I186" s="61"/>
      <c r="J186" s="62"/>
      <c r="K186" s="120" t="str">
        <f t="shared" si="35"/>
        <v/>
      </c>
      <c r="L186" s="103" t="str">
        <f t="shared" si="36"/>
        <v/>
      </c>
      <c r="M186" s="52">
        <v>0</v>
      </c>
      <c r="N186" s="102" t="str">
        <f t="shared" si="37"/>
        <v/>
      </c>
      <c r="O186" s="103" t="str">
        <f t="shared" si="38"/>
        <v/>
      </c>
      <c r="P186" s="52">
        <v>0</v>
      </c>
      <c r="Q186" s="102" t="str">
        <f t="shared" si="39"/>
        <v/>
      </c>
      <c r="R186" s="103" t="str">
        <f t="shared" si="40"/>
        <v/>
      </c>
      <c r="S186" s="52">
        <v>0</v>
      </c>
      <c r="T186" s="102" t="str">
        <f t="shared" si="41"/>
        <v/>
      </c>
      <c r="U186" s="103" t="str">
        <f t="shared" si="42"/>
        <v/>
      </c>
      <c r="V186" s="52">
        <v>0</v>
      </c>
      <c r="W186" s="87" t="str">
        <f t="shared" si="43"/>
        <v/>
      </c>
      <c r="X186" s="103" t="str">
        <f t="shared" si="44"/>
        <v/>
      </c>
      <c r="Y186" s="52">
        <v>0</v>
      </c>
      <c r="Z186" s="56" t="str">
        <f t="shared" si="45"/>
        <v/>
      </c>
      <c r="AA186" s="56" t="str">
        <f t="shared" si="46"/>
        <v/>
      </c>
      <c r="AB186" s="56" t="str">
        <f t="shared" si="47"/>
        <v/>
      </c>
      <c r="AC186" s="56" t="str">
        <f t="shared" si="48"/>
        <v/>
      </c>
      <c r="AD186" s="56" t="str">
        <f t="shared" si="49"/>
        <v/>
      </c>
      <c r="AE186" s="40"/>
      <c r="AF186" s="40"/>
      <c r="AG186" s="40"/>
      <c r="AH186" s="56" t="str">
        <f t="shared" si="50"/>
        <v/>
      </c>
      <c r="AI186" s="54"/>
      <c r="AJ186" s="54"/>
      <c r="AK186" s="54"/>
      <c r="AL186" s="54"/>
      <c r="AM186" s="54"/>
    </row>
    <row r="187" spans="1:39">
      <c r="A187" s="95"/>
      <c r="B187" s="45" t="str" cm="1">
        <f t="array" ref="B187">IF(H187="PROJECT", CHAR(10) &amp; "- " &amp; _xlfn.TEXTJOIN(CHAR(10) &amp; "- ", TRUE, _xlfn._xlws.FILTER($I$9:$I$1000, ($C$9:$C$1000=C187) * ($H$9:$H$1000="Topic"))), "")</f>
        <v/>
      </c>
      <c r="C187" s="45">
        <f t="shared" si="34"/>
        <v>155</v>
      </c>
      <c r="D187" s="46"/>
      <c r="E187" s="58"/>
      <c r="F187" s="67"/>
      <c r="G187" s="53"/>
      <c r="H187" s="53"/>
      <c r="I187" s="50"/>
      <c r="J187" s="51"/>
      <c r="K187" s="120" t="str">
        <f t="shared" si="35"/>
        <v/>
      </c>
      <c r="L187" s="103" t="str">
        <f t="shared" si="36"/>
        <v/>
      </c>
      <c r="M187" s="53">
        <v>0</v>
      </c>
      <c r="N187" s="102" t="str">
        <f t="shared" si="37"/>
        <v/>
      </c>
      <c r="O187" s="103" t="str">
        <f t="shared" si="38"/>
        <v/>
      </c>
      <c r="P187" s="53">
        <v>0</v>
      </c>
      <c r="Q187" s="102" t="str">
        <f t="shared" si="39"/>
        <v/>
      </c>
      <c r="R187" s="103" t="str">
        <f t="shared" si="40"/>
        <v/>
      </c>
      <c r="S187" s="53">
        <v>0</v>
      </c>
      <c r="T187" s="102" t="str">
        <f t="shared" si="41"/>
        <v/>
      </c>
      <c r="U187" s="103" t="str">
        <f t="shared" si="42"/>
        <v/>
      </c>
      <c r="V187" s="53">
        <v>0</v>
      </c>
      <c r="W187" s="87" t="str">
        <f t="shared" si="43"/>
        <v/>
      </c>
      <c r="X187" s="103" t="str">
        <f t="shared" si="44"/>
        <v/>
      </c>
      <c r="Y187" s="53">
        <v>0</v>
      </c>
      <c r="Z187" s="56" t="str">
        <f t="shared" si="45"/>
        <v/>
      </c>
      <c r="AA187" s="56" t="str">
        <f t="shared" si="46"/>
        <v/>
      </c>
      <c r="AB187" s="56" t="str">
        <f t="shared" si="47"/>
        <v/>
      </c>
      <c r="AC187" s="56" t="str">
        <f t="shared" si="48"/>
        <v/>
      </c>
      <c r="AD187" s="56" t="str">
        <f t="shared" si="49"/>
        <v/>
      </c>
      <c r="AE187" s="40"/>
      <c r="AF187" s="40"/>
      <c r="AG187" s="40"/>
      <c r="AH187" s="56" t="str">
        <f t="shared" si="50"/>
        <v/>
      </c>
      <c r="AI187" s="54"/>
      <c r="AJ187" s="54"/>
      <c r="AK187" s="54"/>
      <c r="AL187" s="54"/>
      <c r="AM187" s="54"/>
    </row>
    <row r="188" spans="1:39">
      <c r="A188" s="95"/>
      <c r="B188" s="45" t="str" cm="1">
        <f t="array" ref="B188">IF(H188="PROJECT", CHAR(10) &amp; "- " &amp; _xlfn.TEXTJOIN(CHAR(10) &amp; "- ", TRUE, _xlfn._xlws.FILTER($I$9:$I$1000, ($C$9:$C$1000=C188) * ($H$9:$H$1000="Topic"))), "")</f>
        <v/>
      </c>
      <c r="C188" s="45">
        <f t="shared" si="34"/>
        <v>156</v>
      </c>
      <c r="D188" s="57"/>
      <c r="E188" s="58"/>
      <c r="F188" s="54"/>
      <c r="G188" s="52"/>
      <c r="H188" s="52"/>
      <c r="I188" s="61"/>
      <c r="J188" s="62"/>
      <c r="K188" s="120" t="str">
        <f t="shared" si="35"/>
        <v/>
      </c>
      <c r="L188" s="103" t="str">
        <f t="shared" si="36"/>
        <v/>
      </c>
      <c r="M188" s="52">
        <v>0</v>
      </c>
      <c r="N188" s="102" t="str">
        <f t="shared" si="37"/>
        <v/>
      </c>
      <c r="O188" s="103" t="str">
        <f t="shared" si="38"/>
        <v/>
      </c>
      <c r="P188" s="52">
        <v>0</v>
      </c>
      <c r="Q188" s="102" t="str">
        <f t="shared" si="39"/>
        <v/>
      </c>
      <c r="R188" s="103" t="str">
        <f t="shared" si="40"/>
        <v/>
      </c>
      <c r="S188" s="52">
        <v>0</v>
      </c>
      <c r="T188" s="102" t="str">
        <f t="shared" si="41"/>
        <v/>
      </c>
      <c r="U188" s="103" t="str">
        <f t="shared" si="42"/>
        <v/>
      </c>
      <c r="V188" s="52">
        <v>0</v>
      </c>
      <c r="W188" s="87" t="str">
        <f t="shared" si="43"/>
        <v/>
      </c>
      <c r="X188" s="103" t="str">
        <f t="shared" si="44"/>
        <v/>
      </c>
      <c r="Y188" s="52">
        <v>0</v>
      </c>
      <c r="Z188" s="56" t="str">
        <f t="shared" si="45"/>
        <v/>
      </c>
      <c r="AA188" s="56" t="str">
        <f t="shared" si="46"/>
        <v/>
      </c>
      <c r="AB188" s="56" t="str">
        <f t="shared" si="47"/>
        <v/>
      </c>
      <c r="AC188" s="56" t="str">
        <f t="shared" si="48"/>
        <v/>
      </c>
      <c r="AD188" s="56" t="str">
        <f t="shared" si="49"/>
        <v/>
      </c>
      <c r="AE188" s="40"/>
      <c r="AF188" s="40"/>
      <c r="AG188" s="40"/>
      <c r="AH188" s="56" t="str">
        <f t="shared" si="50"/>
        <v/>
      </c>
      <c r="AI188" s="54"/>
      <c r="AJ188" s="54"/>
      <c r="AK188" s="54"/>
      <c r="AL188" s="54"/>
      <c r="AM188" s="54"/>
    </row>
    <row r="189" spans="1:39">
      <c r="A189" s="95"/>
      <c r="B189" s="45" t="str" cm="1">
        <f t="array" ref="B189">IF(H189="PROJECT", CHAR(10) &amp; "- " &amp; _xlfn.TEXTJOIN(CHAR(10) &amp; "- ", TRUE, _xlfn._xlws.FILTER($I$9:$I$1000, ($C$9:$C$1000=C189) * ($H$9:$H$1000="Topic"))), "")</f>
        <v/>
      </c>
      <c r="C189" s="45">
        <f t="shared" si="34"/>
        <v>157</v>
      </c>
      <c r="D189" s="46"/>
      <c r="E189" s="58"/>
      <c r="F189" s="67"/>
      <c r="G189" s="53"/>
      <c r="H189" s="53"/>
      <c r="I189" s="50"/>
      <c r="J189" s="51"/>
      <c r="K189" s="120" t="str">
        <f t="shared" si="35"/>
        <v/>
      </c>
      <c r="L189" s="103" t="str">
        <f t="shared" si="36"/>
        <v/>
      </c>
      <c r="M189" s="53">
        <v>0</v>
      </c>
      <c r="N189" s="102" t="str">
        <f t="shared" si="37"/>
        <v/>
      </c>
      <c r="O189" s="103" t="str">
        <f t="shared" si="38"/>
        <v/>
      </c>
      <c r="P189" s="53">
        <v>0</v>
      </c>
      <c r="Q189" s="102" t="str">
        <f t="shared" si="39"/>
        <v/>
      </c>
      <c r="R189" s="103" t="str">
        <f t="shared" si="40"/>
        <v/>
      </c>
      <c r="S189" s="53">
        <v>0</v>
      </c>
      <c r="T189" s="102" t="str">
        <f t="shared" si="41"/>
        <v/>
      </c>
      <c r="U189" s="103" t="str">
        <f t="shared" si="42"/>
        <v/>
      </c>
      <c r="V189" s="53">
        <v>0</v>
      </c>
      <c r="W189" s="87" t="str">
        <f t="shared" si="43"/>
        <v/>
      </c>
      <c r="X189" s="103" t="str">
        <f t="shared" si="44"/>
        <v/>
      </c>
      <c r="Y189" s="53">
        <v>0</v>
      </c>
      <c r="Z189" s="56" t="str">
        <f t="shared" si="45"/>
        <v/>
      </c>
      <c r="AA189" s="56" t="str">
        <f t="shared" si="46"/>
        <v/>
      </c>
      <c r="AB189" s="56" t="str">
        <f t="shared" si="47"/>
        <v/>
      </c>
      <c r="AC189" s="56" t="str">
        <f t="shared" si="48"/>
        <v/>
      </c>
      <c r="AD189" s="56" t="str">
        <f t="shared" si="49"/>
        <v/>
      </c>
      <c r="AE189" s="40"/>
      <c r="AF189" s="40"/>
      <c r="AG189" s="40"/>
      <c r="AH189" s="56" t="str">
        <f t="shared" si="50"/>
        <v/>
      </c>
      <c r="AI189" s="54"/>
      <c r="AJ189" s="54"/>
      <c r="AK189" s="54"/>
      <c r="AL189" s="54"/>
      <c r="AM189" s="54"/>
    </row>
    <row r="190" spans="1:39">
      <c r="A190" s="95"/>
      <c r="B190" s="45" t="str" cm="1">
        <f t="array" ref="B190">IF(H190="PROJECT", CHAR(10) &amp; "- " &amp; _xlfn.TEXTJOIN(CHAR(10) &amp; "- ", TRUE, _xlfn._xlws.FILTER($I$9:$I$1000, ($C$9:$C$1000=C190) * ($H$9:$H$1000="Topic"))), "")</f>
        <v/>
      </c>
      <c r="C190" s="45">
        <f t="shared" si="34"/>
        <v>158</v>
      </c>
      <c r="D190" s="57"/>
      <c r="E190" s="58"/>
      <c r="F190" s="54"/>
      <c r="G190" s="52"/>
      <c r="H190" s="52"/>
      <c r="I190" s="61"/>
      <c r="J190" s="62"/>
      <c r="K190" s="120" t="str">
        <f t="shared" si="35"/>
        <v/>
      </c>
      <c r="L190" s="103" t="str">
        <f t="shared" si="36"/>
        <v/>
      </c>
      <c r="M190" s="52">
        <v>0</v>
      </c>
      <c r="N190" s="102" t="str">
        <f t="shared" si="37"/>
        <v/>
      </c>
      <c r="O190" s="103" t="str">
        <f t="shared" si="38"/>
        <v/>
      </c>
      <c r="P190" s="52">
        <v>0</v>
      </c>
      <c r="Q190" s="102" t="str">
        <f t="shared" si="39"/>
        <v/>
      </c>
      <c r="R190" s="103" t="str">
        <f t="shared" si="40"/>
        <v/>
      </c>
      <c r="S190" s="52">
        <v>0</v>
      </c>
      <c r="T190" s="102" t="str">
        <f t="shared" si="41"/>
        <v/>
      </c>
      <c r="U190" s="103" t="str">
        <f t="shared" si="42"/>
        <v/>
      </c>
      <c r="V190" s="52">
        <v>0</v>
      </c>
      <c r="W190" s="87" t="str">
        <f t="shared" si="43"/>
        <v/>
      </c>
      <c r="X190" s="103" t="str">
        <f t="shared" si="44"/>
        <v/>
      </c>
      <c r="Y190" s="52">
        <v>0</v>
      </c>
      <c r="Z190" s="56" t="str">
        <f t="shared" si="45"/>
        <v/>
      </c>
      <c r="AA190" s="56" t="str">
        <f t="shared" si="46"/>
        <v/>
      </c>
      <c r="AB190" s="56" t="str">
        <f t="shared" si="47"/>
        <v/>
      </c>
      <c r="AC190" s="56" t="str">
        <f t="shared" si="48"/>
        <v/>
      </c>
      <c r="AD190" s="56" t="str">
        <f t="shared" si="49"/>
        <v/>
      </c>
      <c r="AE190" s="40"/>
      <c r="AF190" s="40"/>
      <c r="AG190" s="40"/>
      <c r="AH190" s="56" t="str">
        <f t="shared" si="50"/>
        <v/>
      </c>
      <c r="AI190" s="54"/>
      <c r="AJ190" s="54"/>
      <c r="AK190" s="54"/>
      <c r="AL190" s="54"/>
      <c r="AM190" s="54"/>
    </row>
    <row r="191" spans="1:39">
      <c r="A191" s="95"/>
      <c r="B191" s="45" t="str" cm="1">
        <f t="array" ref="B191">IF(H191="PROJECT", CHAR(10) &amp; "- " &amp; _xlfn.TEXTJOIN(CHAR(10) &amp; "- ", TRUE, _xlfn._xlws.FILTER($I$9:$I$1000, ($C$9:$C$1000=C191) * ($H$9:$H$1000="Topic"))), "")</f>
        <v/>
      </c>
      <c r="C191" s="45">
        <f t="shared" si="34"/>
        <v>159</v>
      </c>
      <c r="D191" s="46"/>
      <c r="E191" s="58"/>
      <c r="F191" s="67"/>
      <c r="G191" s="53"/>
      <c r="H191" s="53"/>
      <c r="I191" s="50"/>
      <c r="J191" s="51"/>
      <c r="K191" s="120" t="str">
        <f t="shared" si="35"/>
        <v/>
      </c>
      <c r="L191" s="103" t="str">
        <f t="shared" si="36"/>
        <v/>
      </c>
      <c r="M191" s="53">
        <v>0</v>
      </c>
      <c r="N191" s="102" t="str">
        <f t="shared" si="37"/>
        <v/>
      </c>
      <c r="O191" s="103" t="str">
        <f t="shared" si="38"/>
        <v/>
      </c>
      <c r="P191" s="53">
        <v>0</v>
      </c>
      <c r="Q191" s="102" t="str">
        <f t="shared" si="39"/>
        <v/>
      </c>
      <c r="R191" s="103" t="str">
        <f t="shared" si="40"/>
        <v/>
      </c>
      <c r="S191" s="53">
        <v>0</v>
      </c>
      <c r="T191" s="102" t="str">
        <f t="shared" si="41"/>
        <v/>
      </c>
      <c r="U191" s="103" t="str">
        <f t="shared" si="42"/>
        <v/>
      </c>
      <c r="V191" s="53">
        <v>0</v>
      </c>
      <c r="W191" s="87" t="str">
        <f t="shared" si="43"/>
        <v/>
      </c>
      <c r="X191" s="103" t="str">
        <f t="shared" si="44"/>
        <v/>
      </c>
      <c r="Y191" s="53">
        <v>0</v>
      </c>
      <c r="Z191" s="56" t="str">
        <f t="shared" si="45"/>
        <v/>
      </c>
      <c r="AA191" s="56" t="str">
        <f t="shared" si="46"/>
        <v/>
      </c>
      <c r="AB191" s="56" t="str">
        <f t="shared" si="47"/>
        <v/>
      </c>
      <c r="AC191" s="56" t="str">
        <f t="shared" si="48"/>
        <v/>
      </c>
      <c r="AD191" s="56" t="str">
        <f t="shared" si="49"/>
        <v/>
      </c>
      <c r="AE191" s="40"/>
      <c r="AF191" s="40"/>
      <c r="AG191" s="40"/>
      <c r="AH191" s="56" t="str">
        <f t="shared" si="50"/>
        <v/>
      </c>
      <c r="AI191" s="54"/>
      <c r="AJ191" s="54"/>
      <c r="AK191" s="54"/>
      <c r="AL191" s="54"/>
      <c r="AM191" s="54"/>
    </row>
    <row r="192" spans="1:39">
      <c r="A192" s="95"/>
      <c r="B192" s="45" t="str" cm="1">
        <f t="array" ref="B192">IF(H192="PROJECT", CHAR(10) &amp; "- " &amp; _xlfn.TEXTJOIN(CHAR(10) &amp; "- ", TRUE, _xlfn._xlws.FILTER($I$9:$I$1000, ($C$9:$C$1000=C192) * ($H$9:$H$1000="Topic"))), "")</f>
        <v/>
      </c>
      <c r="C192" s="45">
        <f t="shared" si="34"/>
        <v>160</v>
      </c>
      <c r="D192" s="57"/>
      <c r="E192" s="58"/>
      <c r="F192" s="54"/>
      <c r="G192" s="52"/>
      <c r="H192" s="52"/>
      <c r="I192" s="61"/>
      <c r="J192" s="62"/>
      <c r="K192" s="120" t="str">
        <f t="shared" si="35"/>
        <v/>
      </c>
      <c r="L192" s="103" t="str">
        <f t="shared" si="36"/>
        <v/>
      </c>
      <c r="M192" s="52">
        <v>0</v>
      </c>
      <c r="N192" s="102" t="str">
        <f t="shared" si="37"/>
        <v/>
      </c>
      <c r="O192" s="103" t="str">
        <f t="shared" si="38"/>
        <v/>
      </c>
      <c r="P192" s="52">
        <v>0</v>
      </c>
      <c r="Q192" s="102" t="str">
        <f t="shared" si="39"/>
        <v/>
      </c>
      <c r="R192" s="103" t="str">
        <f t="shared" si="40"/>
        <v/>
      </c>
      <c r="S192" s="52">
        <v>0</v>
      </c>
      <c r="T192" s="102" t="str">
        <f t="shared" si="41"/>
        <v/>
      </c>
      <c r="U192" s="103" t="str">
        <f t="shared" si="42"/>
        <v/>
      </c>
      <c r="V192" s="52">
        <v>0</v>
      </c>
      <c r="W192" s="87" t="str">
        <f t="shared" si="43"/>
        <v/>
      </c>
      <c r="X192" s="103" t="str">
        <f t="shared" si="44"/>
        <v/>
      </c>
      <c r="Y192" s="52">
        <v>0</v>
      </c>
      <c r="Z192" s="56" t="str">
        <f t="shared" si="45"/>
        <v/>
      </c>
      <c r="AA192" s="56" t="str">
        <f t="shared" si="46"/>
        <v/>
      </c>
      <c r="AB192" s="56" t="str">
        <f t="shared" si="47"/>
        <v/>
      </c>
      <c r="AC192" s="56" t="str">
        <f t="shared" si="48"/>
        <v/>
      </c>
      <c r="AD192" s="56" t="str">
        <f t="shared" si="49"/>
        <v/>
      </c>
      <c r="AE192" s="40"/>
      <c r="AF192" s="40"/>
      <c r="AG192" s="40"/>
      <c r="AH192" s="56" t="str">
        <f t="shared" si="50"/>
        <v/>
      </c>
      <c r="AI192" s="54"/>
      <c r="AJ192" s="54"/>
      <c r="AK192" s="54"/>
      <c r="AL192" s="54"/>
      <c r="AM192" s="54"/>
    </row>
    <row r="193" spans="1:39">
      <c r="A193" s="95"/>
      <c r="B193" s="45" t="str" cm="1">
        <f t="array" ref="B193">IF(H193="PROJECT", CHAR(10) &amp; "- " &amp; _xlfn.TEXTJOIN(CHAR(10) &amp; "- ", TRUE, _xlfn._xlws.FILTER($I$9:$I$1000, ($C$9:$C$1000=C193) * ($H$9:$H$1000="Topic"))), "")</f>
        <v/>
      </c>
      <c r="C193" s="45">
        <f t="shared" si="34"/>
        <v>161</v>
      </c>
      <c r="D193" s="46"/>
      <c r="E193" s="58"/>
      <c r="F193" s="67"/>
      <c r="G193" s="53"/>
      <c r="H193" s="53"/>
      <c r="I193" s="50"/>
      <c r="J193" s="51"/>
      <c r="K193" s="120" t="str">
        <f t="shared" si="35"/>
        <v/>
      </c>
      <c r="L193" s="103" t="str">
        <f t="shared" si="36"/>
        <v/>
      </c>
      <c r="M193" s="53">
        <v>0</v>
      </c>
      <c r="N193" s="102" t="str">
        <f t="shared" si="37"/>
        <v/>
      </c>
      <c r="O193" s="103" t="str">
        <f t="shared" si="38"/>
        <v/>
      </c>
      <c r="P193" s="53">
        <v>0</v>
      </c>
      <c r="Q193" s="102" t="str">
        <f t="shared" si="39"/>
        <v/>
      </c>
      <c r="R193" s="103" t="str">
        <f t="shared" si="40"/>
        <v/>
      </c>
      <c r="S193" s="53">
        <v>0</v>
      </c>
      <c r="T193" s="102" t="str">
        <f t="shared" si="41"/>
        <v/>
      </c>
      <c r="U193" s="103" t="str">
        <f t="shared" si="42"/>
        <v/>
      </c>
      <c r="V193" s="53">
        <v>0</v>
      </c>
      <c r="W193" s="87" t="str">
        <f t="shared" si="43"/>
        <v/>
      </c>
      <c r="X193" s="103" t="str">
        <f t="shared" si="44"/>
        <v/>
      </c>
      <c r="Y193" s="53">
        <v>0</v>
      </c>
      <c r="Z193" s="56" t="str">
        <f t="shared" si="45"/>
        <v/>
      </c>
      <c r="AA193" s="56" t="str">
        <f t="shared" si="46"/>
        <v/>
      </c>
      <c r="AB193" s="56" t="str">
        <f t="shared" si="47"/>
        <v/>
      </c>
      <c r="AC193" s="56" t="str">
        <f t="shared" si="48"/>
        <v/>
      </c>
      <c r="AD193" s="56" t="str">
        <f t="shared" si="49"/>
        <v/>
      </c>
      <c r="AE193" s="40"/>
      <c r="AF193" s="40"/>
      <c r="AG193" s="40"/>
      <c r="AH193" s="56" t="str">
        <f t="shared" si="50"/>
        <v/>
      </c>
      <c r="AI193" s="54"/>
      <c r="AJ193" s="54"/>
      <c r="AK193" s="54"/>
      <c r="AL193" s="54"/>
      <c r="AM193" s="54"/>
    </row>
    <row r="194" spans="1:39">
      <c r="A194" s="95"/>
      <c r="B194" s="45" t="str" cm="1">
        <f t="array" ref="B194">IF(H194="PROJECT", CHAR(10) &amp; "- " &amp; _xlfn.TEXTJOIN(CHAR(10) &amp; "- ", TRUE, _xlfn._xlws.FILTER($I$9:$I$1000, ($C$9:$C$1000=C194) * ($H$9:$H$1000="Topic"))), "")</f>
        <v/>
      </c>
      <c r="C194" s="45">
        <f t="shared" si="34"/>
        <v>162</v>
      </c>
      <c r="D194" s="57"/>
      <c r="E194" s="58"/>
      <c r="F194" s="54"/>
      <c r="G194" s="52"/>
      <c r="H194" s="52"/>
      <c r="I194" s="61"/>
      <c r="J194" s="62"/>
      <c r="K194" s="120" t="str">
        <f t="shared" si="35"/>
        <v/>
      </c>
      <c r="L194" s="103" t="str">
        <f t="shared" si="36"/>
        <v/>
      </c>
      <c r="M194" s="52">
        <v>0</v>
      </c>
      <c r="N194" s="102" t="str">
        <f t="shared" si="37"/>
        <v/>
      </c>
      <c r="O194" s="103" t="str">
        <f t="shared" si="38"/>
        <v/>
      </c>
      <c r="P194" s="52">
        <v>0</v>
      </c>
      <c r="Q194" s="102" t="str">
        <f t="shared" si="39"/>
        <v/>
      </c>
      <c r="R194" s="103" t="str">
        <f t="shared" si="40"/>
        <v/>
      </c>
      <c r="S194" s="52">
        <v>0</v>
      </c>
      <c r="T194" s="102" t="str">
        <f t="shared" si="41"/>
        <v/>
      </c>
      <c r="U194" s="103" t="str">
        <f t="shared" si="42"/>
        <v/>
      </c>
      <c r="V194" s="52">
        <v>0</v>
      </c>
      <c r="W194" s="87" t="str">
        <f t="shared" si="43"/>
        <v/>
      </c>
      <c r="X194" s="103" t="str">
        <f t="shared" si="44"/>
        <v/>
      </c>
      <c r="Y194" s="52">
        <v>0</v>
      </c>
      <c r="Z194" s="56" t="str">
        <f t="shared" si="45"/>
        <v/>
      </c>
      <c r="AA194" s="56" t="str">
        <f t="shared" si="46"/>
        <v/>
      </c>
      <c r="AB194" s="56" t="str">
        <f t="shared" si="47"/>
        <v/>
      </c>
      <c r="AC194" s="56" t="str">
        <f t="shared" si="48"/>
        <v/>
      </c>
      <c r="AD194" s="56" t="str">
        <f t="shared" si="49"/>
        <v/>
      </c>
      <c r="AE194" s="40"/>
      <c r="AF194" s="40"/>
      <c r="AG194" s="40"/>
      <c r="AH194" s="56" t="str">
        <f t="shared" si="50"/>
        <v/>
      </c>
      <c r="AI194" s="54"/>
      <c r="AJ194" s="54"/>
      <c r="AK194" s="54"/>
      <c r="AL194" s="54"/>
      <c r="AM194" s="54"/>
    </row>
    <row r="195" spans="1:39">
      <c r="A195" s="95"/>
      <c r="B195" s="45" t="str" cm="1">
        <f t="array" ref="B195">IF(H195="PROJECT", CHAR(10) &amp; "- " &amp; _xlfn.TEXTJOIN(CHAR(10) &amp; "- ", TRUE, _xlfn._xlws.FILTER($I$9:$I$1000, ($C$9:$C$1000=C195) * ($H$9:$H$1000="Topic"))), "")</f>
        <v/>
      </c>
      <c r="C195" s="45">
        <f t="shared" si="34"/>
        <v>163</v>
      </c>
      <c r="D195" s="46"/>
      <c r="E195" s="58"/>
      <c r="F195" s="67"/>
      <c r="G195" s="53"/>
      <c r="H195" s="53"/>
      <c r="I195" s="50"/>
      <c r="J195" s="51"/>
      <c r="K195" s="120" t="str">
        <f t="shared" si="35"/>
        <v/>
      </c>
      <c r="L195" s="103" t="str">
        <f t="shared" si="36"/>
        <v/>
      </c>
      <c r="M195" s="53">
        <v>0</v>
      </c>
      <c r="N195" s="102" t="str">
        <f t="shared" si="37"/>
        <v/>
      </c>
      <c r="O195" s="103" t="str">
        <f t="shared" si="38"/>
        <v/>
      </c>
      <c r="P195" s="53">
        <v>0</v>
      </c>
      <c r="Q195" s="102" t="str">
        <f t="shared" si="39"/>
        <v/>
      </c>
      <c r="R195" s="103" t="str">
        <f t="shared" si="40"/>
        <v/>
      </c>
      <c r="S195" s="53">
        <v>0</v>
      </c>
      <c r="T195" s="102" t="str">
        <f t="shared" si="41"/>
        <v/>
      </c>
      <c r="U195" s="103" t="str">
        <f t="shared" si="42"/>
        <v/>
      </c>
      <c r="V195" s="53">
        <v>0</v>
      </c>
      <c r="W195" s="87" t="str">
        <f t="shared" si="43"/>
        <v/>
      </c>
      <c r="X195" s="103" t="str">
        <f t="shared" si="44"/>
        <v/>
      </c>
      <c r="Y195" s="53">
        <v>0</v>
      </c>
      <c r="Z195" s="56" t="str">
        <f t="shared" si="45"/>
        <v/>
      </c>
      <c r="AA195" s="56" t="str">
        <f t="shared" si="46"/>
        <v/>
      </c>
      <c r="AB195" s="56" t="str">
        <f t="shared" si="47"/>
        <v/>
      </c>
      <c r="AC195" s="56" t="str">
        <f t="shared" si="48"/>
        <v/>
      </c>
      <c r="AD195" s="56" t="str">
        <f t="shared" si="49"/>
        <v/>
      </c>
      <c r="AE195" s="40"/>
      <c r="AF195" s="40"/>
      <c r="AG195" s="40"/>
      <c r="AH195" s="56" t="str">
        <f t="shared" si="50"/>
        <v/>
      </c>
      <c r="AI195" s="54"/>
      <c r="AJ195" s="54"/>
      <c r="AK195" s="54"/>
      <c r="AL195" s="54"/>
      <c r="AM195" s="54"/>
    </row>
    <row r="196" spans="1:39">
      <c r="A196" s="95"/>
      <c r="B196" s="45" t="str" cm="1">
        <f t="array" ref="B196">IF(H196="PROJECT", CHAR(10) &amp; "- " &amp; _xlfn.TEXTJOIN(CHAR(10) &amp; "- ", TRUE, _xlfn._xlws.FILTER($I$9:$I$1000, ($C$9:$C$1000=C196) * ($H$9:$H$1000="Topic"))), "")</f>
        <v/>
      </c>
      <c r="C196" s="45">
        <f t="shared" si="34"/>
        <v>164</v>
      </c>
      <c r="D196" s="57"/>
      <c r="E196" s="58"/>
      <c r="F196" s="54"/>
      <c r="G196" s="52"/>
      <c r="H196" s="52"/>
      <c r="I196" s="61"/>
      <c r="J196" s="62"/>
      <c r="K196" s="120" t="str">
        <f t="shared" si="35"/>
        <v/>
      </c>
      <c r="L196" s="103" t="str">
        <f t="shared" si="36"/>
        <v/>
      </c>
      <c r="M196" s="52">
        <v>0</v>
      </c>
      <c r="N196" s="102" t="str">
        <f t="shared" si="37"/>
        <v/>
      </c>
      <c r="O196" s="103" t="str">
        <f t="shared" si="38"/>
        <v/>
      </c>
      <c r="P196" s="52">
        <v>0</v>
      </c>
      <c r="Q196" s="102" t="str">
        <f t="shared" si="39"/>
        <v/>
      </c>
      <c r="R196" s="103" t="str">
        <f t="shared" si="40"/>
        <v/>
      </c>
      <c r="S196" s="52">
        <v>0</v>
      </c>
      <c r="T196" s="102" t="str">
        <f t="shared" si="41"/>
        <v/>
      </c>
      <c r="U196" s="103" t="str">
        <f t="shared" si="42"/>
        <v/>
      </c>
      <c r="V196" s="52">
        <v>0</v>
      </c>
      <c r="W196" s="87" t="str">
        <f t="shared" si="43"/>
        <v/>
      </c>
      <c r="X196" s="103" t="str">
        <f t="shared" si="44"/>
        <v/>
      </c>
      <c r="Y196" s="52">
        <v>0</v>
      </c>
      <c r="Z196" s="56" t="str">
        <f t="shared" si="45"/>
        <v/>
      </c>
      <c r="AA196" s="56" t="str">
        <f t="shared" si="46"/>
        <v/>
      </c>
      <c r="AB196" s="56" t="str">
        <f t="shared" si="47"/>
        <v/>
      </c>
      <c r="AC196" s="56" t="str">
        <f t="shared" si="48"/>
        <v/>
      </c>
      <c r="AD196" s="56" t="str">
        <f t="shared" si="49"/>
        <v/>
      </c>
      <c r="AE196" s="40"/>
      <c r="AF196" s="40"/>
      <c r="AG196" s="40"/>
      <c r="AH196" s="56" t="str">
        <f t="shared" si="50"/>
        <v/>
      </c>
      <c r="AI196" s="54"/>
      <c r="AJ196" s="54"/>
      <c r="AK196" s="54"/>
      <c r="AL196" s="54"/>
      <c r="AM196" s="54"/>
    </row>
    <row r="197" spans="1:39">
      <c r="A197" s="95"/>
      <c r="B197" s="45" t="str" cm="1">
        <f t="array" ref="B197">IF(H197="PROJECT", CHAR(10) &amp; "- " &amp; _xlfn.TEXTJOIN(CHAR(10) &amp; "- ", TRUE, _xlfn._xlws.FILTER($I$9:$I$1000, ($C$9:$C$1000=C197) * ($H$9:$H$1000="Topic"))), "")</f>
        <v/>
      </c>
      <c r="C197" s="45">
        <f t="shared" si="34"/>
        <v>165</v>
      </c>
      <c r="D197" s="46"/>
      <c r="E197" s="58"/>
      <c r="F197" s="67"/>
      <c r="G197" s="53"/>
      <c r="H197" s="53"/>
      <c r="I197" s="50"/>
      <c r="J197" s="51"/>
      <c r="K197" s="120" t="str">
        <f t="shared" si="35"/>
        <v/>
      </c>
      <c r="L197" s="103" t="str">
        <f t="shared" si="36"/>
        <v/>
      </c>
      <c r="M197" s="53">
        <v>0</v>
      </c>
      <c r="N197" s="102" t="str">
        <f t="shared" si="37"/>
        <v/>
      </c>
      <c r="O197" s="103" t="str">
        <f t="shared" si="38"/>
        <v/>
      </c>
      <c r="P197" s="53">
        <v>0</v>
      </c>
      <c r="Q197" s="102" t="str">
        <f t="shared" si="39"/>
        <v/>
      </c>
      <c r="R197" s="103" t="str">
        <f t="shared" si="40"/>
        <v/>
      </c>
      <c r="S197" s="53">
        <v>0</v>
      </c>
      <c r="T197" s="102" t="str">
        <f t="shared" si="41"/>
        <v/>
      </c>
      <c r="U197" s="103" t="str">
        <f t="shared" si="42"/>
        <v/>
      </c>
      <c r="V197" s="53">
        <v>0</v>
      </c>
      <c r="W197" s="87" t="str">
        <f t="shared" si="43"/>
        <v/>
      </c>
      <c r="X197" s="103" t="str">
        <f t="shared" si="44"/>
        <v/>
      </c>
      <c r="Y197" s="53">
        <v>0</v>
      </c>
      <c r="Z197" s="56" t="str">
        <f t="shared" si="45"/>
        <v/>
      </c>
      <c r="AA197" s="56" t="str">
        <f t="shared" si="46"/>
        <v/>
      </c>
      <c r="AB197" s="56" t="str">
        <f t="shared" si="47"/>
        <v/>
      </c>
      <c r="AC197" s="56" t="str">
        <f t="shared" si="48"/>
        <v/>
      </c>
      <c r="AD197" s="56" t="str">
        <f t="shared" si="49"/>
        <v/>
      </c>
      <c r="AE197" s="40"/>
      <c r="AF197" s="40"/>
      <c r="AG197" s="40"/>
      <c r="AH197" s="56" t="str">
        <f t="shared" si="50"/>
        <v/>
      </c>
      <c r="AI197" s="54"/>
      <c r="AJ197" s="54"/>
      <c r="AK197" s="54"/>
      <c r="AL197" s="54"/>
      <c r="AM197" s="54"/>
    </row>
    <row r="198" spans="1:39">
      <c r="A198" s="95"/>
      <c r="B198" s="45" t="str" cm="1">
        <f t="array" ref="B198">IF(H198="PROJECT", CHAR(10) &amp; "- " &amp; _xlfn.TEXTJOIN(CHAR(10) &amp; "- ", TRUE, _xlfn._xlws.FILTER($I$9:$I$1000, ($C$9:$C$1000=C198) * ($H$9:$H$1000="Topic"))), "")</f>
        <v/>
      </c>
      <c r="C198" s="45">
        <f t="shared" si="34"/>
        <v>166</v>
      </c>
      <c r="D198" s="57"/>
      <c r="E198" s="58"/>
      <c r="F198" s="54"/>
      <c r="G198" s="52"/>
      <c r="H198" s="52"/>
      <c r="I198" s="61"/>
      <c r="J198" s="62"/>
      <c r="K198" s="120" t="str">
        <f t="shared" si="35"/>
        <v/>
      </c>
      <c r="L198" s="103" t="str">
        <f t="shared" si="36"/>
        <v/>
      </c>
      <c r="M198" s="52">
        <v>0</v>
      </c>
      <c r="N198" s="102" t="str">
        <f t="shared" si="37"/>
        <v/>
      </c>
      <c r="O198" s="103" t="str">
        <f t="shared" si="38"/>
        <v/>
      </c>
      <c r="P198" s="52">
        <v>0</v>
      </c>
      <c r="Q198" s="102" t="str">
        <f t="shared" si="39"/>
        <v/>
      </c>
      <c r="R198" s="103" t="str">
        <f t="shared" si="40"/>
        <v/>
      </c>
      <c r="S198" s="52">
        <v>0</v>
      </c>
      <c r="T198" s="102" t="str">
        <f t="shared" si="41"/>
        <v/>
      </c>
      <c r="U198" s="103" t="str">
        <f t="shared" si="42"/>
        <v/>
      </c>
      <c r="V198" s="52">
        <v>0</v>
      </c>
      <c r="W198" s="87" t="str">
        <f t="shared" si="43"/>
        <v/>
      </c>
      <c r="X198" s="103" t="str">
        <f t="shared" si="44"/>
        <v/>
      </c>
      <c r="Y198" s="52">
        <v>0</v>
      </c>
      <c r="Z198" s="56" t="str">
        <f t="shared" si="45"/>
        <v/>
      </c>
      <c r="AA198" s="56" t="str">
        <f t="shared" si="46"/>
        <v/>
      </c>
      <c r="AB198" s="56" t="str">
        <f t="shared" si="47"/>
        <v/>
      </c>
      <c r="AC198" s="56" t="str">
        <f t="shared" si="48"/>
        <v/>
      </c>
      <c r="AD198" s="56" t="str">
        <f t="shared" si="49"/>
        <v/>
      </c>
      <c r="AE198" s="40"/>
      <c r="AF198" s="40"/>
      <c r="AG198" s="40"/>
      <c r="AH198" s="56" t="str">
        <f t="shared" si="50"/>
        <v/>
      </c>
      <c r="AI198" s="54"/>
      <c r="AJ198" s="54"/>
      <c r="AK198" s="54"/>
      <c r="AL198" s="54"/>
      <c r="AM198" s="54"/>
    </row>
    <row r="199" spans="1:39">
      <c r="A199" s="95"/>
      <c r="B199" s="45" t="str" cm="1">
        <f t="array" ref="B199">IF(H199="PROJECT", CHAR(10) &amp; "- " &amp; _xlfn.TEXTJOIN(CHAR(10) &amp; "- ", TRUE, _xlfn._xlws.FILTER($I$9:$I$1000, ($C$9:$C$1000=C199) * ($H$9:$H$1000="Topic"))), "")</f>
        <v/>
      </c>
      <c r="C199" s="45">
        <f t="shared" si="34"/>
        <v>167</v>
      </c>
      <c r="D199" s="46"/>
      <c r="E199" s="58"/>
      <c r="F199" s="67"/>
      <c r="G199" s="53"/>
      <c r="H199" s="53"/>
      <c r="I199" s="50"/>
      <c r="J199" s="51"/>
      <c r="K199" s="120" t="str">
        <f t="shared" si="35"/>
        <v/>
      </c>
      <c r="L199" s="103" t="str">
        <f t="shared" si="36"/>
        <v/>
      </c>
      <c r="M199" s="53">
        <v>0</v>
      </c>
      <c r="N199" s="102" t="str">
        <f t="shared" si="37"/>
        <v/>
      </c>
      <c r="O199" s="103" t="str">
        <f t="shared" si="38"/>
        <v/>
      </c>
      <c r="P199" s="53">
        <v>0</v>
      </c>
      <c r="Q199" s="102" t="str">
        <f t="shared" si="39"/>
        <v/>
      </c>
      <c r="R199" s="103" t="str">
        <f t="shared" si="40"/>
        <v/>
      </c>
      <c r="S199" s="53">
        <v>0</v>
      </c>
      <c r="T199" s="102" t="str">
        <f t="shared" si="41"/>
        <v/>
      </c>
      <c r="U199" s="103" t="str">
        <f t="shared" si="42"/>
        <v/>
      </c>
      <c r="V199" s="53">
        <v>0</v>
      </c>
      <c r="W199" s="87" t="str">
        <f t="shared" si="43"/>
        <v/>
      </c>
      <c r="X199" s="103" t="str">
        <f t="shared" si="44"/>
        <v/>
      </c>
      <c r="Y199" s="53">
        <v>0</v>
      </c>
      <c r="Z199" s="56" t="str">
        <f t="shared" si="45"/>
        <v/>
      </c>
      <c r="AA199" s="56" t="str">
        <f t="shared" si="46"/>
        <v/>
      </c>
      <c r="AB199" s="56" t="str">
        <f t="shared" si="47"/>
        <v/>
      </c>
      <c r="AC199" s="56" t="str">
        <f t="shared" si="48"/>
        <v/>
      </c>
      <c r="AD199" s="56" t="str">
        <f t="shared" si="49"/>
        <v/>
      </c>
      <c r="AE199" s="40"/>
      <c r="AF199" s="40"/>
      <c r="AG199" s="40"/>
      <c r="AH199" s="56" t="str">
        <f t="shared" si="50"/>
        <v/>
      </c>
      <c r="AI199" s="54"/>
      <c r="AJ199" s="54"/>
      <c r="AK199" s="54"/>
      <c r="AL199" s="54"/>
      <c r="AM199" s="54"/>
    </row>
    <row r="200" spans="1:39">
      <c r="A200" s="95"/>
      <c r="B200" s="45" t="str" cm="1">
        <f t="array" ref="B200">IF(H200="PROJECT", CHAR(10) &amp; "- " &amp; _xlfn.TEXTJOIN(CHAR(10) &amp; "- ", TRUE, _xlfn._xlws.FILTER($I$9:$I$1000, ($C$9:$C$1000=C200) * ($H$9:$H$1000="Topic"))), "")</f>
        <v/>
      </c>
      <c r="C200" s="45">
        <f t="shared" si="34"/>
        <v>168</v>
      </c>
      <c r="D200" s="68"/>
      <c r="E200" s="58"/>
      <c r="F200" s="54"/>
      <c r="G200" s="69"/>
      <c r="H200" s="69"/>
      <c r="I200" s="70"/>
      <c r="J200" s="71"/>
      <c r="K200" s="120" t="str">
        <f t="shared" si="35"/>
        <v/>
      </c>
      <c r="L200" s="103" t="str">
        <f t="shared" si="36"/>
        <v/>
      </c>
      <c r="M200" s="69">
        <v>0</v>
      </c>
      <c r="N200" s="102" t="str">
        <f t="shared" si="37"/>
        <v/>
      </c>
      <c r="O200" s="103" t="str">
        <f t="shared" si="38"/>
        <v/>
      </c>
      <c r="P200" s="69">
        <v>0</v>
      </c>
      <c r="Q200" s="102" t="str">
        <f t="shared" si="39"/>
        <v/>
      </c>
      <c r="R200" s="103" t="str">
        <f t="shared" si="40"/>
        <v/>
      </c>
      <c r="S200" s="69">
        <v>0</v>
      </c>
      <c r="T200" s="102" t="str">
        <f t="shared" si="41"/>
        <v/>
      </c>
      <c r="U200" s="103" t="str">
        <f t="shared" si="42"/>
        <v/>
      </c>
      <c r="V200" s="69">
        <v>0</v>
      </c>
      <c r="W200" s="87" t="str">
        <f t="shared" si="43"/>
        <v/>
      </c>
      <c r="X200" s="103" t="str">
        <f t="shared" si="44"/>
        <v/>
      </c>
      <c r="Y200" s="69">
        <v>0</v>
      </c>
      <c r="Z200" s="56" t="str">
        <f t="shared" si="45"/>
        <v/>
      </c>
      <c r="AA200" s="56" t="str">
        <f t="shared" si="46"/>
        <v/>
      </c>
      <c r="AB200" s="56" t="str">
        <f t="shared" si="47"/>
        <v/>
      </c>
      <c r="AC200" s="56" t="str">
        <f t="shared" si="48"/>
        <v/>
      </c>
      <c r="AD200" s="56" t="str">
        <f t="shared" si="49"/>
        <v/>
      </c>
      <c r="AE200" s="40"/>
      <c r="AF200" s="40"/>
      <c r="AG200" s="40"/>
      <c r="AH200" s="56" t="str">
        <f t="shared" si="50"/>
        <v/>
      </c>
      <c r="AI200" s="54"/>
      <c r="AJ200" s="54"/>
      <c r="AK200" s="54"/>
      <c r="AL200" s="54"/>
      <c r="AM200" s="54"/>
    </row>
    <row r="201" spans="1:39">
      <c r="D201" s="72"/>
      <c r="F201" s="72"/>
      <c r="G201" s="72"/>
      <c r="H201" s="72"/>
      <c r="I201" s="72"/>
      <c r="J201" s="72"/>
      <c r="K201" s="72"/>
      <c r="L201" s="72"/>
      <c r="M201" s="72"/>
      <c r="N201" s="72"/>
      <c r="O201" s="72"/>
      <c r="P201" s="72"/>
      <c r="Q201" s="72"/>
      <c r="R201" s="72"/>
      <c r="S201" s="72"/>
      <c r="T201" s="72"/>
      <c r="U201" s="72"/>
      <c r="V201" s="72"/>
      <c r="W201" s="72"/>
      <c r="X201" s="72"/>
      <c r="Y201" s="72"/>
      <c r="Z201" s="72"/>
      <c r="AA201" s="72"/>
      <c r="AB201" s="72"/>
      <c r="AC201" s="72"/>
      <c r="AD201" s="72"/>
      <c r="AE201" s="72"/>
      <c r="AF201" s="72"/>
      <c r="AG201" s="72"/>
    </row>
    <row r="202" spans="1:39">
      <c r="D202" s="72"/>
      <c r="F202" s="72"/>
      <c r="G202" s="72"/>
      <c r="H202" s="72"/>
      <c r="I202" s="72"/>
      <c r="J202" s="72"/>
      <c r="K202" s="72"/>
      <c r="L202" s="72"/>
      <c r="M202" s="72"/>
      <c r="N202" s="72"/>
      <c r="O202" s="72"/>
      <c r="P202" s="72"/>
      <c r="Q202" s="72"/>
      <c r="R202" s="72"/>
      <c r="S202" s="72"/>
      <c r="T202" s="72"/>
      <c r="U202" s="72"/>
      <c r="V202" s="72"/>
      <c r="W202" s="72"/>
      <c r="X202" s="72"/>
      <c r="Y202" s="72"/>
      <c r="Z202" s="72"/>
      <c r="AA202" s="72"/>
      <c r="AB202" s="72"/>
      <c r="AC202" s="72"/>
      <c r="AD202" s="72"/>
      <c r="AE202" s="72"/>
      <c r="AF202" s="72"/>
      <c r="AG202" s="72"/>
    </row>
    <row r="203" spans="1:39">
      <c r="D203" s="72"/>
      <c r="F203" s="72"/>
      <c r="G203" s="72"/>
      <c r="H203" s="72"/>
      <c r="I203" s="72"/>
      <c r="J203" s="72"/>
      <c r="K203" s="72"/>
      <c r="L203" s="72"/>
      <c r="M203" s="72"/>
      <c r="N203" s="72"/>
      <c r="O203" s="72"/>
      <c r="P203" s="72"/>
      <c r="Q203" s="72"/>
      <c r="R203" s="72"/>
      <c r="S203" s="72"/>
      <c r="T203" s="72"/>
      <c r="U203" s="72"/>
      <c r="V203" s="72"/>
      <c r="W203" s="72"/>
      <c r="X203" s="72"/>
      <c r="Y203" s="72"/>
      <c r="Z203" s="72"/>
      <c r="AA203" s="72"/>
      <c r="AB203" s="72"/>
      <c r="AC203" s="72"/>
      <c r="AD203" s="72"/>
      <c r="AE203" s="72"/>
      <c r="AF203" s="72"/>
      <c r="AG203" s="72"/>
    </row>
    <row r="204" spans="1:39">
      <c r="D204" s="72"/>
      <c r="F204" s="72"/>
      <c r="G204" s="72"/>
      <c r="H204" s="72"/>
      <c r="I204" s="72"/>
      <c r="J204" s="72"/>
      <c r="K204" s="72"/>
      <c r="L204" s="72"/>
      <c r="M204" s="72"/>
      <c r="N204" s="72"/>
      <c r="O204" s="72"/>
      <c r="P204" s="72"/>
      <c r="Q204" s="72"/>
      <c r="R204" s="72"/>
      <c r="S204" s="72"/>
      <c r="T204" s="72"/>
      <c r="U204" s="72"/>
      <c r="V204" s="72"/>
      <c r="W204" s="72"/>
      <c r="X204" s="72"/>
      <c r="Y204" s="72"/>
      <c r="Z204" s="72"/>
      <c r="AA204" s="72"/>
      <c r="AB204" s="72"/>
      <c r="AC204" s="72"/>
      <c r="AD204" s="72"/>
      <c r="AE204" s="72"/>
      <c r="AF204" s="72"/>
      <c r="AG204" s="72"/>
    </row>
    <row r="205" spans="1:39">
      <c r="D205" s="72"/>
      <c r="F205" s="72"/>
      <c r="G205" s="72"/>
      <c r="H205" s="72"/>
      <c r="I205" s="72"/>
      <c r="J205" s="72"/>
      <c r="K205" s="72"/>
      <c r="L205" s="72"/>
      <c r="M205" s="72"/>
      <c r="N205" s="72"/>
      <c r="O205" s="72"/>
      <c r="P205" s="72"/>
      <c r="Q205" s="72"/>
      <c r="R205" s="72"/>
      <c r="S205" s="72"/>
      <c r="T205" s="72"/>
      <c r="U205" s="72"/>
      <c r="V205" s="72"/>
      <c r="W205" s="72"/>
      <c r="X205" s="72"/>
      <c r="Y205" s="72"/>
      <c r="Z205" s="72"/>
      <c r="AA205" s="72"/>
      <c r="AB205" s="72"/>
      <c r="AC205" s="72"/>
      <c r="AD205" s="72"/>
      <c r="AE205" s="72"/>
      <c r="AF205" s="72"/>
      <c r="AG205" s="72"/>
    </row>
    <row r="206" spans="1:39">
      <c r="D206" s="72"/>
      <c r="F206" s="72"/>
      <c r="G206" s="72"/>
      <c r="H206" s="72"/>
      <c r="I206" s="72"/>
      <c r="J206" s="72"/>
      <c r="K206" s="72"/>
      <c r="L206" s="72"/>
      <c r="M206" s="72"/>
      <c r="N206" s="72"/>
      <c r="O206" s="72"/>
      <c r="P206" s="72"/>
      <c r="Q206" s="72"/>
      <c r="R206" s="72"/>
      <c r="S206" s="72"/>
      <c r="T206" s="72"/>
      <c r="U206" s="72"/>
      <c r="V206" s="72"/>
      <c r="W206" s="72"/>
      <c r="X206" s="72"/>
      <c r="Y206" s="72"/>
      <c r="Z206" s="72"/>
      <c r="AA206" s="72"/>
      <c r="AB206" s="72"/>
      <c r="AC206" s="72"/>
      <c r="AD206" s="72"/>
      <c r="AE206" s="72"/>
      <c r="AF206" s="72"/>
      <c r="AG206" s="72"/>
    </row>
    <row r="207" spans="1:39">
      <c r="D207" s="72"/>
      <c r="F207" s="72"/>
      <c r="G207" s="72"/>
      <c r="H207" s="72"/>
      <c r="I207" s="72"/>
      <c r="J207" s="72"/>
      <c r="K207" s="72"/>
      <c r="L207" s="72"/>
      <c r="M207" s="72"/>
      <c r="N207" s="72"/>
      <c r="O207" s="72"/>
      <c r="P207" s="72"/>
      <c r="Q207" s="72"/>
      <c r="R207" s="72"/>
      <c r="S207" s="72"/>
      <c r="T207" s="72"/>
      <c r="U207" s="72"/>
      <c r="V207" s="72"/>
      <c r="W207" s="72"/>
      <c r="X207" s="72"/>
      <c r="Y207" s="72"/>
      <c r="Z207" s="72"/>
      <c r="AA207" s="72"/>
      <c r="AB207" s="72"/>
      <c r="AC207" s="72"/>
      <c r="AD207" s="72"/>
      <c r="AE207" s="72"/>
      <c r="AF207" s="72"/>
      <c r="AG207" s="72"/>
    </row>
    <row r="208" spans="1:39">
      <c r="D208" s="72"/>
      <c r="F208" s="72"/>
      <c r="G208" s="72"/>
      <c r="H208" s="72"/>
      <c r="I208" s="72"/>
      <c r="J208" s="72"/>
      <c r="K208" s="72"/>
      <c r="L208" s="72"/>
      <c r="M208" s="72"/>
      <c r="N208" s="72"/>
      <c r="O208" s="72"/>
      <c r="P208" s="72"/>
      <c r="Q208" s="72"/>
      <c r="R208" s="72"/>
      <c r="S208" s="72"/>
      <c r="T208" s="72"/>
      <c r="U208" s="72"/>
      <c r="V208" s="72"/>
      <c r="W208" s="72"/>
      <c r="X208" s="72"/>
      <c r="Y208" s="72"/>
      <c r="Z208" s="72"/>
      <c r="AA208" s="72"/>
      <c r="AB208" s="72"/>
      <c r="AC208" s="72"/>
      <c r="AD208" s="72"/>
      <c r="AE208" s="72"/>
      <c r="AF208" s="72"/>
      <c r="AG208" s="72"/>
    </row>
    <row r="209" spans="4:33">
      <c r="D209" s="72"/>
      <c r="F209" s="72"/>
      <c r="G209" s="72"/>
      <c r="H209" s="72"/>
      <c r="I209" s="72"/>
      <c r="J209" s="72"/>
      <c r="K209" s="72"/>
      <c r="L209" s="72"/>
      <c r="M209" s="72"/>
      <c r="N209" s="72"/>
      <c r="O209" s="72"/>
      <c r="P209" s="72"/>
      <c r="Q209" s="72"/>
      <c r="R209" s="72"/>
      <c r="S209" s="72"/>
      <c r="T209" s="72"/>
      <c r="U209" s="72"/>
      <c r="V209" s="72"/>
      <c r="W209" s="72"/>
      <c r="X209" s="72"/>
      <c r="Y209" s="72"/>
      <c r="Z209" s="72"/>
      <c r="AA209" s="72"/>
      <c r="AB209" s="72"/>
      <c r="AC209" s="72"/>
      <c r="AD209" s="72"/>
      <c r="AE209" s="72"/>
      <c r="AF209" s="72"/>
      <c r="AG209" s="72"/>
    </row>
  </sheetData>
  <mergeCells count="6">
    <mergeCell ref="AK7:AM7"/>
    <mergeCell ref="K2:M2"/>
    <mergeCell ref="N2:P2"/>
    <mergeCell ref="Q2:S2"/>
    <mergeCell ref="T2:V2"/>
    <mergeCell ref="W2:Y2"/>
  </mergeCells>
  <conditionalFormatting sqref="D1:D2 D3:E4 D5:D6 D7:E1048576">
    <cfRule type="cellIs" dxfId="82" priority="17" operator="equal">
      <formula>"No"</formula>
    </cfRule>
  </conditionalFormatting>
  <conditionalFormatting sqref="D9:D200 I9:L200">
    <cfRule type="expression" dxfId="81" priority="18">
      <formula>$H9="PROJECT"</formula>
    </cfRule>
  </conditionalFormatting>
  <conditionalFormatting sqref="G9:G200">
    <cfRule type="cellIs" dxfId="80" priority="24" operator="equal">
      <formula>"Beginner"</formula>
    </cfRule>
    <cfRule type="cellIs" dxfId="79" priority="25" operator="equal">
      <formula>"Intermediate"</formula>
    </cfRule>
    <cfRule type="cellIs" dxfId="78" priority="26" operator="equal">
      <formula>"Advanced"</formula>
    </cfRule>
  </conditionalFormatting>
  <conditionalFormatting sqref="H9:H200">
    <cfRule type="cellIs" dxfId="77" priority="23" operator="equal">
      <formula>"PROJECT"</formula>
    </cfRule>
  </conditionalFormatting>
  <conditionalFormatting sqref="K9:L200">
    <cfRule type="expression" dxfId="76" priority="27">
      <formula>M9=1</formula>
    </cfRule>
    <cfRule type="expression" dxfId="75" priority="28">
      <formula>M9=-1</formula>
    </cfRule>
  </conditionalFormatting>
  <conditionalFormatting sqref="N9:O200">
    <cfRule type="expression" dxfId="74" priority="14">
      <formula>$H9="PROJECT"</formula>
    </cfRule>
    <cfRule type="expression" dxfId="73" priority="15">
      <formula>P9=1</formula>
    </cfRule>
    <cfRule type="expression" dxfId="72" priority="16">
      <formula>P9=-1</formula>
    </cfRule>
  </conditionalFormatting>
  <conditionalFormatting sqref="O41:O200">
    <cfRule type="expression" dxfId="71" priority="30">
      <formula>Q41=1</formula>
    </cfRule>
    <cfRule type="expression" dxfId="70" priority="31">
      <formula>Q41=-1</formula>
    </cfRule>
  </conditionalFormatting>
  <conditionalFormatting sqref="Q9:R200">
    <cfRule type="expression" dxfId="69" priority="11">
      <formula>$H9="PROJECT"</formula>
    </cfRule>
    <cfRule type="expression" dxfId="68" priority="12">
      <formula>S9=1</formula>
    </cfRule>
    <cfRule type="expression" dxfId="67" priority="13">
      <formula>S9=-1</formula>
    </cfRule>
  </conditionalFormatting>
  <conditionalFormatting sqref="T9:U200">
    <cfRule type="expression" dxfId="66" priority="6">
      <formula>$H9="PROJECT"</formula>
    </cfRule>
    <cfRule type="expression" dxfId="65" priority="7">
      <formula>V9=1</formula>
    </cfRule>
    <cfRule type="expression" dxfId="64" priority="8">
      <formula>V9=-1</formula>
    </cfRule>
  </conditionalFormatting>
  <conditionalFormatting sqref="U10:U200">
    <cfRule type="expression" dxfId="63" priority="9">
      <formula>W10=1</formula>
    </cfRule>
    <cfRule type="expression" dxfId="62" priority="10">
      <formula>W10=-1</formula>
    </cfRule>
  </conditionalFormatting>
  <conditionalFormatting sqref="W9:X200">
    <cfRule type="expression" dxfId="61" priority="1">
      <formula>$H9="PROJECT"</formula>
    </cfRule>
    <cfRule type="expression" dxfId="60" priority="2">
      <formula>Y9=1</formula>
    </cfRule>
    <cfRule type="expression" dxfId="59" priority="3">
      <formula>Y9=-1</formula>
    </cfRule>
  </conditionalFormatting>
  <conditionalFormatting sqref="X10:X200">
    <cfRule type="expression" dxfId="58" priority="4">
      <formula>Z10=1</formula>
    </cfRule>
    <cfRule type="expression" dxfId="57" priority="5">
      <formula>Z10=-1</formula>
    </cfRule>
  </conditionalFormatting>
  <pageMargins left="0.7" right="0.7" top="0.75" bottom="0.75" header="0.3" footer="0.3"/>
  <pageSetup orientation="portrait" horizontalDpi="4294967292" verticalDpi="0" r:id="rId1"/>
  <extLst>
    <ext xmlns:x14="http://schemas.microsoft.com/office/spreadsheetml/2009/9/main" uri="{78C0D931-6437-407d-A8EE-F0AAD7539E65}">
      <x14:conditionalFormattings>
        <x14:conditionalFormatting xmlns:xm="http://schemas.microsoft.com/office/excel/2006/main">
          <x14:cfRule type="iconSet" priority="29" id="{2FEE3AD7-75A2-4C8C-AD82-90792546F0BA}">
            <x14:iconSet iconSet="3Symbols" custom="1">
              <x14:cfvo type="percent">
                <xm:f>0</xm:f>
              </x14:cfvo>
              <x14:cfvo type="num">
                <xm:f>0</xm:f>
              </x14:cfvo>
              <x14:cfvo type="num">
                <xm:f>1</xm:f>
              </x14:cfvo>
              <x14:cfIcon iconSet="3Symbols" iconId="1"/>
              <x14:cfIcon iconSet="3Symbols" iconId="0"/>
              <x14:cfIcon iconSet="3Symbols" iconId="2"/>
            </x14:iconSet>
          </x14:cfRule>
          <xm:sqref>M9:M200</xm:sqref>
        </x14:conditionalFormatting>
        <x14:conditionalFormatting xmlns:xm="http://schemas.microsoft.com/office/excel/2006/main">
          <x14:cfRule type="iconSet" priority="22" id="{B7488BBE-D70E-4F1D-85BE-6C9D08F208F3}">
            <x14:iconSet iconSet="3Symbols" custom="1">
              <x14:cfvo type="percent">
                <xm:f>0</xm:f>
              </x14:cfvo>
              <x14:cfvo type="num">
                <xm:f>0</xm:f>
              </x14:cfvo>
              <x14:cfvo type="num">
                <xm:f>1</xm:f>
              </x14:cfvo>
              <x14:cfIcon iconSet="3Symbols" iconId="1"/>
              <x14:cfIcon iconSet="3Symbols" iconId="0"/>
              <x14:cfIcon iconSet="3Symbols" iconId="2"/>
            </x14:iconSet>
          </x14:cfRule>
          <xm:sqref>P9:P200</xm:sqref>
        </x14:conditionalFormatting>
        <x14:conditionalFormatting xmlns:xm="http://schemas.microsoft.com/office/excel/2006/main">
          <x14:cfRule type="iconSet" priority="21" id="{4BFCED17-17B1-4960-9B24-2860EF943BE1}">
            <x14:iconSet iconSet="3Symbols" custom="1">
              <x14:cfvo type="percent">
                <xm:f>0</xm:f>
              </x14:cfvo>
              <x14:cfvo type="num">
                <xm:f>0</xm:f>
              </x14:cfvo>
              <x14:cfvo type="num">
                <xm:f>1</xm:f>
              </x14:cfvo>
              <x14:cfIcon iconSet="3Symbols" iconId="1"/>
              <x14:cfIcon iconSet="3Symbols" iconId="0"/>
              <x14:cfIcon iconSet="3Symbols" iconId="2"/>
            </x14:iconSet>
          </x14:cfRule>
          <xm:sqref>S9:S200</xm:sqref>
        </x14:conditionalFormatting>
        <x14:conditionalFormatting xmlns:xm="http://schemas.microsoft.com/office/excel/2006/main">
          <x14:cfRule type="iconSet" priority="20" id="{315FC449-DBE3-44EA-8770-3733BE24B105}">
            <x14:iconSet iconSet="3Symbols" custom="1">
              <x14:cfvo type="percent">
                <xm:f>0</xm:f>
              </x14:cfvo>
              <x14:cfvo type="num">
                <xm:f>0</xm:f>
              </x14:cfvo>
              <x14:cfvo type="num">
                <xm:f>1</xm:f>
              </x14:cfvo>
              <x14:cfIcon iconSet="3Symbols" iconId="1"/>
              <x14:cfIcon iconSet="3Symbols" iconId="0"/>
              <x14:cfIcon iconSet="3Symbols" iconId="2"/>
            </x14:iconSet>
          </x14:cfRule>
          <xm:sqref>V9:V200</xm:sqref>
        </x14:conditionalFormatting>
        <x14:conditionalFormatting xmlns:xm="http://schemas.microsoft.com/office/excel/2006/main">
          <x14:cfRule type="iconSet" priority="19" id="{ACD46CE9-0FEE-4DE3-8069-ACD4BD26B0E3}">
            <x14:iconSet iconSet="3Symbols" custom="1">
              <x14:cfvo type="percent">
                <xm:f>0</xm:f>
              </x14:cfvo>
              <x14:cfvo type="num">
                <xm:f>0</xm:f>
              </x14:cfvo>
              <x14:cfvo type="num">
                <xm:f>1</xm:f>
              </x14:cfvo>
              <x14:cfIcon iconSet="3Symbols" iconId="1"/>
              <x14:cfIcon iconSet="3Symbols" iconId="0"/>
              <x14:cfIcon iconSet="3Symbols" iconId="2"/>
            </x14:iconSet>
          </x14:cfRule>
          <xm:sqref>Y9:Y200</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F38876-2A5D-4B70-B320-4085428E097C}">
  <dimension ref="A1:A47"/>
  <sheetViews>
    <sheetView showGridLines="0" workbookViewId="0">
      <selection activeCell="F22" sqref="F22"/>
    </sheetView>
  </sheetViews>
  <sheetFormatPr defaultRowHeight="15"/>
  <sheetData>
    <row r="1" spans="1:1" ht="31.5">
      <c r="A1" s="136" t="s">
        <v>815</v>
      </c>
    </row>
    <row r="3" spans="1:1">
      <c r="A3" t="s">
        <v>816</v>
      </c>
    </row>
    <row r="5" spans="1:1" ht="18">
      <c r="A5" s="115" t="s">
        <v>817</v>
      </c>
    </row>
    <row r="7" spans="1:1" ht="21">
      <c r="A7" s="137" t="s">
        <v>818</v>
      </c>
    </row>
    <row r="8" spans="1:1">
      <c r="A8" s="116"/>
    </row>
    <row r="9" spans="1:1">
      <c r="A9" s="116" t="s">
        <v>819</v>
      </c>
    </row>
    <row r="10" spans="1:1">
      <c r="A10" s="116" t="s">
        <v>820</v>
      </c>
    </row>
    <row r="11" spans="1:1">
      <c r="A11" s="116" t="s">
        <v>821</v>
      </c>
    </row>
    <row r="12" spans="1:1">
      <c r="A12" s="116" t="s">
        <v>822</v>
      </c>
    </row>
    <row r="13" spans="1:1">
      <c r="A13" s="116" t="s">
        <v>823</v>
      </c>
    </row>
    <row r="15" spans="1:1" ht="21">
      <c r="A15" s="137" t="s">
        <v>824</v>
      </c>
    </row>
    <row r="17" spans="1:1">
      <c r="A17" t="s">
        <v>825</v>
      </c>
    </row>
    <row r="18" spans="1:1">
      <c r="A18" s="116"/>
    </row>
    <row r="19" spans="1:1">
      <c r="A19" s="117" t="s">
        <v>826</v>
      </c>
    </row>
    <row r="20" spans="1:1">
      <c r="A20" s="118" t="s">
        <v>827</v>
      </c>
    </row>
    <row r="21" spans="1:1">
      <c r="A21" s="118" t="s">
        <v>828</v>
      </c>
    </row>
    <row r="22" spans="1:1">
      <c r="A22" s="118" t="s">
        <v>829</v>
      </c>
    </row>
    <row r="23" spans="1:1">
      <c r="A23" s="118" t="s">
        <v>830</v>
      </c>
    </row>
    <row r="24" spans="1:1">
      <c r="A24" s="116"/>
    </row>
    <row r="25" spans="1:1">
      <c r="A25" s="117" t="s">
        <v>831</v>
      </c>
    </row>
    <row r="29" spans="1:1">
      <c r="A29" s="138"/>
    </row>
    <row r="30" spans="1:1">
      <c r="A30" s="139"/>
    </row>
    <row r="31" spans="1:1">
      <c r="A31" s="138"/>
    </row>
    <row r="32" spans="1:1">
      <c r="A32" s="138"/>
    </row>
    <row r="33" spans="1:1">
      <c r="A33" s="139"/>
    </row>
    <row r="34" spans="1:1">
      <c r="A34" s="138"/>
    </row>
    <row r="35" spans="1:1">
      <c r="A35" s="138"/>
    </row>
    <row r="36" spans="1:1" ht="21">
      <c r="A36" s="137" t="s">
        <v>832</v>
      </c>
    </row>
    <row r="38" spans="1:1">
      <c r="A38" t="s">
        <v>833</v>
      </c>
    </row>
    <row r="39" spans="1:1">
      <c r="A39" s="116"/>
    </row>
    <row r="40" spans="1:1">
      <c r="A40" s="116" t="s">
        <v>834</v>
      </c>
    </row>
    <row r="41" spans="1:1">
      <c r="A41" s="116" t="s">
        <v>835</v>
      </c>
    </row>
    <row r="42" spans="1:1">
      <c r="A42" s="116" t="s">
        <v>836</v>
      </c>
    </row>
    <row r="44" spans="1:1" ht="18">
      <c r="A44" s="115" t="s">
        <v>837</v>
      </c>
    </row>
    <row r="45" spans="1:1">
      <c r="A45" s="116"/>
    </row>
    <row r="46" spans="1:1">
      <c r="A46" s="116" t="s">
        <v>838</v>
      </c>
    </row>
    <row r="47" spans="1:1">
      <c r="A47" s="116" t="s">
        <v>839</v>
      </c>
    </row>
  </sheetData>
  <pageMargins left="0.7" right="0.7" top="0.75" bottom="0.75" header="0.3" footer="0.3"/>
  <pageSetup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8A426C-0703-4CCF-9307-A257CA10E54B}">
  <sheetPr>
    <tabColor theme="9" tint="-0.499984740745262"/>
  </sheetPr>
  <dimension ref="A1:E59"/>
  <sheetViews>
    <sheetView topLeftCell="A37" workbookViewId="0">
      <selection activeCell="E59" sqref="E59"/>
    </sheetView>
  </sheetViews>
  <sheetFormatPr defaultRowHeight="15"/>
  <cols>
    <col min="3" max="3" width="34.7109375" bestFit="1" customWidth="1"/>
    <col min="4" max="4" width="33.42578125" bestFit="1" customWidth="1"/>
    <col min="5" max="5" width="66.7109375" bestFit="1" customWidth="1"/>
  </cols>
  <sheetData>
    <row r="1" spans="1:5" ht="26.25">
      <c r="C1" s="123" t="s">
        <v>8</v>
      </c>
      <c r="D1" s="124" t="str">
        <f>PromptGenerator!I2</f>
        <v>Elixir OTP</v>
      </c>
    </row>
    <row r="2" spans="1:5" ht="26.25">
      <c r="C2" s="123" t="s">
        <v>275</v>
      </c>
      <c r="D2" s="124" t="str">
        <f>IF(PromptGenerator!I3="","",PromptGenerator!I3)</f>
        <v/>
      </c>
    </row>
    <row r="5" spans="1:5">
      <c r="A5" s="125" t="s">
        <v>668</v>
      </c>
      <c r="B5" s="125" t="s">
        <v>25</v>
      </c>
      <c r="C5" s="125" t="s">
        <v>596</v>
      </c>
      <c r="D5" s="125" t="s">
        <v>642</v>
      </c>
      <c r="E5" s="125" t="s">
        <v>641</v>
      </c>
    </row>
    <row r="6" spans="1:5">
      <c r="A6" s="126" t="s">
        <v>0</v>
      </c>
      <c r="B6" t="s">
        <v>50</v>
      </c>
      <c r="C6" t="s">
        <v>229</v>
      </c>
      <c r="D6" t="s">
        <v>626</v>
      </c>
      <c r="E6" s="121" t="s">
        <v>707</v>
      </c>
    </row>
    <row r="7" spans="1:5">
      <c r="A7" s="126" t="s">
        <v>0</v>
      </c>
      <c r="B7" t="s">
        <v>50</v>
      </c>
      <c r="C7" t="s">
        <v>229</v>
      </c>
      <c r="D7" t="s">
        <v>234</v>
      </c>
      <c r="E7" s="122"/>
    </row>
    <row r="8" spans="1:5">
      <c r="A8" s="126" t="s">
        <v>0</v>
      </c>
      <c r="B8" t="s">
        <v>50</v>
      </c>
      <c r="C8" t="s">
        <v>229</v>
      </c>
      <c r="D8" t="s">
        <v>627</v>
      </c>
      <c r="E8" t="s">
        <v>708</v>
      </c>
    </row>
    <row r="9" spans="1:5">
      <c r="A9" s="126" t="s">
        <v>0</v>
      </c>
      <c r="B9" t="s">
        <v>50</v>
      </c>
      <c r="C9" t="s">
        <v>229</v>
      </c>
      <c r="D9" t="s">
        <v>628</v>
      </c>
      <c r="E9" t="s">
        <v>709</v>
      </c>
    </row>
    <row r="10" spans="1:5">
      <c r="A10" s="126" t="s">
        <v>0</v>
      </c>
      <c r="B10" t="s">
        <v>50</v>
      </c>
      <c r="C10" t="s">
        <v>183</v>
      </c>
      <c r="D10" t="s">
        <v>629</v>
      </c>
      <c r="E10" s="121" t="s">
        <v>710</v>
      </c>
    </row>
    <row r="11" spans="1:5">
      <c r="A11" s="126" t="s">
        <v>0</v>
      </c>
      <c r="B11" t="s">
        <v>50</v>
      </c>
      <c r="C11" t="s">
        <v>183</v>
      </c>
      <c r="D11" t="s">
        <v>630</v>
      </c>
      <c r="E11" t="s">
        <v>711</v>
      </c>
    </row>
    <row r="12" spans="1:5">
      <c r="A12" s="126" t="s">
        <v>0</v>
      </c>
      <c r="B12" t="s">
        <v>50</v>
      </c>
      <c r="C12" t="s">
        <v>183</v>
      </c>
      <c r="D12" t="s">
        <v>631</v>
      </c>
      <c r="E12" s="121" t="s">
        <v>712</v>
      </c>
    </row>
    <row r="13" spans="1:5">
      <c r="A13" s="126" t="s">
        <v>0</v>
      </c>
      <c r="B13" t="s">
        <v>50</v>
      </c>
      <c r="C13" t="s">
        <v>632</v>
      </c>
      <c r="D13" t="s">
        <v>633</v>
      </c>
      <c r="E13" t="s">
        <v>713</v>
      </c>
    </row>
    <row r="14" spans="1:5">
      <c r="A14" s="126" t="s">
        <v>0</v>
      </c>
      <c r="B14" t="s">
        <v>50</v>
      </c>
      <c r="C14" t="s">
        <v>632</v>
      </c>
      <c r="D14" t="s">
        <v>634</v>
      </c>
      <c r="E14" t="s">
        <v>714</v>
      </c>
    </row>
    <row r="15" spans="1:5">
      <c r="A15" s="126" t="s">
        <v>0</v>
      </c>
      <c r="B15" t="s">
        <v>50</v>
      </c>
      <c r="C15" t="s">
        <v>622</v>
      </c>
      <c r="D15" t="s">
        <v>635</v>
      </c>
      <c r="E15" t="s">
        <v>715</v>
      </c>
    </row>
    <row r="16" spans="1:5">
      <c r="A16" s="126" t="s">
        <v>0</v>
      </c>
      <c r="B16" t="s">
        <v>50</v>
      </c>
      <c r="C16" t="s">
        <v>622</v>
      </c>
      <c r="D16" t="s">
        <v>636</v>
      </c>
      <c r="E16" t="s">
        <v>716</v>
      </c>
    </row>
    <row r="17" spans="1:5">
      <c r="A17" s="126" t="s">
        <v>0</v>
      </c>
      <c r="B17" t="s">
        <v>50</v>
      </c>
      <c r="C17" t="s">
        <v>623</v>
      </c>
      <c r="D17" t="s">
        <v>637</v>
      </c>
      <c r="E17" t="s">
        <v>814</v>
      </c>
    </row>
    <row r="18" spans="1:5">
      <c r="A18" s="126" t="s">
        <v>0</v>
      </c>
      <c r="B18" t="s">
        <v>50</v>
      </c>
      <c r="C18" t="s">
        <v>624</v>
      </c>
      <c r="D18" t="s">
        <v>638</v>
      </c>
      <c r="E18" t="s">
        <v>717</v>
      </c>
    </row>
    <row r="19" spans="1:5">
      <c r="A19" s="126" t="s">
        <v>0</v>
      </c>
      <c r="B19" t="s">
        <v>50</v>
      </c>
      <c r="C19" t="s">
        <v>624</v>
      </c>
      <c r="D19" t="s">
        <v>639</v>
      </c>
      <c r="E19" t="s">
        <v>718</v>
      </c>
    </row>
    <row r="20" spans="1:5">
      <c r="A20" s="126" t="s">
        <v>0</v>
      </c>
      <c r="B20" t="s">
        <v>50</v>
      </c>
      <c r="C20" t="s">
        <v>624</v>
      </c>
      <c r="D20" t="s">
        <v>640</v>
      </c>
      <c r="E20" t="s">
        <v>719</v>
      </c>
    </row>
    <row r="21" spans="1:5">
      <c r="A21" s="126" t="s">
        <v>0</v>
      </c>
      <c r="B21" t="s">
        <v>643</v>
      </c>
      <c r="C21" t="s">
        <v>645</v>
      </c>
      <c r="D21" t="s">
        <v>646</v>
      </c>
      <c r="E21" t="s">
        <v>720</v>
      </c>
    </row>
    <row r="22" spans="1:5">
      <c r="A22" s="126" t="s">
        <v>0</v>
      </c>
      <c r="B22" t="s">
        <v>643</v>
      </c>
      <c r="C22" t="s">
        <v>645</v>
      </c>
      <c r="D22" t="s">
        <v>648</v>
      </c>
      <c r="E22" t="s">
        <v>721</v>
      </c>
    </row>
    <row r="23" spans="1:5">
      <c r="A23" s="126" t="s">
        <v>0</v>
      </c>
      <c r="B23" t="s">
        <v>643</v>
      </c>
      <c r="C23" t="s">
        <v>645</v>
      </c>
      <c r="D23" t="s">
        <v>649</v>
      </c>
      <c r="E23" t="s">
        <v>647</v>
      </c>
    </row>
    <row r="24" spans="1:5">
      <c r="A24" s="126" t="s">
        <v>0</v>
      </c>
      <c r="B24" t="s">
        <v>625</v>
      </c>
      <c r="C24" t="s">
        <v>650</v>
      </c>
      <c r="D24" t="s">
        <v>49</v>
      </c>
      <c r="E24" t="s">
        <v>722</v>
      </c>
    </row>
    <row r="25" spans="1:5">
      <c r="A25" s="126" t="s">
        <v>0</v>
      </c>
      <c r="B25" t="s">
        <v>625</v>
      </c>
      <c r="C25" t="s">
        <v>650</v>
      </c>
      <c r="D25" t="s">
        <v>161</v>
      </c>
      <c r="E25" t="s">
        <v>723</v>
      </c>
    </row>
    <row r="26" spans="1:5">
      <c r="A26" s="126" t="s">
        <v>0</v>
      </c>
      <c r="B26" t="s">
        <v>625</v>
      </c>
      <c r="C26" t="s">
        <v>650</v>
      </c>
      <c r="D26" t="s">
        <v>162</v>
      </c>
      <c r="E26" t="s">
        <v>724</v>
      </c>
    </row>
    <row r="27" spans="1:5">
      <c r="A27" s="126" t="s">
        <v>0</v>
      </c>
      <c r="B27" t="s">
        <v>625</v>
      </c>
      <c r="C27" t="s">
        <v>651</v>
      </c>
      <c r="D27" t="s">
        <v>652</v>
      </c>
      <c r="E27" t="s">
        <v>725</v>
      </c>
    </row>
    <row r="28" spans="1:5">
      <c r="A28" s="126" t="s">
        <v>0</v>
      </c>
      <c r="B28" t="s">
        <v>625</v>
      </c>
      <c r="C28" t="s">
        <v>651</v>
      </c>
      <c r="D28" t="s">
        <v>653</v>
      </c>
      <c r="E28" t="s">
        <v>726</v>
      </c>
    </row>
    <row r="29" spans="1:5">
      <c r="A29" s="126" t="s">
        <v>0</v>
      </c>
      <c r="B29" t="s">
        <v>625</v>
      </c>
      <c r="C29" t="s">
        <v>651</v>
      </c>
      <c r="D29" t="s">
        <v>654</v>
      </c>
      <c r="E29" t="s">
        <v>727</v>
      </c>
    </row>
    <row r="30" spans="1:5">
      <c r="A30" s="126" t="s">
        <v>0</v>
      </c>
      <c r="B30" t="s">
        <v>625</v>
      </c>
      <c r="C30" t="s">
        <v>651</v>
      </c>
      <c r="D30" t="s">
        <v>655</v>
      </c>
      <c r="E30" t="s">
        <v>728</v>
      </c>
    </row>
    <row r="31" spans="1:5">
      <c r="A31" s="127" t="s">
        <v>280</v>
      </c>
      <c r="B31" t="s">
        <v>50</v>
      </c>
      <c r="C31" t="s">
        <v>656</v>
      </c>
      <c r="D31" t="s">
        <v>657</v>
      </c>
      <c r="E31" t="s">
        <v>729</v>
      </c>
    </row>
    <row r="32" spans="1:5">
      <c r="A32" s="127" t="s">
        <v>280</v>
      </c>
      <c r="B32" t="s">
        <v>50</v>
      </c>
      <c r="C32" t="s">
        <v>656</v>
      </c>
      <c r="D32" t="s">
        <v>658</v>
      </c>
      <c r="E32" t="s">
        <v>730</v>
      </c>
    </row>
    <row r="33" spans="1:5">
      <c r="A33" s="127" t="s">
        <v>280</v>
      </c>
      <c r="B33" t="s">
        <v>50</v>
      </c>
      <c r="C33" t="s">
        <v>656</v>
      </c>
      <c r="D33" t="s">
        <v>659</v>
      </c>
      <c r="E33" t="s">
        <v>731</v>
      </c>
    </row>
    <row r="34" spans="1:5">
      <c r="A34" s="127" t="s">
        <v>280</v>
      </c>
      <c r="B34" t="s">
        <v>50</v>
      </c>
      <c r="C34" t="s">
        <v>660</v>
      </c>
      <c r="D34" t="s">
        <v>661</v>
      </c>
      <c r="E34" t="s">
        <v>732</v>
      </c>
    </row>
    <row r="35" spans="1:5">
      <c r="A35" s="127" t="s">
        <v>280</v>
      </c>
      <c r="B35" t="s">
        <v>50</v>
      </c>
      <c r="C35" t="s">
        <v>662</v>
      </c>
      <c r="D35" t="s">
        <v>663</v>
      </c>
      <c r="E35" t="s">
        <v>733</v>
      </c>
    </row>
    <row r="36" spans="1:5">
      <c r="A36" s="127" t="s">
        <v>280</v>
      </c>
      <c r="B36" t="s">
        <v>50</v>
      </c>
      <c r="C36" t="s">
        <v>664</v>
      </c>
      <c r="D36" t="s">
        <v>665</v>
      </c>
      <c r="E36" t="s">
        <v>734</v>
      </c>
    </row>
    <row r="37" spans="1:5">
      <c r="A37" s="127" t="s">
        <v>280</v>
      </c>
      <c r="B37" t="s">
        <v>50</v>
      </c>
      <c r="C37" t="s">
        <v>664</v>
      </c>
      <c r="D37" t="s">
        <v>666</v>
      </c>
      <c r="E37" t="s">
        <v>735</v>
      </c>
    </row>
    <row r="38" spans="1:5">
      <c r="A38" s="127" t="s">
        <v>280</v>
      </c>
      <c r="B38" t="s">
        <v>50</v>
      </c>
      <c r="C38" t="s">
        <v>664</v>
      </c>
      <c r="D38" t="s">
        <v>667</v>
      </c>
      <c r="E38" t="s">
        <v>736</v>
      </c>
    </row>
    <row r="39" spans="1:5">
      <c r="A39" s="127" t="s">
        <v>280</v>
      </c>
      <c r="B39" t="s">
        <v>643</v>
      </c>
      <c r="C39" t="s">
        <v>669</v>
      </c>
      <c r="D39" t="s">
        <v>670</v>
      </c>
      <c r="E39" t="s">
        <v>737</v>
      </c>
    </row>
    <row r="40" spans="1:5">
      <c r="A40" s="127" t="s">
        <v>280</v>
      </c>
      <c r="B40" t="s">
        <v>643</v>
      </c>
      <c r="C40" t="s">
        <v>669</v>
      </c>
      <c r="D40" t="s">
        <v>671</v>
      </c>
      <c r="E40" t="s">
        <v>738</v>
      </c>
    </row>
    <row r="41" spans="1:5">
      <c r="A41" s="127" t="s">
        <v>280</v>
      </c>
      <c r="B41" t="s">
        <v>643</v>
      </c>
      <c r="C41" t="s">
        <v>669</v>
      </c>
      <c r="D41" t="s">
        <v>672</v>
      </c>
      <c r="E41" t="s">
        <v>739</v>
      </c>
    </row>
    <row r="42" spans="1:5">
      <c r="A42" s="127" t="s">
        <v>280</v>
      </c>
      <c r="B42" t="s">
        <v>643</v>
      </c>
      <c r="C42" t="s">
        <v>669</v>
      </c>
      <c r="D42" t="s">
        <v>673</v>
      </c>
      <c r="E42" t="s">
        <v>740</v>
      </c>
    </row>
    <row r="43" spans="1:5">
      <c r="A43" s="127" t="s">
        <v>280</v>
      </c>
      <c r="B43" t="s">
        <v>625</v>
      </c>
      <c r="C43" t="s">
        <v>674</v>
      </c>
      <c r="D43" t="s">
        <v>675</v>
      </c>
      <c r="E43" t="s">
        <v>741</v>
      </c>
    </row>
    <row r="44" spans="1:5">
      <c r="A44" s="127" t="s">
        <v>280</v>
      </c>
      <c r="B44" t="s">
        <v>625</v>
      </c>
      <c r="C44" t="s">
        <v>674</v>
      </c>
      <c r="D44" t="s">
        <v>676</v>
      </c>
      <c r="E44" t="s">
        <v>742</v>
      </c>
    </row>
    <row r="45" spans="1:5">
      <c r="A45" s="127" t="s">
        <v>280</v>
      </c>
      <c r="B45" t="s">
        <v>625</v>
      </c>
      <c r="C45" t="s">
        <v>674</v>
      </c>
      <c r="D45" t="s">
        <v>677</v>
      </c>
      <c r="E45" t="s">
        <v>743</v>
      </c>
    </row>
    <row r="46" spans="1:5">
      <c r="A46" s="127" t="s">
        <v>280</v>
      </c>
      <c r="B46" t="s">
        <v>625</v>
      </c>
      <c r="C46" t="s">
        <v>674</v>
      </c>
      <c r="D46" t="s">
        <v>678</v>
      </c>
      <c r="E46" t="s">
        <v>744</v>
      </c>
    </row>
    <row r="47" spans="1:5">
      <c r="A47" s="128" t="s">
        <v>351</v>
      </c>
      <c r="B47" t="s">
        <v>50</v>
      </c>
      <c r="C47" t="s">
        <v>662</v>
      </c>
      <c r="D47" t="s">
        <v>680</v>
      </c>
      <c r="E47" t="s">
        <v>745</v>
      </c>
    </row>
    <row r="48" spans="1:5">
      <c r="A48" s="128" t="s">
        <v>351</v>
      </c>
      <c r="B48" t="s">
        <v>50</v>
      </c>
      <c r="C48" t="s">
        <v>660</v>
      </c>
      <c r="D48" t="s">
        <v>681</v>
      </c>
      <c r="E48" t="s">
        <v>746</v>
      </c>
    </row>
    <row r="49" spans="1:5">
      <c r="A49" s="128" t="s">
        <v>351</v>
      </c>
      <c r="B49" t="s">
        <v>50</v>
      </c>
      <c r="C49" t="s">
        <v>664</v>
      </c>
      <c r="D49" t="s">
        <v>682</v>
      </c>
      <c r="E49" t="s">
        <v>747</v>
      </c>
    </row>
    <row r="50" spans="1:5">
      <c r="A50" s="128" t="s">
        <v>351</v>
      </c>
      <c r="B50" t="s">
        <v>50</v>
      </c>
      <c r="C50" t="s">
        <v>664</v>
      </c>
      <c r="D50" t="s">
        <v>683</v>
      </c>
      <c r="E50" t="s">
        <v>748</v>
      </c>
    </row>
    <row r="51" spans="1:5">
      <c r="A51" s="128" t="s">
        <v>351</v>
      </c>
      <c r="B51" t="s">
        <v>643</v>
      </c>
      <c r="C51" t="s">
        <v>684</v>
      </c>
      <c r="D51" t="s">
        <v>687</v>
      </c>
      <c r="E51" t="s">
        <v>749</v>
      </c>
    </row>
    <row r="52" spans="1:5">
      <c r="A52" s="128" t="s">
        <v>351</v>
      </c>
      <c r="B52" t="s">
        <v>643</v>
      </c>
      <c r="C52" t="s">
        <v>686</v>
      </c>
      <c r="D52" t="s">
        <v>688</v>
      </c>
      <c r="E52" t="s">
        <v>689</v>
      </c>
    </row>
    <row r="53" spans="1:5">
      <c r="A53" s="128" t="s">
        <v>351</v>
      </c>
      <c r="B53" t="s">
        <v>643</v>
      </c>
      <c r="C53" t="s">
        <v>686</v>
      </c>
      <c r="D53" t="s">
        <v>690</v>
      </c>
      <c r="E53" t="s">
        <v>750</v>
      </c>
    </row>
    <row r="54" spans="1:5">
      <c r="A54" s="128" t="s">
        <v>351</v>
      </c>
      <c r="B54" t="s">
        <v>625</v>
      </c>
      <c r="C54" t="s">
        <v>674</v>
      </c>
      <c r="D54" t="s">
        <v>691</v>
      </c>
      <c r="E54" t="s">
        <v>751</v>
      </c>
    </row>
    <row r="55" spans="1:5">
      <c r="A55" s="128" t="s">
        <v>351</v>
      </c>
      <c r="B55" t="s">
        <v>625</v>
      </c>
      <c r="C55" t="s">
        <v>674</v>
      </c>
      <c r="D55" t="s">
        <v>676</v>
      </c>
      <c r="E55" t="s">
        <v>752</v>
      </c>
    </row>
    <row r="56" spans="1:5">
      <c r="A56" s="128" t="s">
        <v>351</v>
      </c>
      <c r="B56" t="s">
        <v>625</v>
      </c>
      <c r="C56" t="s">
        <v>674</v>
      </c>
      <c r="D56" t="s">
        <v>692</v>
      </c>
      <c r="E56" t="s">
        <v>753</v>
      </c>
    </row>
    <row r="57" spans="1:5">
      <c r="A57" s="128" t="s">
        <v>351</v>
      </c>
      <c r="B57" t="s">
        <v>625</v>
      </c>
      <c r="C57" t="s">
        <v>674</v>
      </c>
      <c r="D57" t="s">
        <v>693</v>
      </c>
      <c r="E57" t="s">
        <v>754</v>
      </c>
    </row>
    <row r="58" spans="1:5">
      <c r="A58" s="122" t="s">
        <v>428</v>
      </c>
      <c r="B58" t="s">
        <v>625</v>
      </c>
      <c r="C58" t="s">
        <v>697</v>
      </c>
      <c r="D58" t="s">
        <v>698</v>
      </c>
      <c r="E58" t="s">
        <v>755</v>
      </c>
    </row>
    <row r="59" spans="1:5">
      <c r="A59" s="129" t="s">
        <v>466</v>
      </c>
      <c r="B59" t="s">
        <v>625</v>
      </c>
      <c r="C59" t="s">
        <v>697</v>
      </c>
      <c r="D59" t="s">
        <v>698</v>
      </c>
      <c r="E59" t="s">
        <v>756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4F202-B91A-4FEA-8AA4-3D417A27FC7B}">
  <sheetPr>
    <tabColor theme="2" tint="-0.249977111117893"/>
  </sheetPr>
  <dimension ref="B2:AD104"/>
  <sheetViews>
    <sheetView showGridLines="0" zoomScaleNormal="100" workbookViewId="0"/>
  </sheetViews>
  <sheetFormatPr defaultRowHeight="15"/>
  <cols>
    <col min="1" max="1" width="5.42578125" customWidth="1"/>
    <col min="2" max="2" width="35.85546875" customWidth="1"/>
    <col min="3" max="3" width="33" customWidth="1"/>
    <col min="4" max="4" width="85.28515625" customWidth="1"/>
    <col min="5" max="5" width="26.28515625" customWidth="1"/>
    <col min="6" max="6" width="39.5703125" style="85" customWidth="1"/>
    <col min="7" max="7" width="4" customWidth="1"/>
  </cols>
  <sheetData>
    <row r="2" spans="2:30" ht="36">
      <c r="B2" s="78" t="s">
        <v>464</v>
      </c>
      <c r="D2" s="81" t="s">
        <v>0</v>
      </c>
      <c r="E2" s="81"/>
      <c r="I2" s="82"/>
      <c r="U2" s="82"/>
    </row>
    <row r="3" spans="2:30">
      <c r="B3" s="76" t="s">
        <v>225</v>
      </c>
      <c r="C3" s="76" t="s">
        <v>596</v>
      </c>
      <c r="D3" s="76" t="s">
        <v>597</v>
      </c>
      <c r="E3" s="76"/>
      <c r="F3" s="88" t="s">
        <v>233</v>
      </c>
      <c r="G3" s="4" t="s">
        <v>228</v>
      </c>
      <c r="AD3" t="s">
        <v>228</v>
      </c>
    </row>
    <row r="4" spans="2:30">
      <c r="B4" s="75" t="s">
        <v>226</v>
      </c>
      <c r="C4" s="54" t="s">
        <v>163</v>
      </c>
      <c r="D4" s="94" t="s">
        <v>164</v>
      </c>
      <c r="E4" s="94"/>
      <c r="F4" s="77" t="str">
        <f t="shared" ref="F4:F48" si="0">IF(D4="","",""""&amp;C4&amp;" "&amp;IF(C4="[FOOTER RULE - STRICT]",D4,IF(RIGHT(D4,6)=" | "&amp;CHAR(34)&amp;" &amp;",D4,D4&amp;" | "&amp;CHAR(34)&amp;" &amp;")))</f>
        <v>"[ROLE] Friendly tutor specializing in " &amp; $I$2 &amp; " | " &amp;</v>
      </c>
      <c r="G4" s="54" t="s">
        <v>228</v>
      </c>
    </row>
    <row r="5" spans="2:30">
      <c r="B5" s="75" t="s">
        <v>226</v>
      </c>
      <c r="C5" s="54" t="s">
        <v>167</v>
      </c>
      <c r="D5" s="94" t="s">
        <v>168</v>
      </c>
      <c r="E5" s="94"/>
      <c r="F5" s="77" t="str">
        <f t="shared" si="0"/>
        <v>"[TOPIC] " &amp; I9 &amp; " | " &amp;</v>
      </c>
      <c r="G5" s="54" t="s">
        <v>228</v>
      </c>
    </row>
    <row r="6" spans="2:30">
      <c r="B6" s="75" t="s">
        <v>226</v>
      </c>
      <c r="C6" s="54" t="s">
        <v>169</v>
      </c>
      <c r="D6" s="94" t="s">
        <v>170</v>
      </c>
      <c r="E6" s="94"/>
      <c r="F6" s="77" t="str">
        <f t="shared" si="0"/>
        <v>"[LEVEL] " &amp; G9 &amp; " | " &amp;</v>
      </c>
      <c r="G6" s="54" t="s">
        <v>228</v>
      </c>
    </row>
    <row r="7" spans="2:30">
      <c r="B7" s="75" t="s">
        <v>226</v>
      </c>
      <c r="C7" s="54" t="s">
        <v>171</v>
      </c>
      <c r="D7" s="94" t="s">
        <v>172</v>
      </c>
      <c r="E7" s="94"/>
      <c r="F7" s="77" t="str">
        <f t="shared" si="0"/>
        <v>"[COUNT] " &amp; D9 &amp; " examples | " &amp;</v>
      </c>
      <c r="G7" s="54" t="s">
        <v>228</v>
      </c>
    </row>
    <row r="8" spans="2:30">
      <c r="B8" s="75" t="s">
        <v>226</v>
      </c>
      <c r="C8" s="54" t="s">
        <v>234</v>
      </c>
      <c r="D8" s="94" t="s">
        <v>276</v>
      </c>
      <c r="E8" s="94"/>
      <c r="F8" s="77" t="str">
        <f t="shared" si="0"/>
        <v>"[LIBRARY BEING LEARNED] " &amp; $I$3 &amp; " | " &amp;</v>
      </c>
      <c r="G8" s="54" t="s">
        <v>228</v>
      </c>
    </row>
    <row r="9" spans="2:30">
      <c r="B9" s="75" t="s">
        <v>226</v>
      </c>
      <c r="C9" s="32" t="s">
        <v>229</v>
      </c>
      <c r="D9" s="94" t="str">
        <f>"If a module or ecosystem like "&amp; Variables!E6 &amp;" is specified in "&amp; Variables!E7 &amp;", you are CRITICALLY FORBIDDEN from using "&amp; Variables!E8 &amp;". You MUST enforce the "&amp; Variables!E9 &amp;" and data structures of that specific library."</f>
        <v>If a module or ecosystem like GenServer, Supervisor, Registry, or DynamicSupervisor is specified in , you are CRITICALLY FORBIDDEN from using manual process linking (spawn/1, spawn_link/1) outside standard OTP behaviors. You MUST enforce the concurrent asynchronous processes and proper Supervisor tree state isolation and data structures of that specific library.</v>
      </c>
      <c r="E9" s="94"/>
      <c r="F9" s="77" t="str">
        <f t="shared" si="0"/>
        <v>"[ECOSYSTEM ORIENTATION RULE] If a module or ecosystem like GenServer, Supervisor, Registry, or DynamicSupervisor is specified in , you are CRITICALLY FORBIDDEN from using manual process linking (spawn/1, spawn_link/1) outside standard OTP behaviors. You MUST enforce the concurrent asynchronous processes and proper Supervisor tree state isolation and data structures of that specific library. | " &amp;</v>
      </c>
      <c r="G9" s="54" t="s">
        <v>228</v>
      </c>
    </row>
    <row r="10" spans="2:30">
      <c r="B10" s="75" t="s">
        <v>226</v>
      </c>
      <c r="C10" s="54" t="s">
        <v>175</v>
      </c>
      <c r="D10" s="94" t="s">
        <v>176</v>
      </c>
      <c r="E10" s="94"/>
      <c r="F10" s="77" t="str">
        <f t="shared" si="0"/>
        <v>"[LANGUAGE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v>
      </c>
      <c r="G10" s="54" t="s">
        <v>228</v>
      </c>
    </row>
    <row r="11" spans="2:30">
      <c r="B11" s="75" t="s">
        <v>226</v>
      </c>
      <c r="C11" s="54" t="s">
        <v>508</v>
      </c>
      <c r="D11" s="94" t="s">
        <v>500</v>
      </c>
      <c r="E11" s="94"/>
      <c r="F11" s="77" t="str">
        <f t="shared" si="0"/>
        <v>"[LANGUAGE SEED CONTEXT] " &amp; IF($AE$7 = "", "Language Seed Not Necessary", "You MUST strictly follow this seed context to enhance, adapt, and naturalize your tone, vocabulary, and instructional quality in " &amp; $B$6 &amp; ": " &amp; $AE$7) &amp; " | " &amp;</v>
      </c>
      <c r="G11" s="54" t="s">
        <v>228</v>
      </c>
    </row>
    <row r="12" spans="2:30">
      <c r="B12" s="75" t="s">
        <v>226</v>
      </c>
      <c r="C12" s="54" t="s">
        <v>222</v>
      </c>
      <c r="D12" s="94" t="s">
        <v>223</v>
      </c>
      <c r="E12" s="94"/>
      <c r="F12" s="77" t="str">
        <f t="shared" si="0"/>
        <v>"[LANGUAGE] " &amp; $B$6 &amp; " | " &amp;</v>
      </c>
      <c r="G12" s="54" t="s">
        <v>228</v>
      </c>
    </row>
    <row r="13" spans="2:30">
      <c r="B13" s="75" t="s">
        <v>226</v>
      </c>
      <c r="C13" s="54" t="s">
        <v>237</v>
      </c>
      <c r="D13" s="94" t="s">
        <v>238</v>
      </c>
      <c r="E13" s="94"/>
      <c r="F13" s="77" t="str">
        <f t="shared" si="0"/>
        <v>"[EXECUTIVE CONSTRAINTS] Each example MUST include: - Internal data OR dataset usage - Print key intermediate steps and the final result - MUST NOT exceed exactly " &amp; $A9 &amp; " lines of EXECUTABLE code (STRICT: Do NOT count comments or blank lines). - NEVER exceed this limit. | " &amp;</v>
      </c>
      <c r="G13" s="54" t="s">
        <v>228</v>
      </c>
    </row>
    <row r="14" spans="2:30">
      <c r="B14" s="75" t="s">
        <v>226</v>
      </c>
      <c r="C14" s="32" t="s">
        <v>183</v>
      </c>
      <c r="D14" s="94" t="str">
        <f>"Rule: " &amp; CHAR(34) &amp; " &amp; IF(G9=" &amp; CHAR(34) &amp; "Beginner" &amp; CHAR(34) &amp; "," &amp; CHAR(34) &amp; Variables!E10 &amp; CHAR(34) &amp; ", IF(G9=" &amp; CHAR(34) &amp; "Intermediate" &amp; CHAR(34) &amp; ", " &amp; CHAR(34) &amp; Variables!E11 &amp; CHAR(34) &amp; ", " &amp; CHAR(34) &amp; Variables!E13 &amp; CHAR(34) &amp; ")) &amp; " &amp; CHAR(34) &amp; " | " &amp; CHAR(34) &amp; " &amp;"</f>
        <v>Rule: " &amp; IF(G9="Beginner","Focus on basic GenServer implementations with simple init/1 and synchronous handle_call/3 callbacks.", IF(G9="Intermediate", "Integrate GenServer within a Supervisor tree. Use asynchronous handle_cast/2 and explicit state transitions.", "stateful GenServer state or external message passing")) &amp; " | " &amp;</v>
      </c>
      <c r="E14" s="94"/>
      <c r="F14" s="77" t="str">
        <f t="shared" si="0"/>
        <v>"[FUNCTION RULE] Rule: " &amp; IF(G9="Beginner","Focus on basic GenServer implementations with simple init/1 and synchronous handle_call/3 callbacks.", IF(G9="Intermediate", "Integrate GenServer within a Supervisor tree. Use asynchronous handle_cast/2 and explicit state transitions.", "stateful GenServer state or external message passing")) &amp; " | " &amp;</v>
      </c>
      <c r="G14" s="54" t="s">
        <v>228</v>
      </c>
    </row>
    <row r="15" spans="2:30">
      <c r="B15" s="83" t="s">
        <v>227</v>
      </c>
      <c r="C15" s="54" t="s">
        <v>236</v>
      </c>
      <c r="D15" s="94"/>
      <c r="E15" s="94"/>
      <c r="F15" s="77" t="str">
        <f t="shared" si="0"/>
        <v/>
      </c>
      <c r="G15" s="54" t="s">
        <v>228</v>
      </c>
    </row>
    <row r="16" spans="2:30">
      <c r="B16" s="83" t="s">
        <v>227</v>
      </c>
      <c r="C16" s="54" t="s">
        <v>236</v>
      </c>
      <c r="D16" s="94"/>
      <c r="E16" s="94"/>
      <c r="F16" s="77" t="str">
        <f t="shared" si="0"/>
        <v/>
      </c>
      <c r="G16" s="54" t="s">
        <v>228</v>
      </c>
    </row>
    <row r="17" spans="2:7">
      <c r="B17" s="83" t="s">
        <v>227</v>
      </c>
      <c r="C17" s="54" t="s">
        <v>236</v>
      </c>
      <c r="D17" s="94"/>
      <c r="E17" s="94"/>
      <c r="F17" s="77" t="str">
        <f t="shared" si="0"/>
        <v/>
      </c>
      <c r="G17" s="54" t="s">
        <v>228</v>
      </c>
    </row>
    <row r="18" spans="2:7">
      <c r="B18" s="83" t="s">
        <v>227</v>
      </c>
      <c r="C18" s="32" t="s">
        <v>632</v>
      </c>
      <c r="D18" s="94" t="str">
        <f>"Each example MUST: - Use " &amp; Variables!E13 &amp; " - Print steps &amp; result via " &amp; Variables!E14 &amp; " - MAX " &amp; CHAR(34) &amp; " &amp; $A9 &amp; " &amp; CHAR(34) &amp; " executable lines (comments/blanks excluded) - NEVER exceed limit. | " &amp; CHAR(34) &amp; " &amp;"</f>
        <v>Each example MUST: - Use stateful GenServer state or external message passing - Print steps &amp; result via Logger.info/debug or IO.inspect inside isolated process callbacks - MAX " &amp; $A9 &amp; " executable lines (comments/blanks excluded) - NEVER exceed limit. | " &amp;</v>
      </c>
      <c r="E18" s="94"/>
      <c r="F18" s="77" t="str">
        <f t="shared" si="0"/>
        <v>"[CODE_CONSTRAINTS_RULE] Each example MUST: - Use stateful GenServer state or external message passing - Print steps &amp; result via Logger.info/debug or IO.inspect inside isolated process callbacks - MAX " &amp; $A9 &amp; " executable lines (comments/blanks excluded) - NEVER exceed limit. | " &amp;</v>
      </c>
      <c r="G18" s="54" t="s">
        <v>228</v>
      </c>
    </row>
    <row r="19" spans="2:7">
      <c r="B19" s="84" t="s">
        <v>227</v>
      </c>
      <c r="C19" s="32" t="s">
        <v>622</v>
      </c>
      <c r="D19" s="94" t="str">
        <f>"Use " &amp; Variables!E15 &amp; " and gracefully handle " &amp; Variables!E16 &amp; " when applicable. | " &amp; CHAR(34) &amp; " &amp;"</f>
        <v>Use standard OTP message passing via send/2 or GenServer.call/3 and gracefully handle {:reply, response, new_state}, {:noreply, new_state}, and {:ok, state} tuples when applicable. | " &amp;</v>
      </c>
      <c r="E19" s="94"/>
      <c r="F19" s="77" t="str">
        <f t="shared" si="0"/>
        <v>"[I_O_PARADIGM] Use standard OTP message passing via send/2 or GenServer.call/3 and gracefully handle {:reply, response, new_state}, {:noreply, new_state}, and {:ok, state} tuples when applicable. | " &amp;</v>
      </c>
      <c r="G19" s="54" t="s">
        <v>228</v>
      </c>
    </row>
    <row r="20" spans="2:7">
      <c r="B20" s="84" t="s">
        <v>227</v>
      </c>
      <c r="C20" s="32" t="s">
        <v>623</v>
      </c>
      <c r="D20" s="94" t="str">
        <f>"If using external packages, use " &amp; Variables!E17 &amp; " at the top of the code block. Assume no project configuration file exists. | " &amp; CHAR(34) &amp; " &amp;"</f>
        <v>If using external packages, use Standard mix.exs dependencies list (defp deps do [{:package_name, '~&gt; version'}] end) at the top of the code block. Assume no project configuration file exists. | " &amp;</v>
      </c>
      <c r="E20" s="94"/>
      <c r="F20" s="77" t="str">
        <f t="shared" si="0"/>
        <v>"[INLINE_PACKAGE_MANAGER] If using external packages, use Standard mix.exs dependencies list (defp deps do [{:package_name, '~&gt; version'}] end) at the top of the code block. Assume no project configuration file exists. | " &amp;</v>
      </c>
      <c r="G20" s="54" t="s">
        <v>228</v>
      </c>
    </row>
    <row r="21" spans="2:7">
      <c r="B21" s="83" t="s">
        <v>227</v>
      </c>
      <c r="C21" s="32" t="s">
        <v>624</v>
      </c>
      <c r="D21" s="94" t="str">
        <f>"For " &amp; Variables!E18 &amp; ", NEVER use " &amp; Variables!E19 &amp; ". Use " &amp; Variables!E20 &amp; ", as " &amp; Variables!E19 &amp; " fail in standalone execution environments. | " &amp; CHAR(34) &amp; " &amp;"</f>
        <v>For ExUnit with isolated async processes (use ExUnit.Case, async: true), NEVER use manual process link hacking outside of standard OTP abstractions. Use standard test macros and assert_receive/assert_received for message validation, as manual process link hacking outside of standard OTP abstractions fail in standalone execution environments. | " &amp;</v>
      </c>
      <c r="E21" s="94"/>
      <c r="F21" s="77" t="str">
        <f t="shared" si="0"/>
        <v>"[TESTING_FRAMEWORK_LIMITS] For ExUnit with isolated async processes (use ExUnit.Case, async: true), NEVER use manual process link hacking outside of standard OTP abstractions. Use standard test macros and assert_receive/assert_received for message validation, as manual process link hacking outside of standard OTP abstractions fail in standalone execution environments. | " &amp;</v>
      </c>
      <c r="G21" s="54" t="s">
        <v>228</v>
      </c>
    </row>
    <row r="22" spans="2:7">
      <c r="B22" s="84" t="s">
        <v>281</v>
      </c>
      <c r="C22" s="54" t="s">
        <v>184</v>
      </c>
      <c r="D22" s="94" t="s">
        <v>613</v>
      </c>
      <c r="E22" s="94"/>
      <c r="F22" s="77" t="str">
        <f t="shared" si="0"/>
        <v>"[CODE QUALITY RULE] Code MUST be clean, readable, educational, executable, and produce correct results. Handle missing, malformed, or inconsistent data safely, utilizing pattern matching if possible. | " &amp;</v>
      </c>
      <c r="G22" s="54" t="s">
        <v>228</v>
      </c>
    </row>
    <row r="23" spans="2:7">
      <c r="B23" s="84" t="s">
        <v>281</v>
      </c>
      <c r="C23" s="54" t="s">
        <v>614</v>
      </c>
      <c r="D23" s="94" t="s">
        <v>615</v>
      </c>
      <c r="E23" s="94"/>
      <c r="F23" s="77" t="str">
        <f t="shared" si="0"/>
        <v>"[COMMENT CONSTRAINTS] Code MUST include sufficient inline comments explaining WHAT the code does AND WHY it is written that way. Density: Beginner = high, Intermediate = medium, Advanced = lower but present in key logic. | " &amp;</v>
      </c>
      <c r="G23" s="54" t="s">
        <v>228</v>
      </c>
    </row>
    <row r="24" spans="2:7">
      <c r="B24" s="84" t="s">
        <v>281</v>
      </c>
      <c r="C24" s="54" t="s">
        <v>211</v>
      </c>
      <c r="D24" s="94" t="s">
        <v>291</v>
      </c>
      <c r="E24" s="94"/>
      <c r="F24" s="77" t="str">
        <f t="shared" si="0"/>
        <v>"[FORMAT RULE] Only valid markdown code blocks allowed | " &amp;</v>
      </c>
      <c r="G24" s="54" t="s">
        <v>228</v>
      </c>
    </row>
    <row r="25" spans="2:7">
      <c r="B25" s="84" t="s">
        <v>281</v>
      </c>
      <c r="C25" s="54" t="s">
        <v>213</v>
      </c>
      <c r="D25" s="94" t="s">
        <v>618</v>
      </c>
      <c r="E25" s="94"/>
      <c r="F25" s="77" t="str">
        <f t="shared" si="0"/>
        <v>"[LANGUAGE TAG RULE] ALWAYS label markdown code blocks with the correct underlying programming language (e.g., elixir, javascript, sql) | " &amp;</v>
      </c>
      <c r="G25" s="54" t="s">
        <v>228</v>
      </c>
    </row>
    <row r="26" spans="2:7">
      <c r="B26" s="84" t="s">
        <v>281</v>
      </c>
      <c r="C26" s="54" t="s">
        <v>219</v>
      </c>
      <c r="D26" s="94" t="s">
        <v>598</v>
      </c>
      <c r="E26" s="94"/>
      <c r="F26" s="77" t="str">
        <f t="shared" si="0"/>
        <v>"[HEADER RULE - STRICT] You MUST start your entire response EXACTLY with this markdown block (do not print anything before it):" &amp; CHAR(10) &amp; "### 🔹 Topic #" &amp; F9 &amp; " | Stage 1 📖 Practice | " &amp; IF($I$3="", $I$2, $I$2&amp; " - " &amp;$I$3) &amp; " | 📊 Level: " &amp; G9 &amp; " | 🌐 Coding5s.com" &amp; CHAR(10) &amp; "**Concept:** " &amp; J9 &amp; CHAR(10) &amp; "---" &amp; CHAR(10) &amp; " | " &amp;</v>
      </c>
      <c r="G26" s="54" t="s">
        <v>228</v>
      </c>
    </row>
    <row r="27" spans="2:7">
      <c r="B27" s="84" t="s">
        <v>281</v>
      </c>
      <c r="C27" s="54" t="s">
        <v>191</v>
      </c>
      <c r="D27" s="94" t="s">
        <v>231</v>
      </c>
      <c r="E27" s="94"/>
      <c r="F27" s="77" t="str">
        <f t="shared" si="0"/>
        <v>"[INTRO RULE] Include a short tutor-style sentence in " &amp; $B$6 &amp; " before the analogy, followed by this EXACT instruction block translated to " &amp; $B$6 &amp; ": '🚨 **Your objective in this lesson:** To truly learn the new  " &amp; $I$2 &amp; "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 &amp;</v>
      </c>
      <c r="G27" s="54" t="s">
        <v>228</v>
      </c>
    </row>
    <row r="28" spans="2:7">
      <c r="B28" s="84" t="s">
        <v>281</v>
      </c>
      <c r="C28" s="54" t="s">
        <v>173</v>
      </c>
      <c r="D28" s="94" t="s">
        <v>174</v>
      </c>
      <c r="E28" s="94"/>
      <c r="F28" s="77" t="str">
        <f t="shared" si="0"/>
        <v>"[PERSONA RULE] Act as a friendly, clear tutor | " &amp;</v>
      </c>
      <c r="G28" s="54" t="s">
        <v>228</v>
      </c>
    </row>
    <row r="29" spans="2:7">
      <c r="B29" s="84" t="s">
        <v>281</v>
      </c>
      <c r="C29" s="54" t="s">
        <v>165</v>
      </c>
      <c r="D29" s="94" t="s">
        <v>166</v>
      </c>
      <c r="E29" s="94"/>
      <c r="F29" s="77" t="str">
        <f t="shared" si="0"/>
        <v>"[TASK] Teach and explain concepts clearly with correct code examples | " &amp;</v>
      </c>
      <c r="G29" s="54" t="s">
        <v>228</v>
      </c>
    </row>
    <row r="30" spans="2:7">
      <c r="B30" s="84" t="s">
        <v>281</v>
      </c>
      <c r="C30" s="54" t="s">
        <v>180</v>
      </c>
      <c r="D30" s="94" t="s">
        <v>181</v>
      </c>
      <c r="E30" s="94"/>
      <c r="F30" s="77" t="str">
        <f t="shared" si="0"/>
        <v>"[OUTPUT CONTRACT] EXACTLY " &amp; D9 &amp; "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 &amp;</v>
      </c>
      <c r="G30" s="54" t="s">
        <v>228</v>
      </c>
    </row>
    <row r="31" spans="2:7">
      <c r="B31" s="84" t="s">
        <v>281</v>
      </c>
      <c r="C31" s="54" t="s">
        <v>184</v>
      </c>
      <c r="D31" s="94" t="s">
        <v>232</v>
      </c>
      <c r="E31" s="94"/>
      <c r="F31" s="77" t="str">
        <f t="shared" si="0"/>
        <v>"[CODE QUALITY RULE] Code MUST be clean, readable, educational, executable, and produce correct and accurate results | " &amp;</v>
      </c>
      <c r="G31" s="54" t="s">
        <v>228</v>
      </c>
    </row>
    <row r="32" spans="2:7">
      <c r="B32" s="84" t="s">
        <v>281</v>
      </c>
      <c r="C32" s="54" t="s">
        <v>185</v>
      </c>
      <c r="D32" s="94" t="s">
        <v>186</v>
      </c>
      <c r="E32" s="94"/>
      <c r="F32" s="77" t="str">
        <f t="shared" si="0"/>
        <v>"[COMMENT RULE - STRICT] Code MUST include sufficient inline comments explaining important lines and logical blocks | " &amp;</v>
      </c>
      <c r="G32" s="54" t="s">
        <v>228</v>
      </c>
    </row>
    <row r="33" spans="2:7">
      <c r="B33" s="84" t="s">
        <v>281</v>
      </c>
      <c r="C33" s="54" t="s">
        <v>187</v>
      </c>
      <c r="D33" s="94" t="s">
        <v>188</v>
      </c>
      <c r="E33" s="94"/>
      <c r="F33" s="77" t="str">
        <f t="shared" si="0"/>
        <v>"[COMMENT DEPTH RULE] Comments MUST explain WHAT the code does AND WHY it is written that way | " &amp;</v>
      </c>
      <c r="G33" s="54" t="s">
        <v>228</v>
      </c>
    </row>
    <row r="34" spans="2:7">
      <c r="B34" s="84" t="s">
        <v>281</v>
      </c>
      <c r="C34" s="54" t="s">
        <v>201</v>
      </c>
      <c r="D34" s="94" t="s">
        <v>202</v>
      </c>
      <c r="E34" s="94"/>
      <c r="F34" s="77" t="str">
        <f t="shared" si="0"/>
        <v>"[EXPLANATION RULE] Explanation within 'Mini-Lección' MUST explain WHAT, WHY, HOW, and real-world context concisely | " &amp;</v>
      </c>
      <c r="G34" s="54" t="s">
        <v>228</v>
      </c>
    </row>
    <row r="35" spans="2:7">
      <c r="B35" s="84" t="s">
        <v>281</v>
      </c>
      <c r="C35" s="54" t="s">
        <v>203</v>
      </c>
      <c r="D35" s="94" t="s">
        <v>204</v>
      </c>
      <c r="E35" s="94"/>
      <c r="F35" s="77" t="str">
        <f t="shared" si="0"/>
        <v>"[LEARNING RULE] Each example MUST highlight a key insight | " &amp;</v>
      </c>
      <c r="G35" s="54" t="s">
        <v>228</v>
      </c>
    </row>
    <row r="36" spans="2:7">
      <c r="B36" s="84" t="s">
        <v>281</v>
      </c>
      <c r="C36" s="54" t="s">
        <v>205</v>
      </c>
      <c r="D36" s="94" t="s">
        <v>206</v>
      </c>
      <c r="E36" s="94"/>
      <c r="F36" s="77" t="str">
        <f t="shared" si="0"/>
        <v>"[COMMON MISTAKES RULE] Include a short mistake note after each example | " &amp;</v>
      </c>
      <c r="G36" s="54" t="s">
        <v>228</v>
      </c>
    </row>
    <row r="37" spans="2:7">
      <c r="B37" s="84" t="s">
        <v>281</v>
      </c>
      <c r="C37" s="54" t="s">
        <v>207</v>
      </c>
      <c r="D37" s="94" t="s">
        <v>208</v>
      </c>
      <c r="E37" s="94"/>
      <c r="F37" s="77" t="str">
        <f t="shared" si="0"/>
        <v>"[MINI CHALLENGE RULE] Include a short reinforcement question after each example | " &amp;</v>
      </c>
      <c r="G37" s="54" t="s">
        <v>228</v>
      </c>
    </row>
    <row r="38" spans="2:7">
      <c r="B38" s="84" t="s">
        <v>281</v>
      </c>
      <c r="C38" s="54" t="s">
        <v>209</v>
      </c>
      <c r="D38" s="94" t="s">
        <v>210</v>
      </c>
      <c r="E38" s="94"/>
      <c r="F38" s="77" t="str">
        <f t="shared" si="0"/>
        <v>"[REAL WORLD RULE] Connect each example to a real-world use case | " &amp;</v>
      </c>
      <c r="G38" s="54" t="s">
        <v>228</v>
      </c>
    </row>
    <row r="39" spans="2:7">
      <c r="B39" s="84" t="s">
        <v>281</v>
      </c>
      <c r="C39" s="54" t="s">
        <v>211</v>
      </c>
      <c r="D39" s="94" t="s">
        <v>212</v>
      </c>
      <c r="E39" s="94"/>
      <c r="F39" s="77" t="str">
        <f t="shared" si="0"/>
        <v>"[FORMAT RULE] Only valid markdown code blocks allowed | " &amp;</v>
      </c>
      <c r="G39" s="54" t="s">
        <v>228</v>
      </c>
    </row>
    <row r="40" spans="2:7">
      <c r="B40" s="84" t="s">
        <v>281</v>
      </c>
      <c r="C40" s="54" t="s">
        <v>213</v>
      </c>
      <c r="D40" s="94" t="s">
        <v>214</v>
      </c>
      <c r="E40" s="94"/>
      <c r="F40" s="77" t="str">
        <f t="shared" si="0"/>
        <v>"[LANGUAGE TAG RULE] ALWAYS label markdown code blocks with the correct underlying programming language (e.g., python, javascript, sql) | " &amp;</v>
      </c>
      <c r="G40" s="54" t="s">
        <v>228</v>
      </c>
    </row>
    <row r="41" spans="2:7">
      <c r="B41" s="84" t="s">
        <v>281</v>
      </c>
      <c r="C41" s="54" t="s">
        <v>216</v>
      </c>
      <c r="D41" s="94" t="s">
        <v>217</v>
      </c>
      <c r="E41" s="94"/>
      <c r="F41" s="77" t="str">
        <f t="shared" si="0"/>
        <v>"[CONSISTENCY RULE] All examples MUST have similar complexity and length | " &amp;</v>
      </c>
      <c r="G41" s="54" t="s">
        <v>228</v>
      </c>
    </row>
    <row r="42" spans="2:7">
      <c r="B42" s="84" t="s">
        <v>281</v>
      </c>
      <c r="C42" s="54" t="s">
        <v>218</v>
      </c>
      <c r="D42" s="94" t="s">
        <v>239</v>
      </c>
      <c r="E42" s="94"/>
      <c r="F42" s="77" t="str">
        <f t="shared" si="0"/>
        <v>"[FINAL OUTPUT RULE] Include Key Takeaway section at the end | " &amp; IF(AJ9&lt;&gt;"", AJ9, "") &amp;" | " &amp;</v>
      </c>
      <c r="G42" s="54" t="s">
        <v>228</v>
      </c>
    </row>
    <row r="43" spans="2:7">
      <c r="B43" s="84" t="s">
        <v>281</v>
      </c>
      <c r="C43" s="54" t="s">
        <v>177</v>
      </c>
      <c r="D43" s="94" t="s">
        <v>235</v>
      </c>
      <c r="E43" s="94"/>
      <c r="F43" s="77" t="str">
        <f t="shared" si="0"/>
        <v>"[DATA RULE - STRICT] STRICT AMNESIA: IGNORE ALL past datasets/files. Evaluate ONLY current attachments. IF FILE ATTACHED: Acknowledge it, place Dataset Summary (Type, Structure, Columns, Data Types) IMMEDIATELY AFTER HEADER, and strictly use it for ALL examples. IF NO FILE ATTACHED: Explicitly print 'No synthetic data file was provided for this topic. Generating dummy data.' (translate to " &amp; $B$6 &amp; "), generate minimal dummy data internally, and skip summary. | " &amp;</v>
      </c>
      <c r="G43" s="54" t="s">
        <v>228</v>
      </c>
    </row>
    <row r="44" spans="2:7">
      <c r="B44" s="84" t="s">
        <v>281</v>
      </c>
      <c r="C44" s="54" t="s">
        <v>178</v>
      </c>
      <c r="D44" s="94" t="s">
        <v>179</v>
      </c>
      <c r="E44" s="94"/>
      <c r="F44" s="77" t="str">
        <f t="shared" si="0"/>
        <v>"[DATA SUMMARY FORMAT RULE] When a dataset is present, you MUST display IMMEDIATELY AFTER THE HEADER: Dataset Summary: - File Type: - Columns / Fields: - Data Types: - Notes: | " &amp;</v>
      </c>
      <c r="G44" s="54" t="s">
        <v>228</v>
      </c>
    </row>
    <row r="45" spans="2:7">
      <c r="B45" s="84" t="s">
        <v>281</v>
      </c>
      <c r="C45" s="54" t="s">
        <v>196</v>
      </c>
      <c r="D45" s="94" t="s">
        <v>197</v>
      </c>
      <c r="E45" s="94"/>
      <c r="F45" s="77" t="str">
        <f t="shared" si="0"/>
        <v>"[DATA CONSISTENCY RULE] Respect dataset schema | " &amp;</v>
      </c>
      <c r="G45" s="54" t="s">
        <v>228</v>
      </c>
    </row>
    <row r="46" spans="2:7">
      <c r="B46" s="84" t="s">
        <v>281</v>
      </c>
      <c r="C46" s="54" t="s">
        <v>189</v>
      </c>
      <c r="D46" s="94" t="s">
        <v>190</v>
      </c>
      <c r="E46" s="94"/>
      <c r="F46" s="77" t="str">
        <f t="shared" si="0"/>
        <v>"[COMMENT DENSITY RULE] Beginner = high, Intermediate = medium, Advanced = lower but present in key logic | " &amp;</v>
      </c>
      <c r="G46" s="54" t="s">
        <v>228</v>
      </c>
    </row>
    <row r="47" spans="2:7">
      <c r="B47" s="84" t="s">
        <v>281</v>
      </c>
      <c r="C47" s="54" t="s">
        <v>199</v>
      </c>
      <c r="D47" s="94" t="s">
        <v>200</v>
      </c>
      <c r="E47" s="94"/>
      <c r="F47" s="77" t="str">
        <f t="shared" si="0"/>
        <v>"[DIFFICULTY RULE] Complexity MUST match level | " &amp;</v>
      </c>
      <c r="G47" s="54" t="s">
        <v>228</v>
      </c>
    </row>
    <row r="48" spans="2:7">
      <c r="B48" s="84" t="s">
        <v>281</v>
      </c>
      <c r="C48" s="54" t="s">
        <v>220</v>
      </c>
      <c r="D48" s="94" t="s">
        <v>221</v>
      </c>
      <c r="E48" s="94"/>
      <c r="F48" s="77" t="str">
        <f t="shared" si="0"/>
        <v>"[OUTPUT] Only header, introduction, examples, outputs, notes, summary, and footer | " &amp;</v>
      </c>
      <c r="G48" s="54" t="s">
        <v>228</v>
      </c>
    </row>
    <row r="49" spans="2:7">
      <c r="B49" s="84" t="s">
        <v>281</v>
      </c>
      <c r="C49" s="54" t="s">
        <v>224</v>
      </c>
      <c r="D49" s="94" t="s">
        <v>240</v>
      </c>
      <c r="E49" s="94"/>
      <c r="F49" s="77" t="str">
        <f>IF(D49="","",""""&amp;C49&amp;" "&amp;IF(C49="[FOOTER RULE - STRICT]",D49,IF(RIGHT(D49,6)=" | "&amp;CHAR(34)&amp;" &amp;",D49,D49&amp;" | "&amp;CHAR(34)&amp;" &amp;")))</f>
        <v>"[FOOTER RULE - STRICT] End your entire response EXACTLY with this markdown string (ensure all code blocks are closed before it): ⚡ *Coding5s System — Learn Programming by Writing Code* | ",</v>
      </c>
      <c r="G49" s="54" t="s">
        <v>228</v>
      </c>
    </row>
    <row r="50" spans="2:7">
      <c r="B50" s="84"/>
      <c r="C50" s="54"/>
      <c r="D50" s="94"/>
      <c r="E50" s="94"/>
      <c r="F50" s="88" t="str">
        <f>"IF(H9=""PROJECT"", Z9, """"))"</f>
        <v>IF(H9="PROJECT", Z9, ""))</v>
      </c>
      <c r="G50" s="54"/>
    </row>
    <row r="51" spans="2:7">
      <c r="B51" s="74"/>
      <c r="C51" s="74"/>
      <c r="F51" s="86"/>
    </row>
    <row r="52" spans="2:7">
      <c r="B52" s="74"/>
      <c r="C52" s="74"/>
      <c r="F52" s="86"/>
    </row>
    <row r="53" spans="2:7" ht="36">
      <c r="B53" s="79" t="s">
        <v>463</v>
      </c>
      <c r="C53" s="74"/>
      <c r="D53" t="str">
        <f>_xlfn._LONGTEXT("[VISUAL_ARCHITECTURE_COMMENTS] 1. Use visual block tags (e.g., '# --- BLOQUE 1: [NAME] ---') to map code to the planning phase. 2. Use comprehensive documentation using @moduledoc and @doc. 3. CRITICAL: NO comment or docstring line may exceed 80 character","s in width. | ") &amp;
"[DATA ROBUSTNESS RULE] Handle real-world data safely | "</f>
        <v xml:space="preserve">[VISUAL_ARCHITECTURE_COMMENTS] 1. Use visual block tags (e.g., '# --- BLOQUE 1: [NAME] ---') to map code to the planning phase. 2. Use comprehensive documentation using @moduledoc and @doc. 3. CRITICAL: NO comment or docstring line may exceed 80 characters in width. | [DATA ROBUSTNESS RULE] Handle real-world data safely | </v>
      </c>
      <c r="F53" s="86"/>
    </row>
    <row r="54" spans="2:7">
      <c r="B54" s="76" t="s">
        <v>273</v>
      </c>
      <c r="C54" s="76" t="s">
        <v>596</v>
      </c>
      <c r="D54" s="76" t="s">
        <v>597</v>
      </c>
      <c r="E54" s="76"/>
      <c r="F54" s="88" t="s">
        <v>274</v>
      </c>
      <c r="G54" s="32" t="s">
        <v>228</v>
      </c>
    </row>
    <row r="55" spans="2:7">
      <c r="B55" s="54" t="s">
        <v>226</v>
      </c>
      <c r="C55" s="54" t="s">
        <v>165</v>
      </c>
      <c r="D55" s="94" t="s">
        <v>277</v>
      </c>
      <c r="E55" s="94"/>
      <c r="F55" s="77" t="str">
        <f>IF(D55="","",""""&amp;C55&amp;" "&amp;IF(C55="[FOOTER RULE - STRICT]",D55,IF(RIGHT(D55,6)=" | "&amp;CHAR(34)&amp;" &amp;",D55,D55&amp;" | "&amp;CHAR(34)&amp;" &amp;")))</f>
        <v>"[TASK] Teach through a practical " &amp; $I$2 &amp; " - " &amp; $I$3 &amp; " project following the micro-learning methodology, acting as a supportive tutor, creating a project about  " &amp; I9 &amp; " | " &amp;</v>
      </c>
      <c r="G55" s="32" t="s">
        <v>228</v>
      </c>
    </row>
    <row r="56" spans="2:7">
      <c r="B56" s="54" t="s">
        <v>226</v>
      </c>
      <c r="C56" s="54" t="s">
        <v>261</v>
      </c>
      <c r="D56" s="94" t="s">
        <v>262</v>
      </c>
      <c r="E56" s="94"/>
      <c r="F56" s="77" t="str">
        <f t="shared" ref="F56:F79" si="1">IF(D56="","",""""&amp;C56&amp;" "&amp;IF(C56="[FOOTER RULE - STRICT]",D56,IF(RIGHT(D56,6)=" | "&amp;CHAR(34)&amp;" &amp;",D56,D56&amp;" | "&amp;CHAR(34)&amp;" &amp;")))</f>
        <v>"[TOPICS USED] " &amp; B9 &amp; " | " &amp;</v>
      </c>
      <c r="G56" s="32" t="s">
        <v>228</v>
      </c>
    </row>
    <row r="57" spans="2:7">
      <c r="B57" s="54" t="s">
        <v>226</v>
      </c>
      <c r="C57" s="54" t="s">
        <v>169</v>
      </c>
      <c r="D57" s="94" t="s">
        <v>170</v>
      </c>
      <c r="E57" s="94"/>
      <c r="F57" s="77" t="str">
        <f t="shared" si="1"/>
        <v>"[LEVEL] " &amp; G9 &amp; " | " &amp;</v>
      </c>
      <c r="G57" s="32" t="s">
        <v>228</v>
      </c>
    </row>
    <row r="58" spans="2:7">
      <c r="B58" s="54" t="s">
        <v>226</v>
      </c>
      <c r="C58" s="54" t="s">
        <v>234</v>
      </c>
      <c r="D58" s="94" t="s">
        <v>276</v>
      </c>
      <c r="E58" s="94"/>
      <c r="F58" s="77" t="str">
        <f t="shared" si="1"/>
        <v>"[LIBRARY BEING LEARNED] " &amp; $I$3 &amp; " | " &amp;</v>
      </c>
      <c r="G58" s="32" t="s">
        <v>228</v>
      </c>
    </row>
    <row r="59" spans="2:7">
      <c r="B59" s="75" t="s">
        <v>226</v>
      </c>
      <c r="C59" s="54" t="s">
        <v>229</v>
      </c>
      <c r="D59" s="94" t="str">
        <f>"If a module or ecosystem like "&amp; Variables!E6 &amp;" is specified in "&amp; Variables!E7 &amp;", you are CRITICALLY FORBIDDEN from using "&amp; Variables!E8 &amp;". You MUST enforce the "&amp; Variables!E9 &amp;" and data structures of that specific library."</f>
        <v>If a module or ecosystem like GenServer, Supervisor, Registry, or DynamicSupervisor is specified in , you are CRITICALLY FORBIDDEN from using manual process linking (spawn/1, spawn_link/1) outside standard OTP behaviors. You MUST enforce the concurrent asynchronous processes and proper Supervisor tree state isolation and data structures of that specific library.</v>
      </c>
      <c r="E59" s="94"/>
      <c r="F59" s="77"/>
      <c r="G59" s="32"/>
    </row>
    <row r="60" spans="2:7">
      <c r="B60" s="54" t="s">
        <v>226</v>
      </c>
      <c r="C60" s="54" t="s">
        <v>175</v>
      </c>
      <c r="D60" s="94" t="s">
        <v>263</v>
      </c>
      <c r="E60" s="94"/>
      <c r="F60" s="77" t="str">
        <f t="shared" si="1"/>
        <v>"[LANGUAGE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G60" s="32" t="s">
        <v>228</v>
      </c>
    </row>
    <row r="61" spans="2:7">
      <c r="B61" s="54" t="s">
        <v>226</v>
      </c>
      <c r="C61" s="54" t="s">
        <v>508</v>
      </c>
      <c r="D61" s="94" t="s">
        <v>500</v>
      </c>
      <c r="E61" s="94"/>
      <c r="F61" s="77" t="str">
        <f t="shared" si="1"/>
        <v>"[LANGUAGE SEED CONTEXT] " &amp; IF($AE$7 = "", "Language Seed Not Necessary", "You MUST strictly follow this seed context to enhance, adapt, and naturalize your tone, vocabulary, and instructional quality in " &amp; $B$6 &amp; ": " &amp; $AE$7) &amp; " | " &amp;</v>
      </c>
      <c r="G61" s="32" t="s">
        <v>228</v>
      </c>
    </row>
    <row r="62" spans="2:7">
      <c r="B62" s="54" t="s">
        <v>226</v>
      </c>
      <c r="C62" s="54" t="s">
        <v>222</v>
      </c>
      <c r="D62" s="94" t="s">
        <v>223</v>
      </c>
      <c r="E62" s="94"/>
      <c r="F62" s="77" t="str">
        <f t="shared" si="1"/>
        <v>"[LANGUAGE] " &amp; $B$6 &amp; " | " &amp;</v>
      </c>
      <c r="G62" s="32" t="s">
        <v>228</v>
      </c>
    </row>
    <row r="63" spans="2:7">
      <c r="B63" s="54" t="s">
        <v>227</v>
      </c>
      <c r="C63" s="54" t="s">
        <v>236</v>
      </c>
      <c r="D63" s="94"/>
      <c r="E63" s="94"/>
      <c r="F63" s="77" t="str">
        <f t="shared" ref="F63:F64" si="2">IF(D63="","",""""&amp;C63&amp;" "&amp;IF(C63="[FOOTER RULE - STRICT]",D63,IF(RIGHT(D63,6)=" | "&amp;CHAR(34)&amp;" &amp;",D63,D63&amp;" | "&amp;CHAR(34)&amp;" &amp;")))</f>
        <v/>
      </c>
      <c r="G63" s="32" t="s">
        <v>228</v>
      </c>
    </row>
    <row r="64" spans="2:7">
      <c r="B64" s="54" t="s">
        <v>227</v>
      </c>
      <c r="C64" s="54" t="s">
        <v>236</v>
      </c>
      <c r="D64" s="94"/>
      <c r="E64" s="94"/>
      <c r="F64" s="77" t="str">
        <f t="shared" si="2"/>
        <v/>
      </c>
      <c r="G64" s="32" t="s">
        <v>228</v>
      </c>
    </row>
    <row r="65" spans="2:7">
      <c r="B65" s="54" t="s">
        <v>227</v>
      </c>
      <c r="C65" s="54" t="s">
        <v>623</v>
      </c>
      <c r="D65" s="94" t="str">
        <f>"If the project requires an external package, you MUST use " &amp; Variables!E17 &amp; " at the top. | " &amp; CHAR(34) &amp; " &amp;"</f>
        <v>If the project requires an external package, you MUST use Standard mix.exs dependencies list (defp deps do [{:package_name, '~&gt; version'}] end) at the top. | " &amp;</v>
      </c>
      <c r="E65" s="94"/>
      <c r="F65" s="77" t="str">
        <f t="shared" si="1"/>
        <v>"[INLINE_PACKAGE_MANAGER] If the project requires an external package, you MUST use Standard mix.exs dependencies list (defp deps do [{:package_name, '~&gt; version'}] end) at the top. | " &amp;</v>
      </c>
      <c r="G65" s="32" t="s">
        <v>228</v>
      </c>
    </row>
    <row r="66" spans="2:7">
      <c r="B66" s="54" t="s">
        <v>227</v>
      </c>
      <c r="C66" s="54" t="s">
        <v>644</v>
      </c>
      <c r="D66" s="94" t="str">
        <f>"Rule: " &amp; IF(G9="Beginner", Variables!E10, IF(G9="Intermediate", Variables!E11, Variables!E12)) &amp; " | " &amp; CHAR(34) &amp; " &amp;"</f>
        <v>Rule: Build fault-tolerant OTP apps with DynamicSupervisor, Registry for process discovery, and handle_info/2 handlers. | " &amp;</v>
      </c>
      <c r="E66" s="94"/>
      <c r="F66" s="77" t="str">
        <f t="shared" si="1"/>
        <v>"[SCOPE_ARCHITECTURE_RULE] Rule: Build fault-tolerant OTP apps with DynamicSupervisor, Registry for process discovery, and handle_info/2 handlers. | " &amp;</v>
      </c>
      <c r="G66" s="32" t="s">
        <v>228</v>
      </c>
    </row>
    <row r="67" spans="2:7">
      <c r="B67" s="54" t="s">
        <v>227</v>
      </c>
      <c r="C67" s="54" t="s">
        <v>645</v>
      </c>
      <c r="D67" s="94" t="str">
        <f>"1. Use " &amp; Variables!E21 &amp; " to map code to the planning phase. 2. Use " &amp; Variables!E22 &amp; ". 3. CRITICAL: NO comment or docstring line may exceed " &amp; Variables!E23 &amp; " in width. | " &amp; CHAR(34) &amp; " &amp;"</f>
        <v>1. Use visual block tags separating OTP layers (e.g., '# --- CLIENT API ---', '# --- SERVER CALLBACKS ---') to map code to the planning phase. 2. Use comprehensive documentation using @moduledoc and @doc explaining process state APIs. 3. CRITICAL: NO comment or docstring line may exceed 80 characters in width. | " &amp;</v>
      </c>
      <c r="E67" s="94"/>
      <c r="F67" s="77" t="str">
        <f t="shared" si="1"/>
        <v>"[VISUAL_ARCHITECTURE_COMMENTS] 1. Use visual block tags separating OTP layers (e.g., '# --- CLIENT API ---', '# --- SERVER CALLBACKS ---') to map code to the planning phase. 2. Use comprehensive documentation using @moduledoc and @doc explaining process state APIs. 3. CRITICAL: NO comment or docstring line may exceed 80 characters in width. | " &amp;</v>
      </c>
      <c r="G67" s="32" t="s">
        <v>228</v>
      </c>
    </row>
    <row r="68" spans="2:7">
      <c r="B68" s="84" t="s">
        <v>281</v>
      </c>
      <c r="C68" s="54" t="s">
        <v>194</v>
      </c>
      <c r="D68" s="94" t="s">
        <v>434</v>
      </c>
      <c r="E68" s="94"/>
      <c r="F68" s="77" t="str">
        <f t="shared" si="1"/>
        <v>"[DATA ROBUSTNESS RULE] Handle real-world data safely | " &amp;</v>
      </c>
      <c r="G68" s="32" t="s">
        <v>228</v>
      </c>
    </row>
    <row r="69" spans="2:7">
      <c r="B69" s="84" t="s">
        <v>281</v>
      </c>
      <c r="C69" s="54" t="s">
        <v>182</v>
      </c>
      <c r="D69" s="94" t="s">
        <v>620</v>
      </c>
      <c r="E69" s="94"/>
      <c r="F69" s="77" t="str">
        <f t="shared" si="1"/>
        <v>"[CODE CONSTRAINTS] MUST be between " &amp; IF(G9="Beginner", "25–40", IF(G9="Intermediate", "30–60", "40–100")) &amp; " lines (STRICT) - Multi-step flow | " &amp;</v>
      </c>
      <c r="G69" s="32" t="s">
        <v>228</v>
      </c>
    </row>
    <row r="70" spans="2:7">
      <c r="B70" s="84" t="s">
        <v>281</v>
      </c>
      <c r="C70" s="54" t="s">
        <v>198</v>
      </c>
      <c r="D70" s="94" t="s">
        <v>440</v>
      </c>
      <c r="E70" s="94"/>
      <c r="F70" s="77" t="str">
        <f t="shared" si="1"/>
        <v>"[SUPPORT FILES RULE] Include config files before code if needed | " &amp;</v>
      </c>
      <c r="G70" s="32" t="s">
        <v>228</v>
      </c>
    </row>
    <row r="71" spans="2:7">
      <c r="B71" s="84" t="s">
        <v>281</v>
      </c>
      <c r="C71" s="54" t="s">
        <v>177</v>
      </c>
      <c r="D71" s="94" t="s">
        <v>264</v>
      </c>
      <c r="E71" s="94"/>
      <c r="F71" s="77" t="str">
        <f t="shared" si="1"/>
        <v>"[DATA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v>
      </c>
      <c r="G71" s="32" t="s">
        <v>228</v>
      </c>
    </row>
    <row r="72" spans="2:7">
      <c r="B72" s="84" t="s">
        <v>281</v>
      </c>
      <c r="C72" s="54" t="s">
        <v>180</v>
      </c>
      <c r="D72" s="94" t="s">
        <v>265</v>
      </c>
      <c r="E72" s="94"/>
      <c r="F72" s="77" t="str">
        <f t="shared" si="1"/>
        <v>"[OUTPUT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 &amp;</v>
      </c>
      <c r="G72" s="32" t="s">
        <v>228</v>
      </c>
    </row>
    <row r="73" spans="2:7">
      <c r="B73" s="84" t="s">
        <v>281</v>
      </c>
      <c r="C73" s="54" t="s">
        <v>184</v>
      </c>
      <c r="D73" s="94" t="s">
        <v>266</v>
      </c>
      <c r="E73" s="94"/>
      <c r="F73" s="77" t="str">
        <f t="shared" si="1"/>
        <v>"[CODE QUALITY RULE] Code MUST be clean, readable, correct, and educational | " &amp;</v>
      </c>
      <c r="G73" s="32" t="s">
        <v>228</v>
      </c>
    </row>
    <row r="74" spans="2:7">
      <c r="B74" s="84" t="s">
        <v>281</v>
      </c>
      <c r="C74" s="54" t="s">
        <v>211</v>
      </c>
      <c r="D74" s="94" t="s">
        <v>267</v>
      </c>
      <c r="E74" s="94"/>
      <c r="F74" s="77" t="str">
        <f t="shared" si="1"/>
        <v>"[FORMAT RULE] Only markdown code blocks allowed | " &amp;</v>
      </c>
      <c r="G74" s="32" t="s">
        <v>228</v>
      </c>
    </row>
    <row r="75" spans="2:7">
      <c r="B75" s="84" t="s">
        <v>281</v>
      </c>
      <c r="C75" s="54" t="s">
        <v>268</v>
      </c>
      <c r="D75" s="94" t="s">
        <v>269</v>
      </c>
      <c r="E75" s="94"/>
      <c r="F75" s="77" t="str">
        <f t="shared" si="1"/>
        <v>"[EXECUTION RULE] Code MUST run and produce correct output | " &amp;</v>
      </c>
      <c r="G75" s="32" t="s">
        <v>228</v>
      </c>
    </row>
    <row r="76" spans="2:7">
      <c r="B76" s="84" t="s">
        <v>281</v>
      </c>
      <c r="C76" s="54" t="s">
        <v>216</v>
      </c>
      <c r="D76" s="94" t="s">
        <v>270</v>
      </c>
      <c r="E76" s="94"/>
      <c r="F76" s="77" t="str">
        <f t="shared" si="1"/>
        <v>"[CONSISTENCY RULE] Project must match objective | " &amp;</v>
      </c>
      <c r="G76" s="32" t="s">
        <v>228</v>
      </c>
    </row>
    <row r="77" spans="2:7">
      <c r="B77" s="84" t="s">
        <v>281</v>
      </c>
      <c r="C77" s="54" t="s">
        <v>219</v>
      </c>
      <c r="D77" s="94" t="s">
        <v>599</v>
      </c>
      <c r="E77" s="94"/>
      <c r="F77" s="77" t="str">
        <f t="shared" si="1"/>
        <v>"[HEADER RULE - STRICT] You MUST start your entire response EXACTLY with this markdown block (do not print anything before it):" &amp; CHAR(10) &amp; "### 🚀 Project #" &amp; F9 &amp; " | Stage 1 | " &amp; IF($I$3="", $I$2, $I$2&amp; " - " &amp;$I$3) &amp; " | 📊 Level: " &amp; G9 &amp; " | 🌐 Coding5s.com" &amp; CHAR(10) &amp; "**Project:** " &amp; J9 &amp; CHAR(10) &amp; "---" &amp; CHAR(10) &amp; " | " &amp;</v>
      </c>
      <c r="G77" s="32" t="s">
        <v>228</v>
      </c>
    </row>
    <row r="78" spans="2:7">
      <c r="B78" s="84" t="s">
        <v>281</v>
      </c>
      <c r="C78" s="54" t="s">
        <v>220</v>
      </c>
      <c r="D78" s="94" t="s">
        <v>271</v>
      </c>
      <c r="E78" s="94"/>
      <c r="F78" s="77" t="str">
        <f t="shared" si="1"/>
        <v>"[OUTPUT] Only header, dataset notice, objective, support file, code planning, expected output, code, and footer | " &amp;</v>
      </c>
      <c r="G78" s="32" t="s">
        <v>228</v>
      </c>
    </row>
    <row r="79" spans="2:7">
      <c r="B79" s="84" t="s">
        <v>281</v>
      </c>
      <c r="C79" s="54" t="s">
        <v>224</v>
      </c>
      <c r="D79" s="94" t="s">
        <v>272</v>
      </c>
      <c r="E79" s="94"/>
      <c r="F79" s="77" t="str">
        <f t="shared" si="1"/>
        <v>"[FOOTER RULE - STRICT] End your entire response EXACTLY with this markdown string (ensure all code blocks are closed before it):" &amp; CHAR(10) &amp; "---" &amp; CHAR(10) &amp; "⚡ *Coding5s System — Learn Programming by Writing Code*")</v>
      </c>
      <c r="G79" s="32" t="s">
        <v>228</v>
      </c>
    </row>
    <row r="80" spans="2:7">
      <c r="F80" s="86"/>
      <c r="G80" t="s">
        <v>228</v>
      </c>
    </row>
    <row r="82" spans="2:7" ht="36">
      <c r="B82" s="80" t="s">
        <v>279</v>
      </c>
    </row>
    <row r="83" spans="2:7">
      <c r="B83" s="76" t="s">
        <v>225</v>
      </c>
      <c r="C83" s="76" t="s">
        <v>596</v>
      </c>
      <c r="D83" s="76" t="s">
        <v>597</v>
      </c>
      <c r="E83" s="76"/>
      <c r="F83" s="88" t="s">
        <v>241</v>
      </c>
      <c r="G83" s="54" t="s">
        <v>228</v>
      </c>
    </row>
    <row r="84" spans="2:7">
      <c r="B84" s="54" t="s">
        <v>226</v>
      </c>
      <c r="C84" s="54" t="s">
        <v>242</v>
      </c>
      <c r="D84" s="94" t="s">
        <v>257</v>
      </c>
      <c r="E84" s="94"/>
      <c r="F84" s="77" t="str">
        <f t="shared" ref="F84:F104" si="3">IF(D84="","",""""&amp;C84&amp;" "&amp;IF(C84="[FOOTER RULE - STRICT]",D84,IF(RIGHT(D84,6)=" | "&amp;CHAR(34)&amp;" &amp;",D84,D84&amp;" | "&amp;CHAR(34)&amp;" &amp;")))</f>
        <v>"[MENTOR_S1_SAFE_GUIDE] Act as 'The Safe Guide' (El Hermano Mayor) - a World-Class Elite Technical Mentor for Stage 1 Practice specializing in " &amp; $I$2 &amp; " - " &amp; $I$3 &amp;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 &amp;</v>
      </c>
      <c r="G84" s="54" t="s">
        <v>228</v>
      </c>
    </row>
    <row r="85" spans="2:7">
      <c r="B85" s="54" t="s">
        <v>226</v>
      </c>
      <c r="C85" s="54" t="s">
        <v>243</v>
      </c>
      <c r="D85" s="94" t="s">
        <v>252</v>
      </c>
      <c r="E85" s="94"/>
      <c r="F85" s="77" t="str">
        <f t="shared" si="3"/>
        <v>"[CULTURAL &amp; JARGON RULE] If the language (" &amp; $B$6 &amp; ") is Portuguese, act like a 'Sênior Brasileiro Parceiro' using warm local jargon (e.g., 'tranquilo cara', 'bora codar', 'todo mundo passa por isso'). If Spanish, use warm Latin American tech terminology (e.g., 'tranquilo, a todos nos pasa', 'vamos a ver'). Match the cultural vibe of a friendly big brother. | " &amp;</v>
      </c>
      <c r="G85" s="54" t="s">
        <v>228</v>
      </c>
    </row>
    <row r="86" spans="2:7">
      <c r="B86" s="54" t="s">
        <v>226</v>
      </c>
      <c r="C86" s="54" t="s">
        <v>244</v>
      </c>
      <c r="D86" s="94" t="s">
        <v>253</v>
      </c>
      <c r="E86" s="94"/>
      <c r="F86" s="77" t="str">
        <f t="shared" si="3"/>
        <v>"[CONTEXT] You are helping a Junior Developer who is " &amp; IF(UPPER(H9)="PROJECT", "building a PROJECT: " &amp; I9 &amp; ". Topics applied in this project: " &amp; B9 &amp; ". Project objective: " &amp; J9, "learning: " &amp; I9 &amp; ". Topic details: " &amp; J9) &amp; " | " &amp;</v>
      </c>
      <c r="G86" s="54" t="s">
        <v>228</v>
      </c>
    </row>
    <row r="87" spans="2:7">
      <c r="B87" s="54" t="s">
        <v>226</v>
      </c>
      <c r="C87" s="54" t="s">
        <v>234</v>
      </c>
      <c r="D87" s="94" t="s">
        <v>276</v>
      </c>
      <c r="E87" s="94"/>
      <c r="F87" s="77"/>
      <c r="G87" s="54"/>
    </row>
    <row r="88" spans="2:7">
      <c r="B88" s="54" t="s">
        <v>226</v>
      </c>
      <c r="C88" s="54" t="s">
        <v>175</v>
      </c>
      <c r="D88" s="94" t="s">
        <v>255</v>
      </c>
      <c r="E88" s="94"/>
      <c r="F88" s="77" t="str">
        <f t="shared" si="3"/>
        <v>"[LANGUAGE CONSISTENCY RULE] ALL output text MUST be written strictly in (" &amp; $B$6 &amp; "). | " &amp;</v>
      </c>
      <c r="G88" s="54" t="s">
        <v>228</v>
      </c>
    </row>
    <row r="89" spans="2:7">
      <c r="B89" s="54" t="s">
        <v>226</v>
      </c>
      <c r="C89" s="54" t="s">
        <v>508</v>
      </c>
      <c r="D89" s="94" t="s">
        <v>500</v>
      </c>
      <c r="E89" s="94"/>
      <c r="F89" s="77" t="str">
        <f t="shared" si="3"/>
        <v>"[LANGUAGE SEED CONTEXT] " &amp; IF($AE$7 = "", "Language Seed Not Necessary", "You MUST strictly follow this seed context to enhance, adapt, and naturalize your tone, vocabulary, and instructional quality in " &amp; $B$6 &amp; ": " &amp; $AE$7) &amp; " | " &amp;</v>
      </c>
      <c r="G89" s="54" t="s">
        <v>228</v>
      </c>
    </row>
    <row r="90" spans="2:7">
      <c r="B90" s="54" t="s">
        <v>226</v>
      </c>
      <c r="C90" s="54" t="s">
        <v>222</v>
      </c>
      <c r="D90" s="94" t="s">
        <v>258</v>
      </c>
      <c r="E90" s="94"/>
      <c r="F90" s="77" t="str">
        <f>IF(D90="","",""""&amp;C90&amp;" "&amp;IF(C90="[FOOTER RULE - STRICT]",D90,IF(RIGHT(D90,6)=" | "&amp;CHAR(34)&amp;" &amp;",D90,D90&amp;" | "&amp;CHAR(34)&amp;" &amp;")))</f>
        <v>"[LANGUAGE] " &amp; $B$6 &amp;" | " &amp;</v>
      </c>
      <c r="G90" s="54" t="s">
        <v>228</v>
      </c>
    </row>
    <row r="91" spans="2:7">
      <c r="B91" s="54" t="s">
        <v>227</v>
      </c>
      <c r="C91" s="54" t="s">
        <v>236</v>
      </c>
      <c r="D91" s="94"/>
      <c r="E91" s="94"/>
      <c r="F91" s="77" t="str">
        <f t="shared" ref="F91:F92" si="4">IF(D91="","",""""&amp;C91&amp;" "&amp;IF(C91="[FOOTER RULE - STRICT]",D91,IF(RIGHT(D91,6)=" | "&amp;CHAR(34)&amp;" &amp;",D91,D91&amp;" | "&amp;CHAR(34)&amp;" &amp;")))</f>
        <v/>
      </c>
      <c r="G91" s="54" t="s">
        <v>228</v>
      </c>
    </row>
    <row r="92" spans="2:7">
      <c r="B92" s="54" t="s">
        <v>227</v>
      </c>
      <c r="C92" s="54" t="s">
        <v>236</v>
      </c>
      <c r="D92" s="94"/>
      <c r="E92" s="94"/>
      <c r="F92" s="77" t="str">
        <f t="shared" si="4"/>
        <v/>
      </c>
      <c r="G92" s="54" t="s">
        <v>228</v>
      </c>
    </row>
    <row r="93" spans="2:7">
      <c r="B93" s="54" t="s">
        <v>227</v>
      </c>
      <c r="C93" s="54" t="s">
        <v>650</v>
      </c>
      <c r="D93" s="94" t="str">
        <f>CHAR(34) &amp; " &amp; IF(G9=" &amp; CHAR(34) &amp; "Beginner" &amp; CHAR(34) &amp; ", " &amp; CHAR(34) &amp; Variables!E24 &amp; CHAR(34) &amp; ", IF(G9=" &amp; CHAR(34) &amp; "Intermediate" &amp; CHAR(34) &amp; ", " &amp; CHAR(34) &amp; Variables!E25 &amp; CHAR(34) &amp; ", " &amp; CHAR(34) &amp; Variables!E26 &amp; CHAR(34) &amp; ")) &amp; " &amp; CHAR(34) &amp; " | " &amp; CHAR(34) &amp; " &amp;"</f>
        <v>" &amp; IF(G9="Beginner", "Evaluate based on basic GenServer structure (init/1, handle_call/3). Do NOT expect full Supervisor trees unless explicitly demanded.", IF(G9="Intermediate", "Expect GenServer behaviors integrated into a standard Supervisor. Look for proper state isolation and appropriate use of handle_cast/2 to avoid blocking.", "Expect complete OTP apps with DynamicSupervisor, clean separation of Client API/Server Callbacks, and handle_info/2 pattern matching.")) &amp; " | " &amp;</v>
      </c>
      <c r="E93" s="94" t="str">
        <f>" &amp; IF(G9=" &amp; CHAR(34) &amp; "Beginner" &amp; CHAR(34) &amp; ", " &amp; CHAR(34) &amp; Variables!E24 &amp; CHAR(34) &amp; ", IF(G9=" &amp; CHAR(34) &amp; "Intermediate" &amp; CHAR(34) &amp; ", " &amp; CHAR(34) &amp; Variables!E25 &amp; CHAR(34) &amp; ", " &amp; CHAR(34) &amp; Variables!E26 &amp; CHAR(34) &amp; ")) &amp; " &amp; CHAR(34) &amp; " | " &amp; CHAR(34) &amp; " &amp;"</f>
        <v xml:space="preserve"> &amp; IF(G9="Beginner", "Evaluate based on basic GenServer structure (init/1, handle_call/3). Do NOT expect full Supervisor trees unless explicitly demanded.", IF(G9="Intermediate", "Expect GenServer behaviors integrated into a standard Supervisor. Look for proper state isolation and appropriate use of handle_cast/2 to avoid blocking.", "Expect complete OTP apps with DynamicSupervisor, clean separation of Client API/Server Callbacks, and handle_info/2 pattern matching.")) &amp; " | " &amp;</v>
      </c>
      <c r="F93" s="77" t="str">
        <f>IF(D93="","",""""&amp;C93&amp;" "&amp;IF(C93="[FOOTER RULE - STRICT]",D93,IF(RIGHT(D93,6)=" | "&amp;CHAR(34)&amp;" &amp;",D93,D93&amp;" | "&amp;CHAR(34)&amp;" &amp;")))</f>
        <v>"[MENTOR_SCOPE_EXPECTATIONS] " &amp; IF(G9="Beginner", "Evaluate based on basic GenServer structure (init/1, handle_call/3). Do NOT expect full Supervisor trees unless explicitly demanded.", IF(G9="Intermediate", "Expect GenServer behaviors integrated into a standard Supervisor. Look for proper state isolation and appropriate use of handle_cast/2 to avoid blocking.", "Expect complete OTP apps with DynamicSupervisor, clean separation of Client API/Server Callbacks, and handle_info/2 pattern matching.")) &amp; " | " &amp;</v>
      </c>
      <c r="G93" s="54" t="s">
        <v>228</v>
      </c>
    </row>
    <row r="94" spans="2:7">
      <c r="B94" s="54" t="s">
        <v>227</v>
      </c>
      <c r="C94" s="54" t="s">
        <v>651</v>
      </c>
      <c r="D94" s="94" t="str">
        <f>"Code MUST be idiomatic Elixir. " &amp; Variables!E27 &amp; " " &amp; Variables!E28 &amp; " " &amp; Variables!E29 &amp; " " &amp; Variables!E30 &amp; " | " &amp; CHAR(34) &amp; " &amp; IF(AJ9&lt;&gt;" &amp; CHAR(34) &amp; CHAR(34) &amp; ", " &amp; CHAR(34) &amp; "[MENTOR CONTEXT ALERT] Be aware of the following infrastructure limitation for this exercise: " &amp; CHAR(34) &amp; " &amp; AJ9 &amp; " &amp; CHAR(34) &amp; " Use this knowledge to reassure the student if they present an environment error. | " &amp; CHAR(34) &amp; ", " &amp; CHAR(34) &amp; CHAR(34) &amp; ") &amp; " &amp; CHAR(34) &amp; " | " &amp; CHAR(34) &amp; " &amp;"</f>
        <v>Code MUST be idiomatic Elixir. Use descriptive snake_case for functions/variables, and PascalCase for module aliases. Leverage proper tuple pattern matching (e.g., {:noreply, new_state}) and strict immutability within process boundaries. Reject process mailbox clogging, blocking callbacks, bypassing OTP behaviors, or modifying external global state. If using default arguments ('\\') with multiple function clauses or callbacks, you MUST declare a function head without a body. | " &amp; IF(AJ9&lt;&gt;"", "[MENTOR CONTEXT ALERT] Be aware of the following infrastructure limitation for this exercise: " &amp; AJ9 &amp; " Use this knowledge to reassure the student if they present an environment error. | ", "") &amp; " | " &amp;</v>
      </c>
      <c r="E94" s="94" t="str">
        <f>"Code MUST be idiomatic Elixir. " &amp; Variables!E27 &amp; " " &amp; Variables!E28 &amp; " " &amp; Variables!E29 &amp; " " &amp; Variables!E30 &amp; " | " &amp; CHAR(34) &amp; " &amp; IF(AJ9&lt;&gt;" &amp; CHAR(34) &amp; CHAR(34) &amp; ", " &amp; CHAR(34) &amp; "[MENTOR CONTEXT ALERT] Be aware of the following infrastructure limitation for this exercise: " &amp; CHAR(34) &amp; " &amp; AJ9 &amp; " &amp; CHAR(34) &amp; " Use this knowledge to reassure the student if they present an environment error. | " &amp; CHAR(34) &amp; ", " &amp; CHAR(34) &amp; CHAR(34) &amp; ") &amp; " &amp; CHAR(34) &amp; " | " &amp; CHAR(34) &amp; " &amp;"</f>
        <v>Code MUST be idiomatic Elixir. Use descriptive snake_case for functions/variables, and PascalCase for module aliases. Leverage proper tuple pattern matching (e.g., {:noreply, new_state}) and strict immutability within process boundaries. Reject process mailbox clogging, blocking callbacks, bypassing OTP behaviors, or modifying external global state. If using default arguments ('\\') with multiple function clauses or callbacks, you MUST declare a function head without a body. | " &amp; IF(AJ9&lt;&gt;"", "[MENTOR CONTEXT ALERT] Be aware of the following infrastructure limitation for this exercise: " &amp; AJ9 &amp; " Use this knowledge to reassure the student if they present an environment error. | ", "") &amp; " | " &amp;</v>
      </c>
      <c r="F94" s="77" t="str">
        <f>IF(D94="","",""""&amp;C94&amp;" "&amp;IF(C94="[FOOTER RULE - STRICT]",D94,IF(RIGHT(D94,6)=" | "&amp;CHAR(34)&amp;" &amp;",D94,D94&amp;" | "&amp;CHAR(34)&amp;" &amp;")))</f>
        <v>"[CODE_QUALITY_POLICIES] Code MUST be idiomatic Elixir. Use descriptive snake_case for functions/variables, and PascalCase for module aliases. Leverage proper tuple pattern matching (e.g., {:noreply, new_state}) and strict immutability within process boundaries. Reject process mailbox clogging, blocking callbacks, bypassing OTP behaviors, or modifying external global state. If using default arguments ('\\') with multiple function clauses or callbacks, you MUST declare a function head without a body. | " &amp; IF(AJ9&lt;&gt;"", "[MENTOR CONTEXT ALERT] Be aware of the following infrastructure limitation for this exercise: " &amp; AJ9 &amp; " Use this knowledge to reassure the student if they present an environment error. | ", "") &amp; " | " &amp;</v>
      </c>
      <c r="G94" s="54" t="s">
        <v>228</v>
      </c>
    </row>
    <row r="95" spans="2:7">
      <c r="B95" s="84" t="s">
        <v>281</v>
      </c>
      <c r="C95" s="54" t="s">
        <v>177</v>
      </c>
      <c r="D95" s="94" t="s">
        <v>256</v>
      </c>
      <c r="E95" s="94"/>
      <c r="F95" s="77" t="str">
        <f t="shared" si="3"/>
        <v>"[DATA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 &amp;</v>
      </c>
      <c r="G95" s="54" t="s">
        <v>228</v>
      </c>
    </row>
    <row r="96" spans="2:7">
      <c r="B96" s="84" t="s">
        <v>281</v>
      </c>
      <c r="C96" s="54" t="s">
        <v>245</v>
      </c>
      <c r="D96" s="94" t="s">
        <v>259</v>
      </c>
      <c r="E96" s="94"/>
      <c r="F96" s="77" t="str">
        <f t="shared" si="3"/>
        <v>"[EMPTY INPUT HANDLING - STRICT] If student provided NO code/explanation: " &amp;CHAR(10)&amp; "1. HALT all phases. DO NOT output Phase 1, Barrier, or Phase 2. " &amp;CHAR(10)&amp; "2. Greet warmly (use name or 'Junior'/'Dev'). " &amp;CHAR(10)&amp; "3. Explain that practice requires seeing their attempt. " &amp;CHAR(10)&amp; "4. Firmly/kindly instruct them to reply with BOTH code AND explanation. " &amp;CHAR(10)&amp; "5. STRICT: DO NOT hallucinate code. End response immediately. | " &amp;</v>
      </c>
      <c r="G96" s="54" t="s">
        <v>228</v>
      </c>
    </row>
    <row r="97" spans="2:7">
      <c r="B97" s="84" t="s">
        <v>281</v>
      </c>
      <c r="C97" s="54" t="s">
        <v>165</v>
      </c>
      <c r="D97" s="94" t="s">
        <v>254</v>
      </c>
      <c r="E97" s="94"/>
      <c r="F97" s="77" t="str">
        <f>IF(D97="","",""""&amp;C97&amp;" "&amp;IF(C97="[FOOTER RULE - STRICT]",D97,IF(RIGHT(D97,6)=" | "&amp;CHAR(34)&amp;" &amp;",D97,D97&amp;" | "&amp;CHAR(34)&amp;" &amp;")))</f>
        <v>"[TASK] Analyze the student's code and explanation. If the code is perfect, congratulate them warmly and provide 2 'Bonus Challenges'. Otherwise, follow the 2-PHASE MENTORING PROTOCOL | " &amp;</v>
      </c>
      <c r="G97" s="54" t="s">
        <v>228</v>
      </c>
    </row>
    <row r="98" spans="2:7">
      <c r="B98" s="84" t="s">
        <v>281</v>
      </c>
      <c r="C98" s="54" t="s">
        <v>246</v>
      </c>
      <c r="D98" s="94" t="s">
        <v>324</v>
      </c>
      <c r="E98" s="94"/>
      <c r="F98" s="77" t="str">
        <f t="shared" si="3"/>
        <v>"[ATOMIC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 &amp;</v>
      </c>
      <c r="G98" s="54" t="s">
        <v>228</v>
      </c>
    </row>
    <row r="99" spans="2:7">
      <c r="B99" s="84" t="s">
        <v>281</v>
      </c>
      <c r="C99" s="54" t="s">
        <v>247</v>
      </c>
      <c r="D99" s="94" t="s">
        <v>320</v>
      </c>
      <c r="E99" s="94"/>
      <c r="F99" s="77" t="str">
        <f t="shared" si="3"/>
        <v>"[PHASE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 &amp; IF(UPPER(H9)="PROJECT", "PROJECT", "TOPIC") &amp; "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 &amp;</v>
      </c>
      <c r="G99" s="54" t="s">
        <v>228</v>
      </c>
    </row>
    <row r="100" spans="2:7">
      <c r="B100" s="84" t="s">
        <v>281</v>
      </c>
      <c r="C100" s="54" t="s">
        <v>248</v>
      </c>
      <c r="D100" s="94" t="s">
        <v>323</v>
      </c>
      <c r="E100" s="94"/>
      <c r="F100" s="77" t="str">
        <f t="shared" si="3"/>
        <v>"[EXPLANATION GATE &amp; SCROLL BARRIER] After Phase 1, you MUST insert exactly this visual separator:" &amp; CHAR(10) &amp; "------------------------------------------------------------" &amp; CHAR(10) &amp; "🛑 THE EXPLANATION GATE 🛑" &amp; CHAR(10) &amp; "Before scrolling down to see the Master Code, articulate WHY you think your logic failed. Copy-pasting without understanding builds Epistemic Debt." &amp; CHAR(10) &amp; "------------------------------------------------------------ | " &amp;</v>
      </c>
      <c r="G100" s="54" t="s">
        <v>228</v>
      </c>
    </row>
    <row r="101" spans="2:7">
      <c r="B101" s="84" t="s">
        <v>281</v>
      </c>
      <c r="C101" s="54" t="s">
        <v>249</v>
      </c>
      <c r="D101" s="94" t="s">
        <v>260</v>
      </c>
      <c r="E101" s="94"/>
      <c r="F101" s="77" t="str">
        <f t="shared" si="3"/>
        <v>"[MINIMAL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 &amp;</v>
      </c>
      <c r="G101" s="54" t="s">
        <v>228</v>
      </c>
    </row>
    <row r="102" spans="2:7">
      <c r="B102" s="84" t="s">
        <v>281</v>
      </c>
      <c r="C102" s="54" t="s">
        <v>251</v>
      </c>
      <c r="D102" s="94" t="s">
        <v>321</v>
      </c>
      <c r="E102" s="94"/>
      <c r="F102" s="77" t="str">
        <f t="shared" si="3"/>
        <v>"[PHASE 2: FULL SOLUTION - STRICT] 1. Provide the clean, idiomatic " &amp; $I$2 &amp; " code, and fully functional " &amp; $I$2 &amp; "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 &amp; IF(UPPER(H9)="PROJECT", "project", "topic") &amp; ". 5. Provide a section exactly titled '🏋️ Mini-Challenges:' with 2 tasks to reinforce the fix. | " &amp;</v>
      </c>
      <c r="G102" s="54" t="s">
        <v>228</v>
      </c>
    </row>
    <row r="103" spans="2:7">
      <c r="B103" s="84" t="s">
        <v>281</v>
      </c>
      <c r="C103" s="54" t="s">
        <v>219</v>
      </c>
      <c r="D103" s="94" t="s">
        <v>600</v>
      </c>
      <c r="E103" s="94"/>
      <c r="F103" s="77" t="str">
        <f t="shared" si="3"/>
        <v>"[HEADER RULE - STRICT] You MUST start your entire response exactly with the following RAW markdown block (do NOT strip the '#' characters):" &amp; CHAR(10) &amp; "### 🎓 Mentor Stage 1 | " &amp; IF(UPPER(H9)="PROJECT", "Project #", "Topic #") &amp; F9 &amp; " | Practice | " &amp; IF($I$3="", $I$2, $I$2&amp; " - " &amp;$I$3) &amp; " | 📊 Level: " &amp; G9 &amp; CHAR(10) &amp; "**" &amp; IF(UPPER(H9)="PROJECT", "Project", "Topic") &amp; ":** " &amp; I9 &amp; CHAR(10) &amp; "---" &amp; CHAR(10) &amp; " | " &amp;</v>
      </c>
      <c r="G103" s="54" t="s">
        <v>228</v>
      </c>
    </row>
    <row r="104" spans="2:7">
      <c r="B104" s="84" t="s">
        <v>281</v>
      </c>
      <c r="C104" s="54" t="s">
        <v>224</v>
      </c>
      <c r="D104" s="94" t="s">
        <v>322</v>
      </c>
      <c r="E104" s="94"/>
      <c r="F104" s="77" t="str">
        <f t="shared" si="3"/>
        <v>"[FOOTER RULE - STRICT] End your response with: '--- ⚡ *Coding5s Mentor System — Eliminating Epistemic Debt*' | ","")</v>
      </c>
      <c r="G104" s="54" t="s">
        <v>228</v>
      </c>
    </row>
  </sheetData>
  <conditionalFormatting sqref="B1:B1048576">
    <cfRule type="cellIs" dxfId="56" priority="16" operator="equal">
      <formula>"The Immutable ""Kernel"""</formula>
    </cfRule>
    <cfRule type="cellIs" dxfId="55" priority="17" operator="equal">
      <formula>"Paradigm &amp; Ecosystem"</formula>
    </cfRule>
    <cfRule type="cellIs" dxfId="54" priority="18" operator="equal">
      <formula>"Global Variables &amp; Configuration"</formula>
    </cfRule>
  </conditionalFormatting>
  <conditionalFormatting sqref="C4:C50">
    <cfRule type="expression" dxfId="53" priority="13">
      <formula>$B4="The Immutable Kernel"</formula>
    </cfRule>
    <cfRule type="expression" dxfId="52" priority="14">
      <formula>$B4="Paradigm &amp; Ecosystem"</formula>
    </cfRule>
    <cfRule type="expression" dxfId="51" priority="15">
      <formula>$B4="Global Variables &amp; Configuration"</formula>
    </cfRule>
  </conditionalFormatting>
  <conditionalFormatting sqref="C55:C79">
    <cfRule type="expression" dxfId="50" priority="1">
      <formula>$B55="The Immutable Kernel"</formula>
    </cfRule>
    <cfRule type="expression" dxfId="49" priority="2">
      <formula>$B55="Paradigm &amp; Ecosystem"</formula>
    </cfRule>
    <cfRule type="expression" dxfId="48" priority="3">
      <formula>$B55="Global Variables &amp; Configuration"</formula>
    </cfRule>
  </conditionalFormatting>
  <conditionalFormatting sqref="C84:C104">
    <cfRule type="expression" dxfId="47" priority="7">
      <formula>$B84="The Immutable Kernel"</formula>
    </cfRule>
    <cfRule type="expression" dxfId="46" priority="8">
      <formula>$B84="Paradigm &amp; Ecosystem"</formula>
    </cfRule>
    <cfRule type="expression" dxfId="45" priority="9">
      <formula>$B84="Global Variables &amp; Configuration"</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F44C0D-B07E-409E-B83B-9ECCA7DC7C4D}">
  <sheetPr>
    <tabColor theme="8" tint="0.79998168889431442"/>
  </sheetPr>
  <dimension ref="B2:AC100"/>
  <sheetViews>
    <sheetView showGridLines="0" zoomScaleNormal="100" workbookViewId="0">
      <selection activeCell="B2" sqref="B2"/>
    </sheetView>
  </sheetViews>
  <sheetFormatPr defaultRowHeight="15"/>
  <cols>
    <col min="1" max="1" width="5.42578125" customWidth="1"/>
    <col min="2" max="2" width="37.42578125" customWidth="1"/>
    <col min="3" max="3" width="33" customWidth="1"/>
    <col min="4" max="4" width="85.28515625" customWidth="1"/>
    <col min="5" max="5" width="39.5703125" style="85" customWidth="1"/>
    <col min="6" max="6" width="4" customWidth="1"/>
  </cols>
  <sheetData>
    <row r="2" spans="2:29" ht="36">
      <c r="B2" s="78" t="s">
        <v>462</v>
      </c>
      <c r="D2" s="81" t="s">
        <v>280</v>
      </c>
      <c r="H2" s="82"/>
      <c r="T2" s="82"/>
    </row>
    <row r="3" spans="2:29">
      <c r="B3" s="76" t="s">
        <v>225</v>
      </c>
      <c r="C3" s="76" t="s">
        <v>596</v>
      </c>
      <c r="D3" s="76" t="s">
        <v>597</v>
      </c>
      <c r="E3" s="88" t="s">
        <v>233</v>
      </c>
      <c r="F3" s="4" t="s">
        <v>228</v>
      </c>
      <c r="AC3" t="s">
        <v>228</v>
      </c>
    </row>
    <row r="4" spans="2:29">
      <c r="B4" s="75" t="s">
        <v>226</v>
      </c>
      <c r="C4" s="54" t="s">
        <v>163</v>
      </c>
      <c r="D4" s="93" t="s">
        <v>282</v>
      </c>
      <c r="E4" s="77" t="str">
        <f t="shared" ref="E4:E41" si="0">IF(D4="","",""""&amp;C4&amp;" "&amp;IF(C4="[FOOTER RULE - STRICT]",D4,IF(RIGHT(D4,6)=" | "&amp;CHAR(34)&amp;" &amp;",D4,D4&amp;" | "&amp;CHAR(34)&amp;" &amp;")))</f>
        <v>"[ROLE] Careless " &amp; $I$2 &amp; " Developer | " &amp;</v>
      </c>
      <c r="F4" s="54" t="s">
        <v>228</v>
      </c>
    </row>
    <row r="5" spans="2:29">
      <c r="B5" s="75" t="s">
        <v>226</v>
      </c>
      <c r="C5" s="54" t="s">
        <v>165</v>
      </c>
      <c r="D5" s="93" t="s">
        <v>283</v>
      </c>
      <c r="E5" s="77" t="str">
        <f t="shared" si="0"/>
        <v>"[TASK] Generate debugging challenges in " &amp; $I$2 &amp; " | | " &amp;</v>
      </c>
      <c r="F5" s="54" t="s">
        <v>228</v>
      </c>
    </row>
    <row r="6" spans="2:29">
      <c r="B6" s="75" t="s">
        <v>226</v>
      </c>
      <c r="C6" s="54" t="s">
        <v>167</v>
      </c>
      <c r="D6" s="93" t="s">
        <v>284</v>
      </c>
      <c r="E6" s="77" t="str">
        <f t="shared" si="0"/>
        <v>"[TOPIC] " &amp; I9 &amp; " | | " &amp;</v>
      </c>
      <c r="F6" s="54" t="s">
        <v>228</v>
      </c>
    </row>
    <row r="7" spans="2:29">
      <c r="B7" s="75" t="s">
        <v>226</v>
      </c>
      <c r="C7" s="54" t="s">
        <v>169</v>
      </c>
      <c r="D7" s="93" t="s">
        <v>285</v>
      </c>
      <c r="E7" s="77" t="str">
        <f t="shared" si="0"/>
        <v>"[LEVEL] " &amp; G9 &amp; " | | " &amp;</v>
      </c>
      <c r="F7" s="54" t="s">
        <v>228</v>
      </c>
    </row>
    <row r="8" spans="2:29">
      <c r="B8" s="75" t="s">
        <v>226</v>
      </c>
      <c r="C8" s="54" t="s">
        <v>171</v>
      </c>
      <c r="D8" s="93" t="s">
        <v>286</v>
      </c>
      <c r="E8" s="77" t="str">
        <f t="shared" si="0"/>
        <v>"[COUNT] " &amp; D9 &amp; " challenges | " &amp;</v>
      </c>
      <c r="F8" s="54" t="s">
        <v>228</v>
      </c>
    </row>
    <row r="9" spans="2:29">
      <c r="B9" s="75" t="s">
        <v>226</v>
      </c>
      <c r="C9" s="54" t="s">
        <v>234</v>
      </c>
      <c r="D9" s="93" t="s">
        <v>276</v>
      </c>
      <c r="E9" s="77" t="str">
        <f t="shared" si="0"/>
        <v>"[LIBRARY BEING LEARNED] " &amp; $I$3 &amp; " | " &amp;</v>
      </c>
      <c r="F9" s="54" t="s">
        <v>228</v>
      </c>
    </row>
    <row r="10" spans="2:29">
      <c r="B10" s="75" t="s">
        <v>226</v>
      </c>
      <c r="C10" s="32" t="s">
        <v>229</v>
      </c>
      <c r="D10" s="93" t="str">
        <f>"If a module or ecosystem like "&amp; Variables!E6 &amp;" is specified in "&amp; Variables!E7 &amp;", you are CRITICALLY FORBIDDEN from using "&amp; Variables!E8 &amp;". You MUST enforce the "&amp; Variables!E9 &amp;" and data structures of that specific library."</f>
        <v>If a module or ecosystem like GenServer, Supervisor, Registry, or DynamicSupervisor is specified in , you are CRITICALLY FORBIDDEN from using manual process linking (spawn/1, spawn_link/1) outside standard OTP behaviors. You MUST enforce the concurrent asynchronous processes and proper Supervisor tree state isolation and data structures of that specific library.</v>
      </c>
      <c r="E10" s="77" t="str">
        <f t="shared" si="0"/>
        <v>"[ECOSYSTEM ORIENTATION RULE] If a module or ecosystem like GenServer, Supervisor, Registry, or DynamicSupervisor is specified in , you are CRITICALLY FORBIDDEN from using manual process linking (spawn/1, spawn_link/1) outside standard OTP behaviors. You MUST enforce the concurrent asynchronous processes and proper Supervisor tree state isolation and data structures of that specific library. | " &amp;</v>
      </c>
      <c r="F10" s="54" t="s">
        <v>228</v>
      </c>
    </row>
    <row r="11" spans="2:29">
      <c r="B11" s="75" t="s">
        <v>226</v>
      </c>
      <c r="C11" s="54" t="s">
        <v>219</v>
      </c>
      <c r="D11" s="93" t="s">
        <v>601</v>
      </c>
      <c r="E11" s="77" t="str">
        <f t="shared" si="0"/>
        <v>"[HEADER RULE - STRICT] You MUST start your entire response EXACTLY with this markdown block (do not print anything before it):" &amp; CHAR(10) &amp; "### 🔹 Topic #" &amp; F9 &amp; " | Stage 2 🐛 Debug | " &amp; IF($I$3="", $I$2, $I$2&amp; " - " &amp;$I$3) &amp; " | 📊 Level: " &amp; G9 &amp; " | 🌐 Coding5s.com" &amp; CHAR(10) &amp; "Concept: " &amp; J9 &amp; CHAR(10) &amp; "---" &amp; CHAR(10) &amp; " | | " &amp;</v>
      </c>
      <c r="F11" s="54" t="s">
        <v>228</v>
      </c>
    </row>
    <row r="12" spans="2:29">
      <c r="B12" s="75" t="s">
        <v>226</v>
      </c>
      <c r="C12" s="54" t="s">
        <v>175</v>
      </c>
      <c r="D12" s="93" t="s">
        <v>176</v>
      </c>
      <c r="E12" s="77" t="str">
        <f t="shared" si="0"/>
        <v>"[LANGUAGE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v>
      </c>
      <c r="F12" s="54" t="s">
        <v>228</v>
      </c>
    </row>
    <row r="13" spans="2:29">
      <c r="B13" s="75" t="s">
        <v>226</v>
      </c>
      <c r="C13" s="54" t="s">
        <v>508</v>
      </c>
      <c r="D13" s="93" t="s">
        <v>500</v>
      </c>
      <c r="E13" s="77" t="str">
        <f t="shared" si="0"/>
        <v>"[LANGUAGE SEED CONTEXT] " &amp; IF($AE$7 = "", "Language Seed Not Necessary", "You MUST strictly follow this seed context to enhance, adapt, and naturalize your tone, vocabulary, and instructional quality in " &amp; $B$6 &amp; ": " &amp; $AE$7) &amp; " | " &amp;</v>
      </c>
      <c r="F13" s="54" t="s">
        <v>228</v>
      </c>
    </row>
    <row r="14" spans="2:29">
      <c r="B14" s="83" t="s">
        <v>227</v>
      </c>
      <c r="C14" s="54" t="s">
        <v>236</v>
      </c>
      <c r="D14" s="93"/>
      <c r="E14" s="77" t="str">
        <f t="shared" si="0"/>
        <v/>
      </c>
      <c r="F14" s="54" t="s">
        <v>228</v>
      </c>
    </row>
    <row r="15" spans="2:29">
      <c r="B15" s="83" t="s">
        <v>227</v>
      </c>
      <c r="C15" s="54" t="s">
        <v>236</v>
      </c>
      <c r="D15" s="93"/>
      <c r="E15" s="77" t="str">
        <f t="shared" si="0"/>
        <v/>
      </c>
      <c r="F15" s="54" t="s">
        <v>228</v>
      </c>
    </row>
    <row r="16" spans="2:29">
      <c r="B16" s="83" t="s">
        <v>227</v>
      </c>
      <c r="C16" s="32" t="s">
        <v>192</v>
      </c>
      <c r="D16" s="93" t="str">
        <f>Variables!E31 &amp; " | " &amp; Variables!E32 &amp; " | " &amp; Variables!E33 &amp; " | " &amp; CHAR(34) &amp; " &amp;"</f>
        <v>Use standard GenServer message passing and gracefully handle tuple returns like {:reply, response, state} or {:stop, reason, state}. | Application environment config may be used but bugs MUST exist ONLY in GenServer/Supervisor logic, NEVER in config/config.exs. | If supervision trees/application logic are externalized, MUST include: 1. Instructional sentence 2. Setup module block 3. BEFORE the broken OTP module (Support files MUST contain NO bugs) | " &amp;</v>
      </c>
      <c r="E16" s="77" t="str">
        <f t="shared" si="0"/>
        <v>"[FILE HANDLING RULE] Use standard GenServer message passing and gracefully handle tuple returns like {:reply, response, state} or {:stop, reason, state}. | Application environment config may be used but bugs MUST exist ONLY in GenServer/Supervisor logic, NEVER in config/config.exs. | If supervision trees/application logic are externalized, MUST include: 1. Instructional sentence 2. Setup module block 3. BEFORE the broken OTP module (Support files MUST contain NO bugs) | " &amp;</v>
      </c>
      <c r="F16" s="54" t="s">
        <v>228</v>
      </c>
    </row>
    <row r="17" spans="2:6">
      <c r="B17" s="83" t="s">
        <v>227</v>
      </c>
      <c r="C17" s="32" t="s">
        <v>617</v>
      </c>
      <c r="D17" s="93" t="str">
        <f>Variables!E34 &amp; " | " &amp; CHAR(34) &amp; " &amp;"</f>
        <v>Always use use ExUnit.Case, async: true. You MUST use assert_receive or sys.get_state/1 for process testing. Avoid doctests for stateful OTP processes. | " &amp;</v>
      </c>
      <c r="E17" s="77" t="str">
        <f t="shared" si="0"/>
        <v>"[EXUNIT RULE] Always use use ExUnit.Case, async: true. You MUST use assert_receive or sys.get_state/1 for process testing. Avoid doctests for stateful OTP processes. | " &amp;</v>
      </c>
      <c r="F17" s="54" t="s">
        <v>228</v>
      </c>
    </row>
    <row r="18" spans="2:6">
      <c r="B18" s="54" t="s">
        <v>227</v>
      </c>
      <c r="C18" s="32" t="s">
        <v>616</v>
      </c>
      <c r="D18" s="93" t="str">
        <f>Variables!E35 &amp; " | " &amp; CHAR(34) &amp; " &amp;"</f>
        <v>Assume a standard Mix project context. External Hex dependencies MUST be specified strictly within the deps/0 block of mix.exs. NEVER use Mix.install/2. | " &amp;</v>
      </c>
      <c r="E18" s="77" t="str">
        <f t="shared" si="0"/>
        <v>"[HEX DEPENDENCIES RULE] Assume a standard Mix project context. External Hex dependencies MUST be specified strictly within the deps/0 block of mix.exs. NEVER use Mix.install/2. | " &amp;</v>
      </c>
      <c r="F18" s="54" t="s">
        <v>228</v>
      </c>
    </row>
    <row r="19" spans="2:6">
      <c r="B19" s="54" t="s">
        <v>227</v>
      </c>
      <c r="C19" s="32" t="s">
        <v>182</v>
      </c>
      <c r="D19" s="93" t="str">
        <f>Variables!E36 &amp; " - " &amp; CHAR(34) &amp; " &amp; IF(G9=" &amp; CHAR(34) &amp; "Beginner" &amp; CHAR(34) &amp; ", " &amp; CHAR(34) &amp; "5–15" &amp; CHAR(34) &amp; ", IF(G9=" &amp; CHAR(34) &amp; "Intermediate" &amp; CHAR(34) &amp; ", " &amp; CHAR(34) &amp; "10–25" &amp; CHAR(34) &amp; ", " &amp; CHAR(34) &amp; "15–35" &amp; CHAR(34) &amp; ")) &amp; " &amp; CHAR(34) &amp; " " &amp; Variables!E37 &amp; " | " &amp; Variables!E38 &amp; " | " &amp; CHAR(34) &amp; " &amp;"</f>
        <v>Each challenge MUST include: - At least 1 GenServer or Supervisor - Explicit state initialization (init/1) - At least 1 synchronous or asynchronous OTP callback handler - " &amp; IF(G9="Beginner", "5–15", IF(G9="Intermediate", "10–25", "15–35")) &amp; " lines of EXECUTABLE broken OTP code per example (STRICT: Do NOT count blank lines). Enforce immutable state transitions across process boundaries. | All challenges MUST have similar process tree depth and architectural complexity. | " &amp;</v>
      </c>
      <c r="E19" s="77" t="str">
        <f t="shared" si="0"/>
        <v>"[CODE CONSTRAINTS] Each challenge MUST include: - At least 1 GenServer or Supervisor - Explicit state initialization (init/1) - At least 1 synchronous or asynchronous OTP callback handler - " &amp; IF(G9="Beginner", "5–15", IF(G9="Intermediate", "10–25", "15–35")) &amp; " lines of EXECUTABLE broken OTP code per example (STRICT: Do NOT count blank lines). Enforce immutable state transitions across process boundaries. | All challenges MUST have similar process tree depth and architectural complexity. | " &amp;</v>
      </c>
      <c r="F19" s="54" t="s">
        <v>228</v>
      </c>
    </row>
    <row r="20" spans="2:6">
      <c r="B20" s="54" t="s">
        <v>281</v>
      </c>
      <c r="C20" s="54" t="s">
        <v>191</v>
      </c>
      <c r="D20" s="93" t="s">
        <v>288</v>
      </c>
      <c r="E20" s="77" t="str">
        <f t="shared" si="0"/>
        <v>"[INTRO RULE] The intro MUST be a dynamically generated, urgent, unprofessional email in " &amp; $B$6 &amp; " with this EXACT format: '📥 From: [Random Dev Name]' / '📤 To: [Insert my user name if you know it from context, otherwise use " &amp; $I$2 &amp; " Developer]' / 'Subject: [Generate a funny, desperate Subject]'. Body MUST be unique every time. Do NOT copy this example exactly, but use this vibe: 'Ay, no sé ni qué hora es, pero aquí tienes estas cosas que apenas funcionan. Arréglalo tú si tanto te importa el orden. No consigo que corran. Ayúdame y luego te invito al almuerzo. El jefe urge...'. Make it short, informal, and funny for the student. IMMEDIATELY AFTER the email body, you MUST include this exact instruction block translated to " &amp; $B$6 &amp; ": '🚨 Your objective in this lesson: You must copy the code blocks from each Challenge exactly as they are and paste them into your IDE. Then you have to fix all the errors in the code until you achieve the exact Expected Output when running the program.' | " &amp;</v>
      </c>
      <c r="F20" s="54" t="s">
        <v>228</v>
      </c>
    </row>
    <row r="21" spans="2:6">
      <c r="B21" s="54" t="s">
        <v>281</v>
      </c>
      <c r="C21" s="54" t="s">
        <v>289</v>
      </c>
      <c r="D21" s="93" t="s">
        <v>290</v>
      </c>
      <c r="E21" s="77" t="str">
        <f t="shared" si="0"/>
        <v>"[COMMENT RULE] Do NOT include comments that reveal bugs | " &amp;</v>
      </c>
      <c r="F21" s="54" t="s">
        <v>228</v>
      </c>
    </row>
    <row r="22" spans="2:6">
      <c r="B22" s="54" t="s">
        <v>281</v>
      </c>
      <c r="C22" s="54" t="s">
        <v>211</v>
      </c>
      <c r="D22" s="93" t="s">
        <v>291</v>
      </c>
      <c r="E22" s="77" t="str">
        <f t="shared" si="0"/>
        <v>"[FORMAT RULE] Only valid markdown code blocks allowed | " &amp;</v>
      </c>
      <c r="F22" s="54" t="s">
        <v>228</v>
      </c>
    </row>
    <row r="23" spans="2:6">
      <c r="B23" s="54" t="s">
        <v>281</v>
      </c>
      <c r="C23" s="54" t="s">
        <v>213</v>
      </c>
      <c r="D23" s="93" t="s">
        <v>292</v>
      </c>
      <c r="E23" s="77" t="str">
        <f t="shared" si="0"/>
        <v>"[LANGUAGE TAG RULE] ALWAYS label markdown code blocks with the correct underlying programming language (e.g., python, javascript, sql) | " &amp;</v>
      </c>
      <c r="F23" s="54" t="s">
        <v>228</v>
      </c>
    </row>
    <row r="24" spans="2:6">
      <c r="B24" s="54" t="s">
        <v>281</v>
      </c>
      <c r="C24" s="54" t="s">
        <v>293</v>
      </c>
      <c r="D24" s="93" t="s">
        <v>294</v>
      </c>
      <c r="E24" s="77" t="str">
        <f t="shared" si="0"/>
        <v>"[STRICT MODE] If ANY rule is violated, regenerate entire response | " &amp;</v>
      </c>
      <c r="F24" s="54" t="s">
        <v>228</v>
      </c>
    </row>
    <row r="25" spans="2:6">
      <c r="B25" s="54" t="s">
        <v>281</v>
      </c>
      <c r="C25" s="54" t="s">
        <v>173</v>
      </c>
      <c r="D25" s="93" t="s">
        <v>295</v>
      </c>
      <c r="E25" s="77" t="str">
        <f t="shared" si="0"/>
        <v>"[PERSONA RULE] Use a careless, messy, slightly frustrated developer tone | " &amp;</v>
      </c>
      <c r="F25" s="54" t="s">
        <v>228</v>
      </c>
    </row>
    <row r="26" spans="2:6">
      <c r="B26" s="54" t="s">
        <v>281</v>
      </c>
      <c r="C26" s="54" t="s">
        <v>180</v>
      </c>
      <c r="D26" s="93" t="s">
        <v>296</v>
      </c>
      <c r="E26" s="77" t="str">
        <f t="shared" si="0"/>
        <v>"[OUTPUT CONTRACT] EXACTLY " &amp; D9 &amp; " broken code challenges. Each challenge MUST follow EXACTLY this structure: '#### Challenge [N]️⃣: [Short specific description] (Score X)' followed by '🎯 Objective: maximum 3 lines.', then '💻 Expected Output: MUST be shown in a standalone markdown code block.', and finally '❌ Broken Code: a single code block.'. | " &amp;</v>
      </c>
      <c r="F26" s="54" t="s">
        <v>228</v>
      </c>
    </row>
    <row r="27" spans="2:6">
      <c r="B27" s="54" t="s">
        <v>281</v>
      </c>
      <c r="C27" s="54" t="s">
        <v>220</v>
      </c>
      <c r="D27" s="93" t="s">
        <v>297</v>
      </c>
      <c r="E27" s="77" t="str">
        <f t="shared" si="0"/>
        <v>"[OUTPUT] Only header, dataset summary (if any), email intro, challenges, and footer | " &amp;</v>
      </c>
      <c r="F27" s="54" t="s">
        <v>228</v>
      </c>
    </row>
    <row r="28" spans="2:6">
      <c r="B28" s="54" t="s">
        <v>281</v>
      </c>
      <c r="C28" s="54" t="s">
        <v>298</v>
      </c>
      <c r="D28" s="93" t="s">
        <v>299</v>
      </c>
      <c r="E28" s="77" t="str">
        <f t="shared" si="0"/>
        <v>"[STRUCTURE RULE] Do NOT rename sections. Do NOT add titles. Do NOT add extra text (except when required by SUPPORT FILES RULE) | " &amp;</v>
      </c>
      <c r="F28" s="54" t="s">
        <v>228</v>
      </c>
    </row>
    <row r="29" spans="2:6">
      <c r="B29" s="54" t="s">
        <v>281</v>
      </c>
      <c r="C29" s="54" t="s">
        <v>216</v>
      </c>
      <c r="D29" s="93" t="s">
        <v>300</v>
      </c>
      <c r="E29" s="77" t="str">
        <f t="shared" si="0"/>
        <v>"[CONSISTENCY RULE] All challenges MUST have similar complexity and length | " &amp;</v>
      </c>
      <c r="F29" s="54" t="s">
        <v>228</v>
      </c>
    </row>
    <row r="30" spans="2:6">
      <c r="B30" s="54" t="s">
        <v>281</v>
      </c>
      <c r="C30" s="54" t="s">
        <v>301</v>
      </c>
      <c r="D30" s="93" t="s">
        <v>302</v>
      </c>
      <c r="E30" s="77" t="str">
        <f t="shared" si="0"/>
        <v>"[BUG COMPLEXITY RULE] Must align with score (3 basic, 4 intermediate, 5 multi-step) | " &amp;</v>
      </c>
      <c r="F30" s="54" t="s">
        <v>228</v>
      </c>
    </row>
    <row r="31" spans="2:6">
      <c r="B31" s="54" t="s">
        <v>281</v>
      </c>
      <c r="C31" s="54" t="s">
        <v>303</v>
      </c>
      <c r="D31" s="93" t="s">
        <v>304</v>
      </c>
      <c r="E31" s="77" t="str">
        <f t="shared" si="0"/>
        <v>"[BUG RULE] Each challenge MUST include 2–3 bugs. | " &amp;</v>
      </c>
      <c r="F31" s="54" t="s">
        <v>228</v>
      </c>
    </row>
    <row r="32" spans="2:6">
      <c r="B32" s="54" t="s">
        <v>281</v>
      </c>
      <c r="C32" s="54" t="s">
        <v>305</v>
      </c>
      <c r="D32" s="93" t="s">
        <v>306</v>
      </c>
      <c r="E32" s="77" t="str">
        <f t="shared" si="0"/>
        <v>"[CORRECTNESS RULE] Code MUST contain a deliberate mix of errors across three dimensions: 1. Syntax Errors (e.g., mismatched delimiters, invalid indentation, invalid syntax, SyntaxError). 2. Runtime Exceptions (e.g., TypeError when mixing types, ValueError with invalid arguments, IndexError on collections, KeyError on dictionaries, ZeroDivisionError). 3. Logic Errors (e.g., incorrect Boolean logic, off-by-one errors in loops, wrong mathematical formulas, variable shadowing, or incorrect use of mutable defaults). Errors MUST be realistic and mimic common mistakes made by junior developers in production-like environments. | " &amp;</v>
      </c>
      <c r="F32" s="54" t="s">
        <v>228</v>
      </c>
    </row>
    <row r="33" spans="2:6">
      <c r="B33" s="54" t="s">
        <v>281</v>
      </c>
      <c r="C33" s="54" t="s">
        <v>268</v>
      </c>
      <c r="D33" s="93" t="s">
        <v>307</v>
      </c>
      <c r="E33" s="77" t="str">
        <f t="shared" si="0"/>
        <v>"[EXECUTION RULE] Code must fail due to syntax errors, runtime exceptions, or produce incorrect output | " &amp;</v>
      </c>
      <c r="F33" s="54" t="s">
        <v>228</v>
      </c>
    </row>
    <row r="34" spans="2:6">
      <c r="B34" s="54" t="s">
        <v>281</v>
      </c>
      <c r="C34" s="54" t="s">
        <v>177</v>
      </c>
      <c r="D34" s="93" t="s">
        <v>308</v>
      </c>
      <c r="E34" s="77" t="str">
        <f t="shared" si="0"/>
        <v>"[DATA RULE - STRICT] A dataset MAY be provided in THIS CURRENT PROMPT. If a NEW dataset IS attached to THIS prompt, you MUST: 1. Detect and acknowledge it BEFORE challenges 2. Explicitly state file type 3. Describe structure 4. List columns or fields 5. Infer data types 6. Display dataset summary IMMEDIATELY AFTER THE HEADER 7. State ALL challenges use it 8. Use it directly (DO NOT recreate data). If NO dataset is provided IN THIS CURRENT PROMPT: - STRICT: You MUST explicitly state 'No synthetic data file was provided. Generating dummy data.' (translate this phrase to " &amp; $B$6 &amp; ") - Generate minimal internal dummy data - NO summary | " &amp;</v>
      </c>
      <c r="F34" s="54" t="s">
        <v>228</v>
      </c>
    </row>
    <row r="35" spans="2:6">
      <c r="B35" s="54" t="s">
        <v>281</v>
      </c>
      <c r="C35" s="54" t="s">
        <v>309</v>
      </c>
      <c r="D35" s="93" t="s">
        <v>310</v>
      </c>
      <c r="E35" s="77" t="str">
        <f t="shared" si="0"/>
        <v>"[CRITICAL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 &amp;</v>
      </c>
      <c r="F35" s="54" t="s">
        <v>228</v>
      </c>
    </row>
    <row r="36" spans="2:6">
      <c r="B36" s="54" t="s">
        <v>281</v>
      </c>
      <c r="C36" s="54" t="s">
        <v>178</v>
      </c>
      <c r="D36" s="93" t="s">
        <v>311</v>
      </c>
      <c r="E36" s="77" t="str">
        <f t="shared" si="0"/>
        <v>"[DATA SUMMARY FORMAT RULE] Dataset Summary: - File Type: - Columns / Fields: - Data Types: - Notes: | " &amp;</v>
      </c>
      <c r="F36" s="54" t="s">
        <v>228</v>
      </c>
    </row>
    <row r="37" spans="2:6">
      <c r="B37" s="54" t="s">
        <v>281</v>
      </c>
      <c r="C37" s="54" t="s">
        <v>312</v>
      </c>
      <c r="D37" s="93" t="s">
        <v>313</v>
      </c>
      <c r="E37" s="77" t="str">
        <f t="shared" si="0"/>
        <v>"[SUPPORT FILES RULE - STRICT] If env/config is used, MUST include: 1. Instructional sentence 2. File content in markdown code block 3. BEFORE the broken code | | " &amp;</v>
      </c>
      <c r="F37" s="54" t="s">
        <v>228</v>
      </c>
    </row>
    <row r="38" spans="2:6">
      <c r="B38" s="54" t="s">
        <v>281</v>
      </c>
      <c r="C38" s="54" t="s">
        <v>314</v>
      </c>
      <c r="D38" s="93" t="s">
        <v>315</v>
      </c>
      <c r="E38" s="77" t="str">
        <f t="shared" si="0"/>
        <v>"[SUPPORT FILES QUALITY RULE] Support files (.env, .env.example, .gitignore) MUST be fully correct and contain NO bugs | " &amp;</v>
      </c>
      <c r="F38" s="54" t="s">
        <v>228</v>
      </c>
    </row>
    <row r="39" spans="2:6">
      <c r="B39" s="54" t="s">
        <v>281</v>
      </c>
      <c r="C39" s="54" t="s">
        <v>316</v>
      </c>
      <c r="D39" s="93" t="s">
        <v>317</v>
      </c>
      <c r="E39" s="77" t="str">
        <f t="shared" si="0"/>
        <v>"[NO SOLUTION RULE - STRICT] You are generating an EXAM. You MUST NOT provide the fixed code, bug diagnosis, hints, explanations, or takeaways. Output ONLY the broken code. Do NOT solve your own challenges. Let the student find the bugs. | " &amp;</v>
      </c>
      <c r="F39" s="54" t="s">
        <v>228</v>
      </c>
    </row>
    <row r="40" spans="2:6">
      <c r="B40" s="54" t="s">
        <v>281</v>
      </c>
      <c r="C40" s="54" t="s">
        <v>224</v>
      </c>
      <c r="D40" s="93" t="s">
        <v>319</v>
      </c>
      <c r="E40" s="77" t="str">
        <f t="shared" si="0"/>
        <v>"[FOOTER RULE - STRICT] End your entire response EXACTLY with this markdown string (ensure all code blocks are closed before it):" &amp; CHAR(10) &amp; "---" &amp; CHAR(10) &amp; "⚡ Coding5s System - Learn Programming by Writing Code - Coding5S.com",</v>
      </c>
      <c r="F40" s="54" t="s">
        <v>228</v>
      </c>
    </row>
    <row r="41" spans="2:6">
      <c r="B41" s="54" t="s">
        <v>281</v>
      </c>
      <c r="C41" s="54"/>
      <c r="D41" s="93"/>
      <c r="E41" s="77" t="str">
        <f t="shared" si="0"/>
        <v/>
      </c>
      <c r="F41" s="54" t="s">
        <v>228</v>
      </c>
    </row>
    <row r="42" spans="2:6">
      <c r="B42" s="54" t="s">
        <v>281</v>
      </c>
      <c r="C42" s="54"/>
      <c r="D42" s="93"/>
      <c r="E42" s="88" t="s">
        <v>318</v>
      </c>
      <c r="F42" s="54"/>
    </row>
    <row r="43" spans="2:6">
      <c r="B43" s="74"/>
      <c r="C43" s="74"/>
      <c r="E43" s="86"/>
    </row>
    <row r="44" spans="2:6">
      <c r="B44" s="74"/>
      <c r="C44" s="74"/>
      <c r="E44" s="86"/>
    </row>
    <row r="45" spans="2:6" ht="36">
      <c r="B45" s="79" t="s">
        <v>461</v>
      </c>
      <c r="C45" s="74"/>
      <c r="E45" s="86"/>
    </row>
    <row r="46" spans="2:6">
      <c r="B46" s="76" t="s">
        <v>273</v>
      </c>
      <c r="C46" s="76" t="s">
        <v>596</v>
      </c>
      <c r="D46" s="76" t="s">
        <v>597</v>
      </c>
      <c r="E46" s="88" t="s">
        <v>274</v>
      </c>
      <c r="F46" s="32" t="s">
        <v>228</v>
      </c>
    </row>
    <row r="47" spans="2:6">
      <c r="B47" s="54" t="s">
        <v>226</v>
      </c>
      <c r="C47" s="54" t="s">
        <v>163</v>
      </c>
      <c r="D47" s="93" t="s">
        <v>282</v>
      </c>
      <c r="E47" s="77" t="str">
        <f>IF(D47="","",""""&amp;C47&amp;" "&amp;IF(C47="[FOOTER RULE - STRICT]",D47,IF(RIGHT(D47,6)=" | "&amp;CHAR(34)&amp;" &amp;",D47,D47&amp;" | "&amp;CHAR(34)&amp;" &amp;")))</f>
        <v>"[ROLE] Careless " &amp; $I$2 &amp; " Developer | " &amp;</v>
      </c>
      <c r="F47" s="32" t="s">
        <v>228</v>
      </c>
    </row>
    <row r="48" spans="2:6">
      <c r="B48" s="54" t="s">
        <v>226</v>
      </c>
      <c r="C48" s="54" t="s">
        <v>165</v>
      </c>
      <c r="D48" s="93" t="s">
        <v>325</v>
      </c>
      <c r="E48" s="77" t="str">
        <f t="shared" ref="E48:E76" si="1">IF(D48="","",""""&amp;C48&amp;" "&amp;IF(C48="[FOOTER RULE - STRICT]",D48,IF(RIGHT(D48,6)=" | "&amp;CHAR(34)&amp;" &amp;",D48,D48&amp;" | "&amp;CHAR(34)&amp;" &amp;")))</f>
        <v>"[TASK] Generate debugging project in " &amp; $I$2 &amp; " | " &amp;</v>
      </c>
      <c r="F48" s="32" t="s">
        <v>228</v>
      </c>
    </row>
    <row r="49" spans="2:6">
      <c r="B49" s="54" t="s">
        <v>226</v>
      </c>
      <c r="C49" s="54" t="s">
        <v>326</v>
      </c>
      <c r="D49" s="93" t="s">
        <v>168</v>
      </c>
      <c r="E49" s="77" t="str">
        <f t="shared" si="1"/>
        <v>"[PROJECT] " &amp; I9 &amp; " | " &amp;</v>
      </c>
      <c r="F49" s="32" t="s">
        <v>228</v>
      </c>
    </row>
    <row r="50" spans="2:6">
      <c r="B50" s="54" t="s">
        <v>226</v>
      </c>
      <c r="C50" s="54" t="s">
        <v>261</v>
      </c>
      <c r="D50" s="93" t="s">
        <v>262</v>
      </c>
      <c r="E50" s="77" t="str">
        <f t="shared" si="1"/>
        <v>"[TOPICS USED] " &amp; B9 &amp; " | " &amp;</v>
      </c>
      <c r="F50" s="32" t="s">
        <v>228</v>
      </c>
    </row>
    <row r="51" spans="2:6">
      <c r="B51" s="54" t="s">
        <v>226</v>
      </c>
      <c r="C51" s="54" t="s">
        <v>169</v>
      </c>
      <c r="D51" s="93" t="s">
        <v>170</v>
      </c>
      <c r="E51" s="77" t="str">
        <f t="shared" si="1"/>
        <v>"[LEVEL] " &amp; G9 &amp; " | " &amp;</v>
      </c>
      <c r="F51" s="32" t="s">
        <v>228</v>
      </c>
    </row>
    <row r="52" spans="2:6">
      <c r="B52" s="54" t="s">
        <v>226</v>
      </c>
      <c r="C52" s="54" t="s">
        <v>220</v>
      </c>
      <c r="D52" s="93" t="s">
        <v>327</v>
      </c>
      <c r="E52" s="77" t="str">
        <f t="shared" si="1"/>
        <v>"[OUTPUT] Only header, dataset summary or statement (if any), email intro, objective, expected output, broken code, and footer | " &amp;</v>
      </c>
      <c r="F52" s="32" t="s">
        <v>228</v>
      </c>
    </row>
    <row r="53" spans="2:6">
      <c r="B53" s="54" t="s">
        <v>226</v>
      </c>
      <c r="C53" s="54" t="s">
        <v>219</v>
      </c>
      <c r="D53" s="93" t="s">
        <v>602</v>
      </c>
      <c r="E53" s="77" t="str">
        <f t="shared" si="1"/>
        <v>"[HEADER RULE - STRICT] You MUST start your entire response EXACTLY with this markdown block (do not print anything before it):" &amp; CHAR(10) &amp; "### 🚀 Project #" &amp; F9 &amp; " | Stage 2 | " &amp; IF($I$3="", $I$2, $I$2&amp; " - " &amp;$I$3) &amp; " | 📊 Level: " &amp; G9 &amp; " | 🌐 Coding5s.com" &amp; CHAR(10) &amp; "Project: " &amp; J9 &amp; CHAR(10) &amp; "---" &amp; CHAR(10) &amp; " | " &amp;</v>
      </c>
      <c r="F53" s="32" t="s">
        <v>228</v>
      </c>
    </row>
    <row r="54" spans="2:6">
      <c r="B54" s="54" t="s">
        <v>226</v>
      </c>
      <c r="C54" s="54" t="s">
        <v>234</v>
      </c>
      <c r="D54" s="93" t="s">
        <v>276</v>
      </c>
      <c r="E54" s="77" t="str">
        <f t="shared" si="1"/>
        <v>"[LIBRARY BEING LEARNED] " &amp; $I$3 &amp; " | " &amp;</v>
      </c>
      <c r="F54" s="32" t="s">
        <v>228</v>
      </c>
    </row>
    <row r="55" spans="2:6">
      <c r="B55" s="54" t="s">
        <v>226</v>
      </c>
      <c r="C55" s="54" t="s">
        <v>229</v>
      </c>
      <c r="D55" s="93" t="str">
        <f>"If a module or ecosystem like "&amp; Variables!E6 &amp;" is specified in "&amp; Variables!E7 &amp;", you are CRITICALLY FORBIDDEN from using "&amp; Variables!E8 &amp;". You MUST enforce the "&amp; Variables!E9 &amp;" and data structures of that specific library."</f>
        <v>If a module or ecosystem like GenServer, Supervisor, Registry, or DynamicSupervisor is specified in , you are CRITICALLY FORBIDDEN from using manual process linking (spawn/1, spawn_link/1) outside standard OTP behaviors. You MUST enforce the concurrent asynchronous processes and proper Supervisor tree state isolation and data structures of that specific library.</v>
      </c>
      <c r="E55" s="77" t="str">
        <f t="shared" si="1"/>
        <v>"[ECOSYSTEM ORIENTATION RULE] If a module or ecosystem like GenServer, Supervisor, Registry, or DynamicSupervisor is specified in , you are CRITICALLY FORBIDDEN from using manual process linking (spawn/1, spawn_link/1) outside standard OTP behaviors. You MUST enforce the concurrent asynchronous processes and proper Supervisor tree state isolation and data structures of that specific library. | " &amp;</v>
      </c>
      <c r="F55" s="32" t="s">
        <v>228</v>
      </c>
    </row>
    <row r="56" spans="2:6">
      <c r="B56" s="54" t="s">
        <v>226</v>
      </c>
      <c r="C56" s="54" t="s">
        <v>175</v>
      </c>
      <c r="D56" s="93" t="s">
        <v>328</v>
      </c>
      <c r="E56" s="77" t="str">
        <f t="shared" si="1"/>
        <v>"[LANGUAGE CONSISTENCY RULE] ALL output text MUST be written strictly in the selected language (" &amp; $B$6 &amp; "). This includes translating ALL structural labels requested in this prompt (like 'Project', 'Objective', 'Expected Output', 'Broken Code', 'From', 'To', 'Subject') into " &amp; $B$6 &amp; ". Do NOT mix languages. Only code and technical identifiers remain unchanged | " &amp; AE7 &amp; " | " &amp;</v>
      </c>
      <c r="F56" s="32" t="s">
        <v>228</v>
      </c>
    </row>
    <row r="57" spans="2:6">
      <c r="B57" s="54" t="s">
        <v>226</v>
      </c>
      <c r="C57" s="54" t="s">
        <v>508</v>
      </c>
      <c r="D57" s="93" t="s">
        <v>500</v>
      </c>
      <c r="E57" s="77" t="str">
        <f t="shared" si="1"/>
        <v>"[LANGUAGE SEED CONTEXT] " &amp; IF($AE$7 = "", "Language Seed Not Necessary", "You MUST strictly follow this seed context to enhance, adapt, and naturalize your tone, vocabulary, and instructional quality in " &amp; $B$6 &amp; ": " &amp; $AE$7) &amp; " | " &amp;</v>
      </c>
      <c r="F57" s="32" t="s">
        <v>228</v>
      </c>
    </row>
    <row r="58" spans="2:6">
      <c r="B58" s="54" t="s">
        <v>227</v>
      </c>
      <c r="C58" s="54" t="s">
        <v>236</v>
      </c>
      <c r="D58" s="93"/>
      <c r="E58" s="77" t="str">
        <f t="shared" si="1"/>
        <v/>
      </c>
      <c r="F58" s="32" t="s">
        <v>228</v>
      </c>
    </row>
    <row r="59" spans="2:6">
      <c r="B59" s="54" t="s">
        <v>227</v>
      </c>
      <c r="C59" s="54" t="s">
        <v>303</v>
      </c>
      <c r="D59" s="93" t="str">
        <f>Variables!E39 &amp; " " &amp; Variables!E40 &amp; " " &amp; Variables!E41 &amp; " " &amp; Variables!E42 &amp; " | " &amp; CHAR(34) &amp; " &amp;"</f>
        <v>Simulate a messy production OTP environment. The project MUST contain EXACTLY 2–5 bugs. You MUST randomly select from real-world concurrency/OTP errors: 1. OTP API Setup (e.g., missing start_link/1, unhandled init/1 tuples, missing behavior implementations), 2. State/Logic (e.g., returning wrong state tuple format, mutating state incorrectly, blocking handle_call), AND 3. Concurrency/Runtime (e.g., GenServer timeout, deadlocks, crashed Supervisor children, unhandled handle_info messages). | " &amp;</v>
      </c>
      <c r="E59" s="77" t="str">
        <f t="shared" si="1"/>
        <v>"[BUG RULE] Simulate a messy production OTP environment. The project MUST contain EXACTLY 2–5 bugs. You MUST randomly select from real-world concurrency/OTP errors: 1. OTP API Setup (e.g., missing start_link/1, unhandled init/1 tuples, missing behavior implementations), 2. State/Logic (e.g., returning wrong state tuple format, mutating state incorrectly, blocking handle_call), AND 3. Concurrency/Runtime (e.g., GenServer timeout, deadlocks, crashed Supervisor children, unhandled handle_info messages). | " &amp;</v>
      </c>
      <c r="F59" s="32" t="s">
        <v>228</v>
      </c>
    </row>
    <row r="60" spans="2:6">
      <c r="B60" s="54" t="s">
        <v>281</v>
      </c>
      <c r="C60" s="54" t="s">
        <v>287</v>
      </c>
      <c r="D60" s="93" t="s">
        <v>329</v>
      </c>
      <c r="E60" s="77" t="str">
        <f t="shared" si="1"/>
        <v>"[ENV USAGE RULE] Bugs ONLY in code logic, not config files | " &amp;</v>
      </c>
      <c r="F60" s="32" t="s">
        <v>228</v>
      </c>
    </row>
    <row r="61" spans="2:6">
      <c r="B61" s="54" t="s">
        <v>281</v>
      </c>
      <c r="C61" s="54" t="s">
        <v>198</v>
      </c>
      <c r="D61" s="93" t="s">
        <v>330</v>
      </c>
      <c r="E61" s="77" t="str">
        <f t="shared" si="1"/>
        <v>"[SUPPORT FILES RULE] IF an external configuration or data file is needed, include: 1. Short instructional sentence 2. File content in markdown code block 3. Place it strictly BEFORE the main code. | " &amp;</v>
      </c>
      <c r="F61" s="32" t="s">
        <v>228</v>
      </c>
    </row>
    <row r="62" spans="2:6">
      <c r="B62" s="54" t="s">
        <v>281</v>
      </c>
      <c r="C62" s="54" t="s">
        <v>316</v>
      </c>
      <c r="D62" s="93" t="s">
        <v>621</v>
      </c>
      <c r="E62" s="77" t="str">
        <f t="shared" si="1"/>
        <v>"[NO SOLUTION RULE - STRICT] You are generating an EXAM. Do NOT provide the fixed code, diagnosis, hints, or explanations. Output ONLY the broken code. Do NOT include comments that reveal the bugs. Let the student find them. | " &amp;</v>
      </c>
      <c r="F62" s="32" t="s">
        <v>228</v>
      </c>
    </row>
    <row r="63" spans="2:6">
      <c r="B63" s="54" t="s">
        <v>281</v>
      </c>
      <c r="C63" s="54" t="s">
        <v>173</v>
      </c>
      <c r="D63" s="93" t="s">
        <v>331</v>
      </c>
      <c r="E63" s="77" t="str">
        <f t="shared" si="1"/>
        <v>"[PERSONA RULE] Use a messy, careless developer tone | " &amp;</v>
      </c>
      <c r="F63" s="32" t="s">
        <v>228</v>
      </c>
    </row>
    <row r="64" spans="2:6">
      <c r="B64" s="54" t="s">
        <v>281</v>
      </c>
      <c r="C64" s="54" t="s">
        <v>191</v>
      </c>
      <c r="D64" s="93" t="s">
        <v>332</v>
      </c>
      <c r="E64" s="77" t="str">
        <f t="shared" si="1"/>
        <v>"[INTRO RULE] The intro MUST be a dynamically generated, urgent, unprofessional email in " &amp; $B$6 &amp; " with this EXACT format translated to " &amp; $B$6 &amp; ": 'From: [Random Dev Name]' / 'To: [Insert my user name if you know it from context, otherwise use " &amp; $I$2 &amp; "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 &amp;</v>
      </c>
      <c r="F64" s="32" t="s">
        <v>228</v>
      </c>
    </row>
    <row r="65" spans="2:6">
      <c r="B65" s="54" t="s">
        <v>281</v>
      </c>
      <c r="C65" s="54" t="s">
        <v>180</v>
      </c>
      <c r="D65" s="93" t="s">
        <v>333</v>
      </c>
      <c r="E65" s="77" t="str">
        <f t="shared" si="1"/>
        <v>"[OUTPUT CONTRACT] EXACTLY 1 project. Structure MUST be: 'Project:' followed by 'Objective: maximum 6 lines.', then 'Expected Output: standalone markdown code block.', and finally 'Broken Code' | " &amp;</v>
      </c>
      <c r="F65" s="32" t="s">
        <v>228</v>
      </c>
    </row>
    <row r="66" spans="2:6">
      <c r="B66" s="54" t="s">
        <v>281</v>
      </c>
      <c r="C66" s="54" t="s">
        <v>298</v>
      </c>
      <c r="D66" s="93" t="s">
        <v>334</v>
      </c>
      <c r="E66" s="77" t="str">
        <f t="shared" si="1"/>
        <v>"[STRUCTURE RULE] Do NOT add extra sections or explanations (except when required by SUPPORT FILES RULE) | " &amp;</v>
      </c>
      <c r="F66" s="32" t="s">
        <v>228</v>
      </c>
    </row>
    <row r="67" spans="2:6">
      <c r="B67" s="54" t="s">
        <v>281</v>
      </c>
      <c r="C67" s="54" t="s">
        <v>182</v>
      </c>
      <c r="D67" s="93" t="s">
        <v>335</v>
      </c>
      <c r="E67" s="77" t="str">
        <f t="shared" si="1"/>
        <v>"[CODE CONSTRAINTS] - " &amp; IF(G9="Beginner", "25–40", IF(G9="Intermediate", "30–60", "40–100")) &amp; " lines of EXECUTABLE code (STRICT: Do NOT count blank lines towards this limit) - Multi-step flow - 2–4 functions ONLY - main() as entry point " &amp; IF(G9&lt;&gt;"Advanced", "- NO classes | ", "") &amp; " | " &amp;</v>
      </c>
      <c r="F67" s="32" t="s">
        <v>228</v>
      </c>
    </row>
    <row r="68" spans="2:6">
      <c r="B68" s="54" t="s">
        <v>281</v>
      </c>
      <c r="C68" s="54" t="s">
        <v>268</v>
      </c>
      <c r="D68" s="93" t="s">
        <v>307</v>
      </c>
      <c r="E68" s="77" t="str">
        <f t="shared" si="1"/>
        <v>"[EXECUTION RULE] Code must fail due to syntax errors, runtime exceptions, or produce incorrect output | " &amp;</v>
      </c>
      <c r="F68" s="32" t="s">
        <v>228</v>
      </c>
    </row>
    <row r="69" spans="2:6">
      <c r="B69" s="54" t="s">
        <v>281</v>
      </c>
      <c r="C69" s="54" t="s">
        <v>177</v>
      </c>
      <c r="D69" s="93" t="s">
        <v>336</v>
      </c>
      <c r="E69" s="77" t="str">
        <f t="shared" si="1"/>
        <v>"[DATA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v>
      </c>
      <c r="F69" s="32" t="s">
        <v>228</v>
      </c>
    </row>
    <row r="70" spans="2:6">
      <c r="B70" s="54" t="s">
        <v>281</v>
      </c>
      <c r="C70" s="54" t="s">
        <v>211</v>
      </c>
      <c r="D70" s="93" t="s">
        <v>337</v>
      </c>
      <c r="E70" s="77" t="str">
        <f t="shared" si="1"/>
        <v>"[FORMAT RULE] Only valid markdown code blocks | " &amp;</v>
      </c>
      <c r="F70" s="32" t="s">
        <v>228</v>
      </c>
    </row>
    <row r="71" spans="2:6">
      <c r="B71" s="54" t="s">
        <v>281</v>
      </c>
      <c r="C71" s="54" t="s">
        <v>213</v>
      </c>
      <c r="D71" s="93" t="s">
        <v>292</v>
      </c>
      <c r="E71" s="77" t="str">
        <f t="shared" si="1"/>
        <v>"[LANGUAGE TAG RULE] ALWAYS label markdown code blocks with the correct underlying programming language (e.g., python, javascript, sql) | " &amp;</v>
      </c>
      <c r="F71" s="32" t="s">
        <v>228</v>
      </c>
    </row>
    <row r="72" spans="2:6">
      <c r="B72" s="54" t="s">
        <v>281</v>
      </c>
      <c r="C72" s="54" t="s">
        <v>293</v>
      </c>
      <c r="D72" s="93" t="s">
        <v>338</v>
      </c>
      <c r="E72" s="77" t="str">
        <f t="shared" si="1"/>
        <v>"[STRICT MODE] Enforce all rules strictly | " &amp;</v>
      </c>
      <c r="F72" s="32" t="s">
        <v>228</v>
      </c>
    </row>
    <row r="73" spans="2:6">
      <c r="B73" s="54" t="s">
        <v>281</v>
      </c>
      <c r="C73" s="54" t="s">
        <v>224</v>
      </c>
      <c r="D73" s="93" t="s">
        <v>339</v>
      </c>
      <c r="E73" s="77" t="str">
        <f t="shared" si="1"/>
        <v>"[FOOTER RULE - STRICT] End your entire response EXACTLY with this markdown string (ensure all code blocks are closed before it):" &amp; CHAR(10) &amp; "---" &amp; CHAR(10) &amp; "⚡ Coding5s System - Learn Programming by Writing Code - Coding5S.com" )</v>
      </c>
      <c r="F73" s="32" t="s">
        <v>228</v>
      </c>
    </row>
    <row r="74" spans="2:6">
      <c r="B74" s="54"/>
      <c r="C74" s="54"/>
      <c r="D74" s="93"/>
      <c r="E74" s="77" t="str">
        <f t="shared" si="1"/>
        <v/>
      </c>
      <c r="F74" s="32" t="s">
        <v>228</v>
      </c>
    </row>
    <row r="75" spans="2:6">
      <c r="B75" s="54"/>
      <c r="C75" s="54"/>
      <c r="D75" s="93"/>
      <c r="E75" s="77" t="str">
        <f t="shared" si="1"/>
        <v/>
      </c>
      <c r="F75" s="32" t="s">
        <v>228</v>
      </c>
    </row>
    <row r="76" spans="2:6">
      <c r="B76" s="54"/>
      <c r="C76" s="54"/>
      <c r="D76" s="93"/>
      <c r="E76" s="77" t="str">
        <f t="shared" si="1"/>
        <v/>
      </c>
      <c r="F76" s="32" t="s">
        <v>228</v>
      </c>
    </row>
    <row r="77" spans="2:6">
      <c r="E77" s="86"/>
      <c r="F77" t="s">
        <v>228</v>
      </c>
    </row>
    <row r="79" spans="2:6" ht="36">
      <c r="B79" s="80" t="s">
        <v>460</v>
      </c>
    </row>
    <row r="80" spans="2:6">
      <c r="B80" s="76" t="s">
        <v>225</v>
      </c>
      <c r="C80" s="76" t="s">
        <v>596</v>
      </c>
      <c r="D80" s="76" t="s">
        <v>597</v>
      </c>
      <c r="E80" s="88" t="s">
        <v>241</v>
      </c>
      <c r="F80" s="54" t="s">
        <v>228</v>
      </c>
    </row>
    <row r="81" spans="2:6">
      <c r="B81" s="54" t="s">
        <v>226</v>
      </c>
      <c r="C81" s="54" t="s">
        <v>340</v>
      </c>
      <c r="D81" s="93" t="s">
        <v>395</v>
      </c>
      <c r="E81" s="17" t="str">
        <f t="shared" ref="E81:E94" si="2">IF(D81="","",""""&amp;C81&amp;" "&amp;IF(OR(C81="[FOOTER RULE - STRICT]",C81="[FOOTER RULE]"),D81,IF(RIGHT(D81,6)=" | "&amp;CHAR(34)&amp;" &amp;",D81,D81&amp;" | "&amp;CHAR(34)&amp;" &amp;")))</f>
        <v>"[MENTOR_S2_DETECTIVE] Act as 'The Analytical Partner' (El Detective con Café) - a World-Class Elite Technical Mentor for Stage 2 Debugging specializing in " &amp; $I$2 &amp; ".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 &amp;</v>
      </c>
      <c r="F81" s="54" t="s">
        <v>228</v>
      </c>
    </row>
    <row r="82" spans="2:6">
      <c r="B82" s="54" t="s">
        <v>226</v>
      </c>
      <c r="C82" s="54" t="s">
        <v>243</v>
      </c>
      <c r="D82" s="93" t="s">
        <v>341</v>
      </c>
      <c r="E82" s="17" t="str">
        <f t="shared" si="2"/>
        <v>"[CULTURAL &amp; JARGON RULE] If the language (" &amp; $B$6 &amp; ")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 &amp;</v>
      </c>
      <c r="F82" s="54" t="s">
        <v>228</v>
      </c>
    </row>
    <row r="83" spans="2:6">
      <c r="B83" s="54" t="s">
        <v>226</v>
      </c>
      <c r="C83" s="54" t="s">
        <v>244</v>
      </c>
      <c r="D83" s="93" t="s">
        <v>344</v>
      </c>
      <c r="E83" s="17" t="str">
        <f t="shared" si="2"/>
        <v>"[CONTEXT] You are helping a Junior Developer debug a " &amp; IF(UPPER(H9)="PROJECT", "PROJECT: " &amp; I9 &amp; ". Topics involved: " &amp; B9 &amp; ". Project objective: " &amp; J9, "TOPIC: " &amp; I9 &amp; ". Topic details: " &amp; J9) &amp; " | " &amp;</v>
      </c>
      <c r="F83" s="54" t="s">
        <v>228</v>
      </c>
    </row>
    <row r="84" spans="2:6">
      <c r="B84" s="54" t="s">
        <v>226</v>
      </c>
      <c r="C84" s="54" t="s">
        <v>165</v>
      </c>
      <c r="D84" s="93" t="s">
        <v>342</v>
      </c>
      <c r="E84" s="17" t="str">
        <f t="shared" si="2"/>
        <v>"[TASK] Analyze the student's code, explanation, and error. If the code is already fixed and correct, recognize their 'debugging skill' and provide a 'Pro-Tip' for prevention. Otherwise, follow the 2-PHASE MENTORING PROTOCOL | " &amp;</v>
      </c>
      <c r="F84" s="54" t="s">
        <v>228</v>
      </c>
    </row>
    <row r="85" spans="2:6">
      <c r="B85" s="54" t="s">
        <v>226</v>
      </c>
      <c r="C85" s="54" t="s">
        <v>234</v>
      </c>
      <c r="D85" s="93" t="s">
        <v>276</v>
      </c>
      <c r="E85" s="17" t="str">
        <f t="shared" si="2"/>
        <v>"[LIBRARY BEING LEARNED] " &amp; $I$3 &amp; " | " &amp;</v>
      </c>
      <c r="F85" s="54" t="s">
        <v>228</v>
      </c>
    </row>
    <row r="86" spans="2:6">
      <c r="B86" s="54" t="s">
        <v>226</v>
      </c>
      <c r="C86" s="54" t="s">
        <v>175</v>
      </c>
      <c r="D86" s="93" t="s">
        <v>263</v>
      </c>
      <c r="E86" s="17" t="str">
        <f t="shared" si="2"/>
        <v>"[LANGUAGE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86" s="54" t="s">
        <v>228</v>
      </c>
    </row>
    <row r="87" spans="2:6">
      <c r="B87" s="54" t="s">
        <v>226</v>
      </c>
      <c r="C87" s="54" t="s">
        <v>508</v>
      </c>
      <c r="D87" s="93" t="s">
        <v>500</v>
      </c>
      <c r="E87" s="17" t="str">
        <f t="shared" si="2"/>
        <v>"[LANGUAGE SEED CONTEXT] " &amp; IF($AE$7 = "", "Language Seed Not Necessary", "You MUST strictly follow this seed context to enhance, adapt, and naturalize your tone, vocabulary, and instructional quality in " &amp; $B$6 &amp; ": " &amp; $AE$7) &amp; " | " &amp;</v>
      </c>
      <c r="F87" s="54" t="s">
        <v>228</v>
      </c>
    </row>
    <row r="88" spans="2:6">
      <c r="B88" s="54" t="s">
        <v>226</v>
      </c>
      <c r="C88" s="54" t="s">
        <v>219</v>
      </c>
      <c r="D88" s="93" t="s">
        <v>603</v>
      </c>
      <c r="E88" s="17" t="str">
        <f t="shared" si="2"/>
        <v>"[HEADER RULE - STRICT] You MUST start your entire response exactly with the following RAW markdown block (do NOT strip the '#' characters):" &amp; CHAR(10) &amp; "### 🕵️‍♂️ Elite Mentor Stage 2 | " &amp; IF(UPPER(H9)="PROJECT", "Project #", "Topic #") &amp; F9 &amp; " | Debug | " &amp; IF($I$3="", $I$2, $I$2&amp; " - " &amp;$I$3) &amp; " | 📊 Level: " &amp; G9 &amp; CHAR(10) &amp; "**" &amp; IF(UPPER(H9)="PROJECT", "Project", "Topic") &amp; ":** " &amp; I9 &amp; CHAR(10) &amp; "---" &amp; CHAR(10) &amp; " | " &amp;</v>
      </c>
      <c r="F88" s="54" t="s">
        <v>228</v>
      </c>
    </row>
    <row r="89" spans="2:6">
      <c r="B89" s="54" t="s">
        <v>227</v>
      </c>
      <c r="C89" s="54" t="s">
        <v>236</v>
      </c>
      <c r="D89" s="93"/>
      <c r="E89" s="17" t="str">
        <f t="shared" si="2"/>
        <v/>
      </c>
      <c r="F89" s="54" t="s">
        <v>228</v>
      </c>
    </row>
    <row r="90" spans="2:6">
      <c r="B90" s="54" t="s">
        <v>227</v>
      </c>
      <c r="C90" s="54" t="s">
        <v>250</v>
      </c>
      <c r="D90" s="93" t="str">
        <f>Variables!E43 &amp; " " &amp; Variables!E44 &amp; " " &amp; Variables!E45 &amp; " " &amp; Variables!E46 &amp; " | " &amp; CHAR(34) &amp; " &amp;"</f>
        <v>Code MUST be production-like, cleanly implementing standard OTP behaviors and fault-tolerant supervision. Use descriptive snake_case for variables/functions, and PascalCase for modules. Enforce isolated process state and strict immutability within all OTP callbacks. If using default arguments ('\\') with multiple function clauses in Client APIs, you MUST declare a function head without a body. | " &amp;</v>
      </c>
      <c r="E90" s="17" t="str">
        <f t="shared" si="2"/>
        <v>"[PYTHON QUALITY RULE - STRICT] Code MUST be production-like, cleanly implementing standard OTP behaviors and fault-tolerant supervision. Use descriptive snake_case for variables/functions, and PascalCase for modules. Enforce isolated process state and strict immutability within all OTP callbacks. If using default arguments ('\\') with multiple function clauses in Client APIs, you MUST declare a function head without a body. | " &amp;</v>
      </c>
      <c r="F90" s="54" t="s">
        <v>228</v>
      </c>
    </row>
    <row r="91" spans="2:6">
      <c r="B91" s="54" t="s">
        <v>281</v>
      </c>
      <c r="C91" s="54" t="s">
        <v>245</v>
      </c>
      <c r="D91" s="93" t="s">
        <v>346</v>
      </c>
      <c r="E91" s="17" t="str">
        <f t="shared" si="2"/>
        <v>"[EMPTY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 &amp;</v>
      </c>
      <c r="F91" s="54" t="s">
        <v>228</v>
      </c>
    </row>
    <row r="92" spans="2:6">
      <c r="B92" s="54" t="s">
        <v>281</v>
      </c>
      <c r="C92" s="54" t="s">
        <v>247</v>
      </c>
      <c r="D92" s="93" t="s">
        <v>347</v>
      </c>
      <c r="E92" s="17" t="str">
        <f t="shared" si="2"/>
        <v>"[PHASE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 &amp; $I$2 &amp; "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 &amp; $I$2 &amp; "). | " &amp;</v>
      </c>
      <c r="F92" s="54" t="s">
        <v>228</v>
      </c>
    </row>
    <row r="93" spans="2:6">
      <c r="B93" s="54" t="s">
        <v>281</v>
      </c>
      <c r="C93" s="54" t="s">
        <v>248</v>
      </c>
      <c r="D93" s="93" t="s">
        <v>345</v>
      </c>
      <c r="E93" s="17" t="str">
        <f t="shared" si="2"/>
        <v>"[EXPLANATION GATE &amp; SCROLL BARRIER] After Phase 1, you MUST insert exactly this visual separator:" &amp; CHAR(10) &amp; "------------------------------------------------------------" &amp; CHAR(10) &amp; "🛑 THE EXPLANATION GATE 🛑" &amp; CHAR(10) &amp; "Before scrolling down to see the Master Code, articulate the ROOT CAUSE of the crash. Copy-pasting a fix without understanding the bug builds Epistemic Debt." &amp; CHAR(10) &amp; "----------------------------------------------------------- | " &amp;</v>
      </c>
      <c r="F93" s="54" t="s">
        <v>228</v>
      </c>
    </row>
    <row r="94" spans="2:6">
      <c r="B94" s="54" t="s">
        <v>281</v>
      </c>
      <c r="C94" s="54" t="s">
        <v>251</v>
      </c>
      <c r="D94" s="93" t="s">
        <v>348</v>
      </c>
      <c r="E94" s="17" t="str">
        <f t="shared" si="2"/>
        <v>"[PHASE 2: FULL SOLUTION - STRICT] 1. Provide the clean, " &amp; $I$2 &amp; " code, and fully functional " &amp; $I$2 &amp; "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 &amp;</v>
      </c>
      <c r="F94" s="54" t="s">
        <v>228</v>
      </c>
    </row>
    <row r="95" spans="2:6">
      <c r="B95" s="54" t="s">
        <v>281</v>
      </c>
      <c r="C95" s="54" t="s">
        <v>509</v>
      </c>
      <c r="D95" s="93" t="s">
        <v>510</v>
      </c>
      <c r="E95" s="17" t="str">
        <f>IF(D95="","",""""&amp;C95&amp;" "&amp;IF(OR(C95="[FOOTER RULE - STRICT]",C95="[FOOTER RULE]"),D95,IF(RIGHT(D95,6)=" | "&amp;CHAR(34)&amp;" &amp;",D95,D95&amp;" | "&amp;CHAR(34)&amp;" &amp;")))</f>
        <v>"[MINIMAL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 &amp;</v>
      </c>
      <c r="F95" s="54" t="s">
        <v>228</v>
      </c>
    </row>
    <row r="96" spans="2:6">
      <c r="B96" s="54" t="s">
        <v>281</v>
      </c>
      <c r="C96" s="54" t="s">
        <v>343</v>
      </c>
      <c r="D96" s="93" t="s">
        <v>349</v>
      </c>
      <c r="E96" s="17" t="str">
        <f>IF(D96="","",""""&amp;C96&amp;" "&amp;IF(OR(C96="[FOOTER RULE - STRICT]",C96="[FOOTER RULE]"),D96,IF(RIGHT(D96,6)=" | "&amp;CHAR(34)&amp;" &amp;",D96,D96&amp;" | "&amp;CHAR(34)&amp;" &amp;")))</f>
        <v>"[FOOTER RULE] End your response with: '--- ⚡ *Coding5s Mentor System — Eliminating Epistemic Debt &amp; Hunting Bugs*</v>
      </c>
      <c r="F96" s="54" t="s">
        <v>228</v>
      </c>
    </row>
    <row r="97" spans="2:6">
      <c r="B97" s="54"/>
      <c r="C97" s="54"/>
      <c r="D97" s="93"/>
      <c r="E97" s="88" t="s">
        <v>350</v>
      </c>
      <c r="F97" s="54" t="s">
        <v>228</v>
      </c>
    </row>
    <row r="98" spans="2:6">
      <c r="B98" s="54"/>
      <c r="C98" s="54"/>
      <c r="D98" s="93"/>
      <c r="E98" s="77" t="str">
        <f t="shared" ref="E98:E100" si="3">IF(D98="","",""""&amp;C98&amp;" "&amp;IF(C98="[FOOTER RULE - STRICT]",D98,IF(RIGHT(D98,6)=" | "&amp;CHAR(34)&amp;" &amp;",D98,D98&amp;" | "&amp;CHAR(34)&amp;" &amp;")))</f>
        <v/>
      </c>
      <c r="F98" s="54" t="s">
        <v>228</v>
      </c>
    </row>
    <row r="99" spans="2:6">
      <c r="B99" s="54"/>
      <c r="C99" s="54"/>
      <c r="D99" s="93"/>
      <c r="E99" s="77" t="str">
        <f t="shared" si="3"/>
        <v/>
      </c>
      <c r="F99" s="54" t="s">
        <v>228</v>
      </c>
    </row>
    <row r="100" spans="2:6">
      <c r="B100" s="54"/>
      <c r="C100" s="54"/>
      <c r="D100" s="93"/>
      <c r="E100" s="77" t="str">
        <f t="shared" si="3"/>
        <v/>
      </c>
      <c r="F100" s="54" t="s">
        <v>228</v>
      </c>
    </row>
  </sheetData>
  <conditionalFormatting sqref="B1:B1048576">
    <cfRule type="cellIs" dxfId="44" priority="10" operator="equal">
      <formula>"The Immutable Kernel"</formula>
    </cfRule>
    <cfRule type="cellIs" dxfId="43" priority="11" operator="equal">
      <formula>"Paradigm &amp; Ecosystem"</formula>
    </cfRule>
    <cfRule type="cellIs" dxfId="42" priority="12" operator="equal">
      <formula>"Global Variables &amp; Configuration"</formula>
    </cfRule>
  </conditionalFormatting>
  <conditionalFormatting sqref="C4:C42">
    <cfRule type="expression" dxfId="41" priority="7">
      <formula>$B4="The Immutable Kernel"</formula>
    </cfRule>
    <cfRule type="expression" dxfId="40" priority="8">
      <formula>$B4="Paradigm &amp; Ecosystem"</formula>
    </cfRule>
    <cfRule type="expression" dxfId="39" priority="9">
      <formula>$B4="Global Variables &amp; Configuration"</formula>
    </cfRule>
  </conditionalFormatting>
  <conditionalFormatting sqref="C47:C76">
    <cfRule type="expression" dxfId="38" priority="4">
      <formula>$B47="The Immutable Kernel"</formula>
    </cfRule>
    <cfRule type="expression" dxfId="37" priority="5">
      <formula>$B47="Paradigm &amp; Ecosystem"</formula>
    </cfRule>
    <cfRule type="expression" dxfId="36" priority="6">
      <formula>$B47="Global Variables &amp; Configuration"</formula>
    </cfRule>
  </conditionalFormatting>
  <conditionalFormatting sqref="C81:C100">
    <cfRule type="expression" dxfId="35" priority="1">
      <formula>$B81="The Immutable Kernel"</formula>
    </cfRule>
    <cfRule type="expression" dxfId="34" priority="2">
      <formula>$B81="Paradigm &amp; Ecosystem"</formula>
    </cfRule>
    <cfRule type="expression" dxfId="33" priority="3">
      <formula>$B81="Global Variables &amp; Configuration"</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AD3BC9-B2EF-4F3D-8F73-57D435228023}">
  <sheetPr>
    <tabColor rgb="FFFFFF99"/>
  </sheetPr>
  <dimension ref="B2:AC100"/>
  <sheetViews>
    <sheetView showGridLines="0" zoomScaleNormal="100" workbookViewId="0"/>
  </sheetViews>
  <sheetFormatPr defaultRowHeight="15"/>
  <cols>
    <col min="1" max="1" width="5.42578125" customWidth="1"/>
    <col min="2" max="2" width="36.28515625" customWidth="1"/>
    <col min="3" max="3" width="33" customWidth="1"/>
    <col min="4" max="4" width="85.28515625" customWidth="1"/>
    <col min="5" max="5" width="39.5703125" style="85" customWidth="1"/>
    <col min="6" max="6" width="4" customWidth="1"/>
  </cols>
  <sheetData>
    <row r="2" spans="2:29" ht="36">
      <c r="B2" s="78" t="s">
        <v>458</v>
      </c>
      <c r="D2" s="81" t="s">
        <v>351</v>
      </c>
      <c r="H2" s="82"/>
      <c r="T2" s="82"/>
    </row>
    <row r="3" spans="2:29">
      <c r="B3" s="76" t="s">
        <v>225</v>
      </c>
      <c r="C3" s="76" t="s">
        <v>596</v>
      </c>
      <c r="D3" s="76" t="s">
        <v>597</v>
      </c>
      <c r="E3" s="88" t="s">
        <v>233</v>
      </c>
      <c r="F3" s="4" t="s">
        <v>228</v>
      </c>
      <c r="AC3" t="s">
        <v>228</v>
      </c>
    </row>
    <row r="4" spans="2:29">
      <c r="B4" s="75" t="s">
        <v>226</v>
      </c>
      <c r="C4" s="54" t="s">
        <v>163</v>
      </c>
      <c r="D4" s="92" t="s">
        <v>352</v>
      </c>
      <c r="E4" s="77" t="str">
        <f t="shared" ref="E4:E37" si="0">IF(D4="","",""""&amp;C4&amp;" "&amp;IF(C4="[FOOTER RULE - STRICT]",D4,IF(RIGHT(D4,6)=" | "&amp;CHAR(34)&amp;" &amp;",D4,D4&amp;" | "&amp;CHAR(34)&amp;" &amp;")))</f>
        <v>"[ROLE] Tech Lead | " &amp;</v>
      </c>
      <c r="F4" s="54" t="s">
        <v>228</v>
      </c>
    </row>
    <row r="5" spans="2:29">
      <c r="B5" s="75" t="s">
        <v>226</v>
      </c>
      <c r="C5" s="54" t="s">
        <v>165</v>
      </c>
      <c r="D5" s="92" t="s">
        <v>353</v>
      </c>
      <c r="E5" s="77" t="str">
        <f t="shared" si="0"/>
        <v>"[TASK] Assign incomplete " &amp; $I$2 &amp; " script challenges | " &amp;</v>
      </c>
      <c r="F5" s="54" t="s">
        <v>228</v>
      </c>
    </row>
    <row r="6" spans="2:29">
      <c r="B6" s="75" t="s">
        <v>226</v>
      </c>
      <c r="C6" s="54" t="s">
        <v>167</v>
      </c>
      <c r="D6" s="92" t="s">
        <v>168</v>
      </c>
      <c r="E6" s="77" t="str">
        <f t="shared" si="0"/>
        <v>"[TOPIC] " &amp; I9 &amp; " | " &amp;</v>
      </c>
      <c r="F6" s="54" t="s">
        <v>228</v>
      </c>
    </row>
    <row r="7" spans="2:29">
      <c r="B7" s="75" t="s">
        <v>226</v>
      </c>
      <c r="C7" s="54" t="s">
        <v>169</v>
      </c>
      <c r="D7" s="92" t="s">
        <v>170</v>
      </c>
      <c r="E7" s="77" t="str">
        <f t="shared" si="0"/>
        <v>"[LEVEL] " &amp; G9 &amp; " | " &amp;</v>
      </c>
      <c r="F7" s="54" t="s">
        <v>228</v>
      </c>
    </row>
    <row r="8" spans="2:29">
      <c r="B8" s="75" t="s">
        <v>226</v>
      </c>
      <c r="C8" s="54" t="s">
        <v>171</v>
      </c>
      <c r="D8" s="92" t="s">
        <v>286</v>
      </c>
      <c r="E8" s="77" t="str">
        <f t="shared" si="0"/>
        <v>"[COUNT] " &amp; D9 &amp; " challenges | " &amp;</v>
      </c>
      <c r="F8" s="54" t="s">
        <v>228</v>
      </c>
    </row>
    <row r="9" spans="2:29">
      <c r="B9" s="75" t="s">
        <v>226</v>
      </c>
      <c r="C9" s="54" t="s">
        <v>234</v>
      </c>
      <c r="D9" s="92" t="s">
        <v>276</v>
      </c>
      <c r="E9" s="77" t="str">
        <f t="shared" si="0"/>
        <v>"[LIBRARY BEING LEARNED] " &amp; $I$3 &amp; " | " &amp;</v>
      </c>
      <c r="F9" s="54" t="s">
        <v>228</v>
      </c>
    </row>
    <row r="10" spans="2:29">
      <c r="B10" s="75" t="s">
        <v>226</v>
      </c>
      <c r="C10" s="54" t="s">
        <v>229</v>
      </c>
      <c r="D10" s="92" t="str">
        <f>"If a module or ecosystem like "&amp; Variables!E6 &amp;" is specified in "&amp; Variables!E7 &amp;", you are CRITICALLY FORBIDDEN from using "&amp; Variables!E8 &amp;". You MUST enforce the "&amp; Variables!E9 &amp;" and data structures of that specific library."</f>
        <v>If a module or ecosystem like GenServer, Supervisor, Registry, or DynamicSupervisor is specified in , you are CRITICALLY FORBIDDEN from using manual process linking (spawn/1, spawn_link/1) outside standard OTP behaviors. You MUST enforce the concurrent asynchronous processes and proper Supervisor tree state isolation and data structures of that specific library.</v>
      </c>
      <c r="E10" s="77" t="str">
        <f t="shared" si="0"/>
        <v>"[ECOSYSTEM ORIENTATION RULE] If a module or ecosystem like GenServer, Supervisor, Registry, or DynamicSupervisor is specified in , you are CRITICALLY FORBIDDEN from using manual process linking (spawn/1, spawn_link/1) outside standard OTP behaviors. You MUST enforce the concurrent asynchronous processes and proper Supervisor tree state isolation and data structures of that specific library. | " &amp;</v>
      </c>
      <c r="F10" s="54" t="s">
        <v>228</v>
      </c>
    </row>
    <row r="11" spans="2:29">
      <c r="B11" s="75" t="s">
        <v>226</v>
      </c>
      <c r="C11" s="54" t="s">
        <v>219</v>
      </c>
      <c r="D11" s="92" t="s">
        <v>604</v>
      </c>
      <c r="E11" s="77" t="str">
        <f t="shared" si="0"/>
        <v>"[HEADER RULE - STRICT] You MUST start your entire response EXACTLY with this markdown block (do not print anything before it):" &amp; CHAR(10) &amp; "### 🔹 Topic #" &amp; F9 &amp; " | Stage 3 🧩 Complete | " &amp; IF($I$3="", $I$2, $I$2&amp; " - " &amp;$I$3) &amp; " | 📊 Level: " &amp; G9 &amp; " | 🌐 Coding5s.com" &amp; CHAR(10) &amp; "**Concept:** " &amp; J9 &amp; CHAR(10) &amp; "---" &amp; CHAR(10) &amp; " | " &amp;</v>
      </c>
      <c r="F11" s="54" t="s">
        <v>228</v>
      </c>
    </row>
    <row r="12" spans="2:29">
      <c r="B12" s="75" t="s">
        <v>226</v>
      </c>
      <c r="C12" s="54" t="s">
        <v>175</v>
      </c>
      <c r="D12" s="92" t="s">
        <v>176</v>
      </c>
      <c r="E12" s="77" t="str">
        <f t="shared" si="0"/>
        <v>"[LANGUAGE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v>
      </c>
      <c r="F12" s="54" t="s">
        <v>228</v>
      </c>
    </row>
    <row r="13" spans="2:29">
      <c r="B13" s="75" t="s">
        <v>226</v>
      </c>
      <c r="C13" s="54" t="s">
        <v>508</v>
      </c>
      <c r="D13" s="92" t="s">
        <v>500</v>
      </c>
      <c r="E13" s="77" t="str">
        <f t="shared" si="0"/>
        <v>"[LANGUAGE SEED CONTEXT] " &amp; IF($AE$7 = "", "Language Seed Not Necessary", "You MUST strictly follow this seed context to enhance, adapt, and naturalize your tone, vocabulary, and instructional quality in " &amp; $B$6 &amp; ": " &amp; $AE$7) &amp; " | " &amp;</v>
      </c>
      <c r="F13" s="54" t="s">
        <v>228</v>
      </c>
    </row>
    <row r="14" spans="2:29">
      <c r="B14" s="83" t="s">
        <v>227</v>
      </c>
      <c r="C14" s="54" t="s">
        <v>236</v>
      </c>
      <c r="D14" s="92"/>
      <c r="E14" s="77" t="str">
        <f t="shared" si="0"/>
        <v/>
      </c>
      <c r="F14" s="54" t="s">
        <v>228</v>
      </c>
    </row>
    <row r="15" spans="2:29">
      <c r="B15" s="83" t="s">
        <v>227</v>
      </c>
      <c r="C15" s="54" t="s">
        <v>684</v>
      </c>
      <c r="D15" s="92" t="str">
        <f>Variables!E47 &amp; " | " &amp; CHAR(34) &amp; " &amp;"</f>
        <v>External Hex packages MUST be added to the deps/0 function in a standard mix.exs file. Do not use standalone scripts or Mix.install/2. | " &amp;</v>
      </c>
      <c r="E15" s="77" t="str">
        <f t="shared" si="0"/>
        <v>"[EXTERNAL_PACKAGE_PROTOCOL] External Hex packages MUST be added to the deps/0 function in a standard mix.exs file. Do not use standalone scripts or Mix.install/2. | " &amp;</v>
      </c>
      <c r="F15" s="54" t="s">
        <v>228</v>
      </c>
    </row>
    <row r="16" spans="2:29">
      <c r="B16" s="83" t="s">
        <v>227</v>
      </c>
      <c r="C16" s="54" t="s">
        <v>685</v>
      </c>
      <c r="D16" s="92" t="str">
        <f>Variables!E48 &amp; " | " &amp; CHAR(34) &amp; " &amp;"</f>
        <v>Tests MUST run isolated async processes (use ExUnit.Case, async: true). NEVER hack process links manually; use assert_receive to verify OTP flows. | " &amp;</v>
      </c>
      <c r="E16" s="77" t="str">
        <f t="shared" si="0"/>
        <v>"[TESTING_FRAMEWORK_PROTOCOL] Tests MUST run isolated async processes (use ExUnit.Case, async: true). NEVER hack process links manually; use assert_receive to verify OTP flows. | " &amp;</v>
      </c>
      <c r="F16" s="54" t="s">
        <v>228</v>
      </c>
    </row>
    <row r="17" spans="2:6">
      <c r="B17" s="83" t="s">
        <v>227</v>
      </c>
      <c r="C17" s="54" t="s">
        <v>686</v>
      </c>
      <c r="D17" s="92" t="str">
        <f>Variables!E49 &amp; " - " &amp; CHAR(34) &amp; " &amp; IF(G9=" &amp; CHAR(34) &amp; "Beginner" &amp; CHAR(34) &amp; "," &amp; CHAR(34) &amp; "5–15" &amp; CHAR(34) &amp; ", IF(G9=" &amp; CHAR(34) &amp; "Intermediate" &amp; CHAR(34) &amp; "," &amp; CHAR(34) &amp; "10–25" &amp; CHAR(34) &amp; "," &amp; CHAR(34) &amp; "15–35" &amp; CHAR(34) &amp; ")) &amp; " &amp; CHAR(34) &amp; " " &amp; Variables!E50 &amp; " | " &amp; CHAR(34) &amp; " &amp;"</f>
        <v>Each challenge MUST include: - A functional GenServer or Supervisor tree managing continuous isolated state. - " &amp; IF(G9="Beginner","5–15", IF(G9="Intermediate","10–25","15–35")) &amp; " lines of EXECUTABLE base OTP code (STRICT: Do NOT count comments or TODOs). Length MUST vary. Enforce isolated immutable process state. | " &amp;</v>
      </c>
      <c r="E17" s="77" t="str">
        <f t="shared" si="0"/>
        <v>"[CHALLENGE_CONSTRAINTS_POLICY] Each challenge MUST include: - A functional GenServer or Supervisor tree managing continuous isolated state. - " &amp; IF(G9="Beginner","5–15", IF(G9="Intermediate","10–25","15–35")) &amp; " lines of EXECUTABLE base OTP code (STRICT: Do NOT count comments or TODOs). Length MUST vary. Enforce isolated immutable process state. | " &amp;</v>
      </c>
      <c r="F17" s="54" t="s">
        <v>228</v>
      </c>
    </row>
    <row r="18" spans="2:6">
      <c r="B18" s="83" t="s">
        <v>281</v>
      </c>
      <c r="C18" s="54" t="s">
        <v>211</v>
      </c>
      <c r="D18" s="92" t="s">
        <v>679</v>
      </c>
      <c r="E18" s="77" t="str">
        <f t="shared" si="0"/>
        <v>"[FORMAT RULE] ALWAYS label markdown code blocks with the correct underlying programming language (e.g., elixir, python, javascript, sql) | " &amp;</v>
      </c>
      <c r="F18" s="54" t="s">
        <v>228</v>
      </c>
    </row>
    <row r="19" spans="2:6">
      <c r="B19" s="84" t="s">
        <v>281</v>
      </c>
      <c r="C19" s="54" t="s">
        <v>211</v>
      </c>
      <c r="D19" s="92" t="s">
        <v>291</v>
      </c>
      <c r="E19" s="77" t="str">
        <f t="shared" si="0"/>
        <v>"[FORMAT RULE] Only valid markdown code blocks allowed | " &amp;</v>
      </c>
      <c r="F19" s="54" t="s">
        <v>228</v>
      </c>
    </row>
    <row r="20" spans="2:6">
      <c r="B20" s="84" t="s">
        <v>281</v>
      </c>
      <c r="C20" s="54" t="s">
        <v>354</v>
      </c>
      <c r="D20" s="92" t="s">
        <v>381</v>
      </c>
      <c r="E20" s="77" t="str">
        <f t="shared" si="0"/>
        <v>"[SCORING ENFORCEMENT RULE] Score MUST be ONLY 3, 4, or 5 | " &amp;</v>
      </c>
      <c r="F20" s="54" t="s">
        <v>228</v>
      </c>
    </row>
    <row r="21" spans="2:6">
      <c r="B21" s="84" t="s">
        <v>281</v>
      </c>
      <c r="C21" s="54" t="s">
        <v>355</v>
      </c>
      <c r="D21" s="92" t="s">
        <v>356</v>
      </c>
      <c r="E21" s="77" t="str">
        <f t="shared" si="0"/>
        <v>"[DATA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v>
      </c>
      <c r="F21" s="54" t="s">
        <v>228</v>
      </c>
    </row>
    <row r="22" spans="2:6">
      <c r="B22" s="84" t="s">
        <v>281</v>
      </c>
      <c r="C22" s="54" t="s">
        <v>213</v>
      </c>
      <c r="D22" s="92" t="s">
        <v>292</v>
      </c>
      <c r="E22" s="77" t="str">
        <f t="shared" si="0"/>
        <v>"[LANGUAGE TAG RULE] ALWAYS label markdown code blocks with the correct underlying programming language (e.g., python, javascript, sql) | " &amp;</v>
      </c>
      <c r="F22" s="54" t="s">
        <v>228</v>
      </c>
    </row>
    <row r="23" spans="2:6">
      <c r="B23" s="84" t="s">
        <v>281</v>
      </c>
      <c r="C23" s="54" t="s">
        <v>191</v>
      </c>
      <c r="D23" s="92" t="s">
        <v>357</v>
      </c>
      <c r="E23" s="77" t="str">
        <f t="shared" si="0"/>
        <v>"[INTRO RULE] Intro MUST be a dynamically generated email in " &amp; $B$6 &amp; " with this EXACT format translated to " &amp; $B$6 &amp; ": '📥 From: [Generate NEW random full name] - Tech Lead' / '📤 To: [Insert my user name if known, else Junior] - " &amp; $I$2 &amp; " Developer' / 'Subject: [Task Subject]'. Body MUST be unique. Vibe: 'Hola, estructuré la base, encárgate de la lógica core. Completa los # TODO. El output debe coincidir. Saludos.'. IMMEDIATELY AFTER the email body, you MUST include this exact instruction block translated to " &amp; $B$6 &amp; ": '🚨 **Your objective in this lesson:** You must copy the code blocks from each Challenge exactly as they are and paste them into your IDE, then write the missing lines in the code until you achieve the exact Expected Output when running the program.' | " &amp;</v>
      </c>
      <c r="F23" s="54" t="s">
        <v>228</v>
      </c>
    </row>
    <row r="24" spans="2:6">
      <c r="B24" s="84" t="s">
        <v>281</v>
      </c>
      <c r="C24" s="54" t="s">
        <v>180</v>
      </c>
      <c r="D24" s="92" t="s">
        <v>358</v>
      </c>
      <c r="E24" s="77" t="str">
        <f t="shared" si="0"/>
        <v>"[OUTPUT CONTRACT] EXACTLY " &amp; D9 &amp; "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 &amp;</v>
      </c>
      <c r="F24" s="54" t="s">
        <v>228</v>
      </c>
    </row>
    <row r="25" spans="2:6">
      <c r="B25" s="54" t="s">
        <v>281</v>
      </c>
      <c r="C25" s="54" t="s">
        <v>359</v>
      </c>
      <c r="D25" s="92" t="s">
        <v>360</v>
      </c>
      <c r="E25" s="77" t="str">
        <f t="shared" si="0"/>
        <v>"[OUTPUT TRUNCATION RULE - STRICT] If expected output is long, display ONLY the first 5 lines. Ensure accuracy. Do NOT use ellipsis (...) | " &amp;</v>
      </c>
      <c r="F25" s="54" t="s">
        <v>228</v>
      </c>
    </row>
    <row r="26" spans="2:6">
      <c r="B26" s="54" t="s">
        <v>281</v>
      </c>
      <c r="C26" s="54" t="s">
        <v>361</v>
      </c>
      <c r="D26" s="92" t="s">
        <v>362</v>
      </c>
      <c r="E26" s="77" t="str">
        <f t="shared" si="0"/>
        <v>"[OUTPUT EXECUTION RULE - STRICT] Expected output MUST be explicit, complete, and produced via print() (at least one print already in base code). Monetary values must include '$' | " &amp;</v>
      </c>
      <c r="F26" s="54" t="s">
        <v>228</v>
      </c>
    </row>
    <row r="27" spans="2:6">
      <c r="B27" s="54" t="s">
        <v>281</v>
      </c>
      <c r="C27" s="54" t="s">
        <v>363</v>
      </c>
      <c r="D27" s="92" t="s">
        <v>364</v>
      </c>
      <c r="E27" s="77" t="str">
        <f t="shared" si="0"/>
        <v>"[BASE CODE INTEGRITY RULE - STRICT] Code outside the TODO block MUST be 100% valid, logically correct, and run without errors. Do NOT simulate bugs using 'pass', '...', None, or wrong variable types outside the TODO. Variables used outside TODO must be initialized before TODO. | " &amp;</v>
      </c>
      <c r="F27" s="54" t="s">
        <v>228</v>
      </c>
    </row>
    <row r="28" spans="2:6">
      <c r="B28" s="54" t="s">
        <v>281</v>
      </c>
      <c r="C28" s="54" t="s">
        <v>365</v>
      </c>
      <c r="D28" s="92" t="s">
        <v>366</v>
      </c>
      <c r="E28" s="77" t="str">
        <f t="shared" si="0"/>
        <v>"[TODO VARIATION RULE] TODO sections MUST vary: Single-line TODO, Multiple TODOs, Small blocks (2–4 lines). | " &amp;</v>
      </c>
      <c r="F28" s="54" t="s">
        <v>228</v>
      </c>
    </row>
    <row r="29" spans="2:6">
      <c r="B29" s="54" t="s">
        <v>281</v>
      </c>
      <c r="C29" s="54" t="s">
        <v>367</v>
      </c>
      <c r="D29" s="92" t="s">
        <v>368</v>
      </c>
      <c r="E29" s="77" t="str">
        <f t="shared" si="0"/>
        <v>"[VARIABILITY RULE - STRICT] Each challenge MUST be structurally different. Vary: Code length, Logic type, Position of TODO, Number of TODOs (1–3), Data flow. | " &amp;</v>
      </c>
      <c r="F29" s="54" t="s">
        <v>228</v>
      </c>
    </row>
    <row r="30" spans="2:6">
      <c r="B30" s="54" t="s">
        <v>281</v>
      </c>
      <c r="C30" s="54" t="s">
        <v>369</v>
      </c>
      <c r="D30" s="92" t="s">
        <v>370</v>
      </c>
      <c r="E30" s="77" t="str">
        <f t="shared" si="0"/>
        <v>"[TODO REALISM RULE - STRICT] TODOs MUST represent realistic mistakes based on the topic: " &amp; I9 &amp; ". Describe what is incorrect or incomplete. Avoid imperative instructions. | " &amp;</v>
      </c>
      <c r="F30" s="54" t="s">
        <v>228</v>
      </c>
    </row>
    <row r="31" spans="2:6">
      <c r="B31" s="54" t="s">
        <v>281</v>
      </c>
      <c r="C31" s="54" t="s">
        <v>371</v>
      </c>
      <c r="D31" s="92" t="s">
        <v>372</v>
      </c>
      <c r="E31" s="77" t="str">
        <f t="shared" si="0"/>
        <v>"[TODO ISOLATION RULE - STRICT] ALL missing, incorrect, or output-affecting logic MUST exist ONLY inside the TODO block. | " &amp;</v>
      </c>
      <c r="F31" s="54" t="s">
        <v>228</v>
      </c>
    </row>
    <row r="32" spans="2:6">
      <c r="B32" s="54" t="s">
        <v>281</v>
      </c>
      <c r="C32" s="54" t="s">
        <v>316</v>
      </c>
      <c r="D32" s="92" t="s">
        <v>373</v>
      </c>
      <c r="E32" s="77" t="str">
        <f t="shared" si="0"/>
        <v>"[NO SOLUTION RULE - STRICT] The code under the # TODO MUST be left empty or with a 'pass'. DO NOT write the actual solution. | " &amp;</v>
      </c>
      <c r="F32" s="54" t="s">
        <v>228</v>
      </c>
    </row>
    <row r="33" spans="2:6">
      <c r="B33" s="54" t="s">
        <v>281</v>
      </c>
      <c r="C33" s="54" t="s">
        <v>374</v>
      </c>
      <c r="D33" s="92" t="s">
        <v>375</v>
      </c>
      <c r="E33" s="77" t="str">
        <f t="shared" si="0"/>
        <v>"[OUTPUT VERIFICATION RULE] The base code MUST print the final variables/results evaluated in the TODO block to verify correctness. | " &amp;</v>
      </c>
      <c r="F33" s="54" t="s">
        <v>228</v>
      </c>
    </row>
    <row r="34" spans="2:6">
      <c r="B34" s="54" t="s">
        <v>281</v>
      </c>
      <c r="C34" s="54" t="s">
        <v>376</v>
      </c>
      <c r="D34" s="92" t="s">
        <v>377</v>
      </c>
      <c r="E34" s="77" t="str">
        <f t="shared" si="0"/>
        <v>"[TODO GUIDANCE RULE] Rule " &amp; IF(G9="Beginner", "Clear explicit hint (no code) | ", IF(G9="Intermediate", "Brief hint | ", "Minimal hint | ")) &amp; " | " &amp;</v>
      </c>
      <c r="F34" s="54" t="s">
        <v>228</v>
      </c>
    </row>
    <row r="35" spans="2:6">
      <c r="B35" s="54" t="s">
        <v>281</v>
      </c>
      <c r="C35" s="54" t="s">
        <v>220</v>
      </c>
      <c r="D35" s="92" t="s">
        <v>378</v>
      </c>
      <c r="E35" s="77" t="str">
        <f t="shared" si="0"/>
        <v>"[OUTPUT] Only header, dataset summary or statement (if any), intro message, challenges (objective, expected output, incomplete code), and footer | " &amp;</v>
      </c>
      <c r="F35" s="54" t="s">
        <v>228</v>
      </c>
    </row>
    <row r="36" spans="2:6">
      <c r="B36" s="54" t="s">
        <v>281</v>
      </c>
      <c r="C36" s="54" t="s">
        <v>224</v>
      </c>
      <c r="D36" s="92" t="s">
        <v>380</v>
      </c>
      <c r="E36" s="77" t="str">
        <f t="shared" si="0"/>
        <v>"[FOOTER RULE - STRICT] End your entire response EXACTLY with this markdown string (ensure all code blocks are closed before it):" &amp; CHAR(10) &amp; "---" &amp; CHAR(10) &amp; "⚡ *Coding5s System - Learn Programming by Writing Code - Coding5S.com*",</v>
      </c>
      <c r="F36" s="54" t="s">
        <v>228</v>
      </c>
    </row>
    <row r="37" spans="2:6">
      <c r="B37" s="54"/>
      <c r="C37" s="54"/>
      <c r="D37" s="92"/>
      <c r="E37" s="77" t="str">
        <f t="shared" si="0"/>
        <v/>
      </c>
      <c r="F37" s="54" t="s">
        <v>228</v>
      </c>
    </row>
    <row r="38" spans="2:6">
      <c r="B38" s="54"/>
      <c r="C38" s="54"/>
      <c r="D38" s="92"/>
      <c r="E38" s="88" t="s">
        <v>379</v>
      </c>
      <c r="F38" s="54" t="s">
        <v>228</v>
      </c>
    </row>
    <row r="39" spans="2:6">
      <c r="B39" s="54"/>
      <c r="C39" s="54"/>
      <c r="D39" s="92"/>
      <c r="E39" s="77"/>
      <c r="F39" s="54" t="s">
        <v>228</v>
      </c>
    </row>
    <row r="40" spans="2:6">
      <c r="B40" s="54"/>
      <c r="C40" s="54"/>
      <c r="D40" s="92"/>
      <c r="E40" s="77"/>
      <c r="F40" s="54" t="s">
        <v>228</v>
      </c>
    </row>
    <row r="41" spans="2:6">
      <c r="B41" s="54"/>
      <c r="C41" s="54"/>
      <c r="D41" s="92"/>
      <c r="E41" s="77"/>
      <c r="F41" s="54" t="s">
        <v>228</v>
      </c>
    </row>
    <row r="42" spans="2:6">
      <c r="B42" s="54"/>
      <c r="C42" s="54"/>
      <c r="D42" s="92"/>
      <c r="E42" s="77"/>
      <c r="F42" s="54"/>
    </row>
    <row r="43" spans="2:6">
      <c r="B43" s="74"/>
      <c r="C43" s="74"/>
      <c r="E43" s="86"/>
    </row>
    <row r="44" spans="2:6">
      <c r="B44" s="74"/>
      <c r="C44" s="74"/>
      <c r="E44" s="86"/>
    </row>
    <row r="45" spans="2:6" ht="36">
      <c r="B45" s="79" t="s">
        <v>459</v>
      </c>
      <c r="C45" s="74"/>
      <c r="E45" s="86"/>
    </row>
    <row r="46" spans="2:6">
      <c r="B46" s="76" t="s">
        <v>273</v>
      </c>
      <c r="C46" s="76" t="s">
        <v>596</v>
      </c>
      <c r="D46" s="76" t="s">
        <v>597</v>
      </c>
      <c r="E46" s="88" t="s">
        <v>274</v>
      </c>
      <c r="F46" s="32" t="s">
        <v>228</v>
      </c>
    </row>
    <row r="47" spans="2:6">
      <c r="B47" s="54" t="s">
        <v>226</v>
      </c>
      <c r="C47" s="54" t="s">
        <v>163</v>
      </c>
      <c r="D47" s="92" t="s">
        <v>352</v>
      </c>
      <c r="E47" s="77" t="str">
        <f t="shared" ref="E47:E52" si="1">IF(D47="","",""""&amp;C47&amp;" "&amp;IF(C47="[FOOTER RULE - STRICT]",D47,IF(RIGHT(D47,6)=" | "&amp;CHAR(34)&amp;" &amp;",D47,D47&amp;" | "&amp;CHAR(34)&amp;" &amp;")))</f>
        <v>"[ROLE] Tech Lead | " &amp;</v>
      </c>
      <c r="F47" s="32" t="s">
        <v>228</v>
      </c>
    </row>
    <row r="48" spans="2:6">
      <c r="B48" s="54" t="s">
        <v>226</v>
      </c>
      <c r="C48" s="54" t="s">
        <v>165</v>
      </c>
      <c r="D48" s="92" t="s">
        <v>382</v>
      </c>
      <c r="E48" s="77" t="str">
        <f t="shared" si="1"/>
        <v>"[TASK] Assign incomplete project script | " &amp;</v>
      </c>
      <c r="F48" s="32" t="s">
        <v>228</v>
      </c>
    </row>
    <row r="49" spans="2:6">
      <c r="B49" s="54" t="s">
        <v>226</v>
      </c>
      <c r="C49" s="54" t="s">
        <v>326</v>
      </c>
      <c r="D49" s="92" t="s">
        <v>168</v>
      </c>
      <c r="E49" s="77" t="str">
        <f t="shared" si="1"/>
        <v>"[PROJECT] " &amp; I9 &amp; " | " &amp;</v>
      </c>
      <c r="F49" s="32" t="s">
        <v>228</v>
      </c>
    </row>
    <row r="50" spans="2:6">
      <c r="B50" s="54" t="s">
        <v>226</v>
      </c>
      <c r="C50" s="54" t="s">
        <v>261</v>
      </c>
      <c r="D50" s="92" t="s">
        <v>262</v>
      </c>
      <c r="E50" s="77" t="str">
        <f t="shared" si="1"/>
        <v>"[TOPICS USED] " &amp; B9 &amp; " | " &amp;</v>
      </c>
      <c r="F50" s="32" t="s">
        <v>228</v>
      </c>
    </row>
    <row r="51" spans="2:6">
      <c r="B51" s="54" t="s">
        <v>226</v>
      </c>
      <c r="C51" s="54" t="s">
        <v>169</v>
      </c>
      <c r="D51" s="92" t="s">
        <v>170</v>
      </c>
      <c r="E51" s="77" t="str">
        <f t="shared" si="1"/>
        <v>"[LEVEL] " &amp; G9 &amp; " | " &amp;</v>
      </c>
      <c r="F51" s="32" t="s">
        <v>228</v>
      </c>
    </row>
    <row r="52" spans="2:6">
      <c r="B52" s="54" t="s">
        <v>226</v>
      </c>
      <c r="C52" s="54" t="s">
        <v>234</v>
      </c>
      <c r="D52" s="92" t="s">
        <v>276</v>
      </c>
      <c r="E52" s="77" t="str">
        <f t="shared" si="1"/>
        <v>"[LIBRARY BEING LEARNED] " &amp; $I$3 &amp; " | " &amp;</v>
      </c>
      <c r="F52" s="32" t="s">
        <v>228</v>
      </c>
    </row>
    <row r="53" spans="2:6">
      <c r="B53" s="75" t="s">
        <v>226</v>
      </c>
      <c r="C53" s="54" t="s">
        <v>229</v>
      </c>
      <c r="D53" s="92" t="str">
        <f>"If a module or ecosystem like "&amp; Variables!E6 &amp;" is specified in "&amp; Variables!E7 &amp;", you are CRITICALLY FORBIDDEN from using "&amp; Variables!E8 &amp;". You MUST enforce the "&amp; Variables!E9 &amp;" and data structures of that specific library."</f>
        <v>If a module or ecosystem like GenServer, Supervisor, Registry, or DynamicSupervisor is specified in , you are CRITICALLY FORBIDDEN from using manual process linking (spawn/1, spawn_link/1) outside standard OTP behaviors. You MUST enforce the concurrent asynchronous processes and proper Supervisor tree state isolation and data structures of that specific library.</v>
      </c>
      <c r="E53" s="77"/>
      <c r="F53" s="32"/>
    </row>
    <row r="54" spans="2:6">
      <c r="B54" s="54" t="s">
        <v>226</v>
      </c>
      <c r="C54" s="54" t="s">
        <v>175</v>
      </c>
      <c r="D54" s="92" t="s">
        <v>263</v>
      </c>
      <c r="E54" s="77" t="str">
        <f t="shared" ref="E54:E76" si="2">IF(D54="","",""""&amp;C54&amp;" "&amp;IF(C54="[FOOTER RULE - STRICT]",D54,IF(RIGHT(D54,6)=" | "&amp;CHAR(34)&amp;" &amp;",D54,D54&amp;" | "&amp;CHAR(34)&amp;" &amp;")))</f>
        <v>"[LANGUAGE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54" s="32" t="s">
        <v>228</v>
      </c>
    </row>
    <row r="55" spans="2:6">
      <c r="B55" s="54" t="s">
        <v>226</v>
      </c>
      <c r="C55" s="54" t="s">
        <v>508</v>
      </c>
      <c r="D55" s="92" t="s">
        <v>500</v>
      </c>
      <c r="E55" s="77" t="str">
        <f t="shared" si="2"/>
        <v>"[LANGUAGE SEED CONTEXT] " &amp; IF($AE$7 = "", "Language Seed Not Necessary", "You MUST strictly follow this seed context to enhance, adapt, and naturalize your tone, vocabulary, and instructional quality in " &amp; $B$6 &amp; ": " &amp; $AE$7) &amp; " | " &amp;</v>
      </c>
      <c r="F55" s="32" t="s">
        <v>228</v>
      </c>
    </row>
    <row r="56" spans="2:6">
      <c r="B56" s="54" t="s">
        <v>226</v>
      </c>
      <c r="C56" s="54" t="s">
        <v>219</v>
      </c>
      <c r="D56" s="92" t="s">
        <v>605</v>
      </c>
      <c r="E56" s="77" t="str">
        <f t="shared" si="2"/>
        <v>"[HEADER RULE - STRICT] You MUST start your entire response EXACTLY with this markdown block (do not print anything before it):" &amp; CHAR(10) &amp; "### 🚀 Project #" &amp; F9 &amp; " | Stage 3 | " &amp; IF($I$3="", $I$2, $I$2&amp; " - " &amp;$I$3) &amp; " | 📊 Level: " &amp; G9 &amp; " | 🌐 Coding5s.com" &amp; CHAR(10) &amp; "**Project:** " &amp; J9 &amp; CHAR(10) &amp; "---" &amp; CHAR(10) &amp; " | " &amp;</v>
      </c>
      <c r="F56" s="32" t="s">
        <v>228</v>
      </c>
    </row>
    <row r="57" spans="2:6">
      <c r="B57" s="54" t="s">
        <v>227</v>
      </c>
      <c r="C57" s="54" t="s">
        <v>684</v>
      </c>
      <c r="D57" s="92" t="str">
        <f>Variables!E51 &amp; " | " &amp; CHAR(34) &amp; " &amp;"</f>
        <v>Require standard mix.exs tooling for dependencies. Do NOT use Mix.install/2. | " &amp;</v>
      </c>
      <c r="E57" s="77" t="str">
        <f t="shared" si="2"/>
        <v>"[EXTERNAL_PACKAGE_PROTOCOL] Require standard mix.exs tooling for dependencies. Do NOT use Mix.install/2. | " &amp;</v>
      </c>
      <c r="F57" s="32" t="s">
        <v>228</v>
      </c>
    </row>
    <row r="58" spans="2:6">
      <c r="B58" s="54" t="s">
        <v>227</v>
      </c>
      <c r="C58" s="54" t="s">
        <v>686</v>
      </c>
      <c r="D58" s="92" t="str">
        <f>Variables!E52 &amp; " " &amp; CHAR(34) &amp; " &amp; IF(G9=" &amp; CHAR(34) &amp; "Beginner" &amp; CHAR(34) &amp; "," &amp; CHAR(34) &amp; "25–40" &amp; CHAR(34) &amp; ", IF(G9=" &amp; CHAR(34) &amp; "Intermediate" &amp; CHAR(34) &amp; "," &amp; CHAR(34) &amp; "30–60" &amp; CHAR(34) &amp; "," &amp; CHAR(34) &amp; "40–100" &amp; CHAR(34) &amp; ")) &amp; " &amp; CHAR(34) &amp; " " &amp; Variables!E53 &amp; " | " &amp; CHAR(34) &amp; " &amp;"</f>
        <v>MUST be between " &amp; IF(G9="Beginner","25–40", IF(G9="Intermediate","30–60","40–100")) &amp; " lines of EXECUTABLE base OTP code (STRICT: Do NOT count comments or TODOs). Must feature inter-process communication or supervision tree flows. | " &amp;</v>
      </c>
      <c r="E58" s="77" t="str">
        <f t="shared" si="2"/>
        <v>"[CHALLENGE_CONSTRAINTS_POLICY] MUST be between " &amp; IF(G9="Beginner","25–40", IF(G9="Intermediate","30–60","40–100")) &amp; " lines of EXECUTABLE base OTP code (STRICT: Do NOT count comments or TODOs). Must feature inter-process communication or supervision tree flows. | " &amp;</v>
      </c>
      <c r="F58" s="32" t="s">
        <v>228</v>
      </c>
    </row>
    <row r="59" spans="2:6">
      <c r="B59" s="54" t="s">
        <v>281</v>
      </c>
      <c r="C59" s="54" t="s">
        <v>211</v>
      </c>
      <c r="D59" s="92" t="s">
        <v>291</v>
      </c>
      <c r="E59" s="77" t="str">
        <f t="shared" si="2"/>
        <v>"[FORMAT RULE] Only valid markdown code blocks allowed | " &amp;</v>
      </c>
      <c r="F59" s="32" t="s">
        <v>228</v>
      </c>
    </row>
    <row r="60" spans="2:6">
      <c r="B60" s="54" t="s">
        <v>281</v>
      </c>
      <c r="C60" s="54" t="s">
        <v>213</v>
      </c>
      <c r="D60" s="92" t="s">
        <v>292</v>
      </c>
      <c r="E60" s="77" t="str">
        <f t="shared" si="2"/>
        <v>"[LANGUAGE TAG RULE] ALWAYS label markdown code blocks with the correct underlying programming language (e.g., python, javascript, sql) | " &amp;</v>
      </c>
      <c r="F60" s="32" t="s">
        <v>228</v>
      </c>
    </row>
    <row r="61" spans="2:6">
      <c r="B61" s="54" t="s">
        <v>281</v>
      </c>
      <c r="C61" s="54" t="s">
        <v>355</v>
      </c>
      <c r="D61" s="92" t="s">
        <v>383</v>
      </c>
      <c r="E61" s="77" t="str">
        <f t="shared" si="2"/>
        <v>"[DATA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v>
      </c>
      <c r="F61" s="32" t="s">
        <v>228</v>
      </c>
    </row>
    <row r="62" spans="2:6">
      <c r="B62" s="54" t="s">
        <v>281</v>
      </c>
      <c r="C62" s="54" t="s">
        <v>191</v>
      </c>
      <c r="D62" s="92" t="s">
        <v>384</v>
      </c>
      <c r="E62" s="77" t="str">
        <f t="shared" si="2"/>
        <v>"[INTRO RULE] Intro MUST be a dynamically generated email in " &amp; $B$6 &amp; " with this EXACT format translated to " &amp; $B$6 &amp; ": 'From: [Generate NEW random full name] - Tech Lead' / 'To: [Insert my user name if known, else Junior] - " &amp; $I$2 &amp; " Developer' / 'Subject: [Project Subject]'. Body MUST be unique. Vibe: 'Hola, tengo la arquitectura lista, implementa la lógica en los # TODO. Revisa el expected output. Saludos.' | " &amp;</v>
      </c>
      <c r="F62" s="32" t="s">
        <v>228</v>
      </c>
    </row>
    <row r="63" spans="2:6">
      <c r="B63" s="54" t="s">
        <v>281</v>
      </c>
      <c r="C63" s="54" t="s">
        <v>180</v>
      </c>
      <c r="D63" s="92" t="s">
        <v>385</v>
      </c>
      <c r="E63" s="77" t="str">
        <f t="shared" si="2"/>
        <v>"[OUTPUT CONTRACT] EXACTLY 1 project. Structure MUST be: Tech Lead Intro Message, Project: Objective (max 6 lines), Expected Output (code block), Incomplete Code | " &amp;</v>
      </c>
      <c r="F63" s="32" t="s">
        <v>228</v>
      </c>
    </row>
    <row r="64" spans="2:6">
      <c r="B64" s="54" t="s">
        <v>281</v>
      </c>
      <c r="C64" s="54" t="s">
        <v>386</v>
      </c>
      <c r="D64" s="92" t="s">
        <v>387</v>
      </c>
      <c r="E64" s="77" t="str">
        <f t="shared" si="2"/>
        <v>"[OUTPUT TRUNCATION RULE] If output is large, show only first 5 lines. Do NOT use ellipsis (...) | " &amp;</v>
      </c>
      <c r="F64" s="32" t="s">
        <v>228</v>
      </c>
    </row>
    <row r="65" spans="2:6">
      <c r="B65" s="54" t="s">
        <v>281</v>
      </c>
      <c r="C65" s="54" t="s">
        <v>361</v>
      </c>
      <c r="D65" s="92" t="s">
        <v>388</v>
      </c>
      <c r="E65" s="77" t="str">
        <f t="shared" si="2"/>
        <v>"[OUTPUT EXECUTION RULE - STRICT] Expected output MUST be explicit, complete, and produced via final print(). | " &amp;</v>
      </c>
      <c r="F65" s="32" t="s">
        <v>228</v>
      </c>
    </row>
    <row r="66" spans="2:6">
      <c r="B66" s="54" t="s">
        <v>281</v>
      </c>
      <c r="C66" s="54" t="s">
        <v>363</v>
      </c>
      <c r="D66" s="92" t="s">
        <v>389</v>
      </c>
      <c r="E66" s="77" t="str">
        <f t="shared" si="2"/>
        <v>"[BASE CODE INTEGRITY RULE - STRICT] Code outside the TODO block MUST be 100% valid, logically correct, and run without errors. Do NOT use 'pass', '...', or empty placeholders outside the TODO. | " &amp;</v>
      </c>
      <c r="F66" s="32" t="s">
        <v>228</v>
      </c>
    </row>
    <row r="67" spans="2:6">
      <c r="B67" s="54" t="s">
        <v>281</v>
      </c>
      <c r="C67" s="54" t="s">
        <v>390</v>
      </c>
      <c r="D67" s="92" t="s">
        <v>391</v>
      </c>
      <c r="E67" s="77" t="str">
        <f t="shared" si="2"/>
        <v>"[TODO REALISM RULE] TODO must represent realistic integration bugs. Describe what is incorrect/incomplete. | " &amp;</v>
      </c>
      <c r="F67" s="32" t="s">
        <v>228</v>
      </c>
    </row>
    <row r="68" spans="2:6">
      <c r="B68" s="54" t="s">
        <v>281</v>
      </c>
      <c r="C68" s="54" t="s">
        <v>371</v>
      </c>
      <c r="D68" s="92" t="s">
        <v>392</v>
      </c>
      <c r="E68" s="77" t="str">
        <f t="shared" si="2"/>
        <v>"[TODO ISOLATION RULE - STRICT] ALL missing, incorrect, or output-affecting logic MUST exist ONLY inside the TODO block. Replace ONLY integration logic. | " &amp;</v>
      </c>
      <c r="F68" s="32" t="s">
        <v>228</v>
      </c>
    </row>
    <row r="69" spans="2:6">
      <c r="B69" s="54" t="s">
        <v>281</v>
      </c>
      <c r="C69" s="54" t="s">
        <v>316</v>
      </c>
      <c r="D69" s="92" t="s">
        <v>373</v>
      </c>
      <c r="E69" s="77" t="str">
        <f t="shared" si="2"/>
        <v>"[NO SOLUTION RULE - STRICT] The code under the # TODO MUST be left empty or with a 'pass'. DO NOT write the actual solution. | " &amp;</v>
      </c>
      <c r="F69" s="32" t="s">
        <v>228</v>
      </c>
    </row>
    <row r="70" spans="2:6">
      <c r="B70" s="54" t="s">
        <v>281</v>
      </c>
      <c r="C70" s="54" t="s">
        <v>220</v>
      </c>
      <c r="D70" s="92" t="s">
        <v>393</v>
      </c>
      <c r="E70" s="77" t="str">
        <f t="shared" si="2"/>
        <v>"[OUTPUT] Only header, dataset summary or statement (if any), intro message, objective, expected output, incomplete code, and footer | " &amp;</v>
      </c>
      <c r="F70" s="32" t="s">
        <v>228</v>
      </c>
    </row>
    <row r="71" spans="2:6">
      <c r="B71" s="54" t="s">
        <v>281</v>
      </c>
      <c r="C71" s="54" t="s">
        <v>224</v>
      </c>
      <c r="D71" s="92" t="s">
        <v>394</v>
      </c>
      <c r="E71" s="77" t="str">
        <f t="shared" si="2"/>
        <v>"[FOOTER RULE - STRICT] End your entire response EXACTLY with this markdown string (ensure all code blocks are closed before it):" &amp; CHAR(10) &amp; "---" &amp; CHAR(10) &amp; "⚡ *Coding5s System - Learn Programming by Writing Code - Coding5S.com*")</v>
      </c>
      <c r="F71" s="32" t="s">
        <v>228</v>
      </c>
    </row>
    <row r="72" spans="2:6">
      <c r="B72" s="54"/>
      <c r="C72" s="54"/>
      <c r="D72" s="92"/>
      <c r="E72" s="77" t="str">
        <f t="shared" si="2"/>
        <v/>
      </c>
      <c r="F72" s="32" t="s">
        <v>228</v>
      </c>
    </row>
    <row r="73" spans="2:6">
      <c r="B73" s="54"/>
      <c r="C73" s="54"/>
      <c r="D73" s="92"/>
      <c r="E73" s="77" t="str">
        <f t="shared" si="2"/>
        <v/>
      </c>
      <c r="F73" s="32" t="s">
        <v>228</v>
      </c>
    </row>
    <row r="74" spans="2:6">
      <c r="B74" s="54"/>
      <c r="C74" s="54"/>
      <c r="D74" s="92"/>
      <c r="E74" s="77" t="str">
        <f t="shared" si="2"/>
        <v/>
      </c>
      <c r="F74" s="32" t="s">
        <v>228</v>
      </c>
    </row>
    <row r="75" spans="2:6">
      <c r="B75" s="54"/>
      <c r="C75" s="54"/>
      <c r="D75" s="92"/>
      <c r="E75" s="77" t="str">
        <f t="shared" si="2"/>
        <v/>
      </c>
      <c r="F75" s="32" t="s">
        <v>228</v>
      </c>
    </row>
    <row r="76" spans="2:6">
      <c r="B76" s="54"/>
      <c r="C76" s="54"/>
      <c r="D76" s="92"/>
      <c r="E76" s="77" t="str">
        <f t="shared" si="2"/>
        <v/>
      </c>
      <c r="F76" s="32" t="s">
        <v>228</v>
      </c>
    </row>
    <row r="77" spans="2:6">
      <c r="E77" s="86"/>
      <c r="F77" t="s">
        <v>228</v>
      </c>
    </row>
    <row r="79" spans="2:6" ht="36">
      <c r="B79" s="80" t="s">
        <v>457</v>
      </c>
    </row>
    <row r="80" spans="2:6">
      <c r="B80" s="76" t="s">
        <v>225</v>
      </c>
      <c r="C80" s="76" t="s">
        <v>596</v>
      </c>
      <c r="D80" s="76" t="s">
        <v>597</v>
      </c>
      <c r="E80" s="89" t="s">
        <v>241</v>
      </c>
      <c r="F80" s="54" t="s">
        <v>228</v>
      </c>
    </row>
    <row r="81" spans="2:6">
      <c r="B81" s="54" t="s">
        <v>226</v>
      </c>
      <c r="C81" s="54" t="s">
        <v>396</v>
      </c>
      <c r="D81" s="92" t="s">
        <v>397</v>
      </c>
      <c r="E81" s="17" t="str">
        <f t="shared" ref="E81:E95" si="3">IF(D81="","",""""&amp;C81&amp;" "&amp;IF(OR(C81="[FOOTER RULE - STRICT]",C81="[FOOTER RULE]"),D81,IF(RIGHT(D81,6)=" | "&amp;CHAR(34)&amp;" &amp;",D81,D81&amp;" | "&amp;CHAR(34)&amp;" &amp;")))</f>
        <v>"[MENTOR_S3_BUILDER] Act as 'The Logical Scaffold' (El Maestro de Obra) - a World-Class Elite Technical Mentor for Stage 3 Code Completion specializing in " &amp; $I$2 &amp; ".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 &amp;</v>
      </c>
      <c r="F81" s="54" t="s">
        <v>228</v>
      </c>
    </row>
    <row r="82" spans="2:6">
      <c r="B82" s="54" t="s">
        <v>226</v>
      </c>
      <c r="C82" s="54" t="s">
        <v>243</v>
      </c>
      <c r="D82" s="92" t="s">
        <v>398</v>
      </c>
      <c r="E82" s="17" t="str">
        <f t="shared" si="3"/>
        <v>"[CULTURAL &amp; JARGON RULE] If the language (" &amp; $B$6 &amp; ")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 &amp;</v>
      </c>
      <c r="F82" s="54" t="s">
        <v>228</v>
      </c>
    </row>
    <row r="83" spans="2:6">
      <c r="B83" s="54" t="s">
        <v>226</v>
      </c>
      <c r="C83" s="54" t="s">
        <v>244</v>
      </c>
      <c r="D83" s="92" t="s">
        <v>399</v>
      </c>
      <c r="E83" s="17" t="str">
        <f t="shared" si="3"/>
        <v>"[CONTEXT] You are helping a Junior Developer complete a " &amp; IF(UPPER(H9)="PROJECT", "PROJECT: " &amp; I9 &amp; ". Topics involved: " &amp; B9 &amp; ". Project objective: " &amp; J9, "TOPIC: " &amp; I9 &amp; ". Topic details: " &amp; J9) &amp; " | " &amp;</v>
      </c>
      <c r="F83" s="54" t="s">
        <v>228</v>
      </c>
    </row>
    <row r="84" spans="2:6">
      <c r="B84" s="54" t="s">
        <v>226</v>
      </c>
      <c r="C84" s="54" t="s">
        <v>165</v>
      </c>
      <c r="D84" s="92" t="s">
        <v>400</v>
      </c>
      <c r="E84" s="17" t="str">
        <f t="shared" si="3"/>
        <v>"[TASK] Analyze the student's code and explanation. If they completed the data flow perfectly, celebrate the 'solid foundation' and offer a 'System Extension' challenge. Otherwise, follow the 2-PHASE MENTORING PROTOCOL | " &amp;</v>
      </c>
      <c r="F84" s="54" t="s">
        <v>228</v>
      </c>
    </row>
    <row r="85" spans="2:6">
      <c r="B85" s="54" t="s">
        <v>226</v>
      </c>
      <c r="C85" s="54" t="s">
        <v>234</v>
      </c>
      <c r="D85" s="92" t="s">
        <v>276</v>
      </c>
      <c r="E85" s="17" t="str">
        <f t="shared" si="3"/>
        <v>"[LIBRARY BEING LEARNED] " &amp; $I$3 &amp; " | " &amp;</v>
      </c>
      <c r="F85" s="54" t="s">
        <v>228</v>
      </c>
    </row>
    <row r="86" spans="2:6">
      <c r="B86" s="54" t="s">
        <v>226</v>
      </c>
      <c r="C86" s="54" t="s">
        <v>175</v>
      </c>
      <c r="D86" s="92" t="s">
        <v>263</v>
      </c>
      <c r="E86" s="17" t="str">
        <f t="shared" si="3"/>
        <v>"[LANGUAGE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86" s="54" t="s">
        <v>228</v>
      </c>
    </row>
    <row r="87" spans="2:6">
      <c r="B87" s="54" t="s">
        <v>226</v>
      </c>
      <c r="C87" s="54" t="s">
        <v>508</v>
      </c>
      <c r="D87" s="92" t="s">
        <v>500</v>
      </c>
      <c r="E87" s="17" t="str">
        <f t="shared" si="3"/>
        <v>"[LANGUAGE SEED CONTEXT] " &amp; IF($AE$7 = "", "Language Seed Not Necessary", "You MUST strictly follow this seed context to enhance, adapt, and naturalize your tone, vocabulary, and instructional quality in " &amp; $B$6 &amp; ": " &amp; $AE$7) &amp; " | " &amp;</v>
      </c>
      <c r="F87" s="54" t="s">
        <v>228</v>
      </c>
    </row>
    <row r="88" spans="2:6">
      <c r="B88" s="54" t="s">
        <v>226</v>
      </c>
      <c r="C88" s="54" t="s">
        <v>219</v>
      </c>
      <c r="D88" s="92" t="s">
        <v>606</v>
      </c>
      <c r="E88" s="17" t="str">
        <f t="shared" si="3"/>
        <v>"[HEADER RULE - STRICT] You MUST start your entire response exactly with the following RAW markdown block (do NOT strip the '#' characters):" &amp; CHAR(10) &amp; "### 🧩 Elite Mentor Stage 3 | " &amp; IF(UPPER(H9)="PROJECT", "Project #", "Topic #") &amp; F9 &amp; " | Complete | " &amp; IF($I$3="", $I$2, $I$2&amp; " - " &amp;$I$3) &amp; " | 📊 Level: " &amp; G9 &amp; CHAR(10) &amp; "**" &amp; IF(UPPER(H9)="PROJECT", "Project", "Topic") &amp; ":** " &amp; I9 &amp; CHAR(10) &amp; "---" &amp; CHAR(10) &amp; " | " &amp;</v>
      </c>
      <c r="F88" s="54" t="s">
        <v>228</v>
      </c>
    </row>
    <row r="89" spans="2:6">
      <c r="B89" s="54" t="s">
        <v>227</v>
      </c>
      <c r="C89" s="54" t="s">
        <v>236</v>
      </c>
      <c r="D89" s="92"/>
      <c r="E89" s="17" t="str">
        <f t="shared" si="3"/>
        <v/>
      </c>
      <c r="F89" s="54" t="s">
        <v>228</v>
      </c>
    </row>
    <row r="90" spans="2:6">
      <c r="B90" s="54" t="s">
        <v>227</v>
      </c>
      <c r="C90" s="54" t="s">
        <v>250</v>
      </c>
      <c r="D90" s="92" t="str">
        <f>Variables!E54 &amp; " " &amp; Variables!E55 &amp; " " &amp; Variables!E56 &amp; " " &amp; Variables!E57 &amp; " | " &amp; CHAR(34) &amp; " &amp;"</f>
        <v>Code MUST perfectly model idiomatic OTP architectural paradigms utilizing standard Mix ecosystem tools. Use descriptive snake_case for variables/functions, PascalCase for modules. Enforce pattern matching on strict OTP return tuples (e.g., {:reply, response, state}) and maintain flawless process isolation. Reject manual thread spawns, blocking OTP callbacks, and unprotected state modification. Use function heads for default arguments on multi-clause definitions. | " &amp;</v>
      </c>
      <c r="E90" s="17" t="str">
        <f t="shared" si="3"/>
        <v>"[PYTHON QUALITY RULE - STRICT] Code MUST perfectly model idiomatic OTP architectural paradigms utilizing standard Mix ecosystem tools. Use descriptive snake_case for variables/functions, PascalCase for modules. Enforce pattern matching on strict OTP return tuples (e.g., {:reply, response, state}) and maintain flawless process isolation. Reject manual thread spawns, blocking OTP callbacks, and unprotected state modification. Use function heads for default arguments on multi-clause definitions. | " &amp;</v>
      </c>
      <c r="F90" s="54" t="s">
        <v>228</v>
      </c>
    </row>
    <row r="91" spans="2:6">
      <c r="B91" s="54" t="s">
        <v>281</v>
      </c>
      <c r="C91" s="54" t="s">
        <v>245</v>
      </c>
      <c r="D91" s="92" t="s">
        <v>401</v>
      </c>
      <c r="E91" s="17" t="str">
        <f t="shared" si="3"/>
        <v>"[EMPTY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 &amp;</v>
      </c>
      <c r="F91" s="54" t="s">
        <v>228</v>
      </c>
    </row>
    <row r="92" spans="2:6">
      <c r="B92" s="54" t="s">
        <v>281</v>
      </c>
      <c r="C92" s="54" t="s">
        <v>247</v>
      </c>
      <c r="D92" s="92" t="s">
        <v>402</v>
      </c>
      <c r="E92" s="17" t="str">
        <f t="shared" si="3"/>
        <v>"[PHASE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 &amp;</v>
      </c>
      <c r="F92" s="54" t="s">
        <v>228</v>
      </c>
    </row>
    <row r="93" spans="2:6">
      <c r="B93" s="54" t="s">
        <v>281</v>
      </c>
      <c r="C93" s="54" t="s">
        <v>248</v>
      </c>
      <c r="D93" s="92" t="s">
        <v>403</v>
      </c>
      <c r="E93" s="17" t="str">
        <f t="shared" si="3"/>
        <v>"[EXPLANATION GATE &amp; SCROLL BARRIER] After Phase 1, you MUST insert exactly this visual separator:" &amp; CHAR(10) &amp; "------------------------------------------------------------" &amp; CHAR(10) &amp; "🛑 THE EXPLANATION GATE 🛑" &amp; CHAR(10) &amp; "Before scrolling down to see the Master Code, articulate HOW the data transforms from State B to State C. Copy-pasting without understanding the flow builds Epistemic Debt." &amp; CHAR(10) &amp; "------------------------------------------------------------ | | " &amp;</v>
      </c>
      <c r="F93" s="54" t="s">
        <v>228</v>
      </c>
    </row>
    <row r="94" spans="2:6">
      <c r="B94" s="54" t="s">
        <v>281</v>
      </c>
      <c r="C94" s="54" t="s">
        <v>251</v>
      </c>
      <c r="D94" s="92" t="s">
        <v>404</v>
      </c>
      <c r="E94" s="17" t="str">
        <f t="shared" si="3"/>
        <v>"[PHASE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 &amp;</v>
      </c>
      <c r="F94" s="54" t="s">
        <v>228</v>
      </c>
    </row>
    <row r="95" spans="2:6">
      <c r="B95" s="54" t="s">
        <v>281</v>
      </c>
      <c r="C95" s="54" t="s">
        <v>343</v>
      </c>
      <c r="D95" s="92" t="s">
        <v>405</v>
      </c>
      <c r="E95" s="17" t="str">
        <f t="shared" si="3"/>
        <v>"[FOOTER RULE] End your response with: '--- ⚡ *Coding5s Mentor System — Eliminating Epistemic Debt &amp; Connecting the Flow*',</v>
      </c>
      <c r="F95" s="54" t="s">
        <v>228</v>
      </c>
    </row>
    <row r="96" spans="2:6">
      <c r="B96" s="54"/>
      <c r="C96" s="54"/>
      <c r="D96" s="54"/>
      <c r="E96" s="89" t="s">
        <v>350</v>
      </c>
      <c r="F96" s="54" t="s">
        <v>228</v>
      </c>
    </row>
    <row r="97" spans="2:6">
      <c r="B97" s="54"/>
      <c r="C97" s="54"/>
      <c r="D97" s="54"/>
      <c r="E97" s="77" t="str">
        <f t="shared" ref="E97:E100" si="4">IF(D97="","",""""&amp;C97&amp;" "&amp;IF(C97="[FOOTER RULE - STRICT]",D97,IF(RIGHT(D97,6)=" | "&amp;CHAR(34)&amp;" &amp;",D97,D97&amp;" | "&amp;CHAR(34)&amp;" &amp;")))</f>
        <v/>
      </c>
      <c r="F97" s="54" t="s">
        <v>228</v>
      </c>
    </row>
    <row r="98" spans="2:6">
      <c r="B98" s="54"/>
      <c r="C98" s="54"/>
      <c r="D98" s="54"/>
      <c r="E98" s="77" t="str">
        <f t="shared" si="4"/>
        <v/>
      </c>
      <c r="F98" s="54" t="s">
        <v>228</v>
      </c>
    </row>
    <row r="99" spans="2:6">
      <c r="B99" s="54"/>
      <c r="C99" s="54"/>
      <c r="D99" s="54"/>
      <c r="E99" s="77" t="str">
        <f t="shared" si="4"/>
        <v/>
      </c>
      <c r="F99" s="54" t="s">
        <v>228</v>
      </c>
    </row>
    <row r="100" spans="2:6">
      <c r="B100" s="54"/>
      <c r="C100" s="54"/>
      <c r="D100" s="54"/>
      <c r="E100" s="77" t="str">
        <f t="shared" si="4"/>
        <v/>
      </c>
      <c r="F100" s="54" t="s">
        <v>228</v>
      </c>
    </row>
  </sheetData>
  <conditionalFormatting sqref="B1:B1048576">
    <cfRule type="cellIs" dxfId="32" priority="10" operator="equal">
      <formula>"The Immutable Kernel"</formula>
    </cfRule>
    <cfRule type="cellIs" dxfId="31" priority="11" operator="equal">
      <formula>"Paradigm &amp; Ecosystem"</formula>
    </cfRule>
    <cfRule type="cellIs" dxfId="30" priority="12" operator="equal">
      <formula>"Global Variables &amp; Configuration"</formula>
    </cfRule>
  </conditionalFormatting>
  <conditionalFormatting sqref="C4:C42 C47:C76">
    <cfRule type="expression" dxfId="29" priority="7">
      <formula>$B4="The Immutable Kernel"</formula>
    </cfRule>
    <cfRule type="expression" dxfId="28" priority="8">
      <formula>$B4="Paradigm &amp; Ecosystem"</formula>
    </cfRule>
    <cfRule type="expression" dxfId="27" priority="9">
      <formula>$B4="Global Variables &amp; Configuration"</formula>
    </cfRule>
  </conditionalFormatting>
  <conditionalFormatting sqref="C81:C100">
    <cfRule type="expression" dxfId="26" priority="1">
      <formula>$B81="The Immutable Kernel"</formula>
    </cfRule>
    <cfRule type="expression" dxfId="25" priority="2">
      <formula>$B81="Paradigm &amp; Ecosystem"</formula>
    </cfRule>
    <cfRule type="expression" dxfId="24" priority="3">
      <formula>$B81="Global Variables &amp; Configuration"</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E2F814-CC28-465C-954B-342AA4B9A726}">
  <sheetPr>
    <tabColor theme="9" tint="0.79998168889431442"/>
  </sheetPr>
  <dimension ref="B2:AC100"/>
  <sheetViews>
    <sheetView showGridLines="0" zoomScaleNormal="100" workbookViewId="0">
      <selection activeCell="A7" sqref="A7"/>
    </sheetView>
  </sheetViews>
  <sheetFormatPr defaultRowHeight="15"/>
  <cols>
    <col min="1" max="1" width="5.42578125" customWidth="1"/>
    <col min="2" max="2" width="36.85546875" customWidth="1"/>
    <col min="3" max="3" width="33" customWidth="1"/>
    <col min="4" max="4" width="85.28515625" customWidth="1"/>
    <col min="5" max="5" width="39.5703125" style="85" customWidth="1"/>
    <col min="6" max="6" width="4" customWidth="1"/>
  </cols>
  <sheetData>
    <row r="2" spans="2:29" ht="36">
      <c r="B2" s="78" t="s">
        <v>456</v>
      </c>
      <c r="D2" s="81" t="s">
        <v>428</v>
      </c>
      <c r="H2" s="82"/>
      <c r="T2" s="82"/>
    </row>
    <row r="3" spans="2:29">
      <c r="B3" s="76" t="s">
        <v>225</v>
      </c>
      <c r="C3" s="76" t="s">
        <v>596</v>
      </c>
      <c r="D3" s="76" t="s">
        <v>597</v>
      </c>
      <c r="E3" s="88" t="s">
        <v>233</v>
      </c>
      <c r="F3" s="4" t="s">
        <v>228</v>
      </c>
      <c r="AC3" t="s">
        <v>228</v>
      </c>
    </row>
    <row r="4" spans="2:29">
      <c r="B4" s="75" t="s">
        <v>226</v>
      </c>
      <c r="C4" s="54" t="s">
        <v>163</v>
      </c>
      <c r="D4" s="90" t="s">
        <v>352</v>
      </c>
      <c r="E4" s="77" t="str">
        <f t="shared" ref="E4:E39" si="0">IF(D4="","",""""&amp;C4&amp;" "&amp;IF(C4="[FOOTER RULE - STRICT]",D4,IF(RIGHT(D4,6)=" | "&amp;CHAR(34)&amp;" &amp;",D4,D4&amp;" | "&amp;CHAR(34)&amp;" &amp;")))</f>
        <v>"[ROLE] Tech Lead | " &amp;</v>
      </c>
      <c r="F4" s="54" t="s">
        <v>228</v>
      </c>
    </row>
    <row r="5" spans="2:29">
      <c r="B5" s="75" t="s">
        <v>226</v>
      </c>
      <c r="C5" s="54" t="s">
        <v>165</v>
      </c>
      <c r="D5" s="90" t="s">
        <v>406</v>
      </c>
      <c r="E5" s="77" t="str">
        <f t="shared" si="0"/>
        <v>"[TASK] Provide intentionally messy but functional code for learning debugging and improvement | " &amp;</v>
      </c>
      <c r="F5" s="54" t="s">
        <v>228</v>
      </c>
    </row>
    <row r="6" spans="2:29">
      <c r="B6" s="75" t="s">
        <v>226</v>
      </c>
      <c r="C6" s="54" t="s">
        <v>167</v>
      </c>
      <c r="D6" s="90" t="s">
        <v>168</v>
      </c>
      <c r="E6" s="77" t="str">
        <f t="shared" si="0"/>
        <v>"[TOPIC] " &amp; I9 &amp; " | " &amp;</v>
      </c>
      <c r="F6" s="54" t="s">
        <v>228</v>
      </c>
    </row>
    <row r="7" spans="2:29">
      <c r="B7" s="75" t="s">
        <v>226</v>
      </c>
      <c r="C7" s="54" t="s">
        <v>169</v>
      </c>
      <c r="D7" s="90" t="s">
        <v>170</v>
      </c>
      <c r="E7" s="77" t="str">
        <f t="shared" si="0"/>
        <v>"[LEVEL] " &amp; G9 &amp; " | " &amp;</v>
      </c>
      <c r="F7" s="54" t="s">
        <v>228</v>
      </c>
    </row>
    <row r="8" spans="2:29">
      <c r="B8" s="75" t="s">
        <v>226</v>
      </c>
      <c r="C8" s="54" t="s">
        <v>171</v>
      </c>
      <c r="D8" s="90" t="s">
        <v>286</v>
      </c>
      <c r="E8" s="77" t="str">
        <f t="shared" si="0"/>
        <v>"[COUNT] " &amp; D9 &amp; " challenges | " &amp;</v>
      </c>
      <c r="F8" s="54" t="s">
        <v>228</v>
      </c>
    </row>
    <row r="9" spans="2:29">
      <c r="B9" s="75" t="s">
        <v>226</v>
      </c>
      <c r="C9" s="54" t="s">
        <v>234</v>
      </c>
      <c r="D9" s="90" t="s">
        <v>276</v>
      </c>
      <c r="E9" s="77" t="str">
        <f t="shared" si="0"/>
        <v>"[LIBRARY BEING LEARNED] " &amp; $I$3 &amp; " | " &amp;</v>
      </c>
      <c r="F9" s="54" t="s">
        <v>228</v>
      </c>
    </row>
    <row r="10" spans="2:29">
      <c r="B10" s="75" t="s">
        <v>226</v>
      </c>
      <c r="C10" s="54" t="s">
        <v>229</v>
      </c>
      <c r="D10" s="90" t="str">
        <f>"If a module or ecosystem like "&amp; Variables!E6 &amp;" is specified in "&amp; Variables!E7 &amp;", you are CRITICALLY FORBIDDEN from using "&amp; Variables!E8 &amp;". You MUST enforce the "&amp; Variables!E9 &amp;" and data structures of that specific library."</f>
        <v>If a module or ecosystem like GenServer, Supervisor, Registry, or DynamicSupervisor is specified in , you are CRITICALLY FORBIDDEN from using manual process linking (spawn/1, spawn_link/1) outside standard OTP behaviors. You MUST enforce the concurrent asynchronous processes and proper Supervisor tree state isolation and data structures of that specific library.</v>
      </c>
      <c r="E10" s="77" t="str">
        <f t="shared" si="0"/>
        <v>"[ECOSYSTEM ORIENTATION RULE] If a module or ecosystem like GenServer, Supervisor, Registry, or DynamicSupervisor is specified in , you are CRITICALLY FORBIDDEN from using manual process linking (spawn/1, spawn_link/1) outside standard OTP behaviors. You MUST enforce the concurrent asynchronous processes and proper Supervisor tree state isolation and data structures of that specific library. | " &amp;</v>
      </c>
      <c r="F10" s="54" t="s">
        <v>228</v>
      </c>
    </row>
    <row r="11" spans="2:29">
      <c r="B11" s="75" t="s">
        <v>226</v>
      </c>
      <c r="C11" s="54" t="s">
        <v>173</v>
      </c>
      <c r="D11" s="90" t="s">
        <v>407</v>
      </c>
      <c r="E11" s="77" t="str">
        <f t="shared" si="0"/>
        <v>"[PERSONA RULE] Act as a Tech Lead. A junior wrote this working but messy code. Tone: professional but exhausted by the code quality | " &amp;</v>
      </c>
      <c r="F11" s="54" t="s">
        <v>228</v>
      </c>
    </row>
    <row r="12" spans="2:29">
      <c r="B12" s="75" t="s">
        <v>226</v>
      </c>
      <c r="C12" s="54" t="s">
        <v>175</v>
      </c>
      <c r="D12" s="90" t="s">
        <v>408</v>
      </c>
      <c r="E12" s="77" t="str">
        <f t="shared" si="0"/>
        <v>"[LANGUAGE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v>
      </c>
      <c r="F12" s="54" t="s">
        <v>228</v>
      </c>
    </row>
    <row r="13" spans="2:29">
      <c r="B13" s="75" t="s">
        <v>226</v>
      </c>
      <c r="C13" s="54" t="s">
        <v>219</v>
      </c>
      <c r="D13" s="90" t="s">
        <v>607</v>
      </c>
      <c r="E13" s="77" t="str">
        <f t="shared" si="0"/>
        <v>"[HEADER RULE - STRICT] You MUST start your entire response EXACTLY with this markdown block (do not print anything before it):" &amp; CHAR(10) &amp; "### 🔹 Topic #" &amp; F9 &amp; " | Stage 4 🧹 Refactor | " &amp; IF($I$3="", $I$2, $I$2&amp; " - " &amp;$I$3) &amp; " | 📊 Level: " &amp; G9 &amp; " | 🌐 Coding5s.com" &amp; CHAR(10) &amp; "**Concept:** " &amp; J9 &amp; CHAR(10) &amp; "---" &amp; CHAR(10) &amp; " | " &amp;</v>
      </c>
      <c r="F13" s="54" t="s">
        <v>228</v>
      </c>
    </row>
    <row r="14" spans="2:29">
      <c r="B14" s="83" t="s">
        <v>226</v>
      </c>
      <c r="C14" s="54" t="s">
        <v>508</v>
      </c>
      <c r="D14" s="90" t="s">
        <v>500</v>
      </c>
      <c r="E14" s="77" t="str">
        <f t="shared" si="0"/>
        <v>"[LANGUAGE SEED CONTEXT] " &amp; IF($AE$7 = "", "Language Seed Not Necessary", "You MUST strictly follow this seed context to enhance, adapt, and naturalize your tone, vocabulary, and instructional quality in " &amp; $B$6 &amp; ": " &amp; $AE$7) &amp; " | " &amp;</v>
      </c>
      <c r="F14" s="54" t="s">
        <v>228</v>
      </c>
    </row>
    <row r="15" spans="2:29">
      <c r="B15" s="83" t="s">
        <v>227</v>
      </c>
      <c r="C15" s="54" t="s">
        <v>236</v>
      </c>
      <c r="D15" s="90"/>
      <c r="E15" s="77" t="str">
        <f t="shared" si="0"/>
        <v/>
      </c>
      <c r="F15" s="54" t="s">
        <v>228</v>
      </c>
    </row>
    <row r="16" spans="2:29">
      <c r="B16" s="83" t="s">
        <v>227</v>
      </c>
      <c r="C16" s="54" t="s">
        <v>236</v>
      </c>
      <c r="D16" s="90"/>
      <c r="E16" s="77" t="str">
        <f t="shared" si="0"/>
        <v/>
      </c>
      <c r="F16" s="54" t="s">
        <v>228</v>
      </c>
    </row>
    <row r="17" spans="2:6">
      <c r="B17" s="83" t="s">
        <v>227</v>
      </c>
      <c r="C17" s="54" t="s">
        <v>236</v>
      </c>
      <c r="D17" s="90"/>
      <c r="E17" s="77" t="str">
        <f t="shared" si="0"/>
        <v/>
      </c>
      <c r="F17" s="54" t="s">
        <v>228</v>
      </c>
    </row>
    <row r="18" spans="2:6">
      <c r="B18" s="54" t="s">
        <v>281</v>
      </c>
      <c r="C18" s="54" t="s">
        <v>184</v>
      </c>
      <c r="D18" s="90" t="s">
        <v>409</v>
      </c>
      <c r="E18" s="77" t="str">
        <f t="shared" si="0"/>
        <v>"[CODE QUALITY RULE] Code MUST be executable and correct BUT intentionally messy, inconsistent, or suboptimal | " &amp;</v>
      </c>
      <c r="F18" s="54" t="s">
        <v>228</v>
      </c>
    </row>
    <row r="19" spans="2:6">
      <c r="B19" s="54" t="s">
        <v>281</v>
      </c>
      <c r="C19" s="54" t="s">
        <v>410</v>
      </c>
      <c r="D19" s="90" t="s">
        <v>411</v>
      </c>
      <c r="E19" s="77" t="str">
        <f t="shared" si="0"/>
        <v>"[DIRTY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 &amp;</v>
      </c>
      <c r="F19" s="54" t="s">
        <v>228</v>
      </c>
    </row>
    <row r="20" spans="2:6">
      <c r="B20" s="54" t="s">
        <v>281</v>
      </c>
      <c r="C20" s="54" t="s">
        <v>412</v>
      </c>
      <c r="D20" s="90" t="s">
        <v>413</v>
      </c>
      <c r="E20" s="77" t="str">
        <f t="shared" si="0"/>
        <v>"[STYLE INCONSISTENCY RULE] Each challenge should feel like it was written at a different time with different formatting styles | " &amp;</v>
      </c>
      <c r="F20" s="54" t="s">
        <v>228</v>
      </c>
    </row>
    <row r="21" spans="2:6">
      <c r="B21" s="54" t="s">
        <v>281</v>
      </c>
      <c r="C21" s="54" t="s">
        <v>192</v>
      </c>
      <c r="D21" s="90" t="s">
        <v>696</v>
      </c>
      <c r="E21" s="77" t="str">
        <f t="shared" si="0"/>
        <v>"[FILE HANDLING RULE] Use correct loaders and enforce encoding='utf-8' and newline='' when applicable if the programming language supports it. | " &amp;</v>
      </c>
      <c r="F21" s="54" t="s">
        <v>228</v>
      </c>
    </row>
    <row r="22" spans="2:6">
      <c r="B22" s="54" t="s">
        <v>281</v>
      </c>
      <c r="C22" s="54" t="s">
        <v>193</v>
      </c>
      <c r="D22" s="90" t="s">
        <v>695</v>
      </c>
      <c r="E22" s="77" t="str">
        <f t="shared" si="0"/>
        <v>"[DATA TYPE RULE] Explicit casting required before calculations when the programming language requires it. | " &amp;</v>
      </c>
      <c r="F22" s="54" t="s">
        <v>228</v>
      </c>
    </row>
    <row r="23" spans="2:6">
      <c r="B23" s="54" t="s">
        <v>281</v>
      </c>
      <c r="C23" s="54" t="s">
        <v>194</v>
      </c>
      <c r="D23" s="90" t="s">
        <v>414</v>
      </c>
      <c r="E23" s="77" t="str">
        <f t="shared" si="0"/>
        <v>"[DATA ROBUSTNESS RULE] Handle missing, malformed, or inconsistent data safely | " &amp;</v>
      </c>
      <c r="F23" s="54" t="s">
        <v>228</v>
      </c>
    </row>
    <row r="24" spans="2:6">
      <c r="B24" s="54" t="s">
        <v>281</v>
      </c>
      <c r="C24" s="54" t="s">
        <v>195</v>
      </c>
      <c r="D24" s="90" t="s">
        <v>694</v>
      </c>
      <c r="E24" s="77" t="str">
        <f t="shared" si="0"/>
        <v>"[BOOLEAN HANDLING RULE] Normalize boolean values before comparison when the programming language requires it. | " &amp;</v>
      </c>
      <c r="F24" s="54" t="s">
        <v>228</v>
      </c>
    </row>
    <row r="25" spans="2:6">
      <c r="B25" s="54" t="s">
        <v>281</v>
      </c>
      <c r="C25" s="54" t="s">
        <v>196</v>
      </c>
      <c r="D25" s="90" t="s">
        <v>415</v>
      </c>
      <c r="E25" s="77" t="str">
        <f t="shared" si="0"/>
        <v>"[DATA CONSISTENCY RULE] Respect dataset schema | " &amp;</v>
      </c>
      <c r="F25" s="54" t="s">
        <v>228</v>
      </c>
    </row>
    <row r="26" spans="2:6">
      <c r="B26" s="54" t="s">
        <v>281</v>
      </c>
      <c r="C26" s="54" t="s">
        <v>211</v>
      </c>
      <c r="D26" s="90" t="s">
        <v>291</v>
      </c>
      <c r="E26" s="77" t="str">
        <f t="shared" si="0"/>
        <v>"[FORMAT RULE] Only valid markdown code blocks allowed | " &amp;</v>
      </c>
      <c r="F26" s="54" t="s">
        <v>228</v>
      </c>
    </row>
    <row r="27" spans="2:6">
      <c r="B27" s="54" t="s">
        <v>281</v>
      </c>
      <c r="C27" s="54" t="s">
        <v>213</v>
      </c>
      <c r="D27" s="90" t="s">
        <v>292</v>
      </c>
      <c r="E27" s="77" t="str">
        <f t="shared" si="0"/>
        <v>"[LANGUAGE TAG RULE] ALWAYS label markdown code blocks with the correct underlying programming language (e.g., python, javascript, sql) | " &amp;</v>
      </c>
      <c r="F27" s="54" t="s">
        <v>228</v>
      </c>
    </row>
    <row r="28" spans="2:6">
      <c r="B28" s="54" t="s">
        <v>281</v>
      </c>
      <c r="C28" s="54" t="s">
        <v>215</v>
      </c>
      <c r="D28" s="90" t="s">
        <v>416</v>
      </c>
      <c r="E28" s="77" t="str">
        <f t="shared" si="0"/>
        <v>"[OUTPUT FORMAT RULE] Monetary values formatted with '$', commas, 2 decimals | " &amp;</v>
      </c>
      <c r="F28" s="54" t="s">
        <v>228</v>
      </c>
    </row>
    <row r="29" spans="2:6">
      <c r="B29" s="54" t="s">
        <v>281</v>
      </c>
      <c r="C29" s="54" t="s">
        <v>220</v>
      </c>
      <c r="D29" s="90" t="s">
        <v>417</v>
      </c>
      <c r="E29" s="77" t="str">
        <f t="shared" si="0"/>
        <v>"[OUTPUT] Only header, dataset summary or statement (if any), intro, challenges, code, outputs, and footer | " &amp;</v>
      </c>
      <c r="F29" s="54" t="s">
        <v>228</v>
      </c>
    </row>
    <row r="30" spans="2:6">
      <c r="B30" s="54" t="s">
        <v>281</v>
      </c>
      <c r="C30" s="54" t="s">
        <v>177</v>
      </c>
      <c r="D30" s="90" t="s">
        <v>356</v>
      </c>
      <c r="E30" s="77" t="str">
        <f t="shared" si="0"/>
        <v>"[DATA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v>
      </c>
      <c r="F30" s="54" t="s">
        <v>228</v>
      </c>
    </row>
    <row r="31" spans="2:6">
      <c r="B31" s="54" t="s">
        <v>281</v>
      </c>
      <c r="C31" s="54" t="s">
        <v>178</v>
      </c>
      <c r="D31" s="90" t="s">
        <v>418</v>
      </c>
      <c r="E31" s="77" t="str">
        <f t="shared" si="0"/>
        <v>"[DATA SUMMARY FORMAT RULE] When a dataset is present, you MUST display IMMEDIATELY AFTER THE HEADER: Dataset Summary: - File Type: - Columns / Fields: - Data Types: - Notes: | " &amp;</v>
      </c>
      <c r="F31" s="54" t="s">
        <v>228</v>
      </c>
    </row>
    <row r="32" spans="2:6">
      <c r="B32" s="54" t="s">
        <v>281</v>
      </c>
      <c r="C32" s="54" t="s">
        <v>191</v>
      </c>
      <c r="D32" s="90" t="s">
        <v>419</v>
      </c>
      <c r="E32" s="77" t="str">
        <f t="shared" si="0"/>
        <v>"[INTRO RULE] The intro MUST be an email in " &amp; $B$6 &amp; " with this EXACT format translated to " &amp; $B$6 &amp; ": '📥 From: [Tech Lead Name]' / '📤 To: [Insert my user name if known, else " &amp; $I$2 &amp; " Dev]' / 'Subject: [Funny subject]'. Body vibe: 'Hola, el Junior mandó esto. Increíblemente funciona, pero mis ojos sangran. Por favor refactorízalo.'. IMMEDIATELY AFTER the email body, you MUST include this exact instruction block translated to " &amp; $B$6 &amp; ": '🚨 **Your objective in this lesson:** You must copy the code blocks from each Challenge exactly as they and paste them into your IDE, then refactor the code by rewriting it professionally until you achieve the exact Program Output when running the refactored program.' | " &amp;</v>
      </c>
      <c r="F32" s="54" t="s">
        <v>228</v>
      </c>
    </row>
    <row r="33" spans="2:6">
      <c r="B33" s="54" t="s">
        <v>281</v>
      </c>
      <c r="C33" s="54" t="s">
        <v>180</v>
      </c>
      <c r="D33" s="90" t="s">
        <v>420</v>
      </c>
      <c r="E33" s="77" t="str">
        <f t="shared" si="0"/>
        <v>"[OUTPUT CONTRACT] EXACTLY " &amp; D9 &amp; "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 &amp;</v>
      </c>
      <c r="F33" s="54" t="s">
        <v>228</v>
      </c>
    </row>
    <row r="34" spans="2:6">
      <c r="B34" s="54" t="s">
        <v>281</v>
      </c>
      <c r="C34" s="54" t="s">
        <v>421</v>
      </c>
      <c r="D34" s="90" t="s">
        <v>422</v>
      </c>
      <c r="E34" s="77" t="str">
        <f t="shared" si="0"/>
        <v>"[REVIEW INTENT RULE] The user is expected to review, identify issues, and refactor the code to production-level quality | " &amp;</v>
      </c>
      <c r="F34" s="54" t="s">
        <v>228</v>
      </c>
    </row>
    <row r="35" spans="2:6">
      <c r="B35" s="54" t="s">
        <v>281</v>
      </c>
      <c r="C35" s="54" t="s">
        <v>182</v>
      </c>
      <c r="D35" s="90" t="s">
        <v>423</v>
      </c>
      <c r="E35" s="77" t="str">
        <f t="shared" si="0"/>
        <v>"[CODE CONSTRAINTS] Each challenge MUST include: - Internal data OR dataset usage - At least 1 print statement - MUST be between " &amp; IF(G9="Beginner", "5–15", IF(G9="Intermediate", "10–25", "15–35")) &amp; " lines of EXECUTABLE code (STRICT: Do NOT count blank lines towards this limit, allow messy spacing) - NO classes - Single logical flow - Code MUST run correctly BUT be poorly structured, inconsistent, or inefficient | " &amp;</v>
      </c>
      <c r="F35" s="54" t="s">
        <v>228</v>
      </c>
    </row>
    <row r="36" spans="2:6">
      <c r="B36" s="54" t="s">
        <v>281</v>
      </c>
      <c r="C36" s="54" t="s">
        <v>198</v>
      </c>
      <c r="D36" s="90" t="s">
        <v>424</v>
      </c>
      <c r="E36" s="77" t="str">
        <f t="shared" si="0"/>
        <v>"[SUPPORT FILES RULE] If env/config is used, include: 1. Instructional sentence 2. File content in markdown code block 3. BEFORE the main code | " &amp;</v>
      </c>
      <c r="F36" s="54" t="s">
        <v>228</v>
      </c>
    </row>
    <row r="37" spans="2:6">
      <c r="B37" s="54" t="s">
        <v>281</v>
      </c>
      <c r="C37" s="54" t="s">
        <v>199</v>
      </c>
      <c r="D37" s="90" t="s">
        <v>425</v>
      </c>
      <c r="E37" s="77" t="str">
        <f t="shared" si="0"/>
        <v>"[DIFFICULTY RULE] Complexity MUST match level | " &amp;</v>
      </c>
      <c r="F37" s="54" t="s">
        <v>228</v>
      </c>
    </row>
    <row r="38" spans="2:6">
      <c r="B38" s="54" t="s">
        <v>281</v>
      </c>
      <c r="C38" s="54" t="s">
        <v>426</v>
      </c>
      <c r="D38" s="90" t="s">
        <v>427</v>
      </c>
      <c r="E38" s="77" t="str">
        <f t="shared" si="0"/>
        <v>"[DIFFICULTY CONSISTENCY RULE] All challenges MUST have similar complexity and length, even if coding styles differ | " &amp;</v>
      </c>
      <c r="F38" s="54" t="s">
        <v>228</v>
      </c>
    </row>
    <row r="39" spans="2:6">
      <c r="B39" s="54" t="s">
        <v>281</v>
      </c>
      <c r="C39" s="54" t="s">
        <v>224</v>
      </c>
      <c r="D39" s="90" t="s">
        <v>380</v>
      </c>
      <c r="E39" s="77" t="str">
        <f t="shared" si="0"/>
        <v>"[FOOTER RULE - STRICT] End your entire response EXACTLY with this markdown string (ensure all code blocks are closed before it):" &amp; CHAR(10) &amp; "---" &amp; CHAR(10) &amp; "⚡ *Coding5s System - Learn Programming by Writing Code - Coding5S.com*",</v>
      </c>
      <c r="F39" s="54" t="s">
        <v>228</v>
      </c>
    </row>
    <row r="40" spans="2:6">
      <c r="B40" s="54"/>
      <c r="C40" s="54"/>
      <c r="D40" s="90"/>
      <c r="E40" s="88" t="s">
        <v>429</v>
      </c>
      <c r="F40" s="54" t="s">
        <v>228</v>
      </c>
    </row>
    <row r="41" spans="2:6">
      <c r="B41" s="54"/>
      <c r="C41" s="54"/>
      <c r="D41" s="90"/>
      <c r="E41" s="77"/>
      <c r="F41" s="54"/>
    </row>
    <row r="42" spans="2:6">
      <c r="B42" s="74"/>
      <c r="C42" s="74"/>
      <c r="E42" s="86"/>
    </row>
    <row r="43" spans="2:6">
      <c r="B43" s="74"/>
      <c r="C43" s="74"/>
      <c r="E43" s="86"/>
    </row>
    <row r="44" spans="2:6" ht="36">
      <c r="B44" s="79" t="s">
        <v>455</v>
      </c>
      <c r="C44" s="74"/>
      <c r="E44" s="86"/>
    </row>
    <row r="45" spans="2:6">
      <c r="B45" s="76" t="s">
        <v>273</v>
      </c>
      <c r="C45" s="76" t="s">
        <v>596</v>
      </c>
      <c r="D45" s="76" t="s">
        <v>597</v>
      </c>
      <c r="E45" s="88" t="s">
        <v>274</v>
      </c>
      <c r="F45" s="32" t="s">
        <v>228</v>
      </c>
    </row>
    <row r="46" spans="2:6">
      <c r="B46" s="54" t="s">
        <v>226</v>
      </c>
      <c r="C46" s="54" t="s">
        <v>163</v>
      </c>
      <c r="D46" s="90" t="s">
        <v>352</v>
      </c>
      <c r="E46" s="77" t="str">
        <f>IF(D46="","",""""&amp;C46&amp;" "&amp;IF(C46="[FOOTER RULE - STRICT]",D46,IF(RIGHT(D46,6)=" | "&amp;CHAR(34)&amp;" &amp;",D46,D46&amp;" | "&amp;CHAR(34)&amp;" &amp;")))</f>
        <v>"[ROLE] Tech Lead | " &amp;</v>
      </c>
      <c r="F46" s="32" t="s">
        <v>228</v>
      </c>
    </row>
    <row r="47" spans="2:6">
      <c r="B47" s="54" t="s">
        <v>226</v>
      </c>
      <c r="C47" s="54" t="s">
        <v>165</v>
      </c>
      <c r="D47" s="90" t="s">
        <v>430</v>
      </c>
      <c r="E47" s="77" t="str">
        <f t="shared" ref="E47:E76" si="1">IF(D47="","",""""&amp;C47&amp;" "&amp;IF(C47="[FOOTER RULE - STRICT]",D47,IF(RIGHT(D47,6)=" | "&amp;CHAR(34)&amp;" &amp;",D47,D47&amp;" | "&amp;CHAR(34)&amp;" &amp;")))</f>
        <v>"[TASK] Provide a messy but functional project for refactoring | " &amp;</v>
      </c>
      <c r="F47" s="32" t="s">
        <v>228</v>
      </c>
    </row>
    <row r="48" spans="2:6">
      <c r="B48" s="54" t="s">
        <v>226</v>
      </c>
      <c r="C48" s="54" t="s">
        <v>326</v>
      </c>
      <c r="D48" s="90" t="s">
        <v>168</v>
      </c>
      <c r="E48" s="77" t="str">
        <f t="shared" si="1"/>
        <v>"[PROJECT] " &amp; I9 &amp; " | " &amp;</v>
      </c>
      <c r="F48" s="32" t="s">
        <v>228</v>
      </c>
    </row>
    <row r="49" spans="2:6">
      <c r="B49" s="54" t="s">
        <v>226</v>
      </c>
      <c r="C49" s="54" t="s">
        <v>261</v>
      </c>
      <c r="D49" s="90" t="s">
        <v>262</v>
      </c>
      <c r="E49" s="77" t="str">
        <f t="shared" si="1"/>
        <v>"[TOPICS USED] " &amp; B9 &amp; " | " &amp;</v>
      </c>
      <c r="F49" s="32" t="s">
        <v>228</v>
      </c>
    </row>
    <row r="50" spans="2:6">
      <c r="B50" s="54" t="s">
        <v>226</v>
      </c>
      <c r="C50" s="54" t="s">
        <v>169</v>
      </c>
      <c r="D50" s="90" t="s">
        <v>170</v>
      </c>
      <c r="E50" s="77" t="str">
        <f t="shared" si="1"/>
        <v>"[LEVEL] " &amp; G9 &amp; " | " &amp;</v>
      </c>
      <c r="F50" s="32" t="s">
        <v>228</v>
      </c>
    </row>
    <row r="51" spans="2:6">
      <c r="B51" s="54" t="s">
        <v>226</v>
      </c>
      <c r="C51" s="54" t="s">
        <v>173</v>
      </c>
      <c r="D51" s="90" t="s">
        <v>431</v>
      </c>
      <c r="E51" s="77" t="str">
        <f t="shared" si="1"/>
        <v>"[PERSONA RULE] Act as a Tech Lead. A junior wrote this working but messy code. Tone: professional but exhausted | " &amp;</v>
      </c>
      <c r="F51" s="32" t="s">
        <v>228</v>
      </c>
    </row>
    <row r="52" spans="2:6">
      <c r="B52" s="54" t="s">
        <v>226</v>
      </c>
      <c r="C52" s="54" t="s">
        <v>219</v>
      </c>
      <c r="D52" s="90" t="s">
        <v>608</v>
      </c>
      <c r="E52" s="77" t="str">
        <f t="shared" si="1"/>
        <v>"[HEADER RULE - STRICT] You MUST start your entire response EXACTLY with this markdown block (do not print anything before it):" &amp; CHAR(10) &amp; "### 🚀 Project #" &amp; F9 &amp; " | Stage 4 | " &amp; IF($I$3="", $I$2, $I$2&amp; " - " &amp;$I$3) &amp; " | 📊 Level: " &amp; G9 &amp; " | 🌐 Coding5s.com" &amp; CHAR(10) &amp; "**Project:** " &amp; J9 &amp; CHAR(10) &amp; "---" &amp; CHAR(10) &amp; " | " &amp;</v>
      </c>
      <c r="F52" s="32" t="s">
        <v>228</v>
      </c>
    </row>
    <row r="53" spans="2:6">
      <c r="B53" s="54" t="s">
        <v>226</v>
      </c>
      <c r="C53" s="54" t="s">
        <v>234</v>
      </c>
      <c r="D53" s="90" t="s">
        <v>276</v>
      </c>
      <c r="E53" s="77" t="str">
        <f t="shared" si="1"/>
        <v>"[LIBRARY BEING LEARNED] " &amp; $I$3 &amp; " | " &amp;</v>
      </c>
      <c r="F53" s="32" t="s">
        <v>228</v>
      </c>
    </row>
    <row r="54" spans="2:6">
      <c r="B54" s="75" t="s">
        <v>226</v>
      </c>
      <c r="C54" s="54" t="s">
        <v>229</v>
      </c>
      <c r="D54" s="90" t="str">
        <f>"If a module or ecosystem like "&amp; Variables!E6 &amp;" is specified in "&amp; Variables!E7 &amp;", you are CRITICALLY FORBIDDEN from using "&amp; Variables!E8 &amp;". You MUST enforce the "&amp; Variables!E9 &amp;" and data structures of that specific library."</f>
        <v>If a module or ecosystem like GenServer, Supervisor, Registry, or DynamicSupervisor is specified in , you are CRITICALLY FORBIDDEN from using manual process linking (spawn/1, spawn_link/1) outside standard OTP behaviors. You MUST enforce the concurrent asynchronous processes and proper Supervisor tree state isolation and data structures of that specific library.</v>
      </c>
      <c r="E54" s="77"/>
      <c r="F54" s="32"/>
    </row>
    <row r="55" spans="2:6">
      <c r="B55" s="54" t="s">
        <v>226</v>
      </c>
      <c r="C55" s="54" t="s">
        <v>175</v>
      </c>
      <c r="D55" s="90" t="s">
        <v>263</v>
      </c>
      <c r="E55" s="77" t="str">
        <f t="shared" si="1"/>
        <v>"[LANGUAGE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55" s="32" t="s">
        <v>228</v>
      </c>
    </row>
    <row r="56" spans="2:6">
      <c r="B56" s="54" t="s">
        <v>226</v>
      </c>
      <c r="C56" s="54" t="s">
        <v>508</v>
      </c>
      <c r="D56" s="90" t="s">
        <v>500</v>
      </c>
      <c r="E56" s="77" t="str">
        <f t="shared" si="1"/>
        <v>"[LANGUAGE SEED CONTEXT] " &amp; IF($AE$7 = "", "Language Seed Not Necessary", "You MUST strictly follow this seed context to enhance, adapt, and naturalize your tone, vocabulary, and instructional quality in " &amp; $B$6 &amp; ": " &amp; $AE$7) &amp; " | " &amp;</v>
      </c>
      <c r="F56" s="32" t="s">
        <v>228</v>
      </c>
    </row>
    <row r="57" spans="2:6">
      <c r="B57" s="54" t="s">
        <v>227</v>
      </c>
      <c r="C57" s="54" t="s">
        <v>236</v>
      </c>
      <c r="D57" s="90"/>
      <c r="E57" s="77" t="str">
        <f t="shared" si="1"/>
        <v/>
      </c>
      <c r="F57" s="32" t="s">
        <v>228</v>
      </c>
    </row>
    <row r="58" spans="2:6">
      <c r="B58" s="54" t="s">
        <v>227</v>
      </c>
      <c r="C58" s="54" t="s">
        <v>236</v>
      </c>
      <c r="D58" s="90"/>
      <c r="E58" s="77" t="str">
        <f t="shared" si="1"/>
        <v/>
      </c>
      <c r="F58" s="32" t="s">
        <v>228</v>
      </c>
    </row>
    <row r="59" spans="2:6">
      <c r="B59" s="54" t="s">
        <v>227</v>
      </c>
      <c r="C59" s="54" t="s">
        <v>236</v>
      </c>
      <c r="D59" s="90"/>
      <c r="E59" s="77" t="str">
        <f t="shared" si="1"/>
        <v/>
      </c>
      <c r="F59" s="32" t="s">
        <v>228</v>
      </c>
    </row>
    <row r="60" spans="2:6">
      <c r="B60" s="54" t="s">
        <v>281</v>
      </c>
      <c r="C60" s="54" t="s">
        <v>184</v>
      </c>
      <c r="D60" s="90" t="s">
        <v>432</v>
      </c>
      <c r="E60" s="77" t="str">
        <f t="shared" si="1"/>
        <v>"[CODE QUALITY RULE] Code MUST be correct and executable but not perfectly clean | " &amp;</v>
      </c>
      <c r="F60" s="32" t="s">
        <v>228</v>
      </c>
    </row>
    <row r="61" spans="2:6">
      <c r="B61" s="54" t="s">
        <v>281</v>
      </c>
      <c r="C61" s="54" t="s">
        <v>410</v>
      </c>
      <c r="D61" s="90" t="s">
        <v>433</v>
      </c>
      <c r="E61" s="77" t="str">
        <f t="shared" si="1"/>
        <v>"[DIRTY CODE RULE] Code MUST NOT include ANY comments and should include inconsistent naming, redundant logic, minor structural issues, and slightly messy organization while still remaining understandable as a complete working program | " &amp;</v>
      </c>
      <c r="F61" s="32" t="s">
        <v>228</v>
      </c>
    </row>
    <row r="62" spans="2:6">
      <c r="B62" s="54" t="s">
        <v>281</v>
      </c>
      <c r="C62" s="54" t="s">
        <v>194</v>
      </c>
      <c r="D62" s="90" t="s">
        <v>434</v>
      </c>
      <c r="E62" s="77" t="str">
        <f t="shared" si="1"/>
        <v>"[DATA ROBUSTNESS RULE] Handle real-world data safely | " &amp;</v>
      </c>
      <c r="F62" s="32" t="s">
        <v>228</v>
      </c>
    </row>
    <row r="63" spans="2:6">
      <c r="B63" s="54" t="s">
        <v>281</v>
      </c>
      <c r="C63" s="54" t="s">
        <v>211</v>
      </c>
      <c r="D63" s="90" t="s">
        <v>291</v>
      </c>
      <c r="E63" s="77" t="str">
        <f t="shared" si="1"/>
        <v>"[FORMAT RULE] Only valid markdown code blocks allowed | " &amp;</v>
      </c>
      <c r="F63" s="32" t="s">
        <v>228</v>
      </c>
    </row>
    <row r="64" spans="2:6">
      <c r="B64" s="54" t="s">
        <v>281</v>
      </c>
      <c r="C64" s="54" t="s">
        <v>213</v>
      </c>
      <c r="D64" s="90" t="s">
        <v>292</v>
      </c>
      <c r="E64" s="77" t="str">
        <f t="shared" si="1"/>
        <v>"[LANGUAGE TAG RULE] ALWAYS label markdown code blocks with the correct underlying programming language (e.g., python, javascript, sql) | " &amp;</v>
      </c>
      <c r="F64" s="32" t="s">
        <v>228</v>
      </c>
    </row>
    <row r="65" spans="2:6">
      <c r="B65" s="54" t="s">
        <v>281</v>
      </c>
      <c r="C65" s="54" t="s">
        <v>177</v>
      </c>
      <c r="D65" s="90" t="s">
        <v>435</v>
      </c>
      <c r="E65" s="77" t="str">
        <f t="shared" si="1"/>
        <v>"[DATA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 बुन्देल IMMEDIATELY AFTER THE HEADER, PURGE any memory of previous files, and use realistic dummy data | " &amp;</v>
      </c>
      <c r="F65" s="32" t="s">
        <v>228</v>
      </c>
    </row>
    <row r="66" spans="2:6">
      <c r="B66" s="54" t="s">
        <v>281</v>
      </c>
      <c r="C66" s="54" t="s">
        <v>191</v>
      </c>
      <c r="D66" s="90" t="s">
        <v>436</v>
      </c>
      <c r="E66" s="77" t="str">
        <f t="shared" si="1"/>
        <v>"[INTRO RULE] The intro MUST be an email in " &amp; $B$6 &amp; " with this EXACT format translated to " &amp; $B$6 &amp; ": 'From: [Tech Lead Name]' / 'To: [Insert my user name if known, else " &amp; $I$2 &amp; " Dev]' / 'Subject: [Funny subject]'. Body vibe: 'Hola, el Junior mandó esto. Increíblemente funciona, pero mis ojos sangran. Por favor refactorízalo.' | " &amp;</v>
      </c>
      <c r="F66" s="32" t="s">
        <v>228</v>
      </c>
    </row>
    <row r="67" spans="2:6">
      <c r="B67" s="54" t="s">
        <v>281</v>
      </c>
      <c r="C67" s="54" t="s">
        <v>180</v>
      </c>
      <c r="D67" s="90" t="s">
        <v>437</v>
      </c>
      <c r="E67" s="77" t="str">
        <f t="shared" si="1"/>
        <v>"[OUTPUT CONTRACT] EXACTLY 1 project. Structure MUST be: 1. Tech Lead Intro Email 2. Project: Objective (max 6 lines), Expected Output (code block), Dirty Code | " &amp;</v>
      </c>
      <c r="F67" s="32" t="s">
        <v>228</v>
      </c>
    </row>
    <row r="68" spans="2:6">
      <c r="B68" s="54" t="s">
        <v>281</v>
      </c>
      <c r="C68" s="54" t="s">
        <v>421</v>
      </c>
      <c r="D68" s="90" t="s">
        <v>438</v>
      </c>
      <c r="E68" s="77" t="str">
        <f t="shared" si="1"/>
        <v>"[REVIEW INTENT RULE] The user is expected to review and refactor the project to improve structure, readability, and maintainability | " &amp;</v>
      </c>
      <c r="F68" s="32" t="s">
        <v>228</v>
      </c>
    </row>
    <row r="69" spans="2:6">
      <c r="B69" s="54" t="s">
        <v>281</v>
      </c>
      <c r="C69" s="54" t="s">
        <v>182</v>
      </c>
      <c r="D69" s="90" t="s">
        <v>439</v>
      </c>
      <c r="E69" s="77" t="str">
        <f t="shared" si="1"/>
        <v>"[CODE CONSTRAINTS] MUST be between " &amp; IF(G9="Beginner", "25–40", IF(G9="Intermediate", "30–60", "40–100")) &amp; " lines of EXECUTABLE code (STRICT: Do NOT count blank lines towards this limit) - Multi-step flow - NO classes - Code MUST run correctly BUT be slightly messy and contain NO comments | " &amp;</v>
      </c>
      <c r="F69" s="32" t="s">
        <v>228</v>
      </c>
    </row>
    <row r="70" spans="2:6">
      <c r="B70" s="54" t="s">
        <v>281</v>
      </c>
      <c r="C70" s="54" t="s">
        <v>198</v>
      </c>
      <c r="D70" s="90" t="s">
        <v>440</v>
      </c>
      <c r="E70" s="77" t="str">
        <f t="shared" si="1"/>
        <v>"[SUPPORT FILES RULE] Include config files before code if needed | " &amp;</v>
      </c>
      <c r="F70" s="32" t="s">
        <v>228</v>
      </c>
    </row>
    <row r="71" spans="2:6">
      <c r="B71" s="54" t="s">
        <v>281</v>
      </c>
      <c r="C71" s="54" t="s">
        <v>268</v>
      </c>
      <c r="D71" s="90" t="s">
        <v>441</v>
      </c>
      <c r="E71" s="77" t="str">
        <f t="shared" si="1"/>
        <v>"[EXECUTION RULE] Code MUST run and produce correct output | " &amp;</v>
      </c>
      <c r="F71" s="32" t="s">
        <v>228</v>
      </c>
    </row>
    <row r="72" spans="2:6">
      <c r="B72" s="54" t="s">
        <v>281</v>
      </c>
      <c r="C72" s="54" t="s">
        <v>216</v>
      </c>
      <c r="D72" s="90" t="s">
        <v>442</v>
      </c>
      <c r="E72" s="77" t="str">
        <f t="shared" si="1"/>
        <v>"[CONSISTENCY RULE] Project must match objective | " &amp;</v>
      </c>
      <c r="F72" s="32" t="s">
        <v>228</v>
      </c>
    </row>
    <row r="73" spans="2:6">
      <c r="B73" s="54" t="s">
        <v>281</v>
      </c>
      <c r="C73" s="54" t="s">
        <v>220</v>
      </c>
      <c r="D73" s="90" t="s">
        <v>443</v>
      </c>
      <c r="E73" s="77" t="str">
        <f t="shared" si="1"/>
        <v>"[OUTPUT] Only header, dataset summary or statement (if any), intro email, objective, expected output, code, and footer | " &amp;</v>
      </c>
      <c r="F73" s="32" t="s">
        <v>228</v>
      </c>
    </row>
    <row r="74" spans="2:6">
      <c r="B74" s="54" t="s">
        <v>281</v>
      </c>
      <c r="C74" s="54" t="s">
        <v>224</v>
      </c>
      <c r="D74" s="90" t="s">
        <v>394</v>
      </c>
      <c r="E74" s="77" t="str">
        <f t="shared" si="1"/>
        <v>"[FOOTER RULE - STRICT] End your entire response EXACTLY with this markdown string (ensure all code blocks are closed before it):" &amp; CHAR(10) &amp; "---" &amp; CHAR(10) &amp; "⚡ *Coding5s System - Learn Programming by Writing Code - Coding5S.com*")</v>
      </c>
      <c r="F74" s="32" t="s">
        <v>228</v>
      </c>
    </row>
    <row r="75" spans="2:6">
      <c r="B75" s="54"/>
      <c r="C75" s="54"/>
      <c r="D75" s="90"/>
      <c r="E75" s="77" t="str">
        <f t="shared" si="1"/>
        <v/>
      </c>
      <c r="F75" s="32" t="s">
        <v>228</v>
      </c>
    </row>
    <row r="76" spans="2:6">
      <c r="B76" s="54"/>
      <c r="C76" s="54"/>
      <c r="D76" s="90"/>
      <c r="E76" s="77" t="str">
        <f t="shared" si="1"/>
        <v/>
      </c>
      <c r="F76" s="32" t="s">
        <v>228</v>
      </c>
    </row>
    <row r="77" spans="2:6">
      <c r="E77" s="86"/>
      <c r="F77" t="s">
        <v>228</v>
      </c>
    </row>
    <row r="79" spans="2:6" ht="36">
      <c r="B79" s="80" t="s">
        <v>454</v>
      </c>
    </row>
    <row r="80" spans="2:6">
      <c r="B80" s="76" t="s">
        <v>225</v>
      </c>
      <c r="C80" s="76" t="s">
        <v>596</v>
      </c>
      <c r="D80" s="76" t="s">
        <v>597</v>
      </c>
      <c r="E80" s="89" t="s">
        <v>241</v>
      </c>
      <c r="F80" s="54" t="s">
        <v>228</v>
      </c>
    </row>
    <row r="81" spans="2:6">
      <c r="B81" s="54" t="s">
        <v>226</v>
      </c>
      <c r="C81" s="54" t="s">
        <v>444</v>
      </c>
      <c r="D81" s="90" t="s">
        <v>445</v>
      </c>
      <c r="E81" s="17" t="str">
        <f t="shared" ref="E81:E96" si="2">IF(D81="","",""""&amp;C81&amp;" "&amp;IF(OR(C81="[FOOTER RULE - STRICT]",C81="[FOOTER RULE]"),D81,IF(RIGHT(D81,6)=" | "&amp;CHAR(34)&amp;" &amp;",D81,D81&amp;" | "&amp;CHAR(34)&amp;" &amp;")))</f>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 &amp;</v>
      </c>
      <c r="F81" s="54" t="s">
        <v>228</v>
      </c>
    </row>
    <row r="82" spans="2:6">
      <c r="B82" s="54" t="s">
        <v>226</v>
      </c>
      <c r="C82" s="54" t="s">
        <v>243</v>
      </c>
      <c r="D82" s="90" t="s">
        <v>446</v>
      </c>
      <c r="E82" s="17" t="str">
        <f t="shared" si="2"/>
        <v>"[CULTURAL &amp; JARGON RULE] If the language (" &amp; $B$6 &amp; ") is Portuguese, act like a 'Sênior ranzinza e perfeccionista' using local jargon (e.g., 'que gambiarra!', 'código espaguete', 'meu Deus, cadê o PEP 8?'). If Spanish, use sharp Latin American tech terminology (e.g., 'qué código más espantoso', 'esto no es nada de codigo legible y elegante " &amp; $I$2 &amp; "', 'limpia este desastre'). Match the cultural vibe of a senior who is tired of seeing bad code. | " &amp;</v>
      </c>
      <c r="F82" s="54" t="s">
        <v>228</v>
      </c>
    </row>
    <row r="83" spans="2:6">
      <c r="B83" s="54" t="s">
        <v>226</v>
      </c>
      <c r="C83" s="54" t="s">
        <v>244</v>
      </c>
      <c r="D83" s="90" t="s">
        <v>447</v>
      </c>
      <c r="E83" s="17" t="str">
        <f t="shared" si="2"/>
        <v>"[CONTEXT] You are performing a Code Review for a " &amp; IF(UPPER(H9)="PROJECT", "PROJECT: " &amp; I9 &amp; ". Topics involved: " &amp; B9 &amp; ". Project objective: " &amp; J9, "TOPIC: " &amp; I9 &amp; ". Topic details: " &amp; J9) &amp; " | " &amp;</v>
      </c>
      <c r="F83" s="54" t="s">
        <v>228</v>
      </c>
    </row>
    <row r="84" spans="2:6">
      <c r="B84" s="54" t="s">
        <v>226</v>
      </c>
      <c r="C84" s="54" t="s">
        <v>165</v>
      </c>
      <c r="D84" s="90" t="s">
        <v>448</v>
      </c>
      <c r="E84" s="17" t="str">
        <f t="shared" si="2"/>
        <v>"[TASK]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 &amp;</v>
      </c>
      <c r="F84" s="54" t="s">
        <v>228</v>
      </c>
    </row>
    <row r="85" spans="2:6">
      <c r="B85" s="54" t="s">
        <v>226</v>
      </c>
      <c r="C85" s="54" t="s">
        <v>234</v>
      </c>
      <c r="D85" s="90" t="s">
        <v>276</v>
      </c>
      <c r="E85" s="17" t="str">
        <f t="shared" si="2"/>
        <v>"[LIBRARY BEING LEARNED] " &amp; $I$3 &amp; " | " &amp;</v>
      </c>
      <c r="F85" s="54" t="s">
        <v>228</v>
      </c>
    </row>
    <row r="86" spans="2:6">
      <c r="B86" s="54" t="s">
        <v>226</v>
      </c>
      <c r="C86" s="54" t="s">
        <v>175</v>
      </c>
      <c r="D86" s="90" t="s">
        <v>263</v>
      </c>
      <c r="E86" s="17" t="str">
        <f t="shared" si="2"/>
        <v>"[LANGUAGE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86" s="54" t="s">
        <v>228</v>
      </c>
    </row>
    <row r="87" spans="2:6">
      <c r="B87" s="54" t="s">
        <v>226</v>
      </c>
      <c r="C87" s="54" t="s">
        <v>508</v>
      </c>
      <c r="D87" s="90" t="s">
        <v>500</v>
      </c>
      <c r="E87" s="17" t="str">
        <f t="shared" si="2"/>
        <v>"[LANGUAGE SEED CONTEXT] " &amp; IF($AE$7 = "", "Language Seed Not Necessary", "You MUST strictly follow this seed context to enhance, adapt, and naturalize your tone, vocabulary, and instructional quality in " &amp; $B$6 &amp; ": " &amp; $AE$7) &amp; " | " &amp;</v>
      </c>
      <c r="F87" s="54" t="s">
        <v>228</v>
      </c>
    </row>
    <row r="88" spans="2:6">
      <c r="B88" s="54" t="s">
        <v>226</v>
      </c>
      <c r="C88" s="54" t="s">
        <v>219</v>
      </c>
      <c r="D88" s="90" t="s">
        <v>609</v>
      </c>
      <c r="E88" s="17" t="str">
        <f t="shared" si="2"/>
        <v>"[HEADER RULE - STRICT] You MUST start your entire response exactly with the following RAW markdown block (do NOT strip the '#' characters):" &amp; CHAR(10) &amp; "### 🧹 Elite Mentor Stage 4 | " &amp; IF(UPPER(H9)="PROJECT", "Project #", "Topic #") &amp; F9 &amp; " | Refactor | " &amp; IF($I$3="", $I$2, $I$2&amp; " - " &amp;$I$3) &amp; " | 📊 Level: " &amp; G9 &amp; CHAR(10) &amp; "**" &amp; IF(UPPER(H9)="PROJECT", "Project", "Topic") &amp; ":** " &amp; I9 &amp; CHAR(10) &amp; "---" &amp; CHAR(10) &amp; " | " &amp;</v>
      </c>
      <c r="F88" s="54" t="s">
        <v>228</v>
      </c>
    </row>
    <row r="89" spans="2:6">
      <c r="B89" s="54" t="s">
        <v>227</v>
      </c>
      <c r="C89" s="54" t="s">
        <v>236</v>
      </c>
      <c r="D89" s="90"/>
      <c r="E89" s="17" t="str">
        <f t="shared" si="2"/>
        <v/>
      </c>
      <c r="F89" s="54" t="s">
        <v>228</v>
      </c>
    </row>
    <row r="90" spans="2:6">
      <c r="B90" s="54" t="s">
        <v>227</v>
      </c>
      <c r="C90" s="54" t="s">
        <v>236</v>
      </c>
      <c r="D90" s="90"/>
      <c r="E90" s="17" t="str">
        <f t="shared" si="2"/>
        <v/>
      </c>
      <c r="F90" s="54" t="s">
        <v>228</v>
      </c>
    </row>
    <row r="91" spans="2:6">
      <c r="B91" s="54" t="s">
        <v>227</v>
      </c>
      <c r="C91" s="54" t="s">
        <v>250</v>
      </c>
      <c r="D91" s="90" t="str">
        <f>Variables!E58 &amp; " | " &amp; CHAR(34) &amp; " &amp;"</f>
        <v>Code MUST adhere strictly to Elixir Style Guide and OTP standards. Use snake_case for functions/variables, PascalCase for modules. Use only isolated GenServer state. Emphasize fault-tolerant Supervisor designs. | " &amp;</v>
      </c>
      <c r="E91" s="17" t="str">
        <f t="shared" si="2"/>
        <v>"[PYTHON QUALITY RULE - STRICT] Code MUST adhere strictly to Elixir Style Guide and OTP standards. Use snake_case for functions/variables, PascalCase for modules. Use only isolated GenServer state. Emphasize fault-tolerant Supervisor designs. | " &amp;</v>
      </c>
      <c r="F91" s="54" t="s">
        <v>228</v>
      </c>
    </row>
    <row r="92" spans="2:6">
      <c r="B92" s="54" t="s">
        <v>281</v>
      </c>
      <c r="C92" s="54" t="s">
        <v>245</v>
      </c>
      <c r="D92" s="90" t="s">
        <v>449</v>
      </c>
      <c r="E92" s="17" t="str">
        <f t="shared" si="2"/>
        <v>"[EMPTY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 &amp;</v>
      </c>
      <c r="F92" s="54" t="s">
        <v>228</v>
      </c>
    </row>
    <row r="93" spans="2:6">
      <c r="B93" s="54" t="s">
        <v>281</v>
      </c>
      <c r="C93" s="54" t="s">
        <v>247</v>
      </c>
      <c r="D93" s="90" t="s">
        <v>450</v>
      </c>
      <c r="E93" s="17" t="str">
        <f t="shared" si="2"/>
        <v>"[PHASE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 &amp; $I$2 &amp; " built-in, standard library module, or good " &amp; $I$2 &amp; " code pattern to research. | " &amp;</v>
      </c>
      <c r="F93" s="54" t="s">
        <v>228</v>
      </c>
    </row>
    <row r="94" spans="2:6">
      <c r="B94" s="54" t="s">
        <v>281</v>
      </c>
      <c r="C94" s="54" t="s">
        <v>248</v>
      </c>
      <c r="D94" s="90" t="s">
        <v>451</v>
      </c>
      <c r="E94" s="17" t="str">
        <f t="shared" si="2"/>
        <v>"[EXPLANATION GATE &amp; SCROLL BARRIER] After Phase 1, you MUST insert exactly this visual separator:" &amp; CHAR(10) &amp; "------------------------------------------------------------" &amp; CHAR(10) &amp; "🛑 THE EXPLANATION GATE 🛑" &amp; CHAR(10) &amp; "Before scrolling down to see the Master Code, justify WHY your refactor will be more idiomatic. Blindly cleaning code is just 'Vibe Refactoring'. Articulate the debt." &amp; CHAR(10) &amp; "------------------------------------------------------------ | | " &amp;</v>
      </c>
      <c r="F94" s="54" t="s">
        <v>228</v>
      </c>
    </row>
    <row r="95" spans="2:6">
      <c r="B95" s="54" t="s">
        <v>281</v>
      </c>
      <c r="C95" s="54" t="s">
        <v>251</v>
      </c>
      <c r="D95" s="90" t="s">
        <v>452</v>
      </c>
      <c r="E95" s="17" t="str">
        <f t="shared" si="2"/>
        <v>"[PHASE 2: FULL SOLUTION - STRICT] 1. Provide the 'Senior' version: clean, elegant, and good " &amp; $I$2 &amp; "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 &amp;</v>
      </c>
      <c r="F95" s="54" t="s">
        <v>228</v>
      </c>
    </row>
    <row r="96" spans="2:6">
      <c r="B96" s="54" t="s">
        <v>281</v>
      </c>
      <c r="C96" s="54" t="s">
        <v>343</v>
      </c>
      <c r="D96" s="90" t="s">
        <v>517</v>
      </c>
      <c r="E96" s="17" t="str">
        <f t="shared" si="2"/>
        <v>"[FOOTER RULE] End your response with: '--- ⚡ *Coding5s Mentor System — Eliminating Technical Debt with Elegance*'",</v>
      </c>
      <c r="F96" s="54" t="s">
        <v>228</v>
      </c>
    </row>
    <row r="97" spans="2:6">
      <c r="B97" s="54"/>
      <c r="C97" s="54"/>
      <c r="D97" s="90"/>
      <c r="E97" s="88" t="s">
        <v>453</v>
      </c>
      <c r="F97" s="54" t="s">
        <v>228</v>
      </c>
    </row>
    <row r="98" spans="2:6">
      <c r="B98" s="54"/>
      <c r="C98" s="54"/>
      <c r="D98" s="90"/>
      <c r="E98" s="77" t="str">
        <f t="shared" ref="E98:E100" si="3">IF(D98="","",""""&amp;C98&amp;" "&amp;IF(C98="[FOOTER RULE - STRICT]",D98,IF(RIGHT(D98,6)=" | "&amp;CHAR(34)&amp;" &amp;",D98,D98&amp;" | "&amp;CHAR(34)&amp;" &amp;")))</f>
        <v/>
      </c>
      <c r="F98" s="54" t="s">
        <v>228</v>
      </c>
    </row>
    <row r="99" spans="2:6">
      <c r="B99" s="54"/>
      <c r="C99" s="54"/>
      <c r="D99" s="90"/>
      <c r="E99" s="77" t="str">
        <f t="shared" si="3"/>
        <v/>
      </c>
      <c r="F99" s="54" t="s">
        <v>228</v>
      </c>
    </row>
    <row r="100" spans="2:6">
      <c r="B100" s="54"/>
      <c r="C100" s="54"/>
      <c r="D100" s="90"/>
      <c r="E100" s="77" t="str">
        <f t="shared" si="3"/>
        <v/>
      </c>
      <c r="F100" s="54" t="s">
        <v>228</v>
      </c>
    </row>
  </sheetData>
  <conditionalFormatting sqref="B1:B1048576">
    <cfRule type="cellIs" dxfId="23" priority="13" operator="equal">
      <formula>"The Immutable Kernel"</formula>
    </cfRule>
    <cfRule type="cellIs" dxfId="22" priority="14" operator="equal">
      <formula>"Paradigm &amp; Ecosystem"</formula>
    </cfRule>
    <cfRule type="cellIs" dxfId="21" priority="15" operator="equal">
      <formula>"Global Variables &amp; Configuration"</formula>
    </cfRule>
  </conditionalFormatting>
  <conditionalFormatting sqref="C4:C41">
    <cfRule type="expression" dxfId="20" priority="10">
      <formula>$B4="The Immutable Kernel"</formula>
    </cfRule>
    <cfRule type="expression" dxfId="19" priority="11">
      <formula>$B4="Paradigm &amp; Ecosystem"</formula>
    </cfRule>
    <cfRule type="expression" dxfId="18" priority="12">
      <formula>$B4="Global Variables &amp; Configuration"</formula>
    </cfRule>
  </conditionalFormatting>
  <conditionalFormatting sqref="C46:C76">
    <cfRule type="expression" dxfId="17" priority="1">
      <formula>$B46="The Immutable Kernel"</formula>
    </cfRule>
    <cfRule type="expression" dxfId="16" priority="2">
      <formula>$B46="Paradigm &amp; Ecosystem"</formula>
    </cfRule>
    <cfRule type="expression" dxfId="15" priority="3">
      <formula>$B46="Global Variables &amp; Configuration"</formula>
    </cfRule>
  </conditionalFormatting>
  <conditionalFormatting sqref="C81:C100">
    <cfRule type="expression" dxfId="14" priority="4">
      <formula>$B81="The Immutable Kernel"</formula>
    </cfRule>
    <cfRule type="expression" dxfId="13" priority="5">
      <formula>$B81="Paradigm &amp; Ecosystem"</formula>
    </cfRule>
    <cfRule type="expression" dxfId="12" priority="6">
      <formula>$B81="Global Variables &amp; Configuration"</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425615-307B-4FE6-8E0D-5A0ED377C484}">
  <sheetPr>
    <tabColor theme="4" tint="0.79998168889431442"/>
  </sheetPr>
  <dimension ref="B2:AC100"/>
  <sheetViews>
    <sheetView showGridLines="0" zoomScaleNormal="100" workbookViewId="0"/>
  </sheetViews>
  <sheetFormatPr defaultRowHeight="15"/>
  <cols>
    <col min="1" max="1" width="5.42578125" customWidth="1"/>
    <col min="2" max="2" width="36.85546875" customWidth="1"/>
    <col min="3" max="3" width="33" customWidth="1"/>
    <col min="4" max="4" width="85.28515625" customWidth="1"/>
    <col min="5" max="5" width="39.5703125" style="85" customWidth="1"/>
    <col min="6" max="6" width="4" customWidth="1"/>
  </cols>
  <sheetData>
    <row r="2" spans="2:29" ht="36">
      <c r="B2" s="78" t="s">
        <v>465</v>
      </c>
      <c r="D2" s="81" t="s">
        <v>466</v>
      </c>
      <c r="H2" s="82"/>
      <c r="T2" s="82"/>
    </row>
    <row r="3" spans="2:29">
      <c r="B3" s="76" t="s">
        <v>225</v>
      </c>
      <c r="C3" s="76" t="s">
        <v>596</v>
      </c>
      <c r="D3" s="76" t="s">
        <v>597</v>
      </c>
      <c r="E3" s="88" t="s">
        <v>233</v>
      </c>
      <c r="F3" s="4" t="s">
        <v>228</v>
      </c>
      <c r="AC3" t="s">
        <v>228</v>
      </c>
    </row>
    <row r="4" spans="2:29">
      <c r="B4" s="75" t="s">
        <v>226</v>
      </c>
      <c r="C4" s="54" t="s">
        <v>163</v>
      </c>
      <c r="D4" s="91" t="s">
        <v>469</v>
      </c>
      <c r="E4" s="77" t="str">
        <f t="shared" ref="E4:E41" si="0">IF(D4="","",""""&amp;C4&amp;" "&amp;IF(C4="[FOOTER RULE - STRICT]",D4,IF(RIGHT(D4,6)=" | "&amp;CHAR(34)&amp;" &amp;",D4,D4&amp;" | "&amp;CHAR(34)&amp;" &amp;")))</f>
        <v>"[ROLE] Tech Product Manager assigning a " &amp; $I$2 &amp; " Jira Ticket | " &amp;</v>
      </c>
      <c r="F4" s="54" t="s">
        <v>228</v>
      </c>
    </row>
    <row r="5" spans="2:29">
      <c r="B5" s="75" t="s">
        <v>226</v>
      </c>
      <c r="C5" s="54" t="s">
        <v>165</v>
      </c>
      <c r="D5" s="91" t="s">
        <v>470</v>
      </c>
      <c r="E5" s="77" t="str">
        <f t="shared" si="0"/>
        <v>"[TASK] Provide a guided implementation exercise with full solution for learning purposes | " &amp;</v>
      </c>
      <c r="F5" s="54" t="s">
        <v>228</v>
      </c>
    </row>
    <row r="6" spans="2:29">
      <c r="B6" s="75" t="s">
        <v>226</v>
      </c>
      <c r="C6" s="54" t="s">
        <v>167</v>
      </c>
      <c r="D6" s="91" t="s">
        <v>168</v>
      </c>
      <c r="E6" s="77" t="str">
        <f t="shared" si="0"/>
        <v>"[TOPIC] " &amp; I9 &amp; " | " &amp;</v>
      </c>
      <c r="F6" s="54" t="s">
        <v>228</v>
      </c>
    </row>
    <row r="7" spans="2:29">
      <c r="B7" s="75" t="s">
        <v>226</v>
      </c>
      <c r="C7" s="54" t="s">
        <v>169</v>
      </c>
      <c r="D7" s="91" t="s">
        <v>170</v>
      </c>
      <c r="E7" s="77" t="str">
        <f t="shared" si="0"/>
        <v>"[LEVEL] " &amp; G9 &amp; " | " &amp;</v>
      </c>
      <c r="F7" s="54" t="s">
        <v>228</v>
      </c>
    </row>
    <row r="8" spans="2:29">
      <c r="B8" s="75" t="s">
        <v>226</v>
      </c>
      <c r="C8" s="54" t="s">
        <v>234</v>
      </c>
      <c r="D8" s="91" t="s">
        <v>276</v>
      </c>
      <c r="E8" s="77" t="str">
        <f t="shared" si="0"/>
        <v>"[LIBRARY BEING LEARNED] " &amp; $I$3 &amp; " | " &amp;</v>
      </c>
      <c r="F8" s="54" t="s">
        <v>228</v>
      </c>
    </row>
    <row r="9" spans="2:29">
      <c r="B9" s="75" t="s">
        <v>226</v>
      </c>
      <c r="C9" s="54" t="s">
        <v>229</v>
      </c>
      <c r="D9" s="91" t="str">
        <f>"If a module or ecosystem like "&amp; Variables!E6 &amp;" is specified in "&amp; Variables!E7 &amp;", you are CRITICALLY FORBIDDEN from using "&amp; Variables!E8 &amp;". You MUST enforce the "&amp; Variables!E9 &amp;" and data structures of that specific library."</f>
        <v>If a module or ecosystem like GenServer, Supervisor, Registry, or DynamicSupervisor is specified in , you are CRITICALLY FORBIDDEN from using manual process linking (spawn/1, spawn_link/1) outside standard OTP behaviors. You MUST enforce the concurrent asynchronous processes and proper Supervisor tree state isolation and data structures of that specific library.</v>
      </c>
      <c r="E9" s="77" t="str">
        <f t="shared" si="0"/>
        <v>"[ECOSYSTEM ORIENTATION RULE] If a module or ecosystem like GenServer, Supervisor, Registry, or DynamicSupervisor is specified in , you are CRITICALLY FORBIDDEN from using manual process linking (spawn/1, spawn_link/1) outside standard OTP behaviors. You MUST enforce the concurrent asynchronous processes and proper Supervisor tree state isolation and data structures of that specific library. | " &amp;</v>
      </c>
      <c r="F9" s="54" t="s">
        <v>228</v>
      </c>
    </row>
    <row r="10" spans="2:29">
      <c r="B10" s="75" t="s">
        <v>226</v>
      </c>
      <c r="C10" s="54" t="s">
        <v>173</v>
      </c>
      <c r="D10" s="91" t="s">
        <v>471</v>
      </c>
      <c r="E10" s="77" t="str">
        <f t="shared" si="0"/>
        <v>"[PERSONA RULE] Act as a professional Tech Product Manager writing clear Jira tickets | " &amp;</v>
      </c>
      <c r="F10" s="54" t="s">
        <v>228</v>
      </c>
    </row>
    <row r="11" spans="2:29">
      <c r="B11" s="75" t="s">
        <v>226</v>
      </c>
      <c r="C11" s="54" t="s">
        <v>175</v>
      </c>
      <c r="D11" s="91" t="s">
        <v>408</v>
      </c>
      <c r="E11" s="77" t="str">
        <f t="shared" si="0"/>
        <v>"[LANGUAGE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v>
      </c>
      <c r="F11" s="54" t="s">
        <v>228</v>
      </c>
    </row>
    <row r="12" spans="2:29">
      <c r="B12" s="75" t="s">
        <v>226</v>
      </c>
      <c r="C12" s="54" t="s">
        <v>508</v>
      </c>
      <c r="D12" s="91" t="s">
        <v>500</v>
      </c>
      <c r="E12" s="77" t="str">
        <f t="shared" si="0"/>
        <v>"[LANGUAGE SEED CONTEXT] " &amp; IF($AE$7 = "", "Language Seed Not Necessary", "You MUST strictly follow this seed context to enhance, adapt, and naturalize your tone, vocabulary, and instructional quality in " &amp; $B$6 &amp; ": " &amp; $AE$7) &amp; " | " &amp;</v>
      </c>
      <c r="F12" s="54" t="s">
        <v>228</v>
      </c>
    </row>
    <row r="13" spans="2:29">
      <c r="B13" s="75" t="s">
        <v>226</v>
      </c>
      <c r="C13" s="54" t="s">
        <v>219</v>
      </c>
      <c r="D13" s="91" t="s">
        <v>610</v>
      </c>
      <c r="E13" s="77" t="str">
        <f t="shared" si="0"/>
        <v>"[HEADER RULE - STRICT] You MUST start your entire response EXACTLY with this markdown block (do not print anything before it):" &amp; CHAR(10) &amp; "### 🔹 Topic #" &amp; F9 &amp; " | Stage 5 | " &amp; IF($I$3="", $I$2, $I$2&amp; " - " &amp;$I$3) &amp; " | 📊 Level: " &amp; G9 &amp; " | 🌐 Coding5s.com" &amp; CHAR(10) &amp; "**Concept:** " &amp; J9 &amp; CHAR(10) &amp; "---" &amp; CHAR(10) &amp; " | " &amp;</v>
      </c>
      <c r="F13" s="54" t="s">
        <v>228</v>
      </c>
    </row>
    <row r="14" spans="2:29">
      <c r="B14" s="83" t="s">
        <v>227</v>
      </c>
      <c r="C14" s="54" t="s">
        <v>236</v>
      </c>
      <c r="D14" s="91"/>
      <c r="E14" s="77" t="str">
        <f t="shared" si="0"/>
        <v/>
      </c>
      <c r="F14" s="54" t="s">
        <v>228</v>
      </c>
    </row>
    <row r="15" spans="2:29">
      <c r="B15" s="83" t="s">
        <v>227</v>
      </c>
      <c r="C15" s="54" t="s">
        <v>236</v>
      </c>
      <c r="D15" s="91"/>
      <c r="E15" s="77" t="str">
        <f t="shared" si="0"/>
        <v/>
      </c>
      <c r="F15" s="54" t="s">
        <v>228</v>
      </c>
    </row>
    <row r="16" spans="2:29">
      <c r="B16" s="54" t="s">
        <v>281</v>
      </c>
      <c r="C16" s="54" t="s">
        <v>703</v>
      </c>
      <c r="D16" s="91" t="s">
        <v>476</v>
      </c>
      <c r="E16" s="77" t="str">
        <f t="shared" si="0"/>
        <v>"[FUNCTIONAL_STRUCTURE_POLICY] Rule: " &amp; IF(G9="Beginner", "Use simple scripts or minimal functions. ", IF(G9="Intermediate", "Use functions where appropriate. ", "Use modular functions with clear structure. ")) &amp; " | " &amp;</v>
      </c>
      <c r="F16" s="54" t="s">
        <v>228</v>
      </c>
    </row>
    <row r="17" spans="2:6">
      <c r="B17" s="54" t="s">
        <v>281</v>
      </c>
      <c r="C17" s="54" t="s">
        <v>702</v>
      </c>
      <c r="D17" s="91" t="s">
        <v>704</v>
      </c>
      <c r="E17" s="77" t="str">
        <f t="shared" si="0"/>
        <v>"[DETERMINISTIC_OUTPUT_PROTOCOL]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 &amp; $I$2 &amp; " runtime (e.g., VSCode) | " &amp;</v>
      </c>
      <c r="F17" s="54" t="s">
        <v>228</v>
      </c>
    </row>
    <row r="18" spans="2:6">
      <c r="B18" s="54" t="s">
        <v>281</v>
      </c>
      <c r="C18" s="54" t="s">
        <v>184</v>
      </c>
      <c r="D18" s="91" t="s">
        <v>477</v>
      </c>
      <c r="E18" s="77" t="str">
        <f t="shared" si="0"/>
        <v>"[CODE QUALITY RULE] Code MUST be clean, readable, and production-like | " &amp;</v>
      </c>
      <c r="F18" s="54" t="s">
        <v>228</v>
      </c>
    </row>
    <row r="19" spans="2:6">
      <c r="B19" s="54" t="s">
        <v>281</v>
      </c>
      <c r="C19" s="54" t="s">
        <v>192</v>
      </c>
      <c r="D19" s="91" t="s">
        <v>701</v>
      </c>
      <c r="E19" s="77" t="str">
        <f t="shared" si="0"/>
        <v>"[FILE HANDLING RULE] Use correct loaders and enforce encoding='utf-8' and newline=' when applicable or supported by the programming language. | " &amp;</v>
      </c>
      <c r="F19" s="54" t="s">
        <v>228</v>
      </c>
    </row>
    <row r="20" spans="2:6">
      <c r="B20" s="54" t="s">
        <v>281</v>
      </c>
      <c r="C20" s="54" t="s">
        <v>193</v>
      </c>
      <c r="D20" s="91" t="s">
        <v>700</v>
      </c>
      <c r="E20" s="77" t="str">
        <f t="shared" si="0"/>
        <v>"[DATA TYPE RULE] Explicit casting required before calculations if the programming language requires it. | " &amp;</v>
      </c>
      <c r="F20" s="54" t="s">
        <v>228</v>
      </c>
    </row>
    <row r="21" spans="2:6">
      <c r="B21" s="54" t="s">
        <v>281</v>
      </c>
      <c r="C21" s="54" t="s">
        <v>194</v>
      </c>
      <c r="D21" s="91" t="s">
        <v>478</v>
      </c>
      <c r="E21" s="77" t="str">
        <f t="shared" si="0"/>
        <v>"[DATA ROBUSTNESS RULE] Handle missing or malformed data safely | " &amp;</v>
      </c>
      <c r="F21" s="54" t="s">
        <v>228</v>
      </c>
    </row>
    <row r="22" spans="2:6">
      <c r="B22" s="54" t="s">
        <v>281</v>
      </c>
      <c r="C22" s="54" t="s">
        <v>195</v>
      </c>
      <c r="D22" s="91" t="s">
        <v>699</v>
      </c>
      <c r="E22" s="77" t="str">
        <f t="shared" si="0"/>
        <v>"[BOOLEAN HANDLING RULE] Normalize boolean values before comparison if the programming language requires it. | " &amp;</v>
      </c>
      <c r="F22" s="54" t="s">
        <v>228</v>
      </c>
    </row>
    <row r="23" spans="2:6">
      <c r="B23" s="54" t="s">
        <v>281</v>
      </c>
      <c r="C23" s="54" t="s">
        <v>196</v>
      </c>
      <c r="D23" s="91" t="s">
        <v>415</v>
      </c>
      <c r="E23" s="77" t="str">
        <f t="shared" si="0"/>
        <v>"[DATA CONSISTENCY RULE] Respect dataset schema | " &amp;</v>
      </c>
      <c r="F23" s="54" t="s">
        <v>228</v>
      </c>
    </row>
    <row r="24" spans="2:6">
      <c r="B24" s="54" t="s">
        <v>281</v>
      </c>
      <c r="C24" s="54" t="s">
        <v>472</v>
      </c>
      <c r="D24" s="91" t="s">
        <v>473</v>
      </c>
      <c r="E24" s="77" t="str">
        <f t="shared" si="0"/>
        <v>"[TICKET FORMAT RULE - STRICT] The 'Context &amp; Ticket' section MUST begin with this EXACT text (translated to " &amp; $B$6 &amp; "):" &amp; CHAR(10) &amp;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&amp; CHAR(10) &amp; CHAR(10) &amp; "Immediately followed by this EXACT multi-line format (translated to " &amp; $B$6 &amp; "):" &amp; CHAR(10) &amp; "🎫 Ticket #[Random 5-digit ID]" &amp; CHAR(10) &amp; "👤 From: [Generate Name] - [Department]" &amp; CHAR(10) &amp; "📥 To: Dev Team" &amp; CHAR(10) &amp; "Subject: [Ticket Subject]" &amp; CHAR(10) &amp; "Hello Dev Team, this is [Name] from [Department]. [Context paragraph]." &amp; CHAR(10) &amp; CHAR(10) &amp; "(Tech Product Manager Notes):" &amp; CHAR(10) &amp; "👥 From: [Generate TPM Name] - Tech Product Manager" &amp; CHAR(10) &amp; "📥 To: [Insert my user name if known, otherwise use '" &amp; $I$2 &amp; " Dev']" &amp; CHAR(10) &amp; "Subject: Assignment Details" &amp; CHAR(10) &amp; "Hello [Insert my user name if known, otherwise use '" &amp; $I$2 &amp; " Dev']!" &amp; CHAR(10) &amp; "[Assignment paragraph]" &amp; CHAR(10) &amp; CHAR(10) &amp; "✅ Acceptance Criteria:" &amp; CHAR(10) &amp; "[Bullet list] | " &amp;</v>
      </c>
      <c r="F24" s="54" t="s">
        <v>228</v>
      </c>
    </row>
    <row r="25" spans="2:6">
      <c r="B25" s="54" t="s">
        <v>281</v>
      </c>
      <c r="C25" s="54" t="s">
        <v>177</v>
      </c>
      <c r="D25" s="91" t="s">
        <v>706</v>
      </c>
      <c r="E25" s="77" t="str">
        <f t="shared" si="0"/>
        <v>"[DATA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 &amp; $B$6 &amp; "). Purge past datasets from memory and generate minimal dummy data. | " &amp;</v>
      </c>
      <c r="F25" s="54" t="s">
        <v>228</v>
      </c>
    </row>
    <row r="26" spans="2:6">
      <c r="B26" s="54" t="s">
        <v>281</v>
      </c>
      <c r="C26" s="54" t="s">
        <v>178</v>
      </c>
      <c r="D26" s="91" t="s">
        <v>418</v>
      </c>
      <c r="E26" s="77" t="str">
        <f t="shared" si="0"/>
        <v>"[DATA SUMMARY FORMAT RULE] When a dataset is present, you MUST display IMMEDIATELY AFTER THE HEADER: Dataset Summary: - File Type: - Columns / Fields: - Data Types: - Notes: | " &amp;</v>
      </c>
      <c r="F26" s="54" t="s">
        <v>228</v>
      </c>
    </row>
    <row r="27" spans="2:6">
      <c r="B27" s="54" t="s">
        <v>281</v>
      </c>
      <c r="C27" s="54" t="s">
        <v>180</v>
      </c>
      <c r="D27" s="91" t="s">
        <v>507</v>
      </c>
      <c r="E27" s="77" t="str">
        <f t="shared" si="0"/>
        <v>"[OUTPUT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&amp; CHAR(10) &amp; " 🛑 STOP BARRIER 🛑 11. 🌳 Updated Code (V1.1 - FULLY IMPLEMENTED) 12. 📝 Implementation Notes 13. Implemented Output (MUST reflect REAL execution of V1.1 code) | " &amp;</v>
      </c>
      <c r="F27" s="54" t="s">
        <v>228</v>
      </c>
    </row>
    <row r="28" spans="2:6">
      <c r="B28" s="54" t="s">
        <v>281</v>
      </c>
      <c r="C28" s="54" t="s">
        <v>182</v>
      </c>
      <c r="D28" s="91" t="s">
        <v>474</v>
      </c>
      <c r="E28" s="77" t="str">
        <f t="shared" si="0"/>
        <v>"[CODE CONSTRAINTS] V1.0 MUST be between " &amp; IF(G9="Beginner", "10–20", IF(G9="Intermediate", "15–30", "25–40")) &amp; " lines of EXECUTABLE code (STRICT) - V1.1 MUST be between " &amp; IF(G9="Beginner", "15–30", IF(G9="Intermediate", "25–45", "35–60")) &amp; " lines of EXECUTABLE code (STRICT) - Do NOT count comments or blank lines towards these limits - ALL code MUST run without errors - MUST be executable and realistic - MUST include a clear integration point - MUST NOT include unused imports - NO classes - NO unnecessary complexity | " &amp;</v>
      </c>
      <c r="F28" s="54" t="s">
        <v>228</v>
      </c>
    </row>
    <row r="29" spans="2:6">
      <c r="B29" s="54" t="s">
        <v>281</v>
      </c>
      <c r="C29" s="54" t="s">
        <v>312</v>
      </c>
      <c r="D29" s="91" t="s">
        <v>479</v>
      </c>
      <c r="E29" s="77" t="str">
        <f t="shared" si="0"/>
        <v>"[SUPPORT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 &amp;</v>
      </c>
      <c r="F29" s="54" t="s">
        <v>228</v>
      </c>
    </row>
    <row r="30" spans="2:6">
      <c r="B30" s="54" t="s">
        <v>281</v>
      </c>
      <c r="C30" s="54" t="s">
        <v>199</v>
      </c>
      <c r="D30" s="91" t="s">
        <v>425</v>
      </c>
      <c r="E30" s="77" t="str">
        <f t="shared" si="0"/>
        <v>"[DIFFICULTY RULE] Complexity MUST match level | " &amp;</v>
      </c>
      <c r="F30" s="54" t="s">
        <v>228</v>
      </c>
    </row>
    <row r="31" spans="2:6">
      <c r="B31" s="54" t="s">
        <v>281</v>
      </c>
      <c r="C31" s="54" t="s">
        <v>211</v>
      </c>
      <c r="D31" s="91" t="s">
        <v>291</v>
      </c>
      <c r="E31" s="77" t="str">
        <f t="shared" si="0"/>
        <v>"[FORMAT RULE] Only valid markdown code blocks allowed | " &amp;</v>
      </c>
      <c r="F31" s="54" t="s">
        <v>228</v>
      </c>
    </row>
    <row r="32" spans="2:6">
      <c r="B32" s="54" t="s">
        <v>281</v>
      </c>
      <c r="C32" s="54" t="s">
        <v>213</v>
      </c>
      <c r="D32" s="91" t="s">
        <v>292</v>
      </c>
      <c r="E32" s="77" t="str">
        <f t="shared" si="0"/>
        <v>"[LANGUAGE TAG RULE] ALWAYS label markdown code blocks with the correct underlying programming language (e.g., python, javascript, sql) | " &amp;</v>
      </c>
      <c r="F32" s="54" t="s">
        <v>228</v>
      </c>
    </row>
    <row r="33" spans="2:6">
      <c r="B33" s="54" t="s">
        <v>281</v>
      </c>
      <c r="C33" s="54" t="s">
        <v>220</v>
      </c>
      <c r="D33" s="91" t="s">
        <v>480</v>
      </c>
      <c r="E33" s="77" t="str">
        <f t="shared" si="0"/>
        <v>"[OUTPUT] Only header, dataset summary or statement (if any), the defined sections, and footer | " &amp;</v>
      </c>
      <c r="F33" s="54" t="s">
        <v>228</v>
      </c>
    </row>
    <row r="34" spans="2:6">
      <c r="B34" s="54" t="s">
        <v>281</v>
      </c>
      <c r="C34" s="54" t="s">
        <v>224</v>
      </c>
      <c r="D34" s="91" t="s">
        <v>481</v>
      </c>
      <c r="E34" s="77" t="str">
        <f t="shared" si="0"/>
        <v>"[FOOTER RULE - STRICT] End your entire response EXACTLY with this markdown string (ensure all code blocks are closed before it):" &amp; CHAR(10) &amp; "---" &amp; CHAR(10) &amp; "⚡ *Coding5s System — Learn Programming by Writing Code*",</v>
      </c>
      <c r="F34" s="54" t="s">
        <v>228</v>
      </c>
    </row>
    <row r="35" spans="2:6">
      <c r="B35" s="54"/>
      <c r="C35" s="54"/>
      <c r="D35" s="91"/>
      <c r="E35" s="88" t="s">
        <v>482</v>
      </c>
      <c r="F35" s="54" t="s">
        <v>228</v>
      </c>
    </row>
    <row r="36" spans="2:6">
      <c r="B36" s="54"/>
      <c r="C36" s="54"/>
      <c r="D36" s="91"/>
      <c r="E36" s="77" t="str">
        <f t="shared" si="0"/>
        <v/>
      </c>
      <c r="F36" s="54" t="s">
        <v>228</v>
      </c>
    </row>
    <row r="37" spans="2:6">
      <c r="B37" s="54"/>
      <c r="C37" s="54"/>
      <c r="D37" s="91"/>
      <c r="E37" s="77" t="str">
        <f t="shared" si="0"/>
        <v/>
      </c>
      <c r="F37" s="54" t="s">
        <v>228</v>
      </c>
    </row>
    <row r="38" spans="2:6">
      <c r="B38" s="54"/>
      <c r="C38" s="54"/>
      <c r="D38" s="91"/>
      <c r="E38" s="77" t="str">
        <f t="shared" si="0"/>
        <v/>
      </c>
      <c r="F38" s="54" t="s">
        <v>228</v>
      </c>
    </row>
    <row r="39" spans="2:6">
      <c r="B39" s="54"/>
      <c r="C39" s="54"/>
      <c r="D39" s="91"/>
      <c r="E39" s="77" t="str">
        <f t="shared" si="0"/>
        <v/>
      </c>
      <c r="F39" s="54" t="s">
        <v>228</v>
      </c>
    </row>
    <row r="40" spans="2:6">
      <c r="B40" s="54"/>
      <c r="C40" s="54"/>
      <c r="D40" s="91"/>
      <c r="E40" s="77" t="str">
        <f t="shared" si="0"/>
        <v/>
      </c>
      <c r="F40" s="54" t="s">
        <v>228</v>
      </c>
    </row>
    <row r="41" spans="2:6">
      <c r="B41" s="54"/>
      <c r="C41" s="54"/>
      <c r="D41" s="91"/>
      <c r="E41" s="77" t="str">
        <f t="shared" si="0"/>
        <v/>
      </c>
      <c r="F41" s="54" t="s">
        <v>228</v>
      </c>
    </row>
    <row r="42" spans="2:6">
      <c r="B42" s="54"/>
      <c r="C42" s="54"/>
      <c r="D42" s="91"/>
      <c r="E42" s="77"/>
      <c r="F42" s="54"/>
    </row>
    <row r="43" spans="2:6">
      <c r="B43" s="74"/>
      <c r="C43" s="74"/>
      <c r="E43" s="86"/>
    </row>
    <row r="44" spans="2:6">
      <c r="B44" s="74"/>
      <c r="C44" s="74"/>
      <c r="E44" s="86"/>
    </row>
    <row r="45" spans="2:6" ht="36">
      <c r="B45" s="79" t="s">
        <v>467</v>
      </c>
      <c r="C45" s="74"/>
      <c r="E45" s="86"/>
    </row>
    <row r="46" spans="2:6">
      <c r="B46" s="76" t="s">
        <v>273</v>
      </c>
      <c r="C46" s="76" t="s">
        <v>596</v>
      </c>
      <c r="D46" s="76" t="s">
        <v>597</v>
      </c>
      <c r="E46" s="88" t="s">
        <v>274</v>
      </c>
      <c r="F46" s="32" t="s">
        <v>228</v>
      </c>
    </row>
    <row r="47" spans="2:6">
      <c r="B47" s="54" t="s">
        <v>226</v>
      </c>
      <c r="C47" s="54" t="s">
        <v>163</v>
      </c>
      <c r="D47" s="91" t="s">
        <v>469</v>
      </c>
      <c r="E47" s="77" t="str">
        <f>IF(D47="","",""""&amp;C47&amp;" "&amp;IF(C47="[FOOTER RULE - STRICT]",D47,IF(RIGHT(D47,6)=" | "&amp;CHAR(34)&amp;" &amp;",D47,D47&amp;" | "&amp;CHAR(34)&amp;" &amp;")))</f>
        <v>"[ROLE] Tech Product Manager assigning a " &amp; $I$2 &amp; " Jira Ticket | " &amp;</v>
      </c>
      <c r="F47" s="32" t="s">
        <v>228</v>
      </c>
    </row>
    <row r="48" spans="2:6">
      <c r="B48" s="54" t="s">
        <v>226</v>
      </c>
      <c r="C48" s="54" t="s">
        <v>165</v>
      </c>
      <c r="D48" s="91" t="s">
        <v>483</v>
      </c>
      <c r="E48" s="77" t="str">
        <f t="shared" ref="E48:E76" si="1">IF(D48="","",""""&amp;C48&amp;" "&amp;IF(C48="[FOOTER RULE - STRICT]",D48,IF(RIGHT(D48,6)=" | "&amp;CHAR(34)&amp;" &amp;",D48,D48&amp;" | "&amp;CHAR(34)&amp;" &amp;")))</f>
        <v>"[TASK] Provide a guided project implementation with full solution | " &amp;</v>
      </c>
      <c r="F48" s="32" t="s">
        <v>228</v>
      </c>
    </row>
    <row r="49" spans="2:6">
      <c r="B49" s="54" t="s">
        <v>226</v>
      </c>
      <c r="C49" s="54" t="s">
        <v>326</v>
      </c>
      <c r="D49" s="91" t="s">
        <v>168</v>
      </c>
      <c r="E49" s="77" t="str">
        <f t="shared" si="1"/>
        <v>"[PROJECT] " &amp; I9 &amp; " | " &amp;</v>
      </c>
      <c r="F49" s="32" t="s">
        <v>228</v>
      </c>
    </row>
    <row r="50" spans="2:6">
      <c r="B50" s="54" t="s">
        <v>226</v>
      </c>
      <c r="C50" s="54" t="s">
        <v>261</v>
      </c>
      <c r="D50" s="91" t="s">
        <v>262</v>
      </c>
      <c r="E50" s="77" t="str">
        <f t="shared" si="1"/>
        <v>"[TOPICS USED] " &amp; B9 &amp; " | " &amp;</v>
      </c>
      <c r="F50" s="32" t="s">
        <v>228</v>
      </c>
    </row>
    <row r="51" spans="2:6">
      <c r="B51" s="54" t="s">
        <v>226</v>
      </c>
      <c r="C51" s="54" t="s">
        <v>169</v>
      </c>
      <c r="D51" s="91" t="s">
        <v>170</v>
      </c>
      <c r="E51" s="77" t="str">
        <f t="shared" si="1"/>
        <v>"[LEVEL] " &amp; G9 &amp; " | " &amp;</v>
      </c>
      <c r="F51" s="32" t="s">
        <v>228</v>
      </c>
    </row>
    <row r="52" spans="2:6">
      <c r="B52" s="54" t="s">
        <v>226</v>
      </c>
      <c r="C52" s="54" t="s">
        <v>173</v>
      </c>
      <c r="D52" s="91" t="s">
        <v>484</v>
      </c>
      <c r="E52" s="77" t="str">
        <f t="shared" si="1"/>
        <v>"[PERSONA RULE] Act as a professional Tech Product Manager defining a project ticket | " &amp;</v>
      </c>
      <c r="F52" s="32" t="s">
        <v>228</v>
      </c>
    </row>
    <row r="53" spans="2:6">
      <c r="B53" s="54" t="s">
        <v>226</v>
      </c>
      <c r="C53" s="54" t="s">
        <v>234</v>
      </c>
      <c r="D53" s="91" t="s">
        <v>276</v>
      </c>
      <c r="E53" s="77" t="str">
        <f t="shared" si="1"/>
        <v>"[LIBRARY BEING LEARNED] " &amp; $I$3 &amp; " | " &amp;</v>
      </c>
      <c r="F53" s="32" t="s">
        <v>228</v>
      </c>
    </row>
    <row r="54" spans="2:6">
      <c r="B54" s="54" t="s">
        <v>226</v>
      </c>
      <c r="C54" s="54" t="s">
        <v>229</v>
      </c>
      <c r="D54" s="91" t="str">
        <f>"If a module or ecosystem like "&amp; Variables!E6 &amp;" is specified in "&amp; Variables!E7 &amp;", you are CRITICALLY FORBIDDEN from using "&amp; Variables!E8 &amp;". You MUST enforce the "&amp; Variables!E9 &amp;" and data structures of that specific library."</f>
        <v>If a module or ecosystem like GenServer, Supervisor, Registry, or DynamicSupervisor is specified in , you are CRITICALLY FORBIDDEN from using manual process linking (spawn/1, spawn_link/1) outside standard OTP behaviors. You MUST enforce the concurrent asynchronous processes and proper Supervisor tree state isolation and data structures of that specific library.</v>
      </c>
      <c r="E54" s="77" t="str">
        <f t="shared" si="1"/>
        <v>"[ECOSYSTEM ORIENTATION RULE] If a module or ecosystem like GenServer, Supervisor, Registry, or DynamicSupervisor is specified in , you are CRITICALLY FORBIDDEN from using manual process linking (spawn/1, spawn_link/1) outside standard OTP behaviors. You MUST enforce the concurrent asynchronous processes and proper Supervisor tree state isolation and data structures of that specific library. | " &amp;</v>
      </c>
      <c r="F54" s="32" t="s">
        <v>228</v>
      </c>
    </row>
    <row r="55" spans="2:6">
      <c r="B55" s="54" t="s">
        <v>226</v>
      </c>
      <c r="C55" s="54" t="s">
        <v>219</v>
      </c>
      <c r="D55" s="91" t="s">
        <v>611</v>
      </c>
      <c r="E55" s="77" t="str">
        <f t="shared" si="1"/>
        <v>"[HEADER RULE - STRICT] You MUST start your entire response EXACTLY with this markdown block (do not print anything before it):" &amp; CHAR(10) &amp; "### 🚀 Project #" &amp; F9 &amp; " | Stage 5 | " &amp; IF($I$3="", $I$2, $I$2&amp; " - " &amp;$I$3) &amp; " | 📊 Level: " &amp; G9 &amp; " | 🌐 Coding5s.com" &amp; CHAR(10) &amp; "**Project:** " &amp; J9 &amp; CHAR(10) &amp; "---" &amp; CHAR(10) &amp; " | " &amp;</v>
      </c>
      <c r="F55" s="32" t="s">
        <v>228</v>
      </c>
    </row>
    <row r="56" spans="2:6">
      <c r="B56" s="54" t="s">
        <v>226</v>
      </c>
      <c r="C56" s="54" t="s">
        <v>175</v>
      </c>
      <c r="D56" s="91" t="s">
        <v>485</v>
      </c>
      <c r="E56" s="77" t="str">
        <f t="shared" si="1"/>
        <v>"[LANGUAGE CONSISTENCY RULE] ALL output MUST be strictly in " &amp; $B$6 &amp; ".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 &amp; $B$6 &amp; " | " &amp; $AE$7 &amp; " | " &amp;</v>
      </c>
      <c r="F56" s="32" t="s">
        <v>228</v>
      </c>
    </row>
    <row r="57" spans="2:6">
      <c r="B57" s="54" t="s">
        <v>226</v>
      </c>
      <c r="C57" s="54" t="s">
        <v>508</v>
      </c>
      <c r="D57" s="91" t="s">
        <v>500</v>
      </c>
      <c r="E57" s="77" t="str">
        <f t="shared" si="1"/>
        <v>"[LANGUAGE SEED CONTEXT] " &amp; IF($AE$7 = "", "Language Seed Not Necessary", "You MUST strictly follow this seed context to enhance, adapt, and naturalize your tone, vocabulary, and instructional quality in " &amp; $B$6 &amp; ": " &amp; $AE$7) &amp; " | " &amp;</v>
      </c>
      <c r="F57" s="32" t="s">
        <v>228</v>
      </c>
    </row>
    <row r="58" spans="2:6">
      <c r="B58" s="54" t="s">
        <v>227</v>
      </c>
      <c r="C58" s="54" t="s">
        <v>236</v>
      </c>
      <c r="D58" s="91"/>
      <c r="E58" s="77" t="str">
        <f t="shared" si="1"/>
        <v/>
      </c>
      <c r="F58" s="32" t="s">
        <v>228</v>
      </c>
    </row>
    <row r="59" spans="2:6">
      <c r="B59" s="54" t="s">
        <v>227</v>
      </c>
      <c r="C59" s="54" t="s">
        <v>236</v>
      </c>
      <c r="D59" s="91"/>
      <c r="E59" s="77" t="str">
        <f t="shared" si="1"/>
        <v/>
      </c>
      <c r="F59" s="32" t="s">
        <v>228</v>
      </c>
    </row>
    <row r="60" spans="2:6">
      <c r="B60" s="54" t="s">
        <v>281</v>
      </c>
      <c r="C60" s="54" t="s">
        <v>182</v>
      </c>
      <c r="D60" s="91" t="s">
        <v>705</v>
      </c>
      <c r="E60" s="77" t="str">
        <f t="shared" si="1"/>
        <v>"[CODE CONSTRAINTS] V1.0 MUST be between " &amp; IF(G9="Beginner", "20–35", IF(G9="Intermediate", "30–50", "45–70")) &amp; " lines of EXECUTABLE code (STRICT) - V1.1 MUST be between " &amp; IF(G9="Beginner", "30–50", IF(G9="Intermediate", "45–75", "60–90")) &amp; " lines of EXECUTABLE code (STRICT) - Do NOT count comments or blank lines towards these limits - MUST run without errors - MUST include integration points - NO unnecessary complexity | " &amp;</v>
      </c>
      <c r="F60" s="32" t="s">
        <v>228</v>
      </c>
    </row>
    <row r="61" spans="2:6">
      <c r="B61" s="54" t="s">
        <v>281</v>
      </c>
      <c r="C61" s="54" t="s">
        <v>475</v>
      </c>
      <c r="D61" s="91" t="s">
        <v>486</v>
      </c>
      <c r="E61" s="77" t="str">
        <f t="shared" si="1"/>
        <v>"[CRITICAL OUTPUT RULE] Output MUST match real execution - Convert sets to sorted lists before printing | " &amp;</v>
      </c>
      <c r="F61" s="32" t="s">
        <v>228</v>
      </c>
    </row>
    <row r="62" spans="2:6">
      <c r="B62" s="54" t="s">
        <v>281</v>
      </c>
      <c r="C62" s="54" t="s">
        <v>183</v>
      </c>
      <c r="D62" s="91" t="s">
        <v>487</v>
      </c>
      <c r="E62" s="77" t="str">
        <f t="shared" si="1"/>
        <v>"[FUNCTION RULE] " &amp; IF(G9="Beginner", "Avoid complex structure. ", IF(G9="Intermediate", "Functions optional. ", "Use structured modular functions. ")) &amp; " | " &amp;</v>
      </c>
      <c r="F62" s="32" t="s">
        <v>228</v>
      </c>
    </row>
    <row r="63" spans="2:6">
      <c r="B63" s="54" t="s">
        <v>281</v>
      </c>
      <c r="C63" s="54" t="s">
        <v>472</v>
      </c>
      <c r="D63" s="91" t="s">
        <v>488</v>
      </c>
      <c r="E63" s="77" t="str">
        <f t="shared" si="1"/>
        <v>"[TICKET FORMAT RULE - STRICT] The 'Context &amp; Ticket' section MUST use this EXACT multi-line format (translated to " &amp; $B$6 &amp; "):" &amp; CHAR(10) &amp; "Ticket #[Random 5-digit ID]" &amp; CHAR(10) &amp; "From: [Generate Name] - [Department]" &amp; CHAR(10) &amp; "To: Dev Team" &amp; CHAR(10) &amp; "Subject: [Ticket Subject]" &amp; CHAR(10) &amp; "Hello Dev Team, this is [Name] from [Department]. [Context paragraph]." &amp; CHAR(10) &amp; CHAR(10) &amp; "(Tech Product Manager Notes):" &amp; CHAR(10) &amp; "From: [Generate TPM Name] - Tech Product Manager" &amp; CHAR(10) &amp; "To: [Insert my user name if known, otherwise use '" &amp; $I$2 &amp; " Dev']" &amp; CHAR(10) &amp; "Subject: Assignment Details" &amp; CHAR(10) &amp; "Hello [Insert my user name if known, otherwise use '" &amp; $I$2 &amp; " Dev']!" &amp; CHAR(10) &amp; "[Assignment paragraph]" &amp; CHAR(10) &amp; CHAR(10) &amp; "Acceptance Criteria:" &amp; CHAR(10) &amp; "[Bullet list] | " &amp;</v>
      </c>
      <c r="F63" s="32" t="s">
        <v>228</v>
      </c>
    </row>
    <row r="64" spans="2:6">
      <c r="B64" s="54" t="s">
        <v>281</v>
      </c>
      <c r="C64" s="54" t="s">
        <v>177</v>
      </c>
      <c r="D64" s="91" t="s">
        <v>489</v>
      </c>
      <c r="E64" s="77" t="str">
        <f t="shared" si="1"/>
        <v>"[DATA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IMMEDIATELY AFTER THE HEADER, PURGE any memory of previous files, and use realistic dummy data | " &amp;</v>
      </c>
      <c r="F64" s="32" t="s">
        <v>228</v>
      </c>
    </row>
    <row r="65" spans="2:6">
      <c r="B65" s="54" t="s">
        <v>281</v>
      </c>
      <c r="C65" s="54" t="s">
        <v>180</v>
      </c>
      <c r="D65" s="91" t="s">
        <v>490</v>
      </c>
      <c r="E65" s="77" t="str">
        <f t="shared" si="1"/>
        <v>"[OUTPUT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 &amp;</v>
      </c>
      <c r="F65" s="32" t="s">
        <v>228</v>
      </c>
    </row>
    <row r="66" spans="2:6">
      <c r="B66" s="54" t="s">
        <v>281</v>
      </c>
      <c r="C66" s="54" t="s">
        <v>184</v>
      </c>
      <c r="D66" s="91" t="s">
        <v>491</v>
      </c>
      <c r="E66" s="77" t="str">
        <f t="shared" si="1"/>
        <v>"[CODE QUALITY RULE] Code MUST be clean and realistic | " &amp;</v>
      </c>
      <c r="F66" s="32" t="s">
        <v>228</v>
      </c>
    </row>
    <row r="67" spans="2:6">
      <c r="B67" s="54" t="s">
        <v>281</v>
      </c>
      <c r="C67" s="54" t="s">
        <v>194</v>
      </c>
      <c r="D67" s="91" t="s">
        <v>434</v>
      </c>
      <c r="E67" s="77" t="str">
        <f t="shared" si="1"/>
        <v>"[DATA ROBUSTNESS RULE] Handle real-world data safely | " &amp;</v>
      </c>
      <c r="F67" s="32" t="s">
        <v>228</v>
      </c>
    </row>
    <row r="68" spans="2:6">
      <c r="B68" s="54" t="s">
        <v>281</v>
      </c>
      <c r="C68" s="54" t="s">
        <v>211</v>
      </c>
      <c r="D68" s="91" t="s">
        <v>492</v>
      </c>
      <c r="E68" s="77" t="str">
        <f t="shared" si="1"/>
        <v>"[FORMAT RULE] Only markdown code blocks allowed | " &amp;</v>
      </c>
      <c r="F68" s="32" t="s">
        <v>228</v>
      </c>
    </row>
    <row r="69" spans="2:6">
      <c r="B69" s="54" t="s">
        <v>281</v>
      </c>
      <c r="C69" s="54" t="s">
        <v>213</v>
      </c>
      <c r="D69" s="91" t="s">
        <v>292</v>
      </c>
      <c r="E69" s="77" t="str">
        <f t="shared" si="1"/>
        <v>"[LANGUAGE TAG RULE] ALWAYS label markdown code blocks with the correct underlying programming language (e.g., python, javascript, sql) | " &amp;</v>
      </c>
      <c r="F69" s="32" t="s">
        <v>228</v>
      </c>
    </row>
    <row r="70" spans="2:6">
      <c r="B70" s="54" t="s">
        <v>281</v>
      </c>
      <c r="C70" s="54" t="s">
        <v>268</v>
      </c>
      <c r="D70" s="91" t="s">
        <v>493</v>
      </c>
      <c r="E70" s="77" t="str">
        <f t="shared" si="1"/>
        <v>"[EXECUTION RULE] Code MUST run correctly | " &amp;</v>
      </c>
      <c r="F70" s="32" t="s">
        <v>228</v>
      </c>
    </row>
    <row r="71" spans="2:6">
      <c r="B71" s="54" t="s">
        <v>281</v>
      </c>
      <c r="C71" s="54" t="s">
        <v>220</v>
      </c>
      <c r="D71" s="91" t="s">
        <v>494</v>
      </c>
      <c r="E71" s="77" t="str">
        <f t="shared" si="1"/>
        <v>"[OUTPUT] Only header, dataset summary or statement (if any), defined sections, and footer, | " &amp;</v>
      </c>
      <c r="F71" s="32" t="s">
        <v>228</v>
      </c>
    </row>
    <row r="72" spans="2:6">
      <c r="B72" s="54" t="s">
        <v>281</v>
      </c>
      <c r="C72" s="54" t="s">
        <v>224</v>
      </c>
      <c r="D72" s="91" t="s">
        <v>272</v>
      </c>
      <c r="E72" s="77" t="str">
        <f t="shared" si="1"/>
        <v>"[FOOTER RULE - STRICT] End your entire response EXACTLY with this markdown string (ensure all code blocks are closed before it):" &amp; CHAR(10) &amp; "---" &amp; CHAR(10) &amp; "⚡ *Coding5s System — Learn Programming by Writing Code*")</v>
      </c>
      <c r="F72" s="32" t="s">
        <v>228</v>
      </c>
    </row>
    <row r="73" spans="2:6">
      <c r="B73" s="54"/>
      <c r="C73" s="54"/>
      <c r="D73" s="91"/>
      <c r="E73" s="77" t="str">
        <f t="shared" si="1"/>
        <v/>
      </c>
      <c r="F73" s="32" t="s">
        <v>228</v>
      </c>
    </row>
    <row r="74" spans="2:6">
      <c r="B74" s="54"/>
      <c r="C74" s="54"/>
      <c r="D74" s="91"/>
      <c r="E74" s="77" t="str">
        <f t="shared" si="1"/>
        <v/>
      </c>
      <c r="F74" s="32" t="s">
        <v>228</v>
      </c>
    </row>
    <row r="75" spans="2:6">
      <c r="B75" s="54"/>
      <c r="C75" s="54"/>
      <c r="D75" s="91"/>
      <c r="E75" s="77" t="str">
        <f t="shared" si="1"/>
        <v/>
      </c>
      <c r="F75" s="32" t="s">
        <v>228</v>
      </c>
    </row>
    <row r="76" spans="2:6">
      <c r="B76" s="54"/>
      <c r="C76" s="54"/>
      <c r="D76" s="91"/>
      <c r="E76" s="77" t="str">
        <f t="shared" si="1"/>
        <v/>
      </c>
      <c r="F76" s="32" t="s">
        <v>228</v>
      </c>
    </row>
    <row r="77" spans="2:6">
      <c r="E77" s="86"/>
      <c r="F77" t="s">
        <v>228</v>
      </c>
    </row>
    <row r="79" spans="2:6" ht="36">
      <c r="B79" s="80" t="s">
        <v>468</v>
      </c>
    </row>
    <row r="80" spans="2:6">
      <c r="B80" s="76" t="s">
        <v>225</v>
      </c>
      <c r="C80" s="76" t="s">
        <v>596</v>
      </c>
      <c r="D80" s="76" t="s">
        <v>597</v>
      </c>
      <c r="E80" s="89" t="s">
        <v>241</v>
      </c>
      <c r="F80" s="54" t="s">
        <v>228</v>
      </c>
    </row>
    <row r="81" spans="2:6">
      <c r="B81" s="54" t="s">
        <v>226</v>
      </c>
      <c r="C81" s="54" t="s">
        <v>495</v>
      </c>
      <c r="D81" s="91" t="s">
        <v>496</v>
      </c>
      <c r="E81" s="17" t="str">
        <f t="shared" ref="E81:E95" si="2">IF(D81="","",""""&amp;C81&amp;" "&amp;IF(OR(C81="[FOOTER RULE - STRICT]",C81="[FOOTER RULE]"),D81,IF(RIGHT(D81,6)=" | "&amp;CHAR(34)&amp;" &amp;",D81,D81&amp;" | "&amp;CHAR(34)&amp;" &amp;")))</f>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 &amp;</v>
      </c>
      <c r="F81" s="54" t="s">
        <v>228</v>
      </c>
    </row>
    <row r="82" spans="2:6">
      <c r="B82" s="54" t="s">
        <v>226</v>
      </c>
      <c r="C82" s="54" t="s">
        <v>243</v>
      </c>
      <c r="D82" s="91" t="s">
        <v>497</v>
      </c>
      <c r="E82" s="17" t="str">
        <f t="shared" si="2"/>
        <v>"[CULTURAL &amp; JARGON RULE] If the language (" &amp; $B$6 &amp; ") is Portuguese, act like an 'Arquiteto de Software Sênior' using local jargon (e.g., 'subir pra produção', 'vai escalar?', 'casos extremos'). If Spanish, use Latin American tech terminology (e.g., 'subir a producción', '¿esto escala?', 'casos borde'). Match the cultural vibe of a strategic tech lead. | " &amp;</v>
      </c>
      <c r="F82" s="54" t="s">
        <v>228</v>
      </c>
    </row>
    <row r="83" spans="2:6">
      <c r="B83" s="54" t="s">
        <v>226</v>
      </c>
      <c r="C83" s="54" t="s">
        <v>244</v>
      </c>
      <c r="D83" s="91" t="s">
        <v>498</v>
      </c>
      <c r="E83" s="17" t="str">
        <f t="shared" si="2"/>
        <v>"[CONTEXT] You are reviewing the final implementation of a new feature for a " &amp; IF(UPPER(H9)="PROJECT", "PROJECT: " &amp; I9 &amp; ". Topics integrated: " &amp; B9 &amp; ". Business Goal: " &amp; J9, "TOPIC: " &amp; I9 &amp; ". Goal: " &amp; J9) &amp; " | " &amp;</v>
      </c>
      <c r="F83" s="54" t="s">
        <v>228</v>
      </c>
    </row>
    <row r="84" spans="2:6">
      <c r="B84" s="54" t="s">
        <v>226</v>
      </c>
      <c r="C84" s="54" t="s">
        <v>165</v>
      </c>
      <c r="D84" s="91" t="s">
        <v>499</v>
      </c>
      <c r="E84" s="17" t="str">
        <f t="shared" si="2"/>
        <v>"[TASK] Analyze the extension code. If they already anticipated the edge cases and scalability issues (e.g., using generators or async patterns), give them the 'Architect's Approval' and discuss a more advanced trade-off. Otherwise, follow the 2-PHASE MENTORING PROTOCOL | " &amp;</v>
      </c>
      <c r="F84" s="54" t="s">
        <v>228</v>
      </c>
    </row>
    <row r="85" spans="2:6">
      <c r="B85" s="54" t="s">
        <v>226</v>
      </c>
      <c r="C85" s="54" t="s">
        <v>234</v>
      </c>
      <c r="D85" s="91" t="s">
        <v>276</v>
      </c>
      <c r="E85" s="17" t="str">
        <f t="shared" si="2"/>
        <v>"[LIBRARY BEING LEARNED] " &amp; $I$3 &amp; " | " &amp;</v>
      </c>
      <c r="F85" s="54" t="s">
        <v>228</v>
      </c>
    </row>
    <row r="86" spans="2:6">
      <c r="B86" s="54" t="s">
        <v>226</v>
      </c>
      <c r="C86" s="54" t="s">
        <v>175</v>
      </c>
      <c r="D86" s="91" t="s">
        <v>263</v>
      </c>
      <c r="E86" s="17" t="str">
        <f t="shared" si="2"/>
        <v>"[LANGUAGE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86" s="54" t="s">
        <v>228</v>
      </c>
    </row>
    <row r="87" spans="2:6">
      <c r="B87" s="54" t="s">
        <v>226</v>
      </c>
      <c r="C87" s="54" t="s">
        <v>508</v>
      </c>
      <c r="D87" s="91" t="s">
        <v>500</v>
      </c>
      <c r="E87" s="17" t="str">
        <f t="shared" si="2"/>
        <v>"[LANGUAGE SEED CONTEXT] " &amp; IF($AE$7 = "", "Language Seed Not Necessary", "You MUST strictly follow this seed context to enhance, adapt, and naturalize your tone, vocabulary, and instructional quality in " &amp; $B$6 &amp; ": " &amp; $AE$7) &amp; " | " &amp;</v>
      </c>
      <c r="F87" s="54" t="s">
        <v>228</v>
      </c>
    </row>
    <row r="88" spans="2:6">
      <c r="B88" s="54" t="s">
        <v>226</v>
      </c>
      <c r="C88" s="54" t="s">
        <v>219</v>
      </c>
      <c r="D88" s="91" t="s">
        <v>612</v>
      </c>
      <c r="E88" s="17" t="str">
        <f t="shared" si="2"/>
        <v>"[HEADER RULE - STRICT] You MUST start your entire response exactly with the following RAW markdown block (do NOT strip the '#' characters):" &amp; CHAR(10) &amp; "### 🚀 Elite Mentor Stage 5 | " &amp; IF(UPPER(H9)="PROJECT", "Project #", "Topic #") &amp; F9 &amp; " | Extend | " &amp; IF($I$3="", $I$2, $I$2&amp; " - " &amp;$I$3) &amp; " | 📊 Level: " &amp; G9 &amp; CHAR(10) &amp; "**" &amp; IF(UPPER(H9)="PROJECT", "Project", "Topic") &amp; ":** " &amp; I9 &amp; CHAR(10) &amp; "---" &amp; CHAR(10) &amp; " | " &amp;</v>
      </c>
      <c r="F88" s="54" t="s">
        <v>228</v>
      </c>
    </row>
    <row r="89" spans="2:6">
      <c r="B89" s="54" t="s">
        <v>227</v>
      </c>
      <c r="C89" s="54" t="s">
        <v>236</v>
      </c>
      <c r="D89" s="91"/>
      <c r="E89" s="17" t="str">
        <f t="shared" si="2"/>
        <v/>
      </c>
      <c r="F89" s="54" t="s">
        <v>228</v>
      </c>
    </row>
    <row r="90" spans="2:6">
      <c r="B90" s="54" t="s">
        <v>227</v>
      </c>
      <c r="C90" s="54" t="s">
        <v>697</v>
      </c>
      <c r="D90" s="91" t="str">
        <f>Variables!E59 &amp; " | " &amp; CHAR(34) &amp; " &amp;"</f>
        <v>Code MUST adhere strictly to Elixir Style Guide and OTP standards. Use snake_case for functions/variables, PascalCase for modules. NEVER leak state globally; enforce strict callback immutability. Prioritize highly fault-tolerant OTP architectures. | " &amp;</v>
      </c>
      <c r="E90" s="17" t="str">
        <f t="shared" si="2"/>
        <v>"[CODE_QUALITY_PROTOCOL] Code MUST adhere strictly to Elixir Style Guide and OTP standards. Use snake_case for functions/variables, PascalCase for modules. NEVER leak state globally; enforce strict callback immutability. Prioritize highly fault-tolerant OTP architectures. | " &amp;</v>
      </c>
      <c r="F90" s="54" t="s">
        <v>228</v>
      </c>
    </row>
    <row r="91" spans="2:6">
      <c r="B91" s="54" t="s">
        <v>281</v>
      </c>
      <c r="C91" s="54" t="s">
        <v>245</v>
      </c>
      <c r="D91" s="91" t="s">
        <v>501</v>
      </c>
      <c r="E91" s="17" t="str">
        <f t="shared" si="2"/>
        <v>"[EMPTY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 &amp;</v>
      </c>
      <c r="F91" s="54" t="s">
        <v>228</v>
      </c>
    </row>
    <row r="92" spans="2:6">
      <c r="B92" s="54" t="s">
        <v>281</v>
      </c>
      <c r="C92" s="54" t="s">
        <v>247</v>
      </c>
      <c r="D92" s="91" t="s">
        <v>502</v>
      </c>
      <c r="E92" s="17" t="str">
        <f t="shared" si="2"/>
        <v>"[PHASE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 &amp;</v>
      </c>
      <c r="F92" s="54" t="s">
        <v>228</v>
      </c>
    </row>
    <row r="93" spans="2:6">
      <c r="B93" s="54" t="s">
        <v>281</v>
      </c>
      <c r="C93" s="54" t="s">
        <v>248</v>
      </c>
      <c r="D93" s="91" t="s">
        <v>503</v>
      </c>
      <c r="E93" s="17" t="str">
        <f t="shared" si="2"/>
        <v>"[EXPLANATION GATE &amp; SCROLL BARRIER] After Phase 1, you MUST insert exactly this visual separator:" &amp; CHAR(10) &amp; "------------------------------------------------------------" &amp; CHAR(10) &amp; "🛑 THE EXPLANATION GATE 🛑" &amp; CHAR(10) &amp; "Before scrolling down to the final architectural review, articulate the TRADE-OFFS of your implementation. What happens when this feature faces extreme load? Pushing code without understanding scale builds Epistemic Debt." &amp; CHAR(10) &amp; "------------------------------------------------------------ | " &amp;</v>
      </c>
      <c r="F93" s="54" t="s">
        <v>228</v>
      </c>
    </row>
    <row r="94" spans="2:6">
      <c r="B94" s="54" t="s">
        <v>281</v>
      </c>
      <c r="C94" s="54" t="s">
        <v>504</v>
      </c>
      <c r="D94" s="91" t="s">
        <v>505</v>
      </c>
      <c r="E94" s="17" t="str">
        <f t="shared" si="2"/>
        <v>"[PHASE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 &amp;</v>
      </c>
      <c r="F94" s="54" t="s">
        <v>228</v>
      </c>
    </row>
    <row r="95" spans="2:6">
      <c r="B95" s="54" t="s">
        <v>281</v>
      </c>
      <c r="C95" s="54" t="s">
        <v>343</v>
      </c>
      <c r="D95" s="91" t="s">
        <v>506</v>
      </c>
      <c r="E95" s="17" t="str">
        <f t="shared" si="2"/>
        <v>"[FOOTER RULE] End your response with: '--- ⚡ *Coding5s Mentor System — Eliminating Epistemic Debt &amp; Shipping to Production*'",</v>
      </c>
      <c r="F95" s="54" t="s">
        <v>228</v>
      </c>
    </row>
    <row r="96" spans="2:6">
      <c r="B96" s="54"/>
      <c r="C96" s="54"/>
      <c r="D96" s="91"/>
      <c r="E96" s="89" t="s">
        <v>453</v>
      </c>
      <c r="F96" s="54" t="s">
        <v>228</v>
      </c>
    </row>
    <row r="97" spans="2:6">
      <c r="B97" s="54"/>
      <c r="C97" s="54"/>
      <c r="D97" s="91"/>
      <c r="E97" s="77" t="str">
        <f t="shared" ref="E97:E100" si="3">IF(D97="","",""""&amp;C97&amp;" "&amp;IF(C97="[FOOTER RULE - STRICT]",D97,IF(RIGHT(D97,6)=" | "&amp;CHAR(34)&amp;" &amp;",D97,D97&amp;" | "&amp;CHAR(34)&amp;" &amp;")))</f>
        <v/>
      </c>
      <c r="F97" s="54" t="s">
        <v>228</v>
      </c>
    </row>
    <row r="98" spans="2:6">
      <c r="B98" s="54"/>
      <c r="C98" s="54"/>
      <c r="D98" s="91"/>
      <c r="E98" s="77" t="str">
        <f t="shared" si="3"/>
        <v/>
      </c>
      <c r="F98" s="54" t="s">
        <v>228</v>
      </c>
    </row>
    <row r="99" spans="2:6">
      <c r="B99" s="54"/>
      <c r="C99" s="54"/>
      <c r="D99" s="91"/>
      <c r="E99" s="77" t="str">
        <f t="shared" si="3"/>
        <v/>
      </c>
      <c r="F99" s="54" t="s">
        <v>228</v>
      </c>
    </row>
    <row r="100" spans="2:6">
      <c r="B100" s="54"/>
      <c r="C100" s="54"/>
      <c r="D100" s="91"/>
      <c r="E100" s="77" t="str">
        <f t="shared" si="3"/>
        <v/>
      </c>
      <c r="F100" s="54" t="s">
        <v>228</v>
      </c>
    </row>
  </sheetData>
  <conditionalFormatting sqref="B1:B1048576">
    <cfRule type="cellIs" dxfId="11" priority="10" operator="equal">
      <formula>"The Immutable Kernel"</formula>
    </cfRule>
    <cfRule type="cellIs" dxfId="10" priority="11" operator="equal">
      <formula>"Paradigm &amp; Ecosystem"</formula>
    </cfRule>
    <cfRule type="cellIs" dxfId="9" priority="12" operator="equal">
      <formula>"Global Variables &amp; Configuration"</formula>
    </cfRule>
  </conditionalFormatting>
  <conditionalFormatting sqref="C4:C42">
    <cfRule type="expression" dxfId="8" priority="7">
      <formula>$B4="The Immutable Kernel"</formula>
    </cfRule>
    <cfRule type="expression" dxfId="7" priority="8">
      <formula>$B4="Paradigm &amp; Ecosystem"</formula>
    </cfRule>
    <cfRule type="expression" dxfId="6" priority="9">
      <formula>$B4="Global Variables &amp; Configuration"</formula>
    </cfRule>
  </conditionalFormatting>
  <conditionalFormatting sqref="C47:C76">
    <cfRule type="expression" dxfId="5" priority="4">
      <formula>$B47="The Immutable Kernel"</formula>
    </cfRule>
    <cfRule type="expression" dxfId="4" priority="5">
      <formula>$B47="Paradigm &amp; Ecosystem"</formula>
    </cfRule>
    <cfRule type="expression" dxfId="3" priority="6">
      <formula>$B47="Global Variables &amp; Configuration"</formula>
    </cfRule>
  </conditionalFormatting>
  <conditionalFormatting sqref="C81:C100">
    <cfRule type="expression" dxfId="2" priority="1">
      <formula>$B81="The Immutable Kernel"</formula>
    </cfRule>
    <cfRule type="expression" dxfId="1" priority="2">
      <formula>$B81="Paradigm &amp; Ecosystem"</formula>
    </cfRule>
    <cfRule type="expression" dxfId="0" priority="3">
      <formula>$B81="Global Variables &amp; Configuration"</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6967FC-E7C3-4DC7-B5E1-4045F280E864}">
  <dimension ref="B2:E19"/>
  <sheetViews>
    <sheetView workbookViewId="0"/>
  </sheetViews>
  <sheetFormatPr defaultRowHeight="15"/>
  <cols>
    <col min="2" max="2" width="6.42578125" customWidth="1"/>
    <col min="3" max="3" width="34.5703125" bestFit="1" customWidth="1"/>
    <col min="4" max="4" width="8.7109375" bestFit="1" customWidth="1"/>
    <col min="5" max="5" width="152.85546875" bestFit="1" customWidth="1"/>
  </cols>
  <sheetData>
    <row r="2" spans="2:5">
      <c r="B2" t="s">
        <v>567</v>
      </c>
      <c r="C2" t="s">
        <v>538</v>
      </c>
      <c r="D2" t="s">
        <v>25</v>
      </c>
      <c r="E2" t="s">
        <v>568</v>
      </c>
    </row>
    <row r="3" spans="2:5">
      <c r="B3" t="s">
        <v>539</v>
      </c>
      <c r="C3" t="s">
        <v>20</v>
      </c>
      <c r="D3" t="s">
        <v>540</v>
      </c>
      <c r="E3" t="s">
        <v>569</v>
      </c>
    </row>
    <row r="4" spans="2:5">
      <c r="B4" t="s">
        <v>541</v>
      </c>
      <c r="C4" t="s">
        <v>559</v>
      </c>
      <c r="D4" t="s">
        <v>540</v>
      </c>
      <c r="E4" t="s">
        <v>570</v>
      </c>
    </row>
    <row r="5" spans="2:5">
      <c r="B5" t="s">
        <v>542</v>
      </c>
      <c r="C5" t="s">
        <v>23</v>
      </c>
      <c r="D5" t="s">
        <v>540</v>
      </c>
      <c r="E5" t="s">
        <v>571</v>
      </c>
    </row>
    <row r="6" spans="2:5">
      <c r="B6" t="s">
        <v>543</v>
      </c>
      <c r="C6" t="s">
        <v>24</v>
      </c>
      <c r="D6" t="s">
        <v>540</v>
      </c>
      <c r="E6" t="s">
        <v>572</v>
      </c>
    </row>
    <row r="7" spans="2:5">
      <c r="B7" t="s">
        <v>544</v>
      </c>
      <c r="C7" t="s">
        <v>25</v>
      </c>
      <c r="D7" t="s">
        <v>540</v>
      </c>
      <c r="E7" t="s">
        <v>573</v>
      </c>
    </row>
    <row r="8" spans="2:5">
      <c r="B8" t="s">
        <v>545</v>
      </c>
      <c r="C8" t="s">
        <v>26</v>
      </c>
      <c r="D8" t="s">
        <v>540</v>
      </c>
      <c r="E8" t="s">
        <v>574</v>
      </c>
    </row>
    <row r="9" spans="2:5">
      <c r="B9" t="s">
        <v>546</v>
      </c>
      <c r="C9" t="s">
        <v>27</v>
      </c>
      <c r="D9" t="s">
        <v>540</v>
      </c>
      <c r="E9" t="s">
        <v>575</v>
      </c>
    </row>
    <row r="10" spans="2:5">
      <c r="B10" t="s">
        <v>547</v>
      </c>
      <c r="C10" t="s">
        <v>47</v>
      </c>
      <c r="D10" t="s">
        <v>548</v>
      </c>
      <c r="E10" t="s">
        <v>576</v>
      </c>
    </row>
    <row r="11" spans="2:5">
      <c r="B11" t="s">
        <v>549</v>
      </c>
      <c r="C11" t="s">
        <v>550</v>
      </c>
      <c r="D11" t="s">
        <v>548</v>
      </c>
      <c r="E11" t="s">
        <v>577</v>
      </c>
    </row>
    <row r="12" spans="2:5">
      <c r="B12" t="s">
        <v>551</v>
      </c>
      <c r="C12" t="s">
        <v>560</v>
      </c>
      <c r="D12" t="s">
        <v>548</v>
      </c>
      <c r="E12" t="s">
        <v>578</v>
      </c>
    </row>
    <row r="13" spans="2:5">
      <c r="B13" t="s">
        <v>552</v>
      </c>
      <c r="C13" t="s">
        <v>515</v>
      </c>
      <c r="D13" t="s">
        <v>548</v>
      </c>
      <c r="E13" t="s">
        <v>579</v>
      </c>
    </row>
    <row r="14" spans="2:5">
      <c r="B14" t="s">
        <v>553</v>
      </c>
      <c r="C14" t="s">
        <v>561</v>
      </c>
      <c r="D14" t="s">
        <v>540</v>
      </c>
      <c r="E14" t="s">
        <v>580</v>
      </c>
    </row>
    <row r="15" spans="2:5">
      <c r="B15" t="s">
        <v>554</v>
      </c>
      <c r="C15" t="s">
        <v>562</v>
      </c>
      <c r="D15" t="s">
        <v>540</v>
      </c>
      <c r="E15" t="s">
        <v>581</v>
      </c>
    </row>
    <row r="16" spans="2:5">
      <c r="B16" t="s">
        <v>555</v>
      </c>
      <c r="C16" t="s">
        <v>563</v>
      </c>
      <c r="D16" t="s">
        <v>540</v>
      </c>
      <c r="E16" t="s">
        <v>582</v>
      </c>
    </row>
    <row r="17" spans="2:5">
      <c r="B17" t="s">
        <v>556</v>
      </c>
      <c r="C17" t="s">
        <v>564</v>
      </c>
      <c r="D17" t="s">
        <v>540</v>
      </c>
      <c r="E17" t="s">
        <v>583</v>
      </c>
    </row>
    <row r="18" spans="2:5">
      <c r="B18" t="s">
        <v>557</v>
      </c>
      <c r="C18" t="s">
        <v>565</v>
      </c>
      <c r="D18" t="s">
        <v>540</v>
      </c>
      <c r="E18" t="s">
        <v>584</v>
      </c>
    </row>
    <row r="19" spans="2:5">
      <c r="B19" t="s">
        <v>558</v>
      </c>
      <c r="C19" t="s">
        <v>566</v>
      </c>
      <c r="D19" t="s">
        <v>540</v>
      </c>
      <c r="E19" t="s">
        <v>585</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F7C0CD-3B2A-4DA0-A954-04B702664FC8}">
  <dimension ref="B2:K25"/>
  <sheetViews>
    <sheetView showGridLines="0" workbookViewId="0"/>
  </sheetViews>
  <sheetFormatPr defaultRowHeight="15"/>
  <cols>
    <col min="1" max="1" width="3.140625" customWidth="1"/>
  </cols>
  <sheetData>
    <row r="2" spans="2:11">
      <c r="B2" s="105" t="s">
        <v>519</v>
      </c>
      <c r="C2" s="106"/>
      <c r="D2" s="106"/>
      <c r="E2" s="106"/>
      <c r="F2" s="106"/>
      <c r="G2" s="106"/>
      <c r="H2" s="106"/>
      <c r="I2" s="106"/>
      <c r="J2" s="106"/>
      <c r="K2" s="107"/>
    </row>
    <row r="3" spans="2:11">
      <c r="B3" s="108"/>
      <c r="K3" s="109"/>
    </row>
    <row r="4" spans="2:11">
      <c r="B4" s="108" t="s">
        <v>520</v>
      </c>
      <c r="K4" s="109"/>
    </row>
    <row r="5" spans="2:11">
      <c r="B5" s="108"/>
      <c r="K5" s="109"/>
    </row>
    <row r="6" spans="2:11">
      <c r="B6" s="110" t="s">
        <v>521</v>
      </c>
      <c r="K6" s="109"/>
    </row>
    <row r="7" spans="2:11">
      <c r="B7" s="110" t="s">
        <v>522</v>
      </c>
      <c r="K7" s="109"/>
    </row>
    <row r="8" spans="2:11">
      <c r="B8" s="110" t="s">
        <v>523</v>
      </c>
      <c r="K8" s="109"/>
    </row>
    <row r="9" spans="2:11">
      <c r="B9" s="110" t="s">
        <v>524</v>
      </c>
      <c r="K9" s="109"/>
    </row>
    <row r="10" spans="2:11">
      <c r="B10" s="110" t="s">
        <v>525</v>
      </c>
      <c r="K10" s="109"/>
    </row>
    <row r="11" spans="2:11">
      <c r="B11" s="110" t="s">
        <v>526</v>
      </c>
      <c r="K11" s="109"/>
    </row>
    <row r="12" spans="2:11">
      <c r="B12" s="110"/>
      <c r="K12" s="109"/>
    </row>
    <row r="13" spans="2:11">
      <c r="B13" s="110" t="s">
        <v>527</v>
      </c>
      <c r="K13" s="109"/>
    </row>
    <row r="14" spans="2:11">
      <c r="B14" s="110" t="s">
        <v>528</v>
      </c>
      <c r="K14" s="109"/>
    </row>
    <row r="15" spans="2:11">
      <c r="B15" s="110"/>
      <c r="K15" s="109"/>
    </row>
    <row r="16" spans="2:11">
      <c r="B16" s="110" t="s">
        <v>529</v>
      </c>
      <c r="K16" s="109"/>
    </row>
    <row r="17" spans="2:11">
      <c r="B17" s="110" t="s">
        <v>530</v>
      </c>
      <c r="K17" s="109"/>
    </row>
    <row r="18" spans="2:11">
      <c r="B18" s="110" t="s">
        <v>531</v>
      </c>
      <c r="K18" s="109"/>
    </row>
    <row r="19" spans="2:11">
      <c r="B19" s="110" t="s">
        <v>532</v>
      </c>
      <c r="K19" s="109"/>
    </row>
    <row r="20" spans="2:11">
      <c r="B20" s="110" t="s">
        <v>533</v>
      </c>
      <c r="K20" s="109"/>
    </row>
    <row r="21" spans="2:11">
      <c r="B21" s="110" t="s">
        <v>534</v>
      </c>
      <c r="K21" s="109"/>
    </row>
    <row r="22" spans="2:11">
      <c r="B22" s="110" t="s">
        <v>535</v>
      </c>
      <c r="K22" s="109"/>
    </row>
    <row r="23" spans="2:11">
      <c r="B23" s="110"/>
      <c r="K23" s="109"/>
    </row>
    <row r="24" spans="2:11">
      <c r="B24" s="110" t="s">
        <v>536</v>
      </c>
      <c r="D24" s="114" t="s">
        <v>537</v>
      </c>
      <c r="K24" s="109"/>
    </row>
    <row r="25" spans="2:11">
      <c r="B25" s="111"/>
      <c r="C25" s="112"/>
      <c r="D25" s="112"/>
      <c r="E25" s="112"/>
      <c r="F25" s="112"/>
      <c r="G25" s="112"/>
      <c r="H25" s="112"/>
      <c r="I25" s="112"/>
      <c r="J25" s="112"/>
      <c r="K25" s="113"/>
    </row>
  </sheetData>
  <hyperlinks>
    <hyperlink ref="D24" r:id="rId1" xr:uid="{C1585F6D-E84E-4BDD-BFC6-8C9DE04D69FF}"/>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F58C24-33BE-44DB-863E-82947C8C3CEA}">
  <dimension ref="A1:A16"/>
  <sheetViews>
    <sheetView showGridLines="0" workbookViewId="0">
      <selection activeCell="G12" sqref="G12"/>
    </sheetView>
  </sheetViews>
  <sheetFormatPr defaultRowHeight="15"/>
  <sheetData>
    <row r="1" spans="1:1" ht="18">
      <c r="A1" s="115" t="s">
        <v>586</v>
      </c>
    </row>
    <row r="3" spans="1:1">
      <c r="A3" t="s">
        <v>587</v>
      </c>
    </row>
    <row r="4" spans="1:1">
      <c r="A4" s="116"/>
    </row>
    <row r="5" spans="1:1">
      <c r="A5" s="117" t="s">
        <v>588</v>
      </c>
    </row>
    <row r="6" spans="1:1">
      <c r="A6" s="118"/>
    </row>
    <row r="7" spans="1:1">
      <c r="A7" s="119" t="s">
        <v>589</v>
      </c>
    </row>
    <row r="8" spans="1:1">
      <c r="A8" s="119" t="s">
        <v>590</v>
      </c>
    </row>
    <row r="9" spans="1:1">
      <c r="A9" s="116"/>
    </row>
    <row r="10" spans="1:1">
      <c r="A10" s="117" t="s">
        <v>591</v>
      </c>
    </row>
    <row r="11" spans="1:1">
      <c r="A11" s="118"/>
    </row>
    <row r="12" spans="1:1">
      <c r="A12" s="118" t="s">
        <v>592</v>
      </c>
    </row>
    <row r="13" spans="1:1">
      <c r="A13" s="118" t="s">
        <v>593</v>
      </c>
    </row>
    <row r="14" spans="1:1">
      <c r="A14" s="118" t="s">
        <v>594</v>
      </c>
    </row>
    <row r="15" spans="1:1">
      <c r="A15" s="116"/>
    </row>
    <row r="16" spans="1:1">
      <c r="A16" s="117" t="s">
        <v>595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PromptGenerator</vt:lpstr>
      <vt:lpstr>HowToStudy</vt:lpstr>
      <vt:lpstr>Variables</vt:lpstr>
      <vt:lpstr>FGen_S1</vt:lpstr>
      <vt:lpstr>FGen_S2</vt:lpstr>
      <vt:lpstr>FGen_S3</vt:lpstr>
      <vt:lpstr>FGen_S4</vt:lpstr>
      <vt:lpstr>FGen_S5</vt:lpstr>
      <vt:lpstr>CellReference</vt:lpstr>
      <vt:lpstr>License</vt:lpstr>
      <vt:lpstr>HowTo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Wil Barrios</dc:creator>
  <cp:lastModifiedBy>Wil Barrios</cp:lastModifiedBy>
  <dcterms:created xsi:type="dcterms:W3CDTF">2026-06-26T06:07:42Z</dcterms:created>
  <dcterms:modified xsi:type="dcterms:W3CDTF">2026-07-26T17:09:00Z</dcterms:modified>
</cp:coreProperties>
</file>