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elixir\"/>
    </mc:Choice>
  </mc:AlternateContent>
  <xr:revisionPtr revIDLastSave="0" documentId="13_ncr:1_{6E748B84-06E0-41FA-B9C6-A2C0A6FDAC63}"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9895" yWindow="1665"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10" i="1" l="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AD10" i="1"/>
  <c r="AD11" i="1"/>
  <c r="AD12" i="1"/>
  <c r="AD13" i="1"/>
  <c r="AD14" i="1"/>
  <c r="AD15" i="1"/>
  <c r="AD16" i="1"/>
  <c r="AD17" i="1"/>
  <c r="AD18" i="1"/>
  <c r="AD19" i="1"/>
  <c r="AD20" i="1"/>
  <c r="AD21" i="1"/>
  <c r="AD22" i="1"/>
  <c r="AD23" i="1"/>
  <c r="AD24" i="1"/>
  <c r="AD25" i="1"/>
  <c r="AD26" i="1"/>
  <c r="AD27" i="1"/>
  <c r="AD28" i="1"/>
  <c r="AD29" i="1"/>
  <c r="AD30" i="1"/>
  <c r="AD31" i="1"/>
  <c r="AD32" i="1"/>
  <c r="W32" i="1" s="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0" i="1"/>
  <c r="W11" i="1"/>
  <c r="W12" i="1"/>
  <c r="W13" i="1"/>
  <c r="W14" i="1"/>
  <c r="W15" i="1"/>
  <c r="W16" i="1"/>
  <c r="W17" i="1"/>
  <c r="W18" i="1"/>
  <c r="W19" i="1"/>
  <c r="W20" i="1"/>
  <c r="W21" i="1"/>
  <c r="W22" i="1"/>
  <c r="W23" i="1"/>
  <c r="W24" i="1"/>
  <c r="W25" i="1"/>
  <c r="W26" i="1"/>
  <c r="W27" i="1"/>
  <c r="W28" i="1"/>
  <c r="W29" i="1"/>
  <c r="W30" i="1"/>
  <c r="W31"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4" i="1"/>
  <c r="AC15" i="1"/>
  <c r="AC16" i="1"/>
  <c r="AC17" i="1"/>
  <c r="AC18" i="1"/>
  <c r="AC19" i="1"/>
  <c r="AC20" i="1"/>
  <c r="AC21" i="1"/>
  <c r="AC22" i="1"/>
  <c r="AC23" i="1"/>
  <c r="AC24" i="1"/>
  <c r="AC25" i="1"/>
  <c r="AC26" i="1"/>
  <c r="AC27" i="1"/>
  <c r="AC28" i="1"/>
  <c r="AC29" i="1"/>
  <c r="AC30" i="1"/>
  <c r="AC31" i="1"/>
  <c r="AC32" i="1"/>
  <c r="T32" i="1" s="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4" i="1"/>
  <c r="T15" i="1"/>
  <c r="T16" i="1"/>
  <c r="T17" i="1"/>
  <c r="T18" i="1"/>
  <c r="T19" i="1"/>
  <c r="T20" i="1"/>
  <c r="T21" i="1"/>
  <c r="T22" i="1"/>
  <c r="T23" i="1"/>
  <c r="T24" i="1"/>
  <c r="T25" i="1"/>
  <c r="T26" i="1"/>
  <c r="T27" i="1"/>
  <c r="T28" i="1"/>
  <c r="T29" i="1"/>
  <c r="T30" i="1"/>
  <c r="T31"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AA10" i="1"/>
  <c r="AA11" i="1"/>
  <c r="AA12" i="1"/>
  <c r="AA13" i="1"/>
  <c r="AA14" i="1"/>
  <c r="AA15" i="1"/>
  <c r="AA16" i="1"/>
  <c r="AA17" i="1"/>
  <c r="AA18" i="1"/>
  <c r="AA19" i="1"/>
  <c r="AA20" i="1"/>
  <c r="AA21" i="1"/>
  <c r="AA22" i="1"/>
  <c r="AA23" i="1"/>
  <c r="AA24" i="1"/>
  <c r="N24" i="1" s="1"/>
  <c r="AA25" i="1"/>
  <c r="AA26" i="1"/>
  <c r="AA27" i="1"/>
  <c r="AA28" i="1"/>
  <c r="AA29" i="1"/>
  <c r="AA30" i="1"/>
  <c r="AA31" i="1"/>
  <c r="AA32" i="1"/>
  <c r="N32" i="1" s="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0" i="1"/>
  <c r="N11" i="1"/>
  <c r="N12" i="1"/>
  <c r="N13" i="1"/>
  <c r="N14" i="1"/>
  <c r="N15" i="1"/>
  <c r="N16" i="1"/>
  <c r="N17" i="1"/>
  <c r="N18" i="1"/>
  <c r="N19" i="1"/>
  <c r="N20" i="1"/>
  <c r="N21" i="1"/>
  <c r="N22" i="1"/>
  <c r="N23" i="1"/>
  <c r="N25" i="1"/>
  <c r="N26" i="1"/>
  <c r="N27" i="1"/>
  <c r="N28" i="1"/>
  <c r="N29" i="1"/>
  <c r="N30" i="1"/>
  <c r="N31"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9" i="1"/>
  <c r="D18" i="2" l="1"/>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D14" i="2"/>
  <c r="A14" i="2" s="1"/>
  <c r="B17" i="1" l="1"/>
  <c r="B18" i="1" s="1"/>
  <c r="B19" i="1" s="1"/>
  <c r="B20" i="1" s="1"/>
  <c r="B21" i="1" s="1"/>
  <c r="B22" i="1" s="1"/>
  <c r="B23" i="1" s="1"/>
  <c r="B24" i="1" s="1"/>
  <c r="D90" i="18"/>
  <c r="D91" i="17"/>
  <c r="D93" i="2"/>
  <c r="D94" i="2"/>
  <c r="D19" i="15"/>
  <c r="A19" i="15" s="1"/>
  <c r="D18" i="15"/>
  <c r="A18" i="15" s="1"/>
  <c r="D17" i="15"/>
  <c r="A17" i="15" s="1"/>
  <c r="D16" i="15"/>
  <c r="A16" i="15" s="1"/>
  <c r="D59" i="15"/>
  <c r="D90" i="15"/>
  <c r="D17" i="16"/>
  <c r="D16" i="16"/>
  <c r="D15" i="16"/>
  <c r="D58" i="16"/>
  <c r="D57" i="16"/>
  <c r="D90" i="16"/>
  <c r="D66" i="2"/>
  <c r="D67" i="2"/>
  <c r="D65" i="2"/>
  <c r="D2" i="24"/>
  <c r="D21" i="2"/>
  <c r="A21" i="2" s="1"/>
  <c r="D20" i="2"/>
  <c r="A20" i="2" s="1"/>
  <c r="D19" i="2"/>
  <c r="A19" i="2" s="1"/>
  <c r="A18" i="2"/>
  <c r="D1" i="24"/>
  <c r="B25" i="1" l="1"/>
  <c r="B26" i="1" s="1"/>
  <c r="B27" i="1" s="1"/>
  <c r="B28" i="1" s="1"/>
  <c r="B29" i="1" s="1"/>
  <c r="B30" i="1" s="1"/>
  <c r="B31" i="1" s="1"/>
  <c r="B32" i="1" s="1"/>
  <c r="D9" i="2"/>
  <c r="A9" i="2" s="1"/>
  <c r="D10" i="16"/>
  <c r="D53" i="16"/>
  <c r="D10" i="17"/>
  <c r="D54" i="17"/>
  <c r="D54" i="18"/>
  <c r="D9" i="18"/>
  <c r="D10" i="15"/>
  <c r="A10" i="15" s="1"/>
  <c r="D55" i="15"/>
  <c r="D59" i="2"/>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117" i="1" a="1"/>
  <c r="A117" i="1" s="1"/>
  <c r="AH116" i="1"/>
  <c r="AH115" i="1"/>
  <c r="A115" i="1" a="1"/>
  <c r="A115" i="1" s="1"/>
  <c r="AH114" i="1"/>
  <c r="A114" i="1" a="1"/>
  <c r="A114" i="1" s="1"/>
  <c r="AH113" i="1"/>
  <c r="AH112" i="1"/>
  <c r="AH111" i="1"/>
  <c r="A111" i="1" a="1"/>
  <c r="A111" i="1" s="1"/>
  <c r="AH110" i="1"/>
  <c r="A110" i="1" a="1"/>
  <c r="A110" i="1" s="1"/>
  <c r="AH109" i="1"/>
  <c r="A109" i="1" a="1"/>
  <c r="A109" i="1" s="1"/>
  <c r="AH108" i="1"/>
  <c r="A108" i="1" a="1"/>
  <c r="A108" i="1" s="1"/>
  <c r="AH107" i="1"/>
  <c r="A107" i="1" a="1"/>
  <c r="A107" i="1" s="1"/>
  <c r="AH106" i="1"/>
  <c r="A106" i="1" a="1"/>
  <c r="A106" i="1" s="1"/>
  <c r="AH105" i="1"/>
  <c r="AH104" i="1"/>
  <c r="A104" i="1" a="1"/>
  <c r="A104" i="1" s="1"/>
  <c r="AH103" i="1"/>
  <c r="A103" i="1" a="1"/>
  <c r="A103" i="1" s="1"/>
  <c r="AH102" i="1"/>
  <c r="A102" i="1" a="1"/>
  <c r="A102" i="1" s="1"/>
  <c r="AH101" i="1"/>
  <c r="A101" i="1" a="1"/>
  <c r="A101" i="1" s="1"/>
  <c r="AH100" i="1"/>
  <c r="A100" i="1" a="1"/>
  <c r="A100" i="1" s="1"/>
  <c r="AH99" i="1"/>
  <c r="A99" i="1" a="1"/>
  <c r="A99" i="1" s="1"/>
  <c r="AH98" i="1"/>
  <c r="AH97" i="1"/>
  <c r="A97" i="1" a="1"/>
  <c r="A97" i="1" s="1"/>
  <c r="AH96" i="1"/>
  <c r="AH95" i="1"/>
  <c r="A95" i="1" a="1"/>
  <c r="A95" i="1" s="1"/>
  <c r="AH94" i="1"/>
  <c r="A94" i="1" a="1"/>
  <c r="A94" i="1" s="1"/>
  <c r="AH93" i="1"/>
  <c r="A93" i="1" a="1"/>
  <c r="A93" i="1" s="1"/>
  <c r="AH92" i="1"/>
  <c r="A92" i="1" a="1"/>
  <c r="A92" i="1" s="1"/>
  <c r="AH91" i="1"/>
  <c r="AH90" i="1"/>
  <c r="A90" i="1" a="1"/>
  <c r="A90" i="1" s="1"/>
  <c r="AH89" i="1"/>
  <c r="A89" i="1" a="1"/>
  <c r="A89" i="1" s="1"/>
  <c r="AH88" i="1"/>
  <c r="AH87" i="1"/>
  <c r="A87" i="1" a="1"/>
  <c r="A87" i="1" s="1"/>
  <c r="AH86" i="1"/>
  <c r="AH85" i="1"/>
  <c r="AH84" i="1"/>
  <c r="A84" i="1" a="1"/>
  <c r="A84" i="1" s="1"/>
  <c r="AH83" i="1"/>
  <c r="AH82" i="1"/>
  <c r="A82" i="1" a="1"/>
  <c r="A82" i="1" s="1"/>
  <c r="AH81" i="1"/>
  <c r="AH80" i="1"/>
  <c r="AH79" i="1"/>
  <c r="A79" i="1" a="1"/>
  <c r="A79" i="1" s="1"/>
  <c r="AH78" i="1"/>
  <c r="A78" i="1" a="1"/>
  <c r="A78" i="1" s="1"/>
  <c r="AH77" i="1"/>
  <c r="AH76" i="1"/>
  <c r="AH75" i="1"/>
  <c r="A75" i="1" a="1"/>
  <c r="A75" i="1" s="1"/>
  <c r="AH74" i="1"/>
  <c r="A74" i="1" a="1"/>
  <c r="A74" i="1" s="1"/>
  <c r="AH73" i="1"/>
  <c r="AH72" i="1"/>
  <c r="AH71" i="1"/>
  <c r="A71" i="1" a="1"/>
  <c r="A71" i="1" s="1"/>
  <c r="AH70" i="1"/>
  <c r="AH69" i="1"/>
  <c r="AH68" i="1"/>
  <c r="A68" i="1" a="1"/>
  <c r="A68" i="1" s="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L1" i="1" l="1"/>
  <c r="B50" i="1"/>
  <c r="B51" i="1" s="1"/>
  <c r="B52" i="1" s="1"/>
  <c r="B53" i="1" s="1"/>
  <c r="B54" i="1" s="1"/>
  <c r="B55" i="1" s="1"/>
  <c r="B56" i="1" s="1"/>
  <c r="B57" i="1" l="1"/>
  <c r="B58" i="1" s="1"/>
  <c r="B59" i="1" s="1"/>
  <c r="B60" i="1" s="1"/>
  <c r="B61" i="1" s="1"/>
  <c r="B62" i="1" s="1"/>
  <c r="B63" i="1" s="1"/>
  <c r="B64" i="1" s="1"/>
  <c r="A17" i="1" a="1"/>
  <c r="A17" i="1" s="1"/>
  <c r="A35" i="1" a="1"/>
  <c r="A35" i="1" s="1"/>
  <c r="A26" i="1" a="1"/>
  <c r="A26" i="1" s="1"/>
  <c r="A34" i="1" a="1"/>
  <c r="A34" i="1" s="1"/>
  <c r="A25" i="1" a="1"/>
  <c r="A25" i="1" s="1"/>
  <c r="A50" i="1" a="1"/>
  <c r="A50" i="1" s="1"/>
  <c r="A42" i="1" a="1"/>
  <c r="A42" i="1" s="1"/>
  <c r="A47" i="1" a="1"/>
  <c r="A47" i="1" s="1"/>
  <c r="A55" i="1" a="1"/>
  <c r="A55" i="1" s="1"/>
  <c r="A66" i="1" a="1"/>
  <c r="A66" i="1" s="1"/>
  <c r="A73" i="1" a="1"/>
  <c r="A73" i="1" s="1"/>
  <c r="A81" i="1" a="1"/>
  <c r="A81" i="1" s="1"/>
  <c r="A14" i="1" a="1"/>
  <c r="A14" i="1" s="1"/>
  <c r="A20" i="1" a="1"/>
  <c r="A20" i="1" s="1"/>
  <c r="A27" i="1" a="1"/>
  <c r="A27" i="1" s="1"/>
  <c r="A46" i="1" a="1"/>
  <c r="A46"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l="1"/>
  <c r="B79" i="1" s="1"/>
  <c r="B80" i="1" s="1"/>
  <c r="B81" i="1"/>
  <c r="B82" i="1" s="1"/>
  <c r="B83" i="1" s="1"/>
  <c r="B84" i="1" s="1"/>
  <c r="B85" i="1" s="1"/>
  <c r="B86" i="1" l="1"/>
  <c r="B89" i="1"/>
  <c r="B87" i="1" l="1"/>
  <c r="B90" i="1"/>
  <c r="B88" i="1" l="1"/>
  <c r="B91" i="1"/>
  <c r="B92" i="1" l="1"/>
  <c r="B93" i="1" l="1"/>
  <c r="B94" i="1" l="1"/>
  <c r="B95" i="1" l="1"/>
  <c r="B96" i="1" l="1"/>
  <c r="B97" i="1" l="1"/>
  <c r="B98" i="1" s="1"/>
  <c r="B99" i="1" s="1"/>
  <c r="B100" i="1" s="1"/>
  <c r="B101" i="1" s="1"/>
  <c r="B102" i="1" s="1"/>
  <c r="B103" i="1" s="1"/>
  <c r="B104" i="1" s="1"/>
  <c r="B105" i="1" s="1"/>
  <c r="B106" i="1" l="1"/>
  <c r="B107" i="1" s="1"/>
  <c r="B108" i="1" s="1"/>
  <c r="B109" i="1" s="1"/>
  <c r="B110" i="1" s="1"/>
  <c r="B111" i="1" s="1"/>
  <c r="B112" i="1" s="1"/>
  <c r="B113" i="1" s="1"/>
  <c r="B114" i="1" l="1"/>
  <c r="B115" i="1" l="1"/>
  <c r="B116" i="1" l="1"/>
  <c r="A36" i="1" s="1" a="1"/>
  <c r="A36" i="1" s="1"/>
  <c r="A96" i="1" a="1"/>
  <c r="A96" i="1" s="1"/>
  <c r="A113" i="1" a="1"/>
  <c r="A113" i="1" s="1"/>
  <c r="A49" i="1" l="1" a="1"/>
  <c r="A49" i="1" s="1"/>
  <c r="A65" i="1" a="1"/>
  <c r="A65" i="1" s="1"/>
  <c r="A33" i="1" a="1"/>
  <c r="A33" i="1" s="1"/>
  <c r="A41" i="1" a="1"/>
  <c r="A41" i="1" s="1"/>
  <c r="A57" i="1" a="1"/>
  <c r="A57" i="1" s="1"/>
  <c r="A70" i="1" a="1"/>
  <c r="A70" i="1" s="1"/>
  <c r="A77" i="1" a="1"/>
  <c r="A77" i="1" s="1"/>
  <c r="A85" i="1" a="1"/>
  <c r="A85" i="1" s="1"/>
  <c r="A86" i="1" a="1"/>
  <c r="A86"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<sst xmlns="http://schemas.openxmlformats.org/spreadsheetml/2006/main" count="2470" uniqueCount="841">
  <si>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</si>
  <si>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</si>
  <si>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</si>
  <si>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</si>
  <si>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</si>
  <si>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</si>
  <si>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</si>
  <si>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</si>
  <si>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</si>
  <si>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</si>
  <si>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</si>
  <si>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</si>
  <si>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</si>
  <si>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</si>
  <si>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</si>
  <si>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</si>
  <si>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</si>
  <si>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</si>
  <si>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</si>
  <si>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</si>
  <si>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</si>
  <si>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</si>
  <si>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</si>
  <si>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</si>
  <si>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</si>
  <si>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</si>
  <si>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</si>
  <si>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</si>
  <si>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</si>
  <si>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</si>
  <si>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</si>
  <si>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</si>
  <si>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</si>
  <si>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</si>
  <si>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</si>
  <si>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</si>
  <si>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</si>
  <si>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</si>
  <si>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</si>
  <si>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</si>
  <si>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</si>
  <si>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</si>
  <si>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</si>
  <si>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</si>
  <si>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</si>
  <si>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</si>
  <si>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</si>
  <si>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</si>
  <si>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</si>
  <si>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</si>
  <si>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</si>
  <si>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</si>
  <si>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</si>
  <si>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</si>
  <si>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</si>
  <si>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</si>
  <si>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</si>
  <si>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</si>
  <si>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</si>
  <si>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</si>
  <si>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</si>
  <si>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</si>
  <si>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</si>
  <si>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</si>
  <si>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</si>
  <si>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</si>
  <si>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</si>
  <si>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</si>
  <si>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</si>
  <si>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</si>
  <si>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</si>
  <si>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</si>
  <si>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</si>
  <si>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</si>
  <si>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</si>
  <si>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</si>
  <si>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</si>
  <si>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</si>
  <si>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</si>
  <si>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</si>
  <si>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</si>
  <si>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</si>
  <si>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</si>
  <si>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</si>
  <si>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</si>
  <si>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</si>
  <si>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</si>
  <si>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</si>
  <si>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</si>
  <si>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</si>
  <si>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</si>
  <si>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</si>
  <si>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</si>
  <si>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</si>
  <si>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</si>
  <si>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</si>
  <si>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</si>
  <si>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</si>
  <si>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</si>
  <si>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</si>
  <si>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</si>
  <si>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</si>
  <si>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</si>
  <si>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</si>
  <si>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</si>
  <si>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</si>
  <si>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</si>
  <si>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</si>
  <si>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</si>
  <si>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</si>
  <si>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</si>
  <si>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</si>
  <si>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</si>
  <si>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</si>
  <si>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</si>
  <si>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</si>
  <si>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</si>
  <si>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</si>
  <si>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</si>
  <si>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</si>
  <si>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</si>
  <si>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</si>
  <si>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</si>
  <si>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</si>
  <si>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</si>
  <si>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</si>
  <si>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</si>
  <si>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</si>
  <si>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</si>
  <si>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</si>
  <si>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</si>
  <si>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</si>
  <si>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</si>
  <si>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</si>
  <si>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</si>
  <si>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</si>
  <si>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</si>
  <si>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</si>
  <si>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</si>
  <si>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</si>
  <si>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</si>
  <si>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</si>
  <si>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</si>
  <si>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</si>
  <si>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</si>
  <si>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</si>
  <si>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</si>
  <si>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</si>
  <si>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</si>
  <si>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</si>
  <si>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</si>
  <si>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</si>
  <si>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</si>
  <si>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</si>
  <si>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</si>
  <si>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</si>
  <si>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</si>
  <si>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</si>
  <si>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</si>
  <si>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</si>
  <si>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</si>
  <si>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</si>
  <si>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</si>
  <si>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</si>
  <si>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</si>
  <si>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</si>
  <si>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</si>
  <si>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</si>
  <si>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</si>
  <si>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</si>
  <si>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</si>
  <si>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</si>
  <si>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</si>
  <si>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</si>
  <si>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</si>
  <si>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</si>
  <si>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</si>
  <si>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</si>
  <si>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</si>
  <si>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</si>
  <si>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</si>
  <si>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</si>
  <si>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</si>
  <si>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</si>
  <si>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</si>
  <si>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</si>
  <si>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</si>
  <si>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</si>
  <si>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</si>
  <si>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</si>
  <si>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</si>
  <si>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</si>
  <si>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</si>
  <si>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</si>
  <si>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</si>
  <si>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</si>
  <si>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</si>
  <si>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</si>
  <si>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</si>
  <si>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</si>
  <si>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</si>
  <si>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</si>
  <si>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</si>
  <si>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</si>
  <si>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</si>
  <si>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</si>
  <si>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</si>
  <si>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</si>
  <si>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</si>
  <si>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</si>
  <si>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</si>
  <si>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</si>
  <si>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</si>
  <si>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</si>
  <si>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</si>
  <si>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</si>
  <si>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</si>
  <si>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</si>
  <si>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</si>
  <si>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</si>
  <si>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</si>
  <si>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</si>
  <si>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</si>
  <si>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</si>
  <si>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</si>
  <si>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</si>
  <si>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</si>
  <si>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</si>
  <si>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</si>
  <si>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</si>
  <si>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</si>
  <si>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</si>
  <si>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</si>
  <si>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</si>
  <si>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</si>
  <si>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</si>
  <si>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</si>
  <si>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</si>
  <si>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</si>
  <si>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</si>
  <si>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</si>
  <si>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</si>
  <si>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</si>
  <si>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</si>
  <si>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</si>
  <si>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</si>
  <si>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</si>
  <si>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</si>
  <si>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</si>
  <si>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</si>
  <si>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</si>
  <si>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</si>
  <si>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</si>
  <si>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</si>
  <si>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</si>
  <si>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</si>
  <si>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</si>
  <si>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</si>
  <si>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</si>
  <si>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</si>
  <si>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</si>
  <si>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</si>
  <si>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</si>
  <si>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</si>
  <si>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</si>
  <si>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</si>
  <si>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</si>
  <si>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</si>
  <si>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</si>
  <si>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</si>
  <si>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</si>
  <si>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</si>
  <si>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</si>
  <si>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</si>
  <si>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</si>
  <si>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</si>
  <si>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</si>
  <si>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</si>
  <si>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</si>
  <si>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</si>
  <si>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</si>
  <si>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</si>
  <si>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</si>
  <si>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</si>
  <si>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</si>
  <si>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</si>
  <si>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</si>
  <si>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</si>
  <si>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</si>
  <si>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</si>
  <si>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</si>
  <si>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</si>
  <si>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</si>
  <si>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</si>
  <si>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</si>
  <si>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</si>
  <si>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</si>
  <si>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</si>
  <si>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</si>
  <si>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</si>
  <si>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</si>
  <si>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</si>
  <si>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</si>
  <si>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</si>
  <si>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</si>
  <si>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</si>
  <si>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</si>
  <si>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</si>
  <si>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</si>
  <si>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</si>
  <si>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</si>
  <si>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</si>
  <si>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</si>
  <si>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</si>
  <si>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</si>
  <si>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</si>
  <si>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</si>
  <si>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</si>
  <si>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</si>
  <si>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</si>
  <si>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</si>
  <si>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</si>
  <si>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</si>
  <si>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</si>
  <si>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</si>
  <si>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</si>
  <si>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</si>
  <si>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</si>
  <si>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</si>
  <si>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</si>
  <si>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</si>
  <si>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</si>
  <si>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</si>
  <si>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</si>
  <si>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</si>
  <si>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</si>
  <si>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</si>
  <si>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</si>
  <si>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</si>
  <si>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</si>
  <si>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</si>
  <si>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</si>
  <si>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</si>
  <si>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</si>
  <si>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</si>
  <si>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</si>
  <si>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</si>
  <si>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</si>
  <si>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</si>
  <si>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</si>
  <si>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</si>
  <si>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</si>
  <si>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</si>
  <si>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</si>
  <si>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</si>
  <si>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</si>
  <si>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</si>
  <si>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</si>
  <si>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</si>
  <si>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</si>
  <si>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</si>
  <si>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</si>
  <si>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</si>
  <si>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</si>
  <si>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</si>
  <si>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</si>
  <si>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</si>
  <si>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</si>
  <si>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</si>
  <si>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</si>
  <si>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</si>
  <si>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</si>
  <si>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</si>
  <si>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</si>
  <si>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</si>
  <si>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</si>
  <si>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</si>
  <si>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</si>
  <si>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</si>
  <si>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</si>
  <si>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</si>
  <si>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</si>
  <si>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</si>
  <si>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</si>
  <si>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</si>
  <si>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</si>
  <si>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</si>
  <si>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</si>
  <si>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</si>
  <si>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</si>
  <si>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</si>
  <si>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</si>
  <si>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</si>
  <si>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</si>
  <si>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</si>
  <si>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</si>
  <si>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</si>
  <si>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</si>
  <si>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</si>
  <si>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</si>
  <si>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</si>
  <si>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</si>
  <si>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</si>
  <si>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</si>
  <si>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</si>
  <si>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</si>
  <si>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</si>
  <si>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</si>
  <si>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</si>
  <si>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</si>
  <si>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</si>
  <si>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</si>
  <si>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</si>
  <si>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</si>
  <si>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</si>
  <si>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</si>
  <si>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</si>
  <si>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</si>
  <si>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</si>
  <si>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</si>
  <si>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</si>
  <si>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</si>
  <si>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</si>
  <si>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</si>
  <si>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</si>
  <si>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</si>
  <si>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</si>
  <si>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</si>
  <si>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</si>
  <si>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</si>
  <si>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</si>
  <si>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</si>
  <si>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</si>
  <si>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</si>
  <si>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</si>
  <si>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</si>
  <si>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</si>
  <si>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</si>
  <si>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</si>
  <si>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</si>
  <si>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</si>
  <si>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</si>
  <si>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</si>
  <si>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</si>
  <si>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</si>
  <si>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</si>
  <si>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</si>
  <si>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</si>
  <si>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</si>
  <si>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</si>
  <si>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</si>
  <si>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</si>
  <si>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</si>
  <si>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</si>
  <si>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</si>
  <si>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</si>
  <si>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</si>
  <si>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</si>
  <si>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</si>
  <si>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</si>
  <si>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</si>
  <si>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</si>
  <si>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</si>
  <si>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</si>
  <si>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</si>
  <si>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</si>
  <si>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</si>
  <si>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</si>
  <si>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</si>
  <si>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</si>
  <si>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</si>
  <si>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</si>
  <si>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</si>
  <si>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</si>
  <si>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</si>
  <si>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</si>
  <si>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</si>
  <si>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</si>
  <si>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</si>
  <si>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</si>
  <si>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</si>
  <si>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</si>
  <si>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</si>
  <si>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</si>
  <si>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</si>
  <si>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</si>
  <si>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</si>
  <si>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</si>
  <si>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</si>
  <si>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</si>
  <si>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</si>
  <si>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</si>
  <si>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</si>
  <si>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</si>
  <si>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</si>
  <si>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</si>
  <si>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</si>
  <si>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</si>
  <si>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</si>
  <si>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</si>
  <si>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</si>
  <si>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</si>
  <si>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</si>
  <si>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</si>
  <si>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</si>
  <si>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</si>
  <si>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</si>
  <si>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</si>
  <si>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</si>
  <si>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</si>
  <si>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</si>
  <si>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</si>
  <si>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</si>
  <si>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</si>
  <si>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</si>
  <si>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</si>
  <si>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</si>
  <si>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</si>
  <si>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</si>
  <si>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</si>
  <si>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</si>
  <si>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</si>
  <si>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</si>
  <si>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</si>
  <si>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</si>
  <si>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</si>
  <si>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</si>
  <si>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</si>
  <si>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</si>
  <si>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</si>
  <si>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</si>
  <si>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</si>
  <si>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</si>
  <si>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</si>
  <si>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</si>
  <si>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</si>
  <si>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</si>
  <si>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</si>
  <si>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</si>
  <si>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</si>
  <si>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</si>
  <si>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</si>
  <si>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</si>
  <si>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</si>
  <si>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</si>
  <si>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</si>
  <si>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</si>
  <si>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</si>
  <si>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</si>
  <si>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</si>
  <si>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</si>
  <si>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</si>
  <si>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</si>
  <si>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</si>
  <si>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</si>
  <si>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</si>
  <si>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</si>
  <si>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</si>
  <si>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</si>
  <si>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</si>
  <si>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</si>
  <si>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</si>
  <si>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</si>
  <si>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</si>
  <si>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</si>
  <si>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</si>
  <si>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</si>
  <si>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</si>
  <si>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</si>
  <si>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</si>
  <si>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</si>
  <si>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</si>
  <si>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</si>
  <si>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</si>
  <si>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</si>
  <si>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</si>
  <si>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</si>
  <si>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</si>
  <si>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</si>
  <si>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</si>
  <si>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</si>
  <si>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</si>
  <si>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</si>
  <si>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</si>
  <si>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</si>
  <si>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</si>
  <si>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</si>
  <si>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</si>
  <si>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</si>
  <si>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</si>
  <si>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</si>
  <si>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</si>
  <si>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</si>
  <si>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</si>
  <si>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</si>
  <si>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</si>
  <si>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</si>
  <si>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[HEX DEPENDENCIES RULE]</t>
  </si>
  <si>
    <t>[EXUNIT RULE]</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</si>
  <si>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</si>
  <si>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</si>
  <si>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</si>
  <si>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</si>
  <si>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</si>
  <si>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[TESTING_FRAMEWORK_LIMITS]</t>
  </si>
  <si>
    <t>Mentor</t>
  </si>
  <si>
    <t>[PERFORMANCE_LIBRARIES]</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</si>
  <si>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</si>
  <si>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</si>
  <si>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</si>
  <si>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</si>
  <si>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</si>
  <si>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</si>
  <si>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</si>
  <si>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</si>
  <si>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</si>
  <si>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</si>
  <si>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[INLINE_INSTALL_SYNTAX]</t>
  </si>
  <si>
    <t>[TESTING_ENVIRONMENT]</t>
  </si>
  <si>
    <t>[FORBIDDEN_TEST_METHOD]</t>
  </si>
  <si>
    <t>[ALLOWED_TEST_SYNTAX]</t>
  </si>
  <si>
    <t>Rule Component</t>
  </si>
  <si>
    <t>Component Tag</t>
  </si>
  <si>
    <t>Projects</t>
  </si>
  <si>
    <t>[SCOPE_ARCHITECTURE_RULE]</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</si>
  <si>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</si>
  <si>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</si>
  <si>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</si>
  <si>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</si>
  <si>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</si>
  <si>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</si>
  <si>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</si>
  <si>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</si>
  <si>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</si>
  <si>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</si>
  <si>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</si>
  <si>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</si>
  <si>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</si>
  <si>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</si>
  <si>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[EXUNIT_RULE]</t>
  </si>
  <si>
    <t>[TESTING_SYNTAX_LIMITS]</t>
  </si>
  <si>
    <t>[HEX_DEPENDENCIES_RULE]</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</si>
  <si>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</si>
  <si>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</si>
  <si>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</si>
  <si>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</si>
  <si>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</si>
  <si>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</si>
  <si>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</si>
  <si>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</si>
  <si>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</si>
  <si>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</si>
  <si>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</si>
  <si>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[ELIXIR_QUALITY_RULE_STRICT]</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</si>
  <si>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</si>
  <si>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</si>
  <si>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</si>
  <si>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</si>
  <si>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</si>
  <si>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</si>
  <si>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</si>
  <si>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</si>
  <si>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</si>
  <si>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</si>
  <si>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</si>
  <si>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</si>
  <si>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</si>
  <si>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</si>
  <si>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MUST be between</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</si>
  <si>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</si>
  <si>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</si>
  <si>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</si>
  <si>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</si>
  <si>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</si>
  <si>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</si>
  <si>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</si>
  <si>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</si>
  <si>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</si>
  <si>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</si>
  <si>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</si>
  <si>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</si>
  <si>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</si>
  <si>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</si>
  <si>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</si>
  <si>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</si>
  <si>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</si>
  <si>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</si>
  <si>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</si>
  <si>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</si>
  <si>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</si>
  <si>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</si>
  <si>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</si>
  <si>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</si>
  <si>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</si>
  <si>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</si>
  <si>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</si>
  <si>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</si>
  <si>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</si>
  <si>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</si>
  <si>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</si>
  <si>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</si>
  <si>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</si>
  <si>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</si>
  <si>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</si>
  <si>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</si>
  <si>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</si>
  <si>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</si>
  <si>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</si>
  <si>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</si>
  <si>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</si>
  <si>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</si>
  <si>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</si>
  <si>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</si>
  <si>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</si>
  <si>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</si>
  <si>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</si>
  <si>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</si>
  <si>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</si>
  <si>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</si>
  <si>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</si>
  <si>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</si>
  <si>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</si>
  <si>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</si>
  <si>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Yes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</si>
  <si>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</si>
  <si>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</si>
  <si>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</si>
  <si>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</si>
  <si>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</si>
  <si>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</si>
  <si>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</si>
  <si>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80 characters</t>
  </si>
  <si>
    <t>GenServer, Supervisor, Registry, or DynamicSupervisor</t>
  </si>
  <si>
    <t>manual process linking (spawn/1, spawn_link/1) outside standard OTP behaviors</t>
  </si>
  <si>
    <t>concurrent asynchronous processes and proper Supervisor tree state isolation</t>
  </si>
  <si>
    <t>Focus on basic GenServer implementations with simple init/1 and synchronous handle_call/3 callbacks.</t>
  </si>
  <si>
    <t>Integrate GenServer within a Supervisor tree. Use asynchronous handle_cast/2 and explicit state transitions.</t>
  </si>
  <si>
    <t>Build fault-tolerant OTP apps with DynamicSupervisor, Registry for process discovery, and handle_info/2 handlers.</t>
  </si>
  <si>
    <t>stateful GenServer state or external message passing</t>
  </si>
  <si>
    <t>Logger.info/debug or IO.inspect inside isolated process callbacks</t>
  </si>
  <si>
    <t>standard OTP message passing via send/2 or GenServer.call/3</t>
  </si>
  <si>
    <t>{:reply, response, new_state}, {:noreply, new_state}, and {:ok, state} tuples</t>
  </si>
  <si>
    <t>Standard mix.exs dependencies list (defp deps do [{:package_name, '~&gt; version'}] end)</t>
  </si>
  <si>
    <t>ExUnit with isolated async processes (use ExUnit.Case, async: true)</t>
  </si>
  <si>
    <t>manual process link hacking outside of standard OTP abstractions</t>
  </si>
  <si>
    <t>standard test macros and assert_receive/assert_received for message validation</t>
  </si>
  <si>
    <t>visual block tags separating OTP layers (e.g., '# --- CLIENT API ---', '# --- SERVER CALLBACKS ---')</t>
  </si>
  <si>
    <t>comprehensive documentation using @moduledoc and @doc explaining process state APIs</t>
  </si>
  <si>
    <t>Evaluate based on basic GenServer structure (init/1, handle_call/3). Do NOT expect full Supervisor trees unless explicitly demanded.</t>
  </si>
  <si>
    <t>Expect GenServer behaviors integrated into a standard Supervisor. Look for proper state isolation and appropriate use of handle_cast/2 to avoid blocking.</t>
  </si>
  <si>
    <t>Expect complete OTP apps with DynamicSupervisor, clean separation of Client API/Server Callbacks, and handle_info/2 pattern matching.</t>
  </si>
  <si>
    <t>Use descriptive snake_case for functions/variables, and PascalCase for module aliases.</t>
  </si>
  <si>
    <t>Leverage proper tuple pattern matching (e.g., {:noreply, new_state}) and strict immutability within process boundaries.</t>
  </si>
  <si>
    <t>Reject process mailbox clogging, blocking callbacks, bypassing OTP behaviors, or modifying external global state.</t>
  </si>
  <si>
    <t>If using default arguments ('\\') with multiple function clauses or callbacks, you MUST declare a function head without a body.</t>
  </si>
  <si>
    <t>Use standard GenServer message passing and gracefully handle tuple returns like {:reply, response, state} or {:stop, reason, state}.</t>
  </si>
  <si>
    <t>Application environment config may be used but bugs MUST exist ONLY in GenServer/Supervisor logic, NEVER in config/config.exs.</t>
  </si>
  <si>
    <t>If supervision trees/application logic are externalized, MUST include: 1. Instructional sentence 2. Setup module block 3. BEFORE the broken OTP module (Support files MUST contain NO bugs)</t>
  </si>
  <si>
    <t>Always use use ExUnit.Case, async: true. You MUST use assert_receive or sys.get_state/1 for process testing. Avoid doctests for stateful OTP processes.</t>
  </si>
  <si>
    <t>Assume a standard Mix project context. External Hex dependencies MUST be specified strictly within the deps/0 block of mix.exs. NEVER use Mix.install/2.</t>
  </si>
  <si>
    <t>Each challenge MUST include: - At least 1 GenServer or Supervisor - Explicit state initialization (init/1) - At least 1 synchronous or asynchronous OTP callback handler</t>
  </si>
  <si>
    <t>lines of EXECUTABLE broken OTP code per example (STRICT: Do NOT count blank lines). Enforce immutable state transitions across process boundaries.</t>
  </si>
  <si>
    <t>All challenges MUST have similar process tree depth and architectural complexity.</t>
  </si>
  <si>
    <t>Simulate a messy production OTP environment. The project MUST contain EXACTLY 2–5 bugs. You MUST randomly select from real-world concurrency/OTP errors:</t>
  </si>
  <si>
    <t>1. OTP API Setup (e.g., missing start_link/1, unhandled init/1 tuples, missing behavior implementations),</t>
  </si>
  <si>
    <t>2. State/Logic (e.g., returning wrong state tuple format, mutating state incorrectly, blocking handle_call), AND</t>
  </si>
  <si>
    <t>3. Concurrency/Runtime (e.g., GenServer timeout, deadlocks, crashed Supervisor children, unhandled handle_info messages).</t>
  </si>
  <si>
    <t>Code MUST be production-like, cleanly implementing standard OTP behaviors and fault-tolerant supervision.</t>
  </si>
  <si>
    <t>Use descriptive snake_case for variables/functions, and PascalCase for modules.</t>
  </si>
  <si>
    <t>Enforce isolated process state and strict immutability within all OTP callbacks.</t>
  </si>
  <si>
    <t>If using default arguments ('\\') with multiple function clauses in Client APIs, you MUST declare a function head without a body.</t>
  </si>
  <si>
    <t>External Hex packages MUST be added to the deps/0 function in a standard mix.exs file. Do not use standalone scripts or Mix.install/2.</t>
  </si>
  <si>
    <t>Tests MUST run isolated async processes (use ExUnit.Case, async: true). NEVER hack process links manually; use assert_receive to verify OTP flows.</t>
  </si>
  <si>
    <t>Each challenge MUST include: - A functional GenServer or Supervisor tree managing continuous isolated state.</t>
  </si>
  <si>
    <t>lines of EXECUTABLE base OTP code (STRICT: Do NOT count comments or TODOs). Length MUST vary. Enforce isolated immutable process state.</t>
  </si>
  <si>
    <t>Require standard mix.exs tooling for dependencies. Do NOT use Mix.install/2.</t>
  </si>
  <si>
    <t>lines of EXECUTABLE base OTP code (STRICT: Do NOT count comments or TODOs). Must feature inter-process communication or supervision tree flows.</t>
  </si>
  <si>
    <t>Code MUST perfectly model idiomatic OTP architectural paradigms utilizing standard Mix ecosystem tools.</t>
  </si>
  <si>
    <t>Use descriptive snake_case for variables/functions, PascalCase for modules.</t>
  </si>
  <si>
    <t>Enforce pattern matching on strict OTP return tuples (e.g., {:reply, response, state}) and maintain flawless process isolation.</t>
  </si>
  <si>
    <t>Reject manual thread spawns, blocking OTP callbacks, and unprotected state modification. Use function heads for default arguments on multi-clause definitions.</t>
  </si>
  <si>
    <t>Code MUST adhere strictly to Elixir Style Guide and OTP standards. Use snake_case for functions/variables, PascalCase for modules. Use only isolated GenServer state. Emphasize fault-tolerant Supervisor designs.</t>
  </si>
  <si>
    <t>Code MUST adhere strictly to Elixir Style Guide and OTP standards. Use snake_case for functions/variables, PascalCase for modules. NEVER leak state globally; enforce strict callback immutability. Prioritize highly fault-tolerant OTP architectures.</t>
  </si>
  <si>
    <t>Implement concurrency and manual state management using spawn/1, send/2, receive, and manual recursion state.</t>
  </si>
  <si>
    <t>Concurrency Refresher &amp; Manual State (spawn/1, send/2, receive, manual recursion state)</t>
  </si>
  <si>
    <t>Manage manual monitoring and exits using Process.link/1, Process.monitor/1, and Process.flag/2 with :trap_exit.</t>
  </si>
  <si>
    <t>Manual Monitoring &amp; Exits (Process.link/1, Process.monitor/1, Process.flag/2 with :trap_exit)</t>
  </si>
  <si>
    <t>Create OTP behaviours and implement inversion of control utilizing @behaviour, @callback, behaviour modules, and callback-driven architecture.</t>
  </si>
  <si>
    <t>OTP Behaviours &amp; Inversion of Control (@behaviour, @callback, behaviour modules, callback-driven architecture)</t>
  </si>
  <si>
    <t>Implement encapsulated state with Agents using Agent.start_link/2, Agent.get/3, Agent.update/3, and Agent.cast/2.</t>
  </si>
  <si>
    <t>Encapsulated State with Agents (Agent.start_link/2, Agent.get/3, Agent.update/3, Agent.cast/2)</t>
  </si>
  <si>
    <t>Construct GenServer core structures and synchronous flows using use GenServer, init/1, GenServer.call/3, and handle_call/3.</t>
  </si>
  <si>
    <t>GenServer Core &amp; Synchronous Flow (use GenServer, init/1, GenServer.call/3, handle_call/3)</t>
  </si>
  <si>
    <t>Implement asynchronous flow and deferred initialization using GenServer.cast/2, handle_cast/2, and handle_continue/2 for non-blocking init.</t>
  </si>
  <si>
    <t>Asynchronous Flow &amp; Deferred Init (GenServer.cast/2, handle_cast/2, handle_continue/2 for non-blocking init)</t>
  </si>
  <si>
    <t>Manage internal events, tickers, and lifecycle using send/2 to self, Process.send_after/3 for periodic work, handle_info/2, terminate/2, and Timeouts.</t>
  </si>
  <si>
    <t>Internal Events, Tickers &amp; Lifecycle (send/2 to self, Process.send_after/3 for periodic work, handle_info/2, terminate/2, Timeouts)</t>
  </si>
  <si>
    <t>Build an interactive encapsulated state system utilizing spawn/1, send/2, receive, Agents, and GenServer core callbacks.</t>
  </si>
  <si>
    <t>PROJECT: Basic OTP State Manager</t>
  </si>
  <si>
    <t>Design state modeling patterns using Maps as state, Structs as state, nested state transitions, and process ownership design.</t>
  </si>
  <si>
    <t>State Modeling Patterns (Maps as state, Structs as state, nested state transitions, process ownership design)</t>
  </si>
  <si>
    <t>Implement local registration and global basics using Local name: atom, Process.whereis/1, Process.register/2, and the :global module.</t>
  </si>
  <si>
    <t>Local Registration &amp; Global Basics (Local name: atom, Process.whereis/1, Process.register/2, :global module)</t>
  </si>
  <si>
    <t>Implement dynamic naming with The Registry Module using Registry.start_link/1, Registry.lookup/2, and {:via, Registry, ...} dynamic routing.</t>
  </si>
  <si>
    <t>The Registry Module &amp; Dynamic Naming (Registry.start_link/1, Registry.lookup/2, {:via, Registry, ...} dynamic routing)</t>
  </si>
  <si>
    <t>Define Supervisor core and child specifications using use Supervisor, init/1, child_spec/1, shutdown timeouts vs :brutal_kill, and process ownership.</t>
  </si>
  <si>
    <t>Supervisor Core &amp; Child Specifications (use Supervisor, init/1, child_spec/1, shutdown timeouts vs :brutal_kill, process ownership)</t>
  </si>
  <si>
    <t>Configure Supervisor strategies and tuning using :one_for_one, :one_for_all, :rest_for_one, and max_restarts/max_seconds.</t>
  </si>
  <si>
    <t>Supervisor Strategies &amp; Tuning (:one_for_one, :one_for_all, :rest_for_one, max_restarts/max_seconds)</t>
  </si>
  <si>
    <t>Architect Supervision trees and dynamic supervisors using parent-child cascades, DynamicSupervisor, start_child/2, and failure domains.</t>
  </si>
  <si>
    <t>Supervision Trees &amp; Dynamic Supervisors (Architecting parent-child cascades, DynamicSupervisor, start_child/2, failure domains)</t>
  </si>
  <si>
    <t>Execute asynchronous tasks and bounded concurrency using Task.async/1, Task.await/2, Task.yield/2, and Task.async_stream/3 for safe massive processing.</t>
  </si>
  <si>
    <t>Asynchronous Tasks &amp; Bounded Concurrency (Task.async/1, Task.await/2, Task.yield/2, Task.async_stream/3 for safe massive processing)</t>
  </si>
  <si>
    <t>Develop a fault-tolerant job processing system utilizing DynamicSupervisor, Registry, and Task.async_stream/3.</t>
  </si>
  <si>
    <t>PROJECT: Resilient Job Processor</t>
  </si>
  <si>
    <t>Manage unlinked tasks and task supervision using Task.start/1, Task.Supervisor, and Task.Supervisor.async_nolink/2.</t>
  </si>
  <si>
    <t>Unlinked Tasks &amp; Task Supervision (Task.start/1, Task.Supervisor, Task.Supervisor.async_nolink/2)</t>
  </si>
  <si>
    <t>Execute ETS core operations using :ets.new, :ets.insert, :ets.lookup, and :ets.delete.</t>
  </si>
  <si>
    <t>ETS Core Operations (:ets.new, :ets.insert, :ets.lookup, :ets.delete)</t>
  </si>
  <si>
    <t>Configure ETS ownership and advanced patterns utilizing Table types, heir configuration, :read_concurrency / :write_concurrency optimizations, and ETS vs GenServer selection.</t>
  </si>
  <si>
    <t>ETS Ownership &amp; Advanced Patterns (Table types, heir configuration, :read_concurrency / :write_concurrency optimizations, ETS vs GenServer selection)</t>
  </si>
  <si>
    <t>Define Application behavior and environment using use Application, start/2, Config scripts, and Application.get_env/3.</t>
  </si>
  <si>
    <t>Application Behavior &amp; Environment (use Application, start/2, Config scripts, Application.get_env/3)</t>
  </si>
  <si>
    <t>Implement complex initialization and releases using start_phases, mix release, runtime.exs, and connecting to running nodes.</t>
  </si>
  <si>
    <t>Complex Initialization &amp; Releases (start_phases, mix release, runtime.exs, connecting to running nodes)</t>
  </si>
  <si>
    <t>Execute Node operations and RPC using Node.self/0, Node.connect/1, :rpc.call/4, and :rpc.multicall/3.</t>
  </si>
  <si>
    <t>Node Operations &amp; RPC (Node.self/0, Node.connect/1, :rpc.call/4, :rpc.multicall/3)</t>
  </si>
  <si>
    <t>Design distributed architecture and constraints using Node.monitor/2, :pg Process Groups, and handling network partitions/split-brain.</t>
  </si>
  <si>
    <t>Distributed Architecture &amp; Constraints (Node.monitor/2, :pg Process Groups, handling network partitions/split-brain)</t>
  </si>
  <si>
    <t>Construct a distributed caching application utilizing :ets operations, Application lifecycle, and :rpc node calls.</t>
  </si>
  <si>
    <t>PROJECT: Distributed ETS Cache</t>
  </si>
  <si>
    <t>Implement testing for GenServers and internal state using ExUnit with GenServer, asserting synchronous state, and assert_receive/3 for handle_info.</t>
  </si>
  <si>
    <t>Testing GenServers &amp; Internal State (ExUnit with GenServer, asserting synchronous state, assert_receive/3 for handle_info)</t>
  </si>
  <si>
    <t>Formulate testing for Supervisors and fault tolerance using Process.exit/2 simulations, asserting restart behavior, and Task.yield/2 in tests.</t>
  </si>
  <si>
    <t>Testing Supervisors &amp; Fault Tolerance (Process.exit/2 simulations, asserting restart behavior, Task.yield/2 in tests)</t>
  </si>
  <si>
    <t>Design testing for Registries and distributed systems by asserting via tuples, mocking node connections, and testing ETS table state.</t>
  </si>
  <si>
    <t>Testing Registries &amp; Distributed Systems (Asserting via tuples, mocking node connections, testing ETS table state)</t>
  </si>
  <si>
    <t>Develop a comprehensive concurrent test suite for an OTP application validating Supervisors, GenServer state, and Registry via tuples.</t>
  </si>
  <si>
    <t>PROJECT: Master OTP Test Suite</t>
  </si>
  <si>
    <t>N/A</t>
  </si>
  <si>
    <t>Elixir OTP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</si>
</sst>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2">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Elixir OTP | [TASK] Teach and explain concepts clearly with correct code examples | [TOPIC] Implement concurrency and manual state management using spawn/1, send/2, receive, and manual recursion state.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 | Stage 1 📖 Practice | Elixir OTP | 📊 Level: Advanced | 🌐 Coding5s.com
**Concept:** Concurrency Refresher &amp; Manual State (spawn/1, send/2, receive, manual recursion state)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CRITICAL PROHIBITION: Do NOT use f-strings (f"...") or any advanced text formatting methods yet. Use basic print() with multiple arguments separated by commas for text labels and variables.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840</v>
      </c>
      <c r="J2" s="16"/>
      <c r="K2" s="137" t="s">
        <v>9</v>
      </c>
      <c r="L2" s="138"/>
      <c r="M2" s="139"/>
      <c r="N2" s="138" t="s">
        <v>10</v>
      </c>
      <c r="O2" s="138"/>
      <c r="P2" s="138"/>
      <c r="Q2" s="140" t="s">
        <v>11</v>
      </c>
      <c r="R2" s="138"/>
      <c r="S2" s="141"/>
      <c r="T2" s="138" t="s">
        <v>12</v>
      </c>
      <c r="U2" s="138"/>
      <c r="V2" s="138"/>
      <c r="W2" s="140" t="s">
        <v>13</v>
      </c>
      <c r="X2" s="138"/>
      <c r="Y2" s="141"/>
      <c r="Z2" s="1"/>
      <c r="AA2" s="1"/>
      <c r="AB2" s="1"/>
      <c r="AC2" s="1"/>
      <c r="AD2" s="1"/>
      <c r="AE2" s="15"/>
      <c r="AF2" s="14"/>
      <c r="AG2" s="14"/>
      <c r="AH2" s="15"/>
      <c r="AI2" s="15"/>
      <c r="AJ2" s="15"/>
      <c r="AK2" s="15"/>
      <c r="AL2" s="15"/>
    </row>
    <row r="3" spans="1:39" ht="26.25">
      <c r="A3" s="1"/>
      <c r="B3" s="2"/>
      <c r="C3" s="96" t="str">
        <f>""</f>
        <v/>
      </c>
      <c r="D3" s="2"/>
      <c r="E3" s="100">
        <f>COUNTA(E9:E200)-E4</f>
        <v>8</v>
      </c>
      <c r="F3" s="97" t="s">
        <v>266</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20</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16</v>
      </c>
      <c r="C6" s="17" t="str">
        <f>VLOOKUP(B6,AL:AM,2,0)</f>
        <v>es</v>
      </c>
      <c r="D6" s="2"/>
      <c r="E6" s="35" t="str" cm="1">
        <f t="array" ref="E6">"AL9:"&amp;ADDRESS(_xlfn.AGGREGATE(14, 6, ROW(AL:AL)*(AL:AL&lt;&gt;""), 1), COLUMN(AL:AL))</f>
        <v>AL9:$AL$48</v>
      </c>
      <c r="F6" s="27"/>
      <c r="G6" s="130" t="s">
        <v>687</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686</v>
      </c>
      <c r="L7" s="31" t="s">
        <v>686</v>
      </c>
      <c r="M7" s="38"/>
      <c r="N7" s="31" t="s">
        <v>686</v>
      </c>
      <c r="O7" s="31" t="s">
        <v>686</v>
      </c>
      <c r="P7" s="22"/>
      <c r="Q7" s="31" t="s">
        <v>686</v>
      </c>
      <c r="R7" s="31" t="s">
        <v>686</v>
      </c>
      <c r="S7" s="39"/>
      <c r="T7" s="31" t="s">
        <v>686</v>
      </c>
      <c r="U7" s="31" t="s">
        <v>686</v>
      </c>
      <c r="V7" s="22"/>
      <c r="W7" s="31" t="s">
        <v>686</v>
      </c>
      <c r="X7" s="31" t="s">
        <v>686</v>
      </c>
      <c r="Y7" s="39"/>
      <c r="Z7" s="31" t="s">
        <v>686</v>
      </c>
      <c r="AA7" s="31" t="s">
        <v>686</v>
      </c>
      <c r="AB7" s="31" t="s">
        <v>686</v>
      </c>
      <c r="AC7" s="31" t="s">
        <v>686</v>
      </c>
      <c r="AD7" s="31" t="s">
        <v>686</v>
      </c>
      <c r="AE7" s="35" t="str">
        <f>_xlfn.CONCAT(AH9:AH200)</f>
        <v/>
      </c>
      <c r="AF7" s="15"/>
      <c r="AG7" s="15"/>
      <c r="AH7" s="15"/>
      <c r="AI7" s="15"/>
      <c r="AJ7" s="15"/>
      <c r="AK7" s="136" t="s">
        <v>499</v>
      </c>
      <c r="AL7" s="136"/>
      <c r="AM7" s="136"/>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15</v>
      </c>
      <c r="D9" s="46">
        <v>4</v>
      </c>
      <c r="E9" s="47" t="s">
        <v>46</v>
      </c>
      <c r="F9" s="48">
        <v>1</v>
      </c>
      <c r="G9" s="49" t="s">
        <v>159</v>
      </c>
      <c r="H9" s="49" t="s">
        <v>48</v>
      </c>
      <c r="I9" s="50" t="s">
        <v>783</v>
      </c>
      <c r="J9" s="51" t="s">
        <v>784</v>
      </c>
      <c r="K9" s="129" t="str">
        <f>IF(H9="Topic",
"[ROLE] Friendly tutor specializing in " &amp; $I$2 &amp; " | " &amp;
"[TOPIC] " &amp; I9 &amp; " | " &amp;
"[LEVEL] " &amp; G9 &amp; " | " &amp;
"[COUNT] " &amp; D9 &amp; " examples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on basic GenServer implementations with simple init/1 and synchronous handle_call/3 callbacks.", IF(G9="Intermediate", "Integrate GenServer within a Supervisor tree. Use asynchronous handle_cast/2 and explicit state transitions.", "stateful GenServer state or external message passing")) &amp; " | " &amp;
"[CODE_CONSTRAINTS_RULE] Each example MUST: - Use stateful GenServer state or external message passing - Print steps &amp; result via Logger.info/debug or IO.inspect inside isolated process callbacks - MAX " &amp; $C9 &amp; " executable lines (comments/blanks excluded) - NEVER exceed limit. | " &amp;
"[I_O_PARADIGM] Use standard OTP message passing via send/2 or GenServer.call/3 and gracefully handle {:reply, response, new_state}, {:noreply, new_state}, and {:ok, state} tuples when applicable. | " &amp;
"[INLINE_PACKAGE_MANAGER] If using external packages, use Standard mix.exs dependencies list (defp deps do [{:package_name, '~&gt; version'}] end) at the top of the code block. Assume no project configuration file exists. | " &amp;
_xlfn._LONGTEXT("[TESTING_FRAMEWORK_LIMITS]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Elixir OTP | [TOPIC] Implement concurrency and manual state management using spawn/1, send/2, receive, and manual recursion state.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Elixir OTP | 📊 Level: Advanced | 🌐 Coding5s.com
**Concept:** Concurrency Refresher &amp; Manual State (spawn/1, send/2, receive, manual recursion state)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GenServer structure (init/1, handle_call/3). Do NOT expect full Supervisor trees unless explicitly demanded.", IF(G9="Intermediate", "Expect GenServer behaviors integrated into a standard Supervisor. Look for proper state isolation and appropriate use of handle_cast/2 to avoid blocking.", "Expect complete OTP apps with DynamicSupervisor, clean separation of Client API/Server Callbacks, and handle_info/2 pattern matching.")) &amp; " | " &amp;
_xlfn._LONGTEXT("[CODE_QUALITY_POLICIES]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concurrency and manual state management using spawn/1, send/2, receive, and manual recursion state.. Topic details: Concurrency Refresher &amp; Manual State (spawn/1, send/2, receive, manual recursion state)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Elixir OTP | 📊 Level: Advanced
**Topic:** Implement concurrency and manual state management using spawn/1, send/2, receive, and manual recursion state.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 &amp;
"[EXUNIT RULE] Always use use ExUnit.Case, async: true. You MUST use assert_receive or sys.get_state/1 for process testing. Avoid doctests for stateful OTP processes. | " &amp;
"[HEX DEPENDENCIES RULE] Assume a standard Mix project context. External Hex dependencies MUST be specified strictly within the deps/0 block of mix.exs. NEVER use Mix.install/2. | " &amp;
"[CODE CONSTRAINTS] Each challenge MUST include: - At least 1 GenServer or Supervisor - Explicit state initialization (init/1) - At least 1 synchronous or asynchronous OTP callback handler - " &amp; IF(G9="Beginner", "5–15", IF(G9="Intermediate", "10–25", "15–35")) &amp; " lines of EXECUTABLE broken OTP code per example (STRICT: Do NOT count blank lines). Enforce immutable state transitions across process boundaries. | All challenges MUST have similar process tree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Elixir OTP Developer | [TASK] Generate debugging challenges in Elixir OTP | | [TOPIC] Implement concurrency and manual state management using spawn/1, send/2, receive, and manual recursion state.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 | Stage 2 🐛 Debug | Elixir OTP | 📊 Level: Advanced | 🌐 Coding5s.com
Concept: Concurrency Refresher &amp; Manual State (spawn/1, send/2, receive, manual recursion state)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concurrency and manual state management using spawn/1, send/2, receive, and manual recursion state.. Topic details: Concurrency Refresher &amp; Manual State (spawn/1, send/2, receive, manual recursion state)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Elixir OTP | 📊 Level: Advanced
**Topic:** Implement concurrency and manual state management using spawn/1, send/2, receive, and manual recursion state.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Hex packages MUST be added to the deps/0 function in a standard mix.exs file. Do not use standalone scripts or Mix.install/2. | " &amp;
"[TESTING_FRAMEWORK_PROTOCOL] Tests MUST run isolated async processes (use ExUnit.Case, async: true). NEVER hack process links manually; use assert_receive to verify OTP flows. | " &amp;
"[CHALLENGE_CONSTRAINTS_POLICY] Each challenge MUST include: - A functional GenServer or Supervisor tree managing continuous isolated state. - " &amp; IF(G9="Beginner","5–15", IF(G9="Intermediate","10–25","15–35")) &amp; " lines of EXECUTABLE base OTP code (STRICT: Do NOT count comments or TODOs). Length MUST vary. Enforce isolated immutable process state.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Elixir OTP script challenges | [TOPIC] Implement concurrency and manual state management using spawn/1, send/2, receive, and manual recursion state.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 | Stage 3 🧩 Complete | Elixir OTP | 📊 Level: Advanced | 🌐 Coding5s.com
**Concept:** Concurrency Refresher &amp; Manual State (spawn/1, send/2, receive, manual recursion state)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concurrency and manual state management using spawn/1, send/2, receive, and manual recursion state..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concurrency and manual state management using spawn/1, send/2, receive, and manual recursion state.. Topic details: Concurrency Refresher &amp; Manual State (spawn/1, send/2, receive, manual recursion state)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Elixir OTP | 📊 Level: Advanced
**Topic:** Implement concurrency and manual state management using spawn/1, send/2, receive, and manual recursion state.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Implement concurrency and manual state management using spawn/1, send/2, receive, and manual recursion state.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 | Stage 4 🧹 Refactor | Elixir OTP | 📊 Level: Advanced | 🌐 Coding5s.com
**Concept:** Concurrency Refresher &amp; Manual State (spawn/1, send/2, receive, manual recursion state)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"[PYTHON QUALITY RULE - STRICT] Code MUST adhere strictly to Elixir Style Guide and OTP standards. Use snake_case for functions/variables, PascalCase for modules. Use only isolated GenServer state. Emphasize fault-tolerant Supervisor designs.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concurrency and manual state management using spawn/1, send/2, receive, and manual recursion state.. Topic details: Concurrency Refresher &amp; Manual State (spawn/1, send/2, receive, manual recursion state)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Elixir OTP | 📊 Level: Advanced
**Topic:** Implement concurrency and manual state management using spawn/1, send/2, receive, and manual recursion state.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Elixir OTP Jira Ticket | [TASK] Provide a guided implementation exercise with full solution for learning purposes | [TOPIC] Implement concurrency and manual state management using spawn/1, send/2, receive, and manual recursion state.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 | Stage 5 | Elixir OTP | 📊 Level: Advanced | 🌐 Coding5s.com
**Concept:** Concurrency Refresher &amp; Manual State (spawn/1, send/2, receive, manual recursion state)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Elixir Style Guide and OTP standards. Use snake_case for functions/variables, PascalCase for modules. NEVER leak state globally; enforce strict callback immutability. Prioritize highly fault-tolerant OT","P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concurrency and manual state management using spawn/1, send/2, receive, and manual recursion state.. Goal: Concurrency Refresher &amp; Manual State (spawn/1, send/2, receive, manual recursion state)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Elixir OTP | 📊 Level: Advanced
**Topic:** Implement concurrency and manual state management using spawn/1, send/2, receive, and manual recursion state.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mix.exs dependencies list (defp deps do [{:package_name, '~&gt; version'}] end) at the top. | " &amp;
"[SCOPE_ARCHITECTURE_RULE] Rule: Build fault-tolerant OTP apps with DynamicSupervisor, Registry for process discovery, and handle_info/2 handlers. | " &amp;
_xlfn._LONGTEXT("[VISUAL_ARCHITECTURE_COMMENTS]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mix.exs tooling for dependencies. Do NOT use Mix.install/2. | " &amp;
"[CHALLENGE_CONSTRAINTS_POLICY] MUST be between " &amp; IF(G9="Beginner","25–40", IF(G9="Intermediate","30–60","40–100")) &amp; " lines of EXECUTABLE base OTP code (STRICT: Do NOT count comments or TODOs). Must feature inter-process communication or supervision tree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15</v>
      </c>
      <c r="D10" s="57">
        <v>4</v>
      </c>
      <c r="E10" s="58" t="s">
        <v>46</v>
      </c>
      <c r="F10" s="59">
        <v>2</v>
      </c>
      <c r="G10" s="60" t="s">
        <v>159</v>
      </c>
      <c r="H10" s="60" t="s">
        <v>48</v>
      </c>
      <c r="I10" s="61" t="s">
        <v>785</v>
      </c>
      <c r="J10" s="62" t="s">
        <v>786</v>
      </c>
      <c r="K10" s="129" t="str">
        <f t="shared" ref="K10:K73" si="2">IF(H10="Topic",
"[ROLE] Friendly tutor specializing in " &amp; $I$2 &amp; " | " &amp;
"[TOPIC] " &amp; I10 &amp; " | " &amp;
"[LEVEL] " &amp; G10 &amp; " | " &amp;
"[COUNT] " &amp; D10 &amp; " examples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on basic GenServer implementations with simple init/1 and synchronous handle_call/3 callbacks.", IF(G10="Intermediate", "Integrate GenServer within a Supervisor tree. Use asynchronous handle_cast/2 and explicit state transitions.", "stateful GenServer state or external message passing")) &amp; " | " &amp;
"[CODE_CONSTRAINTS_RULE] Each example MUST: - Use stateful GenServer state or external message passing - Print steps &amp; result via Logger.info/debug or IO.inspect inside isolated process callbacks - MAX " &amp; $C10 &amp; " executable lines (comments/blanks excluded) - NEVER exceed limit. | " &amp;
"[I_O_PARADIGM] Use standard OTP message passing via send/2 or GenServer.call/3 and gracefully handle {:reply, response, new_state}, {:noreply, new_state}, and {:ok, state} tuples when applicable. | " &amp;
"[INLINE_PACKAGE_MANAGER] If using external packages, use Standard mix.exs dependencies list (defp deps do [{:package_name, '~&gt; version'}] end) at the top of the code block. Assume no project configuration file exists. | " &amp;
_xlfn._LONGTEXT("[TESTING_FRAMEWORK_LIMITS]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Elixir OTP | [TOPIC] Manage manual monitoring and exits using Process.link/1, Process.monitor/1, and Process.flag/2 with :trap_exit.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Elixir OTP | 📊 Level: Advanced | 🌐 Coding5s.com
**Concept:** Manual Monitoring &amp; Exits (Process.link/1, Process.monitor/1, Process.flag/2 with :trap_exit)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GenServer structure (init/1, handle_call/3). Do NOT expect full Supervisor trees unless explicitly demanded.", IF(G10="Intermediate", "Expect GenServer behaviors integrated into a standard Supervisor. Look for proper state isolation and appropriate use of handle_cast/2 to avoid blocking.", "Expect complete OTP apps with DynamicSupervisor, clean separation of Client API/Server Callbacks, and handle_info/2 pattern matching.")) &amp; " | " &amp;
_xlfn._LONGTEXT("[CODE_QUALITY_POLICIES]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manual monitoring and exits using Process.link/1, Process.monitor/1, and Process.flag/2 with :trap_exit.. Topic details: Manual Monitoring &amp; Exits (Process.link/1, Process.monitor/1, Process.flag/2 with :trap_exit)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Elixir OTP | 📊 Level: Advanced
**Topic:** Manage manual monitoring and exits using Process.link/1, Process.monitor/1, and Process.flag/2 with :trap_exit.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 &amp;
"[EXUNIT RULE] Always use use ExUnit.Case, async: true. You MUST use assert_receive or sys.get_state/1 for process testing. Avoid doctests for stateful OTP processes. | " &amp;
"[HEX DEPENDENCIES RULE] Assume a standard Mix project context. External Hex dependencies MUST be specified strictly within the deps/0 block of mix.exs. NEVER use Mix.install/2. | " &amp;
"[CODE CONSTRAINTS] Each challenge MUST include: - At least 1 GenServer or Supervisor - Explicit state initialization (init/1) - At least 1 synchronous or asynchronous OTP callback handler - " &amp; IF(G10="Beginner", "5–15", IF(G10="Intermediate", "10–25", "15–35")) &amp; " lines of EXECUTABLE broken OTP code per example (STRICT: Do NOT count blank lines). Enforce immutable state transitions across process boundaries. | All challenges MUST have similar process tree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Elixir OTP Developer | [TASK] Generate debugging challenges in Elixir OTP | | [TOPIC] Manage manual monitoring and exits using Process.link/1, Process.monitor/1, and Process.flag/2 with :trap_exit.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 | Stage 2 🐛 Debug | Elixir OTP | 📊 Level: Advanced | 🌐 Coding5s.com
Concept: Manual Monitoring &amp; Exits (Process.link/1, Process.monitor/1, Process.flag/2 with :trap_exit)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manual monitoring and exits using Process.link/1, Process.monitor/1, and Process.flag/2 with :trap_exit.. Topic details: Manual Monitoring &amp; Exits (Process.link/1, Process.monitor/1, Process.flag/2 with :trap_exit)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Elixir OTP | 📊 Level: Advanced
**Topic:** Manage manual monitoring and exits using Process.link/1, Process.monitor/1, and Process.flag/2 with :trap_exit.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Hex packages MUST be added to the deps/0 function in a standard mix.exs file. Do not use standalone scripts or Mix.install/2. | " &amp;
"[TESTING_FRAMEWORK_PROTOCOL] Tests MUST run isolated async processes (use ExUnit.Case, async: true). NEVER hack process links manually; use assert_receive to verify OTP flows. | " &amp;
"[CHALLENGE_CONSTRAINTS_POLICY] Each challenge MUST include: - A functional GenServer or Supervisor tree managing continuous isolated state. - " &amp; IF(G10="Beginner","5–15", IF(G10="Intermediate","10–25","15–35")) &amp; " lines of EXECUTABLE base OTP code (STRICT: Do NOT count comments or TODOs). Length MUST vary. Enforce isolated immutable process state.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Elixir OTP script challenges | [TOPIC] Manage manual monitoring and exits using Process.link/1, Process.monitor/1, and Process.flag/2 with :trap_exit.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 | Stage 3 🧩 Complete | Elixir OTP | 📊 Level: Advanced | 🌐 Coding5s.com
**Concept:** Manual Monitoring &amp; Exits (Process.link/1, Process.monitor/1, Process.flag/2 with :trap_exit)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manual monitoring and exits using Process.link/1, Process.monitor/1, and Process.flag/2 with :trap_exit..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manual monitoring and exits using Process.link/1, Process.monitor/1, and Process.flag/2 with :trap_exit.. Topic details: Manual Monitoring &amp; Exits (Process.link/1, Process.monitor/1, Process.flag/2 with :trap_exit)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Elixir OTP | 📊 Level: Advanced
**Topic:** Manage manual monitoring and exits using Process.link/1, Process.monitor/1, and Process.flag/2 with :trap_exit.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Manage manual monitoring and exits using Process.link/1, Process.monitor/1, and Process.flag/2 with :trap_exit.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 | Stage 4 🧹 Refactor | Elixir OTP | 📊 Level: Advanced | 🌐 Coding5s.com
**Concept:** Manual Monitoring &amp; Exits (Process.link/1, Process.monitor/1, Process.flag/2 with :trap_exit)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"[PYTHON QUALITY RULE - STRICT] Code MUST adhere strictly to Elixir Style Guide and OTP standards. Use snake_case for functions/variables, PascalCase for modules. Use only isolated GenServer state. Emphasize fault-tolerant Supervisor designs.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manual monitoring and exits using Process.link/1, Process.monitor/1, and Process.flag/2 with :trap_exit.. Topic details: Manual Monitoring &amp; Exits (Process.link/1, Process.monitor/1, Process.flag/2 with :trap_exit)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Elixir OTP | 📊 Level: Advanced
**Topic:** Manage manual monitoring and exits using Process.link/1, Process.monitor/1, and Process.flag/2 with :trap_exit.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Elixir OTP Jira Ticket | [TASK] Provide a guided implementation exercise with full solution for learning purposes | [TOPIC] Manage manual monitoring and exits using Process.link/1, Process.monitor/1, and Process.flag/2 with :trap_exit.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 | Stage 5 | Elixir OTP | 📊 Level: Advanced | 🌐 Coding5s.com
**Concept:** Manual Monitoring &amp; Exits (Process.link/1, Process.monitor/1, Process.flag/2 with :trap_exit)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Elixir Style Guide and OTP standards. Use snake_case for functions/variables, PascalCase for modules. NEVER leak state globally; enforce strict callback immutability. Prioritize highly fault-tolerant OT","P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manual monitoring and exits using Process.link/1, Process.monitor/1, and Process.flag/2 with :trap_exit.. Goal: Manual Monitoring &amp; Exits (Process.link/1, Process.monitor/1, Process.flag/2 with :trap_exit)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Elixir OTP | 📊 Level: Advanced
**Topic:** Manage manual monitoring and exits using Process.link/1, Process.monitor/1, and Process.flag/2 with :trap_exit.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mix.exs dependencies list (defp deps do [{:package_name, '~&gt; version'}] end) at the top. | " &amp;
"[SCOPE_ARCHITECTURE_RULE] Rule: Build fault-tolerant OTP apps with DynamicSupervisor, Registry for process discovery, and handle_info/2 handlers. | " &amp;
_xlfn._LONGTEXT("[VISUAL_ARCHITECTURE_COMMENTS]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mix.exs tooling for dependencies. Do NOT use Mix.install/2. | " &amp;
"[CHALLENGE_CONSTRAINTS_POLICY] MUST be between " &amp; IF(G10="Beginner","25–40", IF(G10="Intermediate","30–60","40–100")) &amp; " lines of EXECUTABLE base OTP code (STRICT: Do NOT count comments or TODOs). Must feature inter-process communication or supervision tree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20</v>
      </c>
      <c r="D11" s="46">
        <v>4</v>
      </c>
      <c r="E11" s="58" t="s">
        <v>46</v>
      </c>
      <c r="F11" s="48">
        <v>3</v>
      </c>
      <c r="G11" s="49" t="s">
        <v>159</v>
      </c>
      <c r="H11" s="49" t="s">
        <v>48</v>
      </c>
      <c r="I11" s="50" t="s">
        <v>787</v>
      </c>
      <c r="J11" s="51" t="s">
        <v>788</v>
      </c>
      <c r="K11" s="129" t="str">
        <f t="shared" si="2"/>
        <v xml:space="preserve">[ROLE] Friendly tutor specializing in Elixir OTP | [TOPIC] Create OTP behaviours and implement inversion of control utilizing @behaviour, @callback, behaviour modules, and callback-driven architecture.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Elixir OTP | 📊 Level: Advanced | 🌐 Coding5s.com
**Concept:** OTP Behaviours &amp; Inversion of Control (@behaviour, @callback, behaviour modules, callback-driven architecture)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OTP behaviours and implement inversion of control utilizing @behaviour, @callback, behaviour modules, and callback-driven architecture.. Topic details: OTP Behaviours &amp; Inversion of Control (@behaviour, @callback, behaviour modules, callback-driven architecture)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Elixir OTP | 📊 Level: Advanced
**Topic:** Create OTP behaviours and implement inversion of control utilizing @behaviour, @callback, behaviour modules, and callback-driven architecture.
---
 | [FOOTER RULE - STRICT] End your response with: '--- ⚡ *Coding5s Mentor System — Eliminating Epistemic Debt*' | </v>
      </c>
      <c r="M11" s="52">
        <v>0</v>
      </c>
      <c r="N11" s="102" t="str">
        <f t="shared" si="4"/>
        <v>[ROLE] Careless Elixir OTP Developer | [TASK] Generate debugging challenges in Elixir OTP | | [TOPIC] Create OTP behaviours and implement inversion of control utilizing @behaviour, @callback, behaviour modules, and callback-driven architecture.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#3 | Stage 2 🐛 Debug | Elixir OTP | 📊 Level: Advanced | 🌐 Coding5s.com
Concept: OTP Behaviours &amp; Inversion of Control (@behaviour, @callback, behaviour modules, callback-driven architecture)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Elixir OTP | 📊 Level: Advanced
**Topic:** Create OTP behaviours and implement inversion of control utilizing @behaviour, @callback, behaviour modules, and callback-driven architecture.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Elixir OTP script challenges | [TOPIC] Create OTP behaviours and implement inversion of control utilizing @behaviour, @callback, behaviour modules, and callback-driven architecture.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#3 | Stage 3 🧩 Complete | Elixir OTP | 📊 Level: Advanced | 🌐 Coding5s.com
**Concept:** OTP Behaviours &amp; Inversion of Control (@behaviour, @callback, behaviour modules, callback-driven architecture)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OTP behaviours and implement inversion of control utilizing @behaviour, @callback, behaviour modules, and callback-driven architecture..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Elixir OTP | 📊 Level: Advanced
**Topic:** Create OTP behaviours and implement inversion of control utilizing @behaviour, @callback, behaviour modules, and callback-driven architecture.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Create OTP behaviours and implement inversion of control utilizing @behaviour, @callback, behaviour modules, and callback-driven architecture.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 | Stage 4 🧹 Refactor | Elixir OTP | 📊 Level: Advanced | 🌐 Coding5s.com
**Concept:** OTP Behaviours &amp; Inversion of Control (@behaviour, @callback, behaviour modules, callback-driven architecture)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Elixir OTP | 📊 Level: Advanced
**Topic:** Create OTP behaviours and implement inversion of control utilizing @behaviour, @callback, behaviour modules, and callback-driven architecture.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Elixir OTP Jira Ticket | [TASK] Provide a guided implementation exercise with full solution for learning purposes | [TOPIC] Create OTP behaviours and implement inversion of control utilizing @behaviour, @callback, behaviour modules, and callback-driven architecture.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 | Stage 5 | Elixir OTP | 📊 Level: Advanced | 🌐 Coding5s.com
**Concept:** OTP Behaviours &amp; Inversion of Control (@behaviour, @callback, behaviour modules, callback-driven architecture)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OTP behaviours and implement inversion of control utilizing @behaviour, @callback, behaviour modules, and callback-driven architecture.. Goal: OTP Behaviours &amp; Inversion of Control (@behaviour, @callback, behaviour modules, callback-driven architecture)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Elixir OTP | 📊 Level: Advanced
**Topic:** Create OTP behaviours and implement inversion of control utilizing @behaviour, @callback, behaviour modules, and callback-driven architecture.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15</v>
      </c>
      <c r="D12" s="57">
        <v>3</v>
      </c>
      <c r="E12" s="58" t="s">
        <v>46</v>
      </c>
      <c r="F12" s="59">
        <v>4</v>
      </c>
      <c r="G12" s="60" t="s">
        <v>159</v>
      </c>
      <c r="H12" s="60" t="s">
        <v>48</v>
      </c>
      <c r="I12" s="61" t="s">
        <v>789</v>
      </c>
      <c r="J12" s="62" t="s">
        <v>790</v>
      </c>
      <c r="K12" s="129" t="str">
        <f t="shared" si="2"/>
        <v xml:space="preserve">[ROLE] Friendly tutor specializing in Elixir OTP | [TOPIC] Implement encapsulated state with Agents using Agent.start_link/2, Agent.get/3, Agent.update/3, and Agent.cast/2. | [LEVEL] Advanced | [COUNT] 3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Elixir OTP | 📊 Level: Advanced | 🌐 Coding5s.com
**Concept:** Encapsulated State with Agents (Agent.start_link/2, Agent.get/3, Agent.update/3, Agent.cast/2)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encapsulated state with Agents using Agent.start_link/2, Agent.get/3, Agent.update/3, and Agent.cast/2.. Topic details: Encapsulated State with Agents (Agent.start_link/2, Agent.get/3, Agent.update/3, Agent.cast/2)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Elixir OTP | 📊 Level: Advanced
**Topic:** Implement encapsulated state with Agents using Agent.start_link/2, Agent.get/3, Agent.update/3, and Agent.cast/2.
---
 | [FOOTER RULE - STRICT] End your response with: '--- ⚡ *Coding5s Mentor System — Eliminating Epistemic Debt*' | </v>
      </c>
      <c r="M12" s="52">
        <v>0</v>
      </c>
      <c r="N12" s="102" t="str">
        <f t="shared" si="4"/>
        <v>[ROLE] Careless Elixir OTP Developer | [TASK] Generate debugging challenges in Elixir OTP | | [TOPIC] Implement encapsulated state with Agents using Agent.start_link/2, Agent.get/3, Agent.update/3, and Agent.cast/2. | | [LEVEL] Advanced | | [COUNT] 3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#4 | Stage 2 🐛 Debug | Elixir OTP | 📊 Level: Advanced | 🌐 Coding5s.com
Concept: Encapsulated State with Agents (Agent.start_link/2, Agent.get/3, Agent.update/3, Agent.cast/2)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encapsulated state with Agents using Agent.start_link/2, Agent.get/3, Agent.update/3, and Agent.cast/2.. Topic details: Encapsulated State with Agents (Agent.start_link/2, Agent.get/3, Agent.update/3, Agent.cast/2)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Elixir OTP | 📊 Level: Advanced
**Topic:** Implement encapsulated state with Agents using Agent.start_link/2, Agent.get/3, Agent.update/3, and Agent.cast/2.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Elixir OTP script challenges | [TOPIC] Implement encapsulated state with Agents using Agent.start_link/2, Agent.get/3, Agent.update/3, and Agent.cast/2. | [LEVEL] Advanced | [COUNT] 3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#4 | Stage 3 🧩 Complete | Elixir OTP | 📊 Level: Advanced | 🌐 Coding5s.com
**Concept:** Encapsulated State with Agents (Agent.start_link/2, Agent.get/3, Agent.update/3, Agent.cast/2)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encapsulated state with Agents using Agent.start_link/2, Agent.get/3, Agent.update/3, and Agent.cast/2..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encapsulated state with Agents using Agent.start_link/2, Agent.get/3, Agent.update/3, and Agent.cast/2.. Topic details: Encapsulated State with Agents (Agent.start_link/2, Agent.get/3, Agent.update/3, Agent.cast/2)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Elixir OTP | 📊 Level: Advanced
**Topic:** Implement encapsulated state with Agents using Agent.start_link/2, Agent.get/3, Agent.update/3, and Agent.cast/2.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Implement encapsulated state with Agents using Agent.start_link/2, Agent.get/3, Agent.update/3, and Agent.cast/2. | [LEVEL] Advanced | [COUNT] 3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 | Stage 4 🧹 Refactor | Elixir OTP | 📊 Level: Advanced | 🌐 Coding5s.com
**Concept:** Encapsulated State with Agents (Agent.start_link/2, Agent.get/3, Agent.update/3, Agent.cast/2)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encapsulated state with Agents using Agent.start_link/2, Agent.get/3, Agent.update/3, and Agent.cast/2.. Topic details: Encapsulated State with Agents (Agent.start_link/2, Agent.get/3, Agent.update/3, Agent.cast/2)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Elixir OTP | 📊 Level: Advanced
**Topic:** Implement encapsulated state with Agents using Agent.start_link/2, Agent.get/3, Agent.update/3, and Agent.cast/2.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Elixir OTP Jira Ticket | [TASK] Provide a guided implementation exercise with full solution for learning purposes | [TOPIC] Implement encapsulated state with Agents using Agent.start_link/2, Agent.get/3, Agent.update/3, and Agent.cast/2.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 | Stage 5 | Elixir OTP | 📊 Level: Advanced | 🌐 Coding5s.com
**Concept:** Encapsulated State with Agents (Agent.start_link/2, Agent.get/3, Agent.update/3, Agent.cast/2)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encapsulated state with Agents using Agent.start_link/2, Agent.get/3, Agent.update/3, and Agent.cast/2.. Goal: Encapsulated State with Agents (Agent.start_link/2, Agent.get/3, Agent.update/3, Agent.cast/2)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Elixir OTP | 📊 Level: Advanced
**Topic:** Implement encapsulated state with Agents using Agent.start_link/2, Agent.get/3, Agent.update/3, and Agent.cast/2.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25</v>
      </c>
      <c r="D13" s="46">
        <v>4</v>
      </c>
      <c r="E13" s="58" t="s">
        <v>46</v>
      </c>
      <c r="F13" s="48">
        <v>5</v>
      </c>
      <c r="G13" s="49" t="s">
        <v>159</v>
      </c>
      <c r="H13" s="49" t="s">
        <v>48</v>
      </c>
      <c r="I13" s="50" t="s">
        <v>791</v>
      </c>
      <c r="J13" s="51" t="s">
        <v>792</v>
      </c>
      <c r="K13" s="129" t="str">
        <f t="shared" si="2"/>
        <v xml:space="preserve">[ROLE] Friendly tutor specializing in Elixir OTP | [TOPIC] Construct GenServer core structures and synchronous flows using use GenServer, init/1, GenServer.call/3, and handle_call/3.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Elixir OTP | 📊 Level: Advanced | 🌐 Coding5s.com
**Concept:** GenServer Core &amp; Synchronous Flow (use GenServer, init/1, GenServer.call/3, handle_call/3)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GenServer core structures and synchronous flows using use GenServer, init/1, GenServer.call/3, and handle_call/3.. Topic details: GenServer Core &amp; Synchronous Flow (use GenServer, init/1, GenServer.call/3, handle_call/3)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Elixir OTP | 📊 Level: Advanced
**Topic:** Construct GenServer core structures and synchronous flows using use GenServer, init/1, GenServer.call/3, and handle_call/3.
---
 | [FOOTER RULE - STRICT] End your response with: '--- ⚡ *Coding5s Mentor System — Eliminating Epistemic Debt*' | </v>
      </c>
      <c r="M13" s="52">
        <v>0</v>
      </c>
      <c r="N13" s="102" t="str">
        <f t="shared" si="4"/>
        <v>[ROLE] Careless Elixir OTP Developer | [TASK] Generate debugging challenges in Elixir OTP | | [TOPIC] Construct GenServer core structures and synchronous flows using use GenServer, init/1, GenServer.call/3, and handle_call/3.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#5 | Stage 2 🐛 Debug | Elixir OTP | 📊 Level: Advanced | 🌐 Coding5s.com
Concept: GenServer Core &amp; Synchronous Flow (use GenServer, init/1, GenServer.call/3, handle_call/3)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GenServer core structures and synchronous flows using use GenServer, init/1, GenServer.call/3, and handle_call/3.. Topic details: GenServer Core &amp; Synchronous Flow (use GenServer, init/1, GenServer.call/3, handle_call/3)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Elixir OTP | 📊 Level: Advanced
**Topic:** Construct GenServer core structures and synchronous flows using use GenServer, init/1, GenServer.call/3, and handle_call/3.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Elixir OTP script challenges | [TOPIC] Construct GenServer core structures and synchronous flows using use GenServer, init/1, GenServer.call/3, and handle_call/3.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#5 | Stage 3 🧩 Complete | Elixir OTP | 📊 Level: Advanced | 🌐 Coding5s.com
**Concept:** GenServer Core &amp; Synchronous Flow (use GenServer, init/1, GenServer.call/3, handle_call/3)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GenServer core structures and synchronous flows using use GenServer, init/1, GenServer.call/3, and handle_call/3..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GenServer core structures and synchronous flows using use GenServer, init/1, GenServer.call/3, and handle_call/3.. Topic details: GenServer Core &amp; Synchronous Flow (use GenServer, init/1, GenServer.call/3, handle_call/3)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Elixir OTP | 📊 Level: Advanced
**Topic:** Construct GenServer core structures and synchronous flows using use GenServer, init/1, GenServer.call/3, and handle_call/3.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Construct GenServer core structures and synchronous flows using use GenServer, init/1, GenServer.call/3, and handle_call/3.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 | Stage 4 🧹 Refactor | Elixir OTP | 📊 Level: Advanced | 🌐 Coding5s.com
**Concept:** GenServer Core &amp; Synchronous Flow (use GenServer, init/1, GenServer.call/3, handle_call/3)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Construct GenServer core structures and synchronous flows using use GenServer, init/1, GenServer.call/3, and handle_call/3.. Topic details: GenServer Core &amp; Synchronous Flow (use GenServer, init/1, GenServer.call/3, handle_call/3)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Elixir OTP | 📊 Level: Advanced
**Topic:** Construct GenServer core structures and synchronous flows using use GenServer, init/1, GenServer.call/3, and handle_call/3.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Elixir OTP Jira Ticket | [TASK] Provide a guided implementation exercise with full solution for learning purposes | [TOPIC] Construct GenServer core structures and synchronous flows using use GenServer, init/1, GenServer.call/3, and handle_call/3.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 | Stage 5 | Elixir OTP | 📊 Level: Advanced | 🌐 Coding5s.com
**Concept:** GenServer Core &amp; Synchronous Flow (use GenServer, init/1, GenServer.call/3, handle_call/3)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GenServer core structures and synchronous flows using use GenServer, init/1, GenServer.call/3, and handle_call/3.. Goal: GenServer Core &amp; Synchronous Flow (use GenServer, init/1, GenServer.call/3, handle_call/3)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Elixir OTP | 📊 Level: Advanced
**Topic:** Construct GenServer core structures and synchronous flows using use GenServer, init/1, GenServer.call/3, and handle_call/3.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20</v>
      </c>
      <c r="D14" s="57">
        <v>4</v>
      </c>
      <c r="E14" s="58" t="s">
        <v>46</v>
      </c>
      <c r="F14" s="59">
        <v>6</v>
      </c>
      <c r="G14" s="60" t="s">
        <v>159</v>
      </c>
      <c r="H14" s="60" t="s">
        <v>48</v>
      </c>
      <c r="I14" s="61" t="s">
        <v>793</v>
      </c>
      <c r="J14" s="62" t="s">
        <v>794</v>
      </c>
      <c r="K14" s="129" t="str">
        <f t="shared" si="2"/>
        <v xml:space="preserve">[ROLE] Friendly tutor specializing in Elixir OTP | [TOPIC] Implement asynchronous flow and deferred initialization using GenServer.cast/2, handle_cast/2, and handle_continue/2 for non-blocking init.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Elixir OTP | 📊 Level: Advanced | 🌐 Coding5s.com
**Concept:** Asynchronous Flow &amp; Deferred Init (GenServer.cast/2, handle_cast/2, handle_continue/2 for non-blocking init)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flow and deferred initialization using GenServer.cast/2, handle_cast/2, and handle_continue/2 for non-blocking init.. Topic details: Asynchronous Flow &amp; Deferred Init (GenServer.cast/2, handle_cast/2, handle_continue/2 for non-blocking init)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Elixir OTP | 📊 Level: Advanced
**Topic:** Implement asynchronous flow and deferred initialization using GenServer.cast/2, handle_cast/2, and handle_continue/2 for non-blocking init.
---
 | [FOOTER RULE - STRICT] End your response with: '--- ⚡ *Coding5s Mentor System — Eliminating Epistemic Debt*' | </v>
      </c>
      <c r="M14" s="52">
        <v>0</v>
      </c>
      <c r="N14" s="102" t="str">
        <f t="shared" si="4"/>
        <v>[ROLE] Careless Elixir OTP Developer | [TASK] Generate debugging challenges in Elixir OTP | | [TOPIC] Implement asynchronous flow and deferred initialization using GenServer.cast/2, handle_cast/2, and handle_continue/2 for non-blocking init.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#6 | Stage 2 🐛 Debug | Elixir OTP | 📊 Level: Advanced | 🌐 Coding5s.com
Concept: Asynchronous Flow &amp; Deferred Init (GenServer.cast/2, handle_cast/2, handle_continue/2 for non-blocking init)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Elixir OTP | 📊 Level: Advanced
**Topic:** Implement asynchronous flow and deferred initialization using GenServer.cast/2, handle_cast/2, and handle_continue/2 for non-blocking init.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Elixir OTP script challenges | [TOPIC] Implement asynchronous flow and deferred initialization using GenServer.cast/2, handle_cast/2, and handle_continue/2 for non-blocking init.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#6 | Stage 3 🧩 Complete | Elixir OTP | 📊 Level: Advanced | 🌐 Coding5s.com
**Concept:** Asynchronous Flow &amp; Deferred Init (GenServer.cast/2, handle_cast/2, handle_continue/2 for non-blocking init)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flow and deferred initialization using GenServer.cast/2, handle_cast/2, and handle_continue/2 for non-blocking init..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Elixir OTP | 📊 Level: Advanced
**Topic:** Implement asynchronous flow and deferred initialization using GenServer.cast/2, handle_cast/2, and handle_continue/2 for non-blocking init.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intentionally messy but functional code for learning debugging and improvement | [TOPIC] Implement asynchronous flow and deferred initialization using GenServer.cast/2, handle_cast/2, and handle_continue/2 for non-blocking init.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 | Stage 4 🧹 Refactor | Elixir OTP | 📊 Level: Advanced | 🌐 Coding5s.com
**Concept:** Asynchronous Flow &amp; Deferred Init (GenServer.cast/2, handle_cast/2, handle_continue/2 for non-blocking init)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Elixir OTP | 📊 Level: Advanced
**Topic:** Implement asynchronous flow and deferred initialization using GenServer.cast/2, handle_cast/2, and handle_continue/2 for non-blocking init.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Elixir OTP Jira Ticket | [TASK] Provide a guided implementation exercise with full solution for learning purposes | [TOPIC] Implement asynchronous flow and deferred initialization using GenServer.cast/2, handle_cast/2, and handle_continue/2 for non-blocking init.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 | Stage 5 | Elixir OTP | 📊 Level: Advanced | 🌐 Coding5s.com
**Concept:** Asynchronous Flow &amp; Deferred Init (GenServer.cast/2, handle_cast/2, handle_continue/2 for non-blocking init)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flow and deferred initialization using GenServer.cast/2, handle_cast/2, and handle_continue/2 for non-blocking init.. Goal: Asynchronous Flow &amp; Deferred Init (GenServer.cast/2, handle_cast/2, handle_continue/2 for non-blocking init)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Elixir OTP | 📊 Level: Advanced
**Topic:** Implement asynchronous flow and deferred initialization using GenServer.cast/2, handle_cast/2, and handle_continue/2 for non-blocking init.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1</v>
      </c>
      <c r="C15" s="95">
        <v>25</v>
      </c>
      <c r="D15" s="46">
        <v>5</v>
      </c>
      <c r="E15" s="58" t="s">
        <v>46</v>
      </c>
      <c r="F15" s="48">
        <v>7</v>
      </c>
      <c r="G15" s="49" t="s">
        <v>159</v>
      </c>
      <c r="H15" s="49" t="s">
        <v>48</v>
      </c>
      <c r="I15" s="50" t="s">
        <v>795</v>
      </c>
      <c r="J15" s="51" t="s">
        <v>796</v>
      </c>
      <c r="K15" s="129" t="str">
        <f t="shared" si="2"/>
        <v xml:space="preserve">[ROLE] Friendly tutor specializing in Elixir OTP | [TOPIC] Manage internal events, tickers, and lifecycle using send/2 to self, Process.send_after/3 for periodic work, handle_info/2, terminate/2, and Timeouts. | [LEVEL] Advanced | [COUNT] 5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Elixir OTP | 📊 Level: Advanced | 🌐 Coding5s.com
**Concept:** Internal Events, Tickers &amp; Lifecycle (send/2 to self, Process.send_after/3 for periodic work, handle_info/2, terminate/2, Timeouts)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internal events, tickers, and lifecycle using send/2 to self, Process.send_after/3 for periodic work, handle_info/2, terminate/2, and Timeouts.. Topic details: Internal Events, Tickers &amp; Lifecycle (send/2 to self, Process.send_after/3 for periodic work, handle_info/2, terminate/2, Timeouts)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Elixir OTP | 📊 Level: Advanced
**Topic:** Manage internal events, tickers, and lifecycle using send/2 to self, Process.send_after/3 for periodic work, handle_info/2, terminate/2, and Timeouts.
---
 | [FOOTER RULE - STRICT] End your response with: '--- ⚡ *Coding5s Mentor System — Eliminating Epistemic Debt*' | </v>
      </c>
      <c r="M15" s="52">
        <v>0</v>
      </c>
      <c r="N15" s="102" t="str">
        <f t="shared" si="4"/>
        <v>[ROLE] Careless Elixir OTP Developer | [TASK] Generate debugging challenges in Elixir OTP | | [TOPIC] Manage internal events, tickers, and lifecycle using send/2 to self, Process.send_after/3 for periodic work, handle_info/2, terminate/2, and Timeouts. | | [LEVEL] Advanced |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#7 | Stage 2 🐛 Debug | Elixir OTP | 📊 Level: Advanced | 🌐 Coding5s.com
Concept: Internal Events, Tickers &amp; Lifecycle (send/2 to self, Process.send_after/3 for periodic work, handle_info/2, terminate/2, Timeouts)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Elixir OTP | 📊 Level: Advanced
**Topic:** Manage internal events, tickers, and lifecycle using send/2 to self, Process.send_after/3 for periodic work, handle_info/2, terminate/2, and Timeouts.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Elixir OTP script challenges | [TOPIC] Manage internal events, tickers, and lifecycle using send/2 to self, Process.send_after/3 for periodic work, handle_info/2, terminate/2, and Timeouts. | [LEVEL] Advanced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#7 | Stage 3 🧩 Complete | Elixir OTP | 📊 Level: Advanced | 🌐 Coding5s.com
**Concept:** Internal Events, Tickers &amp; Lifecycle (send/2 to self, Process.send_after/3 for periodic work, handle_info/2, terminate/2, Timeouts)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internal events, tickers, and lifecycle using send/2 to self, Process.send_after/3 for periodic work, handle_info/2, terminate/2, and Timeouts..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Elixir OTP | 📊 Level: Advanced
**Topic:** Manage internal events, tickers, and lifecycle using send/2 to self, Process.send_after/3 for periodic work, handle_info/2, terminate/2, and Timeouts.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Manage internal events, tickers, and lifecycle using send/2 to self, Process.send_after/3 for periodic work, handle_info/2, terminate/2, and Timeouts. | [LEVEL] Advanced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 | Stage 4 🧹 Refactor | Elixir OTP | 📊 Level: Advanced | 🌐 Coding5s.com
**Concept:** Internal Events, Tickers &amp; Lifecycle (send/2 to self, Process.send_after/3 for periodic work, handle_info/2, terminate/2, Timeouts)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Elixir OTP | 📊 Level: Advanced
**Topic:** Manage internal events, tickers, and lifecycle using send/2 to self, Process.send_after/3 for periodic work, handle_info/2, terminate/2, and Timeouts.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Elixir OTP Jira Ticket | [TASK] Provide a guided implementation exercise with full solution for learning purposes | [TOPIC] Manage internal events, tickers, and lifecycle using send/2 to self, Process.send_after/3 for periodic work, handle_info/2, terminate/2, and Timeouts.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 | Stage 5 | Elixir OTP | 📊 Level: Advanced | 🌐 Coding5s.com
**Concept:** Internal Events, Tickers &amp; Lifecycle (send/2 to self, Process.send_after/3 for periodic work, handle_info/2, terminate/2, Timeouts)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internal events, tickers, and lifecycle using send/2 to self, Process.send_after/3 for periodic work, handle_info/2, terminate/2, and Timeouts.. Goal: Internal Events, Tickers &amp; Lifecycle (send/2 to self, Process.send_after/3 for periodic work, handle_info/2, terminate/2,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Elixir OTP | 📊 Level: Advanced
**Topic:** Manage internal events, tickers, and lifecycle using send/2 to self, Process.send_after/3 for periodic work, handle_info/2, terminate/2, and Timeouts.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xml:space="preserve">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v>
      </c>
      <c r="B16" s="45">
        <f t="shared" si="1"/>
        <v>1</v>
      </c>
      <c r="C16" s="95" t="s">
        <v>839</v>
      </c>
      <c r="D16" s="57">
        <v>0</v>
      </c>
      <c r="E16" s="58" t="s">
        <v>46</v>
      </c>
      <c r="F16" s="59">
        <v>8</v>
      </c>
      <c r="G16" s="60" t="s">
        <v>159</v>
      </c>
      <c r="H16" s="60" t="s">
        <v>77</v>
      </c>
      <c r="I16" s="61" t="s">
        <v>797</v>
      </c>
      <c r="J16" s="62" t="s">
        <v>798</v>
      </c>
      <c r="K16" s="129" t="str">
        <f t="shared" si="2"/>
        <v>[TASK] Teach through a practical Elixir OTP -  project following the micro-learning methodology, acting as a supportive tutor, creating a project about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OTP | 📊 Level: Advanced | 🌐 Coding5s.com
**Project:** PROJECT: Basic OTP State Manager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interactive encapsulated state system utilizing spawn/1, send/2, receive, Agents, and GenServer core callbacks.. Topics applied in this project: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Elixir OTP | 📊 Level: Advanced
**Project:** Build an interactive encapsulated state system utilizing spawn/1, send/2, receive, Agents, and GenServer core callbacks.
---
 | [FOOTER RULE - STRICT] End your response with: '--- ⚡ *Coding5s Mentor System — Eliminating Epistemic Debt*' | </v>
      </c>
      <c r="M16" s="52">
        <v>0</v>
      </c>
      <c r="N16" s="102" t="str">
        <f t="shared" si="4"/>
        <v>[ROLE] Careless Elixir OTP Developer | [TASK] Generate debugging project in Elixir OTP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[OUTPUT] Only header, dataset summary or statement (if any), email intro, objective, expected output, broken code, and footer | [HEADER RULE - STRICT] You MUST start your entire response EXACTLY with this markdown block (do not print anything before it):
### 🚀 Project #8 | Stage 2 | Elixir OTP | 📊 Level: Advanced | 🌐 Coding5s.com
Project: PROJECT: Basic OTP State Manager
---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Guaraní | [LANGUAGE SEED CONTEXT] Language Seed Not Necessary | [BUG RULE] 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Elixir OTP | 📊 Level: Advanced
**Project:** Build an interactive encapsulated state system utilizing spawn/1, send/2, receive, Agents, and GenServer core callbacks.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project script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 | Stage 3 | Elixir OTP | 📊 Level: Advanced | 🌐 Coding5s.com
**Project:** PROJECT: Basic OTP State Manager
---
 | [EXTERNAL_PACKAGE_PROTOCOL] Require standard mix.exs tooling for dependencies. Do NOT use Mix.install/2. | [CHALLENGE_CONSTRAINTS_POLICY] MUST be between 40–100 lines of EXECUTABLE base OTP code (STRICT: Do NOT count comments or TODOs). Must feature inter-process communication or supervision tree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Elixir OTP | 📊 Level: Advanced
**Project:** Build an interactive encapsulated state system utilizing spawn/1, send/2, receive, Agents, and GenServer core callbacks.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a messy but functional project for refactoring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Tech Lead. A junior wrote this working but messy code. Tone: professional but exhausted | [HEADER RULE - STRICT] You MUST start your entire response EXACTLY with this markdown block (do not print anything before it):
### 🚀 Project #8 | Stage 4 | Elixir OTP | 📊 Level: Advanced | 🌐 Coding5s.com
**Project:** PROJECT: Basic OTP State Manager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Elixir OTP | 📊 Level: Advanced
**Project:** Build an interactive encapsulated state system utilizing spawn/1, send/2, receive, Agents, and GenServer core callbacks.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Elixir OTP Jira Ticket | [TASK] Provide a guided project implementation with full solution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professional Tech Product Manager defining a project ticket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Project #8 | Stage 5 | Elixir OTP | 📊 Level: Advanced | 🌐 Coding5s.com
**Project:** PROJECT: Basic OTP State Manager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interactive encapsulated state system utilizing spawn/1, send/2, receive, Agents, and GenServer core callbacks.. Topics integrated: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Business Goal: PROJECT: Basic OTP State Manager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Elixir OTP | 📊 Level: Advanced
**Project:** Build an interactive encapsulated state system utilizing spawn/1, send/2, receive, Agents, and GenServer core callbacks.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[TASK] Teach through a practical Elixir OTP -  project following the micro-learning methodology, acting as a supportive tutor, creating a project about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OTP | 📊 Level: Advanced | 🌐 Coding5s.com
**Project:** PROJECT: Basic OTP State Manager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3"/>
        <v>[ROLE] Careless Elixir OTP Developer | [TASK] Generate debugging project in Elixir OTP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[OUTPUT] Only header, dataset summary or statement (if any), email intro, objective, expected output, broken code, and footer | [HEADER RULE - STRICT] You MUST start your entire response EXACTLY with this markdown block (do not print anything before it):
### 🚀 Project #8 | Stage 2 | Elixir OTP | 📊 Level: Advanced | 🌐 Coding5s.com
Project: PROJECT: Basic OTP State Manager
---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Guaraní | [LANGUAGE SEED CONTEXT] Language Seed Not Necessary | [BUG RULE] 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4"/>
        <v>[ROLE] Tech Lead | [TASK] Assign incomplete project script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 | Stage 3 | Elixir OTP | 📊 Level: Advanced | 🌐 Coding5s.com
**Project:** PROJECT: Basic OTP State Manager
---
 | [EXTERNAL_PACKAGE_PROTOCOL] Require standard mix.exs tooling for dependencies. Do NOT use Mix.install/2. | [CHALLENGE_CONSTRAINTS_POLICY] MUST be between 40–100 lines of EXECUTABLE base OTP code (STRICT: Do NOT count comments or TODOs). Must feature inter-process communication or supervision tree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5"/>
        <v>[ROLE] Tech Lead | [TASK] Provide a messy but functional project for refactoring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Tech Lead. A junior wrote this working but messy code. Tone: professional but exhausted | [HEADER RULE - STRICT] You MUST start your entire response EXACTLY with this markdown block (do not print anything before it):
### 🚀 Project #8 | Stage 4 | Elixir OTP | 📊 Level: Advanced | 🌐 Coding5s.com
**Project:** PROJECT: Basic OTP State Manager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6"/>
        <v>[ROLE] Tech Product Manager assigning a Elixir OTP Jira Ticket | [TASK] Provide a guided project implementation with full solution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professional Tech Product Manager defining a project ticket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Project #8 | Stage 5 | Elixir OTP | 📊 Level: Advanced | 🌐 Coding5s.com
**Project:** PROJECT: Basic OTP State Manager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20</v>
      </c>
      <c r="D17" s="46">
        <v>4</v>
      </c>
      <c r="E17" s="58" t="s">
        <v>46</v>
      </c>
      <c r="F17" s="48">
        <v>9</v>
      </c>
      <c r="G17" s="49" t="s">
        <v>159</v>
      </c>
      <c r="H17" s="49" t="s">
        <v>48</v>
      </c>
      <c r="I17" s="50" t="s">
        <v>799</v>
      </c>
      <c r="J17" s="51" t="s">
        <v>800</v>
      </c>
      <c r="K17" s="129" t="str">
        <f t="shared" si="2"/>
        <v xml:space="preserve">[ROLE] Friendly tutor specializing in Elixir OTP | [TOPIC] Design state modeling patterns using Maps as state, Structs as state, nested state transitions, and process ownership design.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Elixir OTP | 📊 Level: Advanced | 🌐 Coding5s.com
**Concept:** State Modeling Patterns (Maps as state, Structs as state, nested state transitions, process ownership design)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state modeling patterns using Maps as state, Structs as state, nested state transitions, and process ownership design.. Topic details: State Modeling Patterns (Maps as state, Structs as state, nested state transitions, process ownership design)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Elixir OTP | 📊 Level: Advanced
**Topic:** Design state modeling patterns using Maps as state, Structs as state, nested state transitions, and process ownership design.
---
 | [FOOTER RULE - STRICT] End your response with: '--- ⚡ *Coding5s Mentor System — Eliminating Epistemic Debt*' | </v>
      </c>
      <c r="M17" s="53">
        <v>0</v>
      </c>
      <c r="N17" s="102" t="str">
        <f t="shared" si="4"/>
        <v>[ROLE] Careless Elixir OTP Developer | [TASK] Generate debugging challenges in Elixir OTP | | [TOPIC] Design state modeling patterns using Maps as state, Structs as state, nested state transitions, and process ownership design.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#9 | Stage 2 🐛 Debug | Elixir OTP | 📊 Level: Advanced | 🌐 Coding5s.com
Concept: State Modeling Patterns (Maps as state, Structs as state, nested state transitions, process ownership design)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Elixir OTP | 📊 Level: Advanced
**Topic:** Design state modeling patterns using Maps as state, Structs as state, nested state transitions, and process ownership design.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Elixir OTP script challenges | [TOPIC] Design state modeling patterns using Maps as state, Structs as state, nested state transitions, and process ownership design.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#9 | Stage 3 🧩 Complete | Elixir OTP | 📊 Level: Advanced | 🌐 Coding5s.com
**Concept:** State Modeling Patterns (Maps as state, Structs as state, nested state transitions, process ownership design)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state modeling patterns using Maps as state, Structs as state, nested state transitions, and process ownership design..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Elixir OTP | 📊 Level: Advanced
**Topic:** Design state modeling patterns using Maps as state, Structs as state, nested state transitions, and process ownership design.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Design state modeling patterns using Maps as state, Structs as state, nested state transitions, and process ownership design.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 | Stage 4 🧹 Refactor | Elixir OTP | 📊 Level: Advanced | 🌐 Coding5s.com
**Concept:** State Modeling Patterns (Maps as state, Structs as state, nested state transitions, process ownership design)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Elixir OTP | 📊 Level: Advanced
**Topic:** Design state modeling patterns using Maps as state, Structs as state, nested state transitions, and process ownership design.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Elixir OTP Jira Ticket | [TASK] Provide a guided implementation exercise with full solution for learning purposes | [TOPIC] Design state modeling patterns using Maps as state, Structs as state, nested state transitions, and process ownership design.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 | Stage 5 | Elixir OTP | 📊 Level: Advanced | 🌐 Coding5s.com
**Concept:** State Modeling Patterns (Maps as state, Structs as state, nested state transitions, process ownership design)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state modeling patterns using Maps as state, Structs as state, nested state transitions, and process ownership design.. Goal: State Modeling Patterns (Maps as state, Structs as state, nested state transitions, process ownership design)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Elixir OTP | 📊 Level: Advanced
**Topic:** Design state modeling patterns using Maps as state, Structs as state, nested state transitions, and process ownership design.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15</v>
      </c>
      <c r="D18" s="57">
        <v>3</v>
      </c>
      <c r="E18" s="58" t="s">
        <v>46</v>
      </c>
      <c r="F18" s="59">
        <v>10</v>
      </c>
      <c r="G18" s="60" t="s">
        <v>159</v>
      </c>
      <c r="H18" s="60" t="s">
        <v>48</v>
      </c>
      <c r="I18" s="61" t="s">
        <v>801</v>
      </c>
      <c r="J18" s="62" t="s">
        <v>802</v>
      </c>
      <c r="K18" s="129" t="str">
        <f t="shared" si="2"/>
        <v xml:space="preserve">[ROLE] Friendly tutor specializing in Elixir OTP | [TOPIC] Implement local registration and global basics using Local name: atom, Process.whereis/1, Process.register/2, and the :global module. | [LEVEL] Advanced | [COUNT] 3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Elixir OTP | 📊 Level: Advanced | 🌐 Coding5s.com
**Concept:** Local Registration &amp; Global Basics (Local name: atom, Process.whereis/1, Process.register/2, :global module)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local registration and global basics using Local name: atom, Process.whereis/1, Process.register/2, and the :global module.. Topic details: Local Registration &amp; Global Basics (Local name: atom, Process.whereis/1, Process.register/2, :global module)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Elixir OTP | 📊 Level: Advanced
**Topic:** Implement local registration and global basics using Local name: atom, Process.whereis/1, Process.register/2, and the :global module.
---
 | [FOOTER RULE - STRICT] End your response with: '--- ⚡ *Coding5s Mentor System — Eliminating Epistemic Debt*' | </v>
      </c>
      <c r="M18" s="52">
        <v>0</v>
      </c>
      <c r="N18" s="102" t="str">
        <f t="shared" si="4"/>
        <v>[ROLE] Careless Elixir OTP Developer | [TASK] Generate debugging challenges in Elixir OTP | | [TOPIC] Implement local registration and global basics using Local name: atom, Process.whereis/1, Process.register/2, and the :global module. | | [LEVEL] Advanced | | [COUNT] 3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#10 | Stage 2 🐛 Debug | Elixir OTP | 📊 Level: Advanced | 🌐 Coding5s.com
Concept: Local Registration &amp; Global Basics (Local name: atom, Process.whereis/1, Process.register/2, :global module)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local registration and global basics using Local name: atom, Process.whereis/1, Process.register/2, and the :global module.. Topic details: Local Registration &amp; Global Basics (Local name: atom, Process.whereis/1, Process.register/2, :global module)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Elixir OTP | 📊 Level: Advanced
**Topic:** Implement local registration and global basics using Local name: atom, Process.whereis/1, Process.register/2, and the :global module.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Elixir OTP script challenges | [TOPIC] Implement local registration and global basics using Local name: atom, Process.whereis/1, Process.register/2, and the :global module. | [LEVEL] Advanced | [COUNT] 3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#10 | Stage 3 🧩 Complete | Elixir OTP | 📊 Level: Advanced | 🌐 Coding5s.com
**Concept:** Local Registration &amp; Global Basics (Local name: atom, Process.whereis/1, Process.register/2, :global module)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local registration and global basics using Local name: atom, Process.whereis/1, Process.register/2, and the :global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local registration and global basics using Local name: atom, Process.whereis/1, Process.register/2, and the :global module.. Topic details: Local Registration &amp; Global Basics (Local name: atom, Process.whereis/1, Process.register/2, :global module)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Elixir OTP | 📊 Level: Advanced
**Topic:** Implement local registration and global basics using Local name: atom, Process.whereis/1, Process.register/2, and the :global module.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Implement local registration and global basics using Local name: atom, Process.whereis/1, Process.register/2, and the :global module. | [LEVEL] Advanced | [COUNT] 3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 | Stage 4 🧹 Refactor | Elixir OTP | 📊 Level: Advanced | 🌐 Coding5s.com
**Concept:** Local Registration &amp; Global Basics (Local name: atom, Process.whereis/1, Process.register/2, :global module)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local registration and global basics using Local name: atom, Process.whereis/1, Process.register/2, and the :global module.. Topic details: Local Registration &amp; Global Basics (Local name: atom, Process.whereis/1, Process.register/2, :global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Elixir OTP | 📊 Level: Advanced
**Topic:** Implement local registration and global basics using Local name: atom, Process.whereis/1, Process.register/2, and the :global module.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Elixir OTP Jira Ticket | [TASK] Provide a guided implementation exercise with full solution for learning purposes | [TOPIC] Implement local registration and global basics using Local name: atom, Process.whereis/1, Process.register/2, and the :global module.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 | Stage 5 | Elixir OTP | 📊 Level: Advanced | 🌐 Coding5s.com
**Concept:** Local Registration &amp; Global Basics (Local name: atom, Process.whereis/1, Process.register/2, :global module)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local registration and global basics using Local name: atom, Process.whereis/1, Process.register/2, and the :global module.. Goal: Local Registration &amp; Global Basics (Local name: atom, Process.whereis/1, Process.register/2, :global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Elixir OTP | 📊 Level: Advanced
**Topic:** Implement local registration and global basics using Local name: atom, Process.whereis/1, Process.register/2, and the :global module.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20</v>
      </c>
      <c r="D19" s="46">
        <v>4</v>
      </c>
      <c r="E19" s="58" t="s">
        <v>46</v>
      </c>
      <c r="F19" s="48">
        <v>11</v>
      </c>
      <c r="G19" s="49" t="s">
        <v>159</v>
      </c>
      <c r="H19" s="49" t="s">
        <v>48</v>
      </c>
      <c r="I19" s="50" t="s">
        <v>803</v>
      </c>
      <c r="J19" s="51" t="s">
        <v>804</v>
      </c>
      <c r="K19" s="129" t="str">
        <f t="shared" si="2"/>
        <v xml:space="preserve">[ROLE] Friendly tutor specializing in Elixir OTP | [TOPIC] Implement dynamic naming with The Registry Module using Registry.start_link/1, Registry.lookup/2, and {:via, Registry, ...} dynamic routing.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Elixir OTP | 📊 Level: Advanced | 🌐 Coding5s.com
**Concept:** The Registry Module &amp; Dynamic Naming (Registry.start_link/1, Registry.lookup/2, {:via, Registry, ...} dynamic routing)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dynamic naming with The Registry Module using Registry.start_link/1, Registry.lookup/2, and {:via, Registry, ...} dynamic routing.. Topic details: The Registry Module &amp; Dynamic Naming (Registry.start_link/1, Registry.lookup/2, {:via, Registry, ...} dynamic routing)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Elixir OTP | 📊 Level: Advanced
**Topic:** Implement dynamic naming with The Registry Module using Registry.start_link/1, Registry.lookup/2, and {:via, Registry, ...} dynamic routing.
---
 | [FOOTER RULE - STRICT] End your response with: '--- ⚡ *Coding5s Mentor System — Eliminating Epistemic Debt*' | </v>
      </c>
      <c r="M19" s="53">
        <v>0</v>
      </c>
      <c r="N19" s="102" t="str">
        <f t="shared" si="4"/>
        <v>[ROLE] Careless Elixir OTP Developer | [TASK] Generate debugging challenges in Elixir OTP | | [TOPIC] Implement dynamic naming with The Registry Module using Registry.start_link/1, Registry.lookup/2, and {:via, Registry, ...} dynamic routing.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#11 | Stage 2 🐛 Debug | Elixir OTP | 📊 Level: Advanced | 🌐 Coding5s.com
Concept: The Registry Module &amp; Dynamic Naming (Registry.start_link/1, Registry.lookup/2, {:via, Registry, ...} dynamic routing)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Elixir OTP | 📊 Level: Advanced
**Topic:** Implement dynamic naming with The Registry Module using Registry.start_link/1, Registry.lookup/2, and {:via, Registry, ...} dynamic routing.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Elixir OTP script challenges | [TOPIC] Implement dynamic naming with The Registry Module using Registry.start_link/1, Registry.lookup/2, and {:via, Registry, ...} dynamic routing.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#11 | Stage 3 🧩 Complete | Elixir OTP | 📊 Level: Advanced | 🌐 Coding5s.com
**Concept:** The Registry Module &amp; Dynamic Naming (Registry.start_link/1, Registry.lookup/2, {:via, Registry, ...} dynamic routing)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dynamic naming with The Registry Module using Registry.start_link/1, Registry.lookup/2, and {:via, Registry, ...} dynamic routing..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Elixir OTP | 📊 Level: Advanced
**Topic:** Implement dynamic naming with The Registry Module using Registry.start_link/1, Registry.lookup/2, and {:via, Registry, ...} dynamic routing.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Implement dynamic naming with The Registry Module using Registry.start_link/1, Registry.lookup/2, and {:via, Registry, ...} dynamic routing.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#11 | Stage 4 🧹 Refactor | Elixir OTP | 📊 Level: Advanced | 🌐 Coding5s.com
**Concept:** The Registry Module &amp; Dynamic Naming (Registry.start_link/1, Registry.lookup/2, {:via, Registry, ...} dynamic routing)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Elixir OTP | 📊 Level: Advanced
**Topic:** Implement dynamic naming with The Registry Module using Registry.start_link/1, Registry.lookup/2, and {:via, Registry, ...} dynamic routing.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Elixir OTP Jira Ticket | [TASK] Provide a guided implementation exercise with full solution for learning purposes | [TOPIC] Implement dynamic naming with The Registry Module using Registry.start_link/1, Registry.lookup/2, and {:via, Registry, ...} dynamic routing.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#11 | Stage 5 | Elixir OTP | 📊 Level: Advanced | 🌐 Coding5s.com
**Concept:** The Registry Module &amp; Dynamic Naming (Registry.start_link/1, Registry.lookup/2, {:via, Registry, ...} dynamic routing)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dynamic naming with The Registry Module using Registry.start_link/1, Registry.lookup/2, and {:via, Registry, ...} dynamic routing.. Goal: The Registry Module &amp; Dynamic Naming (Registry.start_link/1, Registry.lookup/2, {:via, Registry, ...} dynamic routing)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Elixir OTP | 📊 Level: Advanced
**Topic:** Implement dynamic naming with The Registry Module using Registry.start_link/1, Registry.lookup/2, and {:via, Registry, ...} dynamic routing.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25</v>
      </c>
      <c r="D20" s="57">
        <v>4</v>
      </c>
      <c r="E20" s="58" t="s">
        <v>46</v>
      </c>
      <c r="F20" s="59">
        <v>12</v>
      </c>
      <c r="G20" s="60" t="s">
        <v>159</v>
      </c>
      <c r="H20" s="60" t="s">
        <v>48</v>
      </c>
      <c r="I20" s="61" t="s">
        <v>805</v>
      </c>
      <c r="J20" s="62" t="s">
        <v>806</v>
      </c>
      <c r="K20" s="129" t="str">
        <f t="shared" si="2"/>
        <v xml:space="preserve">[ROLE] Friendly tutor specializing in Elixir OTP | [TOPIC] Define Supervisor core and child specifications using use Supervisor, init/1, child_spec/1, shutdown timeouts vs :brutal_kill, and process ownership.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Elixir OTP | 📊 Level: Advanced | 🌐 Coding5s.com
**Concept:** Supervisor Core &amp; Child Specifications (use Supervisor, init/1, child_spec/1, shutdown timeouts vs :brutal_kill, process ownership)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Elixir OTP | 📊 Level: Advanced
**Topic:** Define Supervisor core and child specifications using use Supervisor, init/1, child_spec/1, shutdown timeouts vs :brutal_kill, and process ownership.
---
 | [FOOTER RULE - STRICT] End your response with: '--- ⚡ *Coding5s Mentor System — Eliminating Epistemic Debt*' | </v>
      </c>
      <c r="M20" s="52">
        <v>0</v>
      </c>
      <c r="N20" s="102" t="str">
        <f t="shared" si="4"/>
        <v>[ROLE] Careless Elixir OTP Developer | [TASK] Generate debugging challenges in Elixir OTP | | [TOPIC] Define Supervisor core and child specifications using use Supervisor, init/1, child_spec/1, shutdown timeouts vs :brutal_kill, and process ownership.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#12 | Stage 2 🐛 Debug | Elixir OTP | 📊 Level: Advanced | 🌐 Coding5s.com
Concept: Supervisor Core &amp; Child Specifications (use Supervisor, init/1, child_spec/1, shutdown timeouts vs :brutal_kill, process ownership)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Elixir OTP | 📊 Level: Advanced
**Topic:** Define Supervisor core and child specifications using use Supervisor, init/1, child_spec/1, shutdown timeouts vs :brutal_kill, and process ownership.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Elixir OTP script challenges | [TOPIC] Define Supervisor core and child specifications using use Supervisor, init/1, child_spec/1, shutdown timeouts vs :brutal_kill, and process ownership.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#12 | Stage 3 🧩 Complete | Elixir OTP | 📊 Level: Advanced | 🌐 Coding5s.com
**Concept:** Supervisor Core &amp; Child Specifications (use Supervisor, init/1, child_spec/1, shutdown timeouts vs :brutal_kill, process ownership)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Supervisor core and child specifications using use Supervisor, init/1, child_spec/1, shutdown timeouts vs :brutal_kill, and process ownership..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Elixir OTP | 📊 Level: Advanced
**Topic:** Define Supervisor core and child specifications using use Supervisor, init/1, child_spec/1, shutdown timeouts vs :brutal_kill, and process ownership.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intentionally messy but functional code for learning debugging and improvement | [TOPIC] Define Supervisor core and child specifications using use Supervisor, init/1, child_spec/1, shutdown timeouts vs :brutal_kill, and process ownership.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#12 | Stage 4 🧹 Refactor | Elixir OTP | 📊 Level: Advanced | 🌐 Coding5s.com
**Concept:** Supervisor Core &amp; Child Specifications (use Supervisor, init/1, child_spec/1, shutdown timeouts vs :brutal_kill, process ownership)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Elixir OTP | 📊 Level: Advanced
**Topic:** Define Supervisor core and child specifications using use Supervisor, init/1, child_spec/1, shutdown timeouts vs :brutal_kill, and process ownership.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Elixir OTP Jira Ticket | [TASK] Provide a guided implementation exercise with full solution for learning purposes | [TOPIC] Define Supervisor core and child specifications using use Supervisor, init/1, child_spec/1, shutdown timeouts vs :brutal_kill, and process ownership.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#12 | Stage 5 | Elixir OTP | 📊 Level: Advanced | 🌐 Coding5s.com
**Concept:** Supervisor Core &amp; Child Specifications (use Supervisor, init/1, child_spec/1, shutdown timeouts vs :brutal_kill, process ownership)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Supervisor core and child specifications using use Supervisor, init/1, child_spec/1, shutdown timeouts vs :brutal_kill, and process ownership.. Goal: Supervisor Core &amp; Child Specifications (use Supervisor, init/1, child_spec/1, shutdown timeouts vs :brutal_kill, process ownership)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Elixir OTP | 📊 Level: Advanced
**Topic:** Define Supervisor core and child specifications using use Supervisor, init/1, child_spec/1, shutdown timeouts vs :brutal_kill, and process ownership.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20</v>
      </c>
      <c r="D21" s="46">
        <v>4</v>
      </c>
      <c r="E21" s="58" t="s">
        <v>46</v>
      </c>
      <c r="F21" s="48">
        <v>13</v>
      </c>
      <c r="G21" s="49" t="s">
        <v>159</v>
      </c>
      <c r="H21" s="49" t="s">
        <v>48</v>
      </c>
      <c r="I21" s="50" t="s">
        <v>807</v>
      </c>
      <c r="J21" s="51" t="s">
        <v>808</v>
      </c>
      <c r="K21" s="129" t="str">
        <f t="shared" si="2"/>
        <v xml:space="preserve">[ROLE] Friendly tutor specializing in Elixir OTP | [TOPIC] Configure Supervisor strategies and tuning using :one_for_one, :one_for_all, :rest_for_one, and max_restarts/max_seconds.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Elixir OTP | 📊 Level: Advanced | 🌐 Coding5s.com
**Concept:** Supervisor Strategies &amp; Tuning (:one_for_one, :one_for_all, :rest_for_one, max_restarts/max_seconds)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Supervisor strategies and tuning using :one_for_one, :one_for_all, :rest_for_one, and max_restarts/max_seconds.. Topic details: Supervisor Strategies &amp; Tuning (:one_for_one, :one_for_all, :rest_for_one, max_restarts/max_seconds)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Elixir OTP | 📊 Level: Advanced
**Topic:** Configure Supervisor strategies and tuning using :one_for_one, :one_for_all, :rest_for_one, and max_restarts/max_seconds.
---
 | [FOOTER RULE - STRICT] End your response with: '--- ⚡ *Coding5s Mentor System — Eliminating Epistemic Debt*' | </v>
      </c>
      <c r="M21" s="53">
        <v>0</v>
      </c>
      <c r="N21" s="102" t="str">
        <f t="shared" si="4"/>
        <v>[ROLE] Careless Elixir OTP Developer | [TASK] Generate debugging challenges in Elixir OTP | | [TOPIC] Configure Supervisor strategies and tuning using :one_for_one, :one_for_all, :rest_for_one, and max_restarts/max_seconds.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#13 | Stage 2 🐛 Debug | Elixir OTP | 📊 Level: Advanced | 🌐 Coding5s.com
Concept: Supervisor Strategies &amp; Tuning (:one_for_one, :one_for_all, :rest_for_one, max_restarts/max_seconds)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Supervisor strategies and tuning using :one_for_one, :one_for_all, :rest_for_one, and max_restarts/max_seconds.. Topic details: Supervisor Strategies &amp; Tuning (:one_for_one, :one_for_all, :rest_for_one, max_restarts/max_seconds)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Elixir OTP | 📊 Level: Advanced
**Topic:** Configure Supervisor strategies and tuning using :one_for_one, :one_for_all, :rest_for_one, and max_restarts/max_seconds.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Elixir OTP script challenges | [TOPIC] Configure Supervisor strategies and tuning using :one_for_one, :one_for_all, :rest_for_one, and max_restarts/max_seconds.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#13 | Stage 3 🧩 Complete | Elixir OTP | 📊 Level: Advanced | 🌐 Coding5s.com
**Concept:** Supervisor Strategies &amp; Tuning (:one_for_one, :one_for_all, :rest_for_one, max_restarts/max_seconds)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Supervisor strategies and tuning using :one_for_one, :one_for_all, :rest_for_one, and max_restarts/max_seconds..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Supervisor strategies and tuning using :one_for_one, :one_for_all, :rest_for_one, and max_restarts/max_seconds.. Topic details: Supervisor Strategies &amp; Tuning (:one_for_one, :one_for_all, :rest_for_one, max_restarts/max_seconds)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Elixir OTP | 📊 Level: Advanced
**Topic:** Configure Supervisor strategies and tuning using :one_for_one, :one_for_all, :rest_for_one, and max_restarts/max_seconds.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Configure Supervisor strategies and tuning using :one_for_one, :one_for_all, :rest_for_one, and max_restarts/max_seconds.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#13 | Stage 4 🧹 Refactor | Elixir OTP | 📊 Level: Advanced | 🌐 Coding5s.com
**Concept:** Supervisor Strategies &amp; Tuning (:one_for_one, :one_for_all, :rest_for_one, max_restarts/max_seconds)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Configure Supervisor strategies and tuning using :one_for_one, :one_for_all, :rest_for_one, and max_restarts/max_seconds.. Topic details: Supervisor Strategies &amp; Tuning (:one_for_one, :one_for_all, :rest_for_one, max_restarts/max_seconds)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Elixir OTP | 📊 Level: Advanced
**Topic:** Configure Supervisor strategies and tuning using :one_for_one, :one_for_all, :rest_for_one, and max_restarts/max_seconds.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Elixir OTP Jira Ticket | [TASK] Provide a guided implementation exercise with full solution for learning purposes | [TOPIC] Configure Supervisor strategies and tuning using :one_for_one, :one_for_all, :rest_for_one, and max_restarts/max_seconds.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#13 | Stage 5 | Elixir OTP | 📊 Level: Advanced | 🌐 Coding5s.com
**Concept:** Supervisor Strategies &amp; Tuning (:one_for_one, :one_for_all, :rest_for_one, max_restarts/max_seconds)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Supervisor strategies and tuning using :one_for_one, :one_for_all, :rest_for_one, and max_restarts/max_seconds.. Goal: Supervisor Strategies &amp; Tuning (:one_for_one, :one_for_all, :rest_for_one, max_restarts/max_seconds)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Elixir OTP | 📊 Level: Advanced
**Topic:** Configure Supervisor strategies and tuning using :one_for_one, :one_for_all, :rest_for_one, and max_restarts/max_seconds.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30</v>
      </c>
      <c r="D22" s="57">
        <v>5</v>
      </c>
      <c r="E22" s="58" t="s">
        <v>46</v>
      </c>
      <c r="F22" s="59">
        <v>14</v>
      </c>
      <c r="G22" s="60" t="s">
        <v>159</v>
      </c>
      <c r="H22" s="60" t="s">
        <v>48</v>
      </c>
      <c r="I22" s="61" t="s">
        <v>809</v>
      </c>
      <c r="J22" s="62" t="s">
        <v>810</v>
      </c>
      <c r="K22" s="129" t="str">
        <f t="shared" si="2"/>
        <v xml:space="preserve">[ROLE] Friendly tutor specializing in Elixir OTP | [TOPIC] Architect Supervision trees and dynamic supervisors using parent-child cascades, DynamicSupervisor, start_child/2, and failure domains. | [LEVEL] Advanced | [COUNT] 5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30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30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Elixir OTP | 📊 Level: Advanced | 🌐 Coding5s.com
**Concept:** Supervision Trees &amp; Dynamic Supervisors (Architecting parent-child cascades, DynamicSupervisor, start_child/2, failure domains)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Supervision trees and dynamic supervisors using parent-child cascades, DynamicSupervisor, start_child/2, and failure domains.. Topic details: Supervision Trees &amp; Dynamic Supervisors (Architecting parent-child cascades, DynamicSupervisor, start_child/2, failure domains)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Elixir OTP | 📊 Level: Advanced
**Topic:** Architect Supervision trees and dynamic supervisors using parent-child cascades, DynamicSupervisor, start_child/2, and failure domains.
---
 | [FOOTER RULE - STRICT] End your response with: '--- ⚡ *Coding5s Mentor System — Eliminating Epistemic Debt*' | </v>
      </c>
      <c r="M22" s="52">
        <v>0</v>
      </c>
      <c r="N22" s="102" t="str">
        <f t="shared" si="4"/>
        <v>[ROLE] Careless Elixir OTP Developer | [TASK] Generate debugging challenges in Elixir OTP | | [TOPIC] Architect Supervision trees and dynamic supervisors using parent-child cascades, DynamicSupervisor, start_child/2, and failure domains. | | [LEVEL] Advanced |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#14 | Stage 2 🐛 Debug | Elixir OTP | 📊 Level: Advanced | 🌐 Coding5s.com
Concept: Supervision Trees &amp; Dynamic Supervisors (Architecting parent-child cascades, DynamicSupervisor, start_child/2, failure domains)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Elixir OTP | 📊 Level: Advanced
**Topic:** Architect Supervision trees and dynamic supervisors using parent-child cascades, DynamicSupervisor, start_child/2, and failure domains.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Elixir OTP script challenges | [TOPIC] Architect Supervision trees and dynamic supervisors using parent-child cascades, DynamicSupervisor, start_child/2, and failure domains. | [LEVEL] Advanced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#14 | Stage 3 🧩 Complete | Elixir OTP | 📊 Level: Advanced | 🌐 Coding5s.com
**Concept:** Supervision Trees &amp; Dynamic Supervisors (Architecting parent-child cascades, DynamicSupervisor, start_child/2, failure domains)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Supervision trees and dynamic supervisors using parent-child cascades, DynamicSupervisor, start_child/2, and failure domains..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Elixir OTP | 📊 Level: Advanced
**Topic:** Architect Supervision trees and dynamic supervisors using parent-child cascades, DynamicSupervisor, start_child/2, and failure domains.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Architect Supervision trees and dynamic supervisors using parent-child cascades, DynamicSupervisor, start_child/2, and failure domains. | [LEVEL] Advanced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#14 | Stage 4 🧹 Refactor | Elixir OTP | 📊 Level: Advanced | 🌐 Coding5s.com
**Concept:** Supervision Trees &amp; Dynamic Supervisors (Architecting parent-child cascades, DynamicSupervisor, start_child/2, failure domains)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Elixir OTP | 📊 Level: Advanced
**Topic:** Architect Supervision trees and dynamic supervisors using parent-child cascades, DynamicSupervisor, start_child/2, and failure domains.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Elixir OTP Jira Ticket | [TASK] Provide a guided implementation exercise with full solution for learning purposes | [TOPIC] Architect Supervision trees and dynamic supervisors using parent-child cascades, DynamicSupervisor, start_child/2, and failure domains.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#14 | Stage 5 | Elixir OTP | 📊 Level: Advanced | 🌐 Coding5s.com
**Concept:** Supervision Trees &amp; Dynamic Supervisors (Architecting parent-child cascades, DynamicSupervisor, start_child/2, failure domains)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Supervision trees and dynamic supervisors using parent-child cascades, DynamicSupervisor, start_child/2, and failure domains.. Goal: Supervision Trees &amp; Dynamic Supervisors (Architecting parent-child cascades, DynamicSupervisor, start_child/2, failure domains)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Elixir OTP | 📊 Level: Advanced
**Topic:** Architect Supervision trees and dynamic supervisors using parent-child cascades, DynamicSupervisor, start_child/2, and failure domains.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15</v>
      </c>
      <c r="D23" s="46">
        <v>5</v>
      </c>
      <c r="E23" s="58" t="s">
        <v>723</v>
      </c>
      <c r="F23" s="48">
        <v>15</v>
      </c>
      <c r="G23" s="49" t="s">
        <v>159</v>
      </c>
      <c r="H23" s="49" t="s">
        <v>48</v>
      </c>
      <c r="I23" s="50" t="s">
        <v>811</v>
      </c>
      <c r="J23" s="51" t="s">
        <v>812</v>
      </c>
      <c r="K23" s="129" t="str">
        <f t="shared" si="2"/>
        <v xml:space="preserve">[ROLE] Friendly tutor specializing in Elixir OTP | [TOPIC] Execute asynchronous tasks and bounded concurrency using Task.async/1, Task.await/2, Task.yield/2, and Task.async_stream/3 for safe massive processing. | [LEVEL] Advanced | [COUNT] 5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Elixir OTP | 📊 Level: Advanced | 🌐 Coding5s.com
**Concept:** Asynchronous Tasks &amp; Bounded Concurrency (Task.async/1, Task.await/2, Task.yield/2, Task.async_stream/3 for safe massive processing)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asynchronous tasks and bounded concurrency using Task.async/1, Task.await/2, Task.yield/2, and Task.async_stream/3 for safe massive processing.. Topic details: Asynchronous Tasks &amp; Bounded Concurrency (Task.async/1, Task.await/2, Task.yield/2, Task.async_stream/3 for safe massive processing)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Elixir OTP | 📊 Level: Advanced
**Topic:** Execute asynchronous tasks and bounded concurrency using Task.async/1, Task.await/2, Task.yield/2, and Task.async_stream/3 for safe massive processing.
---
 | [FOOTER RULE - STRICT] End your response with: '--- ⚡ *Coding5s Mentor System — Eliminating Epistemic Debt*' | </v>
      </c>
      <c r="M23" s="53">
        <v>0</v>
      </c>
      <c r="N23" s="102" t="str">
        <f t="shared" si="4"/>
        <v>[ROLE] Careless Elixir OTP Developer | [TASK] Generate debugging challenges in Elixir OTP | | [TOPIC] Execute asynchronous tasks and bounded concurrency using Task.async/1, Task.await/2, Task.yield/2, and Task.async_stream/3 for safe massive processing. | | [LEVEL] Advanced |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#15 | Stage 2 🐛 Debug | Elixir OTP | 📊 Level: Advanced | 🌐 Coding5s.com
Concept: Asynchronous Tasks &amp; Bounded Concurrency (Task.async/1, Task.await/2, Task.yield/2, Task.async_stream/3 for safe massive processing)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Elixir OTP | 📊 Level: Advanced
**Topic:** Execute asynchronous tasks and bounded concurrency using Task.async/1, Task.await/2, Task.yield/2, and Task.async_stream/3 for safe massive processing.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Elixir OTP script challenges | [TOPIC] Execute asynchronous tasks and bounded concurrency using Task.async/1, Task.await/2, Task.yield/2, and Task.async_stream/3 for safe massive processing. | [LEVEL] Advanced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#15 | Stage 3 🧩 Complete | Elixir OTP | 📊 Level: Advanced | 🌐 Coding5s.com
**Concept:** Asynchronous Tasks &amp; Bounded Concurrency (Task.async/1, Task.await/2, Task.yield/2, Task.async_stream/3 for safe massive processing)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asynchronous tasks and bounded concurrency using Task.async/1, Task.await/2, Task.yield/2, and Task.async_stream/3 for safe massive processing..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Elixir OTP | 📊 Level: Advanced
**Topic:** Execute asynchronous tasks and bounded concurrency using Task.async/1, Task.await/2, Task.yield/2, and Task.async_stream/3 for safe massive processing.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Execute asynchronous tasks and bounded concurrency using Task.async/1, Task.await/2, Task.yield/2, and Task.async_stream/3 for safe massive processing. | [LEVEL] Advanced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#15 | Stage 4 🧹 Refactor | Elixir OTP | 📊 Level: Advanced | 🌐 Coding5s.com
**Concept:** Asynchronous Tasks &amp; Bounded Concurrency (Task.async/1, Task.await/2, Task.yield/2, Task.async_stream/3 for safe massive processing)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Elixir OTP | 📊 Level: Advanced
**Topic:** Execute asynchronous tasks and bounded concurrency using Task.async/1, Task.await/2, Task.yield/2, and Task.async_stream/3 for safe massive processing.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Elixir OTP Jira Ticket | [TASK] Provide a guided implementation exercise with full solution for learning purposes | [TOPIC] Execute asynchronous tasks and bounded concurrency using Task.async/1, Task.await/2, Task.yield/2, and Task.async_stream/3 for safe massive processing.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#15 | Stage 5 | Elixir OTP | 📊 Level: Advanced | 🌐 Coding5s.com
**Concept:** Asynchronous Tasks &amp; Bounded Concurrency (Task.async/1, Task.await/2, Task.yield/2, Task.async_stream/3 for safe massive processing)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asynchronous tasks and bounded concurrency using Task.async/1, Task.await/2, Task.yield/2, and Task.async_stream/3 for safe massive processing.. Goal: Asynchronous Tasks &amp; Bounded Concurrency (Task.async/1, Task.await/2, Task.yield/2, Task.async_stream/3 for safe massive processing)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Elixir OTP | 📊 Level: Advanced
**Topic:** Execute asynchronous tasks and bounded concurrency using Task.async/1, Task.await/2, Task.yield/2, and Task.async_stream/3 for safe massive processing.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xml:space="preserve">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v>
      </c>
      <c r="B24" s="45">
        <f t="shared" si="1"/>
        <v>2</v>
      </c>
      <c r="C24" s="95" t="s">
        <v>839</v>
      </c>
      <c r="D24" s="57">
        <v>0</v>
      </c>
      <c r="E24" s="58" t="s">
        <v>723</v>
      </c>
      <c r="F24" s="59">
        <v>16</v>
      </c>
      <c r="G24" s="60" t="s">
        <v>159</v>
      </c>
      <c r="H24" s="60" t="s">
        <v>77</v>
      </c>
      <c r="I24" s="61" t="s">
        <v>813</v>
      </c>
      <c r="J24" s="62" t="s">
        <v>814</v>
      </c>
      <c r="K24" s="129" t="str">
        <f t="shared" si="2"/>
        <v>[TASK] Teach through a practical Elixir OTP -  project following the micro-learning methodology, acting as a supportive tutor, creating a project about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OTP | 📊 Level: Advanced | 🌐 Coding5s.com
**Project:** PROJECT: Resilient Job Processor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4"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fault-tolerant job processing system utilizing DynamicSupervisor, Registry, and Task.async_stream/3.. Topics applied in this project: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Elixir OTP | 📊 Level: Advanced
**Project:** Develop a fault-tolerant job processing system utilizing DynamicSupervisor, Registry, and Task.async_stream/3.
---
 | [FOOTER RULE - STRICT] End your response with: '--- ⚡ *Coding5s Mentor System — Eliminating Epistemic Debt*' | </v>
      </c>
      <c r="M24" s="52">
        <v>0</v>
      </c>
      <c r="N24" s="102" t="str">
        <f t="shared" si="4"/>
        <v>[ROLE] Careless Elixir OTP Developer | [TASK] Generate debugging project in Elixir OTP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[OUTPUT] Only header, dataset summary or statement (if any), email intro, objective, expected output, broken code, and footer | [HEADER RULE - STRICT] You MUST start your entire response EXACTLY with this markdown block (do not print anything before it):
### 🚀 Project #16 | Stage 2 | Elixir OTP | 📊 Level: Advanced | 🌐 Coding5s.com
Project: PROJECT: Resilient Job Processor
---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Telugu | [LANGUAGE SEED CONTEXT] Language Seed Not Necessary | [BUG RULE] 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Elixir OTP | 📊 Level: Advanced
**Project:** Develop a fault-tolerant job processing system utilizing DynamicSupervisor, Registry, and Task.async_stream/3.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project script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#16 | Stage 3 | Elixir OTP | 📊 Level: Advanced | 🌐 Coding5s.com
**Project:** PROJECT: Resilient Job Processor
---
 | [EXTERNAL_PACKAGE_PROTOCOL] Require standard mix.exs tooling for dependencies. Do NOT use Mix.install/2. | [CHALLENGE_CONSTRAINTS_POLICY] MUST be between 40–100 lines of EXECUTABLE base OTP code (STRICT: Do NOT count comments or TODOs). Must feature inter-process communication or supervision tree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Elixir OTP | 📊 Level: Advanced
**Project:** Develop a fault-tolerant job processing system utilizing DynamicSupervisor, Registry, and Task.async_stream/3.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a messy but functional project for refactoring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Tech Lead. A junior wrote this working but messy code. Tone: professional but exhausted | [HEADER RULE - STRICT] You MUST start your entire response EXACTLY with this markdown block (do not print anything before it):
### 🚀 Project #16 | Stage 4 | Elixir OTP | 📊 Level: Advanced | 🌐 Coding5s.com
**Project:** PROJECT: Resilient Job Processor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Elixir OTP | 📊 Level: Advanced
**Project:** Develop a fault-tolerant job processing system utilizing DynamicSupervisor, Registry, and Task.async_stream/3.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Elixir OTP Jira Ticket | [TASK] Provide a guided project implementation with full solution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professional Tech Product Manager defining a project ticket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Project #16 | Stage 5 | Elixir OTP | 📊 Level: Advanced | 🌐 Coding5s.com
**Project:** PROJECT: Resilient Job Processor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fault-tolerant job processing system utilizing DynamicSupervisor, Registry, and Task.async_stream/3.. Topics integrated: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Business Goal: PROJECT: Resilient Job Processor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Elixir OTP | 📊 Level: Advanced
**Project:** Develop a fault-tolerant job processing system utilizing DynamicSupervisor, Registry, and Task.async_stream/3.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[TASK] Teach through a practical Elixir OTP -  project following the micro-learning methodology, acting as a supportive tutor, creating a project about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OTP | 📊 Level: Advanced | 🌐 Coding5s.com
**Project:** PROJECT: Resilient Job Processor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4" s="56" t="str">
        <f t="shared" si="13"/>
        <v>[ROLE] Careless Elixir OTP Developer | [TASK] Generate debugging project in Elixir OTP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[OUTPUT] Only header, dataset summary or statement (if any), email intro, objective, expected output, broken code, and footer | [HEADER RULE - STRICT] You MUST start your entire response EXACTLY with this markdown block (do not print anything before it):
### 🚀 Project #16 | Stage 2 | Elixir OTP | 📊 Level: Advanced | 🌐 Coding5s.com
Project: PROJECT: Resilient Job Processor
---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Telugu | [LANGUAGE SEED CONTEXT] Language Seed Not Necessary | [BUG RULE] 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4" s="56" t="str">
        <f t="shared" si="14"/>
        <v>[ROLE] Tech Lead | [TASK] Assign incomplete project script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#16 | Stage 3 | Elixir OTP | 📊 Level: Advanced | 🌐 Coding5s.com
**Project:** PROJECT: Resilient Job Processor
---
 | [EXTERNAL_PACKAGE_PROTOCOL] Require standard mix.exs tooling for dependencies. Do NOT use Mix.install/2. | [CHALLENGE_CONSTRAINTS_POLICY] MUST be between 40–100 lines of EXECUTABLE base OTP code (STRICT: Do NOT count comments or TODOs). Must feature inter-process communication or supervision tree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4" s="56" t="str">
        <f t="shared" si="15"/>
        <v>[ROLE] Tech Lead | [TASK] Provide a messy but functional project for refactoring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Tech Lead. A junior wrote this working but messy code. Tone: professional but exhausted | [HEADER RULE - STRICT] You MUST start your entire response EXACTLY with this markdown block (do not print anything before it):
### 🚀 Project #16 | Stage 4 | Elixir OTP | 📊 Level: Advanced | 🌐 Coding5s.com
**Project:** PROJECT: Resilient Job Processor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4" s="56" t="str">
        <f t="shared" si="16"/>
        <v>[ROLE] Tech Product Manager assigning a Elixir OTP Jira Ticket | [TASK] Provide a guided project implementation with full solution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professional Tech Product Manager defining a project ticket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Project #16 | Stage 5 | Elixir OTP | 📊 Level: Advanced | 🌐 Coding5s.com
**Project:** PROJECT: Resilient Job Processor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3</v>
      </c>
      <c r="C25" s="95">
        <v>18</v>
      </c>
      <c r="D25" s="46">
        <v>3</v>
      </c>
      <c r="E25" s="58" t="s">
        <v>46</v>
      </c>
      <c r="F25" s="48">
        <v>17</v>
      </c>
      <c r="G25" s="49" t="s">
        <v>159</v>
      </c>
      <c r="H25" s="49" t="s">
        <v>48</v>
      </c>
      <c r="I25" s="50" t="s">
        <v>815</v>
      </c>
      <c r="J25" s="51" t="s">
        <v>816</v>
      </c>
      <c r="K25" s="129" t="str">
        <f t="shared" si="2"/>
        <v xml:space="preserve">[ROLE] Friendly tutor specializing in Elixir OTP | [TOPIC] Manage unlinked tasks and task supervision using Task.start/1, Task.Supervisor, and Task.Supervisor.async_nolink/2. | [LEVEL] Advanced | [COUNT] 3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18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Elixir OTP | 📊 Level: Advanced | 🌐 Coding5s.com
**Concept:** Unlinked Tasks &amp; Task Supervision (Task.start/1, Task.Supervisor, Task.Supervisor.async_nolink/2)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unlinked tasks and task supervision using Task.start/1, Task.Supervisor, and Task.Supervisor.async_nolink/2.. Topic details: Unlinked Tasks &amp; Task Supervision (Task.start/1, Task.Supervisor, Task.Supervisor.async_nolink/2)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Elixir OTP | 📊 Level: Advanced
**Topic:** Manage unlinked tasks and task supervision using Task.start/1, Task.Supervisor, and Task.Supervisor.async_nolink/2.
---
 | [FOOTER RULE - STRICT] End your response with: '--- ⚡ *Coding5s Mentor System — Eliminating Epistemic Debt*' | </v>
      </c>
      <c r="M25" s="53">
        <v>0</v>
      </c>
      <c r="N25" s="102" t="str">
        <f t="shared" si="4"/>
        <v>[ROLE] Careless Elixir OTP Developer | [TASK] Generate debugging challenges in Elixir OTP | | [TOPIC] Manage unlinked tasks and task supervision using Task.start/1, Task.Supervisor, and Task.Supervisor.async_nolink/2. | | [LEVEL] Advanced | | [COUNT] 3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#17 | Stage 2 🐛 Debug | Elixir OTP | 📊 Level: Advanced | 🌐 Coding5s.com
Concept: Unlinked Tasks &amp; Task Supervision (Task.start/1, Task.Supervisor, Task.Supervisor.async_nolink/2)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unlinked tasks and task supervision using Task.start/1, Task.Supervisor, and Task.Supervisor.async_nolink/2.. Topic details: Unlinked Tasks &amp; Task Supervision (Task.start/1, Task.Supervisor, Task.Supervisor.async_nolink/2)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Elixir OTP | 📊 Level: Advanced
**Topic:** Manage unlinked tasks and task supervision using Task.start/1, Task.Supervisor, and Task.Supervisor.async_nolink/2.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Elixir OTP script challenges | [TOPIC] Manage unlinked tasks and task supervision using Task.start/1, Task.Supervisor, and Task.Supervisor.async_nolink/2. | [LEVEL] Advanced | [COUNT] 3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#17 | Stage 3 🧩 Complete | Elixir OTP | 📊 Level: Advanced | 🌐 Coding5s.com
**Concept:** Unlinked Tasks &amp; Task Supervision (Task.start/1, Task.Supervisor, Task.Supervisor.async_nolink/2)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unlinked tasks and task supervision using Task.start/1, Task.Supervisor, and Task.Supervisor.async_nolink/2..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unlinked tasks and task supervision using Task.start/1, Task.Supervisor, and Task.Supervisor.async_nolink/2.. Topic details: Unlinked Tasks &amp; Task Supervision (Task.start/1, Task.Supervisor, Task.Supervisor.async_nolink/2)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Elixir OTP | 📊 Level: Advanced
**Topic:** Manage unlinked tasks and task supervision using Task.start/1, Task.Supervisor, and Task.Supervisor.async_nolink/2.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Manage unlinked tasks and task supervision using Task.start/1, Task.Supervisor, and Task.Supervisor.async_nolink/2. | [LEVEL] Advanced | [COUNT] 3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#17 | Stage 4 🧹 Refactor | Elixir OTP | 📊 Level: Advanced | 🌐 Coding5s.com
**Concept:** Unlinked Tasks &amp; Task Supervision (Task.start/1, Task.Supervisor, Task.Supervisor.async_nolink/2)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unlinked tasks and task supervision using Task.start/1, Task.Supervisor, and Task.Supervisor.async_nolink/2.. Topic details: Unlinked Tasks &amp; Task Supervision (Task.start/1, Task.Supervisor, Task.Supervisor.async_nolink/2)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Elixir OTP | 📊 Level: Advanced
**Topic:** Manage unlinked tasks and task supervision using Task.start/1, Task.Supervisor, and Task.Supervisor.async_nolink/2.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Elixir OTP Jira Ticket | [TASK] Provide a guided implementation exercise with full solution for learning purposes | [TOPIC] Manage unlinked tasks and task supervision using Task.start/1, Task.Supervisor, and Task.Supervisor.async_nolink/2.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#17 | Stage 5 | Elixir OTP | 📊 Level: Advanced | 🌐 Coding5s.com
**Concept:** Unlinked Tasks &amp; Task Supervision (Task.start/1, Task.Supervisor, Task.Supervisor.async_nolink/2)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unlinked tasks and task supervision using Task.start/1, Task.Supervisor, and Task.Supervisor.async_nolink/2.. Goal: Unlinked Tasks &amp; Task Supervision (Task.start/1, Task.Supervisor, Task.Supervisor.async_nolink/2)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Elixir OTP | 📊 Level: Advanced
**Topic:** Manage unlinked tasks and task supervision using Task.start/1, Task.Supervisor, and Task.Supervisor.async_nolink/2.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3</v>
      </c>
      <c r="C26" s="95">
        <v>12</v>
      </c>
      <c r="D26" s="57">
        <v>4</v>
      </c>
      <c r="E26" s="58" t="s">
        <v>723</v>
      </c>
      <c r="F26" s="59">
        <v>18</v>
      </c>
      <c r="G26" s="60" t="s">
        <v>159</v>
      </c>
      <c r="H26" s="60" t="s">
        <v>48</v>
      </c>
      <c r="I26" s="61" t="s">
        <v>817</v>
      </c>
      <c r="J26" s="62" t="s">
        <v>818</v>
      </c>
      <c r="K26" s="129" t="str">
        <f t="shared" si="2"/>
        <v xml:space="preserve">[ROLE] Friendly tutor specializing in Elixir OTP | [TOPIC] Execute ETS core operations using :ets.new, :ets.insert, :ets.lookup, and :ets.delete.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12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Elixir OTP | 📊 Level: Advanced | 🌐 Coding5s.com
**Concept:** ETS Core Operations (:ets.new, :ets.insert, :ets.lookup, :ets.delete)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ETS core operations using :ets.new, :ets.insert, :ets.lookup, and :ets.delete.. Topic details: ETS Core Operations (:ets.new, :ets.insert, :ets.lookup, :ets.delete)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Elixir OTP | 📊 Level: Advanced
**Topic:** Execute ETS core operations using :ets.new, :ets.insert, :ets.lookup, and :ets.delete.
---
 | [FOOTER RULE - STRICT] End your response with: '--- ⚡ *Coding5s Mentor System — Eliminating Epistemic Debt*' | </v>
      </c>
      <c r="M26" s="52">
        <v>0</v>
      </c>
      <c r="N26" s="102" t="str">
        <f t="shared" si="4"/>
        <v>[ROLE] Careless Elixir OTP Developer | [TASK] Generate debugging challenges in Elixir OTP | | [TOPIC] Execute ETS core operations using :ets.new, :ets.insert, :ets.lookup, and :ets.delete.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#18 | Stage 2 🐛 Debug | Elixir OTP | 📊 Level: Advanced | 🌐 Coding5s.com
Concept: ETS Core Operations (:ets.new, :ets.insert, :ets.lookup, :ets.delete)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ETS core operations using :ets.new, :ets.insert, :ets.lookup, and :ets.delete.. Topic details: ETS Core Operations (:ets.new, :ets.insert, :ets.lookup, :ets.delete)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Elixir OTP | 📊 Level: Advanced
**Topic:** Execute ETS core operations using :ets.new, :ets.insert, :ets.lookup, and :ets.delete.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Elixir OTP script challenges | [TOPIC] Execute ETS core operations using :ets.new, :ets.insert, :ets.lookup, and :ets.delete.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#18 | Stage 3 🧩 Complete | Elixir OTP | 📊 Level: Advanced | 🌐 Coding5s.com
**Concept:** ETS Core Operations (:ets.new, :ets.insert, :ets.lookup, :ets.delete)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ETS core operations using :ets.new, :ets.insert, :ets.lookup, and :ets.delete..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ETS core operations using :ets.new, :ets.insert, :ets.lookup, and :ets.delete.. Topic details: ETS Core Operations (:ets.new, :ets.insert, :ets.lookup, :ets.delete)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Elixir OTP | 📊 Level: Advanced
**Topic:** Execute ETS core operations using :ets.new, :ets.insert, :ets.lookup, and :ets.delete.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Execute ETS core operations using :ets.new, :ets.insert, :ets.lookup, and :ets.delete.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#18 | Stage 4 🧹 Refactor | Elixir OTP | 📊 Level: Advanced | 🌐 Coding5s.com
**Concept:** ETS Core Operations (:ets.new, :ets.insert, :ets.lookup, :ets.delete)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ETS core operations using :ets.new, :ets.insert, :ets.lookup, and :ets.delete.. Topic details: ETS Core Operations (:ets.new, :ets.insert, :ets.lookup, :ets.delete)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Elixir OTP | 📊 Level: Advanced
**Topic:** Execute ETS core operations using :ets.new, :ets.insert, :ets.lookup, and :ets.delete.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Elixir OTP Jira Ticket | [TASK] Provide a guided implementation exercise with full solution for learning purposes | [TOPIC] Execute ETS core operations using :ets.new, :ets.insert, :ets.lookup, and :ets.delete.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#18 | Stage 5 | Elixir OTP | 📊 Level: Advanced | 🌐 Coding5s.com
**Concept:** ETS Core Operations (:ets.new, :ets.insert, :ets.lookup, :ets.delete)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ETS core operations using :ets.new, :ets.insert, :ets.lookup, and :ets.delete.. Goal: ETS Core Operations (:ets.new, :ets.insert, :ets.lookup, :ets.delete)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Elixir OTP | 📊 Level: Advanced
**Topic:** Execute ETS core operations using :ets.new, :ets.insert, :ets.lookup, and :ets.delete.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20</v>
      </c>
      <c r="D27" s="46">
        <v>4</v>
      </c>
      <c r="E27" s="58" t="s">
        <v>723</v>
      </c>
      <c r="F27" s="48">
        <v>19</v>
      </c>
      <c r="G27" s="49" t="s">
        <v>159</v>
      </c>
      <c r="H27" s="49" t="s">
        <v>48</v>
      </c>
      <c r="I27" s="50" t="s">
        <v>819</v>
      </c>
      <c r="J27" s="51" t="s">
        <v>820</v>
      </c>
      <c r="K27" s="129" t="str">
        <f t="shared" si="2"/>
        <v xml:space="preserve">[ROLE] Friendly tutor specializing in Elixir OTP | [TOPIC] Configure ETS ownership and advanced patterns utilizing Table types, heir configuration, :read_concurrency / :write_concurrency optimizations, and ETS vs GenServer selection.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Elixir OTP | 📊 Level: Advanced | 🌐 Coding5s.com
**Concept:** ETS Ownership &amp; Advanced Patterns (Table types, heir configuration, :read_concurrency / :write_concurrency optimizations, ETS vs GenServer selection)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Elixir OTP | 📊 Level: Advanced
**Topic:** Configure ETS ownership and advanced patterns utilizing Table types, heir configuration, :read_concurrency / :write_concurrency optimizations, and ETS vs GenServer selection.
---
 | [FOOTER RULE - STRICT] End your response with: '--- ⚡ *Coding5s Mentor System — Eliminating Epistemic Debt*' | </v>
      </c>
      <c r="M27" s="53">
        <v>0</v>
      </c>
      <c r="N27" s="102" t="str">
        <f t="shared" si="4"/>
        <v>[ROLE] Careless Elixir OTP Developer | [TASK] Generate debugging challenges in Elixir OTP | | [TOPIC] Configure ETS ownership and advanced patterns utilizing Table types, heir configuration, :read_concurrency / :write_concurrency optimizations, and ETS vs GenServer selection.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#19 | Stage 2 🐛 Debug | Elixir OTP | 📊 Level: Advanced | 🌐 Coding5s.com
Concept: ETS Ownership &amp; Advanced Patterns (Table types, heir configuration, :read_concurrency / :write_concurrency optimizations, ETS vs GenServer selection)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Elixir OTP | 📊 Level: Advanced
**Topic:** Configure ETS ownership and advanced patterns utilizing Table types, heir configuration, :read_concurrency / :write_concurrency optimizations, and ETS vs GenServer selection.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Elixir OTP script challenges | [TOPIC] Configure ETS ownership and advanced patterns utilizing Table types, heir configuration, :read_concurrency / :write_concurrency optimizations, and ETS vs GenServer selection.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#19 | Stage 3 🧩 Complete | Elixir OTP | 📊 Level: Advanced | 🌐 Coding5s.com
**Concept:** ETS Ownership &amp; Advanced Patterns (Table types, heir configuration, :read_concurrency / :write_concurrency optimizations, ETS vs GenServer selection)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ETS ownership and advanced patterns utilizing Table types, heir configuration, :read_concurrency / :write_concurrency optimizations, and ETS vs GenServer selection..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Elixir OTP | 📊 Level: Advanced
**Topic:** Configure ETS ownership and advanced patterns utilizing Table types, heir configuration, :read_concurrency / :write_concurrency optimizations, and ETS vs GenServer selection.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Configure ETS ownership and advanced patterns utilizing Table types, heir configuration, :read_concurrency / :write_concurrency optimizations, and ETS vs GenServer selection.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#19 | Stage 4 🧹 Refactor | Elixir OTP | 📊 Level: Advanced | 🌐 Coding5s.com
**Concept:** ETS Ownership &amp; Advanced Patterns (Table types, heir configuration, :read_concurrency / :write_concurrency optimizations, ETS vs GenServer selection)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Elixir OTP | 📊 Level: Advanced
**Topic:** Configure ETS ownership and advanced patterns utilizing Table types, heir configuration, :read_concurrency / :write_concurrency optimizations, and ETS vs GenServer selection.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Elixir OTP Jira Ticket | [TASK] Provide a guided implementation exercise with full solution for learning purposes | [TOPIC] Configure ETS ownership and advanced patterns utilizing Table types, heir configuration, :read_concurrency / :write_concurrency optimizations, and ETS vs GenServer selection.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#19 | Stage 5 | Elixir OTP | 📊 Level: Advanced | 🌐 Coding5s.com
**Concept:** ETS Ownership &amp; Advanced Patterns (Table types, heir configuration, :read_concurrency / :write_concurrency optimizations, ETS vs GenServer selection)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ETS ownership and advanced patterns utilizing Table types, heir configuration, :read_concurrency / :write_concurrency optimizations, and ETS vs GenServer selection.. Goal: ETS Ownership &amp; Advanced Patterns (Table types, heir configuration, :read_concurrency / :write_concurrency optimizations, ETS vs GenServer selection)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Elixir OTP | 📊 Level: Advanced
**Topic:** Configure ETS ownership and advanced patterns utilizing Table types, heir configuration, :read_concurrency / :write_concurrency optimizations, and ETS vs GenServer selection.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20</v>
      </c>
      <c r="D28" s="57">
        <v>3</v>
      </c>
      <c r="E28" s="58" t="s">
        <v>46</v>
      </c>
      <c r="F28" s="59">
        <v>20</v>
      </c>
      <c r="G28" s="60" t="s">
        <v>159</v>
      </c>
      <c r="H28" s="60" t="s">
        <v>48</v>
      </c>
      <c r="I28" s="61" t="s">
        <v>821</v>
      </c>
      <c r="J28" s="62" t="s">
        <v>822</v>
      </c>
      <c r="K28" s="129" t="str">
        <f t="shared" si="2"/>
        <v xml:space="preserve">[ROLE] Friendly tutor specializing in Elixir OTP | [TOPIC] Define Application behavior and environment using use Application, start/2, Config scripts, and Application.get_env/3. | [LEVEL] Advanced | [COUNT] 3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Elixir OTP | 📊 Level: Advanced | 🌐 Coding5s.com
**Concept:** Application Behavior &amp; Environment (use Application, start/2, Config scripts, Application.get_env/3)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Application behavior and environment using use Application, start/2, Config scripts, and Application.get_env/3.. Topic details: Application Behavior &amp; Environment (use Application, start/2, Config scripts, Application.get_env/3)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Elixir OTP | 📊 Level: Advanced
**Topic:** Define Application behavior and environment using use Application, start/2, Config scripts, and Application.get_env/3.
---
 | [FOOTER RULE - STRICT] End your response with: '--- ⚡ *Coding5s Mentor System — Eliminating Epistemic Debt*' | </v>
      </c>
      <c r="M28" s="52">
        <v>0</v>
      </c>
      <c r="N28" s="102" t="str">
        <f t="shared" si="4"/>
        <v>[ROLE] Careless Elixir OTP Developer | [TASK] Generate debugging challenges in Elixir OTP | | [TOPIC] Define Application behavior and environment using use Application, start/2, Config scripts, and Application.get_env/3. | | [LEVEL] Advanced | | [COUNT] 3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#20 | Stage 2 🐛 Debug | Elixir OTP | 📊 Level: Advanced | 🌐 Coding5s.com
Concept: Application Behavior &amp; Environment (use Application, start/2, Config scripts, Application.get_env/3)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Application behavior and environment using use Application, start/2, Config scripts, and Application.get_env/3.. Topic details: Application Behavior &amp; Environment (use Application, start/2, Config scripts, Application.get_env/3)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Elixir OTP | 📊 Level: Advanced
**Topic:** Define Application behavior and environment using use Application, start/2, Config scripts, and Application.get_env/3.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Elixir OTP script challenges | [TOPIC] Define Application behavior and environment using use Application, start/2, Config scripts, and Application.get_env/3. | [LEVEL] Advanced | [COUNT] 3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#20 | Stage 3 🧩 Complete | Elixir OTP | 📊 Level: Advanced | 🌐 Coding5s.com
**Concept:** Application Behavior &amp; Environment (use Application, start/2, Config scripts, Application.get_env/3)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Application behavior and environment using use Application, start/2, Config scripts, and Application.get_env/3..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Application behavior and environment using use Application, start/2, Config scripts, and Application.get_env/3.. Topic details: Application Behavior &amp; Environment (use Application, start/2, Config scripts, Application.get_env/3)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Elixir OTP | 📊 Level: Advanced
**Topic:** Define Application behavior and environment using use Application, start/2, Config scripts, and Application.get_env/3.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Define Application behavior and environment using use Application, start/2, Config scripts, and Application.get_env/3. | [LEVEL] Advanced | [COUNT] 3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#20 | Stage 4 🧹 Refactor | Elixir OTP | 📊 Level: Advanced | 🌐 Coding5s.com
**Concept:** Application Behavior &amp; Environment (use Application, start/2, Config scripts, Application.get_env/3)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Define Application behavior and environment using use Application, start/2, Config scripts, and Application.get_env/3.. Topic details: Application Behavior &amp; Environment (use Application, start/2, Config scripts, Application.get_env/3)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Elixir OTP | 📊 Level: Advanced
**Topic:** Define Application behavior and environment using use Application, start/2, Config scripts, and Application.get_env/3.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Elixir OTP Jira Ticket | [TASK] Provide a guided implementation exercise with full solution for learning purposes | [TOPIC] Define Application behavior and environment using use Application, start/2, Config scripts, and Application.get_env/3.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#20 | Stage 5 | Elixir OTP | 📊 Level: Advanced | 🌐 Coding5s.com
**Concept:** Application Behavior &amp; Environment (use Application, start/2, Config scripts, Application.get_env/3)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Application behavior and environment using use Application, start/2, Config scripts, and Application.get_env/3.. Goal: Application Behavior &amp; Environment (use Application, start/2, Config scripts, Application.get_env/3)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Elixir OTP | 📊 Level: Advanced
**Topic:** Define Application behavior and environment using use Application, start/2, Config scripts, and Application.get_env/3.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25</v>
      </c>
      <c r="D29" s="46">
        <v>5</v>
      </c>
      <c r="E29" s="58" t="s">
        <v>46</v>
      </c>
      <c r="F29" s="48">
        <v>21</v>
      </c>
      <c r="G29" s="49" t="s">
        <v>159</v>
      </c>
      <c r="H29" s="49" t="s">
        <v>48</v>
      </c>
      <c r="I29" s="50" t="s">
        <v>823</v>
      </c>
      <c r="J29" s="51" t="s">
        <v>824</v>
      </c>
      <c r="K29" s="129" t="str">
        <f t="shared" si="2"/>
        <v xml:space="preserve">[ROLE] Friendly tutor specializing in Elixir OTP | [TOPIC] Implement complex initialization and releases using start_phases, mix release, runtime.exs, and connecting to running nodes. | [LEVEL] Advanced | [COUNT] 5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Elixir OTP | 📊 Level: Advanced | 🌐 Coding5s.com
**Concept:** Complex Initialization &amp; Releases (start_phases, mix release, runtime.exs, connecting to running nodes)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complex initialization and releases using start_phases, mix release, runtime.exs, and connecting to running nodes.. Topic details: Complex Initialization &amp; Releases (start_phases, mix release, runtime.exs, connecting to running nodes)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Elixir OTP | 📊 Level: Advanced
**Topic:** Implement complex initialization and releases using start_phases, mix release, runtime.exs, and connecting to running nodes.
---
 | [FOOTER RULE - STRICT] End your response with: '--- ⚡ *Coding5s Mentor System — Eliminating Epistemic Debt*' | </v>
      </c>
      <c r="M29" s="53">
        <v>0</v>
      </c>
      <c r="N29" s="102" t="str">
        <f t="shared" si="4"/>
        <v>[ROLE] Careless Elixir OTP Developer | [TASK] Generate debugging challenges in Elixir OTP | | [TOPIC] Implement complex initialization and releases using start_phases, mix release, runtime.exs, and connecting to running nodes. | | [LEVEL] Advanced |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#21 | Stage 2 🐛 Debug | Elixir OTP | 📊 Level: Advanced | 🌐 Coding5s.com
Concept: Complex Initialization &amp; Releases (start_phases, mix release, runtime.exs, connecting to running nodes)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complex initialization and releases using start_phases, mix release, runtime.exs, and connecting to running nodes.. Topic details: Complex Initialization &amp; Releases (start_phases, mix release, runtime.exs, connecting to running nodes)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Elixir OTP | 📊 Level: Advanced
**Topic:** Implement complex initialization and releases using start_phases, mix release, runtime.exs, and connecting to running nodes.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Elixir OTP script challenges | [TOPIC] Implement complex initialization and releases using start_phases, mix release, runtime.exs, and connecting to running nodes. | [LEVEL] Advanced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#21 | Stage 3 🧩 Complete | Elixir OTP | 📊 Level: Advanced | 🌐 Coding5s.com
**Concept:** Complex Initialization &amp; Releases (start_phases, mix release, runtime.exs, connecting to running nodes)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complex initialization and releases using start_phases, mix release, runtime.exs, and connecting to running nodes..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complex initialization and releases using start_phases, mix release, runtime.exs, and connecting to running nodes.. Topic details: Complex Initialization &amp; Releases (start_phases, mix release, runtime.exs, connecting to running nodes)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Elixir OTP | 📊 Level: Advanced
**Topic:** Implement complex initialization and releases using start_phases, mix release, runtime.exs, and connecting to running nodes.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Implement complex initialization and releases using start_phases, mix release, runtime.exs, and connecting to running nodes. | [LEVEL] Advanced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#21 | Stage 4 🧹 Refactor | Elixir OTP | 📊 Level: Advanced | 🌐 Coding5s.com
**Concept:** Complex Initialization &amp; Releases (start_phases, mix release, runtime.exs, connecting to running nodes)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complex initialization and releases using start_phases, mix release, runtime.exs, and connecting to running nodes.. Topic details: Complex Initialization &amp; Releases (start_phases, mix release, runtime.exs, connecting to running nodes)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Elixir OTP | 📊 Level: Advanced
**Topic:** Implement complex initialization and releases using start_phases, mix release, runtime.exs, and connecting to running nodes.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Elixir OTP Jira Ticket | [TASK] Provide a guided implementation exercise with full solution for learning purposes | [TOPIC] Implement complex initialization and releases using start_phases, mix release, runtime.exs, and connecting to running nodes.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#21 | Stage 5 | Elixir OTP | 📊 Level: Advanced | 🌐 Coding5s.com
**Concept:** Complex Initialization &amp; Releases (start_phases, mix release, runtime.exs, connecting to running nodes)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complex initialization and releases using start_phases, mix release, runtime.exs, and connecting to running nodes.. Goal: Complex Initialization &amp; Releases (start_phases, mix release, runtime.exs, connecting to running nodes)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Elixir OTP | 📊 Level: Advanced
**Topic:** Implement complex initialization and releases using start_phases, mix release, runtime.exs, and connecting to running nodes.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15</v>
      </c>
      <c r="D30" s="57">
        <v>4</v>
      </c>
      <c r="E30" s="58" t="s">
        <v>723</v>
      </c>
      <c r="F30" s="59">
        <v>22</v>
      </c>
      <c r="G30" s="60" t="s">
        <v>159</v>
      </c>
      <c r="H30" s="60" t="s">
        <v>48</v>
      </c>
      <c r="I30" s="61" t="s">
        <v>825</v>
      </c>
      <c r="J30" s="62" t="s">
        <v>826</v>
      </c>
      <c r="K30" s="129" t="str">
        <f t="shared" si="2"/>
        <v xml:space="preserve">[ROLE] Friendly tutor specializing in Elixir OTP | [TOPIC] Execute Node operations and RPC using Node.self/0, Node.connect/1, :rpc.call/4, and :rpc.multicall/3.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Elixir OTP | 📊 Level: Advanced | 🌐 Coding5s.com
**Concept:** Node Operations &amp; RPC (Node.self/0, Node.connect/1, :rpc.call/4, :rpc.multicall/3)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Node operations and RPC using Node.self/0, Node.connect/1, :rpc.call/4, and :rpc.multicall/3.. Topic details: Node Operations &amp; RPC (Node.self/0, Node.connect/1, :rpc.call/4, :rpc.multicall/3)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Elixir OTP | 📊 Level: Advanced
**Topic:** Execute Node operations and RPC using Node.self/0, Node.connect/1, :rpc.call/4, and :rpc.multicall/3.
---
 | [FOOTER RULE - STRICT] End your response with: '--- ⚡ *Coding5s Mentor System — Eliminating Epistemic Debt*' | </v>
      </c>
      <c r="M30" s="52">
        <v>0</v>
      </c>
      <c r="N30" s="102" t="str">
        <f t="shared" si="4"/>
        <v>[ROLE] Careless Elixir OTP Developer | [TASK] Generate debugging challenges in Elixir OTP | | [TOPIC] Execute Node operations and RPC using Node.self/0, Node.connect/1, :rpc.call/4, and :rpc.multicall/3.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#22 | Stage 2 🐛 Debug | Elixir OTP | 📊 Level: Advanced | 🌐 Coding5s.com
Concept: Node Operations &amp; RPC (Node.self/0, Node.connect/1, :rpc.call/4, :rpc.multicall/3)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Node operations and RPC using Node.self/0, Node.connect/1, :rpc.call/4, and :rpc.multicall/3.. Topic details: Node Operations &amp; RPC (Node.self/0, Node.connect/1, :rpc.call/4, :rpc.multicall/3)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Elixir OTP | 📊 Level: Advanced
**Topic:** Execute Node operations and RPC using Node.self/0, Node.connect/1, :rpc.call/4, and :rpc.multicall/3.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Elixir OTP script challenges | [TOPIC] Execute Node operations and RPC using Node.self/0, Node.connect/1, :rpc.call/4, and :rpc.multicall/3.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#22 | Stage 3 🧩 Complete | Elixir OTP | 📊 Level: Advanced | 🌐 Coding5s.com
**Concept:** Node Operations &amp; RPC (Node.self/0, Node.connect/1, :rpc.call/4, :rpc.multicall/3)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Node operations and RPC using Node.self/0, Node.connect/1, :rpc.call/4, and :rpc.multicall/3..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Node operations and RPC using Node.self/0, Node.connect/1, :rpc.call/4, and :rpc.multicall/3.. Topic details: Node Operations &amp; RPC (Node.self/0, Node.connect/1, :rpc.call/4, :rpc.multicall/3)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Elixir OTP | 📊 Level: Advanced
**Topic:** Execute Node operations and RPC using Node.self/0, Node.connect/1, :rpc.call/4, and :rpc.multicall/3.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Execute Node operations and RPC using Node.self/0, Node.connect/1, :rpc.call/4, and :rpc.multicall/3.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#22 | Stage 4 🧹 Refactor | Elixir OTP | 📊 Level: Advanced | 🌐 Coding5s.com
**Concept:** Node Operations &amp; RPC (Node.self/0, Node.connect/1, :rpc.call/4, :rpc.multicall/3)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Node operations and RPC using Node.self/0, Node.connect/1, :rpc.call/4, and :rpc.multicall/3.. Topic details: Node Operations &amp; RPC (Node.self/0, Node.connect/1, :rpc.call/4, :rpc.multicall/3)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Elixir OTP | 📊 Level: Advanced
**Topic:** Execute Node operations and RPC using Node.self/0, Node.connect/1, :rpc.call/4, and :rpc.multicall/3.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Elixir OTP Jira Ticket | [TASK] Provide a guided implementation exercise with full solution for learning purposes | [TOPIC] Execute Node operations and RPC using Node.self/0, Node.connect/1, :rpc.call/4, and :rpc.multicall/3.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#22 | Stage 5 | Elixir OTP | 📊 Level: Advanced | 🌐 Coding5s.com
**Concept:** Node Operations &amp; RPC (Node.self/0, Node.connect/1, :rpc.call/4, :rpc.multicall/3)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Node operations and RPC using Node.self/0, Node.connect/1, :rpc.call/4, and :rpc.multicall/3.. Goal: Node Operations &amp; RPC (Node.self/0, Node.connect/1, :rpc.call/4, :rpc.multicall/3)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Elixir OTP | 📊 Level: Advanced
**Topic:** Execute Node operations and RPC using Node.self/0, Node.connect/1, :rpc.call/4, and :rpc.multicall/3.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25</v>
      </c>
      <c r="D31" s="46">
        <v>5</v>
      </c>
      <c r="E31" s="58" t="s">
        <v>723</v>
      </c>
      <c r="F31" s="48">
        <v>23</v>
      </c>
      <c r="G31" s="49" t="s">
        <v>159</v>
      </c>
      <c r="H31" s="49" t="s">
        <v>48</v>
      </c>
      <c r="I31" s="50" t="s">
        <v>827</v>
      </c>
      <c r="J31" s="51" t="s">
        <v>828</v>
      </c>
      <c r="K31" s="129" t="str">
        <f t="shared" si="2"/>
        <v xml:space="preserve">[ROLE] Friendly tutor specializing in Elixir OTP | [TOPIC] Design distributed architecture and constraints using Node.monitor/2, :pg Process Groups, and handling network partitions/split-brain. | [LEVEL] Advanced | [COUNT] 5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Elixir OTP | 📊 Level: Advanced | 🌐 Coding5s.com
**Concept:** Distributed Architecture &amp; Constraints (Node.monitor/2, :pg Process Groups, handling network partitions/split-brain)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distributed architecture and constraints using Node.monitor/2, :pg Process Groups, and handling network partitions/split-brain.. Topic details: Distributed Architecture &amp; Constraints (Node.monitor/2, :pg Process Groups, handling network partitions/split-brain)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Elixir OTP | 📊 Level: Advanced
**Topic:** Design distributed architecture and constraints using Node.monitor/2, :pg Process Groups, and handling network partitions/split-brain.
---
 | [FOOTER RULE - STRICT] End your response with: '--- ⚡ *Coding5s Mentor System — Eliminating Epistemic Debt*' | </v>
      </c>
      <c r="M31" s="53">
        <v>0</v>
      </c>
      <c r="N31" s="102" t="str">
        <f t="shared" si="4"/>
        <v>[ROLE] Careless Elixir OTP Developer | [TASK] Generate debugging challenges in Elixir OTP | | [TOPIC] Design distributed architecture and constraints using Node.monitor/2, :pg Process Groups, and handling network partitions/split-brain. | | [LEVEL] Advanced |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#23 | Stage 2 🐛 Debug | Elixir OTP | 📊 Level: Advanced | 🌐 Coding5s.com
Concept: Distributed Architecture &amp; Constraints (Node.monitor/2, :pg Process Groups, handling network partitions/split-brain)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Elixir OTP | 📊 Level: Advanced
**Topic:** Design distributed architecture and constraints using Node.monitor/2, :pg Process Groups, and handling network partitions/split-brain.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Elixir OTP script challenges | [TOPIC] Design distributed architecture and constraints using Node.monitor/2, :pg Process Groups, and handling network partitions/split-brain. | [LEVEL] Advanced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#23 | Stage 3 🧩 Complete | Elixir OTP | 📊 Level: Advanced | 🌐 Coding5s.com
**Concept:** Distributed Architecture &amp; Constraints (Node.monitor/2, :pg Process Groups, handling network partitions/split-brain)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distributed architecture and constraints using Node.monitor/2, :pg Process Groups, and handling network partitions/split-brain..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Elixir OTP | 📊 Level: Advanced
**Topic:** Design distributed architecture and constraints using Node.monitor/2, :pg Process Groups, and handling network partitions/split-brain.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Design distributed architecture and constraints using Node.monitor/2, :pg Process Groups, and handling network partitions/split-brain. | [LEVEL] Advanced | [COUNT] 5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#23 | Stage 4 🧹 Refactor | Elixir OTP | 📊 Level: Advanced | 🌐 Coding5s.com
**Concept:** Distributed Architecture &amp; Constraints (Node.monitor/2, :pg Process Groups, handling network partitions/split-brain)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Elixir OTP | 📊 Level: Advanced
**Topic:** Design distributed architecture and constraints using Node.monitor/2, :pg Process Groups, and handling network partitions/split-brain.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Elixir OTP Jira Ticket | [TASK] Provide a guided implementation exercise with full solution for learning purposes | [TOPIC] Design distributed architecture and constraints using Node.monitor/2, :pg Process Groups, and handling network partitions/split-brain.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#23 | Stage 5 | Elixir OTP | 📊 Level: Advanced | 🌐 Coding5s.com
**Concept:** Distributed Architecture &amp; Constraints (Node.monitor/2, :pg Process Groups, handling network partitions/split-brain)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distributed architecture and constraints using Node.monitor/2, :pg Process Groups, and handling network partitions/split-brain.. Goal: Distributed Architecture &amp; Constraints (Node.monitor/2, :pg Process Groups, handling network partitions/split-brain)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Elixir OTP | 📊 Level: Advanced
**Topic:** Design distributed architecture and constraints using Node.monitor/2, :pg Process Groups, and handling network partitions/split-brain.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xml:space="preserve">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v>
      </c>
      <c r="B32" s="45">
        <f t="shared" si="1"/>
        <v>3</v>
      </c>
      <c r="C32" s="95" t="s">
        <v>839</v>
      </c>
      <c r="D32" s="57">
        <v>0</v>
      </c>
      <c r="E32" s="58" t="s">
        <v>723</v>
      </c>
      <c r="F32" s="59">
        <v>24</v>
      </c>
      <c r="G32" s="60" t="s">
        <v>159</v>
      </c>
      <c r="H32" s="60" t="s">
        <v>77</v>
      </c>
      <c r="I32" s="61" t="s">
        <v>829</v>
      </c>
      <c r="J32" s="62" t="s">
        <v>830</v>
      </c>
      <c r="K32" s="129" t="str">
        <f t="shared" si="2"/>
        <v>[TASK] Teach through a practical Elixir OTP -  project following the micro-learning methodology, acting as a supportive tutor, creating a project about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Elixir OTP | 📊 Level: Advanced | 🌐 Coding5s.com
**Project:** PROJECT: Distributed ETS Cache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distributed caching application utilizing :ets operations, Application lifecycle, and :rpc node calls.. Topics applied in this project: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Elixir OTP | 📊 Level: Advanced
**Project:** Construct a distributed caching application utilizing :ets operations, Application lifecycle, and :rpc node calls.
---
 | [FOOTER RULE - STRICT] End your response with: '--- ⚡ *Coding5s Mentor System — Eliminating Epistemic Debt*' | </v>
      </c>
      <c r="M32" s="52">
        <v>0</v>
      </c>
      <c r="N32" s="102" t="str">
        <f t="shared" si="4"/>
        <v>[ROLE] Careless Elixir OTP Developer | [TASK] Generate debugging project in Elixir OTP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[OUTPUT] Only header, dataset summary or statement (if any), email intro, objective, expected output, broken code, and footer | [HEADER RULE - STRICT] You MUST start your entire response EXACTLY with this markdown block (do not print anything before it):
### 🚀 Project #24 | Stage 2 | Elixir OTP | 📊 Level: Advanced | 🌐 Coding5s.com
Project: PROJECT: Distributed ETS Cache
---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Oromo | [LANGUAGE SEED CONTEXT] Language Seed Not Necessary | [BUG RULE] 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Elixir OTP | 📊 Level: Advanced
**Project:** Construct a distributed caching application utilizing :ets operations, Application lifecycle, and :rpc node calls.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project script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#24 | Stage 3 | Elixir OTP | 📊 Level: Advanced | 🌐 Coding5s.com
**Project:** PROJECT: Distributed ETS Cache
---
 | [EXTERNAL_PACKAGE_PROTOCOL] Require standard mix.exs tooling for dependencies. Do NOT use Mix.install/2. | [CHALLENGE_CONSTRAINTS_POLICY] MUST be between 40–100 lines of EXECUTABLE base OTP code (STRICT: Do NOT count comments or TODOs). Must feature inter-process communication or supervision tree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Elixir OTP | 📊 Level: Advanced
**Project:** Construct a distributed caching application utilizing :ets operations, Application lifecycle, and :rpc node calls.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a messy but functional project for refactoring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Tech Lead. A junior wrote this working but messy code. Tone: professional but exhausted | [HEADER RULE - STRICT] You MUST start your entire response EXACTLY with this markdown block (do not print anything before it):
### 🚀 Project #24 | Stage 4 | Elixir OTP | 📊 Level: Advanced | 🌐 Coding5s.com
**Project:** PROJECT: Distributed ETS Cache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Elixir OTP | 📊 Level: Advanced
**Project:** Construct a distributed caching application utilizing :ets operations, Application lifecycle, and :rpc node calls.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Elixir OTP Jira Ticket | [TASK] Provide a guided project implementation with full solution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professional Tech Product Manager defining a project ticket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Project #24 | Stage 5 | Elixir OTP | 📊 Level: Advanced | 🌐 Coding5s.com
**Project:** PROJECT: Distributed ETS Cache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distributed caching application utilizing :ets operations, Application lifecycle, and :rpc node calls.. Topics integrated: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Business Goal: PROJECT: Distributed ETS Cache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Elixir OTP | 📊 Level: Advanced
**Project:** Construct a distributed caching application utilizing :ets operations, Application lifecycle, and :rpc node calls.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[TASK] Teach through a practical Elixir OTP -  project following the micro-learning methodology, acting as a supportive tutor, creating a project about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Elixir OTP | 📊 Level: Advanced | 🌐 Coding5s.com
**Project:** PROJECT: Distributed ETS Cache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3"/>
        <v>[ROLE] Careless Elixir OTP Developer | [TASK] Generate debugging project in Elixir OTP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[OUTPUT] Only header, dataset summary or statement (if any), email intro, objective, expected output, broken code, and footer | [HEADER RULE - STRICT] You MUST start your entire response EXACTLY with this markdown block (do not print anything before it):
### 🚀 Project #24 | Stage 2 | Elixir OTP | 📊 Level: Advanced | 🌐 Coding5s.com
Project: PROJECT: Distributed ETS Cache
---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Oromo | [LANGUAGE SEED CONTEXT] Language Seed Not Necessary | [BUG RULE] 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4"/>
        <v>[ROLE] Tech Lead | [TASK] Assign incomplete project script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#24 | Stage 3 | Elixir OTP | 📊 Level: Advanced | 🌐 Coding5s.com
**Project:** PROJECT: Distributed ETS Cache
---
 | [EXTERNAL_PACKAGE_PROTOCOL] Require standard mix.exs tooling for dependencies. Do NOT use Mix.install/2. | [CHALLENGE_CONSTRAINTS_POLICY] MUST be between 40–100 lines of EXECUTABLE base OTP code (STRICT: Do NOT count comments or TODOs). Must feature inter-process communication or supervision tree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5"/>
        <v>[ROLE] Tech Lead | [TASK] Provide a messy but functional project for refactoring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Tech Lead. A junior wrote this working but messy code. Tone: professional but exhausted | [HEADER RULE - STRICT] You MUST start your entire response EXACTLY with this markdown block (do not print anything before it):
### 🚀 Project #24 | Stage 4 | Elixir OTP | 📊 Level: Advanced | 🌐 Coding5s.com
**Project:** PROJECT: Distributed ETS Cache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6"/>
        <v>[ROLE] Tech Product Manager assigning a Elixir OTP Jira Ticket | [TASK] Provide a guided project implementation with full solution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professional Tech Product Manager defining a project ticket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Project #24 | Stage 5 | Elixir OTP | 📊 Level: Advanced | 🌐 Coding5s.com
**Project:** PROJECT: Distributed ETS Cache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1"/>
        <v>4</v>
      </c>
      <c r="C33" s="95">
        <v>25</v>
      </c>
      <c r="D33" s="46">
        <v>4</v>
      </c>
      <c r="E33" s="58" t="s">
        <v>46</v>
      </c>
      <c r="F33" s="48">
        <v>25</v>
      </c>
      <c r="G33" s="49" t="s">
        <v>159</v>
      </c>
      <c r="H33" s="49" t="s">
        <v>48</v>
      </c>
      <c r="I33" s="50" t="s">
        <v>831</v>
      </c>
      <c r="J33" s="51" t="s">
        <v>832</v>
      </c>
      <c r="K33" s="129" t="str">
        <f t="shared" si="2"/>
        <v xml:space="preserve">[ROLE] Friendly tutor specializing in Elixir OTP | [TOPIC] Implement testing for GenServers and internal state using ExUnit with GenServer, asserting synchronous state, and assert_receive/3 for handle_info.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Elixir OTP | 📊 Level: Advanced | 🌐 Coding5s.com
**Concept:** Testing GenServers &amp; Internal State (ExUnit with GenServer, asserting synchronous state, assert_receive/3 for handle_info)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Elixir OTP | 📊 Level: Advanced
**Topic:** Implement testing for GenServers and internal state using ExUnit with GenServer, asserting synchronous state, and assert_receive/3 for handle_info.
---
 | [FOOTER RULE - STRICT] End your response with: '--- ⚡ *Coding5s Mentor System — Eliminating Epistemic Debt*' | </v>
      </c>
      <c r="M33" s="53">
        <v>0</v>
      </c>
      <c r="N33" s="102" t="str">
        <f t="shared" si="4"/>
        <v>[ROLE] Careless Elixir OTP Developer | [TASK] Generate debugging challenges in Elixir OTP | | [TOPIC] Implement testing for GenServers and internal state using ExUnit with GenServer, asserting synchronous state, and assert_receive/3 for handle_info.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#25 | Stage 2 🐛 Debug | Elixir OTP | 📊 Level: Advanced | 🌐 Coding5s.com
Concept: Testing GenServers &amp; Internal State (ExUnit with GenServer, asserting synchronous state, assert_receive/3 for handle_info)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Elixir OTP | 📊 Level: Advanced
**Topic:** Implement testing for GenServers and internal state using ExUnit with GenServer, asserting synchronous state, and assert_receive/3 for handle_info.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Elixir OTP script challenges | [TOPIC] Implement testing for GenServers and internal state using ExUnit with GenServer, asserting synchronous state, and assert_receive/3 for handle_info.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#25 | Stage 3 🧩 Complete | Elixir OTP | 📊 Level: Advanced | 🌐 Coding5s.com
**Concept:** Testing GenServers &amp; Internal State (ExUnit with GenServer, asserting synchronous state, assert_receive/3 for handle_info)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testing for GenServers and internal state using ExUnit with GenServer, asserting synchronous state, and assert_receive/3 for handle_info..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Elixir OTP | 📊 Level: Advanced
**Topic:** Implement testing for GenServers and internal state using ExUnit with GenServer, asserting synchronous state, and assert_receive/3 for handle_info.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intentionally messy but functional code for learning debugging and improvement | [TOPIC] Implement testing for GenServers and internal state using ExUnit with GenServer, asserting synchronous state, and assert_receive/3 for handle_info.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#25 | Stage 4 🧹 Refactor | Elixir OTP | 📊 Level: Advanced | 🌐 Coding5s.com
**Concept:** Testing GenServers &amp; Internal State (ExUnit with GenServer, asserting synchronous state, assert_receive/3 for handle_info)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Elixir OTP | 📊 Level: Advanced
**Topic:** Implement testing for GenServers and internal state using ExUnit with GenServer, asserting synchronous state, and assert_receive/3 for handle_info.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Elixir OTP Jira Ticket | [TASK] Provide a guided implementation exercise with full solution for learning purposes | [TOPIC] Implement testing for GenServers and internal state using ExUnit with GenServer, asserting synchronous state, and assert_receive/3 for handle_info.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#25 | Stage 5 | Elixir OTP | 📊 Level: Advanced | 🌐 Coding5s.com
**Concept:** Testing GenServers &amp; Internal State (ExUnit with GenServer, asserting synchronous state, assert_receive/3 for handle_info)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testing for GenServers and internal state using ExUnit with GenServer, asserting synchronous state, and assert_receive/3 for handle_info.. Goal: Testing GenServers &amp; Internal State (ExUnit with GenServer, asserting synchronous state, assert_receive/3 for handle_info)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Elixir OTP | 📊 Level: Advanced
**Topic:** Implement testing for GenServers and internal state using ExUnit with GenServer, asserting synchronous state, and assert_receive/3 for handle_info.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
      </c>
      <c r="AA33" s="56" t="str">
        <f t="shared" si="13"/>
        <v/>
      </c>
      <c r="AB33" s="56" t="str">
        <f t="shared" si="14"/>
        <v/>
      </c>
      <c r="AC33" s="56" t="str">
        <f t="shared" si="15"/>
        <v/>
      </c>
      <c r="AD33" s="56" t="str">
        <f t="shared" si="16"/>
        <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4</v>
      </c>
      <c r="C34" s="95">
        <v>25</v>
      </c>
      <c r="D34" s="57">
        <v>4</v>
      </c>
      <c r="E34" s="58" t="s">
        <v>46</v>
      </c>
      <c r="F34" s="59">
        <v>26</v>
      </c>
      <c r="G34" s="60" t="s">
        <v>159</v>
      </c>
      <c r="H34" s="60" t="s">
        <v>48</v>
      </c>
      <c r="I34" s="61" t="s">
        <v>833</v>
      </c>
      <c r="J34" s="62" t="s">
        <v>834</v>
      </c>
      <c r="K34" s="129" t="str">
        <f t="shared" si="2"/>
        <v xml:space="preserve">[ROLE] Friendly tutor specializing in Elixir OTP | [TOPIC] Formulate testing for Supervisors and fault tolerance using Process.exit/2 simulations, asserting restart behavior, and Task.yield/2 in tests.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Elixir OTP | 📊 Level: Advanced | 🌐 Coding5s.com
**Concept:** Testing Supervisors &amp; Fault Tolerance (Process.exit/2 simulations, asserting restart behavior, Task.yield/2 in tests)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Formulate testing for Supervisors and fault tolerance using Process.exit/2 simulations, asserting restart behavior, and Task.yield/2 in tests.. Topic details: Testing Supervisors &amp; Fault Tolerance (Process.exit/2 simulations, asserting restart behavior, Task.yield/2 in tests)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Elixir OTP | 📊 Level: Advanced
**Topic:** Formulate testing for Supervisors and fault tolerance using Process.exit/2 simulations, asserting restart behavior, and Task.yield/2 in tests.
---
 | [FOOTER RULE - STRICT] End your response with: '--- ⚡ *Coding5s Mentor System — Eliminating Epistemic Debt*' | </v>
      </c>
      <c r="M34" s="52">
        <v>0</v>
      </c>
      <c r="N34" s="102" t="str">
        <f t="shared" si="4"/>
        <v>[ROLE] Careless Elixir OTP Developer | [TASK] Generate debugging challenges in Elixir OTP | | [TOPIC] Formulate testing for Supervisors and fault tolerance using Process.exit/2 simulations, asserting restart behavior, and Task.yield/2 in tests.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#26 | Stage 2 🐛 Debug | Elixir OTP | 📊 Level: Advanced | 🌐 Coding5s.com
Concept: Testing Supervisors &amp; Fault Tolerance (Process.exit/2 simulations, asserting restart behavior, Task.yield/2 in tests)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Elixir OTP | 📊 Level: Advanced
**Topic:** Formulate testing for Supervisors and fault tolerance using Process.exit/2 simulations, asserting restart behavior, and Task.yield/2 in tests.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Elixir OTP script challenges | [TOPIC] Formulate testing for Supervisors and fault tolerance using Process.exit/2 simulations, asserting restart behavior, and Task.yield/2 in tests.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#26 | Stage 3 🧩 Complete | Elixir OTP | 📊 Level: Advanced | 🌐 Coding5s.com
**Concept:** Testing Supervisors &amp; Fault Tolerance (Process.exit/2 simulations, asserting restart behavior, Task.yield/2 in tests)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Formulate testing for Supervisors and fault tolerance using Process.exit/2 simulations, asserting restart behavior, and Task.yield/2 in tests..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Elixir OTP | 📊 Level: Advanced
**Topic:** Formulate testing for Supervisors and fault tolerance using Process.exit/2 simulations, asserting restart behavior, and Task.yield/2 in tests.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Formulate testing for Supervisors and fault tolerance using Process.exit/2 simulations, asserting restart behavior, and Task.yield/2 in tests.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#26 | Stage 4 🧹 Refactor | Elixir OTP | 📊 Level: Advanced | 🌐 Coding5s.com
**Concept:** Testing Supervisors &amp; Fault Tolerance (Process.exit/2 simulations, asserting restart behavior, Task.yield/2 in tests)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Elixir OTP | 📊 Level: Advanced
**Topic:** Formulate testing for Supervisors and fault tolerance using Process.exit/2 simulations, asserting restart behavior, and Task.yield/2 in tests.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Elixir OTP Jira Ticket | [TASK] Provide a guided implementation exercise with full solution for learning purposes | [TOPIC] Formulate testing for Supervisors and fault tolerance using Process.exit/2 simulations, asserting restart behavior, and Task.yield/2 in tests.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#26 | Stage 5 | Elixir OTP | 📊 Level: Advanced | 🌐 Coding5s.com
**Concept:** Testing Supervisors &amp; Fault Tolerance (Process.exit/2 simulations, asserting restart behavior, Task.yield/2 in tests)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Formulate testing for Supervisors and fault tolerance using Process.exit/2 simulations, asserting restart behavior, and Task.yield/2 in tests.. Goal: Testing Supervisors &amp; Fault Tolerance (Process.exit/2 simulations, asserting restart behavior, Task.yield/2 in tests)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Elixir OTP | 📊 Level: Advanced
**Topic:** Formulate testing for Supervisors and fault tolerance using Process.exit/2 simulations, asserting restart behavior, and Task.yield/2 in tests.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4</v>
      </c>
      <c r="C35" s="95">
        <v>25</v>
      </c>
      <c r="D35" s="46">
        <v>4</v>
      </c>
      <c r="E35" s="58" t="s">
        <v>723</v>
      </c>
      <c r="F35" s="48">
        <v>27</v>
      </c>
      <c r="G35" s="49" t="s">
        <v>159</v>
      </c>
      <c r="H35" s="49" t="s">
        <v>48</v>
      </c>
      <c r="I35" s="50" t="s">
        <v>835</v>
      </c>
      <c r="J35" s="51" t="s">
        <v>836</v>
      </c>
      <c r="K35" s="129" t="str">
        <f t="shared" si="2"/>
        <v xml:space="preserve">[ROLE] Friendly tutor specializing in Elixir OTP | [TOPIC] Design testing for Registries and distributed systems by asserting via tuples, mocking node connections, and testing ETS table state.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Elixir OTP | 📊 Level: Advanced | 🌐 Coding5s.com
**Concept:** Testing Registries &amp; Distributed Systems (Asserting via tuples, mocking node connections, testing ETS table state)
---
 | [INTRO RULE] Include a short tutor-style sentence in Spanish before the analogy, followed by this EXACT instruction block translated to Spanish: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testing for Registries and distributed systems by asserting via tuples, mocking node connections, and testing ETS table state.. Topic details: Testing Registries &amp; Distributed Systems (Asserting via tuples, mocking node connections, testing ETS table state)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Elixir OTP | 📊 Level: Advanced
**Topic:** Design testing for Registries and distributed systems by asserting via tuples, mocking node connections, and testing ETS table state.
---
 | [FOOTER RULE - STRICT] End your response with: '--- ⚡ *Coding5s Mentor System — Eliminating Epistemic Debt*' | </v>
      </c>
      <c r="M35" s="53">
        <v>0</v>
      </c>
      <c r="N35" s="102" t="str">
        <f t="shared" si="4"/>
        <v>[ROLE] Careless Elixir OTP Developer | [TASK] Generate debugging challenges in Elixir OTP | | [TOPIC] Design testing for Registries and distributed systems by asserting via tuples, mocking node connections, and testing ETS table state. | | [LEVEL] Advanced |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#27 | Stage 2 🐛 Debug | Elixir OTP | 📊 Level: Advanced | 🌐 Coding5s.com
Concept: Testing Registries &amp; Distributed Systems (Asserting via tuples, mocking node connections, testing ETS table state)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[EXUNIT RULE] Always use use ExUnit.Case, async: true. You MUST use assert_receive or sys.get_state/1 for process testing. Avoid doctests for stateful OTP processes. | [HEX DEPENDENCIES RULE] Assume a standard Mix project context. External Hex dependencies MUST be specified strictly within the deps/0 block of mix.exs. NEVER use Mix.install/2. | [CODE CONSTRAINTS] Each challenge MUST include: - At least 1 GenServer or Supervisor - Explicit state initialization (init/1) - At least 1 synchronous or asynchronous OTP callback handler - 15–35 lines of EXECUTABLE broken OTP code per example (STRICT: Do NOT count blank lines). Enforce immutable state transitions across process boundaries. | All challenges MUST have similar process tree depth and architectural complexity. | [INTRO RULE] The intro MUST be a dynamically generated, urgent, unprofessional email in Spanish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Elixir OTP | 📊 Level: Advanced
**Topic:** Design testing for Registries and distributed systems by asserting via tuples, mocking node connections, and testing ETS table state.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Elixir OTP script challenges | [TOPIC] Design testing for Registries and distributed systems by asserting via tuples, mocking node connections, and testing ETS table state.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Topic #27 | Stage 3 🧩 Complete | Elixir OTP | 📊 Level: Advanced | 🌐 Coding5s.com
**Concept:** Testing Registries &amp; Distributed Systems (Asserting via tuples, mocking node connections, testing ETS table state)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External Hex packages MUST be added to the deps/0 function in a standard mix.exs file. Do not use standalone scripts or Mix.install/2. | [TESTING_FRAMEWORK_PROTOCOL] Tests MUST run isolated async processes (use ExUnit.Case, async: true). NEVER hack process links manually; use assert_receive to verify OTP flows. | [CHALLENGE_CONSTRAINTS_POLICY] Each challenge MUST include: - A functional GenServer or Supervisor tree managing continuous isolated state. - 15–35 lines of EXECUTABLE base OTP code (STRICT: Do NOT count comments or TODOs). Length MUST vary. Enforce isolated immutable process state.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testing for Registries and distributed systems by asserting via tuples, mocking node connections, and testing ETS table state..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Elixir OTP | 📊 Level: Advanced
**Topic:** Design testing for Registries and distributed systems by asserting via tuples, mocking node connections, and testing ETS table state.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Design testing for Registries and distributed systems by asserting via tuples, mocking node connections, and testing ETS table state. | [LEVEL] Advanced | [COUNT] 4 challenges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#27 | Stage 4 🧹 Refactor | Elixir OTP | 📊 Level: Advanced | 🌐 Coding5s.com
**Concept:** Testing Registries &amp; Distributed Systems (Asserting via tuples, mocking node connections, testing ETS table state)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Elixir OTP | 📊 Level: Advanced
**Topic:** Design testing for Registries and distributed systems by asserting via tuples, mocking node connections, and testing ETS table state.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Elixir OTP Jira Ticket | [TASK] Provide a guided implementation exercise with full solution for learning purposes | [TOPIC] Design testing for Registries and distributed systems by asserting via tuples, mocking node connections, and testing ETS table state. | [LEVEL] Advanced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#27 | Stage 5 | Elixir OTP | 📊 Level: Advanced | 🌐 Coding5s.com
**Concept:** Testing Registries &amp; Distributed Systems (Asserting via tuples, mocking node connections, testing ETS table state)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testing for Registries and distributed systems by asserting via tuples, mocking node connections, and testing ETS table state.. Goal: Testing Registries &amp; Distributed Systems (Asserting via tuples, mocking node connections, testing ETS table state)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Elixir OTP | 📊 Level: Advanced
**Topic:** Design testing for Registries and distributed systems by asserting via tuples, mocking node connections, and testing ETS table state.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xml:space="preserve">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v>
      </c>
      <c r="B36" s="45">
        <f t="shared" si="1"/>
        <v>4</v>
      </c>
      <c r="C36" s="95" t="s">
        <v>839</v>
      </c>
      <c r="D36" s="57">
        <v>0</v>
      </c>
      <c r="E36" s="58" t="s">
        <v>46</v>
      </c>
      <c r="F36" s="59">
        <v>28</v>
      </c>
      <c r="G36" s="60" t="s">
        <v>159</v>
      </c>
      <c r="H36" s="60" t="s">
        <v>77</v>
      </c>
      <c r="I36" s="61" t="s">
        <v>837</v>
      </c>
      <c r="J36" s="62" t="s">
        <v>838</v>
      </c>
      <c r="K36" s="129" t="str">
        <f t="shared" si="2"/>
        <v>[TASK] Teach through a practical Elixir OTP -  project following the micro-learning methodology, acting as a supportive tutor, creating a project about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#28 | Stage 1 | Elixir OTP | 📊 Level: Advanced | 🌐 Coding5s.com
**Project:** PROJECT: Master OTP Test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6"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comprehensive concurrent test suite for an OTP application validating Supervisors, GenServer state, and Registry via tuples.. Topics applied in this project: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#28 | Practice | Elixir OTP | 📊 Level: Advanced
**Project:** Develop a comprehensive concurrent test suite for an OTP application validating Supervisors, GenServer state, and Registry via tuples.
---
 | [FOOTER RULE - STRICT] End your response with: '--- ⚡ *Coding5s Mentor System — Eliminating Epistemic Debt*' | </v>
      </c>
      <c r="M36" s="52">
        <v>0</v>
      </c>
      <c r="N36" s="102" t="str">
        <f t="shared" si="4"/>
        <v>[ROLE] Careless Elixir OTP Developer | [TASK] Generate debugging project in Elixir OTP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[OUTPUT] Only header, dataset summary or statement (if any), email intro, objective, expected output, broken code, and footer | [HEADER RULE - STRICT] You MUST start your entire response EXACTLY with this markdown block (do not print anything before it):
### 🚀 Project #28 | Stage 2 | Elixir OTP | 📊 Level: Advanced | 🌐 Coding5s.com
Project: PROJECT: Master OTP Test Suite
---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#28 | Debug | Elixir OTP | 📊 Level: Advanced
**Project:** Develop a comprehensive concurrent test suite for an OTP application validating Supervisors, GenServer state, and Registry via tuples.
---
 | [PYTHON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project script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#28 | Stage 3 | Elixir OTP | 📊 Level: Advanced | 🌐 Coding5s.com
**Project:** PROJECT: Master OTP Test Suite
---
 | [EXTERNAL_PACKAGE_PROTOCOL] Require standard mix.exs tooling for dependencies. Do NOT use Mix.install/2. | [CHALLENGE_CONSTRAINTS_POLICY] MUST be between 40–100 lines of EXECUTABLE base OTP code (STRICT: Do NOT count comments or TODOs). Must feature inter-process communication or supervision tree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#28 | Complete | Elixir OTP | 📊 Level: Advanced
**Project:** Develop a comprehensive concurrent test suite for an OTP application validating Supervisors, GenServer state, and Registry via tuples.
---
 | [PYTHON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a messy but functional project for refactoring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Tech Lead. A junior wrote this working but messy code. Tone: professional but exhausted | [HEADER RULE - STRICT] You MUST start your entire response EXACTLY with this markdown block (do not print anything before it):
### 🚀 Project #28 | Stage 4 | Elixir OTP | 📊 Level: Advanced | 🌐 Coding5s.com
**Project:** PROJECT: Master OTP Test Suite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#28 | Refactor | Elixir OTP | 📊 Level: Advanced
**Project:** Develop a comprehensive concurrent test suite for an OTP application validating Supervisors, GenServer state, and Registry via tuples.
---
 | [PYTHON QUALITY RULE - STRICT] Code MUST adhere strictly to Elixir Style Guide and OTP standards. Use snake_case for functions/variables, PascalCase for modules. Use only isolated GenServer state. Emphasize fault-tolerant Supervisor designs.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Elixir OTP Jira Ticket | [TASK] Provide a guided project implementation with full solution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professional Tech Product Manager defining a project ticket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Project #28 | Stage 5 | Elixir OTP | 📊 Level: Advanced | 🌐 Coding5s.com
**Project:** PROJECT: Master OTP Test Suite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comprehensive concurrent test suite for an OTP application validating Supervisors, GenServer state, and Registry via tuples.. Topics integrated: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Business Goal: PROJECT: Master OTP Test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#28 | Extend | Elixir OTP | 📊 Level: Advanced
**Project:** Develop a comprehensive concurrent test suite for an OTP application validating Supervisors, GenServer state, and Registry via tuples.
---
 | [CODE_QUALITY_PROTOCOL] Code MUST adhere strictly to Elixir Style Guide and OTP standards. Use snake_case for functions/variables, PascalCase for modules. NEVER leak state globally; enforce strict callback immutability. Prioritize highly fault-tolerant OTP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[TASK] Teach through a practical Elixir OTP -  project following the micro-learning methodology, acting as a supportive tutor, creating a project about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#28 | Stage 1 | Elixir OTP | 📊 Level: Advanced | 🌐 Coding5s.com
**Project:** PROJECT: Master OTP Test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6" s="56" t="str">
        <f t="shared" si="13"/>
        <v>[ROLE] Careless Elixir OTP Developer | [TASK] Generate debugging project in Elixir OTP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[OUTPUT] Only header, dataset summary or statement (if any), email intro, objective, expected output, broken code, and footer | [HEADER RULE - STRICT] You MUST start your entire response EXACTLY with this markdown block (do not print anything before it):
### 🚀 Project #28 | Stage 2 | Elixir OTP | 📊 Level: Advanced | 🌐 Coding5s.com
Project: PROJECT: Master OTP Test Suite
---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6" s="56" t="str">
        <f t="shared" si="14"/>
        <v>[ROLE] Tech Lead | [TASK] Assign incomplete project script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#28 | Stage 3 | Elixir OTP | 📊 Level: Advanced | 🌐 Coding5s.com
**Project:** PROJECT: Master OTP Test Suite
---
 | [EXTERNAL_PACKAGE_PROTOCOL] Require standard mix.exs tooling for dependencies. Do NOT use Mix.install/2. | [CHALLENGE_CONSTRAINTS_POLICY] MUST be between 40–100 lines of EXECUTABLE base OTP code (STRICT: Do NOT count comments or TODOs). Must feature inter-process communication or supervision tree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6" s="56" t="str">
        <f t="shared" si="15"/>
        <v>[ROLE] Tech Lead | [TASK] Provide a messy but functional project for refactoring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Tech Lead. A junior wrote this working but messy code. Tone: professional but exhausted | [HEADER RULE - STRICT] You MUST start your entire response EXACTLY with this markdown block (do not print anything before it):
### 🚀 Project #28 | Stage 4 | Elixir OTP | 📊 Level: Advanced | 🌐 Coding5s.com
**Project:** PROJECT: Master OTP Test Suite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6" s="56" t="str">
        <f t="shared" si="16"/>
        <v>[ROLE] Tech Product Manager assigning a Elixir OTP Jira Ticket | [TASK] Provide a guided project implementation with full solution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professional Tech Product Manager defining a project ticket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[HEADER RULE - STRICT] You MUST start your entire response EXACTLY with this markdown block (do not print anything before it):
### 🚀 Project #28 | Stage 5 | Elixir OTP | 📊 Level: Advanced | 🌐 Coding5s.com
**Project:** PROJECT: Master OTP Test Suite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t="str">
        <f t="shared" si="1"/>
        <v/>
      </c>
      <c r="C37" s="95"/>
      <c r="D37" s="46"/>
      <c r="E37" s="58"/>
      <c r="F37" s="48"/>
      <c r="G37" s="49"/>
      <c r="H37" s="49"/>
      <c r="I37" s="50"/>
      <c r="J37" s="51"/>
      <c r="K37" s="129" t="str">
        <f t="shared" si="2"/>
        <v/>
      </c>
      <c r="L37" s="103" t="str">
        <f t="shared" si="3"/>
        <v/>
      </c>
      <c r="M37" s="53">
        <v>0</v>
      </c>
      <c r="N37" s="102" t="str">
        <f t="shared" si="4"/>
        <v/>
      </c>
      <c r="O37" s="103" t="str">
        <f t="shared" si="5"/>
        <v/>
      </c>
      <c r="P37" s="53">
        <v>0</v>
      </c>
      <c r="Q37" s="102" t="str">
        <f t="shared" si="6"/>
        <v/>
      </c>
      <c r="R37" s="103" t="str">
        <f t="shared" si="7"/>
        <v/>
      </c>
      <c r="S37" s="53">
        <v>0</v>
      </c>
      <c r="T37" s="102" t="str">
        <f t="shared" si="8"/>
        <v/>
      </c>
      <c r="U37" s="103" t="str">
        <f t="shared" si="9"/>
        <v/>
      </c>
      <c r="V37" s="53">
        <v>0</v>
      </c>
      <c r="W37" s="87" t="str">
        <f t="shared" si="10"/>
        <v/>
      </c>
      <c r="X37" s="103" t="str">
        <f t="shared" si="11"/>
        <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t="str">
        <f t="shared" si="1"/>
        <v/>
      </c>
      <c r="C38" s="95"/>
      <c r="D38" s="57"/>
      <c r="E38" s="58"/>
      <c r="F38" s="59"/>
      <c r="G38" s="60"/>
      <c r="H38" s="60"/>
      <c r="I38" s="61"/>
      <c r="J38" s="62"/>
      <c r="K38" s="129" t="str">
        <f t="shared" si="2"/>
        <v/>
      </c>
      <c r="L38" s="103" t="str">
        <f t="shared" si="3"/>
        <v/>
      </c>
      <c r="M38" s="52">
        <v>0</v>
      </c>
      <c r="N38" s="102" t="str">
        <f t="shared" si="4"/>
        <v/>
      </c>
      <c r="O38" s="103" t="str">
        <f t="shared" si="5"/>
        <v/>
      </c>
      <c r="P38" s="52">
        <v>0</v>
      </c>
      <c r="Q38" s="102" t="str">
        <f t="shared" si="6"/>
        <v/>
      </c>
      <c r="R38" s="103" t="str">
        <f t="shared" si="7"/>
        <v/>
      </c>
      <c r="S38" s="52">
        <v>0</v>
      </c>
      <c r="T38" s="102" t="str">
        <f t="shared" si="8"/>
        <v/>
      </c>
      <c r="U38" s="103" t="str">
        <f t="shared" si="9"/>
        <v/>
      </c>
      <c r="V38" s="52">
        <v>0</v>
      </c>
      <c r="W38" s="87" t="str">
        <f t="shared" si="10"/>
        <v/>
      </c>
      <c r="X38" s="103" t="str">
        <f t="shared" si="11"/>
        <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t="str">
        <f t="shared" si="1"/>
        <v/>
      </c>
      <c r="C39" s="95"/>
      <c r="D39" s="46"/>
      <c r="E39" s="58"/>
      <c r="F39" s="48"/>
      <c r="G39" s="49"/>
      <c r="H39" s="49"/>
      <c r="I39" s="50"/>
      <c r="J39" s="51"/>
      <c r="K39" s="129" t="str">
        <f t="shared" si="2"/>
        <v/>
      </c>
      <c r="L39" s="103" t="str">
        <f t="shared" si="3"/>
        <v/>
      </c>
      <c r="M39" s="53">
        <v>0</v>
      </c>
      <c r="N39" s="102" t="str">
        <f t="shared" si="4"/>
        <v/>
      </c>
      <c r="O39" s="103" t="str">
        <f t="shared" si="5"/>
        <v/>
      </c>
      <c r="P39" s="53">
        <v>0</v>
      </c>
      <c r="Q39" s="102" t="str">
        <f t="shared" si="6"/>
        <v/>
      </c>
      <c r="R39" s="103" t="str">
        <f t="shared" si="7"/>
        <v/>
      </c>
      <c r="S39" s="53">
        <v>0</v>
      </c>
      <c r="T39" s="102" t="str">
        <f t="shared" si="8"/>
        <v/>
      </c>
      <c r="U39" s="103" t="str">
        <f t="shared" si="9"/>
        <v/>
      </c>
      <c r="V39" s="53">
        <v>0</v>
      </c>
      <c r="W39" s="87" t="str">
        <f t="shared" si="10"/>
        <v/>
      </c>
      <c r="X39" s="103" t="str">
        <f t="shared" si="11"/>
        <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t="str">
        <f t="shared" si="1"/>
        <v/>
      </c>
      <c r="C40" s="95"/>
      <c r="D40" s="57"/>
      <c r="E40" s="58"/>
      <c r="F40" s="59"/>
      <c r="G40" s="60"/>
      <c r="H40" s="60"/>
      <c r="I40" s="61"/>
      <c r="J40" s="62"/>
      <c r="K40" s="129" t="str">
        <f t="shared" si="2"/>
        <v/>
      </c>
      <c r="L40" s="103" t="str">
        <f t="shared" si="3"/>
        <v/>
      </c>
      <c r="M40" s="52">
        <v>0</v>
      </c>
      <c r="N40" s="102" t="str">
        <f t="shared" si="4"/>
        <v/>
      </c>
      <c r="O40" s="103" t="str">
        <f t="shared" si="5"/>
        <v/>
      </c>
      <c r="P40" s="52">
        <v>0</v>
      </c>
      <c r="Q40" s="102" t="str">
        <f t="shared" si="6"/>
        <v/>
      </c>
      <c r="R40" s="103" t="str">
        <f t="shared" si="7"/>
        <v/>
      </c>
      <c r="S40" s="52">
        <v>0</v>
      </c>
      <c r="T40" s="102" t="str">
        <f t="shared" si="8"/>
        <v/>
      </c>
      <c r="U40" s="103" t="str">
        <f t="shared" si="9"/>
        <v/>
      </c>
      <c r="V40" s="52">
        <v>0</v>
      </c>
      <c r="W40" s="87" t="str">
        <f t="shared" si="10"/>
        <v/>
      </c>
      <c r="X40" s="103" t="str">
        <f t="shared" si="11"/>
        <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c>
      <c r="B41" s="45" t="str">
        <f t="shared" si="1"/>
        <v/>
      </c>
      <c r="C41" s="95"/>
      <c r="D41" s="46"/>
      <c r="E41" s="58"/>
      <c r="F41" s="48"/>
      <c r="G41" s="49"/>
      <c r="H41" s="49"/>
      <c r="I41" s="50"/>
      <c r="J41" s="51"/>
      <c r="K41" s="129" t="str">
        <f t="shared" si="2"/>
        <v/>
      </c>
      <c r="L41" s="103" t="str">
        <f t="shared" si="3"/>
        <v/>
      </c>
      <c r="M41" s="53">
        <v>0</v>
      </c>
      <c r="N41" s="102" t="str">
        <f t="shared" si="4"/>
        <v/>
      </c>
      <c r="O41" s="103" t="str">
        <f t="shared" si="5"/>
        <v/>
      </c>
      <c r="P41" s="53">
        <v>0</v>
      </c>
      <c r="Q41" s="102" t="str">
        <f t="shared" si="6"/>
        <v/>
      </c>
      <c r="R41" s="103" t="str">
        <f t="shared" si="7"/>
        <v/>
      </c>
      <c r="S41" s="53">
        <v>0</v>
      </c>
      <c r="T41" s="102" t="str">
        <f t="shared" si="8"/>
        <v/>
      </c>
      <c r="U41" s="103" t="str">
        <f t="shared" si="9"/>
        <v/>
      </c>
      <c r="V41" s="53">
        <v>0</v>
      </c>
      <c r="W41" s="87" t="str">
        <f t="shared" si="10"/>
        <v/>
      </c>
      <c r="X41" s="103" t="str">
        <f t="shared" si="11"/>
        <v/>
      </c>
      <c r="Y41" s="53">
        <v>0</v>
      </c>
      <c r="Z41" s="56" t="str">
        <f t="shared" si="12"/>
        <v/>
      </c>
      <c r="AA41" s="56" t="str">
        <f t="shared" si="13"/>
        <v/>
      </c>
      <c r="AB41" s="56" t="str">
        <f t="shared" si="14"/>
        <v/>
      </c>
      <c r="AC41" s="56" t="str">
        <f t="shared" si="15"/>
        <v/>
      </c>
      <c r="AD41" s="56" t="str">
        <f t="shared" si="16"/>
        <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t="str">
        <f t="shared" si="1"/>
        <v/>
      </c>
      <c r="C42" s="95"/>
      <c r="D42" s="57"/>
      <c r="E42" s="58"/>
      <c r="F42" s="59"/>
      <c r="G42" s="60"/>
      <c r="H42" s="60"/>
      <c r="I42" s="61"/>
      <c r="J42" s="62"/>
      <c r="K42" s="129" t="str">
        <f t="shared" si="2"/>
        <v/>
      </c>
      <c r="L42" s="103" t="str">
        <f t="shared" si="3"/>
        <v/>
      </c>
      <c r="M42" s="52">
        <v>0</v>
      </c>
      <c r="N42" s="102" t="str">
        <f t="shared" si="4"/>
        <v/>
      </c>
      <c r="O42" s="103" t="str">
        <f t="shared" si="5"/>
        <v/>
      </c>
      <c r="P42" s="52">
        <v>0</v>
      </c>
      <c r="Q42" s="102" t="str">
        <f t="shared" si="6"/>
        <v/>
      </c>
      <c r="R42" s="103" t="str">
        <f t="shared" si="7"/>
        <v/>
      </c>
      <c r="S42" s="52">
        <v>0</v>
      </c>
      <c r="T42" s="102" t="str">
        <f t="shared" si="8"/>
        <v/>
      </c>
      <c r="U42" s="103" t="str">
        <f t="shared" si="9"/>
        <v/>
      </c>
      <c r="V42" s="52">
        <v>0</v>
      </c>
      <c r="W42" s="87" t="str">
        <f t="shared" si="10"/>
        <v/>
      </c>
      <c r="X42" s="103" t="str">
        <f t="shared" si="11"/>
        <v/>
      </c>
      <c r="Y42" s="52">
        <v>0</v>
      </c>
      <c r="Z42" s="56" t="str">
        <f t="shared" si="12"/>
        <v/>
      </c>
      <c r="AA42" s="56" t="str">
        <f t="shared" si="13"/>
        <v/>
      </c>
      <c r="AB42" s="56" t="str">
        <f t="shared" si="14"/>
        <v/>
      </c>
      <c r="AC42" s="56" t="str">
        <f t="shared" si="15"/>
        <v/>
      </c>
      <c r="AD42" s="56" t="str">
        <f t="shared" si="16"/>
        <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t="str">
        <f t="shared" si="1"/>
        <v/>
      </c>
      <c r="C43" s="95"/>
      <c r="D43" s="46"/>
      <c r="E43" s="58"/>
      <c r="F43" s="48"/>
      <c r="G43" s="49"/>
      <c r="H43" s="49"/>
      <c r="I43" s="50"/>
      <c r="J43" s="51"/>
      <c r="K43" s="129" t="str">
        <f t="shared" si="2"/>
        <v/>
      </c>
      <c r="L43" s="103" t="str">
        <f t="shared" si="3"/>
        <v/>
      </c>
      <c r="M43" s="53">
        <v>0</v>
      </c>
      <c r="N43" s="102" t="str">
        <f t="shared" si="4"/>
        <v/>
      </c>
      <c r="O43" s="103" t="str">
        <f t="shared" si="5"/>
        <v/>
      </c>
      <c r="P43" s="53">
        <v>0</v>
      </c>
      <c r="Q43" s="102" t="str">
        <f t="shared" si="6"/>
        <v/>
      </c>
      <c r="R43" s="103" t="str">
        <f t="shared" si="7"/>
        <v/>
      </c>
      <c r="S43" s="53">
        <v>0</v>
      </c>
      <c r="T43" s="102" t="str">
        <f t="shared" si="8"/>
        <v/>
      </c>
      <c r="U43" s="103" t="str">
        <f t="shared" si="9"/>
        <v/>
      </c>
      <c r="V43" s="53">
        <v>0</v>
      </c>
      <c r="W43" s="87" t="str">
        <f t="shared" si="10"/>
        <v/>
      </c>
      <c r="X43" s="103" t="str">
        <f t="shared" si="11"/>
        <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t="str">
        <f t="shared" si="1"/>
        <v/>
      </c>
      <c r="C44" s="95"/>
      <c r="D44" s="57"/>
      <c r="E44" s="58"/>
      <c r="F44" s="59"/>
      <c r="G44" s="60"/>
      <c r="H44" s="60"/>
      <c r="I44" s="61"/>
      <c r="J44" s="62"/>
      <c r="K44" s="129" t="str">
        <f t="shared" si="2"/>
        <v/>
      </c>
      <c r="L44" s="103" t="str">
        <f t="shared" si="3"/>
        <v/>
      </c>
      <c r="M44" s="52">
        <v>0</v>
      </c>
      <c r="N44" s="102" t="str">
        <f t="shared" si="4"/>
        <v/>
      </c>
      <c r="O44" s="103" t="str">
        <f t="shared" si="5"/>
        <v/>
      </c>
      <c r="P44" s="52">
        <v>0</v>
      </c>
      <c r="Q44" s="102" t="str">
        <f t="shared" si="6"/>
        <v/>
      </c>
      <c r="R44" s="103" t="str">
        <f t="shared" si="7"/>
        <v/>
      </c>
      <c r="S44" s="52">
        <v>0</v>
      </c>
      <c r="T44" s="102" t="str">
        <f t="shared" si="8"/>
        <v/>
      </c>
      <c r="U44" s="103" t="str">
        <f t="shared" si="9"/>
        <v/>
      </c>
      <c r="V44" s="52">
        <v>0</v>
      </c>
      <c r="W44" s="87" t="str">
        <f t="shared" si="10"/>
        <v/>
      </c>
      <c r="X44" s="103" t="str">
        <f t="shared" si="11"/>
        <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t="str">
        <f t="shared" si="1"/>
        <v/>
      </c>
      <c r="C45" s="95"/>
      <c r="D45" s="46"/>
      <c r="E45" s="58"/>
      <c r="F45" s="48"/>
      <c r="G45" s="49"/>
      <c r="H45" s="49"/>
      <c r="I45" s="50"/>
      <c r="J45" s="51"/>
      <c r="K45" s="129" t="str">
        <f t="shared" si="2"/>
        <v/>
      </c>
      <c r="L45" s="103" t="str">
        <f t="shared" si="3"/>
        <v/>
      </c>
      <c r="M45" s="53">
        <v>0</v>
      </c>
      <c r="N45" s="102" t="str">
        <f t="shared" si="4"/>
        <v/>
      </c>
      <c r="O45" s="103" t="str">
        <f t="shared" si="5"/>
        <v/>
      </c>
      <c r="P45" s="53">
        <v>0</v>
      </c>
      <c r="Q45" s="102" t="str">
        <f t="shared" si="6"/>
        <v/>
      </c>
      <c r="R45" s="103" t="str">
        <f t="shared" si="7"/>
        <v/>
      </c>
      <c r="S45" s="53">
        <v>0</v>
      </c>
      <c r="T45" s="102" t="str">
        <f t="shared" si="8"/>
        <v/>
      </c>
      <c r="U45" s="103" t="str">
        <f t="shared" si="9"/>
        <v/>
      </c>
      <c r="V45" s="53">
        <v>0</v>
      </c>
      <c r="W45" s="87" t="str">
        <f t="shared" si="10"/>
        <v/>
      </c>
      <c r="X45" s="103" t="str">
        <f t="shared" si="11"/>
        <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t="str">
        <f t="shared" si="1"/>
        <v/>
      </c>
      <c r="C46" s="95"/>
      <c r="D46" s="57"/>
      <c r="E46" s="58"/>
      <c r="F46" s="59"/>
      <c r="G46" s="60"/>
      <c r="H46" s="60"/>
      <c r="I46" s="61"/>
      <c r="J46" s="62"/>
      <c r="K46" s="129" t="str">
        <f t="shared" si="2"/>
        <v/>
      </c>
      <c r="L46" s="103" t="str">
        <f t="shared" si="3"/>
        <v/>
      </c>
      <c r="M46" s="52">
        <v>0</v>
      </c>
      <c r="N46" s="102" t="str">
        <f t="shared" si="4"/>
        <v/>
      </c>
      <c r="O46" s="103" t="str">
        <f t="shared" si="5"/>
        <v/>
      </c>
      <c r="P46" s="52">
        <v>0</v>
      </c>
      <c r="Q46" s="102" t="str">
        <f t="shared" si="6"/>
        <v/>
      </c>
      <c r="R46" s="103" t="str">
        <f t="shared" si="7"/>
        <v/>
      </c>
      <c r="S46" s="52">
        <v>0</v>
      </c>
      <c r="T46" s="102" t="str">
        <f t="shared" si="8"/>
        <v/>
      </c>
      <c r="U46" s="103" t="str">
        <f t="shared" si="9"/>
        <v/>
      </c>
      <c r="V46" s="52">
        <v>0</v>
      </c>
      <c r="W46" s="87" t="str">
        <f t="shared" si="10"/>
        <v/>
      </c>
      <c r="X46" s="103" t="str">
        <f t="shared" si="11"/>
        <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t="str">
        <f t="shared" si="1"/>
        <v/>
      </c>
      <c r="C47" s="95"/>
      <c r="D47" s="46"/>
      <c r="E47" s="58"/>
      <c r="F47" s="48"/>
      <c r="G47" s="49"/>
      <c r="H47" s="49"/>
      <c r="I47" s="50"/>
      <c r="J47" s="51"/>
      <c r="K47" s="129" t="str">
        <f t="shared" si="2"/>
        <v/>
      </c>
      <c r="L47" s="103" t="str">
        <f t="shared" si="3"/>
        <v/>
      </c>
      <c r="M47" s="53">
        <v>0</v>
      </c>
      <c r="N47" s="102" t="str">
        <f t="shared" si="4"/>
        <v/>
      </c>
      <c r="O47" s="103" t="str">
        <f t="shared" si="5"/>
        <v/>
      </c>
      <c r="P47" s="53">
        <v>0</v>
      </c>
      <c r="Q47" s="102" t="str">
        <f t="shared" si="6"/>
        <v/>
      </c>
      <c r="R47" s="103" t="str">
        <f t="shared" si="7"/>
        <v/>
      </c>
      <c r="S47" s="53">
        <v>0</v>
      </c>
      <c r="T47" s="102" t="str">
        <f t="shared" si="8"/>
        <v/>
      </c>
      <c r="U47" s="103" t="str">
        <f t="shared" si="9"/>
        <v/>
      </c>
      <c r="V47" s="53">
        <v>0</v>
      </c>
      <c r="W47" s="87" t="str">
        <f t="shared" si="10"/>
        <v/>
      </c>
      <c r="X47" s="103" t="str">
        <f t="shared" si="11"/>
        <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t="str">
        <f t="shared" si="1"/>
        <v/>
      </c>
      <c r="C48" s="95"/>
      <c r="D48" s="57"/>
      <c r="E48" s="58"/>
      <c r="F48" s="59"/>
      <c r="G48" s="60"/>
      <c r="H48" s="60"/>
      <c r="I48" s="61"/>
      <c r="J48" s="62"/>
      <c r="K48" s="129" t="str">
        <f t="shared" si="2"/>
        <v/>
      </c>
      <c r="L48" s="103" t="str">
        <f t="shared" si="3"/>
        <v/>
      </c>
      <c r="M48" s="52">
        <v>0</v>
      </c>
      <c r="N48" s="102" t="str">
        <f t="shared" si="4"/>
        <v/>
      </c>
      <c r="O48" s="103" t="str">
        <f t="shared" si="5"/>
        <v/>
      </c>
      <c r="P48" s="52">
        <v>0</v>
      </c>
      <c r="Q48" s="102" t="str">
        <f t="shared" si="6"/>
        <v/>
      </c>
      <c r="R48" s="103" t="str">
        <f t="shared" si="7"/>
        <v/>
      </c>
      <c r="S48" s="52">
        <v>0</v>
      </c>
      <c r="T48" s="102" t="str">
        <f t="shared" si="8"/>
        <v/>
      </c>
      <c r="U48" s="103" t="str">
        <f t="shared" si="9"/>
        <v/>
      </c>
      <c r="V48" s="52">
        <v>0</v>
      </c>
      <c r="W48" s="87" t="str">
        <f t="shared" si="10"/>
        <v/>
      </c>
      <c r="X48" s="103" t="str">
        <f t="shared" si="11"/>
        <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c>
      <c r="B49" s="45" t="str">
        <f t="shared" si="1"/>
        <v/>
      </c>
      <c r="C49" s="95"/>
      <c r="D49" s="46"/>
      <c r="E49" s="58"/>
      <c r="F49" s="48"/>
      <c r="G49" s="49"/>
      <c r="H49" s="49"/>
      <c r="I49" s="50"/>
      <c r="J49" s="51"/>
      <c r="K49" s="129" t="str">
        <f t="shared" si="2"/>
        <v/>
      </c>
      <c r="L49" s="103" t="str">
        <f t="shared" si="3"/>
        <v/>
      </c>
      <c r="M49" s="53">
        <v>0</v>
      </c>
      <c r="N49" s="102" t="str">
        <f t="shared" si="4"/>
        <v/>
      </c>
      <c r="O49" s="103" t="str">
        <f t="shared" si="5"/>
        <v/>
      </c>
      <c r="P49" s="53">
        <v>0</v>
      </c>
      <c r="Q49" s="102" t="str">
        <f t="shared" si="6"/>
        <v/>
      </c>
      <c r="R49" s="103" t="str">
        <f t="shared" si="7"/>
        <v/>
      </c>
      <c r="S49" s="53">
        <v>0</v>
      </c>
      <c r="T49" s="102" t="str">
        <f t="shared" si="8"/>
        <v/>
      </c>
      <c r="U49" s="103" t="str">
        <f t="shared" si="9"/>
        <v/>
      </c>
      <c r="V49" s="53">
        <v>0</v>
      </c>
      <c r="W49" s="87" t="str">
        <f t="shared" si="10"/>
        <v/>
      </c>
      <c r="X49" s="103" t="str">
        <f t="shared" si="11"/>
        <v/>
      </c>
      <c r="Y49" s="53">
        <v>0</v>
      </c>
      <c r="Z49" s="56" t="str">
        <f t="shared" si="12"/>
        <v/>
      </c>
      <c r="AA49" s="56" t="str">
        <f t="shared" si="13"/>
        <v/>
      </c>
      <c r="AB49" s="56" t="str">
        <f t="shared" si="14"/>
        <v/>
      </c>
      <c r="AC49" s="56" t="str">
        <f t="shared" si="15"/>
        <v/>
      </c>
      <c r="AD49" s="56" t="str">
        <f t="shared" si="16"/>
        <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t="str">
        <f t="shared" si="1"/>
        <v/>
      </c>
      <c r="C50" s="95"/>
      <c r="D50" s="57"/>
      <c r="E50" s="58"/>
      <c r="F50" s="59"/>
      <c r="G50" s="60"/>
      <c r="H50" s="60"/>
      <c r="I50" s="61"/>
      <c r="J50" s="62"/>
      <c r="K50" s="129" t="str">
        <f t="shared" si="2"/>
        <v/>
      </c>
      <c r="L50" s="103" t="str">
        <f t="shared" si="3"/>
        <v/>
      </c>
      <c r="M50" s="52">
        <v>0</v>
      </c>
      <c r="N50" s="102" t="str">
        <f t="shared" si="4"/>
        <v/>
      </c>
      <c r="O50" s="103" t="str">
        <f t="shared" si="5"/>
        <v/>
      </c>
      <c r="P50" s="52">
        <v>0</v>
      </c>
      <c r="Q50" s="102" t="str">
        <f t="shared" si="6"/>
        <v/>
      </c>
      <c r="R50" s="103" t="str">
        <f t="shared" si="7"/>
        <v/>
      </c>
      <c r="S50" s="52">
        <v>0</v>
      </c>
      <c r="T50" s="102" t="str">
        <f t="shared" si="8"/>
        <v/>
      </c>
      <c r="U50" s="103" t="str">
        <f t="shared" si="9"/>
        <v/>
      </c>
      <c r="V50" s="52">
        <v>0</v>
      </c>
      <c r="W50" s="87" t="str">
        <f t="shared" si="10"/>
        <v/>
      </c>
      <c r="X50" s="103" t="str">
        <f t="shared" si="11"/>
        <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t="str">
        <f t="shared" si="1"/>
        <v/>
      </c>
      <c r="C51" s="95"/>
      <c r="D51" s="46"/>
      <c r="E51" s="58"/>
      <c r="F51" s="48"/>
      <c r="G51" s="49"/>
      <c r="H51" s="49"/>
      <c r="I51" s="50"/>
      <c r="J51" s="51"/>
      <c r="K51" s="129" t="str">
        <f t="shared" si="2"/>
        <v/>
      </c>
      <c r="L51" s="103" t="str">
        <f t="shared" si="3"/>
        <v/>
      </c>
      <c r="M51" s="53">
        <v>0</v>
      </c>
      <c r="N51" s="102" t="str">
        <f t="shared" si="4"/>
        <v/>
      </c>
      <c r="O51" s="103" t="str">
        <f t="shared" si="5"/>
        <v/>
      </c>
      <c r="P51" s="53">
        <v>0</v>
      </c>
      <c r="Q51" s="102" t="str">
        <f t="shared" si="6"/>
        <v/>
      </c>
      <c r="R51" s="103" t="str">
        <f t="shared" si="7"/>
        <v/>
      </c>
      <c r="S51" s="53">
        <v>0</v>
      </c>
      <c r="T51" s="102" t="str">
        <f t="shared" si="8"/>
        <v/>
      </c>
      <c r="U51" s="103" t="str">
        <f t="shared" si="9"/>
        <v/>
      </c>
      <c r="V51" s="53">
        <v>0</v>
      </c>
      <c r="W51" s="87" t="str">
        <f t="shared" si="10"/>
        <v/>
      </c>
      <c r="X51" s="103" t="str">
        <f t="shared" si="11"/>
        <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t="str">
        <f t="shared" si="1"/>
        <v/>
      </c>
      <c r="C52" s="95"/>
      <c r="D52" s="57"/>
      <c r="E52" s="58"/>
      <c r="F52" s="59"/>
      <c r="G52" s="60"/>
      <c r="H52" s="60"/>
      <c r="I52" s="61"/>
      <c r="J52" s="62"/>
      <c r="K52" s="129" t="str">
        <f t="shared" si="2"/>
        <v/>
      </c>
      <c r="L52" s="103" t="str">
        <f t="shared" si="3"/>
        <v/>
      </c>
      <c r="M52" s="52">
        <v>0</v>
      </c>
      <c r="N52" s="102" t="str">
        <f t="shared" si="4"/>
        <v/>
      </c>
      <c r="O52" s="103" t="str">
        <f t="shared" si="5"/>
        <v/>
      </c>
      <c r="P52" s="52">
        <v>0</v>
      </c>
      <c r="Q52" s="102" t="str">
        <f t="shared" si="6"/>
        <v/>
      </c>
      <c r="R52" s="103" t="str">
        <f t="shared" si="7"/>
        <v/>
      </c>
      <c r="S52" s="52">
        <v>0</v>
      </c>
      <c r="T52" s="102" t="str">
        <f t="shared" si="8"/>
        <v/>
      </c>
      <c r="U52" s="103" t="str">
        <f t="shared" si="9"/>
        <v/>
      </c>
      <c r="V52" s="52">
        <v>0</v>
      </c>
      <c r="W52" s="87" t="str">
        <f t="shared" si="10"/>
        <v/>
      </c>
      <c r="X52" s="103" t="str">
        <f t="shared" si="11"/>
        <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t="str">
        <f t="shared" si="1"/>
        <v/>
      </c>
      <c r="C53" s="95"/>
      <c r="D53" s="46"/>
      <c r="E53" s="58"/>
      <c r="F53" s="48"/>
      <c r="G53" s="49"/>
      <c r="H53" s="49"/>
      <c r="I53" s="50"/>
      <c r="J53" s="51"/>
      <c r="K53" s="129" t="str">
        <f t="shared" si="2"/>
        <v/>
      </c>
      <c r="L53" s="103" t="str">
        <f t="shared" si="3"/>
        <v/>
      </c>
      <c r="M53" s="53">
        <v>0</v>
      </c>
      <c r="N53" s="102" t="str">
        <f t="shared" si="4"/>
        <v/>
      </c>
      <c r="O53" s="103" t="str">
        <f t="shared" si="5"/>
        <v/>
      </c>
      <c r="P53" s="53">
        <v>0</v>
      </c>
      <c r="Q53" s="102" t="str">
        <f t="shared" si="6"/>
        <v/>
      </c>
      <c r="R53" s="103" t="str">
        <f t="shared" si="7"/>
        <v/>
      </c>
      <c r="S53" s="53">
        <v>0</v>
      </c>
      <c r="T53" s="102" t="str">
        <f t="shared" si="8"/>
        <v/>
      </c>
      <c r="U53" s="103" t="str">
        <f t="shared" si="9"/>
        <v/>
      </c>
      <c r="V53" s="53">
        <v>0</v>
      </c>
      <c r="W53" s="87" t="str">
        <f t="shared" si="10"/>
        <v/>
      </c>
      <c r="X53" s="103" t="str">
        <f t="shared" si="11"/>
        <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t="str">
        <f t="shared" si="1"/>
        <v/>
      </c>
      <c r="C54" s="95"/>
      <c r="D54" s="57"/>
      <c r="E54" s="58"/>
      <c r="F54" s="59"/>
      <c r="G54" s="60"/>
      <c r="H54" s="60"/>
      <c r="I54" s="61"/>
      <c r="J54" s="62"/>
      <c r="K54" s="129" t="str">
        <f t="shared" si="2"/>
        <v/>
      </c>
      <c r="L54" s="103" t="str">
        <f t="shared" si="3"/>
        <v/>
      </c>
      <c r="M54" s="52">
        <v>0</v>
      </c>
      <c r="N54" s="102" t="str">
        <f t="shared" si="4"/>
        <v/>
      </c>
      <c r="O54" s="103" t="str">
        <f t="shared" si="5"/>
        <v/>
      </c>
      <c r="P54" s="52">
        <v>0</v>
      </c>
      <c r="Q54" s="102" t="str">
        <f t="shared" si="6"/>
        <v/>
      </c>
      <c r="R54" s="103" t="str">
        <f t="shared" si="7"/>
        <v/>
      </c>
      <c r="S54" s="52">
        <v>0</v>
      </c>
      <c r="T54" s="102" t="str">
        <f t="shared" si="8"/>
        <v/>
      </c>
      <c r="U54" s="103" t="str">
        <f t="shared" si="9"/>
        <v/>
      </c>
      <c r="V54" s="52">
        <v>0</v>
      </c>
      <c r="W54" s="87" t="str">
        <f t="shared" si="10"/>
        <v/>
      </c>
      <c r="X54" s="103" t="str">
        <f t="shared" si="11"/>
        <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t="str">
        <f t="shared" si="1"/>
        <v/>
      </c>
      <c r="C55" s="95"/>
      <c r="D55" s="46"/>
      <c r="E55" s="58"/>
      <c r="F55" s="48"/>
      <c r="G55" s="49"/>
      <c r="H55" s="49"/>
      <c r="I55" s="50"/>
      <c r="J55" s="51"/>
      <c r="K55" s="129" t="str">
        <f t="shared" si="2"/>
        <v/>
      </c>
      <c r="L55" s="103" t="str">
        <f t="shared" si="3"/>
        <v/>
      </c>
      <c r="M55" s="53">
        <v>0</v>
      </c>
      <c r="N55" s="102" t="str">
        <f t="shared" si="4"/>
        <v/>
      </c>
      <c r="O55" s="103" t="str">
        <f t="shared" si="5"/>
        <v/>
      </c>
      <c r="P55" s="53">
        <v>0</v>
      </c>
      <c r="Q55" s="102" t="str">
        <f t="shared" si="6"/>
        <v/>
      </c>
      <c r="R55" s="103" t="str">
        <f t="shared" si="7"/>
        <v/>
      </c>
      <c r="S55" s="53">
        <v>0</v>
      </c>
      <c r="T55" s="102" t="str">
        <f t="shared" si="8"/>
        <v/>
      </c>
      <c r="U55" s="103" t="str">
        <f t="shared" si="9"/>
        <v/>
      </c>
      <c r="V55" s="53">
        <v>0</v>
      </c>
      <c r="W55" s="87" t="str">
        <f t="shared" si="10"/>
        <v/>
      </c>
      <c r="X55" s="103" t="str">
        <f t="shared" si="11"/>
        <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t="str">
        <f t="shared" si="1"/>
        <v/>
      </c>
      <c r="C56" s="95"/>
      <c r="D56" s="57"/>
      <c r="E56" s="58"/>
      <c r="F56" s="63"/>
      <c r="G56" s="60"/>
      <c r="H56" s="64"/>
      <c r="I56" s="61"/>
      <c r="J56" s="62"/>
      <c r="K56" s="129" t="str">
        <f t="shared" si="2"/>
        <v/>
      </c>
      <c r="L56" s="103" t="str">
        <f t="shared" si="3"/>
        <v/>
      </c>
      <c r="M56" s="52">
        <v>0</v>
      </c>
      <c r="N56" s="102" t="str">
        <f t="shared" si="4"/>
        <v/>
      </c>
      <c r="O56" s="103" t="str">
        <f t="shared" si="5"/>
        <v/>
      </c>
      <c r="P56" s="52">
        <v>0</v>
      </c>
      <c r="Q56" s="102" t="str">
        <f t="shared" si="6"/>
        <v/>
      </c>
      <c r="R56" s="103" t="str">
        <f t="shared" si="7"/>
        <v/>
      </c>
      <c r="S56" s="52">
        <v>0</v>
      </c>
      <c r="T56" s="102" t="str">
        <f t="shared" si="8"/>
        <v/>
      </c>
      <c r="U56" s="103" t="str">
        <f t="shared" si="9"/>
        <v/>
      </c>
      <c r="V56" s="52">
        <v>0</v>
      </c>
      <c r="W56" s="87" t="str">
        <f t="shared" si="10"/>
        <v/>
      </c>
      <c r="X56" s="103" t="str">
        <f t="shared" si="11"/>
        <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c>
      <c r="B57" s="45" t="str">
        <f t="shared" si="1"/>
        <v/>
      </c>
      <c r="C57" s="95"/>
      <c r="D57" s="46"/>
      <c r="E57" s="58"/>
      <c r="F57" s="65"/>
      <c r="G57" s="49"/>
      <c r="H57" s="66"/>
      <c r="I57" s="50"/>
      <c r="J57" s="51"/>
      <c r="K57" s="129" t="str">
        <f t="shared" si="2"/>
        <v/>
      </c>
      <c r="L57" s="103" t="str">
        <f t="shared" si="3"/>
        <v/>
      </c>
      <c r="M57" s="53">
        <v>0</v>
      </c>
      <c r="N57" s="102" t="str">
        <f t="shared" si="4"/>
        <v/>
      </c>
      <c r="O57" s="103" t="str">
        <f t="shared" si="5"/>
        <v/>
      </c>
      <c r="P57" s="53">
        <v>0</v>
      </c>
      <c r="Q57" s="102" t="str">
        <f t="shared" si="6"/>
        <v/>
      </c>
      <c r="R57" s="103" t="str">
        <f t="shared" si="7"/>
        <v/>
      </c>
      <c r="S57" s="53">
        <v>0</v>
      </c>
      <c r="T57" s="102" t="str">
        <f t="shared" si="8"/>
        <v/>
      </c>
      <c r="U57" s="103" t="str">
        <f t="shared" si="9"/>
        <v/>
      </c>
      <c r="V57" s="53">
        <v>0</v>
      </c>
      <c r="W57" s="87" t="str">
        <f t="shared" si="10"/>
        <v/>
      </c>
      <c r="X57" s="103" t="str">
        <f t="shared" si="11"/>
        <v/>
      </c>
      <c r="Y57" s="53">
        <v>0</v>
      </c>
      <c r="Z57" s="56" t="str">
        <f t="shared" si="12"/>
        <v/>
      </c>
      <c r="AA57" s="56" t="str">
        <f t="shared" si="13"/>
        <v/>
      </c>
      <c r="AB57" s="56" t="str">
        <f t="shared" si="14"/>
        <v/>
      </c>
      <c r="AC57" s="56" t="str">
        <f t="shared" si="15"/>
        <v/>
      </c>
      <c r="AD57" s="56" t="str">
        <f t="shared" si="16"/>
        <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t="str">
        <f t="shared" si="1"/>
        <v/>
      </c>
      <c r="C58" s="95"/>
      <c r="D58" s="57"/>
      <c r="E58" s="58"/>
      <c r="F58" s="63"/>
      <c r="G58" s="60"/>
      <c r="H58" s="64"/>
      <c r="I58" s="61"/>
      <c r="J58" s="62"/>
      <c r="K58" s="129" t="str">
        <f t="shared" si="2"/>
        <v/>
      </c>
      <c r="L58" s="103" t="str">
        <f t="shared" si="3"/>
        <v/>
      </c>
      <c r="M58" s="52">
        <v>0</v>
      </c>
      <c r="N58" s="102" t="str">
        <f t="shared" si="4"/>
        <v/>
      </c>
      <c r="O58" s="103" t="str">
        <f t="shared" si="5"/>
        <v/>
      </c>
      <c r="P58" s="52">
        <v>0</v>
      </c>
      <c r="Q58" s="102" t="str">
        <f t="shared" si="6"/>
        <v/>
      </c>
      <c r="R58" s="103" t="str">
        <f t="shared" si="7"/>
        <v/>
      </c>
      <c r="S58" s="52">
        <v>0</v>
      </c>
      <c r="T58" s="102" t="str">
        <f t="shared" si="8"/>
        <v/>
      </c>
      <c r="U58" s="103" t="str">
        <f t="shared" si="9"/>
        <v/>
      </c>
      <c r="V58" s="52">
        <v>0</v>
      </c>
      <c r="W58" s="87" t="str">
        <f t="shared" si="10"/>
        <v/>
      </c>
      <c r="X58" s="103" t="str">
        <f t="shared" si="11"/>
        <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t="str">
        <f t="shared" si="1"/>
        <v/>
      </c>
      <c r="C59" s="95"/>
      <c r="D59" s="46"/>
      <c r="E59" s="58"/>
      <c r="F59" s="65"/>
      <c r="G59" s="49"/>
      <c r="H59" s="66"/>
      <c r="I59" s="50"/>
      <c r="J59" s="51"/>
      <c r="K59" s="129" t="str">
        <f t="shared" si="2"/>
        <v/>
      </c>
      <c r="L59" s="103" t="str">
        <f t="shared" si="3"/>
        <v/>
      </c>
      <c r="M59" s="53">
        <v>0</v>
      </c>
      <c r="N59" s="102" t="str">
        <f t="shared" si="4"/>
        <v/>
      </c>
      <c r="O59" s="103" t="str">
        <f t="shared" si="5"/>
        <v/>
      </c>
      <c r="P59" s="53">
        <v>0</v>
      </c>
      <c r="Q59" s="102" t="str">
        <f t="shared" si="6"/>
        <v/>
      </c>
      <c r="R59" s="103" t="str">
        <f t="shared" si="7"/>
        <v/>
      </c>
      <c r="S59" s="53">
        <v>0</v>
      </c>
      <c r="T59" s="102" t="str">
        <f t="shared" si="8"/>
        <v/>
      </c>
      <c r="U59" s="103" t="str">
        <f t="shared" si="9"/>
        <v/>
      </c>
      <c r="V59" s="53">
        <v>0</v>
      </c>
      <c r="W59" s="87" t="str">
        <f t="shared" si="10"/>
        <v/>
      </c>
      <c r="X59" s="103" t="str">
        <f t="shared" si="11"/>
        <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t="str">
        <f t="shared" si="1"/>
        <v/>
      </c>
      <c r="C60" s="95"/>
      <c r="D60" s="57"/>
      <c r="E60" s="58"/>
      <c r="F60" s="63"/>
      <c r="G60" s="60"/>
      <c r="H60" s="64"/>
      <c r="I60" s="61"/>
      <c r="J60" s="62"/>
      <c r="K60" s="129" t="str">
        <f t="shared" si="2"/>
        <v/>
      </c>
      <c r="L60" s="103" t="str">
        <f t="shared" si="3"/>
        <v/>
      </c>
      <c r="M60" s="52">
        <v>0</v>
      </c>
      <c r="N60" s="102" t="str">
        <f t="shared" si="4"/>
        <v/>
      </c>
      <c r="O60" s="103" t="str">
        <f t="shared" si="5"/>
        <v/>
      </c>
      <c r="P60" s="52">
        <v>0</v>
      </c>
      <c r="Q60" s="102" t="str">
        <f t="shared" si="6"/>
        <v/>
      </c>
      <c r="R60" s="103" t="str">
        <f t="shared" si="7"/>
        <v/>
      </c>
      <c r="S60" s="52">
        <v>0</v>
      </c>
      <c r="T60" s="102" t="str">
        <f t="shared" si="8"/>
        <v/>
      </c>
      <c r="U60" s="103" t="str">
        <f t="shared" si="9"/>
        <v/>
      </c>
      <c r="V60" s="52">
        <v>0</v>
      </c>
      <c r="W60" s="87" t="str">
        <f t="shared" si="10"/>
        <v/>
      </c>
      <c r="X60" s="103" t="str">
        <f t="shared" si="11"/>
        <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t="str">
        <f t="shared" si="1"/>
        <v/>
      </c>
      <c r="C61" s="95"/>
      <c r="D61" s="46"/>
      <c r="E61" s="58"/>
      <c r="F61" s="65"/>
      <c r="G61" s="49"/>
      <c r="H61" s="66"/>
      <c r="I61" s="50"/>
      <c r="J61" s="51"/>
      <c r="K61" s="129" t="str">
        <f t="shared" si="2"/>
        <v/>
      </c>
      <c r="L61" s="103" t="str">
        <f t="shared" si="3"/>
        <v/>
      </c>
      <c r="M61" s="53">
        <v>0</v>
      </c>
      <c r="N61" s="102" t="str">
        <f t="shared" si="4"/>
        <v/>
      </c>
      <c r="O61" s="103" t="str">
        <f t="shared" si="5"/>
        <v/>
      </c>
      <c r="P61" s="53">
        <v>0</v>
      </c>
      <c r="Q61" s="102" t="str">
        <f t="shared" si="6"/>
        <v/>
      </c>
      <c r="R61" s="103" t="str">
        <f t="shared" si="7"/>
        <v/>
      </c>
      <c r="S61" s="53">
        <v>0</v>
      </c>
      <c r="T61" s="102" t="str">
        <f t="shared" si="8"/>
        <v/>
      </c>
      <c r="U61" s="103" t="str">
        <f t="shared" si="9"/>
        <v/>
      </c>
      <c r="V61" s="53">
        <v>0</v>
      </c>
      <c r="W61" s="87" t="str">
        <f t="shared" si="10"/>
        <v/>
      </c>
      <c r="X61" s="103" t="str">
        <f t="shared" si="11"/>
        <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t="str">
        <f t="shared" si="1"/>
        <v/>
      </c>
      <c r="C62" s="95"/>
      <c r="D62" s="57"/>
      <c r="E62" s="58"/>
      <c r="F62" s="63"/>
      <c r="G62" s="60"/>
      <c r="H62" s="64"/>
      <c r="I62" s="61"/>
      <c r="J62" s="62"/>
      <c r="K62" s="129" t="str">
        <f t="shared" si="2"/>
        <v/>
      </c>
      <c r="L62" s="103" t="str">
        <f t="shared" si="3"/>
        <v/>
      </c>
      <c r="M62" s="52">
        <v>0</v>
      </c>
      <c r="N62" s="102" t="str">
        <f t="shared" si="4"/>
        <v/>
      </c>
      <c r="O62" s="103" t="str">
        <f t="shared" si="5"/>
        <v/>
      </c>
      <c r="P62" s="52">
        <v>0</v>
      </c>
      <c r="Q62" s="102" t="str">
        <f t="shared" si="6"/>
        <v/>
      </c>
      <c r="R62" s="103" t="str">
        <f t="shared" si="7"/>
        <v/>
      </c>
      <c r="S62" s="52">
        <v>0</v>
      </c>
      <c r="T62" s="102" t="str">
        <f t="shared" si="8"/>
        <v/>
      </c>
      <c r="U62" s="103" t="str">
        <f t="shared" si="9"/>
        <v/>
      </c>
      <c r="V62" s="52">
        <v>0</v>
      </c>
      <c r="W62" s="87" t="str">
        <f t="shared" si="10"/>
        <v/>
      </c>
      <c r="X62" s="103" t="str">
        <f t="shared" si="11"/>
        <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t="str">
        <f t="shared" si="1"/>
        <v/>
      </c>
      <c r="C63" s="95"/>
      <c r="D63" s="46"/>
      <c r="E63" s="58"/>
      <c r="F63" s="65"/>
      <c r="G63" s="49"/>
      <c r="H63" s="66"/>
      <c r="I63" s="50"/>
      <c r="J63" s="51"/>
      <c r="K63" s="129" t="str">
        <f t="shared" si="2"/>
        <v/>
      </c>
      <c r="L63" s="103" t="str">
        <f t="shared" si="3"/>
        <v/>
      </c>
      <c r="M63" s="53">
        <v>0</v>
      </c>
      <c r="N63" s="102" t="str">
        <f t="shared" si="4"/>
        <v/>
      </c>
      <c r="O63" s="103" t="str">
        <f t="shared" si="5"/>
        <v/>
      </c>
      <c r="P63" s="53">
        <v>0</v>
      </c>
      <c r="Q63" s="102" t="str">
        <f t="shared" si="6"/>
        <v/>
      </c>
      <c r="R63" s="103" t="str">
        <f t="shared" si="7"/>
        <v/>
      </c>
      <c r="S63" s="53">
        <v>0</v>
      </c>
      <c r="T63" s="102" t="str">
        <f t="shared" si="8"/>
        <v/>
      </c>
      <c r="U63" s="103" t="str">
        <f t="shared" si="9"/>
        <v/>
      </c>
      <c r="V63" s="53">
        <v>0</v>
      </c>
      <c r="W63" s="87" t="str">
        <f t="shared" si="10"/>
        <v/>
      </c>
      <c r="X63" s="103" t="str">
        <f t="shared" si="11"/>
        <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t="str">
        <f t="shared" si="1"/>
        <v/>
      </c>
      <c r="C64" s="95"/>
      <c r="D64" s="57"/>
      <c r="E64" s="58"/>
      <c r="F64" s="63"/>
      <c r="G64" s="60"/>
      <c r="H64" s="64"/>
      <c r="I64" s="61"/>
      <c r="J64" s="62"/>
      <c r="K64" s="129" t="str">
        <f t="shared" si="2"/>
        <v/>
      </c>
      <c r="L64" s="103" t="str">
        <f t="shared" si="3"/>
        <v/>
      </c>
      <c r="M64" s="52">
        <v>0</v>
      </c>
      <c r="N64" s="102" t="str">
        <f t="shared" si="4"/>
        <v/>
      </c>
      <c r="O64" s="103" t="str">
        <f t="shared" si="5"/>
        <v/>
      </c>
      <c r="P64" s="52">
        <v>0</v>
      </c>
      <c r="Q64" s="102" t="str">
        <f t="shared" si="6"/>
        <v/>
      </c>
      <c r="R64" s="103" t="str">
        <f t="shared" si="7"/>
        <v/>
      </c>
      <c r="S64" s="52">
        <v>0</v>
      </c>
      <c r="T64" s="102" t="str">
        <f t="shared" si="8"/>
        <v/>
      </c>
      <c r="U64" s="103" t="str">
        <f t="shared" si="9"/>
        <v/>
      </c>
      <c r="V64" s="52">
        <v>0</v>
      </c>
      <c r="W64" s="87" t="str">
        <f t="shared" si="10"/>
        <v/>
      </c>
      <c r="X64" s="103" t="str">
        <f t="shared" si="11"/>
        <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t="str">
        <f t="shared" si="1"/>
        <v/>
      </c>
      <c r="C65" s="95"/>
      <c r="D65" s="46"/>
      <c r="E65" s="58"/>
      <c r="F65" s="65"/>
      <c r="G65" s="49"/>
      <c r="H65" s="66"/>
      <c r="I65" s="50"/>
      <c r="J65" s="51"/>
      <c r="K65" s="129" t="str">
        <f t="shared" si="2"/>
        <v/>
      </c>
      <c r="L65" s="103" t="str">
        <f t="shared" si="3"/>
        <v/>
      </c>
      <c r="M65" s="53">
        <v>0</v>
      </c>
      <c r="N65" s="102" t="str">
        <f t="shared" si="4"/>
        <v/>
      </c>
      <c r="O65" s="103" t="str">
        <f t="shared" si="5"/>
        <v/>
      </c>
      <c r="P65" s="53">
        <v>0</v>
      </c>
      <c r="Q65" s="102" t="str">
        <f t="shared" si="6"/>
        <v/>
      </c>
      <c r="R65" s="103" t="str">
        <f t="shared" si="7"/>
        <v/>
      </c>
      <c r="S65" s="53">
        <v>0</v>
      </c>
      <c r="T65" s="102" t="str">
        <f t="shared" si="8"/>
        <v/>
      </c>
      <c r="U65" s="103" t="str">
        <f t="shared" si="9"/>
        <v/>
      </c>
      <c r="V65" s="53">
        <v>0</v>
      </c>
      <c r="W65" s="87" t="str">
        <f t="shared" si="10"/>
        <v/>
      </c>
      <c r="X65" s="103" t="str">
        <f t="shared" si="11"/>
        <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t="str">
        <f t="shared" si="1"/>
        <v/>
      </c>
      <c r="C66" s="95"/>
      <c r="D66" s="57"/>
      <c r="E66" s="58"/>
      <c r="F66" s="63"/>
      <c r="G66" s="60"/>
      <c r="H66" s="64"/>
      <c r="I66" s="61"/>
      <c r="J66" s="62"/>
      <c r="K66" s="129" t="str">
        <f t="shared" si="2"/>
        <v/>
      </c>
      <c r="L66" s="103" t="str">
        <f t="shared" si="3"/>
        <v/>
      </c>
      <c r="M66" s="52">
        <v>0</v>
      </c>
      <c r="N66" s="102" t="str">
        <f t="shared" si="4"/>
        <v/>
      </c>
      <c r="O66" s="103" t="str">
        <f t="shared" si="5"/>
        <v/>
      </c>
      <c r="P66" s="52">
        <v>0</v>
      </c>
      <c r="Q66" s="102" t="str">
        <f t="shared" si="6"/>
        <v/>
      </c>
      <c r="R66" s="103" t="str">
        <f t="shared" si="7"/>
        <v/>
      </c>
      <c r="S66" s="52">
        <v>0</v>
      </c>
      <c r="T66" s="102" t="str">
        <f t="shared" si="8"/>
        <v/>
      </c>
      <c r="U66" s="103" t="str">
        <f t="shared" si="9"/>
        <v/>
      </c>
      <c r="V66" s="52">
        <v>0</v>
      </c>
      <c r="W66" s="87" t="str">
        <f t="shared" si="10"/>
        <v/>
      </c>
      <c r="X66" s="103" t="str">
        <f t="shared" si="11"/>
        <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t="str">
        <f t="shared" si="1"/>
        <v/>
      </c>
      <c r="C67" s="95"/>
      <c r="D67" s="46"/>
      <c r="E67" s="58"/>
      <c r="F67" s="65"/>
      <c r="G67" s="49"/>
      <c r="H67" s="66"/>
      <c r="I67" s="50"/>
      <c r="J67" s="51"/>
      <c r="K67" s="129" t="str">
        <f t="shared" si="2"/>
        <v/>
      </c>
      <c r="L67" s="103" t="str">
        <f t="shared" si="3"/>
        <v/>
      </c>
      <c r="M67" s="53">
        <v>0</v>
      </c>
      <c r="N67" s="102" t="str">
        <f t="shared" si="4"/>
        <v/>
      </c>
      <c r="O67" s="103" t="str">
        <f t="shared" si="5"/>
        <v/>
      </c>
      <c r="P67" s="53">
        <v>0</v>
      </c>
      <c r="Q67" s="102" t="str">
        <f t="shared" si="6"/>
        <v/>
      </c>
      <c r="R67" s="103" t="str">
        <f t="shared" si="7"/>
        <v/>
      </c>
      <c r="S67" s="53">
        <v>0</v>
      </c>
      <c r="T67" s="102" t="str">
        <f t="shared" si="8"/>
        <v/>
      </c>
      <c r="U67" s="103" t="str">
        <f t="shared" si="9"/>
        <v/>
      </c>
      <c r="V67" s="53">
        <v>0</v>
      </c>
      <c r="W67" s="87" t="str">
        <f t="shared" si="10"/>
        <v/>
      </c>
      <c r="X67" s="103" t="str">
        <f t="shared" si="11"/>
        <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t="str">
        <f t="shared" si="1"/>
        <v/>
      </c>
      <c r="C68" s="95"/>
      <c r="D68" s="57"/>
      <c r="E68" s="58"/>
      <c r="F68" s="63"/>
      <c r="G68" s="60"/>
      <c r="H68" s="60"/>
      <c r="I68" s="61"/>
      <c r="J68" s="62"/>
      <c r="K68" s="129" t="str">
        <f t="shared" si="2"/>
        <v/>
      </c>
      <c r="L68" s="103" t="str">
        <f t="shared" si="3"/>
        <v/>
      </c>
      <c r="M68" s="52">
        <v>0</v>
      </c>
      <c r="N68" s="102" t="str">
        <f t="shared" si="4"/>
        <v/>
      </c>
      <c r="O68" s="103" t="str">
        <f t="shared" si="5"/>
        <v/>
      </c>
      <c r="P68" s="52">
        <v>0</v>
      </c>
      <c r="Q68" s="102" t="str">
        <f t="shared" si="6"/>
        <v/>
      </c>
      <c r="R68" s="103" t="str">
        <f t="shared" si="7"/>
        <v/>
      </c>
      <c r="S68" s="52">
        <v>0</v>
      </c>
      <c r="T68" s="102" t="str">
        <f t="shared" si="8"/>
        <v/>
      </c>
      <c r="U68" s="103" t="str">
        <f t="shared" si="9"/>
        <v/>
      </c>
      <c r="V68" s="52">
        <v>0</v>
      </c>
      <c r="W68" s="87" t="str">
        <f t="shared" si="10"/>
        <v/>
      </c>
      <c r="X68" s="103" t="str">
        <f t="shared" si="11"/>
        <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t="str">
        <f t="shared" si="1"/>
        <v/>
      </c>
      <c r="C69" s="95"/>
      <c r="D69" s="46"/>
      <c r="E69" s="58"/>
      <c r="F69" s="65"/>
      <c r="G69" s="49"/>
      <c r="H69" s="66"/>
      <c r="I69" s="50"/>
      <c r="J69" s="51"/>
      <c r="K69" s="129" t="str">
        <f t="shared" si="2"/>
        <v/>
      </c>
      <c r="L69" s="103" t="str">
        <f t="shared" si="3"/>
        <v/>
      </c>
      <c r="M69" s="53">
        <v>0</v>
      </c>
      <c r="N69" s="102" t="str">
        <f t="shared" si="4"/>
        <v/>
      </c>
      <c r="O69" s="103" t="str">
        <f t="shared" si="5"/>
        <v/>
      </c>
      <c r="P69" s="53">
        <v>0</v>
      </c>
      <c r="Q69" s="102" t="str">
        <f t="shared" si="6"/>
        <v/>
      </c>
      <c r="R69" s="103" t="str">
        <f t="shared" si="7"/>
        <v/>
      </c>
      <c r="S69" s="53">
        <v>0</v>
      </c>
      <c r="T69" s="102" t="str">
        <f t="shared" si="8"/>
        <v/>
      </c>
      <c r="U69" s="103" t="str">
        <f t="shared" si="9"/>
        <v/>
      </c>
      <c r="V69" s="53">
        <v>0</v>
      </c>
      <c r="W69" s="87" t="str">
        <f t="shared" si="10"/>
        <v/>
      </c>
      <c r="X69" s="103" t="str">
        <f t="shared" si="11"/>
        <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t="str">
        <f t="shared" si="1"/>
        <v/>
      </c>
      <c r="C70" s="95"/>
      <c r="D70" s="57"/>
      <c r="E70" s="58"/>
      <c r="F70" s="63"/>
      <c r="G70" s="60"/>
      <c r="H70" s="64"/>
      <c r="I70" s="61"/>
      <c r="J70" s="62"/>
      <c r="K70" s="129" t="str">
        <f t="shared" si="2"/>
        <v/>
      </c>
      <c r="L70" s="103" t="str">
        <f t="shared" si="3"/>
        <v/>
      </c>
      <c r="M70" s="52">
        <v>0</v>
      </c>
      <c r="N70" s="102" t="str">
        <f t="shared" si="4"/>
        <v/>
      </c>
      <c r="O70" s="103" t="str">
        <f t="shared" si="5"/>
        <v/>
      </c>
      <c r="P70" s="52">
        <v>0</v>
      </c>
      <c r="Q70" s="102" t="str">
        <f t="shared" si="6"/>
        <v/>
      </c>
      <c r="R70" s="103" t="str">
        <f t="shared" si="7"/>
        <v/>
      </c>
      <c r="S70" s="52">
        <v>0</v>
      </c>
      <c r="T70" s="102" t="str">
        <f t="shared" si="8"/>
        <v/>
      </c>
      <c r="U70" s="103" t="str">
        <f t="shared" si="9"/>
        <v/>
      </c>
      <c r="V70" s="52">
        <v>0</v>
      </c>
      <c r="W70" s="87" t="str">
        <f t="shared" si="10"/>
        <v/>
      </c>
      <c r="X70" s="103" t="str">
        <f t="shared" si="11"/>
        <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t="str">
        <f t="shared" si="1"/>
        <v/>
      </c>
      <c r="C71" s="95"/>
      <c r="D71" s="46"/>
      <c r="E71" s="58"/>
      <c r="F71" s="65"/>
      <c r="G71" s="49"/>
      <c r="H71" s="66"/>
      <c r="I71" s="50"/>
      <c r="J71" s="51"/>
      <c r="K71" s="129" t="str">
        <f t="shared" si="2"/>
        <v/>
      </c>
      <c r="L71" s="103" t="str">
        <f t="shared" si="3"/>
        <v/>
      </c>
      <c r="M71" s="53">
        <v>0</v>
      </c>
      <c r="N71" s="102" t="str">
        <f t="shared" si="4"/>
        <v/>
      </c>
      <c r="O71" s="103" t="str">
        <f t="shared" si="5"/>
        <v/>
      </c>
      <c r="P71" s="53">
        <v>0</v>
      </c>
      <c r="Q71" s="102" t="str">
        <f t="shared" si="6"/>
        <v/>
      </c>
      <c r="R71" s="103" t="str">
        <f t="shared" si="7"/>
        <v/>
      </c>
      <c r="S71" s="53">
        <v>0</v>
      </c>
      <c r="T71" s="102" t="str">
        <f t="shared" si="8"/>
        <v/>
      </c>
      <c r="U71" s="103" t="str">
        <f t="shared" si="9"/>
        <v/>
      </c>
      <c r="V71" s="53">
        <v>0</v>
      </c>
      <c r="W71" s="87" t="str">
        <f t="shared" si="10"/>
        <v/>
      </c>
      <c r="X71" s="103" t="str">
        <f t="shared" si="11"/>
        <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t="str">
        <f t="shared" si="1"/>
        <v/>
      </c>
      <c r="C72" s="95"/>
      <c r="D72" s="57"/>
      <c r="E72" s="58"/>
      <c r="F72" s="63"/>
      <c r="G72" s="60"/>
      <c r="H72" s="64"/>
      <c r="I72" s="61"/>
      <c r="J72" s="62"/>
      <c r="K72" s="129" t="str">
        <f t="shared" si="2"/>
        <v/>
      </c>
      <c r="L72" s="103" t="str">
        <f t="shared" si="3"/>
        <v/>
      </c>
      <c r="M72" s="52">
        <v>0</v>
      </c>
      <c r="N72" s="102" t="str">
        <f t="shared" si="4"/>
        <v/>
      </c>
      <c r="O72" s="103" t="str">
        <f t="shared" si="5"/>
        <v/>
      </c>
      <c r="P72" s="52">
        <v>0</v>
      </c>
      <c r="Q72" s="102" t="str">
        <f t="shared" si="6"/>
        <v/>
      </c>
      <c r="R72" s="103" t="str">
        <f t="shared" si="7"/>
        <v/>
      </c>
      <c r="S72" s="52">
        <v>0</v>
      </c>
      <c r="T72" s="102" t="str">
        <f t="shared" si="8"/>
        <v/>
      </c>
      <c r="U72" s="103" t="str">
        <f t="shared" si="9"/>
        <v/>
      </c>
      <c r="V72" s="52">
        <v>0</v>
      </c>
      <c r="W72" s="87" t="str">
        <f t="shared" si="10"/>
        <v/>
      </c>
      <c r="X72" s="103" t="str">
        <f t="shared" si="11"/>
        <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t="str">
        <f t="shared" si="1"/>
        <v/>
      </c>
      <c r="C73" s="95"/>
      <c r="D73" s="46"/>
      <c r="E73" s="58"/>
      <c r="F73" s="67"/>
      <c r="G73" s="53"/>
      <c r="H73" s="49"/>
      <c r="I73" s="50"/>
      <c r="J73" s="51"/>
      <c r="K73" s="129" t="str">
        <f t="shared" si="2"/>
        <v/>
      </c>
      <c r="L73" s="103" t="str">
        <f t="shared" si="3"/>
        <v/>
      </c>
      <c r="M73" s="53">
        <v>0</v>
      </c>
      <c r="N73" s="102" t="str">
        <f t="shared" si="4"/>
        <v/>
      </c>
      <c r="O73" s="103" t="str">
        <f t="shared" si="5"/>
        <v/>
      </c>
      <c r="P73" s="53">
        <v>0</v>
      </c>
      <c r="Q73" s="102" t="str">
        <f t="shared" si="6"/>
        <v/>
      </c>
      <c r="R73" s="103" t="str">
        <f t="shared" si="7"/>
        <v/>
      </c>
      <c r="S73" s="53">
        <v>0</v>
      </c>
      <c r="T73" s="102" t="str">
        <f t="shared" si="8"/>
        <v/>
      </c>
      <c r="U73" s="103" t="str">
        <f t="shared" si="9"/>
        <v/>
      </c>
      <c r="V73" s="53">
        <v>0</v>
      </c>
      <c r="W73" s="87" t="str">
        <f t="shared" si="10"/>
        <v/>
      </c>
      <c r="X73" s="103" t="str">
        <f t="shared" si="11"/>
        <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t="str">
        <f t="shared" ref="B74:B137" si="19">IF(H74="","",IF(AND(H74="Topic",H73="PROJECT"),B73+1,IF(H74="PROJECT",B73,IF(AND(H74="Topic",H73="Topic"),B73,B73+1))))</f>
        <v/>
      </c>
      <c r="C74" s="95"/>
      <c r="D74" s="57"/>
      <c r="E74" s="58"/>
      <c r="F74" s="54"/>
      <c r="G74" s="52"/>
      <c r="H74" s="52"/>
      <c r="I74" s="61"/>
      <c r="J74" s="62"/>
      <c r="K74" s="129" t="str">
        <f t="shared" ref="K74:K137" si="20">IF(H74="Topic",
"[ROLE] Friendly tutor specializing in " &amp; $I$2 &amp; " | " &amp;
"[TOPIC] " &amp; I74 &amp; " | " &amp;
"[LEVEL] " &amp; G74 &amp; " | " &amp;
"[COUNT] " &amp; D74 &amp; " examples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on basic GenServer implementations with simple init/1 and synchronous handle_call/3 callbacks.", IF(G74="Intermediate", "Integrate GenServer within a Supervisor tree. Use asynchronous handle_cast/2 and explicit state transitions.", "stateful GenServer state or external message passing")) &amp; " | " &amp;
"[CODE_CONSTRAINTS_RULE] Each example MUST: - Use stateful GenServer state or external message passing - Print steps &amp; result via Logger.info/debug or IO.inspect inside isolated process callbacks - MAX " &amp; $C74 &amp; " executable lines (comments/blanks excluded) - NEVER exceed limit. | " &amp;
"[I_O_PARADIGM] Use standard OTP message passing via send/2 or GenServer.call/3 and gracefully handle {:reply, response, new_state}, {:noreply, new_state}, and {:ok, state} tuples when applicable. | " &amp;
"[INLINE_PACKAGE_MANAGER] If using external packages, use Standard mix.exs dependencies list (defp deps do [{:package_name, '~&gt; version'}] end) at the top of the code block. Assume no project configuration file exists. | " &amp;
_xlfn._LONGTEXT("[TESTING_FRAMEWORK_LIMITS]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GenServer structure (init/1, handle_call/3). Do NOT expect full Supervisor trees unless explicitly demanded.", IF(G74="Intermediate", "Expect GenServer behaviors integrated into a standard Supervisor. Look for proper state isolation and appropriate use of handle_cast/2 to avoid blocking.", "Expect complete OTP apps with DynamicSupervisor, clean separation of Client API/Server Callbacks, and handle_info/2 pattern matching.")) &amp; " | " &amp;
_xlfn._LONGTEXT("[CODE_QUALITY_POLICIES]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 &amp;
"[EXUNIT RULE] Always use use ExUnit.Case, async: true. You MUST use assert_receive or sys.get_state/1 for process testing. Avoid doctests for stateful OTP processes. | " &amp;
"[HEX DEPENDENCIES RULE] Assume a standard Mix project context. External Hex dependencies MUST be specified strictly within the deps/0 block of mix.exs. NEVER use Mix.install/2. | " &amp;
"[CODE CONSTRAINTS] Each challenge MUST include: - At least 1 GenServer or Supervisor - Explicit state initialization (init/1) - At least 1 synchronous or asynchronous OTP callback handler - " &amp; IF(G74="Beginner", "5–15", IF(G74="Intermediate", "10–25", "15–35")) &amp; " lines of EXECUTABLE broken OTP code per example (STRICT: Do NOT count blank lines). Enforce immutable state transitions across process boundaries. | All challenges MUST have similar process tree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Hex packages MUST be added to the deps/0 function in a standard mix.exs file. Do not use standalone scripts or Mix.install/2. | " &amp;
"[TESTING_FRAMEWORK_PROTOCOL] Tests MUST run isolated async processes (use ExUnit.Case, async: true). NEVER hack process links manually; use assert_receive to verify OTP flows. | " &amp;
"[CHALLENGE_CONSTRAINTS_POLICY] Each challenge MUST include: - A functional GenServer or Supervisor tree managing continuous isolated state. - " &amp; IF(G74="Beginner","5–15", IF(G74="Intermediate","10–25","15–35")) &amp; " lines of EXECUTABLE base OTP code (STRICT: Do NOT count comments or TODOs). Length MUST vary. Enforce isolated immutable process state.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"[PYTHON QUALITY RULE - STRICT] Code MUST adhere strictly to Elixir Style Guide and OTP standards. Use snake_case for functions/variables, PascalCase for modules. Use only isolated GenServer state. Emphasize fault-tolerant Supervisor designs.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Elixir Style Guide and OTP standards. Use snake_case for functions/variables, PascalCase for modules. NEVER leak state globally; enforce strict callback immutability. Prioritize highly fault-tolerant OT","P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mix.exs dependencies list (defp deps do [{:package_name, '~&gt; version'}] end) at the top. | " &amp;
"[SCOPE_ARCHITECTURE_RULE] Rule: Build fault-tolerant OTP apps with DynamicSupervisor, Registry for process discovery, and handle_info/2 handlers. | " &amp;
_xlfn._LONGTEXT("[VISUAL_ARCHITECTURE_COMMENTS]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mix.exs tooling for dependencies. Do NOT use Mix.install/2. | " &amp;
"[CHALLENGE_CONSTRAINTS_POLICY] MUST be between " &amp; IF(G74="Beginner","25–40", IF(G74="Intermediate","30–60","40–100")) &amp; " lines of EXECUTABLE base OTP code (STRICT: Do NOT count comments or TODOs). Must feature inter-process communication or supervision tree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t="str">
        <f t="shared" si="19"/>
        <v/>
      </c>
      <c r="C75" s="95"/>
      <c r="D75" s="46"/>
      <c r="E75" s="58"/>
      <c r="F75" s="67"/>
      <c r="G75" s="53"/>
      <c r="H75" s="53"/>
      <c r="I75" s="50"/>
      <c r="J75" s="51"/>
      <c r="K75" s="129" t="str">
        <f t="shared" si="20"/>
        <v/>
      </c>
      <c r="L75" s="103" t="str">
        <f t="shared" si="21"/>
        <v/>
      </c>
      <c r="M75" s="53">
        <v>0</v>
      </c>
      <c r="N75" s="102" t="str">
        <f t="shared" si="22"/>
        <v/>
      </c>
      <c r="O75" s="103" t="str">
        <f t="shared" si="23"/>
        <v/>
      </c>
      <c r="P75" s="53">
        <v>0</v>
      </c>
      <c r="Q75" s="102" t="str">
        <f t="shared" si="24"/>
        <v/>
      </c>
      <c r="R75" s="103" t="str">
        <f t="shared" si="25"/>
        <v/>
      </c>
      <c r="S75" s="53">
        <v>0</v>
      </c>
      <c r="T75" s="102" t="str">
        <f t="shared" si="26"/>
        <v/>
      </c>
      <c r="U75" s="103" t="str">
        <f t="shared" si="27"/>
        <v/>
      </c>
      <c r="V75" s="53">
        <v>0</v>
      </c>
      <c r="W75" s="87" t="str">
        <f t="shared" si="28"/>
        <v/>
      </c>
      <c r="X75" s="103" t="str">
        <f t="shared" si="29"/>
        <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t="str">
        <f t="shared" si="19"/>
        <v/>
      </c>
      <c r="C76" s="95"/>
      <c r="D76" s="57"/>
      <c r="E76" s="58"/>
      <c r="F76" s="54"/>
      <c r="G76" s="52"/>
      <c r="H76" s="52"/>
      <c r="I76" s="61"/>
      <c r="J76" s="62"/>
      <c r="K76" s="129" t="str">
        <f t="shared" si="20"/>
        <v/>
      </c>
      <c r="L76" s="103" t="str">
        <f t="shared" si="21"/>
        <v/>
      </c>
      <c r="M76" s="52">
        <v>0</v>
      </c>
      <c r="N76" s="102" t="str">
        <f t="shared" si="22"/>
        <v/>
      </c>
      <c r="O76" s="103" t="str">
        <f t="shared" si="23"/>
        <v/>
      </c>
      <c r="P76" s="52">
        <v>0</v>
      </c>
      <c r="Q76" s="102" t="str">
        <f t="shared" si="24"/>
        <v/>
      </c>
      <c r="R76" s="103" t="str">
        <f t="shared" si="25"/>
        <v/>
      </c>
      <c r="S76" s="52">
        <v>0</v>
      </c>
      <c r="T76" s="102" t="str">
        <f t="shared" si="26"/>
        <v/>
      </c>
      <c r="U76" s="103" t="str">
        <f t="shared" si="27"/>
        <v/>
      </c>
      <c r="V76" s="52">
        <v>0</v>
      </c>
      <c r="W76" s="87" t="str">
        <f t="shared" si="28"/>
        <v/>
      </c>
      <c r="X76" s="103" t="str">
        <f t="shared" si="29"/>
        <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t="str">
        <f t="shared" si="19"/>
        <v/>
      </c>
      <c r="C77" s="95"/>
      <c r="D77" s="46"/>
      <c r="E77" s="58"/>
      <c r="F77" s="67"/>
      <c r="G77" s="53"/>
      <c r="H77" s="53"/>
      <c r="I77" s="50"/>
      <c r="J77" s="51"/>
      <c r="K77" s="129" t="str">
        <f t="shared" si="20"/>
        <v/>
      </c>
      <c r="L77" s="103" t="str">
        <f t="shared" si="21"/>
        <v/>
      </c>
      <c r="M77" s="53">
        <v>0</v>
      </c>
      <c r="N77" s="102" t="str">
        <f t="shared" si="22"/>
        <v/>
      </c>
      <c r="O77" s="103" t="str">
        <f t="shared" si="23"/>
        <v/>
      </c>
      <c r="P77" s="53">
        <v>0</v>
      </c>
      <c r="Q77" s="102" t="str">
        <f t="shared" si="24"/>
        <v/>
      </c>
      <c r="R77" s="103" t="str">
        <f t="shared" si="25"/>
        <v/>
      </c>
      <c r="S77" s="53">
        <v>0</v>
      </c>
      <c r="T77" s="102" t="str">
        <f t="shared" si="26"/>
        <v/>
      </c>
      <c r="U77" s="103" t="str">
        <f t="shared" si="27"/>
        <v/>
      </c>
      <c r="V77" s="53">
        <v>0</v>
      </c>
      <c r="W77" s="87" t="str">
        <f t="shared" si="28"/>
        <v/>
      </c>
      <c r="X77" s="103" t="str">
        <f t="shared" si="29"/>
        <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t="str">
        <f t="shared" si="19"/>
        <v/>
      </c>
      <c r="C78" s="95"/>
      <c r="D78" s="57"/>
      <c r="E78" s="58"/>
      <c r="F78" s="54"/>
      <c r="G78" s="52"/>
      <c r="H78" s="52"/>
      <c r="I78" s="61"/>
      <c r="J78" s="62"/>
      <c r="K78" s="129" t="str">
        <f t="shared" si="20"/>
        <v/>
      </c>
      <c r="L78" s="103" t="str">
        <f t="shared" si="21"/>
        <v/>
      </c>
      <c r="M78" s="52">
        <v>0</v>
      </c>
      <c r="N78" s="102" t="str">
        <f t="shared" si="22"/>
        <v/>
      </c>
      <c r="O78" s="103" t="str">
        <f t="shared" si="23"/>
        <v/>
      </c>
      <c r="P78" s="52">
        <v>0</v>
      </c>
      <c r="Q78" s="102" t="str">
        <f t="shared" si="24"/>
        <v/>
      </c>
      <c r="R78" s="103" t="str">
        <f t="shared" si="25"/>
        <v/>
      </c>
      <c r="S78" s="52">
        <v>0</v>
      </c>
      <c r="T78" s="102" t="str">
        <f t="shared" si="26"/>
        <v/>
      </c>
      <c r="U78" s="103" t="str">
        <f t="shared" si="27"/>
        <v/>
      </c>
      <c r="V78" s="52">
        <v>0</v>
      </c>
      <c r="W78" s="87" t="str">
        <f t="shared" si="28"/>
        <v/>
      </c>
      <c r="X78" s="103" t="str">
        <f t="shared" si="29"/>
        <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t="str">
        <f t="shared" si="19"/>
        <v/>
      </c>
      <c r="C79" s="95"/>
      <c r="D79" s="46"/>
      <c r="E79" s="58"/>
      <c r="F79" s="67"/>
      <c r="G79" s="53"/>
      <c r="H79" s="53"/>
      <c r="I79" s="50"/>
      <c r="J79" s="51"/>
      <c r="K79" s="129" t="str">
        <f t="shared" si="20"/>
        <v/>
      </c>
      <c r="L79" s="103" t="str">
        <f t="shared" si="21"/>
        <v/>
      </c>
      <c r="M79" s="53">
        <v>0</v>
      </c>
      <c r="N79" s="102" t="str">
        <f t="shared" si="22"/>
        <v/>
      </c>
      <c r="O79" s="103" t="str">
        <f t="shared" si="23"/>
        <v/>
      </c>
      <c r="P79" s="53">
        <v>0</v>
      </c>
      <c r="Q79" s="102" t="str">
        <f t="shared" si="24"/>
        <v/>
      </c>
      <c r="R79" s="103" t="str">
        <f t="shared" si="25"/>
        <v/>
      </c>
      <c r="S79" s="53">
        <v>0</v>
      </c>
      <c r="T79" s="102" t="str">
        <f t="shared" si="26"/>
        <v/>
      </c>
      <c r="U79" s="103" t="str">
        <f t="shared" si="27"/>
        <v/>
      </c>
      <c r="V79" s="53">
        <v>0</v>
      </c>
      <c r="W79" s="87" t="str">
        <f t="shared" si="28"/>
        <v/>
      </c>
      <c r="X79" s="103" t="str">
        <f t="shared" si="29"/>
        <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t="str">
        <f t="shared" si="19"/>
        <v/>
      </c>
      <c r="C80" s="95"/>
      <c r="D80" s="57"/>
      <c r="E80" s="58"/>
      <c r="F80" s="54"/>
      <c r="G80" s="52"/>
      <c r="H80" s="60"/>
      <c r="I80" s="61"/>
      <c r="J80" s="62"/>
      <c r="K80" s="129" t="str">
        <f t="shared" si="20"/>
        <v/>
      </c>
      <c r="L80" s="103" t="str">
        <f t="shared" si="21"/>
        <v/>
      </c>
      <c r="M80" s="52">
        <v>0</v>
      </c>
      <c r="N80" s="102" t="str">
        <f t="shared" si="22"/>
        <v/>
      </c>
      <c r="O80" s="103" t="str">
        <f t="shared" si="23"/>
        <v/>
      </c>
      <c r="P80" s="52">
        <v>0</v>
      </c>
      <c r="Q80" s="102" t="str">
        <f t="shared" si="24"/>
        <v/>
      </c>
      <c r="R80" s="103" t="str">
        <f t="shared" si="25"/>
        <v/>
      </c>
      <c r="S80" s="52">
        <v>0</v>
      </c>
      <c r="T80" s="102" t="str">
        <f t="shared" si="26"/>
        <v/>
      </c>
      <c r="U80" s="103" t="str">
        <f t="shared" si="27"/>
        <v/>
      </c>
      <c r="V80" s="52">
        <v>0</v>
      </c>
      <c r="W80" s="87" t="str">
        <f t="shared" si="28"/>
        <v/>
      </c>
      <c r="X80" s="103" t="str">
        <f t="shared" si="29"/>
        <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t="str">
        <f t="shared" si="19"/>
        <v/>
      </c>
      <c r="C81" s="95"/>
      <c r="D81" s="46"/>
      <c r="E81" s="58"/>
      <c r="F81" s="67"/>
      <c r="G81" s="53"/>
      <c r="H81" s="53"/>
      <c r="I81" s="50"/>
      <c r="J81" s="51"/>
      <c r="K81" s="129" t="str">
        <f t="shared" si="20"/>
        <v/>
      </c>
      <c r="L81" s="103" t="str">
        <f t="shared" si="21"/>
        <v/>
      </c>
      <c r="M81" s="53">
        <v>0</v>
      </c>
      <c r="N81" s="102" t="str">
        <f t="shared" si="22"/>
        <v/>
      </c>
      <c r="O81" s="103" t="str">
        <f t="shared" si="23"/>
        <v/>
      </c>
      <c r="P81" s="53">
        <v>0</v>
      </c>
      <c r="Q81" s="102" t="str">
        <f t="shared" si="24"/>
        <v/>
      </c>
      <c r="R81" s="103" t="str">
        <f t="shared" si="25"/>
        <v/>
      </c>
      <c r="S81" s="53">
        <v>0</v>
      </c>
      <c r="T81" s="102" t="str">
        <f t="shared" si="26"/>
        <v/>
      </c>
      <c r="U81" s="103" t="str">
        <f t="shared" si="27"/>
        <v/>
      </c>
      <c r="V81" s="53">
        <v>0</v>
      </c>
      <c r="W81" s="87" t="str">
        <f t="shared" si="28"/>
        <v/>
      </c>
      <c r="X81" s="103" t="str">
        <f t="shared" si="29"/>
        <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t="str">
        <f t="shared" si="19"/>
        <v/>
      </c>
      <c r="C82" s="95"/>
      <c r="D82" s="57"/>
      <c r="E82" s="58"/>
      <c r="F82" s="54"/>
      <c r="G82" s="52"/>
      <c r="H82" s="52"/>
      <c r="I82" s="61"/>
      <c r="J82" s="62"/>
      <c r="K82" s="129" t="str">
        <f t="shared" si="20"/>
        <v/>
      </c>
      <c r="L82" s="103" t="str">
        <f t="shared" si="21"/>
        <v/>
      </c>
      <c r="M82" s="52">
        <v>0</v>
      </c>
      <c r="N82" s="102" t="str">
        <f t="shared" si="22"/>
        <v/>
      </c>
      <c r="O82" s="103" t="str">
        <f t="shared" si="23"/>
        <v/>
      </c>
      <c r="P82" s="52">
        <v>0</v>
      </c>
      <c r="Q82" s="102" t="str">
        <f t="shared" si="24"/>
        <v/>
      </c>
      <c r="R82" s="103" t="str">
        <f t="shared" si="25"/>
        <v/>
      </c>
      <c r="S82" s="52">
        <v>0</v>
      </c>
      <c r="T82" s="102" t="str">
        <f t="shared" si="26"/>
        <v/>
      </c>
      <c r="U82" s="103" t="str">
        <f t="shared" si="27"/>
        <v/>
      </c>
      <c r="V82" s="52">
        <v>0</v>
      </c>
      <c r="W82" s="87" t="str">
        <f t="shared" si="28"/>
        <v/>
      </c>
      <c r="X82" s="103" t="str">
        <f t="shared" si="29"/>
        <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t="str">
        <f t="shared" si="19"/>
        <v/>
      </c>
      <c r="C83" s="95"/>
      <c r="D83" s="46"/>
      <c r="E83" s="58"/>
      <c r="F83" s="67"/>
      <c r="G83" s="53"/>
      <c r="H83" s="53"/>
      <c r="I83" s="50"/>
      <c r="J83" s="51"/>
      <c r="K83" s="129" t="str">
        <f t="shared" si="20"/>
        <v/>
      </c>
      <c r="L83" s="103" t="str">
        <f t="shared" si="21"/>
        <v/>
      </c>
      <c r="M83" s="53">
        <v>0</v>
      </c>
      <c r="N83" s="102" t="str">
        <f t="shared" si="22"/>
        <v/>
      </c>
      <c r="O83" s="103" t="str">
        <f t="shared" si="23"/>
        <v/>
      </c>
      <c r="P83" s="53">
        <v>0</v>
      </c>
      <c r="Q83" s="102" t="str">
        <f t="shared" si="24"/>
        <v/>
      </c>
      <c r="R83" s="103" t="str">
        <f t="shared" si="25"/>
        <v/>
      </c>
      <c r="S83" s="53">
        <v>0</v>
      </c>
      <c r="T83" s="102" t="str">
        <f t="shared" si="26"/>
        <v/>
      </c>
      <c r="U83" s="103" t="str">
        <f t="shared" si="27"/>
        <v/>
      </c>
      <c r="V83" s="53">
        <v>0</v>
      </c>
      <c r="W83" s="87" t="str">
        <f t="shared" si="28"/>
        <v/>
      </c>
      <c r="X83" s="103" t="str">
        <f t="shared" si="29"/>
        <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t="str">
        <f t="shared" si="19"/>
        <v/>
      </c>
      <c r="C84" s="95"/>
      <c r="D84" s="57"/>
      <c r="E84" s="58"/>
      <c r="F84" s="54"/>
      <c r="G84" s="52"/>
      <c r="H84" s="52"/>
      <c r="I84" s="61"/>
      <c r="J84" s="62"/>
      <c r="K84" s="129" t="str">
        <f t="shared" si="20"/>
        <v/>
      </c>
      <c r="L84" s="103" t="str">
        <f t="shared" si="21"/>
        <v/>
      </c>
      <c r="M84" s="52">
        <v>0</v>
      </c>
      <c r="N84" s="102" t="str">
        <f t="shared" si="22"/>
        <v/>
      </c>
      <c r="O84" s="103" t="str">
        <f t="shared" si="23"/>
        <v/>
      </c>
      <c r="P84" s="52">
        <v>0</v>
      </c>
      <c r="Q84" s="102" t="str">
        <f t="shared" si="24"/>
        <v/>
      </c>
      <c r="R84" s="103" t="str">
        <f t="shared" si="25"/>
        <v/>
      </c>
      <c r="S84" s="52">
        <v>0</v>
      </c>
      <c r="T84" s="102" t="str">
        <f t="shared" si="26"/>
        <v/>
      </c>
      <c r="U84" s="103" t="str">
        <f t="shared" si="27"/>
        <v/>
      </c>
      <c r="V84" s="52">
        <v>0</v>
      </c>
      <c r="W84" s="87" t="str">
        <f t="shared" si="28"/>
        <v/>
      </c>
      <c r="X84" s="103" t="str">
        <f t="shared" si="29"/>
        <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t="str">
        <f t="shared" si="19"/>
        <v/>
      </c>
      <c r="C85" s="95"/>
      <c r="D85" s="46"/>
      <c r="E85" s="58"/>
      <c r="F85" s="67"/>
      <c r="G85" s="53"/>
      <c r="H85" s="53"/>
      <c r="I85" s="50"/>
      <c r="J85" s="51"/>
      <c r="K85" s="129" t="str">
        <f t="shared" si="20"/>
        <v/>
      </c>
      <c r="L85" s="103" t="str">
        <f t="shared" si="21"/>
        <v/>
      </c>
      <c r="M85" s="53">
        <v>0</v>
      </c>
      <c r="N85" s="102" t="str">
        <f t="shared" si="22"/>
        <v/>
      </c>
      <c r="O85" s="103" t="str">
        <f t="shared" si="23"/>
        <v/>
      </c>
      <c r="P85" s="53">
        <v>0</v>
      </c>
      <c r="Q85" s="102" t="str">
        <f t="shared" si="24"/>
        <v/>
      </c>
      <c r="R85" s="103" t="str">
        <f t="shared" si="25"/>
        <v/>
      </c>
      <c r="S85" s="53">
        <v>0</v>
      </c>
      <c r="T85" s="102" t="str">
        <f t="shared" si="26"/>
        <v/>
      </c>
      <c r="U85" s="103" t="str">
        <f t="shared" si="27"/>
        <v/>
      </c>
      <c r="V85" s="53">
        <v>0</v>
      </c>
      <c r="W85" s="87" t="str">
        <f t="shared" si="28"/>
        <v/>
      </c>
      <c r="X85" s="103" t="str">
        <f t="shared" si="29"/>
        <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t="str">
        <f t="shared" si="19"/>
        <v/>
      </c>
      <c r="C86" s="95"/>
      <c r="D86" s="57"/>
      <c r="E86" s="58"/>
      <c r="F86" s="54"/>
      <c r="G86" s="52"/>
      <c r="H86" s="52"/>
      <c r="I86" s="61"/>
      <c r="J86" s="62"/>
      <c r="K86" s="129" t="str">
        <f t="shared" si="20"/>
        <v/>
      </c>
      <c r="L86" s="103" t="str">
        <f t="shared" si="21"/>
        <v/>
      </c>
      <c r="M86" s="52">
        <v>0</v>
      </c>
      <c r="N86" s="102" t="str">
        <f t="shared" si="22"/>
        <v/>
      </c>
      <c r="O86" s="103" t="str">
        <f t="shared" si="23"/>
        <v/>
      </c>
      <c r="P86" s="52">
        <v>0</v>
      </c>
      <c r="Q86" s="102" t="str">
        <f t="shared" si="24"/>
        <v/>
      </c>
      <c r="R86" s="103" t="str">
        <f t="shared" si="25"/>
        <v/>
      </c>
      <c r="S86" s="52">
        <v>0</v>
      </c>
      <c r="T86" s="102" t="str">
        <f t="shared" si="26"/>
        <v/>
      </c>
      <c r="U86" s="103" t="str">
        <f t="shared" si="27"/>
        <v/>
      </c>
      <c r="V86" s="52">
        <v>0</v>
      </c>
      <c r="W86" s="87" t="str">
        <f t="shared" si="28"/>
        <v/>
      </c>
      <c r="X86" s="103" t="str">
        <f t="shared" si="29"/>
        <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t="str">
        <f t="shared" si="19"/>
        <v/>
      </c>
      <c r="C87" s="95"/>
      <c r="D87" s="46"/>
      <c r="E87" s="58"/>
      <c r="F87" s="67"/>
      <c r="G87" s="53"/>
      <c r="H87" s="53"/>
      <c r="I87" s="50"/>
      <c r="J87" s="51"/>
      <c r="K87" s="129" t="str">
        <f t="shared" si="20"/>
        <v/>
      </c>
      <c r="L87" s="103" t="str">
        <f t="shared" si="21"/>
        <v/>
      </c>
      <c r="M87" s="53">
        <v>0</v>
      </c>
      <c r="N87" s="102" t="str">
        <f t="shared" si="22"/>
        <v/>
      </c>
      <c r="O87" s="103" t="str">
        <f t="shared" si="23"/>
        <v/>
      </c>
      <c r="P87" s="53">
        <v>0</v>
      </c>
      <c r="Q87" s="102" t="str">
        <f t="shared" si="24"/>
        <v/>
      </c>
      <c r="R87" s="103" t="str">
        <f t="shared" si="25"/>
        <v/>
      </c>
      <c r="S87" s="53">
        <v>0</v>
      </c>
      <c r="T87" s="102" t="str">
        <f t="shared" si="26"/>
        <v/>
      </c>
      <c r="U87" s="103" t="str">
        <f t="shared" si="27"/>
        <v/>
      </c>
      <c r="V87" s="53">
        <v>0</v>
      </c>
      <c r="W87" s="87" t="str">
        <f t="shared" si="28"/>
        <v/>
      </c>
      <c r="X87" s="103" t="str">
        <f t="shared" si="29"/>
        <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t="str">
        <f t="shared" si="19"/>
        <v/>
      </c>
      <c r="C88" s="95"/>
      <c r="D88" s="57"/>
      <c r="E88" s="58"/>
      <c r="F88" s="54"/>
      <c r="G88" s="52"/>
      <c r="H88" s="52"/>
      <c r="I88" s="61"/>
      <c r="J88" s="62"/>
      <c r="K88" s="129" t="str">
        <f t="shared" si="20"/>
        <v/>
      </c>
      <c r="L88" s="103" t="str">
        <f t="shared" si="21"/>
        <v/>
      </c>
      <c r="M88" s="52">
        <v>0</v>
      </c>
      <c r="N88" s="102" t="str">
        <f t="shared" si="22"/>
        <v/>
      </c>
      <c r="O88" s="103" t="str">
        <f t="shared" si="23"/>
        <v/>
      </c>
      <c r="P88" s="52">
        <v>0</v>
      </c>
      <c r="Q88" s="102" t="str">
        <f t="shared" si="24"/>
        <v/>
      </c>
      <c r="R88" s="103" t="str">
        <f t="shared" si="25"/>
        <v/>
      </c>
      <c r="S88" s="52">
        <v>0</v>
      </c>
      <c r="T88" s="102" t="str">
        <f t="shared" si="26"/>
        <v/>
      </c>
      <c r="U88" s="103" t="str">
        <f t="shared" si="27"/>
        <v/>
      </c>
      <c r="V88" s="52">
        <v>0</v>
      </c>
      <c r="W88" s="87" t="str">
        <f t="shared" si="28"/>
        <v/>
      </c>
      <c r="X88" s="103" t="str">
        <f t="shared" si="29"/>
        <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t="str">
        <f t="shared" si="19"/>
        <v/>
      </c>
      <c r="C89" s="95"/>
      <c r="D89" s="46"/>
      <c r="E89" s="58"/>
      <c r="F89" s="67"/>
      <c r="G89" s="53"/>
      <c r="H89" s="53"/>
      <c r="I89" s="50"/>
      <c r="J89" s="51"/>
      <c r="K89" s="129" t="str">
        <f t="shared" si="20"/>
        <v/>
      </c>
      <c r="L89" s="103" t="str">
        <f t="shared" si="21"/>
        <v/>
      </c>
      <c r="M89" s="53">
        <v>0</v>
      </c>
      <c r="N89" s="102" t="str">
        <f t="shared" si="22"/>
        <v/>
      </c>
      <c r="O89" s="103" t="str">
        <f t="shared" si="23"/>
        <v/>
      </c>
      <c r="P89" s="53">
        <v>0</v>
      </c>
      <c r="Q89" s="102" t="str">
        <f t="shared" si="24"/>
        <v/>
      </c>
      <c r="R89" s="103" t="str">
        <f t="shared" si="25"/>
        <v/>
      </c>
      <c r="S89" s="53">
        <v>0</v>
      </c>
      <c r="T89" s="102" t="str">
        <f t="shared" si="26"/>
        <v/>
      </c>
      <c r="U89" s="103" t="str">
        <f t="shared" si="27"/>
        <v/>
      </c>
      <c r="V89" s="53">
        <v>0</v>
      </c>
      <c r="W89" s="87" t="str">
        <f t="shared" si="28"/>
        <v/>
      </c>
      <c r="X89" s="103" t="str">
        <f t="shared" si="29"/>
        <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t="str">
        <f t="shared" si="19"/>
        <v/>
      </c>
      <c r="C90" s="95"/>
      <c r="D90" s="57"/>
      <c r="E90" s="58"/>
      <c r="F90" s="54"/>
      <c r="G90" s="52"/>
      <c r="H90" s="52"/>
      <c r="I90" s="61"/>
      <c r="J90" s="62"/>
      <c r="K90" s="129" t="str">
        <f t="shared" si="20"/>
        <v/>
      </c>
      <c r="L90" s="103" t="str">
        <f t="shared" si="21"/>
        <v/>
      </c>
      <c r="M90" s="52">
        <v>0</v>
      </c>
      <c r="N90" s="102" t="str">
        <f t="shared" si="22"/>
        <v/>
      </c>
      <c r="O90" s="103" t="str">
        <f t="shared" si="23"/>
        <v/>
      </c>
      <c r="P90" s="52">
        <v>0</v>
      </c>
      <c r="Q90" s="102" t="str">
        <f t="shared" si="24"/>
        <v/>
      </c>
      <c r="R90" s="103" t="str">
        <f t="shared" si="25"/>
        <v/>
      </c>
      <c r="S90" s="52">
        <v>0</v>
      </c>
      <c r="T90" s="102" t="str">
        <f t="shared" si="26"/>
        <v/>
      </c>
      <c r="U90" s="103" t="str">
        <f t="shared" si="27"/>
        <v/>
      </c>
      <c r="V90" s="52">
        <v>0</v>
      </c>
      <c r="W90" s="87" t="str">
        <f t="shared" si="28"/>
        <v/>
      </c>
      <c r="X90" s="103" t="str">
        <f t="shared" si="29"/>
        <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t="str">
        <f t="shared" si="19"/>
        <v/>
      </c>
      <c r="C91" s="95"/>
      <c r="D91" s="46"/>
      <c r="E91" s="58"/>
      <c r="F91" s="67"/>
      <c r="G91" s="53"/>
      <c r="H91" s="53"/>
      <c r="I91" s="50"/>
      <c r="J91" s="51"/>
      <c r="K91" s="129" t="str">
        <f t="shared" si="20"/>
        <v/>
      </c>
      <c r="L91" s="103" t="str">
        <f t="shared" si="21"/>
        <v/>
      </c>
      <c r="M91" s="53">
        <v>0</v>
      </c>
      <c r="N91" s="102" t="str">
        <f t="shared" si="22"/>
        <v/>
      </c>
      <c r="O91" s="103" t="str">
        <f t="shared" si="23"/>
        <v/>
      </c>
      <c r="P91" s="53">
        <v>0</v>
      </c>
      <c r="Q91" s="102" t="str">
        <f t="shared" si="24"/>
        <v/>
      </c>
      <c r="R91" s="103" t="str">
        <f t="shared" si="25"/>
        <v/>
      </c>
      <c r="S91" s="53">
        <v>0</v>
      </c>
      <c r="T91" s="102" t="str">
        <f t="shared" si="26"/>
        <v/>
      </c>
      <c r="U91" s="103" t="str">
        <f t="shared" si="27"/>
        <v/>
      </c>
      <c r="V91" s="53">
        <v>0</v>
      </c>
      <c r="W91" s="87" t="str">
        <f t="shared" si="28"/>
        <v/>
      </c>
      <c r="X91" s="103" t="str">
        <f t="shared" si="29"/>
        <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20"/>
        <v/>
      </c>
      <c r="L92" s="103" t="str">
        <f t="shared" si="21"/>
        <v/>
      </c>
      <c r="M92" s="52">
        <v>0</v>
      </c>
      <c r="N92" s="102" t="str">
        <f t="shared" si="22"/>
        <v/>
      </c>
      <c r="O92" s="103" t="str">
        <f t="shared" si="23"/>
        <v/>
      </c>
      <c r="P92" s="52">
        <v>0</v>
      </c>
      <c r="Q92" s="102" t="str">
        <f t="shared" si="24"/>
        <v/>
      </c>
      <c r="R92" s="103" t="str">
        <f t="shared" si="25"/>
        <v/>
      </c>
      <c r="S92" s="52">
        <v>0</v>
      </c>
      <c r="T92" s="102" t="str">
        <f t="shared" si="26"/>
        <v/>
      </c>
      <c r="U92" s="103" t="str">
        <f t="shared" si="27"/>
        <v/>
      </c>
      <c r="V92" s="52">
        <v>0</v>
      </c>
      <c r="W92" s="87" t="str">
        <f t="shared" si="28"/>
        <v/>
      </c>
      <c r="X92" s="103" t="str">
        <f t="shared" si="29"/>
        <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20"/>
        <v/>
      </c>
      <c r="L93" s="103" t="str">
        <f t="shared" si="21"/>
        <v/>
      </c>
      <c r="M93" s="53">
        <v>0</v>
      </c>
      <c r="N93" s="102" t="str">
        <f t="shared" si="22"/>
        <v/>
      </c>
      <c r="O93" s="103" t="str">
        <f t="shared" si="23"/>
        <v/>
      </c>
      <c r="P93" s="53">
        <v>0</v>
      </c>
      <c r="Q93" s="102" t="str">
        <f t="shared" si="24"/>
        <v/>
      </c>
      <c r="R93" s="103" t="str">
        <f t="shared" si="25"/>
        <v/>
      </c>
      <c r="S93" s="53">
        <v>0</v>
      </c>
      <c r="T93" s="102" t="str">
        <f t="shared" si="26"/>
        <v/>
      </c>
      <c r="U93" s="103" t="str">
        <f t="shared" si="27"/>
        <v/>
      </c>
      <c r="V93" s="53">
        <v>0</v>
      </c>
      <c r="W93" s="87" t="str">
        <f t="shared" si="28"/>
        <v/>
      </c>
      <c r="X93" s="103" t="str">
        <f t="shared" si="29"/>
        <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20"/>
        <v/>
      </c>
      <c r="L94" s="103" t="str">
        <f t="shared" si="21"/>
        <v/>
      </c>
      <c r="M94" s="52">
        <v>0</v>
      </c>
      <c r="N94" s="102" t="str">
        <f t="shared" si="22"/>
        <v/>
      </c>
      <c r="O94" s="103" t="str">
        <f t="shared" si="23"/>
        <v/>
      </c>
      <c r="P94" s="52">
        <v>0</v>
      </c>
      <c r="Q94" s="102" t="str">
        <f t="shared" si="24"/>
        <v/>
      </c>
      <c r="R94" s="103" t="str">
        <f t="shared" si="25"/>
        <v/>
      </c>
      <c r="S94" s="52">
        <v>0</v>
      </c>
      <c r="T94" s="102" t="str">
        <f t="shared" si="26"/>
        <v/>
      </c>
      <c r="U94" s="103" t="str">
        <f t="shared" si="27"/>
        <v/>
      </c>
      <c r="V94" s="52">
        <v>0</v>
      </c>
      <c r="W94" s="87" t="str">
        <f t="shared" si="28"/>
        <v/>
      </c>
      <c r="X94" s="103" t="str">
        <f t="shared" si="29"/>
        <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20"/>
        <v/>
      </c>
      <c r="L95" s="103" t="str">
        <f t="shared" si="21"/>
        <v/>
      </c>
      <c r="M95" s="53">
        <v>0</v>
      </c>
      <c r="N95" s="102" t="str">
        <f t="shared" si="22"/>
        <v/>
      </c>
      <c r="O95" s="103" t="str">
        <f t="shared" si="23"/>
        <v/>
      </c>
      <c r="P95" s="53">
        <v>0</v>
      </c>
      <c r="Q95" s="102" t="str">
        <f t="shared" si="24"/>
        <v/>
      </c>
      <c r="R95" s="103" t="str">
        <f t="shared" si="25"/>
        <v/>
      </c>
      <c r="S95" s="53">
        <v>0</v>
      </c>
      <c r="T95" s="102" t="str">
        <f t="shared" si="26"/>
        <v/>
      </c>
      <c r="U95" s="103" t="str">
        <f t="shared" si="27"/>
        <v/>
      </c>
      <c r="V95" s="53">
        <v>0</v>
      </c>
      <c r="W95" s="87" t="str">
        <f t="shared" si="28"/>
        <v/>
      </c>
      <c r="X95" s="103" t="str">
        <f t="shared" si="29"/>
        <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20"/>
        <v/>
      </c>
      <c r="L96" s="103" t="str">
        <f t="shared" si="21"/>
        <v/>
      </c>
      <c r="M96" s="52">
        <v>0</v>
      </c>
      <c r="N96" s="102" t="str">
        <f t="shared" si="22"/>
        <v/>
      </c>
      <c r="O96" s="103" t="str">
        <f t="shared" si="23"/>
        <v/>
      </c>
      <c r="P96" s="52">
        <v>0</v>
      </c>
      <c r="Q96" s="102" t="str">
        <f t="shared" si="24"/>
        <v/>
      </c>
      <c r="R96" s="103" t="str">
        <f t="shared" si="25"/>
        <v/>
      </c>
      <c r="S96" s="52">
        <v>0</v>
      </c>
      <c r="T96" s="102" t="str">
        <f t="shared" si="26"/>
        <v/>
      </c>
      <c r="U96" s="103" t="str">
        <f t="shared" si="27"/>
        <v/>
      </c>
      <c r="V96" s="52">
        <v>0</v>
      </c>
      <c r="W96" s="87" t="str">
        <f t="shared" si="28"/>
        <v/>
      </c>
      <c r="X96" s="103" t="str">
        <f t="shared" si="29"/>
        <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20"/>
        <v/>
      </c>
      <c r="L97" s="103" t="str">
        <f t="shared" si="21"/>
        <v/>
      </c>
      <c r="M97" s="53">
        <v>0</v>
      </c>
      <c r="N97" s="102" t="str">
        <f t="shared" si="22"/>
        <v/>
      </c>
      <c r="O97" s="103" t="str">
        <f t="shared" si="23"/>
        <v/>
      </c>
      <c r="P97" s="53">
        <v>0</v>
      </c>
      <c r="Q97" s="102" t="str">
        <f t="shared" si="24"/>
        <v/>
      </c>
      <c r="R97" s="103" t="str">
        <f t="shared" si="25"/>
        <v/>
      </c>
      <c r="S97" s="53">
        <v>0</v>
      </c>
      <c r="T97" s="102" t="str">
        <f t="shared" si="26"/>
        <v/>
      </c>
      <c r="U97" s="103" t="str">
        <f t="shared" si="27"/>
        <v/>
      </c>
      <c r="V97" s="53">
        <v>0</v>
      </c>
      <c r="W97" s="87" t="str">
        <f t="shared" si="28"/>
        <v/>
      </c>
      <c r="X97" s="103" t="str">
        <f t="shared" si="29"/>
        <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20"/>
        <v/>
      </c>
      <c r="L98" s="103" t="str">
        <f t="shared" si="21"/>
        <v/>
      </c>
      <c r="M98" s="52">
        <v>0</v>
      </c>
      <c r="N98" s="102" t="str">
        <f t="shared" si="22"/>
        <v/>
      </c>
      <c r="O98" s="103" t="str">
        <f t="shared" si="23"/>
        <v/>
      </c>
      <c r="P98" s="52">
        <v>0</v>
      </c>
      <c r="Q98" s="102" t="str">
        <f t="shared" si="24"/>
        <v/>
      </c>
      <c r="R98" s="103" t="str">
        <f t="shared" si="25"/>
        <v/>
      </c>
      <c r="S98" s="52">
        <v>0</v>
      </c>
      <c r="T98" s="102" t="str">
        <f t="shared" si="26"/>
        <v/>
      </c>
      <c r="U98" s="103" t="str">
        <f t="shared" si="27"/>
        <v/>
      </c>
      <c r="V98" s="52">
        <v>0</v>
      </c>
      <c r="W98" s="87" t="str">
        <f t="shared" si="28"/>
        <v/>
      </c>
      <c r="X98" s="103" t="str">
        <f t="shared" si="29"/>
        <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20"/>
        <v/>
      </c>
      <c r="L99" s="103" t="str">
        <f t="shared" si="21"/>
        <v/>
      </c>
      <c r="M99" s="53">
        <v>0</v>
      </c>
      <c r="N99" s="102" t="str">
        <f t="shared" si="22"/>
        <v/>
      </c>
      <c r="O99" s="103" t="str">
        <f t="shared" si="23"/>
        <v/>
      </c>
      <c r="P99" s="53">
        <v>0</v>
      </c>
      <c r="Q99" s="102" t="str">
        <f t="shared" si="24"/>
        <v/>
      </c>
      <c r="R99" s="103" t="str">
        <f t="shared" si="25"/>
        <v/>
      </c>
      <c r="S99" s="53">
        <v>0</v>
      </c>
      <c r="T99" s="102" t="str">
        <f t="shared" si="26"/>
        <v/>
      </c>
      <c r="U99" s="103" t="str">
        <f t="shared" si="27"/>
        <v/>
      </c>
      <c r="V99" s="53">
        <v>0</v>
      </c>
      <c r="W99" s="87" t="str">
        <f t="shared" si="28"/>
        <v/>
      </c>
      <c r="X99" s="103" t="str">
        <f t="shared" si="29"/>
        <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20"/>
        <v/>
      </c>
      <c r="L100" s="103" t="str">
        <f t="shared" si="21"/>
        <v/>
      </c>
      <c r="M100" s="52">
        <v>0</v>
      </c>
      <c r="N100" s="102" t="str">
        <f t="shared" si="22"/>
        <v/>
      </c>
      <c r="O100" s="103" t="str">
        <f t="shared" si="23"/>
        <v/>
      </c>
      <c r="P100" s="52">
        <v>0</v>
      </c>
      <c r="Q100" s="102" t="str">
        <f t="shared" si="24"/>
        <v/>
      </c>
      <c r="R100" s="103" t="str">
        <f t="shared" si="25"/>
        <v/>
      </c>
      <c r="S100" s="52">
        <v>0</v>
      </c>
      <c r="T100" s="102" t="str">
        <f t="shared" si="26"/>
        <v/>
      </c>
      <c r="U100" s="103" t="str">
        <f t="shared" si="27"/>
        <v/>
      </c>
      <c r="V100" s="52">
        <v>0</v>
      </c>
      <c r="W100" s="87" t="str">
        <f t="shared" si="28"/>
        <v/>
      </c>
      <c r="X100" s="103" t="str">
        <f t="shared" si="29"/>
        <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20"/>
        <v/>
      </c>
      <c r="L101" s="103" t="str">
        <f t="shared" si="21"/>
        <v/>
      </c>
      <c r="M101" s="53">
        <v>0</v>
      </c>
      <c r="N101" s="102" t="str">
        <f t="shared" si="22"/>
        <v/>
      </c>
      <c r="O101" s="103" t="str">
        <f t="shared" si="23"/>
        <v/>
      </c>
      <c r="P101" s="53">
        <v>0</v>
      </c>
      <c r="Q101" s="102" t="str">
        <f t="shared" si="24"/>
        <v/>
      </c>
      <c r="R101" s="103" t="str">
        <f t="shared" si="25"/>
        <v/>
      </c>
      <c r="S101" s="53">
        <v>0</v>
      </c>
      <c r="T101" s="102" t="str">
        <f t="shared" si="26"/>
        <v/>
      </c>
      <c r="U101" s="103" t="str">
        <f t="shared" si="27"/>
        <v/>
      </c>
      <c r="V101" s="53">
        <v>0</v>
      </c>
      <c r="W101" s="87" t="str">
        <f t="shared" si="28"/>
        <v/>
      </c>
      <c r="X101" s="103" t="str">
        <f t="shared" si="29"/>
        <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20"/>
        <v/>
      </c>
      <c r="L102" s="103" t="str">
        <f t="shared" si="21"/>
        <v/>
      </c>
      <c r="M102" s="52">
        <v>0</v>
      </c>
      <c r="N102" s="102" t="str">
        <f t="shared" si="22"/>
        <v/>
      </c>
      <c r="O102" s="103" t="str">
        <f t="shared" si="23"/>
        <v/>
      </c>
      <c r="P102" s="52">
        <v>0</v>
      </c>
      <c r="Q102" s="102" t="str">
        <f t="shared" si="24"/>
        <v/>
      </c>
      <c r="R102" s="103" t="str">
        <f t="shared" si="25"/>
        <v/>
      </c>
      <c r="S102" s="52">
        <v>0</v>
      </c>
      <c r="T102" s="102" t="str">
        <f t="shared" si="26"/>
        <v/>
      </c>
      <c r="U102" s="103" t="str">
        <f t="shared" si="27"/>
        <v/>
      </c>
      <c r="V102" s="52">
        <v>0</v>
      </c>
      <c r="W102" s="87" t="str">
        <f t="shared" si="28"/>
        <v/>
      </c>
      <c r="X102" s="103" t="str">
        <f t="shared" si="29"/>
        <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20"/>
        <v/>
      </c>
      <c r="L103" s="103" t="str">
        <f t="shared" si="21"/>
        <v/>
      </c>
      <c r="M103" s="53">
        <v>0</v>
      </c>
      <c r="N103" s="102" t="str">
        <f t="shared" si="22"/>
        <v/>
      </c>
      <c r="O103" s="103" t="str">
        <f t="shared" si="23"/>
        <v/>
      </c>
      <c r="P103" s="53">
        <v>0</v>
      </c>
      <c r="Q103" s="102" t="str">
        <f t="shared" si="24"/>
        <v/>
      </c>
      <c r="R103" s="103" t="str">
        <f t="shared" si="25"/>
        <v/>
      </c>
      <c r="S103" s="53">
        <v>0</v>
      </c>
      <c r="T103" s="102" t="str">
        <f t="shared" si="26"/>
        <v/>
      </c>
      <c r="U103" s="103" t="str">
        <f t="shared" si="27"/>
        <v/>
      </c>
      <c r="V103" s="53">
        <v>0</v>
      </c>
      <c r="W103" s="87" t="str">
        <f t="shared" si="28"/>
        <v/>
      </c>
      <c r="X103" s="103" t="str">
        <f t="shared" si="29"/>
        <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20"/>
        <v/>
      </c>
      <c r="L104" s="103" t="str">
        <f t="shared" si="21"/>
        <v/>
      </c>
      <c r="M104" s="52">
        <v>0</v>
      </c>
      <c r="N104" s="102" t="str">
        <f t="shared" si="22"/>
        <v/>
      </c>
      <c r="O104" s="103" t="str">
        <f t="shared" si="23"/>
        <v/>
      </c>
      <c r="P104" s="52">
        <v>0</v>
      </c>
      <c r="Q104" s="102" t="str">
        <f t="shared" si="24"/>
        <v/>
      </c>
      <c r="R104" s="103" t="str">
        <f t="shared" si="25"/>
        <v/>
      </c>
      <c r="S104" s="52">
        <v>0</v>
      </c>
      <c r="T104" s="102" t="str">
        <f t="shared" si="26"/>
        <v/>
      </c>
      <c r="U104" s="103" t="str">
        <f t="shared" si="27"/>
        <v/>
      </c>
      <c r="V104" s="52">
        <v>0</v>
      </c>
      <c r="W104" s="87" t="str">
        <f t="shared" si="28"/>
        <v/>
      </c>
      <c r="X104" s="103" t="str">
        <f t="shared" si="29"/>
        <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si="20"/>
        <v/>
      </c>
      <c r="L105" s="103" t="str">
        <f t="shared" si="21"/>
        <v/>
      </c>
      <c r="M105" s="53">
        <v>0</v>
      </c>
      <c r="N105" s="102" t="str">
        <f t="shared" si="22"/>
        <v/>
      </c>
      <c r="O105" s="103" t="str">
        <f t="shared" si="23"/>
        <v/>
      </c>
      <c r="P105" s="53">
        <v>0</v>
      </c>
      <c r="Q105" s="102" t="str">
        <f t="shared" si="24"/>
        <v/>
      </c>
      <c r="R105" s="103" t="str">
        <f t="shared" si="25"/>
        <v/>
      </c>
      <c r="S105" s="53">
        <v>0</v>
      </c>
      <c r="T105" s="102" t="str">
        <f t="shared" si="26"/>
        <v/>
      </c>
      <c r="U105" s="103" t="str">
        <f t="shared" si="27"/>
        <v/>
      </c>
      <c r="V105" s="53">
        <v>0</v>
      </c>
      <c r="W105" s="87" t="str">
        <f t="shared" si="28"/>
        <v/>
      </c>
      <c r="X105" s="103" t="str">
        <f t="shared" si="29"/>
        <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20"/>
        <v/>
      </c>
      <c r="L106" s="103" t="str">
        <f t="shared" si="21"/>
        <v/>
      </c>
      <c r="M106" s="52">
        <v>0</v>
      </c>
      <c r="N106" s="102" t="str">
        <f t="shared" si="22"/>
        <v/>
      </c>
      <c r="O106" s="103" t="str">
        <f t="shared" si="23"/>
        <v/>
      </c>
      <c r="P106" s="52">
        <v>0</v>
      </c>
      <c r="Q106" s="102" t="str">
        <f t="shared" si="24"/>
        <v/>
      </c>
      <c r="R106" s="103" t="str">
        <f t="shared" si="25"/>
        <v/>
      </c>
      <c r="S106" s="52">
        <v>0</v>
      </c>
      <c r="T106" s="102" t="str">
        <f t="shared" si="26"/>
        <v/>
      </c>
      <c r="U106" s="103" t="str">
        <f t="shared" si="27"/>
        <v/>
      </c>
      <c r="V106" s="52">
        <v>0</v>
      </c>
      <c r="W106" s="87" t="str">
        <f t="shared" si="28"/>
        <v/>
      </c>
      <c r="X106" s="103" t="str">
        <f t="shared" si="29"/>
        <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20"/>
        <v/>
      </c>
      <c r="L107" s="103" t="str">
        <f t="shared" si="21"/>
        <v/>
      </c>
      <c r="M107" s="53">
        <v>0</v>
      </c>
      <c r="N107" s="102" t="str">
        <f t="shared" si="22"/>
        <v/>
      </c>
      <c r="O107" s="103" t="str">
        <f t="shared" si="23"/>
        <v/>
      </c>
      <c r="P107" s="53">
        <v>0</v>
      </c>
      <c r="Q107" s="102" t="str">
        <f t="shared" si="24"/>
        <v/>
      </c>
      <c r="R107" s="103" t="str">
        <f t="shared" si="25"/>
        <v/>
      </c>
      <c r="S107" s="53">
        <v>0</v>
      </c>
      <c r="T107" s="102" t="str">
        <f t="shared" si="26"/>
        <v/>
      </c>
      <c r="U107" s="103" t="str">
        <f t="shared" si="27"/>
        <v/>
      </c>
      <c r="V107" s="53">
        <v>0</v>
      </c>
      <c r="W107" s="87" t="str">
        <f t="shared" si="28"/>
        <v/>
      </c>
      <c r="X107" s="103" t="str">
        <f t="shared" si="29"/>
        <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20"/>
        <v/>
      </c>
      <c r="L108" s="103" t="str">
        <f t="shared" si="21"/>
        <v/>
      </c>
      <c r="M108" s="52">
        <v>0</v>
      </c>
      <c r="N108" s="102" t="str">
        <f t="shared" si="22"/>
        <v/>
      </c>
      <c r="O108" s="103" t="str">
        <f t="shared" si="23"/>
        <v/>
      </c>
      <c r="P108" s="52">
        <v>0</v>
      </c>
      <c r="Q108" s="102" t="str">
        <f t="shared" si="24"/>
        <v/>
      </c>
      <c r="R108" s="103" t="str">
        <f t="shared" si="25"/>
        <v/>
      </c>
      <c r="S108" s="52">
        <v>0</v>
      </c>
      <c r="T108" s="102" t="str">
        <f t="shared" si="26"/>
        <v/>
      </c>
      <c r="U108" s="103" t="str">
        <f t="shared" si="27"/>
        <v/>
      </c>
      <c r="V108" s="52">
        <v>0</v>
      </c>
      <c r="W108" s="87" t="str">
        <f t="shared" si="28"/>
        <v/>
      </c>
      <c r="X108" s="103" t="str">
        <f t="shared" si="29"/>
        <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20"/>
        <v/>
      </c>
      <c r="L109" s="103" t="str">
        <f t="shared" si="21"/>
        <v/>
      </c>
      <c r="M109" s="53">
        <v>0</v>
      </c>
      <c r="N109" s="102" t="str">
        <f t="shared" si="22"/>
        <v/>
      </c>
      <c r="O109" s="103" t="str">
        <f t="shared" si="23"/>
        <v/>
      </c>
      <c r="P109" s="53">
        <v>0</v>
      </c>
      <c r="Q109" s="102" t="str">
        <f t="shared" si="24"/>
        <v/>
      </c>
      <c r="R109" s="103" t="str">
        <f t="shared" si="25"/>
        <v/>
      </c>
      <c r="S109" s="53">
        <v>0</v>
      </c>
      <c r="T109" s="102" t="str">
        <f t="shared" si="26"/>
        <v/>
      </c>
      <c r="U109" s="103" t="str">
        <f t="shared" si="27"/>
        <v/>
      </c>
      <c r="V109" s="53">
        <v>0</v>
      </c>
      <c r="W109" s="87" t="str">
        <f t="shared" si="28"/>
        <v/>
      </c>
      <c r="X109" s="103" t="str">
        <f t="shared" si="29"/>
        <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20"/>
        <v/>
      </c>
      <c r="L110" s="103" t="str">
        <f t="shared" si="21"/>
        <v/>
      </c>
      <c r="M110" s="52">
        <v>0</v>
      </c>
      <c r="N110" s="102" t="str">
        <f t="shared" si="22"/>
        <v/>
      </c>
      <c r="O110" s="103" t="str">
        <f t="shared" si="23"/>
        <v/>
      </c>
      <c r="P110" s="52">
        <v>0</v>
      </c>
      <c r="Q110" s="102" t="str">
        <f t="shared" si="24"/>
        <v/>
      </c>
      <c r="R110" s="103" t="str">
        <f t="shared" si="25"/>
        <v/>
      </c>
      <c r="S110" s="52">
        <v>0</v>
      </c>
      <c r="T110" s="102" t="str">
        <f t="shared" si="26"/>
        <v/>
      </c>
      <c r="U110" s="103" t="str">
        <f t="shared" si="27"/>
        <v/>
      </c>
      <c r="V110" s="52">
        <v>0</v>
      </c>
      <c r="W110" s="87" t="str">
        <f t="shared" si="28"/>
        <v/>
      </c>
      <c r="X110" s="103" t="str">
        <f t="shared" si="29"/>
        <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20"/>
        <v/>
      </c>
      <c r="L111" s="103" t="str">
        <f t="shared" si="21"/>
        <v/>
      </c>
      <c r="M111" s="53">
        <v>0</v>
      </c>
      <c r="N111" s="102" t="str">
        <f t="shared" si="22"/>
        <v/>
      </c>
      <c r="O111" s="103" t="str">
        <f t="shared" si="23"/>
        <v/>
      </c>
      <c r="P111" s="53">
        <v>0</v>
      </c>
      <c r="Q111" s="102" t="str">
        <f t="shared" si="24"/>
        <v/>
      </c>
      <c r="R111" s="103" t="str">
        <f t="shared" si="25"/>
        <v/>
      </c>
      <c r="S111" s="53">
        <v>0</v>
      </c>
      <c r="T111" s="102" t="str">
        <f t="shared" si="26"/>
        <v/>
      </c>
      <c r="U111" s="103" t="str">
        <f t="shared" si="27"/>
        <v/>
      </c>
      <c r="V111" s="53">
        <v>0</v>
      </c>
      <c r="W111" s="87" t="str">
        <f t="shared" si="28"/>
        <v/>
      </c>
      <c r="X111" s="103" t="str">
        <f t="shared" si="29"/>
        <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20"/>
        <v/>
      </c>
      <c r="L112" s="103" t="str">
        <f t="shared" si="21"/>
        <v/>
      </c>
      <c r="M112" s="52">
        <v>0</v>
      </c>
      <c r="N112" s="102" t="str">
        <f t="shared" si="22"/>
        <v/>
      </c>
      <c r="O112" s="103" t="str">
        <f t="shared" si="23"/>
        <v/>
      </c>
      <c r="P112" s="52">
        <v>0</v>
      </c>
      <c r="Q112" s="102" t="str">
        <f t="shared" si="24"/>
        <v/>
      </c>
      <c r="R112" s="103" t="str">
        <f t="shared" si="25"/>
        <v/>
      </c>
      <c r="S112" s="52">
        <v>0</v>
      </c>
      <c r="T112" s="102" t="str">
        <f t="shared" si="26"/>
        <v/>
      </c>
      <c r="U112" s="103" t="str">
        <f t="shared" si="27"/>
        <v/>
      </c>
      <c r="V112" s="52">
        <v>0</v>
      </c>
      <c r="W112" s="87" t="str">
        <f t="shared" si="28"/>
        <v/>
      </c>
      <c r="X112" s="103" t="str">
        <f t="shared" si="29"/>
        <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20"/>
        <v/>
      </c>
      <c r="L113" s="103" t="str">
        <f t="shared" si="21"/>
        <v/>
      </c>
      <c r="M113" s="53">
        <v>0</v>
      </c>
      <c r="N113" s="102" t="str">
        <f t="shared" si="22"/>
        <v/>
      </c>
      <c r="O113" s="103" t="str">
        <f t="shared" si="23"/>
        <v/>
      </c>
      <c r="P113" s="53">
        <v>0</v>
      </c>
      <c r="Q113" s="102" t="str">
        <f t="shared" si="24"/>
        <v/>
      </c>
      <c r="R113" s="103" t="str">
        <f t="shared" si="25"/>
        <v/>
      </c>
      <c r="S113" s="53">
        <v>0</v>
      </c>
      <c r="T113" s="102" t="str">
        <f t="shared" si="26"/>
        <v/>
      </c>
      <c r="U113" s="103" t="str">
        <f t="shared" si="27"/>
        <v/>
      </c>
      <c r="V113" s="53">
        <v>0</v>
      </c>
      <c r="W113" s="87" t="str">
        <f t="shared" si="28"/>
        <v/>
      </c>
      <c r="X113" s="103" t="str">
        <f t="shared" si="29"/>
        <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on basic GenServer implementations with simple init/1 and synchronous handle_call/3 callbacks.", IF(G138="Intermediate", "Integrate GenServer within a Supervisor tree. Use asynchronous handle_cast/2 and explicit state transitions.", "stateful GenServer state or external message passing")) &amp; " | " &amp;
"[CODE_CONSTRAINTS_RULE] Each example MUST: - Use stateful GenServer state or external message passing - Print steps &amp; result via Logger.info/debug or IO.inspect inside isolated process callbacks - MAX " &amp; $C138 &amp; " executable lines (comments/blanks excluded) - NEVER exceed limit. | " &amp;
"[I_O_PARADIGM] Use standard OTP message passing via send/2 or GenServer.call/3 and gracefully handle {:reply, response, new_state}, {:noreply, new_state}, and {:ok, state} tuples when applicable. | " &amp;
"[INLINE_PACKAGE_MANAGER] If using external packages, use Standard mix.exs dependencies list (defp deps do [{:package_name, '~&gt; version'}] end) at the top of the code block. Assume no project configuration file exists. | " &amp;
_xlfn._LONGTEXT("[TESTING_FRAMEWORK_LIMITS]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GenServer structure (init/1, handle_call/3). Do NOT expect full Supervisor trees unless explicitly demanded.", IF(G138="Intermediate", "Expect GenServer behaviors integrated into a standard Supervisor. Look for proper state isolation and appropriate use of handle_cast/2 to avoid blocking.", "Expect complete OTP apps with DynamicSupervisor, clean separation of Client API/Server Callbacks, and handle_info/2 pattern matching.")) &amp; " | " &amp;
_xlfn._LONGTEXT("[CODE_QUALITY_POLICIES]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 &amp;
"[EXUNIT RULE] Always use use ExUnit.Case, async: true. You MUST use assert_receive or sys.get_state/1 for process testing. Avoid doctests for stateful OTP processes. | " &amp;
"[HEX DEPENDENCIES RULE] Assume a standard Mix project context. External Hex dependencies MUST be specified strictly within the deps/0 block of mix.exs. NEVER use Mix.install/2. | " &amp;
"[CODE CONSTRAINTS] Each challenge MUST include: - At least 1 GenServer or Supervisor - Explicit state initialization (init/1) - At least 1 synchronous or asynchronous OTP callback handler - " &amp; IF(G138="Beginner", "5–15", IF(G138="Intermediate", "10–25", "15–35")) &amp; " lines of EXECUTABLE broken OTP code per example (STRICT: Do NOT count blank lines). Enforce immutable state transitions across process boundaries. | All challenges MUST have similar process tree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Hex packages MUST be added to the deps/0 function in a standard mix.exs file. Do not use standalone scripts or Mix.install/2. | " &amp;
"[TESTING_FRAMEWORK_PROTOCOL] Tests MUST run isolated async processes (use ExUnit.Case, async: true). NEVER hack process links manually; use assert_receive to verify OTP flows. | " &amp;
"[CHALLENGE_CONSTRAINTS_POLICY] Each challenge MUST include: - A functional GenServer or Supervisor tree managing continuous isolated state. - " &amp; IF(G138="Beginner","5–15", IF(G138="Intermediate","10–25","15–35")) &amp; " lines of EXECUTABLE base OTP code (STRICT: Do NOT count comments or TODOs). Length MUST vary. Enforce isolated immutable process state.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"[PYTHON QUALITY RULE - STRICT] Code MUST adhere strictly to Elixir Style Guide and OTP standards. Use snake_case for functions/variables, PascalCase for modules. Use only isolated GenServer state. Emphasize fault-tolerant Supervisor designs.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Elixir Style Guide and OTP standards. Use snake_case for functions/variables, PascalCase for modules. NEVER leak state globally; enforce strict callback immutability. Prioritize highly fault-tolerant OT","P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mix.exs dependencies list (defp deps do [{:package_name, '~&gt; version'}] end) at the top. | " &amp;
"[SCOPE_ARCHITECTURE_RULE] Rule: Build fault-tolerant OTP apps with DynamicSupervisor, Registry for process discovery, and handle_info/2 handlers. | " &amp;
_xlfn._LONGTEXT("[VISUAL_ARCHITECTURE_COMMENTS]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mix.exs tooling for dependencies. Do NOT use Mix.install/2. | " &amp;
"[CHALLENGE_CONSTRAINTS_POLICY] MUST be between " &amp; IF(G138="Beginner","25–40", IF(G138="Intermediate","30–60","40–100")) &amp; " lines of EXECUTABLE base OTP code (STRICT: Do NOT count comments or TODOs). Must feature inter-process communication or supervision tree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topLeftCell="A19" workbookViewId="0">
      <selection activeCell="A9" sqref="A9"/>
    </sheetView>
  </sheetViews>
  <sheetFormatPr defaultRowHeight="15"/>
  <sheetData>
    <row r="1" spans="1:1" ht="31.5">
      <c r="A1" s="131" t="s">
        <v>688</v>
      </c>
    </row>
    <row r="3" spans="1:1">
      <c r="A3" t="s">
        <v>689</v>
      </c>
    </row>
    <row r="5" spans="1:1" ht="18">
      <c r="A5" s="115" t="s">
        <v>690</v>
      </c>
    </row>
    <row r="7" spans="1:1" ht="21">
      <c r="A7" s="132" t="s">
        <v>691</v>
      </c>
    </row>
    <row r="8" spans="1:1">
      <c r="A8" s="116"/>
    </row>
    <row r="9" spans="1:1">
      <c r="A9" s="116" t="s">
        <v>692</v>
      </c>
    </row>
    <row r="10" spans="1:1">
      <c r="A10" s="116" t="s">
        <v>693</v>
      </c>
    </row>
    <row r="11" spans="1:1">
      <c r="A11" s="116" t="s">
        <v>694</v>
      </c>
    </row>
    <row r="12" spans="1:1">
      <c r="A12" s="116" t="s">
        <v>695</v>
      </c>
    </row>
    <row r="13" spans="1:1">
      <c r="A13" s="116" t="s">
        <v>696</v>
      </c>
    </row>
    <row r="15" spans="1:1" ht="21">
      <c r="A15" s="132" t="s">
        <v>697</v>
      </c>
    </row>
    <row r="17" spans="1:1">
      <c r="A17" t="s">
        <v>698</v>
      </c>
    </row>
    <row r="18" spans="1:1">
      <c r="A18" s="116"/>
    </row>
    <row r="19" spans="1:1">
      <c r="A19" s="117" t="s">
        <v>699</v>
      </c>
    </row>
    <row r="20" spans="1:1">
      <c r="A20" s="118" t="s">
        <v>700</v>
      </c>
    </row>
    <row r="21" spans="1:1">
      <c r="A21" s="118" t="s">
        <v>701</v>
      </c>
    </row>
    <row r="22" spans="1:1">
      <c r="A22" s="118" t="s">
        <v>702</v>
      </c>
    </row>
    <row r="23" spans="1:1">
      <c r="A23" s="118" t="s">
        <v>703</v>
      </c>
    </row>
    <row r="24" spans="1:1">
      <c r="A24" s="116"/>
    </row>
    <row r="25" spans="1:1">
      <c r="A25" s="117" t="s">
        <v>704</v>
      </c>
    </row>
    <row r="29" spans="1:1">
      <c r="A29" s="133"/>
    </row>
    <row r="30" spans="1:1">
      <c r="A30" s="134"/>
    </row>
    <row r="31" spans="1:1">
      <c r="A31" s="133"/>
    </row>
    <row r="32" spans="1:1">
      <c r="A32" s="133"/>
    </row>
    <row r="33" spans="1:1">
      <c r="A33" s="134"/>
    </row>
    <row r="34" spans="1:1">
      <c r="A34" s="133"/>
    </row>
    <row r="35" spans="1:1">
      <c r="A35" s="133"/>
    </row>
    <row r="36" spans="1:1" ht="21">
      <c r="A36" s="132" t="s">
        <v>705</v>
      </c>
    </row>
    <row r="38" spans="1:1">
      <c r="A38" t="s">
        <v>706</v>
      </c>
    </row>
    <row r="39" spans="1:1">
      <c r="A39" s="116"/>
    </row>
    <row r="40" spans="1:1">
      <c r="A40" s="116" t="s">
        <v>707</v>
      </c>
    </row>
    <row r="41" spans="1:1">
      <c r="A41" s="116" t="s">
        <v>708</v>
      </c>
    </row>
    <row r="42" spans="1:1">
      <c r="A42" s="116" t="s">
        <v>709</v>
      </c>
    </row>
    <row r="44" spans="1:1" ht="18">
      <c r="A44" s="115" t="s">
        <v>710</v>
      </c>
    </row>
    <row r="45" spans="1:1">
      <c r="A45" s="116"/>
    </row>
    <row r="46" spans="1:1">
      <c r="A46" s="116" t="s">
        <v>711</v>
      </c>
    </row>
    <row r="47" spans="1:1">
      <c r="A47" s="116" t="s">
        <v>712</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9"/>
  <sheetViews>
    <sheetView topLeftCell="A2" workbookViewId="0">
      <selection activeCell="A6" sqref="A6:E59"/>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Elixir OTP</v>
      </c>
    </row>
    <row r="2" spans="1:5" ht="26.25">
      <c r="C2" s="122" t="s">
        <v>266</v>
      </c>
      <c r="D2" s="123" t="str">
        <f>IF(PromptGenerator!I3="","",PromptGenerator!I3)</f>
        <v/>
      </c>
    </row>
    <row r="5" spans="1:5">
      <c r="A5" s="124" t="s">
        <v>647</v>
      </c>
      <c r="B5" s="124" t="s">
        <v>23</v>
      </c>
      <c r="C5" s="124" t="s">
        <v>579</v>
      </c>
      <c r="D5" s="124" t="s">
        <v>622</v>
      </c>
      <c r="E5" s="124" t="s">
        <v>621</v>
      </c>
    </row>
    <row r="6" spans="1:5">
      <c r="A6" s="125" t="s">
        <v>0</v>
      </c>
      <c r="B6" t="s">
        <v>48</v>
      </c>
      <c r="C6" t="s">
        <v>225</v>
      </c>
      <c r="D6" t="s">
        <v>606</v>
      </c>
      <c r="E6" s="120" t="s">
        <v>732</v>
      </c>
    </row>
    <row r="7" spans="1:5">
      <c r="A7" s="125" t="s">
        <v>0</v>
      </c>
      <c r="B7" t="s">
        <v>48</v>
      </c>
      <c r="C7" t="s">
        <v>225</v>
      </c>
      <c r="D7" t="s">
        <v>229</v>
      </c>
      <c r="E7" s="121"/>
    </row>
    <row r="8" spans="1:5">
      <c r="A8" s="125" t="s">
        <v>0</v>
      </c>
      <c r="B8" t="s">
        <v>48</v>
      </c>
      <c r="C8" t="s">
        <v>225</v>
      </c>
      <c r="D8" t="s">
        <v>607</v>
      </c>
      <c r="E8" t="s">
        <v>733</v>
      </c>
    </row>
    <row r="9" spans="1:5">
      <c r="A9" s="125" t="s">
        <v>0</v>
      </c>
      <c r="B9" t="s">
        <v>48</v>
      </c>
      <c r="C9" t="s">
        <v>225</v>
      </c>
      <c r="D9" t="s">
        <v>608</v>
      </c>
      <c r="E9" t="s">
        <v>734</v>
      </c>
    </row>
    <row r="10" spans="1:5">
      <c r="A10" s="125" t="s">
        <v>0</v>
      </c>
      <c r="B10" t="s">
        <v>48</v>
      </c>
      <c r="C10" t="s">
        <v>179</v>
      </c>
      <c r="D10" t="s">
        <v>609</v>
      </c>
      <c r="E10" s="120" t="s">
        <v>735</v>
      </c>
    </row>
    <row r="11" spans="1:5">
      <c r="A11" s="125" t="s">
        <v>0</v>
      </c>
      <c r="B11" t="s">
        <v>48</v>
      </c>
      <c r="C11" t="s">
        <v>179</v>
      </c>
      <c r="D11" t="s">
        <v>610</v>
      </c>
      <c r="E11" t="s">
        <v>736</v>
      </c>
    </row>
    <row r="12" spans="1:5">
      <c r="A12" s="125" t="s">
        <v>0</v>
      </c>
      <c r="B12" t="s">
        <v>48</v>
      </c>
      <c r="C12" t="s">
        <v>179</v>
      </c>
      <c r="D12" t="s">
        <v>611</v>
      </c>
      <c r="E12" s="120" t="s">
        <v>737</v>
      </c>
    </row>
    <row r="13" spans="1:5">
      <c r="A13" s="125" t="s">
        <v>0</v>
      </c>
      <c r="B13" t="s">
        <v>48</v>
      </c>
      <c r="C13" t="s">
        <v>612</v>
      </c>
      <c r="D13" t="s">
        <v>613</v>
      </c>
      <c r="E13" t="s">
        <v>738</v>
      </c>
    </row>
    <row r="14" spans="1:5">
      <c r="A14" s="125" t="s">
        <v>0</v>
      </c>
      <c r="B14" t="s">
        <v>48</v>
      </c>
      <c r="C14" t="s">
        <v>612</v>
      </c>
      <c r="D14" t="s">
        <v>614</v>
      </c>
      <c r="E14" t="s">
        <v>739</v>
      </c>
    </row>
    <row r="15" spans="1:5">
      <c r="A15" s="125" t="s">
        <v>0</v>
      </c>
      <c r="B15" t="s">
        <v>48</v>
      </c>
      <c r="C15" t="s">
        <v>602</v>
      </c>
      <c r="D15" t="s">
        <v>615</v>
      </c>
      <c r="E15" t="s">
        <v>740</v>
      </c>
    </row>
    <row r="16" spans="1:5">
      <c r="A16" s="125" t="s">
        <v>0</v>
      </c>
      <c r="B16" t="s">
        <v>48</v>
      </c>
      <c r="C16" t="s">
        <v>602</v>
      </c>
      <c r="D16" t="s">
        <v>616</v>
      </c>
      <c r="E16" t="s">
        <v>741</v>
      </c>
    </row>
    <row r="17" spans="1:5">
      <c r="A17" s="125" t="s">
        <v>0</v>
      </c>
      <c r="B17" t="s">
        <v>48</v>
      </c>
      <c r="C17" t="s">
        <v>603</v>
      </c>
      <c r="D17" t="s">
        <v>617</v>
      </c>
      <c r="E17" t="s">
        <v>742</v>
      </c>
    </row>
    <row r="18" spans="1:5">
      <c r="A18" s="125" t="s">
        <v>0</v>
      </c>
      <c r="B18" t="s">
        <v>48</v>
      </c>
      <c r="C18" t="s">
        <v>604</v>
      </c>
      <c r="D18" t="s">
        <v>618</v>
      </c>
      <c r="E18" t="s">
        <v>743</v>
      </c>
    </row>
    <row r="19" spans="1:5">
      <c r="A19" s="125" t="s">
        <v>0</v>
      </c>
      <c r="B19" t="s">
        <v>48</v>
      </c>
      <c r="C19" t="s">
        <v>604</v>
      </c>
      <c r="D19" t="s">
        <v>619</v>
      </c>
      <c r="E19" t="s">
        <v>744</v>
      </c>
    </row>
    <row r="20" spans="1:5">
      <c r="A20" s="125" t="s">
        <v>0</v>
      </c>
      <c r="B20" t="s">
        <v>48</v>
      </c>
      <c r="C20" t="s">
        <v>604</v>
      </c>
      <c r="D20" t="s">
        <v>620</v>
      </c>
      <c r="E20" t="s">
        <v>745</v>
      </c>
    </row>
    <row r="21" spans="1:5">
      <c r="A21" s="125" t="s">
        <v>0</v>
      </c>
      <c r="B21" t="s">
        <v>623</v>
      </c>
      <c r="C21" t="s">
        <v>625</v>
      </c>
      <c r="D21" t="s">
        <v>626</v>
      </c>
      <c r="E21" t="s">
        <v>746</v>
      </c>
    </row>
    <row r="22" spans="1:5">
      <c r="A22" s="125" t="s">
        <v>0</v>
      </c>
      <c r="B22" t="s">
        <v>623</v>
      </c>
      <c r="C22" t="s">
        <v>625</v>
      </c>
      <c r="D22" t="s">
        <v>627</v>
      </c>
      <c r="E22" t="s">
        <v>747</v>
      </c>
    </row>
    <row r="23" spans="1:5">
      <c r="A23" s="125" t="s">
        <v>0</v>
      </c>
      <c r="B23" t="s">
        <v>623</v>
      </c>
      <c r="C23" t="s">
        <v>625</v>
      </c>
      <c r="D23" t="s">
        <v>628</v>
      </c>
      <c r="E23" t="s">
        <v>731</v>
      </c>
    </row>
    <row r="24" spans="1:5">
      <c r="A24" s="125" t="s">
        <v>0</v>
      </c>
      <c r="B24" t="s">
        <v>605</v>
      </c>
      <c r="C24" t="s">
        <v>629</v>
      </c>
      <c r="D24" t="s">
        <v>47</v>
      </c>
      <c r="E24" t="s">
        <v>748</v>
      </c>
    </row>
    <row r="25" spans="1:5">
      <c r="A25" s="125" t="s">
        <v>0</v>
      </c>
      <c r="B25" t="s">
        <v>605</v>
      </c>
      <c r="C25" t="s">
        <v>629</v>
      </c>
      <c r="D25" t="s">
        <v>158</v>
      </c>
      <c r="E25" t="s">
        <v>749</v>
      </c>
    </row>
    <row r="26" spans="1:5">
      <c r="A26" s="125" t="s">
        <v>0</v>
      </c>
      <c r="B26" t="s">
        <v>605</v>
      </c>
      <c r="C26" t="s">
        <v>629</v>
      </c>
      <c r="D26" t="s">
        <v>159</v>
      </c>
      <c r="E26" t="s">
        <v>750</v>
      </c>
    </row>
    <row r="27" spans="1:5">
      <c r="A27" s="125" t="s">
        <v>0</v>
      </c>
      <c r="B27" t="s">
        <v>605</v>
      </c>
      <c r="C27" t="s">
        <v>630</v>
      </c>
      <c r="D27" t="s">
        <v>631</v>
      </c>
      <c r="E27" t="s">
        <v>751</v>
      </c>
    </row>
    <row r="28" spans="1:5">
      <c r="A28" s="125" t="s">
        <v>0</v>
      </c>
      <c r="B28" t="s">
        <v>605</v>
      </c>
      <c r="C28" t="s">
        <v>630</v>
      </c>
      <c r="D28" t="s">
        <v>632</v>
      </c>
      <c r="E28" t="s">
        <v>752</v>
      </c>
    </row>
    <row r="29" spans="1:5">
      <c r="A29" s="125" t="s">
        <v>0</v>
      </c>
      <c r="B29" t="s">
        <v>605</v>
      </c>
      <c r="C29" t="s">
        <v>630</v>
      </c>
      <c r="D29" t="s">
        <v>633</v>
      </c>
      <c r="E29" t="s">
        <v>753</v>
      </c>
    </row>
    <row r="30" spans="1:5">
      <c r="A30" s="125" t="s">
        <v>0</v>
      </c>
      <c r="B30" t="s">
        <v>605</v>
      </c>
      <c r="C30" t="s">
        <v>630</v>
      </c>
      <c r="D30" t="s">
        <v>634</v>
      </c>
      <c r="E30" t="s">
        <v>754</v>
      </c>
    </row>
    <row r="31" spans="1:5">
      <c r="A31" s="126" t="s">
        <v>270</v>
      </c>
      <c r="B31" t="s">
        <v>48</v>
      </c>
      <c r="C31" t="s">
        <v>635</v>
      </c>
      <c r="D31" t="s">
        <v>636</v>
      </c>
      <c r="E31" t="s">
        <v>755</v>
      </c>
    </row>
    <row r="32" spans="1:5">
      <c r="A32" s="126" t="s">
        <v>270</v>
      </c>
      <c r="B32" t="s">
        <v>48</v>
      </c>
      <c r="C32" t="s">
        <v>635</v>
      </c>
      <c r="D32" t="s">
        <v>637</v>
      </c>
      <c r="E32" t="s">
        <v>756</v>
      </c>
    </row>
    <row r="33" spans="1:5">
      <c r="A33" s="126" t="s">
        <v>270</v>
      </c>
      <c r="B33" t="s">
        <v>48</v>
      </c>
      <c r="C33" t="s">
        <v>635</v>
      </c>
      <c r="D33" t="s">
        <v>638</v>
      </c>
      <c r="E33" t="s">
        <v>757</v>
      </c>
    </row>
    <row r="34" spans="1:5">
      <c r="A34" s="126" t="s">
        <v>270</v>
      </c>
      <c r="B34" t="s">
        <v>48</v>
      </c>
      <c r="C34" t="s">
        <v>639</v>
      </c>
      <c r="D34" t="s">
        <v>640</v>
      </c>
      <c r="E34" t="s">
        <v>758</v>
      </c>
    </row>
    <row r="35" spans="1:5">
      <c r="A35" s="126" t="s">
        <v>270</v>
      </c>
      <c r="B35" t="s">
        <v>48</v>
      </c>
      <c r="C35" t="s">
        <v>641</v>
      </c>
      <c r="D35" t="s">
        <v>642</v>
      </c>
      <c r="E35" t="s">
        <v>759</v>
      </c>
    </row>
    <row r="36" spans="1:5">
      <c r="A36" s="126" t="s">
        <v>270</v>
      </c>
      <c r="B36" t="s">
        <v>48</v>
      </c>
      <c r="C36" t="s">
        <v>643</v>
      </c>
      <c r="D36" t="s">
        <v>644</v>
      </c>
      <c r="E36" t="s">
        <v>760</v>
      </c>
    </row>
    <row r="37" spans="1:5">
      <c r="A37" s="126" t="s">
        <v>270</v>
      </c>
      <c r="B37" t="s">
        <v>48</v>
      </c>
      <c r="C37" t="s">
        <v>643</v>
      </c>
      <c r="D37" t="s">
        <v>645</v>
      </c>
      <c r="E37" t="s">
        <v>761</v>
      </c>
    </row>
    <row r="38" spans="1:5">
      <c r="A38" s="126" t="s">
        <v>270</v>
      </c>
      <c r="B38" t="s">
        <v>48</v>
      </c>
      <c r="C38" t="s">
        <v>643</v>
      </c>
      <c r="D38" t="s">
        <v>646</v>
      </c>
      <c r="E38" t="s">
        <v>762</v>
      </c>
    </row>
    <row r="39" spans="1:5">
      <c r="A39" s="126" t="s">
        <v>270</v>
      </c>
      <c r="B39" t="s">
        <v>623</v>
      </c>
      <c r="C39" t="s">
        <v>648</v>
      </c>
      <c r="D39" t="s">
        <v>649</v>
      </c>
      <c r="E39" t="s">
        <v>763</v>
      </c>
    </row>
    <row r="40" spans="1:5">
      <c r="A40" s="126" t="s">
        <v>270</v>
      </c>
      <c r="B40" t="s">
        <v>623</v>
      </c>
      <c r="C40" t="s">
        <v>648</v>
      </c>
      <c r="D40" t="s">
        <v>650</v>
      </c>
      <c r="E40" t="s">
        <v>764</v>
      </c>
    </row>
    <row r="41" spans="1:5">
      <c r="A41" s="126" t="s">
        <v>270</v>
      </c>
      <c r="B41" t="s">
        <v>623</v>
      </c>
      <c r="C41" t="s">
        <v>648</v>
      </c>
      <c r="D41" t="s">
        <v>651</v>
      </c>
      <c r="E41" t="s">
        <v>765</v>
      </c>
    </row>
    <row r="42" spans="1:5">
      <c r="A42" s="126" t="s">
        <v>270</v>
      </c>
      <c r="B42" t="s">
        <v>623</v>
      </c>
      <c r="C42" t="s">
        <v>648</v>
      </c>
      <c r="D42" t="s">
        <v>652</v>
      </c>
      <c r="E42" t="s">
        <v>766</v>
      </c>
    </row>
    <row r="43" spans="1:5">
      <c r="A43" s="126" t="s">
        <v>270</v>
      </c>
      <c r="B43" t="s">
        <v>605</v>
      </c>
      <c r="C43" t="s">
        <v>653</v>
      </c>
      <c r="D43" t="s">
        <v>654</v>
      </c>
      <c r="E43" t="s">
        <v>767</v>
      </c>
    </row>
    <row r="44" spans="1:5">
      <c r="A44" s="126" t="s">
        <v>270</v>
      </c>
      <c r="B44" t="s">
        <v>605</v>
      </c>
      <c r="C44" t="s">
        <v>653</v>
      </c>
      <c r="D44" t="s">
        <v>655</v>
      </c>
      <c r="E44" t="s">
        <v>768</v>
      </c>
    </row>
    <row r="45" spans="1:5">
      <c r="A45" s="126" t="s">
        <v>270</v>
      </c>
      <c r="B45" t="s">
        <v>605</v>
      </c>
      <c r="C45" t="s">
        <v>653</v>
      </c>
      <c r="D45" t="s">
        <v>656</v>
      </c>
      <c r="E45" t="s">
        <v>769</v>
      </c>
    </row>
    <row r="46" spans="1:5">
      <c r="A46" s="126" t="s">
        <v>270</v>
      </c>
      <c r="B46" t="s">
        <v>605</v>
      </c>
      <c r="C46" t="s">
        <v>653</v>
      </c>
      <c r="D46" t="s">
        <v>657</v>
      </c>
      <c r="E46" t="s">
        <v>770</v>
      </c>
    </row>
    <row r="47" spans="1:5">
      <c r="A47" s="127" t="s">
        <v>337</v>
      </c>
      <c r="B47" t="s">
        <v>48</v>
      </c>
      <c r="C47" t="s">
        <v>641</v>
      </c>
      <c r="D47" t="s">
        <v>659</v>
      </c>
      <c r="E47" t="s">
        <v>771</v>
      </c>
    </row>
    <row r="48" spans="1:5">
      <c r="A48" s="127" t="s">
        <v>337</v>
      </c>
      <c r="B48" t="s">
        <v>48</v>
      </c>
      <c r="C48" t="s">
        <v>639</v>
      </c>
      <c r="D48" t="s">
        <v>660</v>
      </c>
      <c r="E48" t="s">
        <v>772</v>
      </c>
    </row>
    <row r="49" spans="1:5">
      <c r="A49" s="127" t="s">
        <v>337</v>
      </c>
      <c r="B49" t="s">
        <v>48</v>
      </c>
      <c r="C49" t="s">
        <v>643</v>
      </c>
      <c r="D49" t="s">
        <v>661</v>
      </c>
      <c r="E49" t="s">
        <v>773</v>
      </c>
    </row>
    <row r="50" spans="1:5">
      <c r="A50" s="127" t="s">
        <v>337</v>
      </c>
      <c r="B50" t="s">
        <v>48</v>
      </c>
      <c r="C50" t="s">
        <v>643</v>
      </c>
      <c r="D50" t="s">
        <v>662</v>
      </c>
      <c r="E50" t="s">
        <v>774</v>
      </c>
    </row>
    <row r="51" spans="1:5">
      <c r="A51" s="127" t="s">
        <v>337</v>
      </c>
      <c r="B51" t="s">
        <v>623</v>
      </c>
      <c r="C51" t="s">
        <v>663</v>
      </c>
      <c r="D51" t="s">
        <v>666</v>
      </c>
      <c r="E51" t="s">
        <v>775</v>
      </c>
    </row>
    <row r="52" spans="1:5">
      <c r="A52" s="127" t="s">
        <v>337</v>
      </c>
      <c r="B52" t="s">
        <v>623</v>
      </c>
      <c r="C52" t="s">
        <v>665</v>
      </c>
      <c r="D52" t="s">
        <v>667</v>
      </c>
      <c r="E52" t="s">
        <v>668</v>
      </c>
    </row>
    <row r="53" spans="1:5">
      <c r="A53" s="127" t="s">
        <v>337</v>
      </c>
      <c r="B53" t="s">
        <v>623</v>
      </c>
      <c r="C53" t="s">
        <v>665</v>
      </c>
      <c r="D53" t="s">
        <v>669</v>
      </c>
      <c r="E53" t="s">
        <v>776</v>
      </c>
    </row>
    <row r="54" spans="1:5">
      <c r="A54" s="127" t="s">
        <v>337</v>
      </c>
      <c r="B54" t="s">
        <v>605</v>
      </c>
      <c r="C54" t="s">
        <v>653</v>
      </c>
      <c r="D54" t="s">
        <v>670</v>
      </c>
      <c r="E54" t="s">
        <v>777</v>
      </c>
    </row>
    <row r="55" spans="1:5">
      <c r="A55" s="127" t="s">
        <v>337</v>
      </c>
      <c r="B55" t="s">
        <v>605</v>
      </c>
      <c r="C55" t="s">
        <v>653</v>
      </c>
      <c r="D55" t="s">
        <v>655</v>
      </c>
      <c r="E55" t="s">
        <v>778</v>
      </c>
    </row>
    <row r="56" spans="1:5">
      <c r="A56" s="127" t="s">
        <v>337</v>
      </c>
      <c r="B56" t="s">
        <v>605</v>
      </c>
      <c r="C56" t="s">
        <v>653</v>
      </c>
      <c r="D56" t="s">
        <v>671</v>
      </c>
      <c r="E56" t="s">
        <v>779</v>
      </c>
    </row>
    <row r="57" spans="1:5">
      <c r="A57" s="127" t="s">
        <v>337</v>
      </c>
      <c r="B57" t="s">
        <v>605</v>
      </c>
      <c r="C57" t="s">
        <v>653</v>
      </c>
      <c r="D57" t="s">
        <v>672</v>
      </c>
      <c r="E57" t="s">
        <v>780</v>
      </c>
    </row>
    <row r="58" spans="1:5">
      <c r="A58" s="121" t="s">
        <v>413</v>
      </c>
      <c r="B58" t="s">
        <v>605</v>
      </c>
      <c r="C58" t="s">
        <v>676</v>
      </c>
      <c r="D58" t="s">
        <v>677</v>
      </c>
      <c r="E58" t="s">
        <v>781</v>
      </c>
    </row>
    <row r="59" spans="1:5">
      <c r="A59" s="128" t="s">
        <v>450</v>
      </c>
      <c r="B59" t="s">
        <v>605</v>
      </c>
      <c r="C59" t="s">
        <v>676</v>
      </c>
      <c r="D59" t="s">
        <v>677</v>
      </c>
      <c r="E59" t="s">
        <v>782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04"/>
  <sheetViews>
    <sheetView showGridLines="0" topLeftCell="A91" zoomScaleNormal="100" workbookViewId="0">
      <selection activeCell="E83" sqref="E83:E104"/>
    </sheetView>
  </sheetViews>
  <sheetFormatPr defaultRowHeight="15"/>
  <cols>
    <col min="1" max="1" width="5.42578125" customWidth="1"/>
    <col min="2" max="2" width="35.85546875" customWidth="1"/>
    <col min="3" max="3" width="33" customWidth="1"/>
    <col min="4" max="4" width="85.28515625" customWidth="1"/>
    <col min="5" max="5" width="39.5703125" style="85" customWidth="1"/>
    <col min="6" max="6" width="4" customWidth="1"/>
  </cols>
  <sheetData>
    <row r="2" spans="1:29" ht="36">
      <c r="B2" s="78" t="s">
        <v>448</v>
      </c>
      <c r="D2" s="81" t="s">
        <v>0</v>
      </c>
      <c r="H2" s="82"/>
      <c r="T2" s="82"/>
    </row>
    <row r="3" spans="1:29">
      <c r="B3" s="76" t="s">
        <v>221</v>
      </c>
      <c r="C3" s="76" t="s">
        <v>579</v>
      </c>
      <c r="D3" s="76" t="s">
        <v>580</v>
      </c>
      <c r="E3" s="88" t="s">
        <v>228</v>
      </c>
      <c r="F3" s="4" t="s">
        <v>224</v>
      </c>
      <c r="AC3" t="s">
        <v>224</v>
      </c>
    </row>
    <row r="4" spans="1:29">
      <c r="A4">
        <f>LEN(D4)</f>
        <v>49</v>
      </c>
      <c r="B4" s="75" t="s">
        <v>222</v>
      </c>
      <c r="C4" s="54" t="s">
        <v>160</v>
      </c>
      <c r="D4" s="94" t="s">
        <v>161</v>
      </c>
      <c r="E4" s="77" t="str">
        <f t="shared" ref="E4:E48" si="0">IF(D4="","",""""&amp;C4&amp;" "&amp;IF(C4="[FOOTER RULE - STRICT]",D4,IF(RIGHT(D4,6)=" | "&amp;CHAR(34)&amp;" &amp;",D4,D4&amp;" | "&amp;CHAR(34)&amp;" &amp;")))</f>
        <v>"[ROLE] Friendly tutor specializing in " &amp; $I$2 &amp; " | " &amp;</v>
      </c>
      <c r="F4" s="54" t="s">
        <v>224</v>
      </c>
    </row>
    <row r="5" spans="1:29">
      <c r="A5">
        <f t="shared" ref="A5:A49" si="1">LEN(D5)</f>
        <v>16</v>
      </c>
      <c r="B5" s="75" t="s">
        <v>222</v>
      </c>
      <c r="C5" s="54" t="s">
        <v>164</v>
      </c>
      <c r="D5" s="94" t="s">
        <v>165</v>
      </c>
      <c r="E5" s="77" t="str">
        <f t="shared" si="0"/>
        <v>"[TOPIC] " &amp; I9 &amp; " | " &amp;</v>
      </c>
      <c r="F5" s="54" t="s">
        <v>224</v>
      </c>
    </row>
    <row r="6" spans="1:29">
      <c r="A6">
        <f t="shared" si="1"/>
        <v>16</v>
      </c>
      <c r="B6" s="75" t="s">
        <v>222</v>
      </c>
      <c r="C6" s="54" t="s">
        <v>166</v>
      </c>
      <c r="D6" s="94" t="s">
        <v>167</v>
      </c>
      <c r="E6" s="77" t="str">
        <f t="shared" si="0"/>
        <v>"[LEVEL] " &amp; G9 &amp; " | " &amp;</v>
      </c>
      <c r="F6" s="54" t="s">
        <v>224</v>
      </c>
    </row>
    <row r="7" spans="1:29">
      <c r="A7">
        <f t="shared" si="1"/>
        <v>25</v>
      </c>
      <c r="B7" s="75" t="s">
        <v>222</v>
      </c>
      <c r="C7" s="54" t="s">
        <v>168</v>
      </c>
      <c r="D7" s="94" t="s">
        <v>169</v>
      </c>
      <c r="E7" s="77" t="str">
        <f t="shared" si="0"/>
        <v>"[COUNT] " &amp; D9 &amp; " examples | " &amp;</v>
      </c>
      <c r="F7" s="54" t="s">
        <v>224</v>
      </c>
    </row>
    <row r="8" spans="1:29">
      <c r="A8">
        <f t="shared" si="1"/>
        <v>18</v>
      </c>
      <c r="B8" s="75" t="s">
        <v>222</v>
      </c>
      <c r="C8" s="54" t="s">
        <v>229</v>
      </c>
      <c r="D8" s="94" t="s">
        <v>267</v>
      </c>
      <c r="E8" s="77" t="str">
        <f t="shared" si="0"/>
        <v>"[LIBRARY BEING LEARNED] " &amp; $I$3 &amp; " | " &amp;</v>
      </c>
      <c r="F8" s="54" t="s">
        <v>224</v>
      </c>
    </row>
    <row r="9" spans="1:29">
      <c r="A9">
        <f t="shared" si="1"/>
        <v>364</v>
      </c>
      <c r="B9" s="75" t="s">
        <v>222</v>
      </c>
      <c r="C9" s="32" t="s">
        <v>225</v>
      </c>
      <c r="D9" s="94"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9" s="77" t="str">
        <f t="shared" si="0"/>
        <v>"[ECOSYSTEM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v>
      </c>
      <c r="F9" s="54" t="s">
        <v>224</v>
      </c>
    </row>
    <row r="10" spans="1:29">
      <c r="A10">
        <f t="shared" si="1"/>
        <v>406</v>
      </c>
      <c r="B10" s="75" t="s">
        <v>222</v>
      </c>
      <c r="C10" s="54" t="s">
        <v>172</v>
      </c>
      <c r="D10" s="94" t="s">
        <v>173</v>
      </c>
      <c r="E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5" t="s">
        <v>222</v>
      </c>
      <c r="C11" s="54" t="s">
        <v>491</v>
      </c>
      <c r="D11" s="94" t="s">
        <v>483</v>
      </c>
      <c r="E11" s="77"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5" t="s">
        <v>222</v>
      </c>
      <c r="C12" s="54" t="s">
        <v>218</v>
      </c>
      <c r="D12" s="94" t="s">
        <v>219</v>
      </c>
      <c r="E12" s="77" t="str">
        <f t="shared" si="0"/>
        <v>"[LANGUAGE] " &amp; $B$6 &amp; " | " &amp;</v>
      </c>
      <c r="F12" s="54" t="s">
        <v>224</v>
      </c>
    </row>
    <row r="13" spans="1:29">
      <c r="A13">
        <f t="shared" si="1"/>
        <v>255</v>
      </c>
      <c r="B13" s="75" t="s">
        <v>222</v>
      </c>
      <c r="C13" s="54" t="s">
        <v>231</v>
      </c>
      <c r="D13" s="94" t="s">
        <v>724</v>
      </c>
      <c r="E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331</v>
      </c>
      <c r="B14" s="75" t="s">
        <v>222</v>
      </c>
      <c r="C14" s="32" t="s">
        <v>179</v>
      </c>
      <c r="D14" s="94" t="str">
        <f>"Rule: " &amp; CHAR(34) &amp; " &amp; IF(G9=" &amp; CHAR(34) &amp; "Beginner" &amp; CHAR(34) &amp; "," &amp; CHAR(34) &amp; Variables!E10 &amp; CHAR(34) &amp; ", IF(G9=" &amp; CHAR(34) &amp; "Intermediate" &amp; CHAR(34) &amp; ", " &amp; CHAR(34) &amp; Variables!E11 &amp; CHAR(34) &amp; ", " &amp; CHAR(34) &amp; Variables!E13 &amp; CHAR(34) &amp; ")) &amp; " &amp; CHAR(34) &amp; " | " &amp; CHAR(34) &amp; " &amp;"</f>
        <v>Rule: " &amp; IF(G9="Beginner","Focus on basic GenServer implementations with simple init/1 and synchronous handle_call/3 callbacks.", IF(G9="Intermediate", "Integrate GenServer within a Supervisor tree. Use asynchronous handle_cast/2 and explicit state transitions.", "stateful GenServer state or external message passing")) &amp; " | " &amp;</v>
      </c>
      <c r="E14" s="77" t="str">
        <f t="shared" si="0"/>
        <v>"[FUNCTION RULE] Rule: " &amp; IF(G9="Beginner","Focus on basic GenServer implementations with simple init/1 and synchronous handle_call/3 callbacks.", IF(G9="Intermediate", "Integrate GenServer within a Supervisor tree. Use asynchronous handle_cast/2 and explicit state transitions.", "stateful GenServer state or external message passing")) &amp; " | " &amp;</v>
      </c>
      <c r="F14" s="54" t="s">
        <v>224</v>
      </c>
    </row>
    <row r="15" spans="1:29">
      <c r="A15">
        <f t="shared" si="1"/>
        <v>0</v>
      </c>
      <c r="B15" s="83" t="s">
        <v>223</v>
      </c>
      <c r="C15" s="54" t="s">
        <v>230</v>
      </c>
      <c r="D15" s="94"/>
      <c r="E15" s="77" t="str">
        <f t="shared" si="0"/>
        <v/>
      </c>
      <c r="F15" s="54" t="s">
        <v>224</v>
      </c>
    </row>
    <row r="16" spans="1:29">
      <c r="A16">
        <f t="shared" si="1"/>
        <v>0</v>
      </c>
      <c r="B16" s="83" t="s">
        <v>223</v>
      </c>
      <c r="C16" s="54" t="s">
        <v>230</v>
      </c>
      <c r="D16" s="94"/>
      <c r="E16" s="77" t="str">
        <f t="shared" si="0"/>
        <v/>
      </c>
      <c r="F16" s="54" t="s">
        <v>224</v>
      </c>
    </row>
    <row r="17" spans="1:6">
      <c r="A17">
        <f t="shared" si="1"/>
        <v>0</v>
      </c>
      <c r="B17" s="83" t="s">
        <v>223</v>
      </c>
      <c r="C17" s="54" t="s">
        <v>230</v>
      </c>
      <c r="D17" s="94"/>
      <c r="E17" s="77" t="str">
        <f t="shared" si="0"/>
        <v/>
      </c>
      <c r="F17" s="54" t="s">
        <v>224</v>
      </c>
    </row>
    <row r="18" spans="1:6">
      <c r="A18">
        <f t="shared" si="1"/>
        <v>260</v>
      </c>
      <c r="B18" s="83" t="s">
        <v>223</v>
      </c>
      <c r="C18" s="32" t="s">
        <v>612</v>
      </c>
      <c r="D18" s="94" t="str">
        <f>"Each example MUST: - Use " &amp; Variables!E13 &amp; " - Print steps &amp; result via " &amp; Variables!E14 &amp; " - MAX " &amp; CHAR(34) &amp; " &amp; $C9 &amp; " &amp; CHAR(34) &amp; " executable lines (comments/blanks excluded) - NEVER exceed limit. | " &amp; CHAR(34) &amp; " &amp;"</f>
        <v>Each example MUST: - Use stateful GenServer state or external message passing - Print steps &amp; result via Logger.info/debug or IO.inspect inside isolated process callbacks - MAX " &amp; $C9 &amp; " executable lines (comments/blanks excluded) - NEVER exceed limit. | " &amp;</v>
      </c>
      <c r="E18" s="77" t="str">
        <f t="shared" si="0"/>
        <v>"[CODE_CONSTRAINTS_RULE] Each example MUST: - Use stateful GenServer state or external message passing - Print steps &amp; result via Logger.info/debug or IO.inspect inside isolated process callbacks - MAX " &amp; $C9 &amp; " executable lines (comments/blanks excluded) - NEVER exceed limit. | " &amp;</v>
      </c>
      <c r="F18" s="54" t="s">
        <v>224</v>
      </c>
    </row>
    <row r="19" spans="1:6">
      <c r="A19">
        <f t="shared" si="1"/>
        <v>186</v>
      </c>
      <c r="B19" s="84" t="s">
        <v>223</v>
      </c>
      <c r="C19" s="32" t="s">
        <v>602</v>
      </c>
      <c r="D19" s="94" t="str">
        <f>"Use " &amp; Variables!E15 &amp; " and gracefully handle " &amp; Variables!E16 &amp; " when applicable. | " &amp; CHAR(34) &amp; " &amp;"</f>
        <v>Use standard OTP message passing via send/2 or GenServer.call/3 and gracefully handle {:reply, response, new_state}, {:noreply, new_state}, and {:ok, state} tuples when applicable. | " &amp;</v>
      </c>
      <c r="E19" s="77" t="str">
        <f t="shared" si="0"/>
        <v>"[I_O_PARADIGM] Use standard OTP message passing via send/2 or GenServer.call/3 and gracefully handle {:reply, response, new_state}, {:noreply, new_state}, and {:ok, state} tuples when applicable. | " &amp;</v>
      </c>
      <c r="F19" s="54" t="s">
        <v>224</v>
      </c>
    </row>
    <row r="20" spans="1:6">
      <c r="A20">
        <f t="shared" si="1"/>
        <v>198</v>
      </c>
      <c r="B20" s="84" t="s">
        <v>223</v>
      </c>
      <c r="C20" s="32" t="s">
        <v>603</v>
      </c>
      <c r="D20" s="94" t="str">
        <f>"If using external packages, use " &amp; Variables!E17 &amp; " at the top of the code block. Assume no project configuration file exists. | " &amp; CHAR(34) &amp; " &amp;"</f>
        <v>If using external packages, use Standard mix.exs dependencies list (defp deps do [{:package_name, '~&gt; version'}] end) at the top of the code block. Assume no project configuration file exists. | " &amp;</v>
      </c>
      <c r="E20" s="77" t="str">
        <f t="shared" si="0"/>
        <v>"[INLINE_PACKAGE_MANAGER] If using external packages, use Standard mix.exs dependencies list (defp deps do [{:package_name, '~&gt; version'}] end) at the top of the code block. Assume no project configuration file exists. | " &amp;</v>
      </c>
      <c r="F20" s="54" t="s">
        <v>224</v>
      </c>
    </row>
    <row r="21" spans="1:6">
      <c r="A21">
        <f t="shared" si="1"/>
        <v>349</v>
      </c>
      <c r="B21" s="83" t="s">
        <v>223</v>
      </c>
      <c r="C21" s="32" t="s">
        <v>604</v>
      </c>
      <c r="D21" s="94" t="str">
        <f>"For " &amp; Variables!E18 &amp; ", NEVER use " &amp; Variables!E19 &amp; ". Use " &amp; Variables!E20 &amp; ", as " &amp; Variables!E19 &amp; " fail in standalone execution environments. | " &amp; CHAR(34) &amp; " &amp;"</f>
        <v>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 &amp;</v>
      </c>
      <c r="E21" s="77" t="str">
        <f t="shared" si="0"/>
        <v>"[TESTING_FRAMEWORK_LIMITS]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 &amp;</v>
      </c>
      <c r="F21" s="54" t="s">
        <v>224</v>
      </c>
    </row>
    <row r="22" spans="1:6">
      <c r="A22">
        <f t="shared" si="1"/>
        <v>169</v>
      </c>
      <c r="B22" s="84" t="s">
        <v>271</v>
      </c>
      <c r="C22" s="54" t="s">
        <v>180</v>
      </c>
      <c r="D22" s="94" t="s">
        <v>715</v>
      </c>
      <c r="E22" s="77"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4" t="s">
        <v>271</v>
      </c>
      <c r="C23" s="54" t="s">
        <v>596</v>
      </c>
      <c r="D23" s="94" t="s">
        <v>716</v>
      </c>
      <c r="E23" s="77"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4" t="s">
        <v>271</v>
      </c>
      <c r="C24" s="54" t="s">
        <v>207</v>
      </c>
      <c r="D24" s="94" t="s">
        <v>280</v>
      </c>
      <c r="E24" s="77" t="str">
        <f t="shared" si="0"/>
        <v>"[FORMAT RULE] Only valid markdown code blocks allowed | " &amp;</v>
      </c>
      <c r="F24" s="54" t="s">
        <v>224</v>
      </c>
    </row>
    <row r="25" spans="1:6">
      <c r="A25">
        <f t="shared" si="1"/>
        <v>114</v>
      </c>
      <c r="B25" s="84" t="s">
        <v>271</v>
      </c>
      <c r="C25" s="54" t="s">
        <v>209</v>
      </c>
      <c r="D25" s="94" t="s">
        <v>599</v>
      </c>
      <c r="E25" s="77" t="str">
        <f t="shared" si="0"/>
        <v>"[LANGUAGE TAG RULE] ALWAYS label markdown code blocks with the correct underlying programming language (e.g., elixir, javascript, sql) | " &amp;</v>
      </c>
      <c r="F25" s="54" t="s">
        <v>224</v>
      </c>
    </row>
    <row r="26" spans="1:6">
      <c r="A26">
        <f t="shared" si="1"/>
        <v>324</v>
      </c>
      <c r="B26" s="84" t="s">
        <v>271</v>
      </c>
      <c r="C26" s="54" t="s">
        <v>215</v>
      </c>
      <c r="D26" s="94" t="s">
        <v>581</v>
      </c>
      <c r="E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4" t="s">
        <v>271</v>
      </c>
      <c r="C27" s="54" t="s">
        <v>187</v>
      </c>
      <c r="D27" s="94" t="s">
        <v>713</v>
      </c>
      <c r="E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4" t="s">
        <v>271</v>
      </c>
      <c r="C28" s="54" t="s">
        <v>170</v>
      </c>
      <c r="D28" s="94" t="s">
        <v>171</v>
      </c>
      <c r="E28" s="77" t="str">
        <f t="shared" si="0"/>
        <v>"[PERSONA RULE] Act as a friendly, clear tutor | " &amp;</v>
      </c>
      <c r="F28" s="54" t="s">
        <v>224</v>
      </c>
    </row>
    <row r="29" spans="1:6">
      <c r="A29">
        <f t="shared" si="1"/>
        <v>67</v>
      </c>
      <c r="B29" s="84" t="s">
        <v>271</v>
      </c>
      <c r="C29" s="54" t="s">
        <v>162</v>
      </c>
      <c r="D29" s="94" t="s">
        <v>163</v>
      </c>
      <c r="E29" s="77" t="str">
        <f t="shared" si="0"/>
        <v>"[TASK] Teach and explain concepts clearly with correct code examples | " &amp;</v>
      </c>
      <c r="F29" s="54" t="s">
        <v>224</v>
      </c>
    </row>
    <row r="30" spans="1:6">
      <c r="A30">
        <f t="shared" si="1"/>
        <v>545</v>
      </c>
      <c r="B30" s="84" t="s">
        <v>271</v>
      </c>
      <c r="C30" s="54" t="s">
        <v>177</v>
      </c>
      <c r="D30" s="94" t="s">
        <v>714</v>
      </c>
      <c r="E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4" t="s">
        <v>271</v>
      </c>
      <c r="C31" s="54" t="s">
        <v>180</v>
      </c>
      <c r="D31" s="94" t="s">
        <v>227</v>
      </c>
      <c r="E31" s="77" t="str">
        <f t="shared" si="0"/>
        <v>"[CODE QUALITY RULE] Code MUST be clean, readable, educational, executable, and produce correct and accurate results | " &amp;</v>
      </c>
      <c r="F31" s="54" t="s">
        <v>224</v>
      </c>
    </row>
    <row r="32" spans="1:6">
      <c r="A32">
        <f t="shared" si="1"/>
        <v>96</v>
      </c>
      <c r="B32" s="84" t="s">
        <v>271</v>
      </c>
      <c r="C32" s="54" t="s">
        <v>181</v>
      </c>
      <c r="D32" s="94" t="s">
        <v>182</v>
      </c>
      <c r="E32" s="77" t="str">
        <f t="shared" si="0"/>
        <v>"[COMMENT RULE - STRICT] Code MUST include sufficient inline comments explaining important lines and logical blocks | " &amp;</v>
      </c>
      <c r="F32" s="54" t="s">
        <v>224</v>
      </c>
    </row>
    <row r="33" spans="1:6">
      <c r="A33">
        <f t="shared" si="1"/>
        <v>77</v>
      </c>
      <c r="B33" s="84" t="s">
        <v>271</v>
      </c>
      <c r="C33" s="54" t="s">
        <v>183</v>
      </c>
      <c r="D33" s="94" t="s">
        <v>184</v>
      </c>
      <c r="E33" s="77" t="str">
        <f t="shared" si="0"/>
        <v>"[COMMENT DEPTH RULE] Comments MUST explain WHAT the code does AND WHY it is written that way | " &amp;</v>
      </c>
      <c r="F33" s="54" t="s">
        <v>224</v>
      </c>
    </row>
    <row r="34" spans="1:6">
      <c r="A34">
        <f t="shared" si="1"/>
        <v>101</v>
      </c>
      <c r="B34" s="84" t="s">
        <v>271</v>
      </c>
      <c r="C34" s="54" t="s">
        <v>197</v>
      </c>
      <c r="D34" s="94" t="s">
        <v>198</v>
      </c>
      <c r="E34" s="77" t="str">
        <f t="shared" si="0"/>
        <v>"[EXPLANATION RULE] Explanation within 'Mini-Lección' MUST explain WHAT, WHY, HOW, and real-world context concisely | " &amp;</v>
      </c>
      <c r="F34" s="54" t="s">
        <v>224</v>
      </c>
    </row>
    <row r="35" spans="1:6">
      <c r="A35">
        <f t="shared" si="1"/>
        <v>47</v>
      </c>
      <c r="B35" s="84" t="s">
        <v>271</v>
      </c>
      <c r="C35" s="54" t="s">
        <v>199</v>
      </c>
      <c r="D35" s="94" t="s">
        <v>200</v>
      </c>
      <c r="E35" s="77" t="str">
        <f t="shared" si="0"/>
        <v>"[LEARNING RULE] Each example MUST highlight a key insight | " &amp;</v>
      </c>
      <c r="F35" s="54" t="s">
        <v>224</v>
      </c>
    </row>
    <row r="36" spans="1:6">
      <c r="A36">
        <f t="shared" si="1"/>
        <v>53</v>
      </c>
      <c r="B36" s="84" t="s">
        <v>271</v>
      </c>
      <c r="C36" s="54" t="s">
        <v>201</v>
      </c>
      <c r="D36" s="94" t="s">
        <v>202</v>
      </c>
      <c r="E36" s="77" t="str">
        <f t="shared" si="0"/>
        <v>"[COMMON MISTAKES RULE] Include a short mistake note after each example | " &amp;</v>
      </c>
      <c r="F36" s="54" t="s">
        <v>224</v>
      </c>
    </row>
    <row r="37" spans="1:6">
      <c r="A37">
        <f t="shared" si="1"/>
        <v>63</v>
      </c>
      <c r="B37" s="84" t="s">
        <v>271</v>
      </c>
      <c r="C37" s="54" t="s">
        <v>203</v>
      </c>
      <c r="D37" s="94" t="s">
        <v>204</v>
      </c>
      <c r="E37" s="77" t="str">
        <f t="shared" si="0"/>
        <v>"[MINI CHALLENGE RULE] Include a short reinforcement question after each example | " &amp;</v>
      </c>
      <c r="F37" s="54" t="s">
        <v>224</v>
      </c>
    </row>
    <row r="38" spans="1:6">
      <c r="A38">
        <f t="shared" si="1"/>
        <v>51</v>
      </c>
      <c r="B38" s="84" t="s">
        <v>271</v>
      </c>
      <c r="C38" s="54" t="s">
        <v>205</v>
      </c>
      <c r="D38" s="94" t="s">
        <v>206</v>
      </c>
      <c r="E38" s="77" t="str">
        <f t="shared" si="0"/>
        <v>"[REAL WORLD RULE] Connect each example to a real-world use case | " &amp;</v>
      </c>
      <c r="F38" s="54" t="s">
        <v>224</v>
      </c>
    </row>
    <row r="39" spans="1:6">
      <c r="A39">
        <f t="shared" si="1"/>
        <v>45</v>
      </c>
      <c r="B39" s="84" t="s">
        <v>271</v>
      </c>
      <c r="C39" s="54" t="s">
        <v>207</v>
      </c>
      <c r="D39" s="94" t="s">
        <v>208</v>
      </c>
      <c r="E39" s="77" t="str">
        <f t="shared" si="0"/>
        <v>"[FORMAT RULE] Only valid markdown code blocks allowed | " &amp;</v>
      </c>
      <c r="F39" s="54" t="s">
        <v>224</v>
      </c>
    </row>
    <row r="40" spans="1:6">
      <c r="A40">
        <f t="shared" si="1"/>
        <v>120</v>
      </c>
      <c r="B40" s="84" t="s">
        <v>271</v>
      </c>
      <c r="C40" s="54" t="s">
        <v>209</v>
      </c>
      <c r="D40" s="94" t="s">
        <v>210</v>
      </c>
      <c r="E40" s="77" t="str">
        <f t="shared" si="0"/>
        <v>"[LANGUAGE TAG RULE] ALWAYS label markdown code blocks with the correct underlying programming language (e.g., python, javascript, sql) | " &amp;</v>
      </c>
      <c r="F40" s="54" t="s">
        <v>224</v>
      </c>
    </row>
    <row r="41" spans="1:6">
      <c r="A41">
        <f t="shared" si="1"/>
        <v>58</v>
      </c>
      <c r="B41" s="84" t="s">
        <v>271</v>
      </c>
      <c r="C41" s="54" t="s">
        <v>212</v>
      </c>
      <c r="D41" s="94" t="s">
        <v>213</v>
      </c>
      <c r="E41" s="77" t="str">
        <f t="shared" si="0"/>
        <v>"[CONSISTENCY RULE] All examples MUST have similar complexity and length | " &amp;</v>
      </c>
      <c r="F41" s="54" t="s">
        <v>224</v>
      </c>
    </row>
    <row r="42" spans="1:6">
      <c r="A42">
        <f t="shared" si="1"/>
        <v>75</v>
      </c>
      <c r="B42" s="84" t="s">
        <v>271</v>
      </c>
      <c r="C42" s="54" t="s">
        <v>214</v>
      </c>
      <c r="D42" s="94" t="s">
        <v>232</v>
      </c>
      <c r="E42" s="77" t="str">
        <f t="shared" si="0"/>
        <v>"[FINAL OUTPUT RULE] Include Key Takeaway section at the end | " &amp; IF(AJ9&lt;&gt;"", AJ9, "") &amp;" | " &amp;</v>
      </c>
      <c r="F42" s="54" t="s">
        <v>224</v>
      </c>
    </row>
    <row r="43" spans="1:6">
      <c r="A43">
        <f t="shared" si="1"/>
        <v>422</v>
      </c>
      <c r="B43" s="84" t="s">
        <v>271</v>
      </c>
      <c r="C43" s="54" t="s">
        <v>174</v>
      </c>
      <c r="D43" s="94" t="s">
        <v>717</v>
      </c>
      <c r="E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4" t="s">
        <v>271</v>
      </c>
      <c r="C44" s="54" t="s">
        <v>175</v>
      </c>
      <c r="D44" s="94" t="s">
        <v>176</v>
      </c>
      <c r="E44" s="77" t="str">
        <f t="shared" si="0"/>
        <v>"[DATA SUMMARY FORMAT RULE] When a dataset is present, you MUST display IMMEDIATELY AFTER THE HEADER: Dataset Summary: - File Type: - Columns / Fields: - Data Types: - Notes: | " &amp;</v>
      </c>
      <c r="F44" s="54" t="s">
        <v>224</v>
      </c>
    </row>
    <row r="45" spans="1:6">
      <c r="A45">
        <f t="shared" si="1"/>
        <v>28</v>
      </c>
      <c r="B45" s="84" t="s">
        <v>271</v>
      </c>
      <c r="C45" s="54" t="s">
        <v>192</v>
      </c>
      <c r="D45" s="94" t="s">
        <v>193</v>
      </c>
      <c r="E45" s="77" t="str">
        <f t="shared" si="0"/>
        <v>"[DATA CONSISTENCY RULE] Respect dataset schema | " &amp;</v>
      </c>
      <c r="F45" s="54" t="s">
        <v>224</v>
      </c>
    </row>
    <row r="46" spans="1:6">
      <c r="A46">
        <f t="shared" si="1"/>
        <v>87</v>
      </c>
      <c r="B46" s="84" t="s">
        <v>271</v>
      </c>
      <c r="C46" s="54" t="s">
        <v>185</v>
      </c>
      <c r="D46" s="94" t="s">
        <v>186</v>
      </c>
      <c r="E46" s="77" t="str">
        <f t="shared" si="0"/>
        <v>"[COMMENT DENSITY RULE] Beginner = high, Intermediate = medium, Advanced = lower but present in key logic | " &amp;</v>
      </c>
      <c r="F46" s="54" t="s">
        <v>224</v>
      </c>
    </row>
    <row r="47" spans="1:6">
      <c r="A47">
        <f t="shared" si="1"/>
        <v>33</v>
      </c>
      <c r="B47" s="84" t="s">
        <v>271</v>
      </c>
      <c r="C47" s="54" t="s">
        <v>195</v>
      </c>
      <c r="D47" s="94" t="s">
        <v>196</v>
      </c>
      <c r="E47" s="77" t="str">
        <f t="shared" si="0"/>
        <v>"[DIFFICULTY RULE] Complexity MUST match level | " &amp;</v>
      </c>
      <c r="F47" s="54" t="s">
        <v>224</v>
      </c>
    </row>
    <row r="48" spans="1:6">
      <c r="A48">
        <f t="shared" si="1"/>
        <v>78</v>
      </c>
      <c r="B48" s="84" t="s">
        <v>271</v>
      </c>
      <c r="C48" s="54" t="s">
        <v>216</v>
      </c>
      <c r="D48" s="94" t="s">
        <v>217</v>
      </c>
      <c r="E48" s="77" t="str">
        <f t="shared" si="0"/>
        <v>"[OUTPUT] Only header, introduction, examples, outputs, notes, summary, and footer | " &amp;</v>
      </c>
      <c r="F48" s="54" t="s">
        <v>224</v>
      </c>
    </row>
    <row r="49" spans="1:6">
      <c r="A49">
        <f t="shared" si="1"/>
        <v>166</v>
      </c>
      <c r="B49" s="84" t="s">
        <v>271</v>
      </c>
      <c r="C49" s="54" t="s">
        <v>220</v>
      </c>
      <c r="D49" s="94" t="s">
        <v>233</v>
      </c>
      <c r="E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4"/>
      <c r="C50" s="54"/>
      <c r="D50" s="94"/>
      <c r="E50" s="88" t="str">
        <f>"IF(H9=""PROJECT"", Z9, """"))"</f>
        <v>IF(H9="PROJECT", Z9, ""))</v>
      </c>
      <c r="F50" s="54"/>
    </row>
    <row r="51" spans="1:6">
      <c r="B51" s="74"/>
      <c r="C51" s="74"/>
      <c r="E51" s="86"/>
    </row>
    <row r="52" spans="1:6">
      <c r="B52" s="74"/>
      <c r="C52" s="74"/>
      <c r="E52" s="86"/>
    </row>
    <row r="53" spans="1:6" ht="36">
      <c r="B53" s="79" t="s">
        <v>447</v>
      </c>
      <c r="C53" s="74"/>
      <c r="E53" s="86"/>
    </row>
    <row r="54" spans="1:6">
      <c r="B54" s="76" t="s">
        <v>264</v>
      </c>
      <c r="C54" s="76" t="s">
        <v>579</v>
      </c>
      <c r="D54" s="76" t="s">
        <v>580</v>
      </c>
      <c r="E54" s="88" t="s">
        <v>265</v>
      </c>
      <c r="F54" s="32" t="s">
        <v>224</v>
      </c>
    </row>
    <row r="55" spans="1:6">
      <c r="B55" s="54" t="s">
        <v>222</v>
      </c>
      <c r="C55" s="54" t="s">
        <v>162</v>
      </c>
      <c r="D55" s="94" t="s">
        <v>268</v>
      </c>
      <c r="E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253</v>
      </c>
      <c r="D56" s="94" t="s">
        <v>725</v>
      </c>
      <c r="E56" s="77" t="str">
        <f t="shared" ref="E56:E79" si="2">IF(D56="","",""""&amp;C56&amp;" "&amp;IF(C56="[FOOTER RULE - STRICT]",D56,IF(RIGHT(D56,6)=" | "&amp;CHAR(34)&amp;" &amp;",D56,D56&amp;" | "&amp;CHAR(34)&amp;" &amp;")))</f>
        <v>"[TOPICS USED] " &amp; A9 &amp; " | " &amp;</v>
      </c>
      <c r="F56" s="32" t="s">
        <v>224</v>
      </c>
    </row>
    <row r="57" spans="1:6">
      <c r="B57" s="54" t="s">
        <v>222</v>
      </c>
      <c r="C57" s="54" t="s">
        <v>166</v>
      </c>
      <c r="D57" s="94" t="s">
        <v>167</v>
      </c>
      <c r="E57" s="77" t="str">
        <f t="shared" si="2"/>
        <v>"[LEVEL] " &amp; G9 &amp; " | " &amp;</v>
      </c>
      <c r="F57" s="32" t="s">
        <v>224</v>
      </c>
    </row>
    <row r="58" spans="1:6">
      <c r="B58" s="54" t="s">
        <v>222</v>
      </c>
      <c r="C58" s="54" t="s">
        <v>229</v>
      </c>
      <c r="D58" s="94" t="s">
        <v>267</v>
      </c>
      <c r="E58" s="77" t="str">
        <f t="shared" si="2"/>
        <v>"[LIBRARY BEING LEARNED] " &amp; $I$3 &amp; " | " &amp;</v>
      </c>
      <c r="F58" s="32" t="s">
        <v>224</v>
      </c>
    </row>
    <row r="59" spans="1:6">
      <c r="B59" s="75" t="s">
        <v>222</v>
      </c>
      <c r="C59" s="54" t="s">
        <v>225</v>
      </c>
      <c r="D59" s="94"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59" s="77"/>
      <c r="F59" s="32" t="s">
        <v>224</v>
      </c>
    </row>
    <row r="60" spans="1:6">
      <c r="B60" s="54" t="s">
        <v>222</v>
      </c>
      <c r="C60" s="54" t="s">
        <v>172</v>
      </c>
      <c r="D60" s="94" t="s">
        <v>254</v>
      </c>
      <c r="E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491</v>
      </c>
      <c r="D61" s="94" t="s">
        <v>483</v>
      </c>
      <c r="E61" s="77"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4" t="s">
        <v>219</v>
      </c>
      <c r="E62" s="77" t="str">
        <f t="shared" si="2"/>
        <v>"[LANGUAGE] " &amp; $B$6 &amp; " | " &amp;</v>
      </c>
      <c r="F62" s="32" t="s">
        <v>224</v>
      </c>
    </row>
    <row r="63" spans="1:6">
      <c r="B63" s="54" t="s">
        <v>223</v>
      </c>
      <c r="C63" s="54" t="s">
        <v>230</v>
      </c>
      <c r="D63" s="94"/>
      <c r="E63" s="77" t="str">
        <f t="shared" ref="E63:E64" si="3">IF(D63="","",""""&amp;C63&amp;" "&amp;IF(C63="[FOOTER RULE - STRICT]",D63,IF(RIGHT(D63,6)=" | "&amp;CHAR(34)&amp;" &amp;",D63,D63&amp;" | "&amp;CHAR(34)&amp;" &amp;")))</f>
        <v/>
      </c>
      <c r="F63" s="32" t="s">
        <v>224</v>
      </c>
    </row>
    <row r="64" spans="1:6">
      <c r="B64" s="54" t="s">
        <v>223</v>
      </c>
      <c r="C64" s="54" t="s">
        <v>230</v>
      </c>
      <c r="D64" s="94"/>
      <c r="E64" s="77" t="str">
        <f t="shared" si="3"/>
        <v/>
      </c>
      <c r="F64" s="32" t="s">
        <v>224</v>
      </c>
    </row>
    <row r="65" spans="2:6">
      <c r="B65" s="54" t="s">
        <v>223</v>
      </c>
      <c r="C65" s="54" t="s">
        <v>603</v>
      </c>
      <c r="D65" s="94" t="str">
        <f>"If the project requires an external package, you MUST use " &amp; Variables!E17 &amp; " at the top. | " &amp; CHAR(34) &amp; " &amp;"</f>
        <v>If the project requires an external package, you MUST use Standard mix.exs dependencies list (defp deps do [{:package_name, '~&gt; version'}] end) at the top. | " &amp;</v>
      </c>
      <c r="E65" s="77" t="str">
        <f t="shared" si="2"/>
        <v>"[INLINE_PACKAGE_MANAGER] If the project requires an external package, you MUST use Standard mix.exs dependencies list (defp deps do [{:package_name, '~&gt; version'}] end) at the top. | " &amp;</v>
      </c>
      <c r="F65" s="32" t="s">
        <v>224</v>
      </c>
    </row>
    <row r="66" spans="2:6">
      <c r="B66" s="54" t="s">
        <v>223</v>
      </c>
      <c r="C66" s="54" t="s">
        <v>624</v>
      </c>
      <c r="D66" s="94" t="str">
        <f>"Rule: " &amp; IF(F9="Beginner", Variables!E10, IF(F9="Intermediate", Variables!E11, Variables!E12)) &amp; " | " &amp; CHAR(34) &amp; " &amp;"</f>
        <v>Rule: Build fault-tolerant OTP apps with DynamicSupervisor, Registry for process discovery, and handle_info/2 handlers. | " &amp;</v>
      </c>
      <c r="E66" s="77" t="str">
        <f t="shared" si="2"/>
        <v>"[SCOPE_ARCHITECTURE_RULE] Rule: Build fault-tolerant OTP apps with DynamicSupervisor, Registry for process discovery, and handle_info/2 handlers. | " &amp;</v>
      </c>
      <c r="F66" s="32" t="s">
        <v>224</v>
      </c>
    </row>
    <row r="67" spans="2:6">
      <c r="B67" s="54" t="s">
        <v>223</v>
      </c>
      <c r="C67" s="54" t="s">
        <v>625</v>
      </c>
      <c r="D67" s="94" t="str">
        <f>"1. Use " &amp; Variables!E21 &amp; " to map code to the planning phase. 2. Use " &amp; Variables!E22 &amp; ". 3. CRITICAL: NO comment or docstring line may exceed " &amp; Variables!E23 &amp; " in width. | " &amp; CHAR(34) &amp; " &amp;"</f>
        <v>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 &amp;</v>
      </c>
      <c r="E67" s="77" t="str">
        <f t="shared" si="2"/>
        <v>"[VISUAL_ARCHITECTURE_COMMENTS]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 &amp;</v>
      </c>
      <c r="F67" s="32" t="s">
        <v>224</v>
      </c>
    </row>
    <row r="68" spans="2:6">
      <c r="B68" s="84" t="s">
        <v>271</v>
      </c>
      <c r="C68" s="54" t="s">
        <v>190</v>
      </c>
      <c r="D68" s="94" t="s">
        <v>419</v>
      </c>
      <c r="E68" s="77" t="str">
        <f t="shared" si="2"/>
        <v>"[DATA ROBUSTNESS RULE] Handle real-world data safely | " &amp;</v>
      </c>
      <c r="F68" s="32" t="s">
        <v>224</v>
      </c>
    </row>
    <row r="69" spans="2:6">
      <c r="B69" s="84" t="s">
        <v>271</v>
      </c>
      <c r="C69" s="54" t="s">
        <v>178</v>
      </c>
      <c r="D69" s="94" t="s">
        <v>600</v>
      </c>
      <c r="E69" s="77" t="str">
        <f t="shared" si="2"/>
        <v>"[CODE CONSTRAINTS] MUST be between " &amp; IF(G9="Beginner", "25–40", IF(G9="Intermediate", "30–60", "40–100")) &amp; " lines (STRICT) - Multi-step flow | " &amp;</v>
      </c>
      <c r="F69" s="32" t="s">
        <v>224</v>
      </c>
    </row>
    <row r="70" spans="2:6">
      <c r="B70" s="84" t="s">
        <v>271</v>
      </c>
      <c r="C70" s="54" t="s">
        <v>194</v>
      </c>
      <c r="D70" s="94" t="s">
        <v>425</v>
      </c>
      <c r="E70" s="77" t="str">
        <f t="shared" si="2"/>
        <v>"[SUPPORT FILES RULE] Include config files before code if needed | " &amp;</v>
      </c>
      <c r="F70" s="32" t="s">
        <v>224</v>
      </c>
    </row>
    <row r="71" spans="2:6">
      <c r="B71" s="84" t="s">
        <v>271</v>
      </c>
      <c r="C71" s="54" t="s">
        <v>174</v>
      </c>
      <c r="D71" s="94" t="s">
        <v>255</v>
      </c>
      <c r="E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4" t="s">
        <v>271</v>
      </c>
      <c r="C72" s="54" t="s">
        <v>177</v>
      </c>
      <c r="D72" s="94" t="s">
        <v>256</v>
      </c>
      <c r="E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4" t="s">
        <v>271</v>
      </c>
      <c r="C73" s="54" t="s">
        <v>180</v>
      </c>
      <c r="D73" s="94" t="s">
        <v>257</v>
      </c>
      <c r="E73" s="77" t="str">
        <f t="shared" si="2"/>
        <v>"[CODE QUALITY RULE] Code MUST be clean, readable, correct, and educational | " &amp;</v>
      </c>
      <c r="F73" s="32" t="s">
        <v>224</v>
      </c>
    </row>
    <row r="74" spans="2:6">
      <c r="B74" s="84" t="s">
        <v>271</v>
      </c>
      <c r="C74" s="54" t="s">
        <v>207</v>
      </c>
      <c r="D74" s="94" t="s">
        <v>258</v>
      </c>
      <c r="E74" s="77" t="str">
        <f t="shared" si="2"/>
        <v>"[FORMAT RULE] Only markdown code blocks allowed | " &amp;</v>
      </c>
      <c r="F74" s="32" t="s">
        <v>224</v>
      </c>
    </row>
    <row r="75" spans="2:6">
      <c r="B75" s="84" t="s">
        <v>271</v>
      </c>
      <c r="C75" s="54" t="s">
        <v>259</v>
      </c>
      <c r="D75" s="94" t="s">
        <v>260</v>
      </c>
      <c r="E75" s="77" t="str">
        <f t="shared" si="2"/>
        <v>"[EXECUTION RULE] Code MUST run and produce correct output | " &amp;</v>
      </c>
      <c r="F75" s="32" t="s">
        <v>224</v>
      </c>
    </row>
    <row r="76" spans="2:6">
      <c r="B76" s="84" t="s">
        <v>271</v>
      </c>
      <c r="C76" s="54" t="s">
        <v>212</v>
      </c>
      <c r="D76" s="94" t="s">
        <v>261</v>
      </c>
      <c r="E76" s="77" t="str">
        <f t="shared" si="2"/>
        <v>"[CONSISTENCY RULE] Project must match objective | " &amp;</v>
      </c>
      <c r="F76" s="32" t="s">
        <v>224</v>
      </c>
    </row>
    <row r="77" spans="2:6">
      <c r="B77" s="84" t="s">
        <v>271</v>
      </c>
      <c r="C77" s="54" t="s">
        <v>215</v>
      </c>
      <c r="D77" s="94" t="s">
        <v>582</v>
      </c>
      <c r="E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4" t="s">
        <v>271</v>
      </c>
      <c r="C78" s="54" t="s">
        <v>216</v>
      </c>
      <c r="D78" s="94" t="s">
        <v>262</v>
      </c>
      <c r="E78" s="77" t="str">
        <f t="shared" si="2"/>
        <v>"[OUTPUT] Only header, dataset notice, objective, support file, code planning, expected output, code, and footer | " &amp;</v>
      </c>
      <c r="F78" s="32" t="s">
        <v>224</v>
      </c>
    </row>
    <row r="79" spans="2:6">
      <c r="B79" s="84" t="s">
        <v>271</v>
      </c>
      <c r="C79" s="54" t="s">
        <v>220</v>
      </c>
      <c r="D79" s="94" t="s">
        <v>263</v>
      </c>
      <c r="E79" s="77"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6"/>
      <c r="F80" t="s">
        <v>224</v>
      </c>
    </row>
    <row r="82" spans="2:6" ht="36">
      <c r="B82" s="80" t="s">
        <v>269</v>
      </c>
    </row>
    <row r="83" spans="2:6">
      <c r="B83" s="76" t="s">
        <v>221</v>
      </c>
      <c r="C83" s="76" t="s">
        <v>579</v>
      </c>
      <c r="D83" s="76" t="s">
        <v>580</v>
      </c>
      <c r="E83" s="88" t="s">
        <v>234</v>
      </c>
      <c r="F83" s="54" t="s">
        <v>224</v>
      </c>
    </row>
    <row r="84" spans="2:6">
      <c r="B84" s="54" t="s">
        <v>222</v>
      </c>
      <c r="C84" s="54" t="s">
        <v>235</v>
      </c>
      <c r="D84" s="94" t="s">
        <v>249</v>
      </c>
      <c r="E84" s="77"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4" t="s">
        <v>245</v>
      </c>
      <c r="E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4" t="s">
        <v>726</v>
      </c>
      <c r="E86" s="77"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4" t="s">
        <v>267</v>
      </c>
      <c r="E87" s="77"/>
      <c r="F87" s="54"/>
    </row>
    <row r="88" spans="2:6">
      <c r="B88" s="54" t="s">
        <v>222</v>
      </c>
      <c r="C88" s="54" t="s">
        <v>172</v>
      </c>
      <c r="D88" s="94" t="s">
        <v>247</v>
      </c>
      <c r="E88" s="77" t="str">
        <f t="shared" si="4"/>
        <v>"[LANGUAGE CONSISTENCY RULE] ALL output text MUST be written strictly in (" &amp; $B$6 &amp; "). | " &amp;</v>
      </c>
      <c r="F88" s="54" t="s">
        <v>224</v>
      </c>
    </row>
    <row r="89" spans="2:6">
      <c r="B89" s="54" t="s">
        <v>222</v>
      </c>
      <c r="C89" s="54" t="s">
        <v>491</v>
      </c>
      <c r="D89" s="94" t="s">
        <v>483</v>
      </c>
      <c r="E89" s="77"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4" t="s">
        <v>250</v>
      </c>
      <c r="E90" s="77" t="str">
        <f>IF(D90="","",""""&amp;C90&amp;" "&amp;IF(C90="[FOOTER RULE - STRICT]",D90,IF(RIGHT(D90,6)=" | "&amp;CHAR(34)&amp;" &amp;",D90,D90&amp;" | "&amp;CHAR(34)&amp;" &amp;")))</f>
        <v>"[LANGUAGE] " &amp; $B$6 &amp;" | " &amp;</v>
      </c>
      <c r="F90" s="54" t="s">
        <v>224</v>
      </c>
    </row>
    <row r="91" spans="2:6">
      <c r="B91" s="54" t="s">
        <v>223</v>
      </c>
      <c r="C91" s="54" t="s">
        <v>230</v>
      </c>
      <c r="D91" s="94"/>
      <c r="E91" s="77" t="str">
        <f t="shared" ref="E91:E92" si="5">IF(D91="","",""""&amp;C91&amp;" "&amp;IF(C91="[FOOTER RULE - STRICT]",D91,IF(RIGHT(D91,6)=" | "&amp;CHAR(34)&amp;" &amp;",D91,D91&amp;" | "&amp;CHAR(34)&amp;" &amp;")))</f>
        <v/>
      </c>
      <c r="F91" s="54" t="s">
        <v>224</v>
      </c>
    </row>
    <row r="92" spans="2:6">
      <c r="B92" s="54" t="s">
        <v>223</v>
      </c>
      <c r="C92" s="54" t="s">
        <v>230</v>
      </c>
      <c r="D92" s="94"/>
      <c r="E92" s="77" t="str">
        <f t="shared" si="5"/>
        <v/>
      </c>
      <c r="F92" s="54" t="s">
        <v>224</v>
      </c>
    </row>
    <row r="93" spans="2:6">
      <c r="B93" s="54" t="s">
        <v>223</v>
      </c>
      <c r="C93" s="54" t="s">
        <v>629</v>
      </c>
      <c r="D93" s="94" t="str">
        <f>CHAR(34) &amp; "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&amp; IF(G9="Beginner", "Evaluate based on basic GenServer structure (init/1, handle_call/3). Do NOT expect full Supervisor trees unless explicitly demanded.", IF(G9="Intermediate", "Expect GenServer behaviors integrated into a standard Supervisor. Look for proper state isolation and appropriate use of handle_cast/2 to avoid blocking.", "Expect complete OTP apps with DynamicSupervisor, clean separation of Client API/Server Callbacks, and handle_info/2 pattern matching.")) &amp; " | " &amp;</v>
      </c>
      <c r="E93" s="77" t="str">
        <f>IF(D93="","",""""&amp;C93&amp;" "&amp;IF(C93="[FOOTER RULE - STRICT]",D93,IF(RIGHT(D93,6)=" | "&amp;CHAR(34)&amp;" &amp;",D93,D93&amp;" | "&amp;CHAR(34)&amp;" &amp;")))</f>
        <v>"[MENTOR_SCOPE_EXPECTATIONS] " &amp; IF(G9="Beginner", "Evaluate based on basic GenServer structure (init/1, handle_call/3). Do NOT expect full Supervisor trees unless explicitly demanded.", IF(G9="Intermediate", "Expect GenServer behaviors integrated into a standard Supervisor. Look for proper state isolation and appropriate use of handle_cast/2 to avoid blocking.", "Expect complete OTP apps with DynamicSupervisor, clean separation of Client API/Server Callbacks, and handle_info/2 pattern matching.")) &amp; " | " &amp;</v>
      </c>
      <c r="F93" s="54" t="s">
        <v>224</v>
      </c>
    </row>
    <row r="94" spans="2:6">
      <c r="B94" s="54" t="s">
        <v>223</v>
      </c>
      <c r="C94" s="54" t="s">
        <v>630</v>
      </c>
      <c r="D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&amp; IF(AJ9&lt;&gt;"", "[MENTOR CONTEXT ALERT] Be aware of the following infrastructure limitation for this exercise: " &amp; AJ9 &amp; " Use this knowledge to reassure the student if they present an environment error. | ", "") &amp; " | " &amp;</v>
      </c>
      <c r="E94" s="77" t="str">
        <f>IF(D94="","",""""&amp;C94&amp;" "&amp;IF(C94="[FOOTER RULE - STRICT]",D94,IF(RIGHT(D94,6)=" | "&amp;CHAR(34)&amp;" &amp;",D94,D94&amp;" | "&amp;CHAR(34)&amp;" &amp;")))</f>
        <v>"[CODE_QUALITY_POLICIES]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&amp; IF(AJ9&lt;&gt;"", "[MENTOR CONTEXT ALERT] Be aware of the following infrastructure limitation for this exercise: " &amp; AJ9 &amp; " Use this knowledge to reassure the student if they present an environment error. | ", "") &amp; " | " &amp;</v>
      </c>
      <c r="F94" s="54" t="s">
        <v>224</v>
      </c>
    </row>
    <row r="95" spans="2:6">
      <c r="B95" s="84" t="s">
        <v>271</v>
      </c>
      <c r="C95" s="54" t="s">
        <v>174</v>
      </c>
      <c r="D95" s="94" t="s">
        <v>248</v>
      </c>
      <c r="E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4" t="s">
        <v>271</v>
      </c>
      <c r="C96" s="54" t="s">
        <v>238</v>
      </c>
      <c r="D96" s="94" t="s">
        <v>251</v>
      </c>
      <c r="E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4" t="s">
        <v>271</v>
      </c>
      <c r="C97" s="54" t="s">
        <v>162</v>
      </c>
      <c r="D97" s="94" t="s">
        <v>246</v>
      </c>
      <c r="E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4" t="s">
        <v>271</v>
      </c>
      <c r="C98" s="54" t="s">
        <v>239</v>
      </c>
      <c r="D98" s="94" t="s">
        <v>311</v>
      </c>
      <c r="E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8" s="54" t="s">
        <v>224</v>
      </c>
    </row>
    <row r="99" spans="2:6">
      <c r="B99" s="84" t="s">
        <v>271</v>
      </c>
      <c r="C99" s="54" t="s">
        <v>240</v>
      </c>
      <c r="D99" s="94" t="s">
        <v>307</v>
      </c>
      <c r="E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4" t="s">
        <v>271</v>
      </c>
      <c r="C100" s="54" t="s">
        <v>241</v>
      </c>
      <c r="D100" s="94" t="s">
        <v>310</v>
      </c>
      <c r="E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4" t="s">
        <v>271</v>
      </c>
      <c r="C101" s="54" t="s">
        <v>242</v>
      </c>
      <c r="D101" s="94" t="s">
        <v>252</v>
      </c>
      <c r="E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4" t="s">
        <v>271</v>
      </c>
      <c r="C102" s="54" t="s">
        <v>244</v>
      </c>
      <c r="D102" s="94" t="s">
        <v>308</v>
      </c>
      <c r="E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4" t="s">
        <v>271</v>
      </c>
      <c r="C103" s="54" t="s">
        <v>215</v>
      </c>
      <c r="D103" s="94" t="s">
        <v>583</v>
      </c>
      <c r="E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4" t="s">
        <v>271</v>
      </c>
      <c r="C104" s="54" t="s">
        <v>220</v>
      </c>
      <c r="D104" s="94" t="s">
        <v>309</v>
      </c>
      <c r="E104" s="77" t="str">
        <f t="shared" si="4"/>
        <v>"[FOOTER RULE - STRICT] End your response with: '--- ⚡ *Coding5s Mentor System — Eliminating Epistemic Debt*' | ","")</v>
      </c>
      <c r="F104" s="54" t="s">
        <v>224</v>
      </c>
    </row>
  </sheetData>
  <conditionalFormatting sqref="B1:B1048576">
    <cfRule type="cellIs" dxfId="56" priority="16" operator="equal">
      <formula>"The Immutable ""Kernel"""</formula>
    </cfRule>
    <cfRule type="cellIs" dxfId="55" priority="17" operator="equal">
      <formula>"Paradigm &amp; Ecosystem"</formula>
    </cfRule>
    <cfRule type="cellIs" dxfId="54" priority="18" operator="equal">
      <formula>"Global Variables &amp; Configuration"</formula>
    </cfRule>
  </conditionalFormatting>
  <conditionalFormatting sqref="C4:C50">
    <cfRule type="expression" dxfId="53" priority="13">
      <formula>$B4="The Immutable Kernel"</formula>
    </cfRule>
    <cfRule type="expression" dxfId="52" priority="14">
      <formula>$B4="Paradigm &amp; Ecosystem"</formula>
    </cfRule>
    <cfRule type="expression" dxfId="51" priority="15">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7">
      <formula>$B84="The Immutable Kernel"</formula>
    </cfRule>
    <cfRule type="expression" dxfId="46" priority="8">
      <formula>$B84="Paradigm &amp; Ecosystem"</formula>
    </cfRule>
    <cfRule type="expression" dxfId="45" priority="9">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6"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364</v>
      </c>
      <c r="B10" s="75" t="s">
        <v>222</v>
      </c>
      <c r="C10" s="32" t="s">
        <v>225</v>
      </c>
      <c r="D10" s="93"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10" s="77" t="str">
        <f t="shared" si="0"/>
        <v>"[ECOSYSTEM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457</v>
      </c>
      <c r="B16" s="83" t="s">
        <v>223</v>
      </c>
      <c r="C16" s="32" t="s">
        <v>188</v>
      </c>
      <c r="D16" s="93" t="str">
        <f>Variables!E31 &amp; " | " &amp; Variables!E32 &amp; " | " &amp; Variables!E33 &amp; " | " &amp; CHAR(34) &amp; " &amp;"</f>
        <v>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 &amp;</v>
      </c>
      <c r="E16" s="77" t="str">
        <f t="shared" si="0"/>
        <v>"[FILE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 &amp;</v>
      </c>
      <c r="F16" s="54" t="s">
        <v>224</v>
      </c>
    </row>
    <row r="17" spans="1:6">
      <c r="A17">
        <f t="shared" si="1"/>
        <v>157</v>
      </c>
      <c r="B17" s="83" t="s">
        <v>223</v>
      </c>
      <c r="C17" s="32" t="s">
        <v>598</v>
      </c>
      <c r="D17" s="93" t="str">
        <f>Variables!E34 &amp; " | " &amp; CHAR(34) &amp; " &amp;"</f>
        <v>Always use use ExUnit.Case, async: true. You MUST use assert_receive or sys.get_state/1 for process testing. Avoid doctests for stateful OTP processes. | " &amp;</v>
      </c>
      <c r="E17" s="77" t="str">
        <f t="shared" si="0"/>
        <v>"[EXUNIT RULE] Always use use ExUnit.Case, async: true. You MUST use assert_receive or sys.get_state/1 for process testing. Avoid doctests for stateful OTP processes. | " &amp;</v>
      </c>
      <c r="F17" s="54" t="s">
        <v>224</v>
      </c>
    </row>
    <row r="18" spans="1:6">
      <c r="A18">
        <f t="shared" si="1"/>
        <v>158</v>
      </c>
      <c r="B18" s="54" t="s">
        <v>223</v>
      </c>
      <c r="C18" s="32" t="s">
        <v>597</v>
      </c>
      <c r="D18" s="93" t="str">
        <f>Variables!E35 &amp; " | " &amp; CHAR(34) &amp; " &amp;"</f>
        <v>Assume a standard Mix project context. External Hex dependencies MUST be specified strictly within the deps/0 block of mix.exs. NEVER use Mix.install/2. | " &amp;</v>
      </c>
      <c r="E18" s="77" t="str">
        <f t="shared" si="0"/>
        <v>"[HEX DEPENDENCIES RULE] Assume a standard Mix project context. External Hex dependencies MUST be specified strictly within the deps/0 block of mix.exs. NEVER use Mix.install/2. | " &amp;</v>
      </c>
      <c r="F18" s="54" t="s">
        <v>224</v>
      </c>
    </row>
    <row r="19" spans="1:6">
      <c r="A19">
        <f t="shared" si="1"/>
        <v>482</v>
      </c>
      <c r="B19" s="54" t="s">
        <v>223</v>
      </c>
      <c r="C19" s="32" t="s">
        <v>178</v>
      </c>
      <c r="D19" s="93" t="str">
        <f>Variables!E36 &amp; " - " &amp; CHAR(34) &amp; " &amp; IF(G9=" &amp; CHAR(34) &amp; "Beginner" &amp; CHAR(34) &amp; ", " &amp; CHAR(34) &amp; "5–15" &amp; CHAR(34) &amp; ", IF(G9=" &amp; CHAR(34) &amp; "Intermediate" &amp; CHAR(34) &amp; ", " &amp; CHAR(34) &amp; "10–25" &amp; CHAR(34) &amp; ", " &amp; CHAR(34) &amp; "15–35" &amp; CHAR(34) &amp; ")) &amp; " &amp; CHAR(34) &amp; " " &amp; Variables!E37 &amp; " | " &amp; Variables!E38 &amp; " | " &amp; CHAR(34) &amp; " &amp;"</f>
        <v>Each challenge MUST include: - At least 1 GenServer or Supervisor - Explicit state initialization (init/1) - At least 1 synchronous or asynchronous OTP callback handler - " &amp; IF(G9="Beginner", "5–15", IF(G9="Intermediate", "10–25", "15–35")) &amp; " lines of EXECUTABLE broken OTP code per example (STRICT: Do NOT count blank lines). Enforce immutable state transitions across process boundaries. | All challenges MUST have similar process tree depth and architectural complexity. | " &amp;</v>
      </c>
      <c r="E19" s="77" t="str">
        <f t="shared" si="0"/>
        <v>"[CODE CONSTRAINTS] Each challenge MUST include: - At least 1 GenServer or Supervisor - Explicit state initialization (init/1) - At least 1 synchronous or asynchronous OTP callback handler - " &amp; IF(G9="Beginner", "5–15", IF(G9="Intermediate", "10–25", "15–35")) &amp; " lines of EXECUTABLE broken OTP code per example (STRICT: Do NOT count blank lines). Enforce immutable state transitions across process boundaries. | All challenges MUST have similar process tree depth and architectural complexity. | " &amp;</v>
      </c>
      <c r="F19" s="54" t="s">
        <v>224</v>
      </c>
    </row>
    <row r="20" spans="1:6">
      <c r="A20">
        <f t="shared" si="1"/>
        <v>888</v>
      </c>
      <c r="B20" s="54" t="s">
        <v>271</v>
      </c>
      <c r="C20" s="54" t="s">
        <v>187</v>
      </c>
      <c r="D20" s="93" t="s">
        <v>718</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719</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720</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725</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222</v>
      </c>
      <c r="C55" s="54" t="s">
        <v>225</v>
      </c>
      <c r="D55" s="93"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55" s="77" t="str">
        <f t="shared" si="2"/>
        <v>"[ECOSYSTEM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54" t="s">
        <v>292</v>
      </c>
      <c r="D59" s="93" t="str">
        <f>Variables!E39 &amp; " " &amp; Variables!E40 &amp; " " &amp; Variables!E41 &amp; " " &amp; Variables!E42 &amp; " | " &amp; CHAR(34) &amp; " &amp;"</f>
        <v>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 &amp;</v>
      </c>
      <c r="E59" s="77" t="str">
        <f t="shared" si="2"/>
        <v>"[BUG RULE] 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601</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727</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54" t="s">
        <v>243</v>
      </c>
      <c r="D90" s="93" t="str">
        <f>Variables!E43 &amp; " " &amp; Variables!E44 &amp; " " &amp; Variables!E45 &amp; " " &amp; Variables!E46 &amp; " | " &amp; CHAR(34) &amp; " &amp;"</f>
        <v>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 &amp;</v>
      </c>
      <c r="E90" s="17" t="str">
        <f t="shared" si="3"/>
        <v>"[PYTHON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6"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54" t="s">
        <v>225</v>
      </c>
      <c r="D10" s="92"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10" s="77" t="str">
        <f t="shared" si="0"/>
        <v>"[ECOSYSTEM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663</v>
      </c>
      <c r="D15" s="92" t="str">
        <f>Variables!E47 &amp; " | " &amp; CHAR(34) &amp; " &amp;"</f>
        <v>External Hex packages MUST be added to the deps/0 function in a standard mix.exs file. Do not use standalone scripts or Mix.install/2. | " &amp;</v>
      </c>
      <c r="E15" s="77" t="str">
        <f t="shared" si="0"/>
        <v>"[EXTERNAL_PACKAGE_PROTOCOL] External Hex packages MUST be added to the deps/0 function in a standard mix.exs file. Do not use standalone scripts or Mix.install/2. | " &amp;</v>
      </c>
      <c r="F15" s="54" t="s">
        <v>224</v>
      </c>
    </row>
    <row r="16" spans="2:29">
      <c r="B16" s="83" t="s">
        <v>223</v>
      </c>
      <c r="C16" s="54" t="s">
        <v>664</v>
      </c>
      <c r="D16" s="92" t="str">
        <f>Variables!E48 &amp; " | " &amp; CHAR(34) &amp; " &amp;"</f>
        <v>Tests MUST run isolated async processes (use ExUnit.Case, async: true). NEVER hack process links manually; use assert_receive to verify OTP flows. | " &amp;</v>
      </c>
      <c r="E16" s="77" t="str">
        <f t="shared" si="0"/>
        <v>"[TESTING_FRAMEWORK_PROTOCOL] Tests MUST run isolated async processes (use ExUnit.Case, async: true). NEVER hack process links manually; use assert_receive to verify OTP flows. | " &amp;</v>
      </c>
      <c r="F16" s="54" t="s">
        <v>224</v>
      </c>
    </row>
    <row r="17" spans="2:6">
      <c r="B17" s="83" t="s">
        <v>223</v>
      </c>
      <c r="C17" s="54" t="s">
        <v>665</v>
      </c>
      <c r="D17" s="92" t="str">
        <f>Variables!E49 &amp; " - " &amp; CHAR(34) &amp; " &amp; IF(G9=" &amp; CHAR(34) &amp; "Beginner" &amp; CHAR(34) &amp; "," &amp; CHAR(34) &amp; "5–15" &amp; CHAR(34) &amp; ", IF(G9=" &amp; CHAR(34) &amp; "Intermediate" &amp; CHAR(34) &amp; "," &amp; CHAR(34) &amp; "10–25" &amp; CHAR(34) &amp; "," &amp; CHAR(34) &amp; "15–35" &amp; CHAR(34) &amp; ")) &amp; " &amp; CHAR(34) &amp; " " &amp; Variables!E50 &amp; " | " &amp; CHAR(34) &amp; " &amp;"</f>
        <v>Each challenge MUST include: - A functional GenServer or Supervisor tree managing continuous isolated state. - " &amp; IF(G9="Beginner","5–15", IF(G9="Intermediate","10–25","15–35")) &amp; " lines of EXECUTABLE base OTP code (STRICT: Do NOT count comments or TODOs). Length MUST vary. Enforce isolated immutable process state. | " &amp;</v>
      </c>
      <c r="E17" s="77" t="str">
        <f t="shared" si="0"/>
        <v>"[CHALLENGE_CONSTRAINTS_POLICY] Each challenge MUST include: - A functional GenServer or Supervisor tree managing continuous isolated state. - " &amp; IF(G9="Beginner","5–15", IF(G9="Intermediate","10–25","15–35")) &amp; " lines of EXECUTABLE base OTP code (STRICT: Do NOT count comments or TODOs). Length MUST vary. Enforce isolated immutable process state. | " &amp;</v>
      </c>
      <c r="F17" s="54" t="s">
        <v>224</v>
      </c>
    </row>
    <row r="18" spans="2:6">
      <c r="B18" s="83" t="s">
        <v>271</v>
      </c>
      <c r="C18" s="54" t="s">
        <v>207</v>
      </c>
      <c r="D18" s="92" t="s">
        <v>658</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52"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725</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53" s="77"/>
      <c r="F53" s="32" t="s">
        <v>224</v>
      </c>
    </row>
    <row r="54" spans="2:6">
      <c r="B54" s="54" t="s">
        <v>222</v>
      </c>
      <c r="C54" s="54" t="s">
        <v>172</v>
      </c>
      <c r="D54" s="92" t="s">
        <v>254</v>
      </c>
      <c r="E54" s="77" t="str">
        <f t="shared" ref="E54:E76" si="2">IF(D54="","",""""&amp;C54&amp;" "&amp;IF(C54="[FOOTER RULE - STRICT]",D54,IF(RIGHT(D54,6)=" | "&amp;CHAR(34)&amp;" &amp;",D54,D54&amp;" | "&amp;CHAR(34)&amp;" &amp;")))</f>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2"/>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2"/>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54" t="s">
        <v>663</v>
      </c>
      <c r="D57" s="92" t="str">
        <f>Variables!E51 &amp; " | " &amp; CHAR(34) &amp; " &amp;"</f>
        <v>Require standard mix.exs tooling for dependencies. Do NOT use Mix.install/2. | " &amp;</v>
      </c>
      <c r="E57" s="77" t="str">
        <f t="shared" si="2"/>
        <v>"[EXTERNAL_PACKAGE_PROTOCOL] Require standard mix.exs tooling for dependencies. Do NOT use Mix.install/2. | " &amp;</v>
      </c>
      <c r="F57" s="32" t="s">
        <v>224</v>
      </c>
    </row>
    <row r="58" spans="2:6">
      <c r="B58" s="54" t="s">
        <v>223</v>
      </c>
      <c r="C58" s="54" t="s">
        <v>665</v>
      </c>
      <c r="D58" s="92" t="str">
        <f>Variables!E52 &amp; " " &amp; CHAR(34) &amp; " &amp; IF(G9=" &amp; CHAR(34) &amp; "Beginner" &amp; CHAR(34) &amp; "," &amp; CHAR(34) &amp; "25–40" &amp; CHAR(34) &amp; ", IF(G9=" &amp; CHAR(34) &amp; "Intermediate" &amp; CHAR(34) &amp; "," &amp; CHAR(34) &amp; "30–60" &amp; CHAR(34) &amp; "," &amp; CHAR(34) &amp; "40–100" &amp; CHAR(34) &amp; ")) &amp; " &amp; CHAR(34) &amp; " " &amp; Variables!E53 &amp; " | " &amp; CHAR(34) &amp; " &amp;"</f>
        <v>MUST be between " &amp; IF(G9="Beginner","25–40", IF(G9="Intermediate","30–60","40–100")) &amp; " lines of EXECUTABLE base OTP code (STRICT: Do NOT count comments or TODOs). Must feature inter-process communication or supervision tree flows. | " &amp;</v>
      </c>
      <c r="E58" s="77" t="str">
        <f t="shared" si="2"/>
        <v>"[CHALLENGE_CONSTRAINTS_POLICY] MUST be between " &amp; IF(G9="Beginner","25–40", IF(G9="Intermediate","30–60","40–100")) &amp; " lines of EXECUTABLE base OTP code (STRICT: Do NOT count comments or TODOs). Must feature inter-process communication or supervision tree flows. | " &amp;</v>
      </c>
      <c r="F58" s="32" t="s">
        <v>224</v>
      </c>
    </row>
    <row r="59" spans="2:6">
      <c r="B59" s="54" t="s">
        <v>271</v>
      </c>
      <c r="C59" s="54" t="s">
        <v>207</v>
      </c>
      <c r="D59" s="92" t="s">
        <v>280</v>
      </c>
      <c r="E59" s="77" t="str">
        <f t="shared" si="2"/>
        <v>"[FORMAT RULE] Only valid markdown code blocks allowed | " &amp;</v>
      </c>
      <c r="F59" s="32" t="s">
        <v>224</v>
      </c>
    </row>
    <row r="60" spans="2:6">
      <c r="B60" s="54" t="s">
        <v>271</v>
      </c>
      <c r="C60" s="54" t="s">
        <v>209</v>
      </c>
      <c r="D60" s="92" t="s">
        <v>281</v>
      </c>
      <c r="E60" s="77" t="str">
        <f t="shared" si="2"/>
        <v>"[LANGUAGE TAG RULE] ALWAYS label markdown code blocks with the correct underlying programming language (e.g., python, javascript, sql) | " &amp;</v>
      </c>
      <c r="F60" s="32" t="s">
        <v>224</v>
      </c>
    </row>
    <row r="61" spans="2:6">
      <c r="B61" s="54" t="s">
        <v>271</v>
      </c>
      <c r="C61" s="54" t="s">
        <v>341</v>
      </c>
      <c r="D61" s="92" t="s">
        <v>369</v>
      </c>
      <c r="E61" s="77" t="str">
        <f t="shared" si="2"/>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2"/>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2"/>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2"/>
        <v>"[OUTPUT TRUNCATION RULE] If output is large, show only first 5 lines. Do NOT use ellipsis (...) | " &amp;</v>
      </c>
      <c r="F64" s="32" t="s">
        <v>224</v>
      </c>
    </row>
    <row r="65" spans="2:6">
      <c r="B65" s="54" t="s">
        <v>271</v>
      </c>
      <c r="C65" s="54" t="s">
        <v>347</v>
      </c>
      <c r="D65" s="92" t="s">
        <v>374</v>
      </c>
      <c r="E65" s="77" t="str">
        <f t="shared" si="2"/>
        <v>"[OUTPUT EXECUTION RULE - STRICT] Expected output MUST be explicit, complete, and produced via final print(). | " &amp;</v>
      </c>
      <c r="F65" s="32" t="s">
        <v>224</v>
      </c>
    </row>
    <row r="66" spans="2:6">
      <c r="B66" s="54" t="s">
        <v>271</v>
      </c>
      <c r="C66" s="54" t="s">
        <v>349</v>
      </c>
      <c r="D66" s="92" t="s">
        <v>375</v>
      </c>
      <c r="E66" s="77" t="str">
        <f t="shared" si="2"/>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2"/>
        <v>"[TODO REALISM RULE] TODO must represent realistic integration bugs. Describe what is incorrect/incomplete. | " &amp;</v>
      </c>
      <c r="F67" s="32" t="s">
        <v>224</v>
      </c>
    </row>
    <row r="68" spans="2:6">
      <c r="B68" s="54" t="s">
        <v>271</v>
      </c>
      <c r="C68" s="54" t="s">
        <v>357</v>
      </c>
      <c r="D68" s="92" t="s">
        <v>378</v>
      </c>
      <c r="E68" s="77" t="str">
        <f t="shared" si="2"/>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2"/>
        <v>"[NO SOLUTION RULE - STRICT] The code under the # TODO MUST be left empty or with a 'pass'. DO NOT write the actual solution. | " &amp;</v>
      </c>
      <c r="F69" s="32" t="s">
        <v>224</v>
      </c>
    </row>
    <row r="70" spans="2:6">
      <c r="B70" s="54" t="s">
        <v>271</v>
      </c>
      <c r="C70" s="54" t="s">
        <v>216</v>
      </c>
      <c r="D70" s="92" t="s">
        <v>379</v>
      </c>
      <c r="E70" s="77" t="str">
        <f t="shared" si="2"/>
        <v>"[OUTPUT] Only header, dataset summary or statement (if any), intro message, objective, expected output, incomplete code, and footer | " &amp;</v>
      </c>
      <c r="F70" s="32" t="s">
        <v>224</v>
      </c>
    </row>
    <row r="71" spans="2:6">
      <c r="B71" s="54" t="s">
        <v>271</v>
      </c>
      <c r="C71" s="54" t="s">
        <v>220</v>
      </c>
      <c r="D71" s="92" t="s">
        <v>380</v>
      </c>
      <c r="E71" s="77" t="str">
        <f t="shared" si="2"/>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2"/>
        <v/>
      </c>
      <c r="F72" s="32" t="s">
        <v>224</v>
      </c>
    </row>
    <row r="73" spans="2:6">
      <c r="B73" s="54"/>
      <c r="C73" s="54"/>
      <c r="D73" s="92"/>
      <c r="E73" s="77" t="str">
        <f t="shared" si="2"/>
        <v/>
      </c>
      <c r="F73" s="32" t="s">
        <v>224</v>
      </c>
    </row>
    <row r="74" spans="2:6">
      <c r="B74" s="54"/>
      <c r="C74" s="54"/>
      <c r="D74" s="92"/>
      <c r="E74" s="77" t="str">
        <f t="shared" si="2"/>
        <v/>
      </c>
      <c r="F74" s="32" t="s">
        <v>224</v>
      </c>
    </row>
    <row r="75" spans="2:6">
      <c r="B75" s="54"/>
      <c r="C75" s="54"/>
      <c r="D75" s="92"/>
      <c r="E75" s="77" t="str">
        <f t="shared" si="2"/>
        <v/>
      </c>
      <c r="F75" s="32" t="s">
        <v>224</v>
      </c>
    </row>
    <row r="76" spans="2:6">
      <c r="B76" s="54"/>
      <c r="C76" s="54"/>
      <c r="D76" s="92"/>
      <c r="E76" s="77" t="str">
        <f t="shared" si="2"/>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3">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3"/>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728</v>
      </c>
      <c r="E83" s="17" t="str">
        <f t="shared" si="3"/>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3"/>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3"/>
        <v>"[LIBRARY BEING LEARNED] " &amp; $I$3 &amp; " | " &amp;</v>
      </c>
      <c r="F85" s="54" t="s">
        <v>224</v>
      </c>
    </row>
    <row r="86" spans="2:6">
      <c r="B86" s="54" t="s">
        <v>222</v>
      </c>
      <c r="C86" s="54" t="s">
        <v>172</v>
      </c>
      <c r="D86" s="92"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3"/>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3"/>
        <v/>
      </c>
      <c r="F89" s="54" t="s">
        <v>224</v>
      </c>
    </row>
    <row r="90" spans="2:6">
      <c r="B90" s="54" t="s">
        <v>223</v>
      </c>
      <c r="C90" s="54" t="s">
        <v>243</v>
      </c>
      <c r="D90" s="92" t="str">
        <f>Variables!E54 &amp; " " &amp; Variables!E55 &amp; " " &amp; Variables!E56 &amp; " " &amp; Variables!E57 &amp; " | " &amp; CHAR(34) &amp; " &amp;"</f>
        <v>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 &amp;</v>
      </c>
      <c r="E90" s="17" t="str">
        <f t="shared" si="3"/>
        <v>"[PYTHON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 &amp;</v>
      </c>
      <c r="F90" s="54" t="s">
        <v>224</v>
      </c>
    </row>
    <row r="91" spans="2:6">
      <c r="B91" s="54" t="s">
        <v>271</v>
      </c>
      <c r="C91" s="54" t="s">
        <v>238</v>
      </c>
      <c r="D91" s="92" t="s">
        <v>386</v>
      </c>
      <c r="E91" s="17" t="str">
        <f t="shared" si="3"/>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3"/>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3"/>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3"/>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3"/>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4">IF(D97="","",""""&amp;C97&amp;" "&amp;IF(C97="[FOOTER RULE - STRICT]",D97,IF(RIGHT(D97,6)=" | "&amp;CHAR(34)&amp;" &amp;",D97,D97&amp;" | "&amp;CHAR(34)&amp;" &amp;")))</f>
        <v/>
      </c>
      <c r="F97" s="54" t="s">
        <v>224</v>
      </c>
    </row>
    <row r="98" spans="2:6">
      <c r="B98" s="54"/>
      <c r="C98" s="54"/>
      <c r="D98" s="54"/>
      <c r="E98" s="77" t="str">
        <f t="shared" si="4"/>
        <v/>
      </c>
      <c r="F98" s="54" t="s">
        <v>224</v>
      </c>
    </row>
    <row r="99" spans="2:6">
      <c r="B99" s="54"/>
      <c r="C99" s="54"/>
      <c r="D99" s="54"/>
      <c r="E99" s="77" t="str">
        <f t="shared" si="4"/>
        <v/>
      </c>
      <c r="F99" s="54" t="s">
        <v>224</v>
      </c>
    </row>
    <row r="100" spans="2:6">
      <c r="B100" s="54"/>
      <c r="C100" s="54"/>
      <c r="D100" s="54"/>
      <c r="E100" s="77" t="str">
        <f t="shared" si="4"/>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0"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10" s="77" t="str">
        <f t="shared" si="0"/>
        <v>"[ECOSYSTEM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675</v>
      </c>
      <c r="E21" s="77" t="str">
        <f t="shared" si="0"/>
        <v>"[FILE HANDLING RULE] Use correct loaders and enforce encoding='utf-8' and newline='' when applicable if the programming language supports it. | " &amp;</v>
      </c>
      <c r="F21" s="54" t="s">
        <v>224</v>
      </c>
    </row>
    <row r="22" spans="2:6">
      <c r="B22" s="54" t="s">
        <v>271</v>
      </c>
      <c r="C22" s="54" t="s">
        <v>189</v>
      </c>
      <c r="D22" s="90" t="s">
        <v>674</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673</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725</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729</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Variables!E58 &amp; " | " &amp; CHAR(34) &amp; " &amp;"</f>
        <v>Code MUST adhere strictly to Elixir Style Guide and OTP standards. Use snake_case for functions/variables, PascalCase for modules. Use only isolated GenServer state. Emphasize fault-tolerant Supervisor designs. | " &amp;</v>
      </c>
      <c r="E91" s="17" t="str">
        <f t="shared" si="2"/>
        <v>"[PYTHON QUALITY RULE - STRICT] Code MUST adhere strictly to Elixir Style Guide and OTP standards. Use snake_case for functions/variables, PascalCase for modules. Use only isolated GenServer state. Emphasize fault-tolerant Supervisor designs.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9"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9" s="77" t="str">
        <f t="shared" si="0"/>
        <v>"[ECOSYSTEM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682</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681</v>
      </c>
      <c r="D17" s="91" t="s">
        <v>683</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680</v>
      </c>
      <c r="E19" s="77" t="str">
        <f t="shared" si="0"/>
        <v>"[FILE HANDLING RULE] Use correct loaders and enforce encoding='utf-8' and newline=' when applicable or supported by the programming language. | " &amp;</v>
      </c>
      <c r="F19" s="54" t="s">
        <v>224</v>
      </c>
    </row>
    <row r="20" spans="2:6">
      <c r="B20" s="54" t="s">
        <v>271</v>
      </c>
      <c r="C20" s="54" t="s">
        <v>189</v>
      </c>
      <c r="D20" s="91" t="s">
        <v>679</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678</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685</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725</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54" s="77" t="str">
        <f t="shared" si="1"/>
        <v>"[ECOSYSTEM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684</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730</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676</v>
      </c>
      <c r="D90" s="91" t="str">
        <f>Variables!E59 &amp; " | " &amp; CHAR(34) &amp; " &amp;"</f>
        <v>Code MUST adhere strictly to Elixir Style Guide and OTP standards. Use snake_case for functions/variables, PascalCase for modules. NEVER leak state globally; enforce strict callback immutability. Prioritize highly fault-tolerant OTP architectures. | " &amp;</v>
      </c>
      <c r="E90" s="17" t="str">
        <f t="shared" si="2"/>
        <v>"[CODE_QUALITY_PROTOCOL] Code MUST adhere strictly to Elixir Style Guide and OTP standards. Use snake_case for functions/variables, PascalCase for modules. NEVER leak state globally; enforce strict callback immutability. Prioritize highly fault-tolerant OTP architectures.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721</v>
      </c>
      <c r="C25" s="112"/>
      <c r="D25" s="135" t="s">
        <v>722</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2026-08-03T03:46:00Z</dcterms:modified>
</cp:coreProperties>
</file>