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dart\"/>
    </mc:Choice>
  </mc:AlternateContent>
  <xr:revisionPtr revIDLastSave="0" documentId="13_ncr:1_{8A91D1FB-9D92-4E52-B86C-B12C7E46C0A0}"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29970" yWindow="1365"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X10" i="1" l="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9" i="1"/>
  <c r="AD10" i="1"/>
  <c r="AD11" i="1"/>
  <c r="AD12" i="1"/>
  <c r="AD13" i="1"/>
  <c r="AD14" i="1"/>
  <c r="AD15" i="1"/>
  <c r="AD16" i="1"/>
  <c r="AD17" i="1"/>
  <c r="W17" i="1" s="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W44" i="1" s="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0" i="1"/>
  <c r="W11" i="1"/>
  <c r="W12" i="1"/>
  <c r="W13" i="1"/>
  <c r="W14" i="1"/>
  <c r="W15" i="1"/>
  <c r="W16" i="1"/>
  <c r="W18" i="1"/>
  <c r="W19" i="1"/>
  <c r="W20" i="1"/>
  <c r="W21" i="1"/>
  <c r="W22" i="1"/>
  <c r="W23" i="1"/>
  <c r="W24" i="1"/>
  <c r="W25" i="1"/>
  <c r="W26" i="1"/>
  <c r="W27" i="1"/>
  <c r="W28" i="1"/>
  <c r="W29" i="1"/>
  <c r="W30" i="1"/>
  <c r="W31" i="1"/>
  <c r="W32" i="1"/>
  <c r="W33" i="1"/>
  <c r="W34" i="1"/>
  <c r="W35" i="1"/>
  <c r="W36" i="1"/>
  <c r="W37" i="1"/>
  <c r="W38" i="1"/>
  <c r="W39" i="1"/>
  <c r="W40" i="1"/>
  <c r="W41" i="1"/>
  <c r="W42" i="1"/>
  <c r="W43"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T35" i="1" s="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0" i="1"/>
  <c r="T11" i="1"/>
  <c r="T12" i="1"/>
  <c r="T13" i="1"/>
  <c r="T14" i="1"/>
  <c r="T15" i="1"/>
  <c r="T16" i="1"/>
  <c r="T17" i="1"/>
  <c r="T18" i="1"/>
  <c r="T19" i="1"/>
  <c r="T20" i="1"/>
  <c r="T21" i="1"/>
  <c r="T22" i="1"/>
  <c r="T23" i="1"/>
  <c r="T24" i="1"/>
  <c r="T25" i="1"/>
  <c r="T26" i="1"/>
  <c r="T27" i="1"/>
  <c r="T28" i="1"/>
  <c r="T29" i="1"/>
  <c r="T30" i="1"/>
  <c r="T31" i="1"/>
  <c r="T32" i="1"/>
  <c r="T33" i="1"/>
  <c r="T34"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9" i="1"/>
  <c r="AB10" i="1"/>
  <c r="AB11" i="1"/>
  <c r="AB12" i="1"/>
  <c r="AB13" i="1"/>
  <c r="AB14" i="1"/>
  <c r="AB15" i="1"/>
  <c r="AB16" i="1"/>
  <c r="AB17" i="1"/>
  <c r="Q17" i="1" s="1"/>
  <c r="AB18" i="1"/>
  <c r="AB19" i="1"/>
  <c r="AB20" i="1"/>
  <c r="AB21" i="1"/>
  <c r="AB22" i="1"/>
  <c r="AB23" i="1"/>
  <c r="AB24" i="1"/>
  <c r="AB25" i="1"/>
  <c r="AB26" i="1"/>
  <c r="Q26" i="1" s="1"/>
  <c r="AB27" i="1"/>
  <c r="AB28" i="1"/>
  <c r="AB29" i="1"/>
  <c r="AB30" i="1"/>
  <c r="AB31" i="1"/>
  <c r="AB32" i="1"/>
  <c r="AB33" i="1"/>
  <c r="AB34" i="1"/>
  <c r="AB35" i="1"/>
  <c r="Q35" i="1" s="1"/>
  <c r="AB36" i="1"/>
  <c r="AB37" i="1"/>
  <c r="AB38" i="1"/>
  <c r="AB39" i="1"/>
  <c r="AB40" i="1"/>
  <c r="AB41" i="1"/>
  <c r="AB42" i="1"/>
  <c r="AB43" i="1"/>
  <c r="AB44" i="1"/>
  <c r="Q44" i="1" s="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0" i="1"/>
  <c r="Q11" i="1"/>
  <c r="Q12" i="1"/>
  <c r="Q13" i="1"/>
  <c r="Q14" i="1"/>
  <c r="Q15" i="1"/>
  <c r="Q16" i="1"/>
  <c r="Q18" i="1"/>
  <c r="Q19" i="1"/>
  <c r="Q20" i="1"/>
  <c r="Q21" i="1"/>
  <c r="Q22" i="1"/>
  <c r="Q23" i="1"/>
  <c r="Q24" i="1"/>
  <c r="Q25" i="1"/>
  <c r="Q27" i="1"/>
  <c r="Q28" i="1"/>
  <c r="Q29" i="1"/>
  <c r="Q30" i="1"/>
  <c r="Q31" i="1"/>
  <c r="Q32" i="1"/>
  <c r="Q33" i="1"/>
  <c r="Q34" i="1"/>
  <c r="Q36" i="1"/>
  <c r="Q37" i="1"/>
  <c r="Q38" i="1"/>
  <c r="Q39" i="1"/>
  <c r="Q40" i="1"/>
  <c r="Q41" i="1"/>
  <c r="Q42" i="1"/>
  <c r="Q43"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N35" i="1" s="1"/>
  <c r="AA36" i="1"/>
  <c r="AA37" i="1"/>
  <c r="AA38" i="1"/>
  <c r="AA39" i="1"/>
  <c r="AA40" i="1"/>
  <c r="AA41" i="1"/>
  <c r="AA42" i="1"/>
  <c r="AA43" i="1"/>
  <c r="AA44" i="1"/>
  <c r="N44" i="1" s="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10" i="1"/>
  <c r="N11" i="1"/>
  <c r="N12" i="1"/>
  <c r="N13" i="1"/>
  <c r="N14" i="1"/>
  <c r="N15" i="1"/>
  <c r="N16" i="1"/>
  <c r="N17" i="1"/>
  <c r="N18" i="1"/>
  <c r="N19" i="1"/>
  <c r="N20" i="1"/>
  <c r="N21" i="1"/>
  <c r="N22" i="1"/>
  <c r="N23" i="1"/>
  <c r="N24" i="1"/>
  <c r="N25" i="1"/>
  <c r="N26" i="1"/>
  <c r="N27" i="1"/>
  <c r="N28" i="1"/>
  <c r="N29" i="1"/>
  <c r="N30" i="1"/>
  <c r="N31" i="1"/>
  <c r="N32" i="1"/>
  <c r="N33" i="1"/>
  <c r="N34" i="1"/>
  <c r="N36" i="1"/>
  <c r="N37" i="1"/>
  <c r="N38" i="1"/>
  <c r="N39" i="1"/>
  <c r="N40" i="1"/>
  <c r="N41" i="1"/>
  <c r="N42" i="1"/>
  <c r="N43"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9" i="1"/>
  <c r="A5" i="15"/>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 i="15"/>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B10" i="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c r="B40" i="1" s="1"/>
  <c r="B41" i="1" s="1"/>
  <c r="B42" i="1" s="1"/>
  <c r="B43" i="1" s="1"/>
  <c r="B44" i="1" s="1"/>
  <c r="B45" i="1" s="1"/>
  <c r="B46" i="1" s="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D14" i="2"/>
  <c r="D90" i="18" l="1"/>
  <c r="D91" i="17"/>
  <c r="D93" i="2"/>
  <c r="D94" i="2"/>
  <c r="D19" i="15"/>
  <c r="D18" i="15"/>
  <c r="D17" i="15"/>
  <c r="D16" i="15"/>
  <c r="D59" i="15"/>
  <c r="D90" i="15"/>
  <c r="D17" i="16"/>
  <c r="D16" i="16"/>
  <c r="D15" i="16"/>
  <c r="D58" i="16"/>
  <c r="D57" i="16"/>
  <c r="D90" i="16"/>
  <c r="D66" i="2"/>
  <c r="E94" i="2"/>
  <c r="E93" i="2"/>
  <c r="D67" i="2"/>
  <c r="D65" i="2"/>
  <c r="D2" i="24"/>
  <c r="D21" i="2"/>
  <c r="D20" i="2"/>
  <c r="D19" i="2"/>
  <c r="D18" i="2"/>
  <c r="D1" i="24"/>
  <c r="D9" i="2" l="1"/>
  <c r="D10" i="16"/>
  <c r="D53" i="16"/>
  <c r="D10" i="17"/>
  <c r="D54" i="17"/>
  <c r="D54" i="18"/>
  <c r="D9" i="18"/>
  <c r="D10" i="15"/>
  <c r="D55" i="15"/>
  <c r="D59" i="2"/>
  <c r="E96" i="17" l="1"/>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5" i="2"/>
  <c r="F56" i="2"/>
  <c r="F57" i="2"/>
  <c r="F58" i="2"/>
  <c r="F60" i="2"/>
  <c r="F61" i="2"/>
  <c r="F62" i="2"/>
  <c r="F63" i="2"/>
  <c r="F91" i="2"/>
  <c r="F92" i="2"/>
  <c r="F64" i="2"/>
  <c r="F68" i="2"/>
  <c r="F69" i="2"/>
  <c r="F70" i="2"/>
  <c r="F65" i="2"/>
  <c r="F66" i="2"/>
  <c r="F67" i="2"/>
  <c r="F71" i="2"/>
  <c r="F72" i="2"/>
  <c r="F73" i="2"/>
  <c r="F74" i="2"/>
  <c r="F75" i="2"/>
  <c r="F76" i="2"/>
  <c r="F77" i="2"/>
  <c r="F78" i="2"/>
  <c r="F79" i="2"/>
  <c r="F50" i="2"/>
  <c r="F84" i="2"/>
  <c r="F85" i="2"/>
  <c r="F86" i="2"/>
  <c r="F97" i="2"/>
  <c r="F88" i="2"/>
  <c r="F89" i="2"/>
  <c r="F95" i="2"/>
  <c r="F96" i="2"/>
  <c r="F98" i="2"/>
  <c r="F99" i="2"/>
  <c r="F100" i="2"/>
  <c r="F101" i="2"/>
  <c r="F102" i="2"/>
  <c r="F93" i="2"/>
  <c r="F94" i="2"/>
  <c r="F103" i="2"/>
  <c r="F104" i="2"/>
  <c r="F90" i="2"/>
  <c r="C3" i="1" l="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117" i="1" a="1"/>
  <c r="A117" i="1" s="1"/>
  <c r="AH116" i="1"/>
  <c r="A116" i="1" a="1"/>
  <c r="A116" i="1" s="1"/>
  <c r="AH115" i="1"/>
  <c r="A115" i="1" a="1"/>
  <c r="A115" i="1" s="1"/>
  <c r="AH114" i="1"/>
  <c r="A114" i="1" a="1"/>
  <c r="A114" i="1" s="1"/>
  <c r="AH113" i="1"/>
  <c r="A113" i="1" a="1"/>
  <c r="A113" i="1" s="1"/>
  <c r="AH112" i="1"/>
  <c r="AH111" i="1"/>
  <c r="A111" i="1" a="1"/>
  <c r="A111" i="1" s="1"/>
  <c r="AH110" i="1"/>
  <c r="A110" i="1" a="1"/>
  <c r="A110" i="1" s="1"/>
  <c r="AH109" i="1"/>
  <c r="A109" i="1" a="1"/>
  <c r="A109" i="1" s="1"/>
  <c r="AH108" i="1"/>
  <c r="A108" i="1" a="1"/>
  <c r="A108" i="1" s="1"/>
  <c r="AH107" i="1"/>
  <c r="A107" i="1" a="1"/>
  <c r="A107" i="1" s="1"/>
  <c r="AH106" i="1"/>
  <c r="A106" i="1" a="1"/>
  <c r="A106" i="1" s="1"/>
  <c r="AH105" i="1"/>
  <c r="AH104" i="1"/>
  <c r="A104" i="1" a="1"/>
  <c r="A104" i="1" s="1"/>
  <c r="AH103" i="1"/>
  <c r="A103" i="1" a="1"/>
  <c r="A103" i="1" s="1"/>
  <c r="AH102" i="1"/>
  <c r="A102" i="1" a="1"/>
  <c r="A102" i="1" s="1"/>
  <c r="AH101" i="1"/>
  <c r="A101" i="1" a="1"/>
  <c r="A101" i="1" s="1"/>
  <c r="AH100" i="1"/>
  <c r="A100" i="1" a="1"/>
  <c r="A100" i="1" s="1"/>
  <c r="AH99" i="1"/>
  <c r="A99" i="1" a="1"/>
  <c r="A99" i="1" s="1"/>
  <c r="AH98" i="1"/>
  <c r="AH97" i="1"/>
  <c r="A97" i="1" a="1"/>
  <c r="A97" i="1" s="1"/>
  <c r="AH96" i="1"/>
  <c r="A96" i="1" a="1"/>
  <c r="A96" i="1" s="1"/>
  <c r="AH95" i="1"/>
  <c r="A95" i="1" a="1"/>
  <c r="A95" i="1" s="1"/>
  <c r="AH94" i="1"/>
  <c r="A94" i="1" a="1"/>
  <c r="A94" i="1" s="1"/>
  <c r="AH93" i="1"/>
  <c r="A93" i="1" a="1"/>
  <c r="A93" i="1" s="1"/>
  <c r="AH92" i="1"/>
  <c r="A92" i="1" a="1"/>
  <c r="A92" i="1" s="1"/>
  <c r="AH91" i="1"/>
  <c r="AH90" i="1"/>
  <c r="A90" i="1" a="1"/>
  <c r="A90" i="1" s="1"/>
  <c r="AH89" i="1"/>
  <c r="A89" i="1" a="1"/>
  <c r="A89" i="1" s="1"/>
  <c r="AH88" i="1"/>
  <c r="A88" i="1" a="1"/>
  <c r="A88" i="1" s="1"/>
  <c r="AH87" i="1"/>
  <c r="A87" i="1" a="1"/>
  <c r="A87" i="1" s="1"/>
  <c r="AH86" i="1"/>
  <c r="A86" i="1" a="1"/>
  <c r="A86" i="1" s="1"/>
  <c r="AH85" i="1"/>
  <c r="AH84" i="1"/>
  <c r="A84" i="1" a="1"/>
  <c r="A84" i="1" s="1"/>
  <c r="AH83" i="1"/>
  <c r="AH82" i="1"/>
  <c r="A82" i="1" a="1"/>
  <c r="A82" i="1" s="1"/>
  <c r="AH81" i="1"/>
  <c r="AH80" i="1"/>
  <c r="A80" i="1" a="1"/>
  <c r="A80" i="1" s="1"/>
  <c r="AH79" i="1"/>
  <c r="A79" i="1" a="1"/>
  <c r="A79" i="1" s="1"/>
  <c r="AH78" i="1"/>
  <c r="A78" i="1" a="1"/>
  <c r="A78" i="1" s="1"/>
  <c r="AH77" i="1"/>
  <c r="A77" i="1" a="1"/>
  <c r="A77" i="1" s="1"/>
  <c r="AH76" i="1"/>
  <c r="AH75" i="1"/>
  <c r="A75" i="1" a="1"/>
  <c r="A75" i="1" s="1"/>
  <c r="AH74" i="1"/>
  <c r="A74" i="1" a="1"/>
  <c r="A74" i="1" s="1"/>
  <c r="AH73" i="1"/>
  <c r="AH72" i="1"/>
  <c r="A72" i="1" a="1"/>
  <c r="A72" i="1" s="1"/>
  <c r="AH71" i="1"/>
  <c r="A71" i="1" a="1"/>
  <c r="A71" i="1" s="1"/>
  <c r="AH70" i="1"/>
  <c r="A70" i="1" a="1"/>
  <c r="A70" i="1" s="1"/>
  <c r="AH69" i="1"/>
  <c r="AH68" i="1"/>
  <c r="A68" i="1" a="1"/>
  <c r="A68" i="1" s="1"/>
  <c r="AH67" i="1"/>
  <c r="A67" i="1" a="1"/>
  <c r="A67" i="1" s="1"/>
  <c r="AH66" i="1"/>
  <c r="AH65" i="1"/>
  <c r="A65" i="1" a="1"/>
  <c r="A65" i="1" s="1"/>
  <c r="AH64" i="1"/>
  <c r="A64" i="1" a="1"/>
  <c r="A64" i="1" s="1"/>
  <c r="AH63" i="1"/>
  <c r="A63" i="1" a="1"/>
  <c r="A63" i="1" s="1"/>
  <c r="AH62" i="1"/>
  <c r="A62" i="1" a="1"/>
  <c r="A62" i="1" s="1"/>
  <c r="AH61" i="1"/>
  <c r="AH60" i="1"/>
  <c r="A60" i="1" a="1"/>
  <c r="A60" i="1" s="1"/>
  <c r="AH59" i="1"/>
  <c r="A59" i="1" a="1"/>
  <c r="A59" i="1" s="1"/>
  <c r="AH58" i="1"/>
  <c r="A58" i="1" a="1"/>
  <c r="A58" i="1" s="1"/>
  <c r="AH57" i="1"/>
  <c r="AH56" i="1"/>
  <c r="A56" i="1" a="1"/>
  <c r="A56" i="1" s="1"/>
  <c r="AH55" i="1"/>
  <c r="AH54" i="1"/>
  <c r="A54" i="1" a="1"/>
  <c r="A54" i="1" s="1"/>
  <c r="AH53" i="1"/>
  <c r="AH52" i="1"/>
  <c r="A52" i="1" a="1"/>
  <c r="A52" i="1" s="1"/>
  <c r="AH51" i="1"/>
  <c r="A51" i="1" a="1"/>
  <c r="A51" i="1" s="1"/>
  <c r="AH50" i="1"/>
  <c r="AH49" i="1"/>
  <c r="A49" i="1" a="1"/>
  <c r="A49" i="1" s="1"/>
  <c r="AH48" i="1"/>
  <c r="A48" i="1" a="1"/>
  <c r="A48" i="1" s="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B6" i="1"/>
  <c r="E4" i="1"/>
  <c r="E3" i="1" s="1"/>
  <c r="E2" i="1"/>
  <c r="AE7" i="1" l="1"/>
  <c r="L1" i="1"/>
  <c r="K10" i="1" l="1"/>
  <c r="K22" i="1"/>
  <c r="K46" i="1"/>
  <c r="K24" i="1"/>
  <c r="K11" i="1"/>
  <c r="K23" i="1"/>
  <c r="K47" i="1"/>
  <c r="K12" i="1"/>
  <c r="K13" i="1"/>
  <c r="K37" i="1"/>
  <c r="K49" i="1"/>
  <c r="K14" i="1"/>
  <c r="K38" i="1"/>
  <c r="K15" i="1"/>
  <c r="K27" i="1"/>
  <c r="K39" i="1"/>
  <c r="K51" i="1"/>
  <c r="K28" i="1"/>
  <c r="K40" i="1"/>
  <c r="K52" i="1"/>
  <c r="K29" i="1"/>
  <c r="K41" i="1"/>
  <c r="K53" i="1"/>
  <c r="K18" i="1"/>
  <c r="K30" i="1"/>
  <c r="K54" i="1"/>
  <c r="K19" i="1"/>
  <c r="K31" i="1"/>
  <c r="K43" i="1"/>
  <c r="K55" i="1"/>
  <c r="K20" i="1"/>
  <c r="K32" i="1"/>
  <c r="K44" i="1"/>
  <c r="K56" i="1"/>
  <c r="K36" i="1"/>
  <c r="K21" i="1"/>
  <c r="K33" i="1"/>
  <c r="K45" i="1"/>
  <c r="K9" i="1"/>
  <c r="K48" i="1"/>
  <c r="A17" i="1" l="1" a="1"/>
  <c r="A17" i="1" s="1"/>
  <c r="A35" i="1" a="1"/>
  <c r="A35" i="1" s="1"/>
  <c r="A26" i="1" a="1"/>
  <c r="A26" i="1" s="1"/>
  <c r="A36" i="1" a="1"/>
  <c r="A36" i="1" s="1"/>
  <c r="A34" i="1" a="1"/>
  <c r="A34" i="1" s="1"/>
  <c r="A25" i="1" a="1"/>
  <c r="A25" i="1" s="1"/>
  <c r="A50" i="1" a="1"/>
  <c r="A50" i="1" s="1"/>
  <c r="A57" i="1" a="1"/>
  <c r="A57" i="1" s="1"/>
  <c r="A41" i="1" a="1"/>
  <c r="A41" i="1" s="1"/>
  <c r="A16" i="1" a="1"/>
  <c r="A16" i="1" s="1"/>
  <c r="A32" i="1" a="1"/>
  <c r="A32" i="1" s="1"/>
  <c r="A24" i="1" a="1"/>
  <c r="A24" i="1" s="1"/>
  <c r="A42" i="1" a="1"/>
  <c r="A42" i="1" s="1"/>
  <c r="A47" i="1" a="1"/>
  <c r="A47" i="1" s="1"/>
  <c r="A55" i="1" a="1"/>
  <c r="A55" i="1" s="1"/>
  <c r="A66" i="1" a="1"/>
  <c r="A66" i="1" s="1"/>
  <c r="A73" i="1" a="1"/>
  <c r="A73" i="1" s="1"/>
  <c r="A81" i="1" a="1"/>
  <c r="A81" i="1" s="1"/>
  <c r="A85" i="1" a="1"/>
  <c r="A85" i="1" s="1"/>
  <c r="A14" i="1" a="1"/>
  <c r="A14" i="1" s="1"/>
  <c r="A20" i="1" a="1"/>
  <c r="A20" i="1" s="1"/>
  <c r="A27" i="1" a="1"/>
  <c r="A27" i="1" s="1"/>
  <c r="A33" i="1" a="1"/>
  <c r="A33" i="1" s="1"/>
  <c r="A40" i="1" a="1"/>
  <c r="A40" i="1" s="1"/>
  <c r="A46" i="1" a="1"/>
  <c r="A46" i="1" s="1"/>
  <c r="A53" i="1" a="1"/>
  <c r="A53" i="1" s="1"/>
  <c r="A69" i="1" a="1"/>
  <c r="A69" i="1" s="1"/>
  <c r="A61" i="1" a="1"/>
  <c r="A61" i="1" s="1"/>
  <c r="A83" i="1" a="1"/>
  <c r="A83" i="1" s="1"/>
  <c r="A76" i="1" a="1"/>
  <c r="A76" i="1" s="1"/>
  <c r="A91" i="1" a="1"/>
  <c r="A91" i="1" s="1"/>
  <c r="A98" i="1" a="1"/>
  <c r="A98" i="1" s="1"/>
  <c r="A105" i="1" a="1"/>
  <c r="A105" i="1" s="1"/>
  <c r="A120" i="1" a="1"/>
  <c r="A120" i="1" s="1"/>
  <c r="A112" i="1" a="1"/>
  <c r="A112" i="1" s="1"/>
  <c r="K26" i="1" l="1"/>
  <c r="K35" i="1"/>
  <c r="K17" i="1"/>
  <c r="K42" i="1"/>
  <c r="K16" i="1"/>
  <c r="K57" i="1"/>
  <c r="K50" i="1"/>
  <c r="K25" i="1"/>
  <c r="K3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<sst xmlns="http://schemas.openxmlformats.org/spreadsheetml/2006/main" count="2515" uniqueCount="861">
  <si>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</si>
  <si>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</si>
  <si>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</si>
  <si>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</si>
  <si>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</si>
  <si>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</si>
  <si>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</si>
  <si>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</si>
  <si>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</si>
  <si>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</si>
  <si>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</si>
  <si>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</si>
  <si>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</si>
  <si>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</si>
  <si>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Has Synthetic Dataset:</t>
  </si>
  <si>
    <t>No Dataset:</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</si>
  <si>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</si>
  <si>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</si>
  <si>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</si>
  <si>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</si>
  <si>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</si>
  <si>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</si>
  <si>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</si>
  <si>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</si>
  <si>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</si>
  <si>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</si>
  <si>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</si>
  <si>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</si>
  <si>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</si>
  <si>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</si>
  <si>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</si>
  <si>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</si>
  <si>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</si>
  <si>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</si>
  <si>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</si>
  <si>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</si>
  <si>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</si>
  <si>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</si>
  <si>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</si>
  <si>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</si>
  <si>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</si>
  <si>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</si>
  <si>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</si>
  <si>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</si>
  <si>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</si>
  <si>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</si>
  <si>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</si>
  <si>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</si>
  <si>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</si>
  <si>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</si>
  <si>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</si>
  <si>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</si>
  <si>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</si>
  <si>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</si>
  <si>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</si>
  <si>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</si>
  <si>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</si>
  <si>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</si>
  <si>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</si>
  <si>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</si>
  <si>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</si>
  <si>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</si>
  <si>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</si>
  <si>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</si>
  <si>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</si>
  <si>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</si>
  <si>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</si>
  <si>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</si>
  <si>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</si>
  <si>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</si>
  <si>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</si>
  <si>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</si>
  <si>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</si>
  <si>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</si>
  <si>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</si>
  <si>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</si>
  <si>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</si>
  <si>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</si>
  <si>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</si>
  <si>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</si>
  <si>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</si>
  <si>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</si>
  <si>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</si>
  <si>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</si>
  <si>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</si>
  <si>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</si>
  <si>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</si>
  <si>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</si>
  <si>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</si>
  <si>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</si>
  <si>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</si>
  <si>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</si>
  <si>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</si>
  <si>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</si>
  <si>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</si>
  <si>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</si>
  <si>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</si>
  <si>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</si>
  <si>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</si>
  <si>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</si>
  <si>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</si>
  <si>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</si>
  <si>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</si>
  <si>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</si>
  <si>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</si>
  <si>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</si>
  <si>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</si>
  <si>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</si>
  <si>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</si>
  <si>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</si>
  <si>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</si>
  <si>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</si>
  <si>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</si>
  <si>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</si>
  <si>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</si>
  <si>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</si>
  <si>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</si>
  <si>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</si>
  <si>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</si>
  <si>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</si>
  <si>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</si>
  <si>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</si>
  <si>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</si>
  <si>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</si>
  <si>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</si>
  <si>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</si>
  <si>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</si>
  <si>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</si>
  <si>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</si>
  <si>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</si>
  <si>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</si>
  <si>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</si>
  <si>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</si>
  <si>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</si>
  <si>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</si>
  <si>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</si>
  <si>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</si>
  <si>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</si>
  <si>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</si>
  <si>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</si>
  <si>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</si>
  <si>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</si>
  <si>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</si>
  <si>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</si>
  <si>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</si>
  <si>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</si>
  <si>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</si>
  <si>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</si>
  <si>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</si>
  <si>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</si>
  <si>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</si>
  <si>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</si>
  <si>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</si>
  <si>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</si>
  <si>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</si>
  <si>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</si>
  <si>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</si>
  <si>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</si>
  <si>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</si>
  <si>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</si>
  <si>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</si>
  <si>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</si>
  <si>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</si>
  <si>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</si>
  <si>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</si>
  <si>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</si>
  <si>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</si>
  <si>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</si>
  <si>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</si>
  <si>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</si>
  <si>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</si>
  <si>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</si>
  <si>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</si>
  <si>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</si>
  <si>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</si>
  <si>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</si>
  <si>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</si>
  <si>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</si>
  <si>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</si>
  <si>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</si>
  <si>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</si>
  <si>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</si>
  <si>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</si>
  <si>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</si>
  <si>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</si>
  <si>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</si>
  <si>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</si>
  <si>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</si>
  <si>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</si>
  <si>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</si>
  <si>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</si>
  <si>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</si>
  <si>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</si>
  <si>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</si>
  <si>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</si>
  <si>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</si>
  <si>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</si>
  <si>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</si>
  <si>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</si>
  <si>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</si>
  <si>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</si>
  <si>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</si>
  <si>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</si>
  <si>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</si>
  <si>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</si>
  <si>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</si>
  <si>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</si>
  <si>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</si>
  <si>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</si>
  <si>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</si>
  <si>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</si>
  <si>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</si>
  <si>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</si>
  <si>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</si>
  <si>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</si>
  <si>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</si>
  <si>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</si>
  <si>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</si>
  <si>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</si>
  <si>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</si>
  <si>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</si>
  <si>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</si>
  <si>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</si>
  <si>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</si>
  <si>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</si>
  <si>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</si>
  <si>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</si>
  <si>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</si>
  <si>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</si>
  <si>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</si>
  <si>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</si>
  <si>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</si>
  <si>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</si>
  <si>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</si>
  <si>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Each example MUST include: - Internal data OR dataset usage - Print key intermediate steps and the final result - MUST NOT exceed exactly " &amp; $A9 &amp; " lines of EXECUTABLE code (STRICT: Do NOT count comments or blank lines). - NEVER exceed this limit. | " &amp;</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</si>
  <si>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</si>
  <si>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</si>
  <si>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</si>
  <si>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</si>
  <si>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</si>
  <si>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</si>
  <si>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</si>
  <si>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</si>
  <si>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</si>
  <si>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</si>
  <si>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</si>
  <si>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</si>
  <si>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</si>
  <si>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</si>
  <si>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You are helping a Junior Developer who is " &amp; IF(UPPER(H9)="PROJECT", "building a PROJECT: " &amp; I9 &amp; ". Topics applied in this project: " &amp; B9 &amp; ". Project objective: " &amp; J9, "learning: " &amp; I9 &amp; ". Topic details: " &amp; J9) &amp; "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</si>
  <si>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</si>
  <si>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</si>
  <si>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</si>
  <si>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</si>
  <si>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</si>
  <si>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</si>
  <si>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</si>
  <si>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</si>
  <si>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 &amp; B9 &amp; " | " &amp;</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</si>
  <si>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</si>
  <si>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</si>
  <si>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</si>
  <si>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</si>
  <si>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</si>
  <si>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</si>
  <si>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</si>
  <si>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</si>
  <si>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</si>
  <si>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</si>
  <si>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</si>
  <si>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</si>
  <si>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</si>
  <si>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</si>
  <si>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</si>
  <si>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</si>
  <si>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</si>
  <si>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</si>
  <si>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</si>
  <si>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</si>
  <si>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</si>
  <si>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</si>
  <si>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</si>
  <si>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</si>
  <si>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</si>
  <si>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</si>
  <si>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</si>
  <si>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</si>
  <si>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</si>
  <si>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</si>
  <si>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</si>
  <si>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</si>
  <si>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</si>
  <si>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</si>
  <si>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</si>
  <si>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</si>
  <si>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</si>
  <si>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</si>
  <si>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</si>
  <si>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</si>
  <si>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</si>
  <si>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</si>
  <si>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</si>
  <si>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</si>
  <si>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</si>
  <si>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</si>
  <si>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</si>
  <si>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</si>
  <si>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</si>
  <si>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</si>
  <si>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</si>
  <si>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</si>
  <si>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</si>
  <si>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</si>
  <si>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</si>
  <si>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</si>
  <si>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</si>
  <si>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</si>
  <si>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</si>
  <si>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</si>
  <si>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</si>
  <si>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</si>
  <si>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</si>
  <si>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</si>
  <si>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</si>
  <si>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</si>
  <si>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</si>
  <si>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</si>
  <si>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</si>
  <si>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</si>
  <si>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</si>
  <si>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</si>
  <si>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</si>
  <si>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</si>
  <si>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</si>
  <si>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</si>
  <si>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</si>
  <si>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You are helping a Junior Developer debug a " &amp; IF(UPPER(H9)="PROJECT", "PROJECT: " &amp; I9 &amp; ". Topics involved: " &amp; B9 &amp; ". Project objective: " &amp; J9, "TOPIC: " &amp; I9 &amp; ". Topic details: " &amp; J9) &amp; " | " &amp;</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</si>
  <si>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</si>
  <si>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</si>
  <si>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</si>
  <si>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</si>
  <si>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</si>
  <si>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</si>
  <si>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</si>
  <si>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</si>
  <si>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</si>
  <si>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</si>
  <si>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</si>
  <si>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</si>
  <si>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</si>
  <si>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</si>
  <si>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</si>
  <si>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</si>
  <si>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</si>
  <si>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</si>
  <si>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</si>
  <si>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</si>
  <si>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</si>
  <si>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</si>
  <si>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</si>
  <si>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</si>
  <si>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</si>
  <si>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</si>
  <si>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</si>
  <si>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</si>
  <si>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</si>
  <si>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</si>
  <si>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</si>
  <si>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</si>
  <si>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</si>
  <si>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</si>
  <si>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</si>
  <si>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</si>
  <si>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</si>
  <si>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</si>
  <si>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</si>
  <si>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</si>
  <si>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</si>
  <si>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</si>
  <si>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</si>
  <si>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</si>
  <si>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</si>
  <si>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</si>
  <si>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</si>
  <si>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</si>
  <si>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</si>
  <si>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</si>
  <si>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</si>
  <si>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</si>
  <si>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</si>
  <si>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</si>
  <si>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You are helping a Junior Developer complete a " &amp; IF(UPPER(H9)="PROJECT", "PROJECT: " &amp; I9 &amp; ". Topics involved: " &amp; B9 &amp; ". Project objective: " &amp; J9, "TOPIC: " &amp; I9 &amp; ". Topic details: " &amp; J9) &amp; " | " &amp;</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</si>
  <si>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</si>
  <si>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</si>
  <si>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</si>
  <si>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</si>
  <si>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</si>
  <si>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</si>
  <si>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</si>
  <si>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</si>
  <si>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</si>
  <si>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</si>
  <si>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</si>
  <si>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</si>
  <si>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</si>
  <si>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</si>
  <si>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</si>
  <si>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</si>
  <si>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</si>
  <si>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</si>
  <si>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</si>
  <si>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</si>
  <si>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</si>
  <si>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</si>
  <si>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</si>
  <si>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</si>
  <si>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</si>
  <si>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</si>
  <si>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</si>
  <si>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</si>
  <si>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</si>
  <si>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</si>
  <si>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</si>
  <si>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</si>
  <si>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</si>
  <si>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</si>
  <si>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</si>
  <si>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</si>
  <si>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</si>
  <si>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</si>
  <si>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</si>
  <si>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</si>
  <si>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</si>
  <si>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</si>
  <si>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</si>
  <si>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</si>
  <si>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</si>
  <si>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</si>
  <si>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</si>
  <si>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You are performing a Code Review for a " &amp; IF(UPPER(H9)="PROJECT", "PROJECT: " &amp; I9 &amp; ". Topics involved: " &amp; B9 &amp; ". Project objective: " &amp; J9, "TOPIC: " &amp; I9 &amp; ". Topic details: " &amp; J9) &amp; " | " &amp;</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</si>
  <si>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</si>
  <si>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</si>
  <si>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</si>
  <si>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</si>
  <si>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</si>
  <si>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</si>
  <si>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</si>
  <si>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</si>
  <si>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</si>
  <si>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</si>
  <si>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</si>
  <si>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</si>
  <si>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</si>
  <si>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</si>
  <si>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</si>
  <si>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</si>
  <si>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</si>
  <si>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</si>
  <si>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</si>
  <si>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</si>
  <si>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</si>
  <si>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</si>
  <si>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</si>
  <si>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</si>
  <si>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</si>
  <si>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</si>
  <si>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</si>
  <si>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</si>
  <si>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</si>
  <si>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</si>
  <si>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</si>
  <si>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</si>
  <si>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</si>
  <si>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</si>
  <si>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</si>
  <si>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</si>
  <si>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</si>
  <si>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</si>
  <si>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</si>
  <si>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</si>
  <si>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</si>
  <si>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</si>
  <si>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</si>
  <si>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</si>
  <si>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</si>
  <si>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</si>
  <si>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</si>
  <si>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</si>
  <si>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</si>
  <si>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</si>
  <si>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You are reviewing the final implementation of a new feature for a " &amp; IF(UPPER(H9)="PROJECT", "PROJECT: " &amp; I9 &amp; ". Topics integrated: " &amp; B9 &amp; ". Business Goal: " &amp; J9, "TOPIC: " &amp; I9 &amp; ". Goal: " &amp; J9) &amp; " | " &amp;</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</si>
  <si>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</si>
  <si>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</si>
  <si>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</si>
  <si>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</si>
  <si>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</si>
  <si>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</si>
  <si>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</si>
  <si>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</si>
  <si>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</si>
  <si>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</si>
  <si>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</si>
  <si>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</si>
  <si>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</si>
  <si>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</si>
  <si>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</si>
  <si>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</si>
  <si>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</si>
  <si>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</si>
  <si>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</si>
  <si>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</si>
  <si>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</si>
  <si>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</si>
  <si>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</si>
  <si>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</si>
  <si>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</si>
  <si>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</si>
  <si>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</si>
  <si>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</si>
  <si>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</si>
  <si>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</si>
  <si>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</si>
  <si>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</si>
  <si>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</si>
  <si>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</si>
  <si>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</si>
  <si>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</si>
  <si>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</si>
  <si>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</si>
  <si>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</si>
  <si>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</si>
  <si>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</si>
  <si>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</si>
  <si>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</si>
  <si>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</si>
  <si>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</si>
  <si>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</si>
  <si>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</si>
  <si>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</si>
  <si>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</si>
  <si>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</si>
  <si>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</si>
  <si>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</si>
  <si>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</si>
  <si>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</si>
  <si>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</si>
  <si>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</si>
  <si>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</si>
  <si>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</si>
  <si>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</si>
  <si>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</si>
  <si>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</si>
  <si>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</si>
  <si>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</si>
  <si>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</si>
  <si>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</si>
  <si>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</si>
  <si>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</si>
  <si>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</si>
  <si>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</si>
  <si>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</si>
  <si>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</si>
  <si>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</si>
  <si>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</si>
  <si>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</si>
  <si>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</si>
  <si>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</si>
  <si>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</si>
  <si>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</si>
  <si>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</si>
  <si>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</si>
  <si>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</si>
  <si>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</si>
  <si>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</si>
  <si>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</si>
  <si>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</si>
  <si>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</si>
  <si>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</si>
  <si>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</si>
  <si>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</si>
  <si>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</si>
  <si>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</si>
  <si>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</si>
  <si>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</si>
  <si>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</si>
  <si>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</si>
  <si>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</si>
  <si>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</si>
  <si>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</si>
  <si>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</si>
  <si>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</si>
  <si>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</si>
  <si>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</si>
  <si>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</si>
  <si>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</si>
  <si>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</si>
  <si>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</si>
  <si>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</si>
  <si>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</si>
  <si>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</si>
  <si>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</si>
  <si>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</si>
  <si>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</si>
  <si>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</si>
  <si>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</si>
  <si>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</si>
  <si>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[HEX DEPENDENCIES RULE]</t>
  </si>
  <si>
    <t>[EXUNIT RULE]</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</si>
  <si>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</si>
  <si>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</si>
  <si>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</si>
  <si>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</si>
  <si>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</si>
  <si>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[TESTING_FRAMEWORK_LIMITS]</t>
  </si>
  <si>
    <t>Mentor</t>
  </si>
  <si>
    <t>[PERFORMANCE_LIBRARIES]</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</si>
  <si>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</si>
  <si>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</si>
  <si>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</si>
  <si>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</si>
  <si>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</si>
  <si>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</si>
  <si>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</si>
  <si>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</si>
  <si>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</si>
  <si>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</si>
  <si>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[INLINE_INSTALL_SYNTAX]</t>
  </si>
  <si>
    <t>[TESTING_ENVIRONMENT]</t>
  </si>
  <si>
    <t>[FORBIDDEN_TEST_METHOD]</t>
  </si>
  <si>
    <t>[ALLOWED_TEST_SYNTAX]</t>
  </si>
  <si>
    <t>Rule Component</t>
  </si>
  <si>
    <t>Component Tag</t>
  </si>
  <si>
    <t>Projects</t>
  </si>
  <si>
    <t>[SCOPE_ARCHITECTURE_RULE]</t>
  </si>
  <si>
    <t>[VISUAL_ARCHITECTURE_COMMENTS]</t>
  </si>
  <si>
    <t>[VISUAL_BLOCK_COMMENT]</t>
  </si>
  <si>
    <t>80 characters</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</si>
  <si>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</si>
  <si>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</si>
  <si>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</si>
  <si>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</si>
  <si>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</si>
  <si>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</si>
  <si>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</si>
  <si>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</si>
  <si>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</si>
  <si>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</si>
  <si>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</si>
  <si>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</si>
  <si>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[EXUNIT_RULE]</t>
  </si>
  <si>
    <t>[TESTING_SYNTAX_LIMITS]</t>
  </si>
  <si>
    <t>[HEX_DEPENDENCIES_RULE]</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</si>
  <si>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</si>
  <si>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</si>
  <si>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</si>
  <si>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</si>
  <si>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</si>
  <si>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</si>
  <si>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</si>
  <si>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</si>
  <si>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</si>
  <si>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</si>
  <si>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</si>
  <si>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[ELIXIR_QUALITY_RULE_STRICT]</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</si>
  <si>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</si>
  <si>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</si>
  <si>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</si>
  <si>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</si>
  <si>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</si>
  <si>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</si>
  <si>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</si>
  <si>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</si>
  <si>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</si>
  <si>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</si>
  <si>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</si>
  <si>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</si>
  <si>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</si>
  <si>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</si>
  <si>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MUST be between</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</si>
  <si>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</si>
  <si>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</si>
  <si>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</si>
  <si>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</si>
  <si>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</si>
  <si>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</si>
  <si>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</si>
  <si>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</si>
  <si>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</si>
  <si>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</si>
  <si>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</si>
  <si>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</si>
  <si>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</si>
  <si>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</si>
  <si>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</si>
  <si>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</si>
  <si>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</si>
  <si>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Standard pubspec.yaml dependencies block (dependencies: package_name: ^version)</t>
  </si>
  <si>
    <t>manual event loop blocking or unawaited Futures outside of standard async testing setups</t>
  </si>
  <si>
    <t>standard test framework using expect() and stream matchers like emits() or emitsInOrder()</t>
  </si>
  <si>
    <t>visual block tags separating architectural layers (e.g., '// --- PUBLIC API ---', '// --- INTERNAL STATE ---')</t>
  </si>
  <si>
    <t>If using default parameters, prefer named parameters with the 'required' keyword or provide default values explicitly in the signature.</t>
  </si>
  <si>
    <t>Environment variables via Platform.environment may be used but bugs MUST exist ONLY in Dart logic files, NEVER in pubspec.yaml or environment setups.</t>
  </si>
  <si>
    <t>If logic is externalized, MUST include: 1. Instructional sentence 2. Setup class/file block 3. BEFORE the broken logic block (Support files MUST contain NO bugs)</t>
  </si>
  <si>
    <t>Always use the Dart test package. You MUST use expect() with Future/Stream matchers for async testing. Avoid testing complex async logic with simple synchronous assertions.</t>
  </si>
  <si>
    <t>Assume a standard Dart CLI context. External pub.dev dependencies MUST be specified strictly within the dependencies block of pubspec.yaml.</t>
  </si>
  <si>
    <t>If using default arguments, rely on named parameters or explicitly defined default values instead of overloaded function bodies.</t>
  </si>
  <si>
    <t>External pub.dev packages MUST be added to the dependencies block in a standard pubspec.yaml file. Do not use standalone scripts.</t>
  </si>
  <si>
    <t>Tests MUST isolate async states. NEVER hack event loops manually; use expect() with stream/future matchers to verify async flows.</t>
  </si>
  <si>
    <t>Require standard dart pub tooling and pubspec.yaml for dependencies.</t>
  </si>
  <si>
    <t>Enforce exhaustive pattern matching on sealed classes/Records and maintain flawless null safety and static typing.</t>
  </si>
  <si>
    <t>Reject event loop blocking, unawaited Futures, and bypassing null safety checks. Leverage Dart 3 pattern matching instead of long if/else chains.</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</si>
  <si>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</si>
  <si>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</si>
  <si>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</si>
  <si>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</si>
  <si>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</si>
  <si>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</si>
  <si>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</si>
  <si>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</si>
  <si>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</si>
  <si>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</si>
  <si>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</si>
  <si>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</si>
  <si>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</si>
  <si>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</si>
  <si>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</si>
  <si>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</si>
  <si>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</si>
  <si>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</si>
  <si>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</si>
  <si>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</si>
  <si>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</si>
  <si>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</si>
  <si>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</si>
  <si>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</si>
  <si>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</si>
  <si>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</si>
  <si>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</si>
  <si>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Isolates, Streams, StreamController, or Future concurrency models combined with class-based state encapsulation and sealed class hierarchies</t>
  </si>
  <si>
    <t>manual Isolate.spawn without proper ReceivePort/SendPort error handling &amp; cleanup, or mutable shared state across isolates</t>
  </si>
  <si>
    <t>Async programming with Futures/Streams, state management via encapsulated class instances, isolates, or immutable data structures</t>
  </si>
  <si>
    <t>Focus: basic async/await, simple Future-returning methods on classes, synchronous Stream handling within class methods.</t>
  </si>
  <si>
    <t>Integrate StreamControllers (event-driven) inside classes, async* generators as methods, explicit state transitions via sealed class hierarchies.</t>
  </si>
  <si>
    <t>Build apps: bi-directional Isolate communication between class instances, complex Stream transformations, exhaustive switch on sealed class events.</t>
  </si>
  <si>
    <t>stateful class instances with strict typing, sealed state classes, or Stream-based message passing between objects</t>
  </si>
  <si>
    <t>print() or developer.log() inside isolated scopes, error handlers, or class methods</t>
  </si>
  <si>
    <t>standard event passing via StreamController.add, SendPort.send, or typed method calls on class interfaces</t>
  </si>
  <si>
    <t>sealed classes representing states, Records like (response, newState), or typed Futures/Streams returned from class methods</t>
  </si>
  <si>
    <t>Dart test package with isolated async groups (use group and test functions with Future matchers) following Effective Dart</t>
  </si>
  <si>
    <t>comprehensive documentation using /// (doc comments) explaining class structures, inheritance, and Stream/Future APIs</t>
  </si>
  <si>
    <t>Evaluate based on basic async/await, Future usage, and simple class methods. Do NOT expect complex StreamControllers, Isolates, or advanced OOP patterns unless explicitly demanded.</t>
  </si>
  <si>
    <t>Expect structured Stream handling, isolate usage, and proper state encapsulation using classes with private fields. Look for non-blocking async operations and basic inheritance or composition.</t>
  </si>
  <si>
    <t>Expect complete apps with bi-directional Isolate communication, clean separation of public interfaces vs internal state, exhaustive pattern matching with sealed classes, and advanced OOP patterns (composition over inheritance).</t>
  </si>
  <si>
    <t>Use descriptive camelCase for members/functions/variables, PascalCase for types/classes/enums, and snake_case for libraries/files following Effective Dart.</t>
  </si>
  <si>
    <t>Leverage Dart 3+ pattern matching, Records (e.g., (status, state)), sealed classes, and strict static typing with Sound Null Safety.</t>
  </si>
  <si>
    <t>Reject event loop blocking (sync I/O), unawaited Futures, abusing 'dynamic' types, mutable global state, or public mutable fields.</t>
  </si>
  <si>
    <t>Use standard async I/O via dart:io inside class methods and gracefully handle errors using try/catch blocks or typed Result records like (value, error).</t>
  </si>
  <si>
    <t>Each challenge MUST include: - At least 1 Stream, Isolate, or class managing continuous state - Explicit typed state initialization - At least 1 asynchronous event listener or Future handler</t>
  </si>
  <si>
    <t>lines of EXECUTABLE broken Dart code per example (STRICT: Do NOT count blank lines). Enforce static typing, Sound Null Safety, and avoid 'dynamic'.</t>
  </si>
  <si>
    <t>All challenges MUST have similar async abstraction depth, OOP complexity, and architectural layering.</t>
  </si>
  <si>
    <t>Simulate a messy production Dart environment. The project MUST contain EXACTLY 2–5 bugs. You MUST randomly select from real-world async/type/OOP errors:</t>
  </si>
  <si>
    <t>1. Type Safety/Nullability (e.g., nullable type assigned to non-nullable, missing required parameters, unhandled sealed class cases, incorrect override signatures),</t>
  </si>
  <si>
    <t>2. State/Logic (e.g., updating state without yielding in streams, improper list mutation instead of Iterable methods, incorrect Record parsing, breaking encapsulation by exposing mutable fields), AND</t>
  </si>
  <si>
    <t>3. Concurrency/Runtime (e.g., unawaited Futures causing race conditions, listening to single-subscription Streams twice, deadlocks via Isolate ports, shared mutable state across isolates).</t>
  </si>
  <si>
    <t>Code MUST be production-like, cleanly utilizing Dart 3+ features, Sound Null Safety, robust async abstractions, and idiomatic OOP patterns.</t>
  </si>
  <si>
    <t>Use descriptive camelCase for variables/functions/members, PascalCase for classes/enums/types, and snake_case for file names following Effective Dart.</t>
  </si>
  <si>
    <t>Enforce strict static typing, minimize 'dynamic', leverage functional Iterable methods over imperative loops, and prefer composition with private state.</t>
  </si>
  <si>
    <t>Each challenge MUST include: - A functional StreamController, Isolate, or Class managing continuous state with strict typing and encapsulated private fields.</t>
  </si>
  <si>
    <t>lines of EXECUTABLE base Dart code (STRICT: Do NOT count comments or TODOs). Length MUST vary. Enforce static typing, Sound Null Safety, and idiomatic OOP.</t>
  </si>
  <si>
    <t>lines of EXECUTABLE base Dart code (STRICT: Do NOT count comments or TODOs). Must feature Stream-based event pipelines, asynchronous isolate flows, or class-based state machines.</t>
  </si>
  <si>
    <t>Code MUST perfectly model idiomatic Dart 3+ architectural paradigms utilizing standard Dart CLI ecosystem tools and Effective Dart guidelines.</t>
  </si>
  <si>
    <t>Use descriptive camelCase for variables/functions/members, PascalCase for classes/types, and snake_case for file names.</t>
  </si>
  <si>
    <t>Code MUST adhere strictly to Effective Dart style guidelines. Use camelCase for variables/functions/members, PascalCase for classes, snake_case for files. Avoid global state; emphasize strict typing, encapsulation, and sound async architectures.</t>
  </si>
  <si>
    <t>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t>
  </si>
  <si>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</si>
  <si>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</si>
  <si>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</si>
  <si>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</si>
  <si>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</si>
  <si>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Demonstrate Class Declaration and Instantiation using class, new, identical(), and runtimeType.</t>
  </si>
  <si>
    <t>Class Declaration &amp; Instantiation (class, new, identical(), runtimeType)</t>
  </si>
  <si>
    <t>Implement the Value Equality Contract using operator == and hashCode.</t>
  </si>
  <si>
    <t>Value Equality Contract (operator ==, hashCode)</t>
  </si>
  <si>
    <t>Assign Field Modifiers including static, final, late, and const.</t>
  </si>
  <si>
    <t>Field Modifiers (static, final, late, const)</t>
  </si>
  <si>
    <t>Create Computed Properties using get, set, and backing _fields.</t>
  </si>
  <si>
    <t>Computed Properties (get, set, backing _fields)</t>
  </si>
  <si>
    <t>Implement Generative and Named Constructors with this.field and Class.name().</t>
  </si>
  <si>
    <t>Generative &amp; Named Constructors (this.field, Class.name())</t>
  </si>
  <si>
    <t>Apply Initializer Lists and Redirects using : assert(), : field =, and this.name().</t>
  </si>
  <si>
    <t>Initializer Lists &amp; Redirects (: assert(), : field =, this.name())</t>
  </si>
  <si>
    <t>Utilize Super Constructors and Parameters with super() and super.field.</t>
  </si>
  <si>
    <t>Super Constructors &amp; Parameters (super(), super.field)</t>
  </si>
  <si>
    <t>Create Const Constructors and Tear-Offs using const Class(), Class.new, and Class.name.</t>
  </si>
  <si>
    <t>Const Constructors &amp; Tear-Offs (const Class(), Class.new, Class.name)</t>
  </si>
  <si>
    <t>Develop a domain entity consolidating Class Declaration and Instantiation, Value Equality Contract, Field Modifiers, Computed Properties, Generative and Named Constructors, Initializer Lists and Redirects, Super Constructors, and Const Constructors.</t>
  </si>
  <si>
    <t>Domain Entity Blueprint with Classes and Constructors</t>
  </si>
  <si>
    <t>Define Instance and Static Methods using void, static returnType, and _privateMethod().</t>
  </si>
  <si>
    <t>Instance &amp; Static Methods (void, static returnType, _privateMethod())</t>
  </si>
  <si>
    <t>Apply Cascade Operators using .. and ?.. .</t>
  </si>
  <si>
    <t>Cascade Operators (.., ?..)</t>
  </si>
  <si>
    <t>Implement Callable Objects with call().</t>
  </si>
  <si>
    <t>Callable Objects (call())</t>
  </si>
  <si>
    <t>Overload Arithmetic and Index Operators using operator +, operator -, operator [], and operator []=.</t>
  </si>
  <si>
    <t>Arithmetic &amp; Index Operator Overloading (operator +, operator -, operator [], operator []=)</t>
  </si>
  <si>
    <t>Overload Relational Operators using operator &gt;, operator &lt;, operator &gt;=, and operator &lt;=.</t>
  </si>
  <si>
    <t>Relational Operator Overloading (operator &gt;, operator &lt;, operator &gt;=, operator &lt;=)</t>
  </si>
  <si>
    <t>Extend a Class using extends and super.method().</t>
  </si>
  <si>
    <t>Class Extension (extends, super.method())</t>
  </si>
  <si>
    <t>Override Methods using @override and covariant.</t>
  </si>
  <si>
    <t>Method Overriding (@override, covariant)</t>
  </si>
  <si>
    <t>Create Abstract Classes using abstract class and unimplemented methods.</t>
  </si>
  <si>
    <t>Abstract Classes (abstract class, unimplemented methods)</t>
  </si>
  <si>
    <t>Build a behavioral hierarchy consolidating Instance and Static Methods, Cascade Operators, Callable Objects, Arithmetic and Index Operator Overloading, Relational Operator Overloading, Class Extension, Method Overriding, and Abstract Classes.</t>
  </si>
  <si>
    <t>Behavioral Hierarchy with Methods and Inheritance</t>
  </si>
  <si>
    <t>Implement Implicit Interfaces using implements and multiple interface contracts.</t>
  </si>
  <si>
    <t>Implicit Interfaces (implements, multiple interface contracts)</t>
  </si>
  <si>
    <t>Apply Mixins using mixin and with.</t>
  </si>
  <si>
    <t>Mixin Application (mixin, with)</t>
  </si>
  <si>
    <t>Constrain Mixins using the on keyword.</t>
  </si>
  <si>
    <t>Mixin Constraints (on keyword)</t>
  </si>
  <si>
    <t>Declare Mixin Classes using mixin class.</t>
  </si>
  <si>
    <t>Mixin Classes (mixin class)</t>
  </si>
  <si>
    <t>Declare Enhanced Enums using enum and const fields.</t>
  </si>
  <si>
    <t>Enhanced Enum Declaration (enum, const fields)</t>
  </si>
  <si>
    <t>Enhance Enums with Methods and Interfaces using enum.values, enum.name, and implements.</t>
  </si>
  <si>
    <t>Enum Methods &amp; Interfaces (enum.values, enum.name, implements)</t>
  </si>
  <si>
    <t>Implement Factory Constructors using factory and returning cached instances.</t>
  </si>
  <si>
    <t>Factory Constructors (factory, returning cached instances)</t>
  </si>
  <si>
    <t>Create Private Internal Constructors using Class._internal() for singletons.</t>
  </si>
  <si>
    <t>Private Internal Constructors (Class._internal(), singletons)</t>
  </si>
  <si>
    <t>Construct a flexible composition system consolidating Implicit Interfaces, Mixin Application, Mixin Constraints, Mixin Classes, Enhanced Enum Declaration, Enum Methods and Interfaces, Factory Constructors, and Private Internal Constructors.</t>
  </si>
  <si>
    <t>Composition System with Interfaces Mixins Enums and Factories</t>
  </si>
  <si>
    <t>Define Extension Methods using extension on, show, and hide.</t>
  </si>
  <si>
    <t>Extension Methods (extension on, show, hide)</t>
  </si>
  <si>
    <t>Create Extension Types using extension type and zero-cost wrappers.</t>
  </si>
  <si>
    <t>Extension Types (extension type, zero-cost wrappers)</t>
  </si>
  <si>
    <t>Apply Inheritance Modifiers using final class, base class, and interface class.</t>
  </si>
  <si>
    <t>Inheritance Modifiers (final class, base class, interface class)</t>
  </si>
  <si>
    <t>Implement Sealed Hierarchies using sealed class and switch exhaustiveness.</t>
  </si>
  <si>
    <t>Sealed Hierarchies (sealed class, switch exhaustiveness)</t>
  </si>
  <si>
    <t>Create Generic Classes using class Box&lt;T&gt; and class Pair&lt;K, V&gt;.</t>
  </si>
  <si>
    <t>Generic Classes (class Box&lt;T&gt;, class Pair&lt;K, V&gt;)</t>
  </si>
  <si>
    <t>Apply Bounded Type Constraints using &lt;T BaseType extends&gt; and &lt;T Object extends&gt;.</t>
  </si>
  <si>
    <t>Bounded Type Constraints (&lt;T BaseType extends&gt;, &lt;T Object extends&gt;)</t>
  </si>
  <si>
    <t>Implement Custom Exceptions using implements Exception and toString().</t>
  </si>
  <si>
    <t>Exception Implementation (implements Exception, toString())</t>
  </si>
  <si>
    <t>Extend Errors using extends Error and capturing state.</t>
  </si>
  <si>
    <t>Error Extension (extends Error, capturing state)</t>
  </si>
  <si>
    <t>Develop an advanced type-safe hierarchy consolidating Extension Methods, Extension Types, Inheritance Modifiers, Sealed Hierarchies, Generic Classes, Bounded Type Constraints, Exception Implementation, and Error Extension.</t>
  </si>
  <si>
    <t>Advanced Type System and Error Handling Project</t>
  </si>
  <si>
    <t>Organize Test Suites using group(), setUp(), and tearDown().</t>
  </si>
  <si>
    <t>Test Suite Organization (group(), setUp(), tearDown())</t>
  </si>
  <si>
    <t>Assert Behaviors using test(), expect(), and throwsA().</t>
  </si>
  <si>
    <t>Behavior Assertions (test(), expect(), throwsA())</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</si>
  <si>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</si>
  <si>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</si>
  <si>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</si>
  <si>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Dart Object-Oriented &amp; Advanced Patterns</t>
  </si>
  <si>
    <t>Website:</t>
  </si>
  <si>
    <t>https://coding5s.com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</si>
</sst>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2">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xf numFmtId="0" fontId="20" fillId="0" borderId="33" xfId="1" applyBorder="1"/>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election activeCell="D11" sqref="D11"/>
    </sheetView>
  </sheetViews>
  <sheetFormatPr defaultColWidth="11.42578125" defaultRowHeight="15"/>
  <cols>
    <col min="1" max="1" width="15.7109375" customWidth="1"/>
    <col min="2" max="2" width="5.7109375"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$A$6 &amp; "). This includes translating ALL structural labels requested in this prompt (like 'Dataset Summary', 'File Type', 'Columns / Fields', 'Data Types', 'Notes', 'Analogy', 'Exercise', 'Objective', 'Expected Output') into " &amp; $A$6 &amp; ". Do NOT mix languages. Only code and technical identifiers remain unchanged | " &amp; $AE$7 &amp; " | " &amp;
"[LANGUAGE] " &amp; $A$6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$A$6 &amp; " before the analogy, followed by this EXACT instruction block translated to " &amp; $A$6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$A$6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Dart Object-Oriented &amp; Advanced Patterns | [TASK] Teach and explain concepts clearly with correct code examples | [TOPIC] Demonstrate Class Declaration and Instantiation using class, new, identical(), and runtimeType. | [LEVEL] Intermediate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Dart Object-Oriented &amp; Advanced Patterns | 📊 Level: Intermediate | 🌐 Coding5s.com
**Concept:** Class Declaration &amp; Instantiation (class, new, identical(), runtimeType)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228</v>
      </c>
      <c r="D2" s="16"/>
      <c r="E2" s="99" t="str">
        <f>IF(E1="Stage 1","k9:L200",IF(E1="Stage 2","N9:O200",IF(E1="Stage 3","Q9:R200",IF(E1="Stage 4","T9:U200",IF(E1="Stage 5","W9:X200","Stage Incorrecta")))))</f>
        <v>k9:L200</v>
      </c>
      <c r="F2" s="18" t="s">
        <v>8</v>
      </c>
      <c r="G2" s="19"/>
      <c r="H2" s="19"/>
      <c r="I2" s="16" t="s">
        <v>858</v>
      </c>
      <c r="J2" s="16"/>
      <c r="K2" s="136" t="s">
        <v>9</v>
      </c>
      <c r="L2" s="137"/>
      <c r="M2" s="138"/>
      <c r="N2" s="137" t="s">
        <v>10</v>
      </c>
      <c r="O2" s="137"/>
      <c r="P2" s="137"/>
      <c r="Q2" s="139" t="s">
        <v>11</v>
      </c>
      <c r="R2" s="137"/>
      <c r="S2" s="140"/>
      <c r="T2" s="137" t="s">
        <v>12</v>
      </c>
      <c r="U2" s="137"/>
      <c r="V2" s="137"/>
      <c r="W2" s="139" t="s">
        <v>13</v>
      </c>
      <c r="X2" s="137"/>
      <c r="Y2" s="140"/>
      <c r="Z2" s="1"/>
      <c r="AA2" s="1"/>
      <c r="AB2" s="1"/>
      <c r="AC2" s="1"/>
      <c r="AD2" s="1"/>
      <c r="AE2" s="15"/>
      <c r="AF2" s="14"/>
      <c r="AG2" s="14"/>
      <c r="AH2" s="15"/>
      <c r="AI2" s="15"/>
      <c r="AJ2" s="15"/>
      <c r="AK2" s="15"/>
      <c r="AL2" s="15"/>
    </row>
    <row r="3" spans="1:39" ht="26.25">
      <c r="A3" s="1"/>
      <c r="B3" s="2" t="s">
        <v>14</v>
      </c>
      <c r="C3" s="96" t="str">
        <f>""</f>
        <v/>
      </c>
      <c r="D3" s="2"/>
      <c r="E3" s="100">
        <f>COUNTA(E9:E200)-E4</f>
        <v>0</v>
      </c>
      <c r="F3" s="97" t="s">
        <v>271</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t="s">
        <v>15</v>
      </c>
      <c r="C4" s="96"/>
      <c r="D4" s="2"/>
      <c r="E4" s="101">
        <f>COUNTIF($E$9:$E$200,"No")</f>
        <v>38</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32" t="s">
        <v>16</v>
      </c>
      <c r="B5" s="32" t="s">
        <v>17</v>
      </c>
      <c r="C5" s="96"/>
      <c r="D5" s="2"/>
      <c r="E5" s="32" t="s">
        <v>503</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34" t="s">
        <v>55</v>
      </c>
      <c r="B6" s="17" t="str">
        <f>VLOOKUP(A6,AL:AM,2,0)</f>
        <v>en</v>
      </c>
      <c r="C6" s="96"/>
      <c r="D6" s="2"/>
      <c r="E6" s="35" t="str" cm="1">
        <f t="array" ref="E6">"AL9:"&amp;ADDRESS(_xlfn.AGGREGATE(14, 6, ROW(AL:AL)*(AL:AL&lt;&gt;""), 1), COLUMN(AL:AL))</f>
        <v>AL9:$AL$48</v>
      </c>
      <c r="F6" s="27"/>
      <c r="G6" s="130" t="s">
        <v>712</v>
      </c>
      <c r="H6" s="28"/>
      <c r="I6" s="29"/>
      <c r="J6" s="29"/>
      <c r="K6" s="30"/>
      <c r="L6" s="31"/>
      <c r="M6" s="23"/>
      <c r="N6" s="31"/>
      <c r="O6" s="31"/>
      <c r="P6" s="22"/>
      <c r="Q6" s="21"/>
      <c r="R6" s="2"/>
      <c r="S6" s="25"/>
      <c r="T6" s="22"/>
      <c r="U6" s="22"/>
      <c r="V6" s="22"/>
      <c r="W6" s="26"/>
      <c r="X6" s="22"/>
      <c r="Y6" s="25"/>
      <c r="Z6" s="1"/>
      <c r="AA6" s="1"/>
      <c r="AB6" s="1"/>
      <c r="AC6" s="1"/>
      <c r="AD6" s="1"/>
      <c r="AE6" s="104" t="s">
        <v>19</v>
      </c>
      <c r="AF6" s="15"/>
      <c r="AG6" s="15"/>
      <c r="AH6" s="15"/>
      <c r="AI6" s="15"/>
      <c r="AJ6" s="15"/>
      <c r="AK6" s="15"/>
      <c r="AL6" s="15"/>
    </row>
    <row r="7" spans="1:39">
      <c r="A7" s="1"/>
      <c r="B7" s="2"/>
      <c r="C7" s="96"/>
      <c r="D7" s="2"/>
      <c r="E7" s="20"/>
      <c r="F7" s="36"/>
      <c r="G7" s="36"/>
      <c r="H7" s="37"/>
      <c r="I7" s="28"/>
      <c r="J7" s="28"/>
      <c r="K7" s="31" t="s">
        <v>711</v>
      </c>
      <c r="L7" s="31" t="s">
        <v>711</v>
      </c>
      <c r="M7" s="38"/>
      <c r="N7" s="31" t="s">
        <v>711</v>
      </c>
      <c r="O7" s="31" t="s">
        <v>711</v>
      </c>
      <c r="P7" s="22"/>
      <c r="Q7" s="31" t="s">
        <v>711</v>
      </c>
      <c r="R7" s="31" t="s">
        <v>711</v>
      </c>
      <c r="S7" s="39"/>
      <c r="T7" s="31" t="s">
        <v>711</v>
      </c>
      <c r="U7" s="31" t="s">
        <v>711</v>
      </c>
      <c r="V7" s="22"/>
      <c r="W7" s="31" t="s">
        <v>711</v>
      </c>
      <c r="X7" s="31" t="s">
        <v>711</v>
      </c>
      <c r="Y7" s="39"/>
      <c r="Z7" s="31" t="s">
        <v>711</v>
      </c>
      <c r="AA7" s="31" t="s">
        <v>711</v>
      </c>
      <c r="AB7" s="31" t="s">
        <v>711</v>
      </c>
      <c r="AC7" s="31" t="s">
        <v>711</v>
      </c>
      <c r="AD7" s="31" t="s">
        <v>711</v>
      </c>
      <c r="AE7" s="35" t="str">
        <f>_xlfn.CONCAT(AH9:AH200)</f>
        <v/>
      </c>
      <c r="AF7" s="15"/>
      <c r="AG7" s="15"/>
      <c r="AH7" s="15"/>
      <c r="AI7" s="15"/>
      <c r="AJ7" s="15"/>
      <c r="AK7" s="135" t="s">
        <v>508</v>
      </c>
      <c r="AL7" s="135"/>
      <c r="AM7" s="135"/>
    </row>
    <row r="8" spans="1:39">
      <c r="A8" s="42" t="s">
        <v>21</v>
      </c>
      <c r="B8" s="43">
        <v>0</v>
      </c>
      <c r="C8" s="41" t="s">
        <v>20</v>
      </c>
      <c r="D8" s="43" t="s">
        <v>504</v>
      </c>
      <c r="E8" s="44" t="s">
        <v>22</v>
      </c>
      <c r="F8" s="43" t="s">
        <v>23</v>
      </c>
      <c r="G8" s="42" t="s">
        <v>24</v>
      </c>
      <c r="H8" s="42" t="s">
        <v>25</v>
      </c>
      <c r="I8" s="42" t="s">
        <v>26</v>
      </c>
      <c r="J8" s="42" t="s">
        <v>27</v>
      </c>
      <c r="K8" s="42" t="s">
        <v>28</v>
      </c>
      <c r="L8" s="42" t="s">
        <v>29</v>
      </c>
      <c r="M8" s="42" t="s">
        <v>30</v>
      </c>
      <c r="N8" s="42" t="s">
        <v>31</v>
      </c>
      <c r="O8" s="42" t="s">
        <v>29</v>
      </c>
      <c r="P8" s="42" t="s">
        <v>32</v>
      </c>
      <c r="Q8" s="42" t="s">
        <v>33</v>
      </c>
      <c r="R8" s="42" t="s">
        <v>29</v>
      </c>
      <c r="S8" s="42" t="s">
        <v>34</v>
      </c>
      <c r="T8" s="42" t="s">
        <v>35</v>
      </c>
      <c r="U8" s="42" t="s">
        <v>29</v>
      </c>
      <c r="V8" s="42" t="s">
        <v>36</v>
      </c>
      <c r="W8" s="42" t="s">
        <v>37</v>
      </c>
      <c r="X8" s="42" t="s">
        <v>29</v>
      </c>
      <c r="Y8" s="42" t="s">
        <v>38</v>
      </c>
      <c r="Z8" s="42" t="s">
        <v>39</v>
      </c>
      <c r="AA8" s="42" t="s">
        <v>40</v>
      </c>
      <c r="AB8" s="42" t="s">
        <v>41</v>
      </c>
      <c r="AC8" s="42" t="s">
        <v>42</v>
      </c>
      <c r="AD8" s="42" t="s">
        <v>43</v>
      </c>
      <c r="AE8" s="42" t="s">
        <v>505</v>
      </c>
      <c r="AF8" s="42" t="s">
        <v>506</v>
      </c>
      <c r="AG8" s="42" t="s">
        <v>507</v>
      </c>
      <c r="AH8" s="42" t="s">
        <v>44</v>
      </c>
      <c r="AI8" s="42" t="s">
        <v>45</v>
      </c>
      <c r="AJ8" s="42" t="s">
        <v>510</v>
      </c>
      <c r="AK8" s="42" t="s">
        <v>46</v>
      </c>
      <c r="AL8" s="42" t="s">
        <v>47</v>
      </c>
      <c r="AM8" s="42" t="s">
        <v>17</v>
      </c>
    </row>
    <row r="9" spans="1:39">
      <c r="A9" s="45" t="str" cm="1">
        <f t="array" ref="A9">IF(H9="PROJECT", CHAR(10) &amp; "- " &amp; _xlfn.TEXTJOIN(CHAR(10) &amp; "- ", TRUE, _xlfn._xlws.FILTER($I$9:$I$1000, ($B$9:$B$1000=B9) * ($H$9:$H$1000="Topic"))), "")</f>
        <v/>
      </c>
      <c r="B9" s="45">
        <f>IF(H9="","",IF(AND(H9="Topic",H8="PROJECT"),B8+1,IF(H9="PROJECT",B8,IF(AND(H9="Topic",H8="Topic"),B8,B8+1))))</f>
        <v>1</v>
      </c>
      <c r="C9" s="95">
        <v>12</v>
      </c>
      <c r="D9" s="46">
        <v>3</v>
      </c>
      <c r="E9" s="47" t="s">
        <v>48</v>
      </c>
      <c r="F9" s="48">
        <v>1</v>
      </c>
      <c r="G9" s="49" t="s">
        <v>160</v>
      </c>
      <c r="H9" s="49" t="s">
        <v>50</v>
      </c>
      <c r="I9" s="50" t="s">
        <v>779</v>
      </c>
      <c r="J9" s="51" t="s">
        <v>780</v>
      </c>
      <c r="K9" s="129" t="str">
        <f t="shared" ref="K9:K40" si="0">IF(H9="Topic",
"[ROLE] Friendly tutor specializing in " &amp; $I$2 &amp; " | " &amp;
"[TOPIC] " &amp; I9 &amp; " | " &amp;
"[LEVEL] " &amp; G9 &amp; " | " &amp;
"[COUNT] " &amp; D9 &amp; " examples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$A$6 &amp; "). This includes translating ALL structural labels requested in this prompt (like 'Dataset Summary', 'File Type', 'Columns / Fields', 'Data Types', 'Notes', 'Analogy', 'Exercise', 'Objective', 'Expected Output') into " &amp; $A$6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$A$6 &amp; ": " &amp; $AE$7) &amp; " | " &amp;
"[LANGUAGE] " &amp; $A$6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basic async/await, simple Future-returning methods on classes, synchronous Stream handling within class methods.", IF(G9="Intermediate", "Integrate StreamControllers (event-driven) inside classes, async* generators as methods, explicit state transitions via sealed class hierarchies.", "stateful class instances with strict typing, sealed state classes, or Stream-based message passing between objects")) &amp; " | " &amp;
_xlfn._LONGTEXT("[CODE_CONSTRAINTS_RULE] Each example MUST: - Use stateful class instances with strict typing, sealed state classes, or Stream-based message passing between objects - Print steps &amp; result via print() or developer.log() inside isolated scopes, error handler","s, or class methods - MAX ") &amp; $C9 &amp; " executable lines (comments/blanks excluded) - NEVER exceed limit. | " &amp;
_xlfn._LONGTEXT("[I_O_PARADIGM] Use standard event passing via StreamController.add, SendPort.send, or typed method calls on class interfaces and gracefully handle sealed classes representing states, Records like (response, newState), or typed Futures/Streams returned fro","m class methods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$A$6 &amp; " before the analogy, followed by this EXACT instruction block translated to " &amp; $A$6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$A$6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Dart Object-Oriented &amp; Advanced Patterns | [TOPIC] Demonstrate Class Declaration and Instantiation using class, new, identical(), and runtimeType. | [LEVEL] Intermediate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12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Dart Object-Oriented &amp; Advanced Patterns | 📊 Level: Intermediate | 🌐 Coding5s.com
**Concept:** Class Declaration &amp; Instantiation (class, new, identical(), runtimeType)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B9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async/await, Future usage, and simple class methods. Do NOT expect complex StreamControllers, Isolates, or advanced OOP patterns unless explicitly demanded.", IF(G9="Intermediate", "Expect structured Stream handling, isolate usage, and proper state encapsulation using classes with private fields. Look for non-blocking async operations and basic inheritance or composition.", "Expect complete apps with bi-directional Isolate communication, clean separation of public interfaces vs internal state, exhaustive pattern matching with sealed classes, and advanced OOP patterns (composition over inheritance).")) &amp; " | " &amp;
_xlfn._LONGTEXT("[CODE_QUALITY_POLICIES]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Class Declaration and Instantiation using class, new, identical(), and runtimeType.. Topic details: Class Declaration &amp; Instantiation (class, new, identical(), runtimeType)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Dart Object-Oriented &amp; Advanced Patterns | 📊 Level: Intermediate
**Topic:** Demonstrate Class Declaration and Instantiation using class, new, identical(), and runtimeType.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
"[EXUNIT RULE] Always use the Dart test package. You MUST use expect() with Future/Stream matchers for async testing. Avoid testing complex async logic with simple synchronous assertions. | " &amp;
"[HEX DEPENDENCIES RULE] Assume a standard Dart CLI context. External pub.dev dependencies MUST be specified strictly within the dependencies block of pubspec.yaml. | " &amp;
"[CODE CONSTRAINTS] Each challenge MUST include: - At least 1 Stream, Isolate, or class managing continuous state - Explicit typed state initialization - At least 1 asynchronous event listener or Future handler - " &amp; IF(G9="Beginner", "5–15", IF(G9="Intermediate", "10–25", "15–35")) &amp; " lines of EXECUTABLE broken Dart code per example (STRICT: Do NOT count blank lines). Enforce static typing, Sound Null Safety, and avoid 'dynamic'. | All challenges MUST have similar async abstraction depth, OOP complexity, and architectural layering.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Dart Object-Oriented &amp; Advanced Patterns Developer | [TASK] Generate debugging challenges in Dart Object-Oriented &amp; Advanced Patterns | | [TOPIC] Demonstrate Class Declaration and Instantiation using class, new, identical(), and runtimeType. | | [LEVEL] Intermediate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 | Stage 2 🐛 Debug | Dart Object-Oriented &amp; Advanced Patterns | 📊 Level: Intermediate | 🌐 Coding5s.com
Concept: Class Declaration &amp; Instantiation (class, new, identical(), runtimeType)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B9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Class Declaration and Instantiation using class, new, identical(), and runtimeType.. Topic details: Class Declaration &amp; Instantiation (class, new, identical(), runtimeType)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Dart Object-Oriented &amp; Advanced Patterns | 📊 Level: Intermediate
**Topic:** Demonstrate Class Declaration and Instantiation using class, new, identical(), and runtimeType.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pub.dev packages MUST be added to the dependencies block in a standard pubspec.yaml file. Do not use standalone scripts. | " &amp;
"[TESTING_FRAMEWORK_PROTOCOL] Tests MUST isolate async states. NEVER hack event loops manually; use expect() with stream/future matchers to verify async flows. | " &amp;
"[CHALLENGE_CONSTRAINTS_POLICY] Each challenge MUST include: - A functional StreamController, Isolate, or Class managing continuous state with strict typing and encapsulated private fields. - " &amp; IF(G9="Beginner","5–15", IF(G9="Intermediate","10–25","15–35")) &amp; " lines of EXECUTABLE base Dart code (STRICT: Do NOT count comments or TODOs). Length MUST vary. Enforce static typing, Sound Null Safety, and idiomatic OOP.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Dart Object-Oriented &amp; Advanced Patterns script challenges | [TOPIC] Demonstrate Class Declaration and Instantiation using class, new, identical(), and runtimeType. | [LEVEL] Intermediate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 | Stage 3 🧩 Complete | Dart Object-Oriented &amp; Advanced Patterns | 📊 Level: Intermediate | 🌐 Coding5s.com
**Concept:** Class Declaration &amp; Instantiation (class, new, identical(), runtimeType)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Class Declaration and Instantiation using class, new, identical(), and runtimeType..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B9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Class Declaration and Instantiation using class, new, identical(), and runtimeType.. Topic details: Class Declaration &amp; Instantiation (class, new, identical(), runtimeType)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Dart Object-Oriented &amp; Advanced Patterns | 📊 Level: Intermediate
**Topic:** Demonstrate Class Declaration and Instantiation using class, new, identical(), and runtimeType.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Demonstrate Class Declaration and Instantiation using class, new, identical(), and runtimeType. | [LEVEL] Intermediate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 | Stage 4 🧹 Refactor | Dart Object-Oriented &amp; Advanced Patterns | 📊 Level: Intermediate | 🌐 Coding5s.com
**Concept:** Class Declaration &amp; Instantiation (class, new, identical(), runtimeType)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B9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Effective Dart style guidelines. Use camelCase for variables/functions/members, PascalCase for classes, snake_case for files. Avoid global state; emphasize strict typing, encapsulation, and sound"," async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Demonstrate Class Declaration and Instantiation using class, new, identical(), and runtimeType.. Topic details: Class Declaration &amp; Instantiation (class, new, identical(), runtimeType)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Dart Object-Oriented &amp; Advanced Patterns | 📊 Level: Intermediate
**Topic:** Demonstrate Class Declaration and Instantiation using class, new, identical(), and runtimeType.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Dart Object-Oriented &amp; Advanced Patterns Jira Ticket | [TASK] Provide a guided implementation exercise with full solution for learning purposes | [TOPIC] Demonstrate Class Declaration and Instantiation using class, new, identical(), and runtimeType.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 | Stage 5 | Dart Object-Oriented &amp; Advanced Patterns | 📊 Level: Intermediate | 🌐 Coding5s.com
**Concept:** Class Declaration &amp; Instantiation (class, new, identical(), runtimeType)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B9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Class Declaration and Instantiation using class, new, identical(), and runtimeType.. Goal: Class Declaration &amp; Instantiation (class, new, identical(), runtimeType)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Dart Object-Oriented &amp; Advanced Patterns | 📊 Level: Intermediate
**Topic:** Demonstrate Class Declaration and Instantiation using class, new, identical(), and runtimeType.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pubspec.yaml dependencies block (dependencies: package_name: ^version) at the top. | " &amp;
"[SCOPE_ARCHITECTURE_RULE] Rule: Build apps: bi-directional Isolate communication between class instances, complex Stream transformations, exhaustive switch on sealed class events. | " &amp;
_xlfn._LONGTEXT("[VISUAL_ARCHITECTURE_COMMENTS]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B9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dart pub tooling and pubspec.yaml for dependencies. | " &amp;
"[CHALLENGE_CONSTRAINTS_POLICY] MUST be between " &amp; IF(G9="Beginner","25–40", IF(G9="Intermediate","30–60","40–100")) &amp; " lines of EXECUTABLE base Dart code (STRICT: Do NOT count comments or TODOs). Must feature Stream-based event pipelines, asynchronous isolate flows, or class-based state machines.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B9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B9 &amp; " | " &amp;
"[LEVEL] " &amp; G9 &amp; " | " &amp;
"[PERSONA RULE] Act as a professional Tech Product Manager defining a project ticket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51</v>
      </c>
      <c r="AF9" s="55" t="s">
        <v>52</v>
      </c>
      <c r="AG9" s="55" t="s">
        <v>53</v>
      </c>
      <c r="AH9" s="56" t="str">
        <f>IF(AE9=$A$6,AG9,"")</f>
        <v/>
      </c>
      <c r="AI9" s="54" t="s">
        <v>54</v>
      </c>
      <c r="AJ9" s="54"/>
      <c r="AK9" s="54">
        <v>1</v>
      </c>
      <c r="AL9" s="54" t="s">
        <v>55</v>
      </c>
      <c r="AM9" s="54" t="s">
        <v>56</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15</v>
      </c>
      <c r="D10" s="57">
        <v>4</v>
      </c>
      <c r="E10" s="58" t="s">
        <v>48</v>
      </c>
      <c r="F10" s="59">
        <v>2</v>
      </c>
      <c r="G10" s="60" t="s">
        <v>160</v>
      </c>
      <c r="H10" s="60" t="s">
        <v>50</v>
      </c>
      <c r="I10" s="61" t="s">
        <v>781</v>
      </c>
      <c r="J10" s="62" t="s">
        <v>782</v>
      </c>
      <c r="K10" s="129" t="str">
        <f t="shared" si="0"/>
        <v xml:space="preserve">[ROLE] Friendly tutor specializing in Dart Object-Oriented &amp; Advanced Patterns | [TOPIC] Implement the Value Equality Contract using operator == and hashCode.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Dart Object-Oriented &amp; Advanced Patterns | 📊 Level: Intermediate | 🌐 Coding5s.com
**Concept:** Value Equality Contract (operator ==, hashCode)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2">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B10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async/await, Future usage, and simple class methods. Do NOT expect complex StreamControllers, Isolates, or advanced OOP patterns unless explicitly demanded.", IF(G10="Intermediate", "Expect structured Stream handling, isolate usage, and proper state encapsulation using classes with private fields. Look for non-blocking async operations and basic inheritance or composition.", "Expect complete apps with bi-directional Isolate communication, clean separation of public interfaces vs internal state, exhaustive pattern matching with sealed classes, and advanced OOP patterns (composition over inheritance).")) &amp; " | " &amp;
_xlfn._LONGTEXT("[CODE_QUALITY_POLICIES]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Value Equality Contract using operator == and hashCode.. Topic details: Value Equality Contract (operator ==, hashCode)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Dart Object-Oriented &amp; Advanced Patterns | 📊 Level: Intermediate
**Topic:** Implement the Value Equality Contract using operator == and hashCode.
---
 | [FOOTER RULE - STRICT] End your response with: '--- ⚡ *Coding5s Mentor System — Eliminating Epistemic Debt*' | </v>
      </c>
      <c r="M10" s="52">
        <v>0</v>
      </c>
      <c r="N10" s="102" t="str">
        <f t="shared" ref="N10:N73" si="3">IF(H10="Topic",
"[ROLE] Careless " &amp; $I$2 &amp; " Developer | " &amp;
"[TASK] Generate debugging challenges in " &amp; $I$2 &amp; " | | " &amp;
"[TOPIC] " &amp; I10 &amp; " | | " &amp;
"[LEVEL] " &amp; G10 &amp; " | | " &amp;
"[COUNT] " &amp; D10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
"[EXUNIT RULE] Always use the Dart test package. You MUST use expect() with Future/Stream matchers for async testing. Avoid testing complex async logic with simple synchronous assertions. | " &amp;
"[HEX DEPENDENCIES RULE] Assume a standard Dart CLI context. External pub.dev dependencies MUST be specified strictly within the dependencies block of pubspec.yaml. | " &amp;
"[CODE CONSTRAINTS] Each challenge MUST include: - At least 1 Stream, Isolate, or class managing continuous state - Explicit typed state initialization - At least 1 asynchronous event listener or Future handler - " &amp; IF(G10="Beginner", "5–15", IF(G10="Intermediate", "10–25", "15–35")) &amp; " lines of EXECUTABLE broken Dart code per example (STRICT: Do NOT count blank lines). Enforce static typing, Sound Null Safety, and avoid 'dynamic'. | All challenges MUST have similar async abstraction depth, OOP complexity, and architectural layering.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Dart Object-Oriented &amp; Advanced Patterns Developer | [TASK] Generate debugging challenges in Dart Object-Oriented &amp; Advanced Patterns | | [TOPIC] Implement the Value Equality Contract using operator == and hashCode.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 | Stage 2 🐛 Debug | Dart Object-Oriented &amp; Advanced Patterns | 📊 Level: Intermediate | 🌐 Coding5s.com
Concept: Value Equality Contract (operator ==, hashCode)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4">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B10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Value Equality Contract using operator == and hashCode.. Topic details: Value Equality Contract (operator ==, hashCode)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Dart Object-Oriented &amp; Advanced Patterns | 📊 Level: Intermediate
**Topic:** Implement the Value Equality Contract using operator == and hashCode.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5">IF(H10="Topic",
"[ROLE] Tech Lead | " &amp;
"[TASK] Assign incomplete " &amp; $I$2 &amp; " script challenges | " &amp;
"[TOPIC] " &amp; I10 &amp; " | " &amp;
"[LEVEL] " &amp; G10 &amp; " | " &amp;
"[COUNT] " &amp; D10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pub.dev packages MUST be added to the dependencies block in a standard pubspec.yaml file. Do not use standalone scripts. | " &amp;
"[TESTING_FRAMEWORK_PROTOCOL] Tests MUST isolate async states. NEVER hack event loops manually; use expect() with stream/future matchers to verify async flows. | " &amp;
"[CHALLENGE_CONSTRAINTS_POLICY] Each challenge MUST include: - A functional StreamController, Isolate, or Class managing continuous state with strict typing and encapsulated private fields. - " &amp; IF(G10="Beginner","5–15", IF(G10="Intermediate","10–25","15–35")) &amp; " lines of EXECUTABLE base Dart code (STRICT: Do NOT count comments or TODOs). Length MUST vary. Enforce static typing, Sound Null Safety, and idiomatic OOP.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Dart Object-Oriented &amp; Advanced Patterns script challenges | [TOPIC] Implement the Value Equality Contract using operator == and hashCode.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 | Stage 3 🧩 Complete | Dart Object-Oriented &amp; Advanced Patterns | 📊 Level: Intermediate | 🌐 Coding5s.com
**Concept:** Value Equality Contract (operator ==, hashCode)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Value Equality Contract using operator == and hashCode..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6">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B10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Value Equality Contract using operator == and hashCode.. Topic details: Value Equality Contract (operator ==, hashCode)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Dart Object-Oriented &amp; Advanced Patterns | 📊 Level: Intermediate
**Topic:** Implement the Value Equality Contract using operator == and hashCode.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7">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Implement the Value Equality Contract using operator == and hashCode.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 | Stage 4 🧹 Refactor | Dart Object-Oriented &amp; Advanced Patterns | 📊 Level: Intermediate | 🌐 Coding5s.com
**Concept:** Value Equality Contract (operator ==, hashCode)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8">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B10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adhere strictly to Effective Dart style guidelines. Use camelCase for variables/functions/members, PascalCase for classes, snake_case for files. Avoid global state; emphasize strict typing, encapsulation, and sound"," async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the Value Equality Contract using operator == and hashCode.. Topic details: Value Equality Contract (operator ==, hashCode)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Dart Object-Oriented &amp; Advanced Patterns | 📊 Level: Intermediate
**Topic:** Implement the Value Equality Contract using operator == and hashCode.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9">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Dart Object-Oriented &amp; Advanced Patterns Jira Ticket | [TASK] Provide a guided implementation exercise with full solution for learning purposes | [TOPIC] Implement the Value Equality Contract using operator == and hashCode.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 | Stage 5 | Dart Object-Oriented &amp; Advanced Patterns | 📊 Level: Intermediate | 🌐 Coding5s.com
**Concept:** Value Equality Contract (operator ==, hashCode)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0">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B10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Value Equality Contract using operator == and hashCode.. Goal: Value Equality Contract (operator ==, hashCode)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Dart Object-Oriented &amp; Advanced Patterns | 📊 Level: Intermediate
**Topic:** Implement the Value Equality Contract using operator == and hashCode.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1">IF(H10&lt;&gt;"PROJECT","",
"[TASK] Teach through a practical " &amp; $I$2 &amp; " - " &amp; $I$3 &amp; " project following the micro-learning methodology, acting as a supportive tutor, creating a project about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pubspec.yaml dependencies block (dependencies: package_name: ^version) at the top. | " &amp;
"[SCOPE_ARCHITECTURE_RULE] Rule: Build apps: bi-directional Isolate communication between class instances, complex Stream transformations, exhaustive switch on sealed class events. | " &amp;
_xlfn._LONGTEXT("[VISUAL_ARCHITECTURE_COMMENTS]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2">IF(H10&lt;&gt;"PROJECT","",
"[ROLE] Careless " &amp; $I$2 &amp; " Developer | " &amp;
"[TASK] Generate debugging project in " &amp; $I$2 &amp; " | " &amp;
"[PROJECT] " &amp; I10 &amp; " | " &amp;
"[TOPICS USED] " &amp; B10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3">IF(H10&lt;&gt;"PROJECT","",
"[ROLE] Tech Lead | " &amp;
"[TASK] Assign incomplete project script | " &amp;
"[PROJECT]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dart pub tooling and pubspec.yaml for dependencies. | " &amp;
"[CHALLENGE_CONSTRAINTS_POLICY] MUST be between " &amp; IF(G10="Beginner","25–40", IF(G10="Intermediate","30–60","40–100")) &amp; " lines of EXECUTABLE base Dart code (STRICT: Do NOT count comments or TODOs). Must feature Stream-based event pipelines, asynchronous isolate flows, or class-based state machines.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4">IF(H10&lt;&gt;"PROJECT","",
"[ROLE] Tech Lead | " &amp;
"[TASK] Provide a messy but functional project for refactoring | " &amp;
"[PROJECT] " &amp; I10 &amp; " | " &amp;
"[TOPICS USED] " &amp; B10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5">IF(H10&lt;&gt;"PROJECT","",
"[ROLE] Tech Product Manager assigning a " &amp; $I$2 &amp; " Jira Ticket | " &amp;
"[TASK] Provide a guided project implementation with full solution | " &amp;
"[PROJECT] " &amp; I10 &amp; " | " &amp;
"[TOPICS USED] " &amp; B10 &amp; " | " &amp;
"[LEVEL] " &amp; G10 &amp; " | " &amp;
"[PERSONA RULE] Act as a professional Tech Product Manager defining a project ticket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57</v>
      </c>
      <c r="AF10" s="55" t="s">
        <v>58</v>
      </c>
      <c r="AG10" s="55" t="s">
        <v>59</v>
      </c>
      <c r="AH10" s="56" t="str">
        <f>IF(AE10=$A$6,AG10,"")</f>
        <v/>
      </c>
      <c r="AI10" s="54" t="s">
        <v>60</v>
      </c>
      <c r="AJ10" s="54"/>
      <c r="AK10" s="54">
        <v>2</v>
      </c>
      <c r="AL10" s="54" t="s">
        <v>18</v>
      </c>
      <c r="AM10" s="54" t="s">
        <v>61</v>
      </c>
    </row>
    <row r="11" spans="1:39">
      <c r="A11" s="45" t="str" cm="1">
        <f t="array" ref="A11">IF(H11="PROJECT", CHAR(10) &amp; "- " &amp; _xlfn.TEXTJOIN(CHAR(10) &amp; "- ", TRUE, _xlfn._xlws.FILTER($I$9:$I$1000, ($B$9:$B$1000=B11) * ($H$9:$H$1000="Topic"))), "")</f>
        <v/>
      </c>
      <c r="B11" s="45">
        <f t="shared" si="1"/>
        <v>1</v>
      </c>
      <c r="C11" s="95">
        <v>12</v>
      </c>
      <c r="D11" s="46">
        <v>3</v>
      </c>
      <c r="E11" s="58" t="s">
        <v>48</v>
      </c>
      <c r="F11" s="48">
        <v>3</v>
      </c>
      <c r="G11" s="49" t="s">
        <v>160</v>
      </c>
      <c r="H11" s="49" t="s">
        <v>50</v>
      </c>
      <c r="I11" s="50" t="s">
        <v>783</v>
      </c>
      <c r="J11" s="51" t="s">
        <v>784</v>
      </c>
      <c r="K11" s="129" t="str">
        <f t="shared" si="0"/>
        <v xml:space="preserve">[ROLE] Friendly tutor specializing in Dart Object-Oriented &amp; Advanced Patterns | [TOPIC] Assign Field Modifiers including static, final, late, and const. | [LEVEL] Intermediate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12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Dart Object-Oriented &amp; Advanced Patterns | 📊 Level: Intermediate | 🌐 Coding5s.com
**Concept:** Field Modifiers (static, final, late, const)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Field Modifiers including static, final, late, and const.. Topic details: Field Modifiers (static, final, late, const)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Dart Object-Oriented &amp; Advanced Patterns | 📊 Level: Intermediate
**Topic:** Assign Field Modifiers including static, final, late, and const.
---
 | [FOOTER RULE - STRICT] End your response with: '--- ⚡ *Coding5s Mentor System — Eliminating Epistemic Debt*' | </v>
      </c>
      <c r="M11" s="52">
        <v>0</v>
      </c>
      <c r="N11" s="102" t="str">
        <f t="shared" si="3"/>
        <v>[ROLE] Careless Dart Object-Oriented &amp; Advanced Patterns Developer | [TASK] Generate debugging challenges in Dart Object-Oriented &amp; Advanced Patterns | | [TOPIC] Assign Field Modifiers including static, final, late, and const. | | [LEVEL] Intermediate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 | Stage 2 🐛 Debug | Dart Object-Oriented &amp; Advanced Patterns | 📊 Level: Intermediate | 🌐 Coding5s.com
Concept: Field Modifiers (static, final, late, const)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Field Modifiers including static, final, late, and const.. Topic details: Field Modifiers (static, final, late, const)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Dart Object-Oriented &amp; Advanced Patterns | 📊 Level: Intermediate
**Topic:** Assign Field Modifiers including static, final, late, and const.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5"/>
        <v>[ROLE] Tech Lead | [TASK] Assign incomplete Dart Object-Oriented &amp; Advanced Patterns script challenges | [TOPIC] Assign Field Modifiers including static, final, late, and const. | [LEVEL] Intermediate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 | Stage 3 🧩 Complete | Dart Object-Oriented &amp; Advanced Patterns | 📊 Level: Intermediate | 🌐 Coding5s.com
**Concept:** Field Modifiers (static, final, late, const)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Field Modifiers including static, final, late, and const..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Field Modifiers including static, final, late, and const.. Topic details: Field Modifiers (static, final, late, const)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Dart Object-Oriented &amp; Advanced Patterns | 📊 Level: Intermediate
**Topic:** Assign Field Modifiers including static, final, late, and const.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7"/>
        <v>[ROLE] Tech Lead | [TASK] Provide intentionally messy but functional code for learning debugging and improvement | [TOPIC] Assign Field Modifiers including static, final, late, and const. | [LEVEL] Intermediate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 | Stage 4 🧹 Refactor | Dart Object-Oriented &amp; Advanced Patterns | 📊 Level: Intermediate | 🌐 Coding5s.com
**Concept:** Field Modifiers (static, final, late, const)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Assign Field Modifiers including static, final, late, and const.. Topic details: Field Modifiers (static, final, late, const)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Dart Object-Oriented &amp; Advanced Patterns | 📊 Level: Intermediate
**Topic:** Assign Field Modifiers including static, final, late, and const.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9"/>
        <v>[ROLE] Tech Product Manager assigning a Dart Object-Oriented &amp; Advanced Patterns Jira Ticket | [TASK] Provide a guided implementation exercise with full solution for learning purposes | [TOPIC] Assign Field Modifiers including static, final, late, and const.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 | Stage 5 | Dart Object-Oriented &amp; Advanced Patterns | 📊 Level: Intermediate | 🌐 Coding5s.com
**Concept:** Field Modifiers (static, final, late, const)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Field Modifiers including static, final, late, and const.. Goal: Field Modifiers (static, final, late, const)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Dart Object-Oriented &amp; Advanced Patterns | 📊 Level: Intermediate
**Topic:** Assign Field Modifiers including static, final, late, and const.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1"/>
        <v/>
      </c>
      <c r="AA11" s="56" t="str">
        <f t="shared" si="12"/>
        <v/>
      </c>
      <c r="AB11" s="56" t="str">
        <f t="shared" si="13"/>
        <v/>
      </c>
      <c r="AC11" s="56" t="str">
        <f t="shared" si="14"/>
        <v/>
      </c>
      <c r="AD11" s="56" t="str">
        <f t="shared" si="15"/>
        <v/>
      </c>
      <c r="AE11" s="55" t="s">
        <v>62</v>
      </c>
      <c r="AF11" s="55" t="s">
        <v>63</v>
      </c>
      <c r="AG11" s="55" t="s">
        <v>64</v>
      </c>
      <c r="AH11" s="56" t="str">
        <f>IF(AE11=$A$6,AG11,"")</f>
        <v/>
      </c>
      <c r="AI11" s="54" t="s">
        <v>65</v>
      </c>
      <c r="AJ11" s="54"/>
      <c r="AK11" s="54">
        <v>3</v>
      </c>
      <c r="AL11" s="54" t="s">
        <v>66</v>
      </c>
      <c r="AM11" s="54" t="s">
        <v>67</v>
      </c>
    </row>
    <row r="12" spans="1:39">
      <c r="A12" s="45" t="str" cm="1">
        <f t="array" ref="A12">IF(H12="PROJECT", CHAR(10) &amp; "- " &amp; _xlfn.TEXTJOIN(CHAR(10) &amp; "- ", TRUE, _xlfn._xlws.FILTER($I$9:$I$1000, ($B$9:$B$1000=B12) * ($H$9:$H$1000="Topic"))), "")</f>
        <v/>
      </c>
      <c r="B12" s="45">
        <f t="shared" si="1"/>
        <v>1</v>
      </c>
      <c r="C12" s="95">
        <v>15</v>
      </c>
      <c r="D12" s="57">
        <v>4</v>
      </c>
      <c r="E12" s="58" t="s">
        <v>48</v>
      </c>
      <c r="F12" s="59">
        <v>4</v>
      </c>
      <c r="G12" s="60" t="s">
        <v>160</v>
      </c>
      <c r="H12" s="60" t="s">
        <v>50</v>
      </c>
      <c r="I12" s="61" t="s">
        <v>785</v>
      </c>
      <c r="J12" s="62" t="s">
        <v>786</v>
      </c>
      <c r="K12" s="129" t="str">
        <f t="shared" si="0"/>
        <v xml:space="preserve">[ROLE] Friendly tutor specializing in Dart Object-Oriented &amp; Advanced Patterns | [TOPIC] Create Computed Properties using get, set, and backing _fields.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Dart Object-Oriented &amp; Advanced Patterns | 📊 Level: Intermediate | 🌐 Coding5s.com
**Concept:** Computed Properties (get, set, backing _fields)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Computed Properties using get, set, and backing _fields.. Topic details: Computed Properties (get, set, backing _fields)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Dart Object-Oriented &amp; Advanced Patterns | 📊 Level: Intermediate
**Topic:** Create Computed Properties using get, set, and backing _fields.
---
 | [FOOTER RULE - STRICT] End your response with: '--- ⚡ *Coding5s Mentor System — Eliminating Epistemic Debt*' | </v>
      </c>
      <c r="M12" s="52">
        <v>0</v>
      </c>
      <c r="N12" s="102" t="str">
        <f t="shared" si="3"/>
        <v>[ROLE] Careless Dart Object-Oriented &amp; Advanced Patterns Developer | [TASK] Generate debugging challenges in Dart Object-Oriented &amp; Advanced Patterns | | [TOPIC] Create Computed Properties using get, set, and backing _fields.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 | Stage 2 🐛 Debug | Dart Object-Oriented &amp; Advanced Patterns | 📊 Level: Intermediate | 🌐 Coding5s.com
Concept: Computed Properties (get, set, backing _fields)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Computed Properties using get, set, and backing _fields.. Topic details: Computed Properties (get, set, backing _fields)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Dart Object-Oriented &amp; Advanced Patterns | 📊 Level: Intermediate
**Topic:** Create Computed Properties using get, set, and backing _fields.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5"/>
        <v>[ROLE] Tech Lead | [TASK] Assign incomplete Dart Object-Oriented &amp; Advanced Patterns script challenges | [TOPIC] Create Computed Properties using get, set, and backing _fields.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#4 | Stage 3 🧩 Complete | Dart Object-Oriented &amp; Advanced Patterns | 📊 Level: Intermediate | 🌐 Coding5s.com
**Concept:** Computed Properties (get, set, backing _fields)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Computed Properties using get, set, and backing _fields..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Computed Properties using get, set, and backing _fields.. Topic details: Computed Properties (get, set, backing _fields)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Dart Object-Oriented &amp; Advanced Patterns | 📊 Level: Intermediate
**Topic:** Create Computed Properties using get, set, and backing _fields.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7"/>
        <v>[ROLE] Tech Lead | [TASK] Provide intentionally messy but functional code for learning debugging and improvement | [TOPIC] Create Computed Properties using get, set, and backing _fields.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#4 | Stage 4 🧹 Refactor | Dart Object-Oriented &amp; Advanced Patterns | 📊 Level: Intermediate | 🌐 Coding5s.com
**Concept:** Computed Properties (get, set, backing _fields)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Computed Properties using get, set, and backing _fields.. Topic details: Computed Properties (get, set, backing _fields)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Dart Object-Oriented &amp; Advanced Patterns | 📊 Level: Intermediate
**Topic:** Create Computed Properties using get, set, and backing _fields.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9"/>
        <v>[ROLE] Tech Product Manager assigning a Dart Object-Oriented &amp; Advanced Patterns Jira Ticket | [TASK] Provide a guided implementation exercise with full solution for learning purposes | [TOPIC] Create Computed Properties using get, set, and backing _fields.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#4 | Stage 5 | Dart Object-Oriented &amp; Advanced Patterns | 📊 Level: Intermediate | 🌐 Coding5s.com
**Concept:** Computed Properties (get, set, backing _fields)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Computed Properties using get, set, and backing _fields.. Goal: Computed Properties (get, set, backing _fields)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Dart Object-Oriented &amp; Advanced Patterns | 📊 Level: Intermediate
**Topic:** Create Computed Properties using get, set, and backing _fields.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1"/>
        <v/>
      </c>
      <c r="AA12" s="56" t="str">
        <f t="shared" si="12"/>
        <v/>
      </c>
      <c r="AB12" s="56" t="str">
        <f t="shared" si="13"/>
        <v/>
      </c>
      <c r="AC12" s="56" t="str">
        <f t="shared" si="14"/>
        <v/>
      </c>
      <c r="AD12" s="56" t="str">
        <f t="shared" si="15"/>
        <v/>
      </c>
      <c r="AE12" s="55" t="s">
        <v>68</v>
      </c>
      <c r="AF12" s="55" t="s">
        <v>69</v>
      </c>
      <c r="AG12" s="55" t="s">
        <v>70</v>
      </c>
      <c r="AH12" s="56" t="str">
        <f>IF(AE12=$A$6,AG12,"")</f>
        <v/>
      </c>
      <c r="AI12" s="54" t="s">
        <v>71</v>
      </c>
      <c r="AJ12" s="54"/>
      <c r="AK12" s="54">
        <v>4</v>
      </c>
      <c r="AL12" s="54" t="s">
        <v>72</v>
      </c>
      <c r="AM12" s="54" t="s">
        <v>73</v>
      </c>
    </row>
    <row r="13" spans="1:39">
      <c r="A13" s="45" t="str" cm="1">
        <f t="array" ref="A13">IF(H13="PROJECT", CHAR(10) &amp; "- " &amp; _xlfn.TEXTJOIN(CHAR(10) &amp; "- ", TRUE, _xlfn._xlws.FILTER($I$9:$I$1000, ($B$9:$B$1000=B13) * ($H$9:$H$1000="Topic"))), "")</f>
        <v/>
      </c>
      <c r="B13" s="45">
        <f t="shared" si="1"/>
        <v>1</v>
      </c>
      <c r="C13" s="95">
        <v>15</v>
      </c>
      <c r="D13" s="46">
        <v>4</v>
      </c>
      <c r="E13" s="58" t="s">
        <v>48</v>
      </c>
      <c r="F13" s="48">
        <v>5</v>
      </c>
      <c r="G13" s="49" t="s">
        <v>160</v>
      </c>
      <c r="H13" s="49" t="s">
        <v>50</v>
      </c>
      <c r="I13" s="50" t="s">
        <v>787</v>
      </c>
      <c r="J13" s="51" t="s">
        <v>788</v>
      </c>
      <c r="K13" s="129" t="str">
        <f t="shared" si="0"/>
        <v xml:space="preserve">[ROLE] Friendly tutor specializing in Dart Object-Oriented &amp; Advanced Patterns | [TOPIC] Implement Generative and Named Constructors with this.field and Class.name().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Dart Object-Oriented &amp; Advanced Patterns | 📊 Level: Intermediate | 🌐 Coding5s.com
**Concept:** Generative &amp; Named Constructors (this.field, Class.name())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Generative and Named Constructors with this.field and Class.name().. Topic details: Generative &amp; Named Constructors (this.field, Class.name())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Dart Object-Oriented &amp; Advanced Patterns | 📊 Level: Intermediate
**Topic:** Implement Generative and Named Constructors with this.field and Class.name().
---
 | [FOOTER RULE - STRICT] End your response with: '--- ⚡ *Coding5s Mentor System — Eliminating Epistemic Debt*' | </v>
      </c>
      <c r="M13" s="52">
        <v>0</v>
      </c>
      <c r="N13" s="102" t="str">
        <f t="shared" si="3"/>
        <v>[ROLE] Careless Dart Object-Oriented &amp; Advanced Patterns Developer | [TASK] Generate debugging challenges in Dart Object-Oriented &amp; Advanced Patterns | | [TOPIC] Implement Generative and Named Constructors with this.field and Class.name().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#5 | Stage 2 🐛 Debug | Dart Object-Oriented &amp; Advanced Patterns | 📊 Level: Intermediate | 🌐 Coding5s.com
Concept: Generative &amp; Named Constructors (this.field, Class.name())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Generative and Named Constructors with this.field and Class.name().. Topic details: Generative &amp; Named Constructors (this.field, Class.name())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Dart Object-Oriented &amp; Advanced Patterns | 📊 Level: Intermediate
**Topic:** Implement Generative and Named Constructors with this.field and Class.name().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5"/>
        <v>[ROLE] Tech Lead | [TASK] Assign incomplete Dart Object-Oriented &amp; Advanced Patterns script challenges | [TOPIC] Implement Generative and Named Constructors with this.field and Class.name().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#5 | Stage 3 🧩 Complete | Dart Object-Oriented &amp; Advanced Patterns | 📊 Level: Intermediate | 🌐 Coding5s.com
**Concept:** Generative &amp; Named Constructors (this.field, Class.name())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Generative and Named Constructors with this.field and Class.name()..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Generative and Named Constructors with this.field and Class.name().. Topic details: Generative &amp; Named Constructors (this.field, Class.name())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Dart Object-Oriented &amp; Advanced Patterns | 📊 Level: Intermediate
**Topic:** Implement Generative and Named Constructors with this.field and Class.name().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7"/>
        <v>[ROLE] Tech Lead | [TASK] Provide intentionally messy but functional code for learning debugging and improvement | [TOPIC] Implement Generative and Named Constructors with this.field and Class.name().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#5 | Stage 4 🧹 Refactor | Dart Object-Oriented &amp; Advanced Patterns | 📊 Level: Intermediate | 🌐 Coding5s.com
**Concept:** Generative &amp; Named Constructors (this.field, Class.name())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Generative and Named Constructors with this.field and Class.name().. Topic details: Generative &amp; Named Constructors (this.field, Class.name())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Dart Object-Oriented &amp; Advanced Patterns | 📊 Level: Intermediate
**Topic:** Implement Generative and Named Constructors with this.field and Class.name().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9"/>
        <v>[ROLE] Tech Product Manager assigning a Dart Object-Oriented &amp; Advanced Patterns Jira Ticket | [TASK] Provide a guided implementation exercise with full solution for learning purposes | [TOPIC] Implement Generative and Named Constructors with this.field and Class.name().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#5 | Stage 5 | Dart Object-Oriented &amp; Advanced Patterns | 📊 Level: Intermediate | 🌐 Coding5s.com
**Concept:** Generative &amp; Named Constructors (this.field, Class.name())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Generative and Named Constructors with this.field and Class.name().. Goal: Generative &amp; Named Constructors (this.field, Class.name())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Dart Object-Oriented &amp; Advanced Patterns | 📊 Level: Intermediate
**Topic:** Implement Generative and Named Constructors with this.field and Class.name().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1"/>
        <v/>
      </c>
      <c r="AA13" s="56" t="str">
        <f t="shared" si="12"/>
        <v/>
      </c>
      <c r="AB13" s="56" t="str">
        <f t="shared" si="13"/>
        <v/>
      </c>
      <c r="AC13" s="56" t="str">
        <f t="shared" si="14"/>
        <v/>
      </c>
      <c r="AD13" s="56" t="str">
        <f t="shared" si="15"/>
        <v/>
      </c>
      <c r="AE13" s="40" t="s">
        <v>74</v>
      </c>
      <c r="AF13" s="40" t="s">
        <v>75</v>
      </c>
      <c r="AG13" s="40" t="s">
        <v>76</v>
      </c>
      <c r="AH13" s="56" t="str">
        <f t="shared" ref="AH13:AH76" si="16">IF(AE13=$A$6,AG13,"")</f>
        <v/>
      </c>
      <c r="AI13" s="54"/>
      <c r="AJ13" s="54"/>
      <c r="AK13" s="54">
        <v>5</v>
      </c>
      <c r="AL13" s="54" t="s">
        <v>77</v>
      </c>
      <c r="AM13" s="54" t="s">
        <v>78</v>
      </c>
    </row>
    <row r="14" spans="1:39">
      <c r="A14" s="45" t="str" cm="1">
        <f t="array" ref="A14">IF(H14="PROJECT", CHAR(10) &amp; "- " &amp; _xlfn.TEXTJOIN(CHAR(10) &amp; "- ", TRUE, _xlfn._xlws.FILTER($I$9:$I$1000, ($B$9:$B$1000=B14) * ($H$9:$H$1000="Topic"))), "")</f>
        <v/>
      </c>
      <c r="B14" s="45">
        <f t="shared" si="1"/>
        <v>1</v>
      </c>
      <c r="C14" s="95">
        <v>18</v>
      </c>
      <c r="D14" s="57">
        <v>4</v>
      </c>
      <c r="E14" s="58" t="s">
        <v>48</v>
      </c>
      <c r="F14" s="59">
        <v>6</v>
      </c>
      <c r="G14" s="60" t="s">
        <v>160</v>
      </c>
      <c r="H14" s="60" t="s">
        <v>50</v>
      </c>
      <c r="I14" s="61" t="s">
        <v>789</v>
      </c>
      <c r="J14" s="62" t="s">
        <v>790</v>
      </c>
      <c r="K14" s="129" t="str">
        <f t="shared" si="0"/>
        <v xml:space="preserve">[ROLE] Friendly tutor specializing in Dart Object-Oriented &amp; Advanced Patterns | [TOPIC] Apply Initializer Lists and Redirects using : assert(), : field =, and this.name().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18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Dart Object-Oriented &amp; Advanced Patterns | 📊 Level: Intermediate | 🌐 Coding5s.com
**Concept:** Initializer Lists &amp; Redirects (: assert(), : field =, this.name())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Initializer Lists and Redirects using : assert(), : field =, and this.name().. Topic details: Initializer Lists &amp; Redirects (: assert(), : field =, this.name())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Dart Object-Oriented &amp; Advanced Patterns | 📊 Level: Intermediate
**Topic:** Apply Initializer Lists and Redirects using : assert(), : field =, and this.name().
---
 | [FOOTER RULE - STRICT] End your response with: '--- ⚡ *Coding5s Mentor System — Eliminating Epistemic Debt*' | </v>
      </c>
      <c r="M14" s="52">
        <v>0</v>
      </c>
      <c r="N14" s="102" t="str">
        <f t="shared" si="3"/>
        <v>[ROLE] Careless Dart Object-Oriented &amp; Advanced Patterns Developer | [TASK] Generate debugging challenges in Dart Object-Oriented &amp; Advanced Patterns | | [TOPIC] Apply Initializer Lists and Redirects using : assert(), : field =, and this.name().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#6 | Stage 2 🐛 Debug | Dart Object-Oriented &amp; Advanced Patterns | 📊 Level: Intermediate | 🌐 Coding5s.com
Concept: Initializer Lists &amp; Redirects (: assert(), : field =, this.name())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Initializer Lists and Redirects using : assert(), : field =, and this.name().. Topic details: Initializer Lists &amp; Redirects (: assert(), : field =, this.name())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Dart Object-Oriented &amp; Advanced Patterns | 📊 Level: Intermediate
**Topic:** Apply Initializer Lists and Redirects using : assert(), : field =, and this.name().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5"/>
        <v>[ROLE] Tech Lead | [TASK] Assign incomplete Dart Object-Oriented &amp; Advanced Patterns script challenges | [TOPIC] Apply Initializer Lists and Redirects using : assert(), : field =, and this.name().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#6 | Stage 3 🧩 Complete | Dart Object-Oriented &amp; Advanced Patterns | 📊 Level: Intermediate | 🌐 Coding5s.com
**Concept:** Initializer Lists &amp; Redirects (: assert(), : field =, this.name())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Initializer Lists and Redirects using : assert(), : field =, and this.name()..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Initializer Lists and Redirects using : assert(), : field =, and this.name().. Topic details: Initializer Lists &amp; Redirects (: assert(), : field =, this.name())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Dart Object-Oriented &amp; Advanced Patterns | 📊 Level: Intermediate
**Topic:** Apply Initializer Lists and Redirects using : assert(), : field =, and this.name().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7"/>
        <v>[ROLE] Tech Lead | [TASK] Provide intentionally messy but functional code for learning debugging and improvement | [TOPIC] Apply Initializer Lists and Redirects using : assert(), : field =, and this.name().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#6 | Stage 4 🧹 Refactor | Dart Object-Oriented &amp; Advanced Patterns | 📊 Level: Intermediate | 🌐 Coding5s.com
**Concept:** Initializer Lists &amp; Redirects (: assert(), : field =, this.name())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Initializer Lists and Redirects using : assert(), : field =, and this.name().. Topic details: Initializer Lists &amp; Redirects (: assert(), : field =, this.name())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Dart Object-Oriented &amp; Advanced Patterns | 📊 Level: Intermediate
**Topic:** Apply Initializer Lists and Redirects using : assert(), : field =, and this.name().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9"/>
        <v>[ROLE] Tech Product Manager assigning a Dart Object-Oriented &amp; Advanced Patterns Jira Ticket | [TASK] Provide a guided implementation exercise with full solution for learning purposes | [TOPIC] Apply Initializer Lists and Redirects using : assert(), : field =, and this.name().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#6 | Stage 5 | Dart Object-Oriented &amp; Advanced Patterns | 📊 Level: Intermediate | 🌐 Coding5s.com
**Concept:** Initializer Lists &amp; Redirects (: assert(), : field =, this.name())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Initializer Lists and Redirects using : assert(), : field =, and this.name().. Goal: Initializer Lists &amp; Redirects (: assert(), : field =, this.name())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Dart Object-Oriented &amp; Advanced Patterns | 📊 Level: Intermediate
**Topic:** Apply Initializer Lists and Redirects using : assert(), : field =, and this.name().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1"/>
        <v/>
      </c>
      <c r="AA14" s="56" t="str">
        <f t="shared" si="12"/>
        <v/>
      </c>
      <c r="AB14" s="56" t="str">
        <f t="shared" si="13"/>
        <v/>
      </c>
      <c r="AC14" s="56" t="str">
        <f t="shared" si="14"/>
        <v/>
      </c>
      <c r="AD14" s="56" t="str">
        <f t="shared" si="15"/>
        <v/>
      </c>
      <c r="AE14" s="40" t="s">
        <v>80</v>
      </c>
      <c r="AF14" s="40" t="s">
        <v>81</v>
      </c>
      <c r="AG14" s="40" t="s">
        <v>82</v>
      </c>
      <c r="AH14" s="56" t="str">
        <f t="shared" si="16"/>
        <v/>
      </c>
      <c r="AI14" s="54"/>
      <c r="AJ14" s="54"/>
      <c r="AK14" s="54">
        <v>6</v>
      </c>
      <c r="AL14" s="54" t="s">
        <v>83</v>
      </c>
      <c r="AM14" s="54" t="s">
        <v>84</v>
      </c>
    </row>
    <row r="15" spans="1:39">
      <c r="A15" s="45" t="str" cm="1">
        <f t="array" ref="A15">IF(H15="PROJECT", CHAR(10) &amp; "- " &amp; _xlfn.TEXTJOIN(CHAR(10) &amp; "- ", TRUE, _xlfn._xlws.FILTER($I$9:$I$1000, ($B$9:$B$1000=B15) * ($H$9:$H$1000="Topic"))), "")</f>
        <v/>
      </c>
      <c r="B15" s="45">
        <f t="shared" si="1"/>
        <v>1</v>
      </c>
      <c r="C15" s="95">
        <v>15</v>
      </c>
      <c r="D15" s="46">
        <v>4</v>
      </c>
      <c r="E15" s="58" t="s">
        <v>48</v>
      </c>
      <c r="F15" s="48">
        <v>7</v>
      </c>
      <c r="G15" s="49" t="s">
        <v>160</v>
      </c>
      <c r="H15" s="49" t="s">
        <v>50</v>
      </c>
      <c r="I15" s="50" t="s">
        <v>791</v>
      </c>
      <c r="J15" s="51" t="s">
        <v>792</v>
      </c>
      <c r="K15" s="129" t="str">
        <f t="shared" si="0"/>
        <v xml:space="preserve">[ROLE] Friendly tutor specializing in Dart Object-Oriented &amp; Advanced Patterns | [TOPIC] Utilize Super Constructors and Parameters with super() and super.field.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Dart Object-Oriented &amp; Advanced Patterns | 📊 Level: Intermediate | 🌐 Coding5s.com
**Concept:** Super Constructors &amp; Parameters (super(), super.field)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Utilize Super Constructors and Parameters with super() and super.field.. Topic details: Super Constructors &amp; Parameters (super(), super.field)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Dart Object-Oriented &amp; Advanced Patterns | 📊 Level: Intermediate
**Topic:** Utilize Super Constructors and Parameters with super() and super.field.
---
 | [FOOTER RULE - STRICT] End your response with: '--- ⚡ *Coding5s Mentor System — Eliminating Epistemic Debt*' | </v>
      </c>
      <c r="M15" s="52">
        <v>0</v>
      </c>
      <c r="N15" s="102" t="str">
        <f t="shared" si="3"/>
        <v>[ROLE] Careless Dart Object-Oriented &amp; Advanced Patterns Developer | [TASK] Generate debugging challenges in Dart Object-Oriented &amp; Advanced Patterns | | [TOPIC] Utilize Super Constructors and Parameters with super() and super.field.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#7 | Stage 2 🐛 Debug | Dart Object-Oriented &amp; Advanced Patterns | 📊 Level: Intermediate | 🌐 Coding5s.com
Concept: Super Constructors &amp; Parameters (super(), super.field)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Utilize Super Constructors and Parameters with super() and super.field.. Topic details: Super Constructors &amp; Parameters (super(), super.field)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Dart Object-Oriented &amp; Advanced Patterns | 📊 Level: Intermediate
**Topic:** Utilize Super Constructors and Parameters with super() and super.field.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5"/>
        <v>[ROLE] Tech Lead | [TASK] Assign incomplete Dart Object-Oriented &amp; Advanced Patterns script challenges | [TOPIC] Utilize Super Constructors and Parameters with super() and super.field.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#7 | Stage 3 🧩 Complete | Dart Object-Oriented &amp; Advanced Patterns | 📊 Level: Intermediate | 🌐 Coding5s.com
**Concept:** Super Constructors &amp; Parameters (super(), super.field)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Utilize Super Constructors and Parameters with super() and super.field..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Utilize Super Constructors and Parameters with super() and super.field.. Topic details: Super Constructors &amp; Parameters (super(), super.field)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Dart Object-Oriented &amp; Advanced Patterns | 📊 Level: Intermediate
**Topic:** Utilize Super Constructors and Parameters with super() and super.field.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7"/>
        <v>[ROLE] Tech Lead | [TASK] Provide intentionally messy but functional code for learning debugging and improvement | [TOPIC] Utilize Super Constructors and Parameters with super() and super.field.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#7 | Stage 4 🧹 Refactor | Dart Object-Oriented &amp; Advanced Patterns | 📊 Level: Intermediate | 🌐 Coding5s.com
**Concept:** Super Constructors &amp; Parameters (super(), super.field)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Utilize Super Constructors and Parameters with super() and super.field.. Topic details: Super Constructors &amp; Parameters (super(), super.field)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Dart Object-Oriented &amp; Advanced Patterns | 📊 Level: Intermediate
**Topic:** Utilize Super Constructors and Parameters with super() and super.field.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9"/>
        <v>[ROLE] Tech Product Manager assigning a Dart Object-Oriented &amp; Advanced Patterns Jira Ticket | [TASK] Provide a guided implementation exercise with full solution for learning purposes | [TOPIC] Utilize Super Constructors and Parameters with super() and super.field.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#7 | Stage 5 | Dart Object-Oriented &amp; Advanced Patterns | 📊 Level: Intermediate | 🌐 Coding5s.com
**Concept:** Super Constructors &amp; Parameters (super(), super.field)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Utilize Super Constructors and Parameters with super() and super.field.. Goal: Super Constructors &amp; Parameters (super(), super.field)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Dart Object-Oriented &amp; Advanced Patterns | 📊 Level: Intermediate
**Topic:** Utilize Super Constructors and Parameters with super() and super.field.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1"/>
        <v/>
      </c>
      <c r="AA15" s="56" t="str">
        <f t="shared" si="12"/>
        <v/>
      </c>
      <c r="AB15" s="56" t="str">
        <f t="shared" si="13"/>
        <v/>
      </c>
      <c r="AC15" s="56" t="str">
        <f t="shared" si="14"/>
        <v/>
      </c>
      <c r="AD15" s="56" t="str">
        <f t="shared" si="15"/>
        <v/>
      </c>
      <c r="AE15" s="40" t="s">
        <v>85</v>
      </c>
      <c r="AF15" s="40" t="s">
        <v>86</v>
      </c>
      <c r="AG15" s="40" t="s">
        <v>87</v>
      </c>
      <c r="AH15" s="56" t="str">
        <f t="shared" si="16"/>
        <v/>
      </c>
      <c r="AI15" s="54"/>
      <c r="AJ15" s="54"/>
      <c r="AK15" s="54">
        <v>7</v>
      </c>
      <c r="AL15" s="54" t="s">
        <v>88</v>
      </c>
      <c r="AM15" s="54" t="s">
        <v>89</v>
      </c>
    </row>
    <row r="16" spans="1:39">
      <c r="A16" s="45" t="str" cm="1">
        <f t="array" ref="A16">IF(H16="PROJECT", CHAR(10) &amp; "- " &amp; _xlfn.TEXTJOIN(CHAR(10) &amp; "- ", TRUE, _xlfn._xlws.FILTER($I$9:$I$1000, ($B$9:$B$1000=B16) * ($H$9:$H$1000="Topic"))), "")</f>
        <v/>
      </c>
      <c r="B16" s="45">
        <f t="shared" si="1"/>
        <v>1</v>
      </c>
      <c r="C16" s="95">
        <v>15</v>
      </c>
      <c r="D16" s="57">
        <v>4</v>
      </c>
      <c r="E16" s="58" t="s">
        <v>48</v>
      </c>
      <c r="F16" s="59">
        <v>8</v>
      </c>
      <c r="G16" s="60" t="s">
        <v>160</v>
      </c>
      <c r="H16" s="60" t="s">
        <v>50</v>
      </c>
      <c r="I16" s="61" t="s">
        <v>793</v>
      </c>
      <c r="J16" s="62" t="s">
        <v>794</v>
      </c>
      <c r="K16" s="129" t="str">
        <f t="shared" si="0"/>
        <v xml:space="preserve">[ROLE] Friendly tutor specializing in Dart Object-Oriented &amp; Advanced Patterns | [TOPIC] Create Const Constructors and Tear-Offs using const Class(), Class.new, and Class.name.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Dart Object-Oriented &amp; Advanced Patterns | 📊 Level: Intermediate | 🌐 Coding5s.com
**Concept:** Const Constructors &amp; Tear-Offs (const Class(), Class.new, Class.name)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Const Constructors and Tear-Offs using const Class(), Class.new, and Class.name.. Topic details: Const Constructors &amp; Tear-Offs (const Class(), Class.new, Class.name)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Dart Object-Oriented &amp; Advanced Patterns | 📊 Level: Intermediate
**Topic:** Create Const Constructors and Tear-Offs using const Class(), Class.new, and Class.name.
---
 | [FOOTER RULE - STRICT] End your response with: '--- ⚡ *Coding5s Mentor System — Eliminating Epistemic Debt*' | </v>
      </c>
      <c r="M16" s="52">
        <v>0</v>
      </c>
      <c r="N16" s="102" t="str">
        <f t="shared" si="3"/>
        <v>[ROLE] Careless Dart Object-Oriented &amp; Advanced Patterns Developer | [TASK] Generate debugging challenges in Dart Object-Oriented &amp; Advanced Patterns | | [TOPIC] Create Const Constructors and Tear-Offs using const Class(), Class.new, and Class.name.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#8 | Stage 2 🐛 Debug | Dart Object-Oriented &amp; Advanced Patterns | 📊 Level: Intermediate | 🌐 Coding5s.com
Concept: Const Constructors &amp; Tear-Offs (const Class(), Class.new, Class.name)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Const Constructors and Tear-Offs using const Class(), Class.new, and Class.name.. Topic details: Const Constructors &amp; Tear-Offs (const Class(), Class.new, Class.name)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Dart Object-Oriented &amp; Advanced Patterns | 📊 Level: Intermediate
**Topic:** Create Const Constructors and Tear-Offs using const Class(), Class.new, and Class.name.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5"/>
        <v>[ROLE] Tech Lead | [TASK] Assign incomplete Dart Object-Oriented &amp; Advanced Patterns script challenges | [TOPIC] Create Const Constructors and Tear-Offs using const Class(), Class.new, and Class.name.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#8 | Stage 3 🧩 Complete | Dart Object-Oriented &amp; Advanced Patterns | 📊 Level: Intermediate | 🌐 Coding5s.com
**Concept:** Const Constructors &amp; Tear-Offs (const Class(), Class.new, Class.name)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Const Constructors and Tear-Offs using const Class(), Class.new, and Class.name..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Const Constructors and Tear-Offs using const Class(), Class.new, and Class.name.. Topic details: Const Constructors &amp; Tear-Offs (const Class(), Class.new, Class.name)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Dart Object-Oriented &amp; Advanced Patterns | 📊 Level: Intermediate
**Topic:** Create Const Constructors and Tear-Offs using const Class(), Class.new, and Class.name.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7"/>
        <v>[ROLE] Tech Lead | [TASK] Provide intentionally messy but functional code for learning debugging and improvement | [TOPIC] Create Const Constructors and Tear-Offs using const Class(), Class.new, and Class.name.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#8 | Stage 4 🧹 Refactor | Dart Object-Oriented &amp; Advanced Patterns | 📊 Level: Intermediate | 🌐 Coding5s.com
**Concept:** Const Constructors &amp; Tear-Offs (const Class(), Class.new, Class.name)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Const Constructors and Tear-Offs using const Class(), Class.new, and Class.name.. Topic details: Const Constructors &amp; Tear-Offs (const Class(), Class.new, Class.name)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Dart Object-Oriented &amp; Advanced Patterns | 📊 Level: Intermediate
**Topic:** Create Const Constructors and Tear-Offs using const Class(), Class.new, and Class.name.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9"/>
        <v>[ROLE] Tech Product Manager assigning a Dart Object-Oriented &amp; Advanced Patterns Jira Ticket | [TASK] Provide a guided implementation exercise with full solution for learning purposes | [TOPIC] Create Const Constructors and Tear-Offs using const Class(), Class.new, and Class.name.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#8 | Stage 5 | Dart Object-Oriented &amp; Advanced Patterns | 📊 Level: Intermediate | 🌐 Coding5s.com
**Concept:** Const Constructors &amp; Tear-Offs (const Class(), Class.new, Class.name)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Const Constructors and Tear-Offs using const Class(), Class.new, and Class.name.. Goal: Const Constructors &amp; Tear-Offs (const Class(), Class.new, Class.name)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Dart Object-Oriented &amp; Advanced Patterns | 📊 Level: Intermediate
**Topic:** Create Const Constructors and Tear-Offs using const Class(), Class.new, and Class.name.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1"/>
        <v/>
      </c>
      <c r="AA16" s="56" t="str">
        <f t="shared" si="12"/>
        <v/>
      </c>
      <c r="AB16" s="56" t="str">
        <f t="shared" si="13"/>
        <v/>
      </c>
      <c r="AC16" s="56" t="str">
        <f t="shared" si="14"/>
        <v/>
      </c>
      <c r="AD16" s="56" t="str">
        <f t="shared" si="15"/>
        <v/>
      </c>
      <c r="AE16" s="40" t="s">
        <v>90</v>
      </c>
      <c r="AF16" s="40" t="s">
        <v>91</v>
      </c>
      <c r="AG16" s="40" t="s">
        <v>92</v>
      </c>
      <c r="AH16" s="56" t="str">
        <f t="shared" si="16"/>
        <v/>
      </c>
      <c r="AI16" s="54"/>
      <c r="AJ16" s="54"/>
      <c r="AK16" s="54">
        <v>8</v>
      </c>
      <c r="AL16" s="54" t="s">
        <v>93</v>
      </c>
      <c r="AM16" s="54" t="s">
        <v>94</v>
      </c>
    </row>
    <row r="17" spans="1:39">
      <c r="A17" s="45" t="str" cm="1">
        <f t="array" ref="A17">IF(H17="PROJECT", CHAR(10) &amp; "- " &amp; _xlfn.TEXTJOIN(CHAR(10) &amp; "- ", TRUE, _xlfn._xlws.FILTER($I$9:$I$1000, ($B$9:$B$1000=B17) * ($H$9:$H$1000="Topic"))), "")</f>
        <v xml:space="preserve">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v>
      </c>
      <c r="B17" s="45">
        <f t="shared" si="1"/>
        <v>1</v>
      </c>
      <c r="C17" s="95">
        <v>30</v>
      </c>
      <c r="D17" s="46">
        <v>0</v>
      </c>
      <c r="E17" s="58" t="s">
        <v>48</v>
      </c>
      <c r="F17" s="48">
        <v>9</v>
      </c>
      <c r="G17" s="49" t="s">
        <v>160</v>
      </c>
      <c r="H17" s="49" t="s">
        <v>79</v>
      </c>
      <c r="I17" s="50" t="s">
        <v>795</v>
      </c>
      <c r="J17" s="51" t="s">
        <v>796</v>
      </c>
      <c r="K17" s="129" t="str">
        <f t="shared" si="0"/>
        <v>[TASK] Teach through a practical Dart Object-Oriented &amp; Advanced Patterns -  project following the micro-learning methodology, acting as a supportive tutor, creating a project about  Develop a domain entity consolidating Class Declaration and Instantiation, Value Equality Contract, Field Modifiers, Computed Properties, Generative and Named Constructors, Initializer Lists and Redirects, Super Constructors, and Const Constructors. | [TOPICS USED] 1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 | Stage 1 | Dart Object-Oriented &amp; Advanced Patterns | 📊 Level: Intermediate | 🌐 Coding5s.com
**Project:** Domain Entity Blueprint with Classes and Constructors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7"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domain entity consolidating Class Declaration and Instantiation, Value Equality Contract, Field Modifiers, Computed Properties, Generative and Named Constructors, Initializer Lists and Redirects, Super Constructors, and Const Constructors.. Topics applied in this project: 1. Project objective: Domain Entity Blueprint with Classes and Constructors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 | Practice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[FOOTER RULE - STRICT] End your response with: '--- ⚡ *Coding5s Mentor System — Eliminating Epistemic Debt*' | </v>
      </c>
      <c r="M17" s="53">
        <v>0</v>
      </c>
      <c r="N17" s="102" t="str">
        <f t="shared" si="3"/>
        <v>[ROLE] Careless Dart Object-Oriented &amp; Advanced Patterns Developer | [TASK] Generate debugging project in Dart Object-Oriented &amp; Advanced Patterns | [PROJECT] Develop a domain entity consolidating Class Declaration and Instantiation, Value Equality Contract, Field Modifiers, Computed Properties, Generative and Named Constructors, Initializer Lists and Redirects, Super Constructors, and Const Constructors. | [TOPICS USED] 1 | [LEVEL] Intermediate | [OUTPUT] Only header, dataset summary or statement (if any), email intro, objective, expected output, broken code, and footer | [HEADER RULE - STRICT] You MUST start your entire response EXACTLY with this markdown block (do not print anything before it):
### 🚀 Project #9 | Stage 2 | Dart Object-Oriented &amp; Advanced Patterns | 📊 Level: Intermediate | 🌐 Coding5s.com
Project: Domain Entity Blueprint with Classes and Constructors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Náhuatl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7"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domain entity consolidating Class Declaration and Instantiation, Value Equality Contract, Field Modifiers, Computed Properties, Generative and Named Constructors, Initializer Lists and Redirects, Super Constructors, and Const Constructors.. Topics involved: 1. Project objective: Domain Entity Blueprint with Classes and Constructors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 | Debug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5"/>
        <v>[ROLE] Tech Lead | [TASK] Assign incomplete project script | [PROJECT] Develop a domain entity consolidating Class Declaration and Instantiation, Value Equality Contract, Field Modifiers, Computed Properties, Generative and Named Constructors, Initializer Lists and Redirects, Super Constructors, and Const Constructors. | [TOPICS USED] 1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#9 | Stage 3 | Dart Object-Oriented &amp; Advanced Patterns | 📊 Level: Intermediate | 🌐 Coding5s.com
**Project:** Domain Entity Blueprint with Classes and Constructors
---
 | [EXTERNAL_PACKAGE_PROTOCOL] Require standard dart pub tooling and pubspec.yaml for dependencies. | [CHALLENGE_CONSTRAINTS_POLICY] MUST be between 30–60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7"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domain entity consolidating Class Declaration and Instantiation, Value Equality Contract, Field Modifiers, Computed Properties, Generative and Named Constructors, Initializer Lists and Redirects, Super Constructors, and Const Constructors.. Topics involved: 1. Project objective: Domain Entity Blueprint with Classes and Constructors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 | Complete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7"/>
        <v>[ROLE] Tech Lead | [TASK] Provide a messy but functional project for refactoring | [PROJECT] Develop a domain entity consolidating Class Declaration and Instantiation, Value Equality Contract, Field Modifiers, Computed Properties, Generative and Named Constructors, Initializer Lists and Redirects, Super Constructors, and Const Constructors. | [TOPICS USED] 1 | [LEVEL] Intermediate | [PERSONA RULE] Act as a Tech Lead. A junior wrote this working but messy code. Tone: professional but exhausted | [HEADER RULE - STRICT] You MUST start your entire response EXACTLY with this markdown block (do not print anything before it):
### 🚀 Project #9 | Stage 4 | Dart Object-Oriented &amp; Advanced Patterns | 📊 Level: Intermediate | 🌐 Coding5s.com
**Project:** Domain Entity Blueprint with Classes and Constructors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PROJECT: Develop a domain entity consolidating Class Declaration and Instantiation, Value Equality Contract, Field Modifiers, Computed Properties, Generative and Named Constructors, Initializer Lists and Redirects, Super Constructors, and Const Constructors.. Topics involved: 1. Project objective: Domain Entity Blueprint with Classes and Constructors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 | Refactor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9"/>
        <v>[ROLE] Tech Product Manager assigning a Dart Object-Oriented &amp; Advanced Patterns Jira Ticket | [TASK] Provide a guided project implementation with full solution | [PROJECT] Develop a domain entity consolidating Class Declaration and Instantiation, Value Equality Contract, Field Modifiers, Computed Properties, Generative and Named Constructors, Initializer Lists and Redirects, Super Constructors, and Const Constructors. | [TOPICS USED] 1 | [LEVEL] Intermediate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#9 | Stage 5 | Dart Object-Oriented &amp; Advanced Patterns | 📊 Level: Intermediate | 🌐 Coding5s.com
**Project:** Domain Entity Blueprint with Classes and Constructors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domain entity consolidating Class Declaration and Instantiation, Value Equality Contract, Field Modifiers, Computed Properties, Generative and Named Constructors, Initializer Lists and Redirects, Super Constructors, and Const Constructors.. Topics integrated: 1. Business Goal: Domain Entity Blueprint with Classes and Constructors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 | Extend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1"/>
        <v>[TASK] Teach through a practical Dart Object-Oriented &amp; Advanced Patterns -  project following the micro-learning methodology, acting as a supportive tutor, creating a project about  Develop a domain entity consolidating Class Declaration and Instantiation, Value Equality Contract, Field Modifiers, Computed Properties, Generative and Named Constructors, Initializer Lists and Redirects, Super Constructors, and Const Constructors. | [TOPICS USED] 1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 | Stage 1 | Dart Object-Oriented &amp; Advanced Patterns | 📊 Level: Intermediate | 🌐 Coding5s.com
**Project:** Domain Entity Blueprint with Classes and Constructors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7" s="56" t="str">
        <f t="shared" si="12"/>
        <v>[ROLE] Careless Dart Object-Oriented &amp; Advanced Patterns Developer | [TASK] Generate debugging project in Dart Object-Oriented &amp; Advanced Patterns | [PROJECT] Develop a domain entity consolidating Class Declaration and Instantiation, Value Equality Contract, Field Modifiers, Computed Properties, Generative and Named Constructors, Initializer Lists and Redirects, Super Constructors, and Const Constructors. | [TOPICS USED] 1 | [LEVEL] Intermediate | [OUTPUT] Only header, dataset summary or statement (if any), email intro, objective, expected output, broken code, and footer | [HEADER RULE - STRICT] You MUST start your entire response EXACTLY with this markdown block (do not print anything before it):
### 🚀 Project #9 | Stage 2 | Dart Object-Oriented &amp; Advanced Patterns | 📊 Level: Intermediate | 🌐 Coding5s.com
Project: Domain Entity Blueprint with Classes and Constructors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Náhuatl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7" s="56" t="str">
        <f t="shared" si="13"/>
        <v>[ROLE] Tech Lead | [TASK] Assign incomplete project script | [PROJECT] Develop a domain entity consolidating Class Declaration and Instantiation, Value Equality Contract, Field Modifiers, Computed Properties, Generative and Named Constructors, Initializer Lists and Redirects, Super Constructors, and Const Constructors. | [TOPICS USED] 1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#9 | Stage 3 | Dart Object-Oriented &amp; Advanced Patterns | 📊 Level: Intermediate | 🌐 Coding5s.com
**Project:** Domain Entity Blueprint with Classes and Constructors
---
 | [EXTERNAL_PACKAGE_PROTOCOL] Require standard dart pub tooling and pubspec.yaml for dependencies. | [CHALLENGE_CONSTRAINTS_POLICY] MUST be between 30–60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7" s="56" t="str">
        <f t="shared" si="14"/>
        <v>[ROLE] Tech Lead | [TASK] Provide a messy but functional project for refactoring | [PROJECT] Develop a domain entity consolidating Class Declaration and Instantiation, Value Equality Contract, Field Modifiers, Computed Properties, Generative and Named Constructors, Initializer Lists and Redirects, Super Constructors, and Const Constructors. | [TOPICS USED] 1 | [LEVEL] Intermediate | [PERSONA RULE] Act as a Tech Lead. A junior wrote this working but messy code. Tone: professional but exhausted | [HEADER RULE - STRICT] You MUST start your entire response EXACTLY with this markdown block (do not print anything before it):
### 🚀 Project #9 | Stage 4 | Dart Object-Oriented &amp; Advanced Patterns | 📊 Level: Intermediate | 🌐 Coding5s.com
**Project:** Domain Entity Blueprint with Classes and Constructors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7" s="56" t="str">
        <f t="shared" si="15"/>
        <v>[ROLE] Tech Product Manager assigning a Dart Object-Oriented &amp; Advanced Patterns Jira Ticket | [TASK] Provide a guided project implementation with full solution | [PROJECT] Develop a domain entity consolidating Class Declaration and Instantiation, Value Equality Contract, Field Modifiers, Computed Properties, Generative and Named Constructors, Initializer Lists and Redirects, Super Constructors, and Const Constructors. | [TOPICS USED] 1 | [LEVEL] Intermediate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#9 | Stage 5 | Dart Object-Oriented &amp; Advanced Patterns | 📊 Level: Intermediate | 🌐 Coding5s.com
**Project:** Domain Entity Blueprint with Classes and Constructors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7" s="40" t="s">
        <v>95</v>
      </c>
      <c r="AF17" s="40" t="s">
        <v>96</v>
      </c>
      <c r="AG17" s="40" t="s">
        <v>97</v>
      </c>
      <c r="AH17" s="56" t="str">
        <f t="shared" si="16"/>
        <v/>
      </c>
      <c r="AI17" s="54"/>
      <c r="AJ17" s="54"/>
      <c r="AK17" s="54">
        <v>9</v>
      </c>
      <c r="AL17" s="54" t="s">
        <v>98</v>
      </c>
      <c r="AM17" s="54" t="s">
        <v>99</v>
      </c>
    </row>
    <row r="18" spans="1:39">
      <c r="A18" s="45" t="str" cm="1">
        <f t="array" ref="A18">IF(H18="PROJECT", CHAR(10) &amp; "- " &amp; _xlfn.TEXTJOIN(CHAR(10) &amp; "- ", TRUE, _xlfn._xlws.FILTER($I$9:$I$1000, ($B$9:$B$1000=B18) * ($H$9:$H$1000="Topic"))), "")</f>
        <v/>
      </c>
      <c r="B18" s="45">
        <f t="shared" si="1"/>
        <v>2</v>
      </c>
      <c r="C18" s="95">
        <v>15</v>
      </c>
      <c r="D18" s="57">
        <v>4</v>
      </c>
      <c r="E18" s="58" t="s">
        <v>48</v>
      </c>
      <c r="F18" s="59">
        <v>10</v>
      </c>
      <c r="G18" s="60" t="s">
        <v>160</v>
      </c>
      <c r="H18" s="60" t="s">
        <v>50</v>
      </c>
      <c r="I18" s="61" t="s">
        <v>797</v>
      </c>
      <c r="J18" s="62" t="s">
        <v>798</v>
      </c>
      <c r="K18" s="129" t="str">
        <f t="shared" si="0"/>
        <v xml:space="preserve">[ROLE] Friendly tutor specializing in Dart Object-Oriented &amp; Advanced Patterns | [TOPIC] Define Instance and Static Methods using void, static returnType, and _privateMethod().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Dart Object-Oriented &amp; Advanced Patterns | 📊 Level: Intermediate | 🌐 Coding5s.com
**Concept:** Instance &amp; Static Methods (void, static returnType, _privateMethod())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Instance and Static Methods using void, static returnType, and _privateMethod().. Topic details: Instance &amp; Static Methods (void, static returnType, _privateMethod())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Dart Object-Oriented &amp; Advanced Patterns | 📊 Level: Intermediate
**Topic:** Define Instance and Static Methods using void, static returnType, and _privateMethod().
---
 | [FOOTER RULE - STRICT] End your response with: '--- ⚡ *Coding5s Mentor System — Eliminating Epistemic Debt*' | </v>
      </c>
      <c r="M18" s="52">
        <v>0</v>
      </c>
      <c r="N18" s="102" t="str">
        <f t="shared" si="3"/>
        <v>[ROLE] Careless Dart Object-Oriented &amp; Advanced Patterns Developer | [TASK] Generate debugging challenges in Dart Object-Oriented &amp; Advanced Patterns | | [TOPIC] Define Instance and Static Methods using void, static returnType, and _privateMethod().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#10 | Stage 2 🐛 Debug | Dart Object-Oriented &amp; Advanced Patterns | 📊 Level: Intermediate | 🌐 Coding5s.com
Concept: Instance &amp; Static Methods (void, static returnType, _privateMethod())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Instance and Static Methods using void, static returnType, and _privateMethod().. Topic details: Instance &amp; Static Methods (void, static returnType, _privateMethod())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Dart Object-Oriented &amp; Advanced Patterns | 📊 Level: Intermediate
**Topic:** Define Instance and Static Methods using void, static returnType, and _privateMethod().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5"/>
        <v>[ROLE] Tech Lead | [TASK] Assign incomplete Dart Object-Oriented &amp; Advanced Patterns script challenges | [TOPIC] Define Instance and Static Methods using void, static returnType, and _privateMethod().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#10 | Stage 3 🧩 Complete | Dart Object-Oriented &amp; Advanced Patterns | 📊 Level: Intermediate | 🌐 Coding5s.com
**Concept:** Instance &amp; Static Methods (void, static returnType, _privateMethod())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Instance and Static Methods using void, static returnType, and _privateMethod()..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Instance and Static Methods using void, static returnType, and _privateMethod().. Topic details: Instance &amp; Static Methods (void, static returnType, _privateMethod())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Dart Object-Oriented &amp; Advanced Patterns | 📊 Level: Intermediate
**Topic:** Define Instance and Static Methods using void, static returnType, and _privateMethod().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7"/>
        <v>[ROLE] Tech Lead | [TASK] Provide intentionally messy but functional code for learning debugging and improvement | [TOPIC] Define Instance and Static Methods using void, static returnType, and _privateMethod().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#10 | Stage 4 🧹 Refactor | Dart Object-Oriented &amp; Advanced Patterns | 📊 Level: Intermediate | 🌐 Coding5s.com
**Concept:** Instance &amp; Static Methods (void, static returnType, _privateMethod())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Define Instance and Static Methods using void, static returnType, and _privateMethod().. Topic details: Instance &amp; Static Methods (void, static returnType, _privateMethod())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Dart Object-Oriented &amp; Advanced Patterns | 📊 Level: Intermediate
**Topic:** Define Instance and Static Methods using void, static returnType, and _privateMethod().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9"/>
        <v>[ROLE] Tech Product Manager assigning a Dart Object-Oriented &amp; Advanced Patterns Jira Ticket | [TASK] Provide a guided implementation exercise with full solution for learning purposes | [TOPIC] Define Instance and Static Methods using void, static returnType, and _privateMethod().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#10 | Stage 5 | Dart Object-Oriented &amp; Advanced Patterns | 📊 Level: Intermediate | 🌐 Coding5s.com
**Concept:** Instance &amp; Static Methods (void, static returnType, _privateMethod())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Instance and Static Methods using void, static returnType, and _privateMethod().. Goal: Instance &amp; Static Methods (void, static returnType, _privateMethod())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Dart Object-Oriented &amp; Advanced Patterns | 📊 Level: Intermediate
**Topic:** Define Instance and Static Methods using void, static returnType, and _privateMethod().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1"/>
        <v/>
      </c>
      <c r="AA18" s="56" t="str">
        <f t="shared" si="12"/>
        <v/>
      </c>
      <c r="AB18" s="56" t="str">
        <f t="shared" si="13"/>
        <v/>
      </c>
      <c r="AC18" s="56" t="str">
        <f t="shared" si="14"/>
        <v/>
      </c>
      <c r="AD18" s="56" t="str">
        <f t="shared" si="15"/>
        <v/>
      </c>
      <c r="AE18" s="40" t="s">
        <v>100</v>
      </c>
      <c r="AF18" s="40" t="s">
        <v>101</v>
      </c>
      <c r="AG18" s="40" t="s">
        <v>102</v>
      </c>
      <c r="AH18" s="56" t="str">
        <f t="shared" si="16"/>
        <v/>
      </c>
      <c r="AI18" s="54"/>
      <c r="AJ18" s="54"/>
      <c r="AK18" s="54">
        <v>10</v>
      </c>
      <c r="AL18" s="54" t="s">
        <v>103</v>
      </c>
      <c r="AM18" s="54" t="s">
        <v>104</v>
      </c>
    </row>
    <row r="19" spans="1:39">
      <c r="A19" s="45" t="str" cm="1">
        <f t="array" ref="A19">IF(H19="PROJECT", CHAR(10) &amp; "- " &amp; _xlfn.TEXTJOIN(CHAR(10) &amp; "- ", TRUE, _xlfn._xlws.FILTER($I$9:$I$1000, ($B$9:$B$1000=B19) * ($H$9:$H$1000="Topic"))), "")</f>
        <v/>
      </c>
      <c r="B19" s="45">
        <f t="shared" si="1"/>
        <v>2</v>
      </c>
      <c r="C19" s="95">
        <v>12</v>
      </c>
      <c r="D19" s="46">
        <v>3</v>
      </c>
      <c r="E19" s="58" t="s">
        <v>48</v>
      </c>
      <c r="F19" s="48">
        <v>11</v>
      </c>
      <c r="G19" s="49" t="s">
        <v>160</v>
      </c>
      <c r="H19" s="49" t="s">
        <v>50</v>
      </c>
      <c r="I19" s="50" t="s">
        <v>799</v>
      </c>
      <c r="J19" s="51" t="s">
        <v>800</v>
      </c>
      <c r="K19" s="129" t="str">
        <f t="shared" si="0"/>
        <v xml:space="preserve">[ROLE] Friendly tutor specializing in Dart Object-Oriented &amp; Advanced Patterns | [TOPIC] Apply Cascade Operators using .. and ?.. . | [LEVEL] Intermediate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12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Dart Object-Oriented &amp; Advanced Patterns | 📊 Level: Intermediate | 🌐 Coding5s.com
**Concept:** Cascade Operators (.., ?..)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Cascade Operators using .. and ?.. .. Topic details: Cascade Operators (.., ?..)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Dart Object-Oriented &amp; Advanced Patterns | 📊 Level: Intermediate
**Topic:** Apply Cascade Operators using .. and ?.. .
---
 | [FOOTER RULE - STRICT] End your response with: '--- ⚡ *Coding5s Mentor System — Eliminating Epistemic Debt*' | </v>
      </c>
      <c r="M19" s="53">
        <v>0</v>
      </c>
      <c r="N19" s="102" t="str">
        <f t="shared" si="3"/>
        <v>[ROLE] Careless Dart Object-Oriented &amp; Advanced Patterns Developer | [TASK] Generate debugging challenges in Dart Object-Oriented &amp; Advanced Patterns | | [TOPIC] Apply Cascade Operators using .. and ?.. . | | [LEVEL] Intermediate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#11 | Stage 2 🐛 Debug | Dart Object-Oriented &amp; Advanced Patterns | 📊 Level: Intermediate | 🌐 Coding5s.com
Concept: Cascade Operators (.., ?..)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Cascade Operators using .. and ?.. .. Topic details: Cascade Operators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Dart Object-Oriented &amp; Advanced Patterns | 📊 Level: Intermediate
**Topic:** Apply Cascade Operators using .. and ?.. .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5"/>
        <v>[ROLE] Tech Lead | [TASK] Assign incomplete Dart Object-Oriented &amp; Advanced Patterns script challenges | [TOPIC] Apply Cascade Operators using .. and ?.. . | [LEVEL] Intermediate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#11 | Stage 3 🧩 Complete | Dart Object-Oriented &amp; Advanced Patterns | 📊 Level: Intermediate | 🌐 Coding5s.com
**Concept:** Cascade Operators (..,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Cascade Operators using .. and ?..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Cascade Operators using .. and ?.. .. Topic details: Cascade Operators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Dart Object-Oriented &amp; Advanced Patterns | 📊 Level: Intermediate
**Topic:** Apply Cascade Operators using .. and ?.. .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7"/>
        <v>[ROLE] Tech Lead | [TASK] Provide intentionally messy but functional code for learning debugging and improvement | [TOPIC] Apply Cascade Operators using .. and ?.. . | [LEVEL] Intermediate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#11 | Stage 4 🧹 Refactor | Dart Object-Oriented &amp; Advanced Patterns | 📊 Level: Intermediate | 🌐 Coding5s.com
**Concept:** Cascade Operators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Cascade Operators using .. and ?.. .. Topic details: Cascade Operators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Dart Object-Oriented &amp; Advanced Patterns | 📊 Level: Intermediate
**Topic:** Apply Cascade Operators using .. and ?.. .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9"/>
        <v>[ROLE] Tech Product Manager assigning a Dart Object-Oriented &amp; Advanced Patterns Jira Ticket | [TASK] Provide a guided implementation exercise with full solution for learning purposes | [TOPIC] Apply Cascade Operators using .. and ?.. .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#11 | Stage 5 | Dart Object-Oriented &amp; Advanced Patterns | 📊 Level: Intermediate | 🌐 Coding5s.com
**Concept:** Cascade Operators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Cascade Operators using .. and ?.. .. Goal: Cascade Operators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Dart Object-Oriented &amp; Advanced Patterns | 📊 Level: Intermediate
**Topic:** Apply Cascade Operators using .. and ?.. .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1"/>
        <v/>
      </c>
      <c r="AA19" s="56" t="str">
        <f t="shared" si="12"/>
        <v/>
      </c>
      <c r="AB19" s="56" t="str">
        <f t="shared" si="13"/>
        <v/>
      </c>
      <c r="AC19" s="56" t="str">
        <f t="shared" si="14"/>
        <v/>
      </c>
      <c r="AD19" s="56" t="str">
        <f t="shared" si="15"/>
        <v/>
      </c>
      <c r="AE19" s="40" t="s">
        <v>105</v>
      </c>
      <c r="AF19" s="40" t="s">
        <v>106</v>
      </c>
      <c r="AG19" s="40" t="s">
        <v>107</v>
      </c>
      <c r="AH19" s="56" t="str">
        <f t="shared" si="16"/>
        <v/>
      </c>
      <c r="AI19" s="54"/>
      <c r="AJ19" s="54"/>
      <c r="AK19" s="54">
        <v>11</v>
      </c>
      <c r="AL19" s="54" t="s">
        <v>108</v>
      </c>
      <c r="AM19" s="54" t="s">
        <v>109</v>
      </c>
    </row>
    <row r="20" spans="1:39">
      <c r="A20" s="45" t="str" cm="1">
        <f t="array" ref="A20">IF(H20="PROJECT", CHAR(10) &amp; "- " &amp; _xlfn.TEXTJOIN(CHAR(10) &amp; "- ", TRUE, _xlfn._xlws.FILTER($I$9:$I$1000, ($B$9:$B$1000=B20) * ($H$9:$H$1000="Topic"))), "")</f>
        <v/>
      </c>
      <c r="B20" s="45">
        <f t="shared" si="1"/>
        <v>2</v>
      </c>
      <c r="C20" s="95">
        <v>12</v>
      </c>
      <c r="D20" s="57">
        <v>3</v>
      </c>
      <c r="E20" s="58" t="s">
        <v>48</v>
      </c>
      <c r="F20" s="59">
        <v>12</v>
      </c>
      <c r="G20" s="60" t="s">
        <v>160</v>
      </c>
      <c r="H20" s="60" t="s">
        <v>50</v>
      </c>
      <c r="I20" s="61" t="s">
        <v>801</v>
      </c>
      <c r="J20" s="62" t="s">
        <v>802</v>
      </c>
      <c r="K20" s="129" t="str">
        <f t="shared" si="0"/>
        <v xml:space="preserve">[ROLE] Friendly tutor specializing in Dart Object-Oriented &amp; Advanced Patterns | [TOPIC] Implement Callable Objects with call(). | [LEVEL] Intermediate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12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Dart Object-Oriented &amp; Advanced Patterns | 📊 Level: Intermediate | 🌐 Coding5s.com
**Concept:** Callable Objects (call())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Callable Objects with call().. Topic details: Callable Objects (call())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Dart Object-Oriented &amp; Advanced Patterns | 📊 Level: Intermediate
**Topic:** Implement Callable Objects with call().
---
 | [FOOTER RULE - STRICT] End your response with: '--- ⚡ *Coding5s Mentor System — Eliminating Epistemic Debt*' | </v>
      </c>
      <c r="M20" s="52">
        <v>0</v>
      </c>
      <c r="N20" s="102" t="str">
        <f t="shared" si="3"/>
        <v>[ROLE] Careless Dart Object-Oriented &amp; Advanced Patterns Developer | [TASK] Generate debugging challenges in Dart Object-Oriented &amp; Advanced Patterns | | [TOPIC] Implement Callable Objects with call(). | | [LEVEL] Intermediate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#12 | Stage 2 🐛 Debug | Dart Object-Oriented &amp; Advanced Patterns | 📊 Level: Intermediate | 🌐 Coding5s.com
Concept: Callable Objects (call())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Callable Objects with call().. Topic details: Callable Objects (call())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Dart Object-Oriented &amp; Advanced Patterns | 📊 Level: Intermediate
**Topic:** Implement Callable Objects with call().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5"/>
        <v>[ROLE] Tech Lead | [TASK] Assign incomplete Dart Object-Oriented &amp; Advanced Patterns script challenges | [TOPIC] Implement Callable Objects with call(). | [LEVEL] Intermediate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#12 | Stage 3 🧩 Complete | Dart Object-Oriented &amp; Advanced Patterns | 📊 Level: Intermediate | 🌐 Coding5s.com
**Concept:** Callable Objects (call())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Callable Objects with call()..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Callable Objects with call().. Topic details: Callable Objects (call())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Dart Object-Oriented &amp; Advanced Patterns | 📊 Level: Intermediate
**Topic:** Implement Callable Objects with call().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7"/>
        <v>[ROLE] Tech Lead | [TASK] Provide intentionally messy but functional code for learning debugging and improvement | [TOPIC] Implement Callable Objects with call(). | [LEVEL] Intermediate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#12 | Stage 4 🧹 Refactor | Dart Object-Oriented &amp; Advanced Patterns | 📊 Level: Intermediate | 🌐 Coding5s.com
**Concept:** Callable Objects (call())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Callable Objects with call().. Topic details: Callable Objects (call())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Dart Object-Oriented &amp; Advanced Patterns | 📊 Level: Intermediate
**Topic:** Implement Callable Objects with call().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9"/>
        <v>[ROLE] Tech Product Manager assigning a Dart Object-Oriented &amp; Advanced Patterns Jira Ticket | [TASK] Provide a guided implementation exercise with full solution for learning purposes | [TOPIC] Implement Callable Objects with call().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#12 | Stage 5 | Dart Object-Oriented &amp; Advanced Patterns | 📊 Level: Intermediate | 🌐 Coding5s.com
**Concept:** Callable Objects (call())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Callable Objects with call().. Goal: Callable Objects (call())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Dart Object-Oriented &amp; Advanced Patterns | 📊 Level: Intermediate
**Topic:** Implement Callable Objects with call().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1"/>
        <v/>
      </c>
      <c r="AA20" s="56" t="str">
        <f t="shared" si="12"/>
        <v/>
      </c>
      <c r="AB20" s="56" t="str">
        <f t="shared" si="13"/>
        <v/>
      </c>
      <c r="AC20" s="56" t="str">
        <f t="shared" si="14"/>
        <v/>
      </c>
      <c r="AD20" s="56" t="str">
        <f t="shared" si="15"/>
        <v/>
      </c>
      <c r="AE20" s="40" t="s">
        <v>110</v>
      </c>
      <c r="AF20" s="40" t="s">
        <v>111</v>
      </c>
      <c r="AG20" s="40" t="s">
        <v>112</v>
      </c>
      <c r="AH20" s="56" t="str">
        <f t="shared" si="16"/>
        <v/>
      </c>
      <c r="AI20" s="54"/>
      <c r="AJ20" s="54"/>
      <c r="AK20" s="54">
        <v>12</v>
      </c>
      <c r="AL20" s="54" t="s">
        <v>113</v>
      </c>
      <c r="AM20" s="54" t="s">
        <v>114</v>
      </c>
    </row>
    <row r="21" spans="1:39">
      <c r="A21" s="45" t="str" cm="1">
        <f t="array" ref="A21">IF(H21="PROJECT", CHAR(10) &amp; "- " &amp; _xlfn.TEXTJOIN(CHAR(10) &amp; "- ", TRUE, _xlfn._xlws.FILTER($I$9:$I$1000, ($B$9:$B$1000=B21) * ($H$9:$H$1000="Topic"))), "")</f>
        <v/>
      </c>
      <c r="B21" s="45">
        <f t="shared" si="1"/>
        <v>2</v>
      </c>
      <c r="C21" s="95">
        <v>18</v>
      </c>
      <c r="D21" s="46">
        <v>5</v>
      </c>
      <c r="E21" s="58" t="s">
        <v>48</v>
      </c>
      <c r="F21" s="48">
        <v>13</v>
      </c>
      <c r="G21" s="49" t="s">
        <v>160</v>
      </c>
      <c r="H21" s="49" t="s">
        <v>50</v>
      </c>
      <c r="I21" s="50" t="s">
        <v>803</v>
      </c>
      <c r="J21" s="51" t="s">
        <v>804</v>
      </c>
      <c r="K21" s="129" t="str">
        <f t="shared" si="0"/>
        <v xml:space="preserve">[ROLE] Friendly tutor specializing in Dart Object-Oriented &amp; Advanced Patterns | [TOPIC] Overload Arithmetic and Index Operators using operator +, operator -, operator [], and operator []=. | [LEVEL] Intermediate | [COUNT] 5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18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Dart Object-Oriented &amp; Advanced Patterns | 📊 Level: Intermediate | 🌐 Coding5s.com
**Concept:** Arithmetic &amp; Index Operator Overloading (operator +, operator -, operator [], operator []=)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Arithmetic and Index Operators using operator +, operator -, operator [], and operator []=.. Topic details: Arithmetic &amp; Index Operator Overloading (operator +, operator -, operator [], operator []=)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Dart Object-Oriented &amp; Advanced Patterns | 📊 Level: Intermediate
**Topic:** Overload Arithmetic and Index Operators using operator +, operator -, operator [], and operator []=.
---
 | [FOOTER RULE - STRICT] End your response with: '--- ⚡ *Coding5s Mentor System — Eliminating Epistemic Debt*' | </v>
      </c>
      <c r="M21" s="53">
        <v>0</v>
      </c>
      <c r="N21" s="102" t="str">
        <f t="shared" si="3"/>
        <v>[ROLE] Careless Dart Object-Oriented &amp; Advanced Patterns Developer | [TASK] Generate debugging challenges in Dart Object-Oriented &amp; Advanced Patterns | | [TOPIC] Overload Arithmetic and Index Operators using operator +, operator -, operator [], and operator []=. | | [LEVEL] Intermediate | | [COUNT] 5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#13 | Stage 2 🐛 Debug | Dart Object-Oriented &amp; Advanced Patterns | 📊 Level: Intermediate | 🌐 Coding5s.com
Concept: Arithmetic &amp; Index Operator Overloading (operator +, operator -, operator [], operator []=)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Arithmetic and Index Operators using operator +, operator -, operator [], and operator []=.. Topic details: Arithmetic &amp; Index Operator Overloading (operator +, operator -, operator [], operator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Dart Object-Oriented &amp; Advanced Patterns | 📊 Level: Intermediate
**Topic:** Overload Arithmetic and Index Operators using operator +, operator -, operator [], and operator []=.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5"/>
        <v>[ROLE] Tech Lead | [TASK] Assign incomplete Dart Object-Oriented &amp; Advanced Patterns script challenges | [TOPIC] Overload Arithmetic and Index Operators using operator +, operator -, operator [], and operator []=. | [LEVEL] Intermediate | [COUNT] 5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#13 | Stage 3 🧩 Complete | Dart Object-Oriented &amp; Advanced Patterns | 📊 Level: Intermediate | 🌐 Coding5s.com
**Concept:** Arithmetic &amp; Index Operator Overloading (operator +, operator -, operator [], operator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Arithmetic and Index Operators using operator +, operator -, operator [], and operator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Arithmetic and Index Operators using operator +, operator -, operator [], and operator []=.. Topic details: Arithmetic &amp; Index Operator Overloading (operator +, operator -, operator [], operator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Dart Object-Oriented &amp; Advanced Patterns | 📊 Level: Intermediate
**Topic:** Overload Arithmetic and Index Operators using operator +, operator -, operator [], and operator []=.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7"/>
        <v>[ROLE] Tech Lead | [TASK] Provide intentionally messy but functional code for learning debugging and improvement | [TOPIC] Overload Arithmetic and Index Operators using operator +, operator -, operator [], and operator []=. | [LEVEL] Intermediate | [COUNT] 5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#13 | Stage 4 🧹 Refactor | Dart Object-Oriented &amp; Advanced Patterns | 📊 Level: Intermediate | 🌐 Coding5s.com
**Concept:** Arithmetic &amp; Index Operator Overloading (operator +, operator -, operator [], operator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Overload Arithmetic and Index Operators using operator +, operator -, operator [], and operator []=.. Topic details: Arithmetic &amp; Index Operator Overloading (operator +, operator -, operator [], operator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Dart Object-Oriented &amp; Advanced Patterns | 📊 Level: Intermediate
**Topic:** Overload Arithmetic and Index Operators using operator +, operator -, operator [], and operator []=.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9"/>
        <v>[ROLE] Tech Product Manager assigning a Dart Object-Oriented &amp; Advanced Patterns Jira Ticket | [TASK] Provide a guided implementation exercise with full solution for learning purposes | [TOPIC] Overload Arithmetic and Index Operators using operator +, operator -, operator [], and operator []=.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#13 | Stage 5 | Dart Object-Oriented &amp; Advanced Patterns | 📊 Level: Intermediate | 🌐 Coding5s.com
**Concept:** Arithmetic &amp; Index Operator Overloading (operator +, operator -, operator [], operator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Arithmetic and Index Operators using operator +, operator -, operator [], and operator []=.. Goal: Arithmetic &amp; Index Operator Overloading (operator +, operator -, operator [], operator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Dart Object-Oriented &amp; Advanced Patterns | 📊 Level: Intermediate
**Topic:** Overload Arithmetic and Index Operators using operator +, operator -, operator [], and operator []=.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1"/>
        <v/>
      </c>
      <c r="AA21" s="56" t="str">
        <f t="shared" si="12"/>
        <v/>
      </c>
      <c r="AB21" s="56" t="str">
        <f t="shared" si="13"/>
        <v/>
      </c>
      <c r="AC21" s="56" t="str">
        <f t="shared" si="14"/>
        <v/>
      </c>
      <c r="AD21" s="56" t="str">
        <f t="shared" si="15"/>
        <v/>
      </c>
      <c r="AE21" s="40" t="s">
        <v>115</v>
      </c>
      <c r="AF21" s="40" t="s">
        <v>116</v>
      </c>
      <c r="AG21" s="40" t="s">
        <v>117</v>
      </c>
      <c r="AH21" s="56" t="str">
        <f t="shared" si="16"/>
        <v/>
      </c>
      <c r="AI21" s="54"/>
      <c r="AJ21" s="54"/>
      <c r="AK21" s="54">
        <v>13</v>
      </c>
      <c r="AL21" s="54" t="s">
        <v>118</v>
      </c>
      <c r="AM21" s="54" t="s">
        <v>119</v>
      </c>
    </row>
    <row r="22" spans="1:39">
      <c r="A22" s="45" t="str" cm="1">
        <f t="array" ref="A22">IF(H22="PROJECT", CHAR(10) &amp; "- " &amp; _xlfn.TEXTJOIN(CHAR(10) &amp; "- ", TRUE, _xlfn._xlws.FILTER($I$9:$I$1000, ($B$9:$B$1000=B22) * ($H$9:$H$1000="Topic"))), "")</f>
        <v/>
      </c>
      <c r="B22" s="45">
        <f t="shared" si="1"/>
        <v>2</v>
      </c>
      <c r="C22" s="95">
        <v>15</v>
      </c>
      <c r="D22" s="57">
        <v>4</v>
      </c>
      <c r="E22" s="58" t="s">
        <v>48</v>
      </c>
      <c r="F22" s="59">
        <v>14</v>
      </c>
      <c r="G22" s="60" t="s">
        <v>160</v>
      </c>
      <c r="H22" s="60" t="s">
        <v>50</v>
      </c>
      <c r="I22" s="61" t="s">
        <v>805</v>
      </c>
      <c r="J22" s="62" t="s">
        <v>806</v>
      </c>
      <c r="K22" s="129" t="str">
        <f t="shared" si="0"/>
        <v xml:space="preserve">[ROLE] Friendly tutor specializing in Dart Object-Oriented &amp; Advanced Patterns | [TOPIC] Overload Relational Operators using operator &gt;, operator &lt;, operator &gt;=, and operator &lt;=.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Dart Object-Oriented &amp; Advanced Patterns | 📊 Level: Intermediate | 🌐 Coding5s.com
**Concept:** Relational Operator Overloading (operator &gt;, operator &lt;, operator &gt;=, operator &lt;=)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Relational Operators using operator &gt;, operator &lt;, operator &gt;=, and operator &lt;=.. Topic details: Relational Operator Overloading (operator &gt;, operator &lt;, operator &gt;=, operator &lt;=)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Dart Object-Oriented &amp; Advanced Patterns | 📊 Level: Intermediate
**Topic:** Overload Relational Operators using operator &gt;, operator &lt;, operator &gt;=, and operator &lt;=.
---
 | [FOOTER RULE - STRICT] End your response with: '--- ⚡ *Coding5s Mentor System — Eliminating Epistemic Debt*' | </v>
      </c>
      <c r="M22" s="52">
        <v>0</v>
      </c>
      <c r="N22" s="102" t="str">
        <f t="shared" si="3"/>
        <v>[ROLE] Careless Dart Object-Oriented &amp; Advanced Patterns Developer | [TASK] Generate debugging challenges in Dart Object-Oriented &amp; Advanced Patterns | | [TOPIC] Overload Relational Operators using operator &gt;, operator &lt;, operator &gt;=, and operator &lt;=.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#14 | Stage 2 🐛 Debug | Dart Object-Oriented &amp; Advanced Patterns | 📊 Level: Intermediate | 🌐 Coding5s.com
Concept: Relational Operator Overloading (operator &gt;, operator &lt;, operator &gt;=, operator &lt;=)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Relational Operators using operator &gt;, operator &lt;, operator &gt;=, and operator &lt;=.. Topic details: Relational Operator Overloading (operator &gt;, operator &lt;, operator &gt;=, operator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Dart Object-Oriented &amp; Advanced Patterns | 📊 Level: Intermediate
**Topic:** Overload Relational Operators using operator &gt;, operator &lt;, operator &gt;=, and operator &lt;=.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5"/>
        <v>[ROLE] Tech Lead | [TASK] Assign incomplete Dart Object-Oriented &amp; Advanced Patterns script challenges | [TOPIC] Overload Relational Operators using operator &gt;, operator &lt;, operator &gt;=, and operator &lt;=.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#14 | Stage 3 🧩 Complete | Dart Object-Oriented &amp; Advanced Patterns | 📊 Level: Intermediate | 🌐 Coding5s.com
**Concept:** Relational Operator Overloading (operator &gt;, operator &lt;, operator &gt;=, operator &lt;=)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Relational Operators using operator &gt;, operator &lt;, operator &gt;=, and operator &lt;=..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Relational Operators using operator &gt;, operator &lt;, operator &gt;=, and operator &lt;=.. Topic details: Relational Operator Overloading (operator &gt;, operator &lt;, operator &gt;=, operator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Dart Object-Oriented &amp; Advanced Patterns | 📊 Level: Intermediate
**Topic:** Overload Relational Operators using operator &gt;, operator &lt;, operator &gt;=, and operator &lt;=.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7"/>
        <v>[ROLE] Tech Lead | [TASK] Provide intentionally messy but functional code for learning debugging and improvement | [TOPIC] Overload Relational Operators using operator &gt;, operator &lt;, operator &gt;=, and operator &lt;=.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#14 | Stage 4 🧹 Refactor | Dart Object-Oriented &amp; Advanced Patterns | 📊 Level: Intermediate | 🌐 Coding5s.com
**Concept:** Relational Operator Overloading (operator &gt;, operator &lt;, operator &gt;=, operator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Overload Relational Operators using operator &gt;, operator &lt;, operator &gt;=, and operator &lt;=.. Topic details: Relational Operator Overloading (operator &gt;, operator &lt;, operator &gt;=, operator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Dart Object-Oriented &amp; Advanced Patterns | 📊 Level: Intermediate
**Topic:** Overload Relational Operators using operator &gt;, operator &lt;, operator &gt;=, and operator &lt;=.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9"/>
        <v>[ROLE] Tech Product Manager assigning a Dart Object-Oriented &amp; Advanced Patterns Jira Ticket | [TASK] Provide a guided implementation exercise with full solution for learning purposes | [TOPIC] Overload Relational Operators using operator &gt;, operator &lt;, operator &gt;=, and operator &lt;=.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#14 | Stage 5 | Dart Object-Oriented &amp; Advanced Patterns | 📊 Level: Intermediate | 🌐 Coding5s.com
**Concept:** Relational Operator Overloading (operator &gt;, operator &lt;, operator &gt;=, operator &lt;=)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Relational Operators using operator &gt;, operator &lt;, operator &gt;=, and operator &lt;=.. Goal: Relational Operator Overloading (operator &gt;, operator &lt;, operator &gt;=, operator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Dart Object-Oriented &amp; Advanced Patterns | 📊 Level: Intermediate
**Topic:** Overload Relational Operators using operator &gt;, operator &lt;, operator &gt;=, and operator &lt;=.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1"/>
        <v/>
      </c>
      <c r="AA22" s="56" t="str">
        <f t="shared" si="12"/>
        <v/>
      </c>
      <c r="AB22" s="56" t="str">
        <f t="shared" si="13"/>
        <v/>
      </c>
      <c r="AC22" s="56" t="str">
        <f t="shared" si="14"/>
        <v/>
      </c>
      <c r="AD22" s="56" t="str">
        <f t="shared" si="15"/>
        <v/>
      </c>
      <c r="AE22" s="40" t="s">
        <v>120</v>
      </c>
      <c r="AF22" s="40" t="s">
        <v>121</v>
      </c>
      <c r="AG22" s="40" t="s">
        <v>122</v>
      </c>
      <c r="AH22" s="56" t="str">
        <f t="shared" si="16"/>
        <v/>
      </c>
      <c r="AI22" s="54"/>
      <c r="AJ22" s="54"/>
      <c r="AK22" s="54">
        <v>14</v>
      </c>
      <c r="AL22" s="54" t="s">
        <v>123</v>
      </c>
      <c r="AM22" s="54" t="s">
        <v>124</v>
      </c>
    </row>
    <row r="23" spans="1:39">
      <c r="A23" s="45" t="str" cm="1">
        <f t="array" ref="A23">IF(H23="PROJECT", CHAR(10) &amp; "- " &amp; _xlfn.TEXTJOIN(CHAR(10) &amp; "- ", TRUE, _xlfn._xlws.FILTER($I$9:$I$1000, ($B$9:$B$1000=B23) * ($H$9:$H$1000="Topic"))), "")</f>
        <v/>
      </c>
      <c r="B23" s="45">
        <f t="shared" si="1"/>
        <v>2</v>
      </c>
      <c r="C23" s="95">
        <v>15</v>
      </c>
      <c r="D23" s="46">
        <v>4</v>
      </c>
      <c r="E23" s="58" t="s">
        <v>48</v>
      </c>
      <c r="F23" s="48">
        <v>15</v>
      </c>
      <c r="G23" s="49" t="s">
        <v>160</v>
      </c>
      <c r="H23" s="49" t="s">
        <v>50</v>
      </c>
      <c r="I23" s="50" t="s">
        <v>807</v>
      </c>
      <c r="J23" s="51" t="s">
        <v>808</v>
      </c>
      <c r="K23" s="129" t="str">
        <f t="shared" si="0"/>
        <v xml:space="preserve">[ROLE] Friendly tutor specializing in Dart Object-Oriented &amp; Advanced Patterns | [TOPIC] Extend a Class using extends and super.method().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Dart Object-Oriented &amp; Advanced Patterns | 📊 Level: Intermediate | 🌐 Coding5s.com
**Concept:** Class Extension (extends, super.method())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a Class using extends and super.method().. Topic details: Class Extension (extends, super.method())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Dart Object-Oriented &amp; Advanced Patterns | 📊 Level: Intermediate
**Topic:** Extend a Class using extends and super.method().
---
 | [FOOTER RULE - STRICT] End your response with: '--- ⚡ *Coding5s Mentor System — Eliminating Epistemic Debt*' | </v>
      </c>
      <c r="M23" s="53">
        <v>0</v>
      </c>
      <c r="N23" s="102" t="str">
        <f t="shared" si="3"/>
        <v>[ROLE] Careless Dart Object-Oriented &amp; Advanced Patterns Developer | [TASK] Generate debugging challenges in Dart Object-Oriented &amp; Advanced Patterns | | [TOPIC] Extend a Class using extends and super.method().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#15 | Stage 2 🐛 Debug | Dart Object-Oriented &amp; Advanced Patterns | 📊 Level: Intermediate | 🌐 Coding5s.com
Concept: Class Extension (extends, super.method())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a Class using extends and super.method().. Topic details: Class Extension (extends, super.method())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Dart Object-Oriented &amp; Advanced Patterns | 📊 Level: Intermediate
**Topic:** Extend a Class using extends and super.method().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5"/>
        <v>[ROLE] Tech Lead | [TASK] Assign incomplete Dart Object-Oriented &amp; Advanced Patterns script challenges | [TOPIC] Extend a Class using extends and super.method().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#15 | Stage 3 🧩 Complete | Dart Object-Oriented &amp; Advanced Patterns | 📊 Level: Intermediate | 🌐 Coding5s.com
**Concept:** Class Extension (extends, super.method())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Extend a Class using extends and super.method()..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a Class using extends and super.method().. Topic details: Class Extension (extends, super.method())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Dart Object-Oriented &amp; Advanced Patterns | 📊 Level: Intermediate
**Topic:** Extend a Class using extends and super.method().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7"/>
        <v>[ROLE] Tech Lead | [TASK] Provide intentionally messy but functional code for learning debugging and improvement | [TOPIC] Extend a Class using extends and super.method().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#15 | Stage 4 🧹 Refactor | Dart Object-Oriented &amp; Advanced Patterns | 📊 Level: Intermediate | 🌐 Coding5s.com
**Concept:** Class Extension (extends, super.method())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Extend a Class using extends and super.method().. Topic details: Class Extension (extends, super.method())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Dart Object-Oriented &amp; Advanced Patterns | 📊 Level: Intermediate
**Topic:** Extend a Class using extends and super.method().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9"/>
        <v>[ROLE] Tech Product Manager assigning a Dart Object-Oriented &amp; Advanced Patterns Jira Ticket | [TASK] Provide a guided implementation exercise with full solution for learning purposes | [TOPIC] Extend a Class using extends and super.method().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#15 | Stage 5 | Dart Object-Oriented &amp; Advanced Patterns | 📊 Level: Intermediate | 🌐 Coding5s.com
**Concept:** Class Extension (extends, super.method())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a Class using extends and super.method().. Goal: Class Extension (extends, super.method())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Dart Object-Oriented &amp; Advanced Patterns | 📊 Level: Intermediate
**Topic:** Extend a Class using extends and super.method().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1"/>
        <v/>
      </c>
      <c r="AA23" s="56" t="str">
        <f t="shared" si="12"/>
        <v/>
      </c>
      <c r="AB23" s="56" t="str">
        <f t="shared" si="13"/>
        <v/>
      </c>
      <c r="AC23" s="56" t="str">
        <f t="shared" si="14"/>
        <v/>
      </c>
      <c r="AD23" s="56" t="str">
        <f t="shared" si="15"/>
        <v/>
      </c>
      <c r="AE23" s="40" t="s">
        <v>125</v>
      </c>
      <c r="AF23" s="40" t="s">
        <v>126</v>
      </c>
      <c r="AG23" s="40" t="s">
        <v>127</v>
      </c>
      <c r="AH23" s="56" t="str">
        <f t="shared" si="16"/>
        <v/>
      </c>
      <c r="AI23" s="54"/>
      <c r="AJ23" s="54"/>
      <c r="AK23" s="54">
        <v>15</v>
      </c>
      <c r="AL23" s="54" t="s">
        <v>128</v>
      </c>
      <c r="AM23" s="54" t="s">
        <v>129</v>
      </c>
    </row>
    <row r="24" spans="1:39">
      <c r="A24" s="45" t="str" cm="1">
        <f t="array" ref="A24">IF(H24="PROJECT", CHAR(10) &amp; "- " &amp; _xlfn.TEXTJOIN(CHAR(10) &amp; "- ", TRUE, _xlfn._xlws.FILTER($I$9:$I$1000, ($B$9:$B$1000=B24) * ($H$9:$H$1000="Topic"))), "")</f>
        <v/>
      </c>
      <c r="B24" s="45">
        <f t="shared" si="1"/>
        <v>2</v>
      </c>
      <c r="C24" s="95">
        <v>15</v>
      </c>
      <c r="D24" s="57">
        <v>4</v>
      </c>
      <c r="E24" s="58" t="s">
        <v>48</v>
      </c>
      <c r="F24" s="59">
        <v>16</v>
      </c>
      <c r="G24" s="60" t="s">
        <v>160</v>
      </c>
      <c r="H24" s="60" t="s">
        <v>50</v>
      </c>
      <c r="I24" s="61" t="s">
        <v>809</v>
      </c>
      <c r="J24" s="62" t="s">
        <v>810</v>
      </c>
      <c r="K24" s="129" t="str">
        <f t="shared" si="0"/>
        <v xml:space="preserve">[ROLE] Friendly tutor specializing in Dart Object-Oriented &amp; Advanced Patterns | [TOPIC] Override Methods using @override and covariant.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Dart Object-Oriented &amp; Advanced Patterns | 📊 Level: Intermediate | 🌐 Coding5s.com
**Concept:** Method Overriding (@override, covariant)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Override Methods using @override and covariant.. Topic details: Method Overriding (@override, covariant)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Dart Object-Oriented &amp; Advanced Patterns | 📊 Level: Intermediate
**Topic:** Override Methods using @override and covariant.
---
 | [FOOTER RULE - STRICT] End your response with: '--- ⚡ *Coding5s Mentor System — Eliminating Epistemic Debt*' | </v>
      </c>
      <c r="M24" s="52">
        <v>0</v>
      </c>
      <c r="N24" s="102" t="str">
        <f t="shared" si="3"/>
        <v>[ROLE] Careless Dart Object-Oriented &amp; Advanced Patterns Developer | [TASK] Generate debugging challenges in Dart Object-Oriented &amp; Advanced Patterns | | [TOPIC] Override Methods using @override and covariant.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#16 | Stage 2 🐛 Debug | Dart Object-Oriented &amp; Advanced Patterns | 📊 Level: Intermediate | 🌐 Coding5s.com
Concept: Method Overriding (@override, covariant)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Override Methods using @override and covariant.. Topic details: Method Overriding (@override, covariant)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Dart Object-Oriented &amp; Advanced Patterns | 📊 Level: Intermediate
**Topic:** Override Methods using @override and covariant.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5"/>
        <v>[ROLE] Tech Lead | [TASK] Assign incomplete Dart Object-Oriented &amp; Advanced Patterns script challenges | [TOPIC] Override Methods using @override and covariant.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#16 | Stage 3 🧩 Complete | Dart Object-Oriented &amp; Advanced Patterns | 📊 Level: Intermediate | 🌐 Coding5s.com
**Concept:** Method Overriding (@override, covariant)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Override Methods using @override and covariant..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Override Methods using @override and covariant.. Topic details: Method Overriding (@override, covariant)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Dart Object-Oriented &amp; Advanced Patterns | 📊 Level: Intermediate
**Topic:** Override Methods using @override and covariant.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7"/>
        <v>[ROLE] Tech Lead | [TASK] Provide intentionally messy but functional code for learning debugging and improvement | [TOPIC] Override Methods using @override and covariant.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#16 | Stage 4 🧹 Refactor | Dart Object-Oriented &amp; Advanced Patterns | 📊 Level: Intermediate | 🌐 Coding5s.com
**Concept:** Method Overriding (@override, covariant)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Override Methods using @override and covariant.. Topic details: Method Overriding (@override, covariant)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Dart Object-Oriented &amp; Advanced Patterns | 📊 Level: Intermediate
**Topic:** Override Methods using @override and covariant.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9"/>
        <v>[ROLE] Tech Product Manager assigning a Dart Object-Oriented &amp; Advanced Patterns Jira Ticket | [TASK] Provide a guided implementation exercise with full solution for learning purposes | [TOPIC] Override Methods using @override and covariant.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#16 | Stage 5 | Dart Object-Oriented &amp; Advanced Patterns | 📊 Level: Intermediate | 🌐 Coding5s.com
**Concept:** Method Overriding (@override, covariant)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Override Methods using @override and covariant.. Goal: Method Overriding (@override, covariant)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Dart Object-Oriented &amp; Advanced Patterns | 📊 Level: Intermediate
**Topic:** Override Methods using @override and covariant.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1"/>
        <v/>
      </c>
      <c r="AA24" s="56" t="str">
        <f t="shared" si="12"/>
        <v/>
      </c>
      <c r="AB24" s="56" t="str">
        <f t="shared" si="13"/>
        <v/>
      </c>
      <c r="AC24" s="56" t="str">
        <f t="shared" si="14"/>
        <v/>
      </c>
      <c r="AD24" s="56" t="str">
        <f t="shared" si="15"/>
        <v/>
      </c>
      <c r="AE24" s="40" t="s">
        <v>130</v>
      </c>
      <c r="AF24" s="40" t="s">
        <v>131</v>
      </c>
      <c r="AG24" s="40" t="s">
        <v>132</v>
      </c>
      <c r="AH24" s="56" t="str">
        <f t="shared" si="16"/>
        <v/>
      </c>
      <c r="AI24" s="54"/>
      <c r="AJ24" s="54"/>
      <c r="AK24" s="54">
        <v>16</v>
      </c>
      <c r="AL24" s="54" t="s">
        <v>133</v>
      </c>
      <c r="AM24" s="54" t="s">
        <v>134</v>
      </c>
    </row>
    <row r="25" spans="1:39">
      <c r="A25" s="45" t="str" cm="1">
        <f t="array" ref="A25">IF(H25="PROJECT", CHAR(10) &amp; "- " &amp; _xlfn.TEXTJOIN(CHAR(10) &amp; "- ", TRUE, _xlfn._xlws.FILTER($I$9:$I$1000, ($B$9:$B$1000=B25) * ($H$9:$H$1000="Topic"))), "")</f>
        <v/>
      </c>
      <c r="B25" s="45">
        <f t="shared" si="1"/>
        <v>2</v>
      </c>
      <c r="C25" s="95">
        <v>18</v>
      </c>
      <c r="D25" s="46">
        <v>4</v>
      </c>
      <c r="E25" s="58" t="s">
        <v>48</v>
      </c>
      <c r="F25" s="48">
        <v>17</v>
      </c>
      <c r="G25" s="49" t="s">
        <v>160</v>
      </c>
      <c r="H25" s="49" t="s">
        <v>50</v>
      </c>
      <c r="I25" s="50" t="s">
        <v>811</v>
      </c>
      <c r="J25" s="51" t="s">
        <v>812</v>
      </c>
      <c r="K25" s="129" t="str">
        <f t="shared" si="0"/>
        <v xml:space="preserve">[ROLE] Friendly tutor specializing in Dart Object-Oriented &amp; Advanced Patterns | [TOPIC] Create Abstract Classes using abstract class and unimplemented methods.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18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Dart Object-Oriented &amp; Advanced Patterns | 📊 Level: Intermediate | 🌐 Coding5s.com
**Concept:** Abstract Classes (abstract class, unimplemented methods)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Abstract Classes using abstract class and unimplemented methods.. Topic details: Abstract Classes (abstract class, unimplemented methods)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Dart Object-Oriented &amp; Advanced Patterns | 📊 Level: Intermediate
**Topic:** Create Abstract Classes using abstract class and unimplemented methods.
---
 | [FOOTER RULE - STRICT] End your response with: '--- ⚡ *Coding5s Mentor System — Eliminating Epistemic Debt*' | </v>
      </c>
      <c r="M25" s="53">
        <v>0</v>
      </c>
      <c r="N25" s="102" t="str">
        <f t="shared" si="3"/>
        <v>[ROLE] Careless Dart Object-Oriented &amp; Advanced Patterns Developer | [TASK] Generate debugging challenges in Dart Object-Oriented &amp; Advanced Patterns | | [TOPIC] Create Abstract Classes using abstract class and unimplemented methods.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#17 | Stage 2 🐛 Debug | Dart Object-Oriented &amp; Advanced Patterns | 📊 Level: Intermediate | 🌐 Coding5s.com
Concept: Abstract Classes (abstract class, unimplemented methods)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Abstract Classes using abstract class and unimplemented methods.. Topic details: Abstract Classes (abstract class, unimplemented methods)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Dart Object-Oriented &amp; Advanced Patterns | 📊 Level: Intermediate
**Topic:** Create Abstract Classes using abstract class and unimplemented methods.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5"/>
        <v>[ROLE] Tech Lead | [TASK] Assign incomplete Dart Object-Oriented &amp; Advanced Patterns script challenges | [TOPIC] Create Abstract Classes using abstract class and unimplemented methods.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#17 | Stage 3 🧩 Complete | Dart Object-Oriented &amp; Advanced Patterns | 📊 Level: Intermediate | 🌐 Coding5s.com
**Concept:** Abstract Classes (abstract class, unimplemented methods)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Abstract Classes using abstract class and unimplemented methods..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Abstract Classes using abstract class and unimplemented methods.. Topic details: Abstract Classes (abstract class, unimplemented methods)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Dart Object-Oriented &amp; Advanced Patterns | 📊 Level: Intermediate
**Topic:** Create Abstract Classes using abstract class and unimplemented methods.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7"/>
        <v>[ROLE] Tech Lead | [TASK] Provide intentionally messy but functional code for learning debugging and improvement | [TOPIC] Create Abstract Classes using abstract class and unimplemented methods.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#17 | Stage 4 🧹 Refactor | Dart Object-Oriented &amp; Advanced Patterns | 📊 Level: Intermediate | 🌐 Coding5s.com
**Concept:** Abstract Classes (abstract class, unimplemented methods)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Abstract Classes using abstract class and unimplemented methods.. Topic details: Abstract Classes (abstract class, unimplemented methods)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Dart Object-Oriented &amp; Advanced Patterns | 📊 Level: Intermediate
**Topic:** Create Abstract Classes using abstract class and unimplemented methods.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9"/>
        <v>[ROLE] Tech Product Manager assigning a Dart Object-Oriented &amp; Advanced Patterns Jira Ticket | [TASK] Provide a guided implementation exercise with full solution for learning purposes | [TOPIC] Create Abstract Classes using abstract class and unimplemented methods.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#17 | Stage 5 | Dart Object-Oriented &amp; Advanced Patterns | 📊 Level: Intermediate | 🌐 Coding5s.com
**Concept:** Abstract Classes (abstract class, unimplemented methods)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Abstract Classes using abstract class and unimplemented methods.. Goal: Abstract Classes (abstract class, unimplemented methods)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Dart Object-Oriented &amp; Advanced Patterns | 📊 Level: Intermediate
**Topic:** Create Abstract Classes using abstract class and unimplemented methods.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1"/>
        <v/>
      </c>
      <c r="AA25" s="56" t="str">
        <f t="shared" si="12"/>
        <v/>
      </c>
      <c r="AB25" s="56" t="str">
        <f t="shared" si="13"/>
        <v/>
      </c>
      <c r="AC25" s="56" t="str">
        <f t="shared" si="14"/>
        <v/>
      </c>
      <c r="AD25" s="56" t="str">
        <f t="shared" si="15"/>
        <v/>
      </c>
      <c r="AE25" s="40" t="s">
        <v>135</v>
      </c>
      <c r="AF25" s="40" t="s">
        <v>136</v>
      </c>
      <c r="AG25" s="40" t="s">
        <v>137</v>
      </c>
      <c r="AH25" s="56" t="str">
        <f t="shared" si="16"/>
        <v/>
      </c>
      <c r="AI25" s="54"/>
      <c r="AJ25" s="54"/>
      <c r="AK25" s="54">
        <v>17</v>
      </c>
      <c r="AL25" s="54" t="s">
        <v>138</v>
      </c>
      <c r="AM25" s="54" t="s">
        <v>139</v>
      </c>
    </row>
    <row r="26" spans="1:39">
      <c r="A26" s="45" t="str" cm="1">
        <f t="array" ref="A26">IF(H26="PROJECT", CHAR(10) &amp; "- " &amp; _xlfn.TEXTJOIN(CHAR(10) &amp; "- ", TRUE, _xlfn._xlws.FILTER($I$9:$I$1000, ($B$9:$B$1000=B26) * ($H$9:$H$1000="Topic"))), "")</f>
        <v xml:space="preserve">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v>
      </c>
      <c r="B26" s="45">
        <f t="shared" si="1"/>
        <v>2</v>
      </c>
      <c r="C26" s="95">
        <v>30</v>
      </c>
      <c r="D26" s="57">
        <v>0</v>
      </c>
      <c r="E26" s="58" t="s">
        <v>48</v>
      </c>
      <c r="F26" s="59">
        <v>18</v>
      </c>
      <c r="G26" s="60" t="s">
        <v>160</v>
      </c>
      <c r="H26" s="60" t="s">
        <v>79</v>
      </c>
      <c r="I26" s="61" t="s">
        <v>813</v>
      </c>
      <c r="J26" s="62" t="s">
        <v>814</v>
      </c>
      <c r="K26" s="129" t="str">
        <f t="shared" si="0"/>
        <v>[TASK] Teach through a practical Dart Object-Oriented &amp; Advanced Patterns -  project following the micro-learning methodology, acting as a supportive tutor, creating a project about  Build a behavioral hierarchy consolidating Instance and Static Methods, Cascade Operators, Callable Objects, Arithmetic and Index Operator Overloading, Relational Operator Overloading, Class Extension, Method Overriding, and Abstract Classes. | [TOPICS USED] 2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#18 | Stage 1 | Dart Object-Oriented &amp; Advanced Patterns | 📊 Level: Intermediate | 🌐 Coding5s.com
**Project:** Behavioral Hierarchy with Methods and Inheritance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6"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behavioral hierarchy consolidating Instance and Static Methods, Cascade Operators, Callable Objects, Arithmetic and Index Operator Overloading, Relational Operator Overloading, Class Extension, Method Overriding, and Abstract Classes.. Topics applied in this project: 2. Project objective: Behavioral Hierarchy with Methods and Inheritance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#18 | Practice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[FOOTER RULE - STRICT] End your response with: '--- ⚡ *Coding5s Mentor System — Eliminating Epistemic Debt*' | </v>
      </c>
      <c r="M26" s="52">
        <v>0</v>
      </c>
      <c r="N26" s="102" t="str">
        <f t="shared" si="3"/>
        <v>[ROLE] Careless Dart Object-Oriented &amp; Advanced Patterns Developer | [TASK] Generate debugging project in Dart Object-Oriented &amp; Advanced Patterns | [PROJECT] Build a behavioral hierarchy consolidating Instance and Static Methods, Cascade Operators, Callable Objects, Arithmetic and Index Operator Overloading, Relational Operator Overloading, Class Extension, Method Overriding, and Abstract Classes. | [TOPICS USED] 2 | [LEVEL] Intermediate | [OUTPUT] Only header, dataset summary or statement (if any), email intro, objective, expected output, broken code, and footer | [HEADER RULE - STRICT] You MUST start your entire response EXACTLY with this markdown block (do not print anything before it):
### 🚀 Project #18 | Stage 2 | Dart Object-Oriented &amp; Advanced Patterns | 📊 Level: Intermediate | 🌐 Coding5s.com
Project: Behavioral Hierarchy with Methods and Inheritance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Malay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6"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behavioral hierarchy consolidating Instance and Static Methods, Cascade Operators, Callable Objects, Arithmetic and Index Operator Overloading, Relational Operator Overloading, Class Extension, Method Overriding, and Abstract Classes.. Topics involved: 2. Project objective: Behavioral Hierarchy with Methods and Inheritance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#18 | Debug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5"/>
        <v>[ROLE] Tech Lead | [TASK] Assign incomplete project script | [PROJECT] Build a behavioral hierarchy consolidating Instance and Static Methods, Cascade Operators, Callable Objects, Arithmetic and Index Operator Overloading, Relational Operator Overloading, Class Extension, Method Overriding, and Abstract Classes. | [TOPICS USED] 2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#18 | Stage 3 | Dart Object-Oriented &amp; Advanced Patterns | 📊 Level: Intermediate | 🌐 Coding5s.com
**Project:** Behavioral Hierarchy with Methods and Inheritance
---
 | [EXTERNAL_PACKAGE_PROTOCOL] Require standard dart pub tooling and pubspec.yaml for dependencies. | [CHALLENGE_CONSTRAINTS_POLICY] MUST be between 30–60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6"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behavioral hierarchy consolidating Instance and Static Methods, Cascade Operators, Callable Objects, Arithmetic and Index Operator Overloading, Relational Operator Overloading, Class Extension, Method Overriding, and Abstract Classes.. Topics involved: 2. Project objective: Behavioral Hierarchy with Methods and Inheritance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#18 | Complete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7"/>
        <v>[ROLE] Tech Lead | [TASK] Provide a messy but functional project for refactoring | [PROJECT] Build a behavioral hierarchy consolidating Instance and Static Methods, Cascade Operators, Callable Objects, Arithmetic and Index Operator Overloading, Relational Operator Overloading, Class Extension, Method Overriding, and Abstract Classes. | [TOPICS USED] 2 | [LEVEL] Intermediate | [PERSONA RULE] Act as a Tech Lead. A junior wrote this working but messy code. Tone: professional but exhausted | [HEADER RULE - STRICT] You MUST start your entire response EXACTLY with this markdown block (do not print anything before it):
### 🚀 Project #18 | Stage 4 | Dart Object-Oriented &amp; Advanced Patterns | 📊 Level: Intermediate | 🌐 Coding5s.com
**Project:** Behavioral Hierarchy with Methods and Inheritance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PROJECT: Build a behavioral hierarchy consolidating Instance and Static Methods, Cascade Operators, Callable Objects, Arithmetic and Index Operator Overloading, Relational Operator Overloading, Class Extension, Method Overriding, and Abstract Classes.. Topics involved: 2. Project objective: Behavioral Hierarchy with Methods and Inheritance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#18 | Refactor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9"/>
        <v>[ROLE] Tech Product Manager assigning a Dart Object-Oriented &amp; Advanced Patterns Jira Ticket | [TASK] Provide a guided project implementation with full solution | [PROJECT] Build a behavioral hierarchy consolidating Instance and Static Methods, Cascade Operators, Callable Objects, Arithmetic and Index Operator Overloading, Relational Operator Overloading, Class Extension, Method Overriding, and Abstract Classes. | [TOPICS USED] 2 | [LEVEL] Intermediate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#18 | Stage 5 | Dart Object-Oriented &amp; Advanced Patterns | 📊 Level: Intermediate | 🌐 Coding5s.com
**Project:** Behavioral Hierarchy with Methods and Inheritance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behavioral hierarchy consolidating Instance and Static Methods, Cascade Operators, Callable Objects, Arithmetic and Index Operator Overloading, Relational Operator Overloading, Class Extension, Method Overriding, and Abstract Classes.. Topics integrated: 2. Business Goal: Behavioral Hierarchy with Methods and Inheritance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#18 | Extend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1"/>
        <v>[TASK] Teach through a practical Dart Object-Oriented &amp; Advanced Patterns -  project following the micro-learning methodology, acting as a supportive tutor, creating a project about  Build a behavioral hierarchy consolidating Instance and Static Methods, Cascade Operators, Callable Objects, Arithmetic and Index Operator Overloading, Relational Operator Overloading, Class Extension, Method Overriding, and Abstract Classes. | [TOPICS USED] 2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#18 | Stage 1 | Dart Object-Oriented &amp; Advanced Patterns | 📊 Level: Intermediate | 🌐 Coding5s.com
**Project:** Behavioral Hierarchy with Methods and Inheritance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6" s="56" t="str">
        <f t="shared" si="12"/>
        <v>[ROLE] Careless Dart Object-Oriented &amp; Advanced Patterns Developer | [TASK] Generate debugging project in Dart Object-Oriented &amp; Advanced Patterns | [PROJECT] Build a behavioral hierarchy consolidating Instance and Static Methods, Cascade Operators, Callable Objects, Arithmetic and Index Operator Overloading, Relational Operator Overloading, Class Extension, Method Overriding, and Abstract Classes. | [TOPICS USED] 2 | [LEVEL] Intermediate | [OUTPUT] Only header, dataset summary or statement (if any), email intro, objective, expected output, broken code, and footer | [HEADER RULE - STRICT] You MUST start your entire response EXACTLY with this markdown block (do not print anything before it):
### 🚀 Project #18 | Stage 2 | Dart Object-Oriented &amp; Advanced Patterns | 📊 Level: Intermediate | 🌐 Coding5s.com
Project: Behavioral Hierarchy with Methods and Inheritance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Malay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6" s="56" t="str">
        <f t="shared" si="13"/>
        <v>[ROLE] Tech Lead | [TASK] Assign incomplete project script | [PROJECT] Build a behavioral hierarchy consolidating Instance and Static Methods, Cascade Operators, Callable Objects, Arithmetic and Index Operator Overloading, Relational Operator Overloading, Class Extension, Method Overriding, and Abstract Classes. | [TOPICS USED] 2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#18 | Stage 3 | Dart Object-Oriented &amp; Advanced Patterns | 📊 Level: Intermediate | 🌐 Coding5s.com
**Project:** Behavioral Hierarchy with Methods and Inheritance
---
 | [EXTERNAL_PACKAGE_PROTOCOL] Require standard dart pub tooling and pubspec.yaml for dependencies. | [CHALLENGE_CONSTRAINTS_POLICY] MUST be between 30–60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6" s="56" t="str">
        <f t="shared" si="14"/>
        <v>[ROLE] Tech Lead | [TASK] Provide a messy but functional project for refactoring | [PROJECT] Build a behavioral hierarchy consolidating Instance and Static Methods, Cascade Operators, Callable Objects, Arithmetic and Index Operator Overloading, Relational Operator Overloading, Class Extension, Method Overriding, and Abstract Classes. | [TOPICS USED] 2 | [LEVEL] Intermediate | [PERSONA RULE] Act as a Tech Lead. A junior wrote this working but messy code. Tone: professional but exhausted | [HEADER RULE - STRICT] You MUST start your entire response EXACTLY with this markdown block (do not print anything before it):
### 🚀 Project #18 | Stage 4 | Dart Object-Oriented &amp; Advanced Patterns | 📊 Level: Intermediate | 🌐 Coding5s.com
**Project:** Behavioral Hierarchy with Methods and Inheritance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6" s="56" t="str">
        <f t="shared" si="15"/>
        <v>[ROLE] Tech Product Manager assigning a Dart Object-Oriented &amp; Advanced Patterns Jira Ticket | [TASK] Provide a guided project implementation with full solution | [PROJECT] Build a behavioral hierarchy consolidating Instance and Static Methods, Cascade Operators, Callable Objects, Arithmetic and Index Operator Overloading, Relational Operator Overloading, Class Extension, Method Overriding, and Abstract Classes. | [TOPICS USED] 2 | [LEVEL] Intermediate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#18 | Stage 5 | Dart Object-Oriented &amp; Advanced Patterns | 📊 Level: Intermediate | 🌐 Coding5s.com
**Project:** Behavioral Hierarchy with Methods and Inheritance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6" s="40" t="s">
        <v>140</v>
      </c>
      <c r="AF26" s="40" t="s">
        <v>141</v>
      </c>
      <c r="AG26" s="40" t="s">
        <v>142</v>
      </c>
      <c r="AH26" s="56" t="str">
        <f t="shared" si="16"/>
        <v/>
      </c>
      <c r="AI26" s="54"/>
      <c r="AJ26" s="54"/>
      <c r="AK26" s="54">
        <v>18</v>
      </c>
      <c r="AL26" s="54" t="s">
        <v>143</v>
      </c>
      <c r="AM26" s="54" t="s">
        <v>144</v>
      </c>
    </row>
    <row r="27" spans="1:39">
      <c r="A27" s="45" t="str" cm="1">
        <f t="array" ref="A27">IF(H27="PROJECT", CHAR(10) &amp; "- " &amp; _xlfn.TEXTJOIN(CHAR(10) &amp; "- ", TRUE, _xlfn._xlws.FILTER($I$9:$I$1000, ($B$9:$B$1000=B27) * ($H$9:$H$1000="Topic"))), "")</f>
        <v/>
      </c>
      <c r="B27" s="45">
        <f t="shared" si="1"/>
        <v>3</v>
      </c>
      <c r="C27" s="95">
        <v>15</v>
      </c>
      <c r="D27" s="46">
        <v>4</v>
      </c>
      <c r="E27" s="58" t="s">
        <v>48</v>
      </c>
      <c r="F27" s="48">
        <v>19</v>
      </c>
      <c r="G27" s="49" t="s">
        <v>160</v>
      </c>
      <c r="H27" s="49" t="s">
        <v>50</v>
      </c>
      <c r="I27" s="50" t="s">
        <v>815</v>
      </c>
      <c r="J27" s="51" t="s">
        <v>816</v>
      </c>
      <c r="K27" s="129" t="str">
        <f t="shared" si="0"/>
        <v xml:space="preserve">[ROLE] Friendly tutor specializing in Dart Object-Oriented &amp; Advanced Patterns | [TOPIC] Implement Implicit Interfaces using implements and multiple interface contracts.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Dart Object-Oriented &amp; Advanced Patterns | 📊 Level: Intermediate | 🌐 Coding5s.com
**Concept:** Implicit Interfaces (implements, multiple interface contracts)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Implicit Interfaces using implements and multiple interface contracts.. Topic details: Implicit Interfaces (implements, multiple interface contracts)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Dart Object-Oriented &amp; Advanced Patterns | 📊 Level: Intermediate
**Topic:** Implement Implicit Interfaces using implements and multiple interface contracts.
---
 | [FOOTER RULE - STRICT] End your response with: '--- ⚡ *Coding5s Mentor System — Eliminating Epistemic Debt*' | </v>
      </c>
      <c r="M27" s="53">
        <v>0</v>
      </c>
      <c r="N27" s="102" t="str">
        <f t="shared" si="3"/>
        <v>[ROLE] Careless Dart Object-Oriented &amp; Advanced Patterns Developer | [TASK] Generate debugging challenges in Dart Object-Oriented &amp; Advanced Patterns | | [TOPIC] Implement Implicit Interfaces using implements and multiple interface contracts.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#19 | Stage 2 🐛 Debug | Dart Object-Oriented &amp; Advanced Patterns | 📊 Level: Intermediate | 🌐 Coding5s.com
Concept: Implicit Interfaces (implements, multiple interface contracts)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Implicit Interfaces using implements and multiple interface contracts.. Topic details: Implicit Interfaces (implements, multiple interface contracts)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Dart Object-Oriented &amp; Advanced Patterns | 📊 Level: Intermediate
**Topic:** Implement Implicit Interfaces using implements and multiple interface contracts.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5"/>
        <v>[ROLE] Tech Lead | [TASK] Assign incomplete Dart Object-Oriented &amp; Advanced Patterns script challenges | [TOPIC] Implement Implicit Interfaces using implements and multiple interface contracts.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#19 | Stage 3 🧩 Complete | Dart Object-Oriented &amp; Advanced Patterns | 📊 Level: Intermediate | 🌐 Coding5s.com
**Concept:** Implicit Interfaces (implements, multiple interface contracts)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Implicit Interfaces using implements and multiple interface contracts..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Implicit Interfaces using implements and multiple interface contracts.. Topic details: Implicit Interfaces (implements, multiple interface contracts)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Dart Object-Oriented &amp; Advanced Patterns | 📊 Level: Intermediate
**Topic:** Implement Implicit Interfaces using implements and multiple interface contracts.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7"/>
        <v>[ROLE] Tech Lead | [TASK] Provide intentionally messy but functional code for learning debugging and improvement | [TOPIC] Implement Implicit Interfaces using implements and multiple interface contracts.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#19 | Stage 4 🧹 Refactor | Dart Object-Oriented &amp; Advanced Patterns | 📊 Level: Intermediate | 🌐 Coding5s.com
**Concept:** Implicit Interfaces (implements, multiple interface contracts)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Implicit Interfaces using implements and multiple interface contracts.. Topic details: Implicit Interfaces (implements, multiple interface contracts)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Dart Object-Oriented &amp; Advanced Patterns | 📊 Level: Intermediate
**Topic:** Implement Implicit Interfaces using implements and multiple interface contracts.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9"/>
        <v>[ROLE] Tech Product Manager assigning a Dart Object-Oriented &amp; Advanced Patterns Jira Ticket | [TASK] Provide a guided implementation exercise with full solution for learning purposes | [TOPIC] Implement Implicit Interfaces using implements and multiple interface contracts.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#19 | Stage 5 | Dart Object-Oriented &amp; Advanced Patterns | 📊 Level: Intermediate | 🌐 Coding5s.com
**Concept:** Implicit Interfaces (implements, multiple interface contracts)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Implicit Interfaces using implements and multiple interface contracts.. Goal: Implicit Interfaces (implements, multiple interface contracts)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Dart Object-Oriented &amp; Advanced Patterns | 📊 Level: Intermediate
**Topic:** Implement Implicit Interfaces using implements and multiple interface contracts.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1"/>
        <v/>
      </c>
      <c r="AA27" s="56" t="str">
        <f t="shared" si="12"/>
        <v/>
      </c>
      <c r="AB27" s="56" t="str">
        <f t="shared" si="13"/>
        <v/>
      </c>
      <c r="AC27" s="56" t="str">
        <f t="shared" si="14"/>
        <v/>
      </c>
      <c r="AD27" s="56" t="str">
        <f t="shared" si="15"/>
        <v/>
      </c>
      <c r="AE27" s="40" t="s">
        <v>145</v>
      </c>
      <c r="AF27" s="40" t="s">
        <v>146</v>
      </c>
      <c r="AG27" s="40" t="s">
        <v>147</v>
      </c>
      <c r="AH27" s="56" t="str">
        <f t="shared" si="16"/>
        <v/>
      </c>
      <c r="AI27" s="54"/>
      <c r="AJ27" s="54"/>
      <c r="AK27" s="54">
        <v>19</v>
      </c>
      <c r="AL27" s="54" t="s">
        <v>105</v>
      </c>
      <c r="AM27" s="54" t="s">
        <v>106</v>
      </c>
    </row>
    <row r="28" spans="1:39">
      <c r="A28" s="45" t="str" cm="1">
        <f t="array" ref="A28">IF(H28="PROJECT", CHAR(10) &amp; "- " &amp; _xlfn.TEXTJOIN(CHAR(10) &amp; "- ", TRUE, _xlfn._xlws.FILTER($I$9:$I$1000, ($B$9:$B$1000=B28) * ($H$9:$H$1000="Topic"))), "")</f>
        <v/>
      </c>
      <c r="B28" s="45">
        <f t="shared" si="1"/>
        <v>3</v>
      </c>
      <c r="C28" s="95">
        <v>15</v>
      </c>
      <c r="D28" s="57">
        <v>4</v>
      </c>
      <c r="E28" s="58" t="s">
        <v>48</v>
      </c>
      <c r="F28" s="59">
        <v>20</v>
      </c>
      <c r="G28" s="60" t="s">
        <v>160</v>
      </c>
      <c r="H28" s="60" t="s">
        <v>50</v>
      </c>
      <c r="I28" s="61" t="s">
        <v>817</v>
      </c>
      <c r="J28" s="62" t="s">
        <v>818</v>
      </c>
      <c r="K28" s="129" t="str">
        <f t="shared" si="0"/>
        <v xml:space="preserve">[ROLE] Friendly tutor specializing in Dart Object-Oriented &amp; Advanced Patterns | [TOPIC] Apply Mixins using mixin and with.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Dart Object-Oriented &amp; Advanced Patterns | 📊 Level: Intermediate | 🌐 Coding5s.com
**Concept:** Mixin Application (mixin, with)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Mixins using mixin and with.. Topic details: Mixin Application (mixin, with)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Dart Object-Oriented &amp; Advanced Patterns | 📊 Level: Intermediate
**Topic:** Apply Mixins using mixin and with.
---
 | [FOOTER RULE - STRICT] End your response with: '--- ⚡ *Coding5s Mentor System — Eliminating Epistemic Debt*' | </v>
      </c>
      <c r="M28" s="52">
        <v>0</v>
      </c>
      <c r="N28" s="102" t="str">
        <f t="shared" si="3"/>
        <v>[ROLE] Careless Dart Object-Oriented &amp; Advanced Patterns Developer | [TASK] Generate debugging challenges in Dart Object-Oriented &amp; Advanced Patterns | | [TOPIC] Apply Mixins using mixin and with.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#20 | Stage 2 🐛 Debug | Dart Object-Oriented &amp; Advanced Patterns | 📊 Level: Intermediate | 🌐 Coding5s.com
Concept: Mixin Application (mixin, with)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Mixins using mixin and with.. Topic details: Mixin Application (mixin, 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Dart Object-Oriented &amp; Advanced Patterns | 📊 Level: Intermediate
**Topic:** Apply Mixins using mixin and with.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5"/>
        <v>[ROLE] Tech Lead | [TASK] Assign incomplete Dart Object-Oriented &amp; Advanced Patterns script challenges | [TOPIC] Apply Mixins using mixin and with.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#20 | Stage 3 🧩 Complete | Dart Object-Oriented &amp; Advanced Patterns | 📊 Level: Intermediate | 🌐 Coding5s.com
**Concept:** Mixin Application (mixin, with)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Mixins using mixin and 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Mixins using mixin and with.. Topic details: Mixin Application (mixin, 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Dart Object-Oriented &amp; Advanced Patterns | 📊 Level: Intermediate
**Topic:** Apply Mixins using mixin and with.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7"/>
        <v>[ROLE] Tech Lead | [TASK] Provide intentionally messy but functional code for learning debugging and improvement | [TOPIC] Apply Mixins using mixin and with.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#20 | Stage 4 🧹 Refactor | Dart Object-Oriented &amp; Advanced Patterns | 📊 Level: Intermediate | 🌐 Coding5s.com
**Concept:** Mixin Application (mixin, 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Mixins using mixin and with.. Topic details: Mixin Application (mixin, 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Dart Object-Oriented &amp; Advanced Patterns | 📊 Level: Intermediate
**Topic:** Apply Mixins using mixin and with.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9"/>
        <v>[ROLE] Tech Product Manager assigning a Dart Object-Oriented &amp; Advanced Patterns Jira Ticket | [TASK] Provide a guided implementation exercise with full solution for learning purposes | [TOPIC] Apply Mixins using mixin and with.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#20 | Stage 5 | Dart Object-Oriented &amp; Advanced Patterns | 📊 Level: Intermediate | 🌐 Coding5s.com
**Concept:** Mixin Application (mixin, 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Mixins using mixin and with.. Goal: Mixin Application (mixin, 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Dart Object-Oriented &amp; Advanced Patterns | 📊 Level: Intermediate
**Topic:** Apply Mixins using mixin and with.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1"/>
        <v/>
      </c>
      <c r="AA28" s="56" t="str">
        <f t="shared" si="12"/>
        <v/>
      </c>
      <c r="AB28" s="56" t="str">
        <f t="shared" si="13"/>
        <v/>
      </c>
      <c r="AC28" s="56" t="str">
        <f t="shared" si="14"/>
        <v/>
      </c>
      <c r="AD28" s="56" t="str">
        <f t="shared" si="15"/>
        <v/>
      </c>
      <c r="AE28" s="40" t="s">
        <v>148</v>
      </c>
      <c r="AF28" s="40" t="s">
        <v>149</v>
      </c>
      <c r="AG28" s="40" t="s">
        <v>150</v>
      </c>
      <c r="AH28" s="56" t="str">
        <f t="shared" si="16"/>
        <v/>
      </c>
      <c r="AI28" s="54"/>
      <c r="AJ28" s="54"/>
      <c r="AK28" s="54">
        <v>20</v>
      </c>
      <c r="AL28" s="54" t="s">
        <v>110</v>
      </c>
      <c r="AM28" s="54" t="s">
        <v>111</v>
      </c>
    </row>
    <row r="29" spans="1:39">
      <c r="A29" s="45" t="str" cm="1">
        <f t="array" ref="A29">IF(H29="PROJECT", CHAR(10) &amp; "- " &amp; _xlfn.TEXTJOIN(CHAR(10) &amp; "- ", TRUE, _xlfn._xlws.FILTER($I$9:$I$1000, ($B$9:$B$1000=B29) * ($H$9:$H$1000="Topic"))), "")</f>
        <v/>
      </c>
      <c r="B29" s="45">
        <f t="shared" si="1"/>
        <v>3</v>
      </c>
      <c r="C29" s="95">
        <v>15</v>
      </c>
      <c r="D29" s="46">
        <v>4</v>
      </c>
      <c r="E29" s="58" t="s">
        <v>48</v>
      </c>
      <c r="F29" s="48">
        <v>21</v>
      </c>
      <c r="G29" s="49" t="s">
        <v>160</v>
      </c>
      <c r="H29" s="49" t="s">
        <v>50</v>
      </c>
      <c r="I29" s="50" t="s">
        <v>819</v>
      </c>
      <c r="J29" s="51" t="s">
        <v>820</v>
      </c>
      <c r="K29" s="129" t="str">
        <f t="shared" si="0"/>
        <v xml:space="preserve">[ROLE] Friendly tutor specializing in Dart Object-Oriented &amp; Advanced Patterns | [TOPIC] Constrain Mixins using the on keyword.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Dart Object-Oriented &amp; Advanced Patterns | 📊 Level: Intermediate | 🌐 Coding5s.com
**Concept:** Mixin Constraints (on keyword)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Constrain Mixins using the on keyword.. Topic details: Mixin Constraints (on keyword)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Dart Object-Oriented &amp; Advanced Patterns | 📊 Level: Intermediate
**Topic:** Constrain Mixins using the on keyword.
---
 | [FOOTER RULE - STRICT] End your response with: '--- ⚡ *Coding5s Mentor System — Eliminating Epistemic Debt*' | </v>
      </c>
      <c r="M29" s="53">
        <v>0</v>
      </c>
      <c r="N29" s="102" t="str">
        <f t="shared" si="3"/>
        <v>[ROLE] Careless Dart Object-Oriented &amp; Advanced Patterns Developer | [TASK] Generate debugging challenges in Dart Object-Oriented &amp; Advanced Patterns | | [TOPIC] Constrain Mixins using the on keyword.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#21 | Stage 2 🐛 Debug | Dart Object-Oriented &amp; Advanced Patterns | 📊 Level: Intermediate | 🌐 Coding5s.com
Concept: Mixin Constraints (on keyword)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Constrain Mixins using the on keyword.. Topic details: Mixin Constraints (on keyword)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Dart Object-Oriented &amp; Advanced Patterns | 📊 Level: Intermediate
**Topic:** Constrain Mixins using the on keyword.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5"/>
        <v>[ROLE] Tech Lead | [TASK] Assign incomplete Dart Object-Oriented &amp; Advanced Patterns script challenges | [TOPIC] Constrain Mixins using the on keyword.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#21 | Stage 3 🧩 Complete | Dart Object-Oriented &amp; Advanced Patterns | 📊 Level: Intermediate | 🌐 Coding5s.com
**Concept:** Mixin Constraints (on keyword)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Constrain Mixins using the on keyword..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Constrain Mixins using the on keyword.. Topic details: Mixin Constraints (on keyword)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Dart Object-Oriented &amp; Advanced Patterns | 📊 Level: Intermediate
**Topic:** Constrain Mixins using the on keyword.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7"/>
        <v>[ROLE] Tech Lead | [TASK] Provide intentionally messy but functional code for learning debugging and improvement | [TOPIC] Constrain Mixins using the on keyword.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#21 | Stage 4 🧹 Refactor | Dart Object-Oriented &amp; Advanced Patterns | 📊 Level: Intermediate | 🌐 Coding5s.com
**Concept:** Mixin Constraints (on keyword)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Constrain Mixins using the on keyword.. Topic details: Mixin Constraints (on keyword)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Dart Object-Oriented &amp; Advanced Patterns | 📊 Level: Intermediate
**Topic:** Constrain Mixins using the on keyword.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9"/>
        <v>[ROLE] Tech Product Manager assigning a Dart Object-Oriented &amp; Advanced Patterns Jira Ticket | [TASK] Provide a guided implementation exercise with full solution for learning purposes | [TOPIC] Constrain Mixins using the on keyword.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#21 | Stage 5 | Dart Object-Oriented &amp; Advanced Patterns | 📊 Level: Intermediate | 🌐 Coding5s.com
**Concept:** Mixin Constraints (on keyword)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Constrain Mixins using the on keyword.. Goal: Mixin Constraints (on keyword)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Dart Object-Oriented &amp; Advanced Patterns | 📊 Level: Intermediate
**Topic:** Constrain Mixins using the on keyword.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1"/>
        <v/>
      </c>
      <c r="AA29" s="56" t="str">
        <f t="shared" si="12"/>
        <v/>
      </c>
      <c r="AB29" s="56" t="str">
        <f t="shared" si="13"/>
        <v/>
      </c>
      <c r="AC29" s="56" t="str">
        <f t="shared" si="14"/>
        <v/>
      </c>
      <c r="AD29" s="56" t="str">
        <f t="shared" si="15"/>
        <v/>
      </c>
      <c r="AE29" s="40" t="s">
        <v>151</v>
      </c>
      <c r="AF29" s="40" t="s">
        <v>152</v>
      </c>
      <c r="AG29" s="40" t="s">
        <v>153</v>
      </c>
      <c r="AH29" s="56" t="str">
        <f t="shared" si="16"/>
        <v/>
      </c>
      <c r="AI29" s="54"/>
      <c r="AJ29" s="54"/>
      <c r="AK29" s="54">
        <v>21</v>
      </c>
      <c r="AL29" s="54" t="s">
        <v>115</v>
      </c>
      <c r="AM29" s="54" t="s">
        <v>116</v>
      </c>
    </row>
    <row r="30" spans="1:39">
      <c r="A30" s="45" t="str" cm="1">
        <f t="array" ref="A30">IF(H30="PROJECT", CHAR(10) &amp; "- " &amp; _xlfn.TEXTJOIN(CHAR(10) &amp; "- ", TRUE, _xlfn._xlws.FILTER($I$9:$I$1000, ($B$9:$B$1000=B30) * ($H$9:$H$1000="Topic"))), "")</f>
        <v/>
      </c>
      <c r="B30" s="45">
        <f t="shared" si="1"/>
        <v>3</v>
      </c>
      <c r="C30" s="95">
        <v>15</v>
      </c>
      <c r="D30" s="57">
        <v>4</v>
      </c>
      <c r="E30" s="58" t="s">
        <v>48</v>
      </c>
      <c r="F30" s="59">
        <v>22</v>
      </c>
      <c r="G30" s="60" t="s">
        <v>160</v>
      </c>
      <c r="H30" s="60" t="s">
        <v>50</v>
      </c>
      <c r="I30" s="61" t="s">
        <v>821</v>
      </c>
      <c r="J30" s="62" t="s">
        <v>822</v>
      </c>
      <c r="K30" s="129" t="str">
        <f t="shared" si="0"/>
        <v xml:space="preserve">[ROLE] Friendly tutor specializing in Dart Object-Oriented &amp; Advanced Patterns | [TOPIC] Declare Mixin Classes using mixin class.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Dart Object-Oriented &amp; Advanced Patterns | 📊 Level: Intermediate | 🌐 Coding5s.com
**Concept:** Mixin Classes (mixin class)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Mixin Classes using mixin class.. Topic details: Mixin Classes (mixin class)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Dart Object-Oriented &amp; Advanced Patterns | 📊 Level: Intermediate
**Topic:** Declare Mixin Classes using mixin class.
---
 | [FOOTER RULE - STRICT] End your response with: '--- ⚡ *Coding5s Mentor System — Eliminating Epistemic Debt*' | </v>
      </c>
      <c r="M30" s="52">
        <v>0</v>
      </c>
      <c r="N30" s="102" t="str">
        <f t="shared" si="3"/>
        <v>[ROLE] Careless Dart Object-Oriented &amp; Advanced Patterns Developer | [TASK] Generate debugging challenges in Dart Object-Oriented &amp; Advanced Patterns | | [TOPIC] Declare Mixin Classes using mixin class.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#22 | Stage 2 🐛 Debug | Dart Object-Oriented &amp; Advanced Patterns | 📊 Level: Intermediate | 🌐 Coding5s.com
Concept: Mixin Classes (mixin class)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Mixin Classes using mixin class.. Topic details: Mixin Classes (mixin 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Dart Object-Oriented &amp; Advanced Patterns | 📊 Level: Intermediate
**Topic:** Declare Mixin Classes using mixin class.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5"/>
        <v>[ROLE] Tech Lead | [TASK] Assign incomplete Dart Object-Oriented &amp; Advanced Patterns script challenges | [TOPIC] Declare Mixin Classes using mixin class.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#22 | Stage 3 🧩 Complete | Dart Object-Oriented &amp; Advanced Patterns | 📊 Level: Intermediate | 🌐 Coding5s.com
**Concept:** Mixin Classes (mixin class)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Mixin Classes using mixin 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Mixin Classes using mixin class.. Topic details: Mixin Classes (mixin 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Dart Object-Oriented &amp; Advanced Patterns | 📊 Level: Intermediate
**Topic:** Declare Mixin Classes using mixin class.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7"/>
        <v>[ROLE] Tech Lead | [TASK] Provide intentionally messy but functional code for learning debugging and improvement | [TOPIC] Declare Mixin Classes using mixin class.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#22 | Stage 4 🧹 Refactor | Dart Object-Oriented &amp; Advanced Patterns | 📊 Level: Intermediate | 🌐 Coding5s.com
**Concept:** Mixin Classes (mixin 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Declare Mixin Classes using mixin class.. Topic details: Mixin Classes (mixin 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Dart Object-Oriented &amp; Advanced Patterns | 📊 Level: Intermediate
**Topic:** Declare Mixin Classes using mixin class.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9"/>
        <v>[ROLE] Tech Product Manager assigning a Dart Object-Oriented &amp; Advanced Patterns Jira Ticket | [TASK] Provide a guided implementation exercise with full solution for learning purposes | [TOPIC] Declare Mixin Classes using mixin class.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#22 | Stage 5 | Dart Object-Oriented &amp; Advanced Patterns | 📊 Level: Intermediate | 🌐 Coding5s.com
**Concept:** Mixin Classes (mixin class)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Mixin Classes using mixin class.. Goal: Mixin Classes (mixin 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Dart Object-Oriented &amp; Advanced Patterns | 📊 Level: Intermediate
**Topic:** Declare Mixin Classes using mixin class.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1"/>
        <v/>
      </c>
      <c r="AA30" s="56" t="str">
        <f t="shared" si="12"/>
        <v/>
      </c>
      <c r="AB30" s="56" t="str">
        <f t="shared" si="13"/>
        <v/>
      </c>
      <c r="AC30" s="56" t="str">
        <f t="shared" si="14"/>
        <v/>
      </c>
      <c r="AD30" s="56" t="str">
        <f t="shared" si="15"/>
        <v/>
      </c>
      <c r="AE30" s="40" t="s">
        <v>154</v>
      </c>
      <c r="AF30" s="40" t="s">
        <v>155</v>
      </c>
      <c r="AG30" s="40" t="s">
        <v>156</v>
      </c>
      <c r="AH30" s="56" t="str">
        <f t="shared" si="16"/>
        <v/>
      </c>
      <c r="AI30" s="54"/>
      <c r="AJ30" s="54"/>
      <c r="AK30" s="54">
        <v>22</v>
      </c>
      <c r="AL30" s="54" t="s">
        <v>120</v>
      </c>
      <c r="AM30" s="54" t="s">
        <v>121</v>
      </c>
    </row>
    <row r="31" spans="1:39">
      <c r="A31" s="45" t="str" cm="1">
        <f t="array" ref="A31">IF(H31="PROJECT", CHAR(10) &amp; "- " &amp; _xlfn.TEXTJOIN(CHAR(10) &amp; "- ", TRUE, _xlfn._xlws.FILTER($I$9:$I$1000, ($B$9:$B$1000=B31) * ($H$9:$H$1000="Topic"))), "")</f>
        <v/>
      </c>
      <c r="B31" s="45">
        <f t="shared" si="1"/>
        <v>3</v>
      </c>
      <c r="C31" s="95">
        <v>12</v>
      </c>
      <c r="D31" s="46">
        <v>3</v>
      </c>
      <c r="E31" s="58" t="s">
        <v>48</v>
      </c>
      <c r="F31" s="48">
        <v>23</v>
      </c>
      <c r="G31" s="49" t="s">
        <v>160</v>
      </c>
      <c r="H31" s="49" t="s">
        <v>50</v>
      </c>
      <c r="I31" s="50" t="s">
        <v>823</v>
      </c>
      <c r="J31" s="51" t="s">
        <v>824</v>
      </c>
      <c r="K31" s="129" t="str">
        <f t="shared" si="0"/>
        <v xml:space="preserve">[ROLE] Friendly tutor specializing in Dart Object-Oriented &amp; Advanced Patterns | [TOPIC] Declare Enhanced Enums using enum and const fields. | [LEVEL] Intermediate | [COUNT] 3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12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Dart Object-Oriented &amp; Advanced Patterns | 📊 Level: Intermediate | 🌐 Coding5s.com
**Concept:** Enhanced Enum Declaration (enum, const fields)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Enhanced Enums using enum and const fields.. Topic details: Enhanced Enum Declaration (enum, const fields)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Dart Object-Oriented &amp; Advanced Patterns | 📊 Level: Intermediate
**Topic:** Declare Enhanced Enums using enum and const fields.
---
 | [FOOTER RULE - STRICT] End your response with: '--- ⚡ *Coding5s Mentor System — Eliminating Epistemic Debt*' | </v>
      </c>
      <c r="M31" s="53">
        <v>0</v>
      </c>
      <c r="N31" s="102" t="str">
        <f t="shared" si="3"/>
        <v>[ROLE] Careless Dart Object-Oriented &amp; Advanced Patterns Developer | [TASK] Generate debugging challenges in Dart Object-Oriented &amp; Advanced Patterns | | [TOPIC] Declare Enhanced Enums using enum and const fields. | | [LEVEL] Intermediate |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#23 | Stage 2 🐛 Debug | Dart Object-Oriented &amp; Advanced Patterns | 📊 Level: Intermediate | 🌐 Coding5s.com
Concept: Enhanced Enum Declaration (enum, const fields)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Enhanced Enums using enum and const fields.. Topic details: Enhanced Enum Declaration (enum, const fields)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Dart Object-Oriented &amp; Advanced Patterns | 📊 Level: Intermediate
**Topic:** Declare Enhanced Enums using enum and const fields.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5"/>
        <v>[ROLE] Tech Lead | [TASK] Assign incomplete Dart Object-Oriented &amp; Advanced Patterns script challenges | [TOPIC] Declare Enhanced Enums using enum and const fields. | [LEVEL] Intermediate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#23 | Stage 3 🧩 Complete | Dart Object-Oriented &amp; Advanced Patterns | 📊 Level: Intermediate | 🌐 Coding5s.com
**Concept:** Enhanced Enum Declaration (enum, const fields)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Enhanced Enums using enum and const fields..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Enhanced Enums using enum and const fields.. Topic details: Enhanced Enum Declaration (enum, const fields)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Dart Object-Oriented &amp; Advanced Patterns | 📊 Level: Intermediate
**Topic:** Declare Enhanced Enums using enum and const fields.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7"/>
        <v>[ROLE] Tech Lead | [TASK] Provide intentionally messy but functional code for learning debugging and improvement | [TOPIC] Declare Enhanced Enums using enum and const fields. | [LEVEL] Intermediate | [COUNT] 3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#23 | Stage 4 🧹 Refactor | Dart Object-Oriented &amp; Advanced Patterns | 📊 Level: Intermediate | 🌐 Coding5s.com
**Concept:** Enhanced Enum Declaration (enum, const fields)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Declare Enhanced Enums using enum and const fields.. Topic details: Enhanced Enum Declaration (enum, const fields)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Dart Object-Oriented &amp; Advanced Patterns | 📊 Level: Intermediate
**Topic:** Declare Enhanced Enums using enum and const fields.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9"/>
        <v>[ROLE] Tech Product Manager assigning a Dart Object-Oriented &amp; Advanced Patterns Jira Ticket | [TASK] Provide a guided implementation exercise with full solution for learning purposes | [TOPIC] Declare Enhanced Enums using enum and const fields.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#23 | Stage 5 | Dart Object-Oriented &amp; Advanced Patterns | 📊 Level: Intermediate | 🌐 Coding5s.com
**Concept:** Enhanced Enum Declaration (enum, const fields)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Enhanced Enums using enum and const fields.. Goal: Enhanced Enum Declaration (enum, const fields)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Dart Object-Oriented &amp; Advanced Patterns | 📊 Level: Intermediate
**Topic:** Declare Enhanced Enums using enum and const fields.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1"/>
        <v/>
      </c>
      <c r="AA31" s="56" t="str">
        <f t="shared" si="12"/>
        <v/>
      </c>
      <c r="AB31" s="56" t="str">
        <f t="shared" si="13"/>
        <v/>
      </c>
      <c r="AC31" s="56" t="str">
        <f t="shared" si="14"/>
        <v/>
      </c>
      <c r="AD31" s="56" t="str">
        <f t="shared" si="15"/>
        <v/>
      </c>
      <c r="AE31" s="40" t="s">
        <v>157</v>
      </c>
      <c r="AF31" s="40" t="s">
        <v>158</v>
      </c>
      <c r="AG31" s="40" t="s">
        <v>159</v>
      </c>
      <c r="AH31" s="56" t="str">
        <f t="shared" si="16"/>
        <v/>
      </c>
      <c r="AI31" s="54"/>
      <c r="AJ31" s="54"/>
      <c r="AK31" s="54">
        <v>23</v>
      </c>
      <c r="AL31" s="54" t="s">
        <v>125</v>
      </c>
      <c r="AM31" s="54" t="s">
        <v>126</v>
      </c>
    </row>
    <row r="32" spans="1:39">
      <c r="A32" s="45" t="str" cm="1">
        <f t="array" ref="A32">IF(H32="PROJECT", CHAR(10) &amp; "- " &amp; _xlfn.TEXTJOIN(CHAR(10) &amp; "- ", TRUE, _xlfn._xlws.FILTER($I$9:$I$1000, ($B$9:$B$1000=B32) * ($H$9:$H$1000="Topic"))), "")</f>
        <v/>
      </c>
      <c r="B32" s="45">
        <f t="shared" si="1"/>
        <v>3</v>
      </c>
      <c r="C32" s="95">
        <v>15</v>
      </c>
      <c r="D32" s="57">
        <v>4</v>
      </c>
      <c r="E32" s="58" t="s">
        <v>48</v>
      </c>
      <c r="F32" s="59">
        <v>24</v>
      </c>
      <c r="G32" s="60" t="s">
        <v>160</v>
      </c>
      <c r="H32" s="60" t="s">
        <v>50</v>
      </c>
      <c r="I32" s="61" t="s">
        <v>825</v>
      </c>
      <c r="J32" s="62" t="s">
        <v>826</v>
      </c>
      <c r="K32" s="129" t="str">
        <f t="shared" si="0"/>
        <v xml:space="preserve">[ROLE] Friendly tutor specializing in Dart Object-Oriented &amp; Advanced Patterns | [TOPIC] Enhance Enums with Methods and Interfaces using enum.values, enum.name, and implements.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Dart Object-Oriented &amp; Advanced Patterns | 📊 Level: Intermediate | 🌐 Coding5s.com
**Concept:** Enum Methods &amp; Interfaces (enum.values, enum.name, implements)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Enums with Methods and Interfaces using enum.values, enum.name, and implements.. Topic details: Enum Methods &amp; Interfaces (enum.values, enum.name, implements)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Dart Object-Oriented &amp; Advanced Patterns | 📊 Level: Intermediate
**Topic:** Enhance Enums with Methods and Interfaces using enum.values, enum.name, and implements.
---
 | [FOOTER RULE - STRICT] End your response with: '--- ⚡ *Coding5s Mentor System — Eliminating Epistemic Debt*' | </v>
      </c>
      <c r="M32" s="52">
        <v>0</v>
      </c>
      <c r="N32" s="102" t="str">
        <f t="shared" si="3"/>
        <v>[ROLE] Careless Dart Object-Oriented &amp; Advanced Patterns Developer | [TASK] Generate debugging challenges in Dart Object-Oriented &amp; Advanced Patterns | | [TOPIC] Enhance Enums with Methods and Interfaces using enum.values, enum.name, and implements.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#24 | Stage 2 🐛 Debug | Dart Object-Oriented &amp; Advanced Patterns | 📊 Level: Intermediate | 🌐 Coding5s.com
Concept: Enum Methods &amp; Interfaces (enum.values, enum.name, implements)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Enums with Methods and Interfaces using enum.values, enum.name, and implements.. Topic details: Enum Methods &amp; Interfaces (enum.values, enum.name, implements)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Dart Object-Oriented &amp; Advanced Patterns | 📊 Level: Intermediate
**Topic:** Enhance Enums with Methods and Interfaces using enum.values, enum.name, and implements.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5"/>
        <v>[ROLE] Tech Lead | [TASK] Assign incomplete Dart Object-Oriented &amp; Advanced Patterns script challenges | [TOPIC] Enhance Enums with Methods and Interfaces using enum.values, enum.name, and implements.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#24 | Stage 3 🧩 Complete | Dart Object-Oriented &amp; Advanced Patterns | 📊 Level: Intermediate | 🌐 Coding5s.com
**Concept:** Enum Methods &amp; Interfaces (enum.values, enum.name, implements)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Enums with Methods and Interfaces using enum.values, enum.name, and implements..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Enums with Methods and Interfaces using enum.values, enum.name, and implements.. Topic details: Enum Methods &amp; Interfaces (enum.values, enum.name, implements)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Dart Object-Oriented &amp; Advanced Patterns | 📊 Level: Intermediate
**Topic:** Enhance Enums with Methods and Interfaces using enum.values, enum.name, and implements.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7"/>
        <v>[ROLE] Tech Lead | [TASK] Provide intentionally messy but functional code for learning debugging and improvement | [TOPIC] Enhance Enums with Methods and Interfaces using enum.values, enum.name, and implements.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#24 | Stage 4 🧹 Refactor | Dart Object-Oriented &amp; Advanced Patterns | 📊 Level: Intermediate | 🌐 Coding5s.com
**Concept:** Enum Methods &amp; Interfaces (enum.values, enum.name, implements)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Enhance Enums with Methods and Interfaces using enum.values, enum.name, and implements.. Topic details: Enum Methods &amp; Interfaces (enum.values, enum.name, implements)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Dart Object-Oriented &amp; Advanced Patterns | 📊 Level: Intermediate
**Topic:** Enhance Enums with Methods and Interfaces using enum.values, enum.name, and implements.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9"/>
        <v>[ROLE] Tech Product Manager assigning a Dart Object-Oriented &amp; Advanced Patterns Jira Ticket | [TASK] Provide a guided implementation exercise with full solution for learning purposes | [TOPIC] Enhance Enums with Methods and Interfaces using enum.values, enum.name, and implements.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#24 | Stage 5 | Dart Object-Oriented &amp; Advanced Patterns | 📊 Level: Intermediate | 🌐 Coding5s.com
**Concept:** Enum Methods &amp; Interfaces (enum.values, enum.name, implements)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Enums with Methods and Interfaces using enum.values, enum.name, and implements.. Goal: Enum Methods &amp; Interfaces (enum.values, enum.name, implements)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Dart Object-Oriented &amp; Advanced Patterns | 📊 Level: Intermediate
**Topic:** Enhance Enums with Methods and Interfaces using enum.values, enum.name, and implements.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1"/>
        <v/>
      </c>
      <c r="AA32" s="56" t="str">
        <f t="shared" si="12"/>
        <v/>
      </c>
      <c r="AB32" s="56" t="str">
        <f t="shared" si="13"/>
        <v/>
      </c>
      <c r="AC32" s="56" t="str">
        <f t="shared" si="14"/>
        <v/>
      </c>
      <c r="AD32" s="56" t="str">
        <f t="shared" si="15"/>
        <v/>
      </c>
      <c r="AE32" s="40"/>
      <c r="AF32" s="40"/>
      <c r="AG32" s="40"/>
      <c r="AH32" s="56" t="str">
        <f t="shared" si="16"/>
        <v/>
      </c>
      <c r="AI32" s="54"/>
      <c r="AJ32" s="54"/>
      <c r="AK32" s="54">
        <v>24</v>
      </c>
      <c r="AL32" s="54" t="s">
        <v>130</v>
      </c>
      <c r="AM32" s="54" t="s">
        <v>131</v>
      </c>
    </row>
    <row r="33" spans="1:39">
      <c r="A33" s="45" t="str" cm="1">
        <f t="array" ref="A33">IF(H33="PROJECT", CHAR(10) &amp; "- " &amp; _xlfn.TEXTJOIN(CHAR(10) &amp; "- ", TRUE, _xlfn._xlws.FILTER($I$9:$I$1000, ($B$9:$B$1000=B33) * ($H$9:$H$1000="Topic"))), "")</f>
        <v/>
      </c>
      <c r="B33" s="45">
        <f t="shared" si="1"/>
        <v>3</v>
      </c>
      <c r="C33" s="95">
        <v>18</v>
      </c>
      <c r="D33" s="46">
        <v>4</v>
      </c>
      <c r="E33" s="58" t="s">
        <v>48</v>
      </c>
      <c r="F33" s="48">
        <v>25</v>
      </c>
      <c r="G33" s="49" t="s">
        <v>160</v>
      </c>
      <c r="H33" s="49" t="s">
        <v>50</v>
      </c>
      <c r="I33" s="50" t="s">
        <v>827</v>
      </c>
      <c r="J33" s="51" t="s">
        <v>828</v>
      </c>
      <c r="K33" s="129" t="str">
        <f t="shared" si="0"/>
        <v xml:space="preserve">[ROLE] Friendly tutor specializing in Dart Object-Oriented &amp; Advanced Patterns | [TOPIC] Implement Factory Constructors using factory and returning cached instances.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18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Dart Object-Oriented &amp; Advanced Patterns | 📊 Level: Intermediate | 🌐 Coding5s.com
**Concept:** Factory Constructors (factory, returning cached instances)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Factory Constructors using factory and returning cached instances.. Topic details: Factory Constructors (factory, returning cached instances)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Dart Object-Oriented &amp; Advanced Patterns | 📊 Level: Intermediate
**Topic:** Implement Factory Constructors using factory and returning cached instances.
---
 | [FOOTER RULE - STRICT] End your response with: '--- ⚡ *Coding5s Mentor System — Eliminating Epistemic Debt*' | </v>
      </c>
      <c r="M33" s="53">
        <v>0</v>
      </c>
      <c r="N33" s="102" t="str">
        <f t="shared" si="3"/>
        <v>[ROLE] Careless Dart Object-Oriented &amp; Advanced Patterns Developer | [TASK] Generate debugging challenges in Dart Object-Oriented &amp; Advanced Patterns | | [TOPIC] Implement Factory Constructors using factory and returning cached instances.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#25 | Stage 2 🐛 Debug | Dart Object-Oriented &amp; Advanced Patterns | 📊 Level: Intermediate | 🌐 Coding5s.com
Concept: Factory Constructors (factory, returning cached instances)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Factory Constructors using factory and returning cached instances.. Topic details: Factory Constructors (factory, returning cached instances)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Dart Object-Oriented &amp; Advanced Patterns | 📊 Level: Intermediate
**Topic:** Implement Factory Constructors using factory and returning cached instances.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5"/>
        <v>[ROLE] Tech Lead | [TASK] Assign incomplete Dart Object-Oriented &amp; Advanced Patterns script challenges | [TOPIC] Implement Factory Constructors using factory and returning cached instances.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#25 | Stage 3 🧩 Complete | Dart Object-Oriented &amp; Advanced Patterns | 📊 Level: Intermediate | 🌐 Coding5s.com
**Concept:** Factory Constructors (factory, returning cached instances)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Factory Constructors using factory and returning cached instances..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Factory Constructors using factory and returning cached instances.. Topic details: Factory Constructors (factory, returning cached instances)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Dart Object-Oriented &amp; Advanced Patterns | 📊 Level: Intermediate
**Topic:** Implement Factory Constructors using factory and returning cached instances.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7"/>
        <v>[ROLE] Tech Lead | [TASK] Provide intentionally messy but functional code for learning debugging and improvement | [TOPIC] Implement Factory Constructors using factory and returning cached instances.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#25 | Stage 4 🧹 Refactor | Dart Object-Oriented &amp; Advanced Patterns | 📊 Level: Intermediate | 🌐 Coding5s.com
**Concept:** Factory Constructors (factory, returning cached instances)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Factory Constructors using factory and returning cached instances.. Topic details: Factory Constructors (factory, returning cached instances)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Dart Object-Oriented &amp; Advanced Patterns | 📊 Level: Intermediate
**Topic:** Implement Factory Constructors using factory and returning cached instances.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9"/>
        <v>[ROLE] Tech Product Manager assigning a Dart Object-Oriented &amp; Advanced Patterns Jira Ticket | [TASK] Provide a guided implementation exercise with full solution for learning purposes | [TOPIC] Implement Factory Constructors using factory and returning cached instances.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#25 | Stage 5 | Dart Object-Oriented &amp; Advanced Patterns | 📊 Level: Intermediate | 🌐 Coding5s.com
**Concept:** Factory Constructors (factory, returning cached instances)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Factory Constructors using factory and returning cached instances.. Goal: Factory Constructors (factory, returning cached instances)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Dart Object-Oriented &amp; Advanced Patterns | 📊 Level: Intermediate
**Topic:** Implement Factory Constructors using factory and returning cached instances.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1"/>
        <v/>
      </c>
      <c r="AA33" s="56" t="str">
        <f t="shared" si="12"/>
        <v/>
      </c>
      <c r="AB33" s="56" t="str">
        <f t="shared" si="13"/>
        <v/>
      </c>
      <c r="AC33" s="56" t="str">
        <f t="shared" si="14"/>
        <v/>
      </c>
      <c r="AD33" s="56" t="str">
        <f t="shared" si="15"/>
        <v/>
      </c>
      <c r="AE33" s="40"/>
      <c r="AF33" s="40"/>
      <c r="AG33" s="40"/>
      <c r="AH33" s="56" t="str">
        <f t="shared" si="16"/>
        <v/>
      </c>
      <c r="AI33" s="54"/>
      <c r="AJ33" s="54"/>
      <c r="AK33" s="54">
        <v>25</v>
      </c>
      <c r="AL33" s="54" t="s">
        <v>135</v>
      </c>
      <c r="AM33" s="54" t="s">
        <v>136</v>
      </c>
    </row>
    <row r="34" spans="1:39">
      <c r="A34" s="45" t="str" cm="1">
        <f t="array" ref="A34">IF(H34="PROJECT", CHAR(10) &amp; "- " &amp; _xlfn.TEXTJOIN(CHAR(10) &amp; "- ", TRUE, _xlfn._xlws.FILTER($I$9:$I$1000, ($B$9:$B$1000=B34) * ($H$9:$H$1000="Topic"))), "")</f>
        <v/>
      </c>
      <c r="B34" s="45">
        <f t="shared" si="1"/>
        <v>3</v>
      </c>
      <c r="C34" s="95">
        <v>18</v>
      </c>
      <c r="D34" s="57">
        <v>4</v>
      </c>
      <c r="E34" s="58" t="s">
        <v>48</v>
      </c>
      <c r="F34" s="59">
        <v>26</v>
      </c>
      <c r="G34" s="60" t="s">
        <v>160</v>
      </c>
      <c r="H34" s="60" t="s">
        <v>50</v>
      </c>
      <c r="I34" s="61" t="s">
        <v>829</v>
      </c>
      <c r="J34" s="62" t="s">
        <v>830</v>
      </c>
      <c r="K34" s="129" t="str">
        <f t="shared" si="0"/>
        <v xml:space="preserve">[ROLE] Friendly tutor specializing in Dart Object-Oriented &amp; Advanced Patterns | [TOPIC] Create Private Internal Constructors using Class._internal() for singletons.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18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Dart Object-Oriented &amp; Advanced Patterns | 📊 Level: Intermediate | 🌐 Coding5s.com
**Concept:** Private Internal Constructors (Class._internal(), singletons)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Private Internal Constructors using Class._internal() for singletons.. Topic details: Private Internal Constructors (Class._internal(), singletons)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Dart Object-Oriented &amp; Advanced Patterns | 📊 Level: Intermediate
**Topic:** Create Private Internal Constructors using Class._internal() for singletons.
---
 | [FOOTER RULE - STRICT] End your response with: '--- ⚡ *Coding5s Mentor System — Eliminating Epistemic Debt*' | </v>
      </c>
      <c r="M34" s="52">
        <v>0</v>
      </c>
      <c r="N34" s="102" t="str">
        <f t="shared" si="3"/>
        <v>[ROLE] Careless Dart Object-Oriented &amp; Advanced Patterns Developer | [TASK] Generate debugging challenges in Dart Object-Oriented &amp; Advanced Patterns | | [TOPIC] Create Private Internal Constructors using Class._internal() for singletons.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#26 | Stage 2 🐛 Debug | Dart Object-Oriented &amp; Advanced Patterns | 📊 Level: Intermediate | 🌐 Coding5s.com
Concept: Private Internal Constructors (Class._internal(), singletons)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Private Internal Constructors using Class._internal() for singletons.. Topic details: Private Internal Constructors (Class._internal(), singletons)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Dart Object-Oriented &amp; Advanced Patterns | 📊 Level: Intermediate
**Topic:** Create Private Internal Constructors using Class._internal() for singletons.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5"/>
        <v>[ROLE] Tech Lead | [TASK] Assign incomplete Dart Object-Oriented &amp; Advanced Patterns script challenges | [TOPIC] Create Private Internal Constructors using Class._internal() for singletons.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#26 | Stage 3 🧩 Complete | Dart Object-Oriented &amp; Advanced Patterns | 📊 Level: Intermediate | 🌐 Coding5s.com
**Concept:** Private Internal Constructors (Class._internal(), singletons)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Private Internal Constructors using Class._internal() for singletons..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Private Internal Constructors using Class._internal() for singletons.. Topic details: Private Internal Constructors (Class._internal(), singletons)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Dart Object-Oriented &amp; Advanced Patterns | 📊 Level: Intermediate
**Topic:** Create Private Internal Constructors using Class._internal() for singletons.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7"/>
        <v>[ROLE] Tech Lead | [TASK] Provide intentionally messy but functional code for learning debugging and improvement | [TOPIC] Create Private Internal Constructors using Class._internal() for singletons.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#26 | Stage 4 🧹 Refactor | Dart Object-Oriented &amp; Advanced Patterns | 📊 Level: Intermediate | 🌐 Coding5s.com
**Concept:** Private Internal Constructors (Class._internal(), singletons)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Private Internal Constructors using Class._internal() for singletons.. Topic details: Private Internal Constructors (Class._internal(), singletons)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Dart Object-Oriented &amp; Advanced Patterns | 📊 Level: Intermediate
**Topic:** Create Private Internal Constructors using Class._internal() for singletons.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9"/>
        <v>[ROLE] Tech Product Manager assigning a Dart Object-Oriented &amp; Advanced Patterns Jira Ticket | [TASK] Provide a guided implementation exercise with full solution for learning purposes | [TOPIC] Create Private Internal Constructors using Class._internal() for singletons.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#26 | Stage 5 | Dart Object-Oriented &amp; Advanced Patterns | 📊 Level: Intermediate | 🌐 Coding5s.com
**Concept:** Private Internal Constructors (Class._internal(), singletons)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Private Internal Constructors using Class._internal() for singletons.. Goal: Private Internal Constructors (Class._internal(), singletons)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Dart Object-Oriented &amp; Advanced Patterns | 📊 Level: Intermediate
**Topic:** Create Private Internal Constructors using Class._internal() for singletons.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1"/>
        <v/>
      </c>
      <c r="AA34" s="56" t="str">
        <f t="shared" si="12"/>
        <v/>
      </c>
      <c r="AB34" s="56" t="str">
        <f t="shared" si="13"/>
        <v/>
      </c>
      <c r="AC34" s="56" t="str">
        <f t="shared" si="14"/>
        <v/>
      </c>
      <c r="AD34" s="56" t="str">
        <f t="shared" si="15"/>
        <v/>
      </c>
      <c r="AE34" s="40"/>
      <c r="AF34" s="40"/>
      <c r="AG34" s="40"/>
      <c r="AH34" s="56" t="str">
        <f t="shared" si="16"/>
        <v/>
      </c>
      <c r="AI34" s="54"/>
      <c r="AJ34" s="54"/>
      <c r="AK34" s="54">
        <v>26</v>
      </c>
      <c r="AL34" s="54" t="s">
        <v>140</v>
      </c>
      <c r="AM34" s="54" t="s">
        <v>141</v>
      </c>
    </row>
    <row r="35" spans="1:39">
      <c r="A35" s="45" t="str" cm="1">
        <f t="array" ref="A35">IF(H35="PROJECT", CHAR(10) &amp; "- " &amp; _xlfn.TEXTJOIN(CHAR(10) &amp; "- ", TRUE, _xlfn._xlws.FILTER($I$9:$I$1000, ($B$9:$B$1000=B35) * ($H$9:$H$1000="Topic"))), "")</f>
        <v xml:space="preserve">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v>
      </c>
      <c r="B35" s="45">
        <f t="shared" si="1"/>
        <v>3</v>
      </c>
      <c r="C35" s="95">
        <v>30</v>
      </c>
      <c r="D35" s="46">
        <v>0</v>
      </c>
      <c r="E35" s="58" t="s">
        <v>48</v>
      </c>
      <c r="F35" s="48">
        <v>27</v>
      </c>
      <c r="G35" s="49" t="s">
        <v>160</v>
      </c>
      <c r="H35" s="49" t="s">
        <v>79</v>
      </c>
      <c r="I35" s="50" t="s">
        <v>831</v>
      </c>
      <c r="J35" s="51" t="s">
        <v>832</v>
      </c>
      <c r="K35" s="129" t="str">
        <f t="shared" si="0"/>
        <v>[TASK] Teach through a practical Dart Object-Oriented &amp; Advanced Patterns -  project following the micro-learning methodology, acting as a supportive tutor, creating a project about  Construct a flexible composition system consolidating Implicit Interfaces, Mixin Application, Mixin Constraints, Mixin Classes, Enhanced Enum Declaration, Enum Methods and Interfaces, Factory Constructors, and Private Internal Constructors. | [TOPICS USED] 3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#27 | Stage 1 | Dart Object-Oriented &amp; Advanced Patterns | 📊 Level: Intermediate | 🌐 Coding5s.com
**Project:** Composition System with Interfaces Mixins Enums and Factories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5"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flexible composition system consolidating Implicit Interfaces, Mixin Application, Mixin Constraints, Mixin Classes, Enhanced Enum Declaration, Enum Methods and Interfaces, Factory Constructors, and Private Internal Constructors.. Topics applied in this project: 3. Project objective: Composition System with Interfaces Mixins Enums and Factories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#27 | Practice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[FOOTER RULE - STRICT] End your response with: '--- ⚡ *Coding5s Mentor System — Eliminating Epistemic Debt*' | </v>
      </c>
      <c r="M35" s="53">
        <v>0</v>
      </c>
      <c r="N35" s="102" t="str">
        <f t="shared" si="3"/>
        <v>[ROLE] Careless Dart Object-Oriented &amp; Advanced Patterns Developer | [TASK] Generate debugging project in Dart Object-Oriented &amp; Advanced Patterns | [PROJECT] Construct a flexible composition system consolidating Implicit Interfaces, Mixin Application, Mixin Constraints, Mixin Classes, Enhanced Enum Declaration, Enum Methods and Interfaces, Factory Constructors, and Private Internal Constructors. | [TOPICS USED] 3 | [LEVEL] Intermediate | [OUTPUT] Only header, dataset summary or statement (if any), email intro, objective, expected output, broken code, and footer | [HEADER RULE - STRICT] You MUST start your entire response EXACTLY with this markdown block (do not print anything before it):
### 🚀 Project #27 | Stage 2 | Dart Object-Oriented &amp; Advanced Patterns | 📊 Level: Intermediate | 🌐 Coding5s.com
Project: Composition System with Interfaces Mixins Enums and Factories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5"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flexible composition system consolidating Implicit Interfaces, Mixin Application, Mixin Constraints, Mixin Classes, Enhanced Enum Declaration, Enum Methods and Interfaces, Factory Constructors, and Private Internal Constructors.. Topics involved: 3. Project objective: Composition System with Interfaces Mixins Enums and Factories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#27 | Debug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5"/>
        <v>[ROLE] Tech Lead | [TASK] Assign incomplete project script | [PROJECT] Construct a flexible composition system consolidating Implicit Interfaces, Mixin Application, Mixin Constraints, Mixin Classes, Enhanced Enum Declaration, Enum Methods and Interfaces, Factory Constructors, and Private Internal Constructors. | [TOPICS USED] 3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#27 | Stage 3 | Dart Object-Oriented &amp; Advanced Patterns | 📊 Level: Intermediate | 🌐 Coding5s.com
**Project:** Composition System with Interfaces Mixins Enums and Factories
---
 | [EXTERNAL_PACKAGE_PROTOCOL] Require standard dart pub tooling and pubspec.yaml for dependencies. | [CHALLENGE_CONSTRAINTS_POLICY] MUST be between 30–60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5"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flexible composition system consolidating Implicit Interfaces, Mixin Application, Mixin Constraints, Mixin Classes, Enhanced Enum Declaration, Enum Methods and Interfaces, Factory Constructors, and Private Internal Constructors.. Topics involved: 3. Project objective: Composition System with Interfaces Mixins Enums and Factories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#27 | Complete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7"/>
        <v>[ROLE] Tech Lead | [TASK] Provide a messy but functional project for refactoring | [PROJECT] Construct a flexible composition system consolidating Implicit Interfaces, Mixin Application, Mixin Constraints, Mixin Classes, Enhanced Enum Declaration, Enum Methods and Interfaces, Factory Constructors, and Private Internal Constructors. | [TOPICS USED] 3 | [LEVEL] Intermediate | [PERSONA RULE] Act as a Tech Lead. A junior wrote this working but messy code. Tone: professional but exhausted | [HEADER RULE - STRICT] You MUST start your entire response EXACTLY with this markdown block (do not print anything before it):
### 🚀 Project #27 | Stage 4 | Dart Object-Oriented &amp; Advanced Patterns | 📊 Level: Intermediate | 🌐 Coding5s.com
**Project:** Composition System with Interfaces Mixins Enums and Factories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PROJECT: Construct a flexible composition system consolidating Implicit Interfaces, Mixin Application, Mixin Constraints, Mixin Classes, Enhanced Enum Declaration, Enum Methods and Interfaces, Factory Constructors, and Private Internal Constructors.. Topics involved: 3. Project objective: Composition System with Interfaces Mixins Enums and Factories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#27 | Refactor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9"/>
        <v>[ROLE] Tech Product Manager assigning a Dart Object-Oriented &amp; Advanced Patterns Jira Ticket | [TASK] Provide a guided project implementation with full solution | [PROJECT] Construct a flexible composition system consolidating Implicit Interfaces, Mixin Application, Mixin Constraints, Mixin Classes, Enhanced Enum Declaration, Enum Methods and Interfaces, Factory Constructors, and Private Internal Constructors. | [TOPICS USED] 3 | [LEVEL] Intermediate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#27 | Stage 5 | Dart Object-Oriented &amp; Advanced Patterns | 📊 Level: Intermediate | 🌐 Coding5s.com
**Project:** Composition System with Interfaces Mixins Enums and Factories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flexible composition system consolidating Implicit Interfaces, Mixin Application, Mixin Constraints, Mixin Classes, Enhanced Enum Declaration, Enum Methods and Interfaces, Factory Constructors, and Private Internal Constructors.. Topics integrated: 3. Business Goal: Composition System with Interfaces Mixins Enums and Factories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#27 | Extend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1"/>
        <v>[TASK] Teach through a practical Dart Object-Oriented &amp; Advanced Patterns -  project following the micro-learning methodology, acting as a supportive tutor, creating a project about  Construct a flexible composition system consolidating Implicit Interfaces, Mixin Application, Mixin Constraints, Mixin Classes, Enhanced Enum Declaration, Enum Methods and Interfaces, Factory Constructors, and Private Internal Constructors. | [TOPICS USED] 3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#27 | Stage 1 | Dart Object-Oriented &amp; Advanced Patterns | 📊 Level: Intermediate | 🌐 Coding5s.com
**Project:** Composition System with Interfaces Mixins Enums and Factories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5" s="56" t="str">
        <f t="shared" si="12"/>
        <v>[ROLE] Careless Dart Object-Oriented &amp; Advanced Patterns Developer | [TASK] Generate debugging project in Dart Object-Oriented &amp; Advanced Patterns | [PROJECT] Construct a flexible composition system consolidating Implicit Interfaces, Mixin Application, Mixin Constraints, Mixin Classes, Enhanced Enum Declaration, Enum Methods and Interfaces, Factory Constructors, and Private Internal Constructors. | [TOPICS USED] 3 | [LEVEL] Intermediate | [OUTPUT] Only header, dataset summary or statement (if any), email intro, objective, expected output, broken code, and footer | [HEADER RULE - STRICT] You MUST start your entire response EXACTLY with this markdown block (do not print anything before it):
### 🚀 Project #27 | Stage 2 | Dart Object-Oriented &amp; Advanced Patterns | 📊 Level: Intermediate | 🌐 Coding5s.com
Project: Composition System with Interfaces Mixins Enums and Factories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5" s="56" t="str">
        <f t="shared" si="13"/>
        <v>[ROLE] Tech Lead | [TASK] Assign incomplete project script | [PROJECT] Construct a flexible composition system consolidating Implicit Interfaces, Mixin Application, Mixin Constraints, Mixin Classes, Enhanced Enum Declaration, Enum Methods and Interfaces, Factory Constructors, and Private Internal Constructors. | [TOPICS USED] 3 | [LEVEL] Intermediate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#27 | Stage 3 | Dart Object-Oriented &amp; Advanced Patterns | 📊 Level: Intermediate | 🌐 Coding5s.com
**Project:** Composition System with Interfaces Mixins Enums and Factories
---
 | [EXTERNAL_PACKAGE_PROTOCOL] Require standard dart pub tooling and pubspec.yaml for dependencies. | [CHALLENGE_CONSTRAINTS_POLICY] MUST be between 30–60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5" s="56" t="str">
        <f t="shared" si="14"/>
        <v>[ROLE] Tech Lead | [TASK] Provide a messy but functional project for refactoring | [PROJECT] Construct a flexible composition system consolidating Implicit Interfaces, Mixin Application, Mixin Constraints, Mixin Classes, Enhanced Enum Declaration, Enum Methods and Interfaces, Factory Constructors, and Private Internal Constructors. | [TOPICS USED] 3 | [LEVEL] Intermediate | [PERSONA RULE] Act as a Tech Lead. A junior wrote this working but messy code. Tone: professional but exhausted | [HEADER RULE - STRICT] You MUST start your entire response EXACTLY with this markdown block (do not print anything before it):
### 🚀 Project #27 | Stage 4 | Dart Object-Oriented &amp; Advanced Patterns | 📊 Level: Intermediate | 🌐 Coding5s.com
**Project:** Composition System with Interfaces Mixins Enums and Factories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5" s="56" t="str">
        <f t="shared" si="15"/>
        <v>[ROLE] Tech Product Manager assigning a Dart Object-Oriented &amp; Advanced Patterns Jira Ticket | [TASK] Provide a guided project implementation with full solution | [PROJECT] Construct a flexible composition system consolidating Implicit Interfaces, Mixin Application, Mixin Constraints, Mixin Classes, Enhanced Enum Declaration, Enum Methods and Interfaces, Factory Constructors, and Private Internal Constructors. | [TOPICS USED] 3 | [LEVEL] Intermediate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#27 | Stage 5 | Dart Object-Oriented &amp; Advanced Patterns | 📊 Level: Intermediate | 🌐 Coding5s.com
**Project:** Composition System with Interfaces Mixins Enums and Factories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5" s="40"/>
      <c r="AF35" s="40"/>
      <c r="AG35" s="40"/>
      <c r="AH35" s="56" t="str">
        <f t="shared" si="16"/>
        <v/>
      </c>
      <c r="AI35" s="54"/>
      <c r="AJ35" s="54"/>
      <c r="AK35" s="54">
        <v>27</v>
      </c>
      <c r="AL35" s="54" t="s">
        <v>145</v>
      </c>
      <c r="AM35" s="54" t="s">
        <v>146</v>
      </c>
    </row>
    <row r="36" spans="1:39">
      <c r="A36" s="45" t="str" cm="1">
        <f t="array" ref="A36">IF(H36="PROJECT", CHAR(10) &amp; "- " &amp; _xlfn.TEXTJOIN(CHAR(10) &amp; "- ", TRUE, _xlfn._xlws.FILTER($I$9:$I$1000, ($B$9:$B$1000=B36) * ($H$9:$H$1000="Topic"))), "")</f>
        <v/>
      </c>
      <c r="B36" s="45">
        <f t="shared" si="1"/>
        <v>4</v>
      </c>
      <c r="C36" s="95">
        <v>15</v>
      </c>
      <c r="D36" s="57">
        <v>4</v>
      </c>
      <c r="E36" s="58" t="s">
        <v>48</v>
      </c>
      <c r="F36" s="59">
        <v>28</v>
      </c>
      <c r="G36" s="60" t="s">
        <v>160</v>
      </c>
      <c r="H36" s="60" t="s">
        <v>50</v>
      </c>
      <c r="I36" s="61" t="s">
        <v>833</v>
      </c>
      <c r="J36" s="62" t="s">
        <v>834</v>
      </c>
      <c r="K36" s="129" t="str">
        <f t="shared" si="0"/>
        <v xml:space="preserve">[ROLE] Friendly tutor specializing in Dart Object-Oriented &amp; Advanced Patterns | [TOPIC] Define Extension Methods using extension on, show, and hide.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Dart Object-Oriented &amp; Advanced Patterns | 📊 Level: Intermediate | 🌐 Coding5s.com
**Concept:** Extension Methods (extension on, show, hide)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Extension Methods using extension on, show, and hide.. Topic details: Extension Methods (extension on, show, hide)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Dart Object-Oriented &amp; Advanced Patterns | 📊 Level: Intermediate
**Topic:** Define Extension Methods using extension on, show, and hide.
---
 | [FOOTER RULE - STRICT] End your response with: '--- ⚡ *Coding5s Mentor System — Eliminating Epistemic Debt*' | </v>
      </c>
      <c r="M36" s="52">
        <v>0</v>
      </c>
      <c r="N36" s="102" t="str">
        <f t="shared" si="3"/>
        <v>[ROLE] Careless Dart Object-Oriented &amp; Advanced Patterns Developer | [TASK] Generate debugging challenges in Dart Object-Oriented &amp; Advanced Patterns | | [TOPIC] Define Extension Methods using extension on, show, and hide.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#28 | Stage 2 🐛 Debug | Dart Object-Oriented &amp; Advanced Patterns | 📊 Level: Intermediate | 🌐 Coding5s.com
Concept: Extension Methods (extension on, show, hide)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Extension Methods using extension on, show, and hide.. Topic details: Extension Methods (extension on, show, hide)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Dart Object-Oriented &amp; Advanced Patterns | 📊 Level: Intermediate
**Topic:** Define Extension Methods using extension on, show, and hide.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5"/>
        <v>[ROLE] Tech Lead | [TASK] Assign incomplete Dart Object-Oriented &amp; Advanced Patterns script challenges | [TOPIC] Define Extension Methods using extension on, show, and hide.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#28 | Stage 3 🧩 Complete | Dart Object-Oriented &amp; Advanced Patterns | 📊 Level: Intermediate | 🌐 Coding5s.com
**Concept:** Extension Methods (extension on, show, hide)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Extension Methods using extension on, show, and hide..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Extension Methods using extension on, show, and hide.. Topic details: Extension Methods (extension on, show, hide)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Dart Object-Oriented &amp; Advanced Patterns | 📊 Level: Intermediate
**Topic:** Define Extension Methods using extension on, show, and hide.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7"/>
        <v>[ROLE] Tech Lead | [TASK] Provide intentionally messy but functional code for learning debugging and improvement | [TOPIC] Define Extension Methods using extension on, show, and hide.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#28 | Stage 4 🧹 Refactor | Dart Object-Oriented &amp; Advanced Patterns | 📊 Level: Intermediate | 🌐 Coding5s.com
**Concept:** Extension Methods (extension on, show, hide)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Define Extension Methods using extension on, show, and hide.. Topic details: Extension Methods (extension on, show, hide)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Dart Object-Oriented &amp; Advanced Patterns | 📊 Level: Intermediate
**Topic:** Define Extension Methods using extension on, show, and hide.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9"/>
        <v>[ROLE] Tech Product Manager assigning a Dart Object-Oriented &amp; Advanced Patterns Jira Ticket | [TASK] Provide a guided implementation exercise with full solution for learning purposes | [TOPIC] Define Extension Methods using extension on, show, and hide.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#28 | Stage 5 | Dart Object-Oriented &amp; Advanced Patterns | 📊 Level: Intermediate | 🌐 Coding5s.com
**Concept:** Extension Methods (extension on, show, hide)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Extension Methods using extension on, show, and hide.. Goal: Extension Methods (extension on, show, hide)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Dart Object-Oriented &amp; Advanced Patterns | 📊 Level: Intermediate
**Topic:** Define Extension Methods using extension on, show, and hide.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1"/>
        <v/>
      </c>
      <c r="AA36" s="56" t="str">
        <f t="shared" si="12"/>
        <v/>
      </c>
      <c r="AB36" s="56" t="str">
        <f t="shared" si="13"/>
        <v/>
      </c>
      <c r="AC36" s="56" t="str">
        <f t="shared" si="14"/>
        <v/>
      </c>
      <c r="AD36" s="56" t="str">
        <f t="shared" si="15"/>
        <v/>
      </c>
      <c r="AE36" s="40"/>
      <c r="AF36" s="40"/>
      <c r="AG36" s="40"/>
      <c r="AH36" s="56" t="str">
        <f t="shared" si="16"/>
        <v/>
      </c>
      <c r="AI36" s="54"/>
      <c r="AJ36" s="54"/>
      <c r="AK36" s="54">
        <v>28</v>
      </c>
      <c r="AL36" s="54" t="s">
        <v>148</v>
      </c>
      <c r="AM36" s="54" t="s">
        <v>149</v>
      </c>
    </row>
    <row r="37" spans="1:39">
      <c r="A37" s="45" t="str" cm="1">
        <f t="array" ref="A37">IF(H37="PROJECT", CHAR(10) &amp; "- " &amp; _xlfn.TEXTJOIN(CHAR(10) &amp; "- ", TRUE, _xlfn._xlws.FILTER($I$9:$I$1000, ($B$9:$B$1000=B37) * ($H$9:$H$1000="Topic"))), "")</f>
        <v/>
      </c>
      <c r="B37" s="45">
        <f t="shared" si="1"/>
        <v>4</v>
      </c>
      <c r="C37" s="95">
        <v>18</v>
      </c>
      <c r="D37" s="46">
        <v>4</v>
      </c>
      <c r="E37" s="58" t="s">
        <v>48</v>
      </c>
      <c r="F37" s="48">
        <v>29</v>
      </c>
      <c r="G37" s="49" t="s">
        <v>160</v>
      </c>
      <c r="H37" s="49" t="s">
        <v>50</v>
      </c>
      <c r="I37" s="50" t="s">
        <v>835</v>
      </c>
      <c r="J37" s="51" t="s">
        <v>836</v>
      </c>
      <c r="K37" s="129" t="str">
        <f t="shared" si="0"/>
        <v xml:space="preserve">[ROLE] Friendly tutor specializing in Dart Object-Oriented &amp; Advanced Patterns | [TOPIC] Create Extension Types using extension type and zero-cost wrappers.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18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Dart Object-Oriented &amp; Advanced Patterns | 📊 Level: Intermediate | 🌐 Coding5s.com
**Concept:** Extension Types (extension type, zero-cost wrappers)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Extension Types using extension type and zero-cost wrappers.. Topic details: Extension Types (extension type, zero-cost wrappers)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Dart Object-Oriented &amp; Advanced Patterns | 📊 Level: Intermediate
**Topic:** Create Extension Types using extension type and zero-cost wrappers.
---
 | [FOOTER RULE - STRICT] End your response with: '--- ⚡ *Coding5s Mentor System — Eliminating Epistemic Debt*' | </v>
      </c>
      <c r="M37" s="53">
        <v>0</v>
      </c>
      <c r="N37" s="102" t="str">
        <f t="shared" si="3"/>
        <v>[ROLE] Careless Dart Object-Oriented &amp; Advanced Patterns Developer | [TASK] Generate debugging challenges in Dart Object-Oriented &amp; Advanced Patterns | | [TOPIC] Create Extension Types using extension type and zero-cost wrappers.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#29 | Stage 2 🐛 Debug | Dart Object-Oriented &amp; Advanced Patterns | 📊 Level: Intermediate | 🌐 Coding5s.com
Concept: Extension Types (extension type, zero-cost wrappers)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Extension Types using extension type and zero-cost wrappers.. Topic details: Extension Types (extension type, zero-cost wrappers)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Dart Object-Oriented &amp; Advanced Patterns | 📊 Level: Intermediate
**Topic:** Create Extension Types using extension type and zero-cost wrappers.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5"/>
        <v>[ROLE] Tech Lead | [TASK] Assign incomplete Dart Object-Oriented &amp; Advanced Patterns script challenges | [TOPIC] Create Extension Types using extension type and zero-cost wrappers.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#29 | Stage 3 🧩 Complete | Dart Object-Oriented &amp; Advanced Patterns | 📊 Level: Intermediate | 🌐 Coding5s.com
**Concept:** Extension Types (extension type, zero-cost wrappers)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Extension Types using extension type and zero-cost wrappers..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Extension Types using extension type and zero-cost wrappers.. Topic details: Extension Types (extension type, zero-cost wrappers)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Dart Object-Oriented &amp; Advanced Patterns | 📊 Level: Intermediate
**Topic:** Create Extension Types using extension type and zero-cost wrappers.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7"/>
        <v>[ROLE] Tech Lead | [TASK] Provide intentionally messy but functional code for learning debugging and improvement | [TOPIC] Create Extension Types using extension type and zero-cost wrappers.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#29 | Stage 4 🧹 Refactor | Dart Object-Oriented &amp; Advanced Patterns | 📊 Level: Intermediate | 🌐 Coding5s.com
**Concept:** Extension Types (extension type, zero-cost wrappers)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Extension Types using extension type and zero-cost wrappers.. Topic details: Extension Types (extension type, zero-cost wrappers)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Dart Object-Oriented &amp; Advanced Patterns | 📊 Level: Intermediate
**Topic:** Create Extension Types using extension type and zero-cost wrappers.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9"/>
        <v>[ROLE] Tech Product Manager assigning a Dart Object-Oriented &amp; Advanced Patterns Jira Ticket | [TASK] Provide a guided implementation exercise with full solution for learning purposes | [TOPIC] Create Extension Types using extension type and zero-cost wrappers.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#29 | Stage 5 | Dart Object-Oriented &amp; Advanced Patterns | 📊 Level: Intermediate | 🌐 Coding5s.com
**Concept:** Extension Types (extension type, zero-cost wrappers)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Extension Types using extension type and zero-cost wrappers.. Goal: Extension Types (extension type, zero-cost wrappers)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Dart Object-Oriented &amp; Advanced Patterns | 📊 Level: Intermediate
**Topic:** Create Extension Types using extension type and zero-cost wrappers.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1"/>
        <v/>
      </c>
      <c r="AA37" s="56" t="str">
        <f t="shared" si="12"/>
        <v/>
      </c>
      <c r="AB37" s="56" t="str">
        <f t="shared" si="13"/>
        <v/>
      </c>
      <c r="AC37" s="56" t="str">
        <f t="shared" si="14"/>
        <v/>
      </c>
      <c r="AD37" s="56" t="str">
        <f t="shared" si="15"/>
        <v/>
      </c>
      <c r="AE37" s="40"/>
      <c r="AF37" s="40"/>
      <c r="AG37" s="40"/>
      <c r="AH37" s="56" t="str">
        <f t="shared" si="16"/>
        <v/>
      </c>
      <c r="AI37" s="54"/>
      <c r="AJ37" s="54"/>
      <c r="AK37" s="54">
        <v>29</v>
      </c>
      <c r="AL37" s="54" t="s">
        <v>151</v>
      </c>
      <c r="AM37" s="54" t="s">
        <v>152</v>
      </c>
    </row>
    <row r="38" spans="1:39">
      <c r="A38" s="45" t="str" cm="1">
        <f t="array" ref="A38">IF(H38="PROJECT", CHAR(10) &amp; "- " &amp; _xlfn.TEXTJOIN(CHAR(10) &amp; "- ", TRUE, _xlfn._xlws.FILTER($I$9:$I$1000, ($B$9:$B$1000=B38) * ($H$9:$H$1000="Topic"))), "")</f>
        <v/>
      </c>
      <c r="B38" s="45">
        <f t="shared" si="1"/>
        <v>4</v>
      </c>
      <c r="C38" s="95">
        <v>15</v>
      </c>
      <c r="D38" s="57">
        <v>4</v>
      </c>
      <c r="E38" s="58" t="s">
        <v>48</v>
      </c>
      <c r="F38" s="59">
        <v>30</v>
      </c>
      <c r="G38" s="60" t="s">
        <v>160</v>
      </c>
      <c r="H38" s="60" t="s">
        <v>50</v>
      </c>
      <c r="I38" s="61" t="s">
        <v>837</v>
      </c>
      <c r="J38" s="62" t="s">
        <v>838</v>
      </c>
      <c r="K38" s="129" t="str">
        <f t="shared" si="0"/>
        <v xml:space="preserve">[ROLE] Friendly tutor specializing in Dart Object-Oriented &amp; Advanced Patterns | [TOPIC] Apply Inheritance Modifiers using final class, base class, and interface class.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Dart Object-Oriented &amp; Advanced Patterns | 📊 Level: Intermediate | 🌐 Coding5s.com
**Concept:** Inheritance Modifiers (final class, base class, interface class)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Inheritance Modifiers using final class, base class, and interface class.. Topic details: Inheritance Modifiers (final class, base class, interface class)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Dart Object-Oriented &amp; Advanced Patterns | 📊 Level: Intermediate
**Topic:** Apply Inheritance Modifiers using final class, base class, and interface class.
---
 | [FOOTER RULE - STRICT] End your response with: '--- ⚡ *Coding5s Mentor System — Eliminating Epistemic Debt*' | </v>
      </c>
      <c r="M38" s="52">
        <v>0</v>
      </c>
      <c r="N38" s="102" t="str">
        <f t="shared" si="3"/>
        <v>[ROLE] Careless Dart Object-Oriented &amp; Advanced Patterns Developer | [TASK] Generate debugging challenges in Dart Object-Oriented &amp; Advanced Patterns | | [TOPIC] Apply Inheritance Modifiers using final class, base class, and interface class.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#30 | Stage 2 🐛 Debug | Dart Object-Oriented &amp; Advanced Patterns | 📊 Level: Intermediate | 🌐 Coding5s.com
Concept: Inheritance Modifiers (final class, base class, interface class)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Inheritance Modifiers using final class, base class, and interface class.. Topic details: Inheritance Modifiers (final class, base class, interface 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Dart Object-Oriented &amp; Advanced Patterns | 📊 Level: Intermediate
**Topic:** Apply Inheritance Modifiers using final class, base class, and interface class.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5"/>
        <v>[ROLE] Tech Lead | [TASK] Assign incomplete Dart Object-Oriented &amp; Advanced Patterns script challenges | [TOPIC] Apply Inheritance Modifiers using final class, base class, and interface class.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#30 | Stage 3 🧩 Complete | Dart Object-Oriented &amp; Advanced Patterns | 📊 Level: Intermediate | 🌐 Coding5s.com
**Concept:** Inheritance Modifiers (final class, base class, interface class)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Inheritance Modifiers using final class, base class, and interface 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Inheritance Modifiers using final class, base class, and interface class.. Topic details: Inheritance Modifiers (final class, base class, interface 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Dart Object-Oriented &amp; Advanced Patterns | 📊 Level: Intermediate
**Topic:** Apply Inheritance Modifiers using final class, base class, and interface class.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7"/>
        <v>[ROLE] Tech Lead | [TASK] Provide intentionally messy but functional code for learning debugging and improvement | [TOPIC] Apply Inheritance Modifiers using final class, base class, and interface class.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#30 | Stage 4 🧹 Refactor | Dart Object-Oriented &amp; Advanced Patterns | 📊 Level: Intermediate | 🌐 Coding5s.com
**Concept:** Inheritance Modifiers (final class, base class, interface 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Inheritance Modifiers using final class, base class, and interface class.. Topic details: Inheritance Modifiers (final class, base class, interface 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Dart Object-Oriented &amp; Advanced Patterns | 📊 Level: Intermediate
**Topic:** Apply Inheritance Modifiers using final class, base class, and interface class.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9"/>
        <v>[ROLE] Tech Product Manager assigning a Dart Object-Oriented &amp; Advanced Patterns Jira Ticket | [TASK] Provide a guided implementation exercise with full solution for learning purposes | [TOPIC] Apply Inheritance Modifiers using final class, base class, and interface class.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#30 | Stage 5 | Dart Object-Oriented &amp; Advanced Patterns | 📊 Level: Intermediate | 🌐 Coding5s.com
**Concept:** Inheritance Modifiers (final class, base class, interface class)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Inheritance Modifiers using final class, base class, and interface class.. Goal: Inheritance Modifiers (final class, base class, interface 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Dart Object-Oriented &amp; Advanced Patterns | 📊 Level: Intermediate
**Topic:** Apply Inheritance Modifiers using final class, base class, and interface class.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1"/>
        <v/>
      </c>
      <c r="AA38" s="56" t="str">
        <f t="shared" si="12"/>
        <v/>
      </c>
      <c r="AB38" s="56" t="str">
        <f t="shared" si="13"/>
        <v/>
      </c>
      <c r="AC38" s="56" t="str">
        <f t="shared" si="14"/>
        <v/>
      </c>
      <c r="AD38" s="56" t="str">
        <f t="shared" si="15"/>
        <v/>
      </c>
      <c r="AE38" s="40"/>
      <c r="AF38" s="40"/>
      <c r="AG38" s="40"/>
      <c r="AH38" s="56" t="str">
        <f t="shared" si="16"/>
        <v/>
      </c>
      <c r="AI38" s="54"/>
      <c r="AJ38" s="54"/>
      <c r="AK38" s="54">
        <v>30</v>
      </c>
      <c r="AL38" s="54" t="s">
        <v>154</v>
      </c>
      <c r="AM38" s="54" t="s">
        <v>155</v>
      </c>
    </row>
    <row r="39" spans="1:39">
      <c r="A39" s="45" t="str" cm="1">
        <f t="array" ref="A39">IF(H39="PROJECT", CHAR(10) &amp; "- " &amp; _xlfn.TEXTJOIN(CHAR(10) &amp; "- ", TRUE, _xlfn._xlws.FILTER($I$9:$I$1000, ($B$9:$B$1000=B39) * ($H$9:$H$1000="Topic"))), "")</f>
        <v/>
      </c>
      <c r="B39" s="45">
        <f t="shared" si="1"/>
        <v>4</v>
      </c>
      <c r="C39" s="95">
        <v>20</v>
      </c>
      <c r="D39" s="46">
        <v>5</v>
      </c>
      <c r="E39" s="58" t="s">
        <v>48</v>
      </c>
      <c r="F39" s="48">
        <v>31</v>
      </c>
      <c r="G39" s="49" t="s">
        <v>161</v>
      </c>
      <c r="H39" s="49" t="s">
        <v>50</v>
      </c>
      <c r="I39" s="50" t="s">
        <v>839</v>
      </c>
      <c r="J39" s="51" t="s">
        <v>840</v>
      </c>
      <c r="K39" s="129" t="str">
        <f t="shared" si="0"/>
        <v xml:space="preserve">[ROLE] Friendly tutor specializing in Dart Object-Oriented &amp; Advanced Patterns | [TOPIC] Implement Sealed Hierarchies using sealed class and switch exhaustiveness. | [LEVEL] Advanced | [COUNT] 5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class instances with strict typing, sealed state classes, or Stream-based message passing between objects | [CODE_CONSTRAINTS_RULE] Each example MUST: - Use stateful class instances with strict typing, sealed state classes, or Stream-based message passing between objects - Print steps &amp; result via print() or developer.log() inside isolated scopes, error handlers, or class methods - MAX 20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Dart Object-Oriented &amp; Advanced Patterns | 📊 Level: Advanced | 🌐 Coding5s.com
**Concept:** Sealed Hierarchies (sealed class, switch exhaustiveness)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Sealed Hierarchies using sealed class and switch exhaustiveness.. Topic details: Sealed Hierarchies (sealed class, switch exhaustiveness) | [LANGUAGE CONSISTENCY RULE] ALL output text MUST be written strictly in (en). | [LANGUAGE SEED CONTEXT] Language Seed Not Necessary | [LANGUAGE] en | [MENTOR_SCOPE_EXPECTATIONS] Expect complete apps with bi-directional Isolate communication, clean separation of public interfaces vs internal state, exhaustive pattern matching with sealed classes, and advanced OOP patterns (composition over inheritance).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Dart Object-Oriented &amp; Advanced Patterns | 📊 Level: Advanced
**Topic:** Implement Sealed Hierarchies using sealed class and switch exhaustiveness.
---
 | [FOOTER RULE - STRICT] End your response with: '--- ⚡ *Coding5s Mentor System — Eliminating Epistemic Debt*' | </v>
      </c>
      <c r="M39" s="53">
        <v>0</v>
      </c>
      <c r="N39" s="102" t="str">
        <f t="shared" si="3"/>
        <v>[ROLE] Careless Dart Object-Oriented &amp; Advanced Patterns Developer | [TASK] Generate debugging challenges in Dart Object-Oriented &amp; Advanced Patterns | | [TOPIC] Implement Sealed Hierarchies using sealed class and switch exhaustiveness. | | [LEVEL] Advanced | | [COUNT] 5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#31 | Stage 2 🐛 Debug | Dart Object-Oriented &amp; Advanced Patterns | 📊 Level: Advanced | 🌐 Coding5s.com
Concept: Sealed Hierarchies (sealed class, switch exhaustiveness)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- 15–35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Sealed Hierarchies using sealed class and switch exhaustiveness.. Topic details: Sealed Hierarchies (sealed class, switch exhaustiveness)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Dart Object-Oriented &amp; Advanced Patterns | 📊 Level: Advanced
**Topic:** Implement Sealed Hierarchies using sealed class and switch exhaustiveness.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5"/>
        <v>[ROLE] Tech Lead | [TASK] Assign incomplete Dart Object-Oriented &amp; Advanced Patterns script challenges | [TOPIC] Implement Sealed Hierarchies using sealed class and switch exhaustiveness. | [LEVEL] Advanced | [COUNT] 5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#31 | Stage 3 🧩 Complete | Dart Object-Oriented &amp; Advanced Patterns | 📊 Level: Advanced | 🌐 Coding5s.com
**Concept:** Sealed Hierarchies (sealed class, switch exhaustiveness)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- 15–35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Sealed Hierarchies using sealed class and switch exhaustiveness..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Sealed Hierarchies using sealed class and switch exhaustiveness.. Topic details: Sealed Hierarchies (sealed class, switch exhaustiveness)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Dart Object-Oriented &amp; Advanced Patterns | 📊 Level: Advanced
**Topic:** Implement Sealed Hierarchies using sealed class and switch exhaustiveness.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7"/>
        <v>[ROLE] Tech Lead | [TASK] Provide intentionally messy but functional code for learning debugging and improvement | [TOPIC] Implement Sealed Hierarchies using sealed class and switch exhaustiveness. | [LEVEL] Advanced | [COUNT] 5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#31 | Stage 4 🧹 Refactor | Dart Object-Oriented &amp; Advanced Patterns | 📊 Level: Advanced | 🌐 Coding5s.com
**Concept:** Sealed Hierarchies (sealed class, switch exhaustiveness)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Sealed Hierarchies using sealed class and switch exhaustiveness.. Topic details: Sealed Hierarchies (sealed class, switch exhaustiveness)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Dart Object-Oriented &amp; Advanced Patterns | 📊 Level: Advanced
**Topic:** Implement Sealed Hierarchies using sealed class and switch exhaustiveness.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9"/>
        <v>[ROLE] Tech Product Manager assigning a Dart Object-Oriented &amp; Advanced Patterns Jira Ticket | [TASK] Provide a guided implementation exercise with full solution for learning purposes | [TOPIC] Implement Sealed Hierarchies using sealed class and switch exhaustiveness. | [LEVEL] Advanced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#31 | Stage 5 | Dart Object-Oriented &amp; Advanced Patterns | 📊 Level: Advanced | 🌐 Coding5s.com
**Concept:** Sealed Hierarchies (sealed class, switch exhaustiveness)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Sealed Hierarchies using sealed class and switch exhaustiveness.. Goal: Sealed Hierarchies (sealed class, switch exhaustiveness)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Dart Object-Oriented &amp; Advanced Patterns | 📊 Level: Advanced
**Topic:** Implement Sealed Hierarchies using sealed class and switch exhaustiveness.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1"/>
        <v/>
      </c>
      <c r="AA39" s="56" t="str">
        <f t="shared" si="12"/>
        <v/>
      </c>
      <c r="AB39" s="56" t="str">
        <f t="shared" si="13"/>
        <v/>
      </c>
      <c r="AC39" s="56" t="str">
        <f t="shared" si="14"/>
        <v/>
      </c>
      <c r="AD39" s="56" t="str">
        <f t="shared" si="15"/>
        <v/>
      </c>
      <c r="AE39" s="40"/>
      <c r="AF39" s="40"/>
      <c r="AG39" s="40"/>
      <c r="AH39" s="56" t="str">
        <f t="shared" si="16"/>
        <v/>
      </c>
      <c r="AI39" s="54"/>
      <c r="AJ39" s="54"/>
      <c r="AK39" s="54">
        <v>31</v>
      </c>
      <c r="AL39" s="54" t="s">
        <v>51</v>
      </c>
      <c r="AM39" s="54" t="s">
        <v>52</v>
      </c>
    </row>
    <row r="40" spans="1:39">
      <c r="A40" s="45" t="str" cm="1">
        <f t="array" ref="A40">IF(H40="PROJECT", CHAR(10) &amp; "- " &amp; _xlfn.TEXTJOIN(CHAR(10) &amp; "- ", TRUE, _xlfn._xlws.FILTER($I$9:$I$1000, ($B$9:$B$1000=B40) * ($H$9:$H$1000="Topic"))), "")</f>
        <v/>
      </c>
      <c r="B40" s="45">
        <f t="shared" si="1"/>
        <v>4</v>
      </c>
      <c r="C40" s="95">
        <v>18</v>
      </c>
      <c r="D40" s="57">
        <v>4</v>
      </c>
      <c r="E40" s="58" t="s">
        <v>48</v>
      </c>
      <c r="F40" s="59">
        <v>32</v>
      </c>
      <c r="G40" s="60" t="s">
        <v>160</v>
      </c>
      <c r="H40" s="60" t="s">
        <v>50</v>
      </c>
      <c r="I40" s="61" t="s">
        <v>841</v>
      </c>
      <c r="J40" s="62" t="s">
        <v>842</v>
      </c>
      <c r="K40" s="129" t="str">
        <f t="shared" si="0"/>
        <v xml:space="preserve">[ROLE] Friendly tutor specializing in Dart Object-Oriented &amp; Advanced Patterns | [TOPIC] Create Generic Classes using class Box&lt;T&gt; and class Pair&lt;K, V&gt;.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18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Dart Object-Oriented &amp; Advanced Patterns | 📊 Level: Intermediate | 🌐 Coding5s.com
**Concept:** Generic Classes (class Box&lt;T&gt;, class Pair&lt;K, V&gt;)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Generic Classes using class Box&lt;T&gt; and class Pair&lt;K, V&gt;.. Topic details: Generic Classes (class Box&lt;T&gt;, class Pair&lt;K, V&gt;)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Dart Object-Oriented &amp; Advanced Patterns | 📊 Level: Intermediate
**Topic:** Create Generic Classes using class Box&lt;T&gt; and class Pair&lt;K, V&gt;.
---
 | [FOOTER RULE - STRICT] End your response with: '--- ⚡ *Coding5s Mentor System — Eliminating Epistemic Debt*' | </v>
      </c>
      <c r="M40" s="52">
        <v>0</v>
      </c>
      <c r="N40" s="102" t="str">
        <f t="shared" si="3"/>
        <v>[ROLE] Careless Dart Object-Oriented &amp; Advanced Patterns Developer | [TASK] Generate debugging challenges in Dart Object-Oriented &amp; Advanced Patterns | | [TOPIC] Create Generic Classes using class Box&lt;T&gt; and class Pair&lt;K, V&gt;.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#32 | Stage 2 🐛 Debug | Dart Object-Oriented &amp; Advanced Patterns | 📊 Level: Intermediate | 🌐 Coding5s.com
Concept: Generic Classes (class Box&lt;T&gt;, class Pair&lt;K, V&gt;)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Generic Classes using class Box&lt;T&gt; and class Pair&lt;K, V&gt;.. Topic details: Generic Classes (class Box&lt;T&gt;, class Pair&lt;K, V&gt;)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Dart Object-Oriented &amp; Advanced Patterns | 📊 Level: Intermediate
**Topic:** Create Generic Classes using class Box&lt;T&gt; and class Pair&lt;K, V&gt;.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5"/>
        <v>[ROLE] Tech Lead | [TASK] Assign incomplete Dart Object-Oriented &amp; Advanced Patterns script challenges | [TOPIC] Create Generic Classes using class Box&lt;T&gt; and class Pair&lt;K, V&gt;.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#32 | Stage 3 🧩 Complete | Dart Object-Oriented &amp; Advanced Patterns | 📊 Level: Intermediate | 🌐 Coding5s.com
**Concept:** Generic Classes (class Box&lt;T&gt;, class Pair&lt;K, V&gt;)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Generic Classes using class Box&lt;T&gt; and class Pair&lt;K, V&gt;..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Generic Classes using class Box&lt;T&gt; and class Pair&lt;K, V&gt;.. Topic details: Generic Classes (class Box&lt;T&gt;, class Pair&lt;K, V&gt;)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Dart Object-Oriented &amp; Advanced Patterns | 📊 Level: Intermediate
**Topic:** Create Generic Classes using class Box&lt;T&gt; and class Pair&lt;K, V&gt;.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7"/>
        <v>[ROLE] Tech Lead | [TASK] Provide intentionally messy but functional code for learning debugging and improvement | [TOPIC] Create Generic Classes using class Box&lt;T&gt; and class Pair&lt;K, V&gt;.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#32 | Stage 4 🧹 Refactor | Dart Object-Oriented &amp; Advanced Patterns | 📊 Level: Intermediate | 🌐 Coding5s.com
**Concept:** Generic Classes (class Box&lt;T&gt;, class Pair&lt;K, V&gt;)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Generic Classes using class Box&lt;T&gt; and class Pair&lt;K, V&gt;.. Topic details: Generic Classes (class Box&lt;T&gt;, class Pair&lt;K, V&gt;)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Dart Object-Oriented &amp; Advanced Patterns | 📊 Level: Intermediate
**Topic:** Create Generic Classes using class Box&lt;T&gt; and class Pair&lt;K, V&gt;.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9"/>
        <v>[ROLE] Tech Product Manager assigning a Dart Object-Oriented &amp; Advanced Patterns Jira Ticket | [TASK] Provide a guided implementation exercise with full solution for learning purposes | [TOPIC] Create Generic Classes using class Box&lt;T&gt; and class Pair&lt;K, V&gt;.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#32 | Stage 5 | Dart Object-Oriented &amp; Advanced Patterns | 📊 Level: Intermediate | 🌐 Coding5s.com
**Concept:** Generic Classes (class Box&lt;T&gt;, class Pair&lt;K, V&gt;)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Generic Classes using class Box&lt;T&gt; and class Pair&lt;K, V&gt;.. Goal: Generic Classes (class Box&lt;T&gt;, class Pair&lt;K, V&gt;)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Dart Object-Oriented &amp; Advanced Patterns | 📊 Level: Intermediate
**Topic:** Create Generic Classes using class Box&lt;T&gt; and class Pair&lt;K, V&gt;.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1"/>
        <v/>
      </c>
      <c r="AA40" s="56" t="str">
        <f t="shared" si="12"/>
        <v/>
      </c>
      <c r="AB40" s="56" t="str">
        <f t="shared" si="13"/>
        <v/>
      </c>
      <c r="AC40" s="56" t="str">
        <f t="shared" si="14"/>
        <v/>
      </c>
      <c r="AD40" s="56" t="str">
        <f t="shared" si="15"/>
        <v/>
      </c>
      <c r="AE40" s="40"/>
      <c r="AF40" s="40"/>
      <c r="AG40" s="40"/>
      <c r="AH40" s="56" t="str">
        <f t="shared" si="16"/>
        <v/>
      </c>
      <c r="AI40" s="54"/>
      <c r="AJ40" s="54"/>
      <c r="AK40" s="54">
        <v>32</v>
      </c>
      <c r="AL40" s="54" t="s">
        <v>57</v>
      </c>
      <c r="AM40" s="54" t="s">
        <v>58</v>
      </c>
    </row>
    <row r="41" spans="1:39">
      <c r="A41" s="45" t="str" cm="1">
        <f t="array" ref="A41">IF(H41="PROJECT", CHAR(10) &amp; "- " &amp; _xlfn.TEXTJOIN(CHAR(10) &amp; "- ", TRUE, _xlfn._xlws.FILTER($I$9:$I$1000, ($B$9:$B$1000=B41) * ($H$9:$H$1000="Topic"))), "")</f>
        <v/>
      </c>
      <c r="B41" s="45">
        <f t="shared" si="1"/>
        <v>4</v>
      </c>
      <c r="C41" s="95">
        <v>18</v>
      </c>
      <c r="D41" s="46">
        <v>4</v>
      </c>
      <c r="E41" s="58" t="s">
        <v>48</v>
      </c>
      <c r="F41" s="48">
        <v>33</v>
      </c>
      <c r="G41" s="49" t="s">
        <v>160</v>
      </c>
      <c r="H41" s="49" t="s">
        <v>50</v>
      </c>
      <c r="I41" s="50" t="s">
        <v>843</v>
      </c>
      <c r="J41" s="51" t="s">
        <v>844</v>
      </c>
      <c r="K41" s="129" t="str">
        <f t="shared" ref="K41:K72" si="17">IF(H41="Topic",
"[ROLE] Friendly tutor specializing in " &amp; $I$2 &amp; " | " &amp;
"[TOPIC] " &amp; I41 &amp; " | " &amp;
"[LEVEL] " &amp; G41 &amp; " | " &amp;
"[COUNT] " &amp; D41 &amp; " examples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$A$6 &amp; "). This includes translating ALL structural labels requested in this prompt (like 'Dataset Summary', 'File Type', 'Columns / Fields', 'Data Types', 'Notes', 'Analogy', 'Exercise', 'Objective', 'Expected Output') into " &amp; $A$6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$A$6 &amp; ": " &amp; $AE$7) &amp; " | " &amp;
"[LANGUAGE] " &amp; $A$6 &amp; " | " &amp;
"[EXECUTIVE CONSTRAINTS] Each example MUST include: - Internal data OR dataset usage - Print key intermediate steps and the final result - MUST NOT exceed exactly " &amp; $C41 &amp; " lines of EXECUTABLE code (STRICT: Do NOT count comments or blank lines). - NEVER exceed this limit. | " &amp;
"[FUNCTION RULE] Rule: " &amp; IF(G41="Beginner","Focus: basic async/await, simple Future-returning methods on classes, synchronous Stream handling within class methods.", IF(G41="Intermediate", "Integrate StreamControllers (event-driven) inside classes, async* generators as methods, explicit state transitions via sealed class hierarchies.", "stateful class instances with strict typing, sealed state classes, or Stream-based message passing between objects")) &amp; " | " &amp;
_xlfn._LONGTEXT("[CODE_CONSTRAINTS_RULE] Each example MUST: - Use stateful class instances with strict typing, sealed state classes, or Stream-based message passing between objects - Print steps &amp; result via print() or developer.log() inside isolated scopes, error handler","s, or class methods - MAX ") &amp; $C41 &amp; " executable lines (comments/blanks excluded) - NEVER exceed limit. | " &amp;
_xlfn._LONGTEXT("[I_O_PARADIGM] Use standard event passing via StreamController.add, SendPort.send, or typed method calls on class interfaces and gracefully handle sealed classes representing states, Records like (response, newState), or typed Futures/Streams returned fro","m class methods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F41 &amp; " | Stage 1 📖 Practice | " &amp; IF($I$3="", $I$2, $I$2&amp; " - " &amp;$I$3) &amp; " | 📊 Level: " &amp; G41 &amp; " | 🌐 Coding5s.com" &amp; CHAR(10) &amp; "**Concept:** " &amp; J41 &amp; CHAR(10) &amp; "---" &amp; CHAR(10) &amp; " | " &amp;
"[INTRO RULE] Include a short tutor-style sentence in " &amp; $A$6 &amp; " before the analogy, followed by this EXACT instruction block translated to " &amp; $A$6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D41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IF(AJ41&lt;&gt;"", AJ41,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$A$6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IF(H41="PROJECT", Z41, ""))</f>
        <v xml:space="preserve">[ROLE] Friendly tutor specializing in Dart Object-Oriented &amp; Advanced Patterns | [TOPIC] Apply Bounded Type Constraints using &lt;T BaseType extends&gt; and &lt;T Object extends&gt;.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18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Dart Object-Oriented &amp; Advanced Patterns | 📊 Level: Intermediate | 🌐 Coding5s.com
**Concept:** Bounded Type Constraints (&lt;T BaseType extends&gt;, &lt;T Object extends&gt;)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Bounded Type Constraints using &lt;T BaseType extends&gt; and &lt;T Object extends&gt;.. Topic details: Bounded Type Constraints (&lt;T BaseType extends&gt;, &lt;T Object extends&gt;)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Dart Object-Oriented &amp; Advanced Patterns | 📊 Level: Intermediate
**Topic:** Apply Bounded Type Constraints using &lt;T BaseType extends&gt; and &lt;T Object extends&gt;.
---
 | [FOOTER RULE - STRICT] End your response with: '--- ⚡ *Coding5s Mentor System — Eliminating Epistemic Debt*' | </v>
      </c>
      <c r="M41" s="53">
        <v>0</v>
      </c>
      <c r="N41" s="102" t="str">
        <f t="shared" si="3"/>
        <v>[ROLE] Careless Dart Object-Oriented &amp; Advanced Patterns Developer | [TASK] Generate debugging challenges in Dart Object-Oriented &amp; Advanced Patterns | | [TOPIC] Apply Bounded Type Constraints using &lt;T BaseType extends&gt; and &lt;T Object extends&gt;.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#33 | Stage 2 🐛 Debug | Dart Object-Oriented &amp; Advanced Patterns | 📊 Level: Intermediate | 🌐 Coding5s.com
Concept: Bounded Type Constraints (&lt;T BaseType extends&gt;, &lt;T Object extends&gt;)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Bounded Type Constraints using &lt;T BaseType extends&gt; and &lt;T Object extends&gt;.. Topic details: Bounded Type Constraints (&lt;T BaseType extends&gt;, &lt;T Object extends&gt;)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Dart Object-Oriented &amp; Advanced Patterns | 📊 Level: Intermediate
**Topic:** Apply Bounded Type Constraints using &lt;T BaseType extends&gt; and &lt;T Object extends&gt;.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5"/>
        <v>[ROLE] Tech Lead | [TASK] Assign incomplete Dart Object-Oriented &amp; Advanced Patterns script challenges | [TOPIC] Apply Bounded Type Constraints using &lt;T BaseType extends&gt; and &lt;T Object extends&gt;.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#33 | Stage 3 🧩 Complete | Dart Object-Oriented &amp; Advanced Patterns | 📊 Level: Intermediate | 🌐 Coding5s.com
**Concept:** Bounded Type Constraints (&lt;T BaseType extends&gt;, &lt;T Object extends&gt;)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Bounded Type Constraints using &lt;T BaseType extends&gt; and &lt;T Object extends&gt;..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Bounded Type Constraints using &lt;T BaseType extends&gt; and &lt;T Object extends&gt;.. Topic details: Bounded Type Constraints (&lt;T BaseType extends&gt;, &lt;T Object extends&gt;)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Dart Object-Oriented &amp; Advanced Patterns | 📊 Level: Intermediate
**Topic:** Apply Bounded Type Constraints using &lt;T BaseType extends&gt; and &lt;T Object extends&gt;.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7"/>
        <v>[ROLE] Tech Lead | [TASK] Provide intentionally messy but functional code for learning debugging and improvement | [TOPIC] Apply Bounded Type Constraints using &lt;T BaseType extends&gt; and &lt;T Object extends&gt;.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#33 | Stage 4 🧹 Refactor | Dart Object-Oriented &amp; Advanced Patterns | 📊 Level: Intermediate | 🌐 Coding5s.com
**Concept:** Bounded Type Constraints (&lt;T BaseType extends&gt;, &lt;T Object extends&gt;)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Bounded Type Constraints using &lt;T BaseType extends&gt; and &lt;T Object extends&gt;.. Topic details: Bounded Type Constraints (&lt;T BaseType extends&gt;, &lt;T Object extends&gt;)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Dart Object-Oriented &amp; Advanced Patterns | 📊 Level: Intermediate
**Topic:** Apply Bounded Type Constraints using &lt;T BaseType extends&gt; and &lt;T Object extends&gt;.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9"/>
        <v>[ROLE] Tech Product Manager assigning a Dart Object-Oriented &amp; Advanced Patterns Jira Ticket | [TASK] Provide a guided implementation exercise with full solution for learning purposes | [TOPIC] Apply Bounded Type Constraints using &lt;T BaseType extends&gt; and &lt;T Object extends&gt;.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#33 | Stage 5 | Dart Object-Oriented &amp; Advanced Patterns | 📊 Level: Intermediate | 🌐 Coding5s.com
**Concept:** Bounded Type Constraints (&lt;T BaseType extends&gt;, &lt;T Object extends&gt;)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Bounded Type Constraints using &lt;T BaseType extends&gt; and &lt;T Object extends&gt;.. Goal: Bounded Type Constraints (&lt;T BaseType extends&gt;, &lt;T Object extends&gt;)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Dart Object-Oriented &amp; Advanced Patterns | 📊 Level: Intermediate
**Topic:** Apply Bounded Type Constraints using &lt;T BaseType extends&gt; and &lt;T Object extends&gt;.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1"/>
        <v/>
      </c>
      <c r="AA41" s="56" t="str">
        <f t="shared" si="12"/>
        <v/>
      </c>
      <c r="AB41" s="56" t="str">
        <f t="shared" si="13"/>
        <v/>
      </c>
      <c r="AC41" s="56" t="str">
        <f t="shared" si="14"/>
        <v/>
      </c>
      <c r="AD41" s="56" t="str">
        <f t="shared" si="15"/>
        <v/>
      </c>
      <c r="AE41" s="40"/>
      <c r="AF41" s="40"/>
      <c r="AG41" s="40"/>
      <c r="AH41" s="56" t="str">
        <f t="shared" si="16"/>
        <v/>
      </c>
      <c r="AI41" s="54"/>
      <c r="AJ41" s="54"/>
      <c r="AK41" s="54">
        <v>33</v>
      </c>
      <c r="AL41" s="54" t="s">
        <v>62</v>
      </c>
      <c r="AM41" s="54" t="s">
        <v>63</v>
      </c>
    </row>
    <row r="42" spans="1:39">
      <c r="A42" s="45" t="str" cm="1">
        <f t="array" ref="A42">IF(H42="PROJECT", CHAR(10) &amp; "- " &amp; _xlfn.TEXTJOIN(CHAR(10) &amp; "- ", TRUE, _xlfn._xlws.FILTER($I$9:$I$1000, ($B$9:$B$1000=B42) * ($H$9:$H$1000="Topic"))), "")</f>
        <v/>
      </c>
      <c r="B42" s="45">
        <f t="shared" si="1"/>
        <v>4</v>
      </c>
      <c r="C42" s="95">
        <v>15</v>
      </c>
      <c r="D42" s="57">
        <v>4</v>
      </c>
      <c r="E42" s="58" t="s">
        <v>48</v>
      </c>
      <c r="F42" s="59">
        <v>34</v>
      </c>
      <c r="G42" s="60" t="s">
        <v>160</v>
      </c>
      <c r="H42" s="60" t="s">
        <v>50</v>
      </c>
      <c r="I42" s="61" t="s">
        <v>845</v>
      </c>
      <c r="J42" s="62" t="s">
        <v>846</v>
      </c>
      <c r="K42" s="129" t="str">
        <f t="shared" si="17"/>
        <v xml:space="preserve">[ROLE] Friendly tutor specializing in Dart Object-Oriented &amp; Advanced Patterns | [TOPIC] Implement Custom Exceptions using implements Exception and toString().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Dart Object-Oriented &amp; Advanced Patterns | 📊 Level: Intermediate | 🌐 Coding5s.com
**Concept:** Exception Implementation (implements Exception, toString())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Custom Exceptions using implements Exception and toString().. Topic details: Exception Implementation (implements Exception, toString())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Dart Object-Oriented &amp; Advanced Patterns | 📊 Level: Intermediate
**Topic:** Implement Custom Exceptions using implements Exception and toString().
---
 | [FOOTER RULE - STRICT] End your response with: '--- ⚡ *Coding5s Mentor System — Eliminating Epistemic Debt*' | </v>
      </c>
      <c r="M42" s="52">
        <v>0</v>
      </c>
      <c r="N42" s="102" t="str">
        <f t="shared" si="3"/>
        <v>[ROLE] Careless Dart Object-Oriented &amp; Advanced Patterns Developer | [TASK] Generate debugging challenges in Dart Object-Oriented &amp; Advanced Patterns | | [TOPIC] Implement Custom Exceptions using implements Exception and toString().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#34 | Stage 2 🐛 Debug | Dart Object-Oriented &amp; Advanced Patterns | 📊 Level: Intermediate | 🌐 Coding5s.com
Concept: Exception Implementation (implements Exception, toString())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Custom Exceptions using implements Exception and toString().. Topic details: Exception Implementation (implements Exception, toString())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Dart Object-Oriented &amp; Advanced Patterns | 📊 Level: Intermediate
**Topic:** Implement Custom Exceptions using implements Exception and toString().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5"/>
        <v>[ROLE] Tech Lead | [TASK] Assign incomplete Dart Object-Oriented &amp; Advanced Patterns script challenges | [TOPIC] Implement Custom Exceptions using implements Exception and toString().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#34 | Stage 3 🧩 Complete | Dart Object-Oriented &amp; Advanced Patterns | 📊 Level: Intermediate | 🌐 Coding5s.com
**Concept:** Exception Implementation (implements Exception, toString())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Custom Exceptions using implements Exception and toString()..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Custom Exceptions using implements Exception and toString().. Topic details: Exception Implementation (implements Exception, toString())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Dart Object-Oriented &amp; Advanced Patterns | 📊 Level: Intermediate
**Topic:** Implement Custom Exceptions using implements Exception and toString().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7"/>
        <v>[ROLE] Tech Lead | [TASK] Provide intentionally messy but functional code for learning debugging and improvement | [TOPIC] Implement Custom Exceptions using implements Exception and toString().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#34 | Stage 4 🧹 Refactor | Dart Object-Oriented &amp; Advanced Patterns | 📊 Level: Intermediate | 🌐 Coding5s.com
**Concept:** Exception Implementation (implements Exception, toString())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Custom Exceptions using implements Exception and toString().. Topic details: Exception Implementation (implements Exception, toString())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Dart Object-Oriented &amp; Advanced Patterns | 📊 Level: Intermediate
**Topic:** Implement Custom Exceptions using implements Exception and toString().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9"/>
        <v>[ROLE] Tech Product Manager assigning a Dart Object-Oriented &amp; Advanced Patterns Jira Ticket | [TASK] Provide a guided implementation exercise with full solution for learning purposes | [TOPIC] Implement Custom Exceptions using implements Exception and toString().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#34 | Stage 5 | Dart Object-Oriented &amp; Advanced Patterns | 📊 Level: Intermediate | 🌐 Coding5s.com
**Concept:** Exception Implementation (implements Exception, toString())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Custom Exceptions using implements Exception and toString().. Goal: Exception Implementation (implements Exception, toString())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Dart Object-Oriented &amp; Advanced Patterns | 📊 Level: Intermediate
**Topic:** Implement Custom Exceptions using implements Exception and toString().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1"/>
        <v/>
      </c>
      <c r="AA42" s="56" t="str">
        <f t="shared" si="12"/>
        <v/>
      </c>
      <c r="AB42" s="56" t="str">
        <f t="shared" si="13"/>
        <v/>
      </c>
      <c r="AC42" s="56" t="str">
        <f t="shared" si="14"/>
        <v/>
      </c>
      <c r="AD42" s="56" t="str">
        <f t="shared" si="15"/>
        <v/>
      </c>
      <c r="AE42" s="40"/>
      <c r="AF42" s="40"/>
      <c r="AG42" s="40"/>
      <c r="AH42" s="56" t="str">
        <f t="shared" si="16"/>
        <v/>
      </c>
      <c r="AI42" s="54"/>
      <c r="AJ42" s="54"/>
      <c r="AK42" s="54">
        <v>34</v>
      </c>
      <c r="AL42" s="54" t="s">
        <v>68</v>
      </c>
      <c r="AM42" s="54" t="s">
        <v>69</v>
      </c>
    </row>
    <row r="43" spans="1:39">
      <c r="A43" s="45" t="str" cm="1">
        <f t="array" ref="A43">IF(H43="PROJECT", CHAR(10) &amp; "- " &amp; _xlfn.TEXTJOIN(CHAR(10) &amp; "- ", TRUE, _xlfn._xlws.FILTER($I$9:$I$1000, ($B$9:$B$1000=B43) * ($H$9:$H$1000="Topic"))), "")</f>
        <v/>
      </c>
      <c r="B43" s="45">
        <f t="shared" si="1"/>
        <v>4</v>
      </c>
      <c r="C43" s="95">
        <v>18</v>
      </c>
      <c r="D43" s="46">
        <v>4</v>
      </c>
      <c r="E43" s="58" t="s">
        <v>48</v>
      </c>
      <c r="F43" s="48">
        <v>35</v>
      </c>
      <c r="G43" s="49" t="s">
        <v>160</v>
      </c>
      <c r="H43" s="49" t="s">
        <v>50</v>
      </c>
      <c r="I43" s="50" t="s">
        <v>847</v>
      </c>
      <c r="J43" s="51" t="s">
        <v>848</v>
      </c>
      <c r="K43" s="129" t="str">
        <f t="shared" si="17"/>
        <v xml:space="preserve">[ROLE] Friendly tutor specializing in Dart Object-Oriented &amp; Advanced Patterns | [TOPIC] Extend Errors using extends Error and capturing state.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18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Dart Object-Oriented &amp; Advanced Patterns | 📊 Level: Intermediate | 🌐 Coding5s.com
**Concept:** Error Extension (extends Error, capturing state)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Errors using extends Error and capturing state.. Topic details: Error Extension (extends Error, capturing state)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Dart Object-Oriented &amp; Advanced Patterns | 📊 Level: Intermediate
**Topic:** Extend Errors using extends Error and capturing state.
---
 | [FOOTER RULE - STRICT] End your response with: '--- ⚡ *Coding5s Mentor System — Eliminating Epistemic Debt*' | </v>
      </c>
      <c r="M43" s="53">
        <v>0</v>
      </c>
      <c r="N43" s="102" t="str">
        <f t="shared" si="3"/>
        <v>[ROLE] Careless Dart Object-Oriented &amp; Advanced Patterns Developer | [TASK] Generate debugging challenges in Dart Object-Oriented &amp; Advanced Patterns | | [TOPIC] Extend Errors using extends Error and capturing state.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#35 | Stage 2 🐛 Debug | Dart Object-Oriented &amp; Advanced Patterns | 📊 Level: Intermediate | 🌐 Coding5s.com
Concept: Error Extension (extends Error, capturing state)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Errors using extends Error and capturing state.. Topic details: Error Extension (extends Error, capturing state)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Dart Object-Oriented &amp; Advanced Patterns | 📊 Level: Intermediate
**Topic:** Extend Errors using extends Error and capturing state.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5"/>
        <v>[ROLE] Tech Lead | [TASK] Assign incomplete Dart Object-Oriented &amp; Advanced Patterns script challenges | [TOPIC] Extend Errors using extends Error and capturing state.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#35 | Stage 3 🧩 Complete | Dart Object-Oriented &amp; Advanced Patterns | 📊 Level: Intermediate | 🌐 Coding5s.com
**Concept:** Error Extension (extends Error, capturing state)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Extend Errors using extends Error and capturing state..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Errors using extends Error and capturing state.. Topic details: Error Extension (extends Error, capturing state)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Dart Object-Oriented &amp; Advanced Patterns | 📊 Level: Intermediate
**Topic:** Extend Errors using extends Error and capturing state.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7"/>
        <v>[ROLE] Tech Lead | [TASK] Provide intentionally messy but functional code for learning debugging and improvement | [TOPIC] Extend Errors using extends Error and capturing state.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#35 | Stage 4 🧹 Refactor | Dart Object-Oriented &amp; Advanced Patterns | 📊 Level: Intermediate | 🌐 Coding5s.com
**Concept:** Error Extension (extends Error, capturing state)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Extend Errors using extends Error and capturing state.. Topic details: Error Extension (extends Error, capturing state)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Dart Object-Oriented &amp; Advanced Patterns | 📊 Level: Intermediate
**Topic:** Extend Errors using extends Error and capturing state.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9"/>
        <v>[ROLE] Tech Product Manager assigning a Dart Object-Oriented &amp; Advanced Patterns Jira Ticket | [TASK] Provide a guided implementation exercise with full solution for learning purposes | [TOPIC] Extend Errors using extends Error and capturing state.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#35 | Stage 5 | Dart Object-Oriented &amp; Advanced Patterns | 📊 Level: Intermediate | 🌐 Coding5s.com
**Concept:** Error Extension (extends Error, capturing state)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Errors using extends Error and capturing state.. Goal: Error Extension (extends Error, capturing state)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Dart Object-Oriented &amp; Advanced Patterns | 📊 Level: Intermediate
**Topic:** Extend Errors using extends Error and capturing state.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1"/>
        <v/>
      </c>
      <c r="AA43" s="56" t="str">
        <f t="shared" si="12"/>
        <v/>
      </c>
      <c r="AB43" s="56" t="str">
        <f t="shared" si="13"/>
        <v/>
      </c>
      <c r="AC43" s="56" t="str">
        <f t="shared" si="14"/>
        <v/>
      </c>
      <c r="AD43" s="56" t="str">
        <f t="shared" si="15"/>
        <v/>
      </c>
      <c r="AE43" s="40"/>
      <c r="AF43" s="40"/>
      <c r="AG43" s="40"/>
      <c r="AH43" s="56" t="str">
        <f t="shared" si="16"/>
        <v/>
      </c>
      <c r="AI43" s="54"/>
      <c r="AJ43" s="54"/>
      <c r="AK43" s="54">
        <v>35</v>
      </c>
      <c r="AL43" s="54" t="s">
        <v>74</v>
      </c>
      <c r="AM43" s="54" t="s">
        <v>75</v>
      </c>
    </row>
    <row r="44" spans="1:39">
      <c r="A44" s="45" t="str" cm="1">
        <f t="array" ref="A44">IF(H44="PROJECT", CHAR(10) &amp; "- " &amp; _xlfn.TEXTJOIN(CHAR(10) &amp; "- ", TRUE, _xlfn._xlws.FILTER($I$9:$I$1000, ($B$9:$B$1000=B44) * ($H$9:$H$1000="Topic"))), "")</f>
        <v xml:space="preserve">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v>
      </c>
      <c r="B44" s="45">
        <f t="shared" si="1"/>
        <v>4</v>
      </c>
      <c r="C44" s="95">
        <v>30</v>
      </c>
      <c r="D44" s="57">
        <v>0</v>
      </c>
      <c r="E44" s="58" t="s">
        <v>48</v>
      </c>
      <c r="F44" s="59">
        <v>36</v>
      </c>
      <c r="G44" s="60" t="s">
        <v>161</v>
      </c>
      <c r="H44" s="60" t="s">
        <v>79</v>
      </c>
      <c r="I44" s="61" t="s">
        <v>849</v>
      </c>
      <c r="J44" s="62" t="s">
        <v>850</v>
      </c>
      <c r="K44" s="129" t="str">
        <f t="shared" si="17"/>
        <v>[TASK] Teach through a practical Dart Object-Oriented &amp; Advanced Patterns -  project following the micro-learning methodology, acting as a supportive tutor, creating a project about  Develop an advanced type-safe hierarchy consolidating Extension Methods, Extension Types, Inheritance Modifiers, Sealed Hierarchies, Generic Classes, Bounded Type Constraints, Exception Implementation, and Error Extension. | [TOPICS USED] 4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#36 | Stage 1 | Dart Object-Oriented &amp; Advanced Patterns | 📊 Level: Advanced | 🌐 Coding5s.com
**Project:** Advanced Type System and Error Handling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4"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an advanced type-safe hierarchy consolidating Extension Methods, Extension Types, Inheritance Modifiers, Sealed Hierarchies, Generic Classes, Bounded Type Constraints, Exception Implementation, and Error Extension.. Topics applied in this project: 4. Project objective: Advanced Type System and Error Handling Project | [LANGUAGE CONSISTENCY RULE] ALL output text MUST be written strictly in (en). | [LANGUAGE SEED CONTEXT] Language Seed Not Necessary | [LANGUAGE] en | [MENTOR_SCOPE_EXPECTATIONS] Expect complete apps with bi-directional Isolate communication, clean separation of public interfaces vs internal state, exhaustive pattern matching with sealed classes, and advanced OOP patterns (composition over inheritance).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#36 | Practice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[FOOTER RULE - STRICT] End your response with: '--- ⚡ *Coding5s Mentor System — Eliminating Epistemic Debt*' | </v>
      </c>
      <c r="M44" s="52">
        <v>0</v>
      </c>
      <c r="N44" s="102" t="str">
        <f t="shared" si="3"/>
        <v>[ROLE] Careless Dart Object-Oriented &amp; Advanced Patterns Developer | [TASK] Generate debugging project in Dart Object-Oriented &amp; Advanced Patterns | [PROJECT] Develop an advanced type-safe hierarchy consolidating Extension Methods, Extension Types, Inheritance Modifiers, Sealed Hierarchies, Generic Classes, Bounded Type Constraints, Exception Implementation, and Error Extension. | [TOPICS USED] 4 | [LEVEL] Advanced | [OUTPUT] Only header, dataset summary or statement (if any), email intro, objective, expected output, broken code, and footer | [HEADER RULE - STRICT] You MUST start your entire response EXACTLY with this markdown block (do not print anything before it):
### 🚀 Project #36 | Stage 2 | Dart Object-Oriented &amp; Advanced Patterns | 📊 Level: Advanced | 🌐 Coding5s.com
Project: Advanced Type System and Error Handling Project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4"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an advanced type-safe hierarchy consolidating Extension Methods, Extension Types, Inheritance Modifiers, Sealed Hierarchies, Generic Classes, Bounded Type Constraints, Exception Implementation, and Error Extension.. Topics involved: 4. Project objective: Advanced Type System and Error Handling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#36 | Debug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5"/>
        <v>[ROLE] Tech Lead | [TASK] Assign incomplete project script | [PROJECT] Develop an advanced type-safe hierarchy consolidating Extension Methods, Extension Types, Inheritance Modifiers, Sealed Hierarchies, Generic Classes, Bounded Type Constraints, Exception Implementation, and Error Extension. | [TOPICS USED] 4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#36 | Stage 3 | Dart Object-Oriented &amp; Advanced Patterns | 📊 Level: Advanced | 🌐 Coding5s.com
**Project:** Advanced Type System and Error Handling Project
---
 | [EXTERNAL_PACKAGE_PROTOCOL] Require standard dart pub tooling and pubspec.yaml for dependencies. | [CHALLENGE_CONSTRAINTS_POLICY] MUST be between 40–100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4"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an advanced type-safe hierarchy consolidating Extension Methods, Extension Types, Inheritance Modifiers, Sealed Hierarchies, Generic Classes, Bounded Type Constraints, Exception Implementation, and Error Extension.. Topics involved: 4. Project objective: Advanced Type System and Error Handling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#36 | Complete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7"/>
        <v>[ROLE] Tech Lead | [TASK] Provide a messy but functional project for refactoring | [PROJECT] Develop an advanced type-safe hierarchy consolidating Extension Methods, Extension Types, Inheritance Modifiers, Sealed Hierarchies, Generic Classes, Bounded Type Constraints, Exception Implementation, and Error Extension. | [TOPICS USED] 4 | [LEVEL] Advanced | [PERSONA RULE] Act as a Tech Lead. A junior wrote this working but messy code. Tone: professional but exhausted | [HEADER RULE - STRICT] You MUST start your entire response EXACTLY with this markdown block (do not print anything before it):
### 🚀 Project #36 | Stage 4 | Dart Object-Oriented &amp; Advanced Patterns | 📊 Level: Advanced | 🌐 Coding5s.com
**Project:** Advanced Type System and Error Handling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PROJECT: Develop an advanced type-safe hierarchy consolidating Extension Methods, Extension Types, Inheritance Modifiers, Sealed Hierarchies, Generic Classes, Bounded Type Constraints, Exception Implementation, and Error Extension.. Topics involved: 4. Project objective: Advanced Type System and Error Handling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#36 | Refactor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9"/>
        <v>[ROLE] Tech Product Manager assigning a Dart Object-Oriented &amp; Advanced Patterns Jira Ticket | [TASK] Provide a guided project implementation with full solution | [PROJECT] Develop an advanced type-safe hierarchy consolidating Extension Methods, Extension Types, Inheritance Modifiers, Sealed Hierarchies, Generic Classes, Bounded Type Constraints, Exception Implementation, and Error Extension. | [TOPICS USED] 4 | [LEVEL] Advanced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#36 | Stage 5 | Dart Object-Oriented &amp; Advanced Patterns | 📊 Level: Advanced | 🌐 Coding5s.com
**Project:** Advanced Type System and Error Handling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an advanced type-safe hierarchy consolidating Extension Methods, Extension Types, Inheritance Modifiers, Sealed Hierarchies, Generic Classes, Bounded Type Constraints, Exception Implementation, and Error Extension.. Topics integrated: 4. Business Goal: Advanced Type System and Error Handling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#36 | Extend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1"/>
        <v>[TASK] Teach through a practical Dart Object-Oriented &amp; Advanced Patterns -  project following the micro-learning methodology, acting as a supportive tutor, creating a project about  Develop an advanced type-safe hierarchy consolidating Extension Methods, Extension Types, Inheritance Modifiers, Sealed Hierarchies, Generic Classes, Bounded Type Constraints, Exception Implementation, and Error Extension. | [TOPICS USED] 4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[LANGUAGE] en | [INLINE_PACKAGE_MANAGER] If the project requires an external package, you MUST use Standard pubspec.yaml dependencies block (dependencies: package_name: ^version) at the top. | [SCOPE_ARCHITECTURE_RULE] Rule: Build apps: bi-directional Isolate communication between class instances, complex Stream transformations, exhaustive switch on sealed class events. | [VISUAL_ARCHITECTURE_COMMENTS]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#36 | Stage 1 | Dart Object-Oriented &amp; Advanced Patterns | 📊 Level: Advanced | 🌐 Coding5s.com
**Project:** Advanced Type System and Error Handling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4" s="56" t="str">
        <f t="shared" si="12"/>
        <v>[ROLE] Careless Dart Object-Oriented &amp; Advanced Patterns Developer | [TASK] Generate debugging project in Dart Object-Oriented &amp; Advanced Patterns | [PROJECT] Develop an advanced type-safe hierarchy consolidating Extension Methods, Extension Types, Inheritance Modifiers, Sealed Hierarchies, Generic Classes, Bounded Type Constraints, Exception Implementation, and Error Extension. | [TOPICS USED] 4 | [LEVEL] Advanced | [OUTPUT] Only header, dataset summary or statement (if any), email intro, objective, expected output, broken code, and footer | [HEADER RULE - STRICT] You MUST start your entire response EXACTLY with this markdown block (do not print anything before it):
### 🚀 Project #36 | Stage 2 | Dart Object-Oriented &amp; Advanced Patterns | 📊 Level: Advanced | 🌐 Coding5s.com
Project: Advanced Type System and Error Handling Project
---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 This includes translating ALL structural labels requested in this prompt (like 'Project', 'Objective', 'Expected Output', 'Broken Code', 'From', 'To', 'Subject') into en. Do NOT mix languages. Only code and technical identifiers remain unchanged |  | [LANGUAGE SEED CONTEXT] Language Seed Not Necessary | [BUG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 with this EXACT format translated to en: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4" s="56" t="str">
        <f t="shared" si="13"/>
        <v>[ROLE] Tech Lead | [TASK] Assign incomplete project script | [PROJECT] Develop an advanced type-safe hierarchy consolidating Extension Methods, Extension Types, Inheritance Modifiers, Sealed Hierarchies, Generic Classes, Bounded Type Constraints, Exception Implementation, and Error Extension. | [TOPICS USED] 4 | [LEVEL] Advanced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this markdown block (do not print anything before it):
### 🚀 Project #36 | Stage 3 | Dart Object-Oriented &amp; Advanced Patterns | 📊 Level: Advanced | 🌐 Coding5s.com
**Project:** Advanced Type System and Error Handling Project
---
 | [EXTERNAL_PACKAGE_PROTOCOL] Require standard dart pub tooling and pubspec.yaml for dependencies. | [CHALLENGE_CONSTRAINTS_POLICY] MUST be between 40–100 lines of EXECUTABLE base Dart code (STRICT: Do NOT count comments or TODOs). Must feature Stream-based event pipelines, asynchronous isolate flows, or class-based state machines.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[INTRO RULE] Intro MUST be a dynamically generated email in en with this EXACT format translated to en: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4" s="56" t="str">
        <f t="shared" si="14"/>
        <v>[ROLE] Tech Lead | [TASK] Provide a messy but functional project for refactoring | [PROJECT] Develop an advanced type-safe hierarchy consolidating Extension Methods, Extension Types, Inheritance Modifiers, Sealed Hierarchies, Generic Classes, Bounded Type Constraints, Exception Implementation, and Error Extension. | [TOPICS USED] 4 | [LEVEL] Advanced | [PERSONA RULE] Act as a Tech Lead. A junior wrote this working but messy code. Tone: professional but exhausted | [HEADER RULE - STRICT] You MUST start your entire response EXACTLY with this markdown block (do not print anything before it):
### 🚀 Project #36 | Stage 4 | Dart Object-Oriented &amp; Advanced Patterns | 📊 Level: Advanced | 🌐 Coding5s.com
**Project:** Advanced Type System and Error Handling Project
---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 बुन्देल IMMEDIATELY AFTER THE HEADER, PURGE any memory of previous files, and use realistic dummy data | [INTRO RULE] The intro MUST be an email in en with this EXACT format translated to en: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4" s="56" t="str">
        <f t="shared" si="15"/>
        <v>[ROLE] Tech Product Manager assigning a Dart Object-Oriented &amp; Advanced Patterns Jira Ticket | [TASK] Provide a guided project implementation with full solution | [PROJECT] Develop an advanced type-safe hierarchy consolidating Extension Methods, Extension Types, Inheritance Modifiers, Sealed Hierarchies, Generic Classes, Bounded Type Constraints, Exception Implementation, and Error Extension. | [TOPICS USED] 4 | [LEVEL] Advanced | [PERSONA RULE] Act as a professional Tech Product Manager defining a project ticket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Project #36 | Stage 5 | Dart Object-Oriented &amp; Advanced Patterns | 📊 Level: Advanced | 🌐 Coding5s.com
**Project:** Advanced Type System and Error Handling Project
---
 | [LANGUAGE CONSISTENCY RULE] ALL output MUST be strictly in en.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4" s="40"/>
      <c r="AF44" s="40"/>
      <c r="AG44" s="40"/>
      <c r="AH44" s="56" t="str">
        <f t="shared" si="16"/>
        <v/>
      </c>
      <c r="AI44" s="54"/>
      <c r="AJ44" s="54"/>
      <c r="AK44" s="54">
        <v>36</v>
      </c>
      <c r="AL44" s="54" t="s">
        <v>80</v>
      </c>
      <c r="AM44" s="54" t="s">
        <v>81</v>
      </c>
    </row>
    <row r="45" spans="1:39">
      <c r="A45" s="45" t="str" cm="1">
        <f t="array" ref="A45">IF(H45="PROJECT", CHAR(10) &amp; "- " &amp; _xlfn.TEXTJOIN(CHAR(10) &amp; "- ", TRUE, _xlfn._xlws.FILTER($I$9:$I$1000, ($B$9:$B$1000=B45) * ($H$9:$H$1000="Topic"))), "")</f>
        <v/>
      </c>
      <c r="B45" s="45">
        <f t="shared" si="1"/>
        <v>5</v>
      </c>
      <c r="C45" s="95">
        <v>15</v>
      </c>
      <c r="D45" s="46">
        <v>4</v>
      </c>
      <c r="E45" s="58" t="s">
        <v>48</v>
      </c>
      <c r="F45" s="48">
        <v>37</v>
      </c>
      <c r="G45" s="49" t="s">
        <v>160</v>
      </c>
      <c r="H45" s="49" t="s">
        <v>50</v>
      </c>
      <c r="I45" s="50" t="s">
        <v>851</v>
      </c>
      <c r="J45" s="51" t="s">
        <v>852</v>
      </c>
      <c r="K45" s="129" t="str">
        <f t="shared" si="17"/>
        <v xml:space="preserve">[ROLE] Friendly tutor specializing in Dart Object-Oriented &amp; Advanced Patterns | [TOPIC] Organize Test Suites using group(), setUp(), and tearDown().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Dart Object-Oriented &amp; Advanced Patterns | 📊 Level: Intermediate | 🌐 Coding5s.com
**Concept:** Test Suite Organization (group(), setUp(), tearDown())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Test Suites using group(), setUp(), and tearDown().. Topic details: Test Suite Organization (group(), setUp(), tearDown())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Dart Object-Oriented &amp; Advanced Patterns | 📊 Level: Intermediate
**Topic:** Organize Test Suites using group(), setUp(), and tearDown().
---
 | [FOOTER RULE - STRICT] End your response with: '--- ⚡ *Coding5s Mentor System — Eliminating Epistemic Debt*' | </v>
      </c>
      <c r="M45" s="53">
        <v>0</v>
      </c>
      <c r="N45" s="102" t="str">
        <f t="shared" si="3"/>
        <v>[ROLE] Careless Dart Object-Oriented &amp; Advanced Patterns Developer | [TASK] Generate debugging challenges in Dart Object-Oriented &amp; Advanced Patterns | | [TOPIC] Organize Test Suites using group(), setUp(), and tearDown().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#37 | Stage 2 🐛 Debug | Dart Object-Oriented &amp; Advanced Patterns | 📊 Level: Intermediate | 🌐 Coding5s.com
Concept: Test Suite Organization (group(), setUp(), tearDown())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Test Suites using group(), setUp(), and tearDown().. Topic details: Test Suite Organization (group(), setUp(), tearDown())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Dart Object-Oriented &amp; Advanced Patterns | 📊 Level: Intermediate
**Topic:** Organize Test Suites using group(), setUp(), and tearDown().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5"/>
        <v>[ROLE] Tech Lead | [TASK] Assign incomplete Dart Object-Oriented &amp; Advanced Patterns script challenges | [TOPIC] Organize Test Suites using group(), setUp(), and tearDown().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#37 | Stage 3 🧩 Complete | Dart Object-Oriented &amp; Advanced Patterns | 📊 Level: Intermediate | 🌐 Coding5s.com
**Concept:** Test Suite Organization (group(), setUp(), tearDown())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Organize Test Suites using group(), setUp(), and tearDown()..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Test Suites using group(), setUp(), and tearDown().. Topic details: Test Suite Organization (group(), setUp(), tearDown())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Dart Object-Oriented &amp; Advanced Patterns | 📊 Level: Intermediate
**Topic:** Organize Test Suites using group(), setUp(), and tearDown().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7"/>
        <v>[ROLE] Tech Lead | [TASK] Provide intentionally messy but functional code for learning debugging and improvement | [TOPIC] Organize Test Suites using group(), setUp(), and tearDown().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#37 | Stage 4 🧹 Refactor | Dart Object-Oriented &amp; Advanced Patterns | 📊 Level: Intermediate | 🌐 Coding5s.com
**Concept:** Test Suite Organization (group(), setUp(), tearDown())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Organize Test Suites using group(), setUp(), and tearDown().. Topic details: Test Suite Organization (group(), setUp(), tearDown())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Dart Object-Oriented &amp; Advanced Patterns | 📊 Level: Intermediate
**Topic:** Organize Test Suites using group(), setUp(), and tearDown().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9"/>
        <v>[ROLE] Tech Product Manager assigning a Dart Object-Oriented &amp; Advanced Patterns Jira Ticket | [TASK] Provide a guided implementation exercise with full solution for learning purposes | [TOPIC] Organize Test Suites using group(), setUp(), and tearDown().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#37 | Stage 5 | Dart Object-Oriented &amp; Advanced Patterns | 📊 Level: Intermediate | 🌐 Coding5s.com
**Concept:** Test Suite Organization (group(), setUp(), tearDown())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Test Suites using group(), setUp(), and tearDown().. Goal: Test Suite Organization (group(), setUp(), tearDown())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Dart Object-Oriented &amp; Advanced Patterns | 📊 Level: Intermediate
**Topic:** Organize Test Suites using group(), setUp(), and tearDown().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1"/>
        <v/>
      </c>
      <c r="AA45" s="56" t="str">
        <f t="shared" si="12"/>
        <v/>
      </c>
      <c r="AB45" s="56" t="str">
        <f t="shared" si="13"/>
        <v/>
      </c>
      <c r="AC45" s="56" t="str">
        <f t="shared" si="14"/>
        <v/>
      </c>
      <c r="AD45" s="56" t="str">
        <f t="shared" si="15"/>
        <v/>
      </c>
      <c r="AE45" s="40"/>
      <c r="AF45" s="40"/>
      <c r="AG45" s="40"/>
      <c r="AH45" s="56" t="str">
        <f t="shared" si="16"/>
        <v/>
      </c>
      <c r="AI45" s="54"/>
      <c r="AJ45" s="54"/>
      <c r="AK45" s="54">
        <v>37</v>
      </c>
      <c r="AL45" s="54" t="s">
        <v>85</v>
      </c>
      <c r="AM45" s="54" t="s">
        <v>86</v>
      </c>
    </row>
    <row r="46" spans="1:39">
      <c r="A46" s="45" t="str" cm="1">
        <f t="array" ref="A46">IF(H46="PROJECT", CHAR(10) &amp; "- " &amp; _xlfn.TEXTJOIN(CHAR(10) &amp; "- ", TRUE, _xlfn._xlws.FILTER($I$9:$I$1000, ($B$9:$B$1000=B46) * ($H$9:$H$1000="Topic"))), "")</f>
        <v/>
      </c>
      <c r="B46" s="45">
        <f t="shared" si="1"/>
        <v>5</v>
      </c>
      <c r="C46" s="95">
        <v>15</v>
      </c>
      <c r="D46" s="57">
        <v>4</v>
      </c>
      <c r="E46" s="58" t="s">
        <v>48</v>
      </c>
      <c r="F46" s="59">
        <v>38</v>
      </c>
      <c r="G46" s="60" t="s">
        <v>160</v>
      </c>
      <c r="H46" s="60" t="s">
        <v>50</v>
      </c>
      <c r="I46" s="61" t="s">
        <v>853</v>
      </c>
      <c r="J46" s="62" t="s">
        <v>854</v>
      </c>
      <c r="K46" s="129" t="str">
        <f t="shared" si="17"/>
        <v xml:space="preserve">[ROLE] Friendly tutor specializing in Dart Object-Oriented &amp; Advanced Patterns | [TOPIC] Assert Behaviors using test(), expect(), and throwsA(). | [LEVEL] Intermediate | [COUNT] 4 examples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StreamControllers (event-driven) inside classes, async* generators as methods, explicit state transitions via sealed class hierarchies. | [CODE_CONSTRAINTS_RULE] Each example MUST: - Use stateful class instances with strict typing, sealed state classes, or Stream-based message passing between objects - Print steps &amp; result via print() or developer.log() inside isolated scopes, error handlers, or class methods - MAX 15 executable lines (comments/blanks excluded) - NEVER exceed limit. | [I_O_PARADIGM] Use standard event passing via StreamController.add, SendPort.send, or typed method calls on class interfaces and gracefully handle sealed classes representing states, Records like (response, newState), or typed Futures/Streams returned from class methods when applicable. | [INLINE_PACKAGE_MANAGER] If using external packages, use Standard pubspec.yaml dependencies block (dependencies: package_name: ^version) at the top of the code block. Assume no project configuration file exists. | [TESTING_FRAMEWORK_LIMITS]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Dart Object-Oriented &amp; Advanced Patterns | 📊 Level: Intermediate | 🌐 Coding5s.com
**Concept:** Behavior Assertions (test(), expect(), throwsA())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3" t="str">
        <f t="shared" si="2"/>
        <v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Assert Behaviors using test(), expect(), and throwsA().. Topic details: Behavior Assertions (test(), expect(), throwsA()) | [LANGUAGE CONSISTENCY RULE] ALL output text MUST be written strictly in (en). | [LANGUAGE SEED CONTEXT] Language Seed Not Necessary | [LANGUAGE] en | [MENTOR_SCOPE_EXPECTATIONS] Expect structured Stream handling, isolate usage, and proper state encapsulation using classes with private fields. Look for non-blocking async operations and basic inheritance or composition. | [CODE_QUALITY_POLICIES]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Dart Object-Oriented &amp; Advanced Patterns | 📊 Level: Intermediate
**Topic:** Assert Behaviors using test(), expect(), and throwsA().
---
 | [FOOTER RULE - STRICT] End your response with: '--- ⚡ *Coding5s Mentor System — Eliminating Epistemic Debt*' | </v>
      </c>
      <c r="M46" s="52">
        <v>0</v>
      </c>
      <c r="N46" s="102" t="str">
        <f t="shared" si="3"/>
        <v>[ROLE] Careless Dart Object-Oriented &amp; Advanced Patterns Developer | [TASK] Generate debugging challenges in Dart Object-Oriented &amp; Advanced Patterns | | [TOPIC] Assert Behaviors using test(), expect(), and throwsA(). | | [LEVEL] Intermediate |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#38 | Stage 2 🐛 Debug | Dart Object-Oriented &amp; Advanced Patterns | 📊 Level: Intermediate | 🌐 Coding5s.com
Concept: Behavior Assertions (test(), expect(), throwsA())
---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[EXUNIT RULE] Always use the Dart test package. You MUST use expect() with Future/Stream matchers for async testing. Avoid testing complex async logic with simple synchronous assertions. | [HEX DEPENDENCIES RULE] Assume a standard Dart CLI context. External pub.dev dependencies MUST be specified strictly within the dependencies block of pubspec.yaml. | [CODE CONSTRAINTS] Each challenge MUST include: - At least 1 Stream, Isolate, or class managing continuous state - Explicit typed state initialization - At least 1 asynchronous event listener or Future handler - 10–25 lines of EXECUTABLE broken Dart code per example (STRICT: Do NOT count blank lines). Enforce static typing, Sound Null Safety, and avoid 'dynamic'. | All challenges MUST have similar async abstraction depth, OOP complexity, and architectural layering. | [INTRO RULE] The intro MUST be a dynamically generated, urgent, unprofessional email in en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3" t="str">
        <f t="shared" si="4"/>
        <v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Assert Behaviors using test(), expect(), and throwsA().. Topic details: Behavior Assertions (test(), expect(), throwsA())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Dart Object-Oriented &amp; Advanced Patterns | 📊 Level: Intermediate
**Topic:** Assert Behaviors using test(), expect(), and throwsA().
---
 | [PYTHON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5"/>
        <v>[ROLE] Tech Lead | [TASK] Assign incomplete Dart Object-Oriented &amp; Advanced Patterns script challenges | [TOPIC] Assert Behaviors using test(), expect(), and throwsA().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[HEADER RULE - STRICT] You MUST start your entire response EXACTLY with this markdown block (do not print anything before it):
### 🔹 Topic #38 | Stage 3 🧩 Complete | Dart Object-Oriented &amp; Advanced Patterns | 📊 Level: Intermediate | 🌐 Coding5s.com
**Concept:** Behavior Assertions (test(), expect(), throwsA())
---
 | [LANGUAGE CONSISTENCY RULE] ALL output text MUST be written strictly in the selected language (en). This includes translating ALL structural labels requested in this prompt (like 'Dataset Summary', 'File Type', 'Columns / Fields', 'Data Types', 'Notes', 'Analogy', 'Exercise', 'Objective', 'Expected Output') into en. Do NOT mix languages. Only code and technical identifiers remain unchanged |  | [LANGUAGE SEED CONTEXT] Language Seed Not Necessary | [EXTERNAL_PACKAGE_PROTOCOL] External pub.dev packages MUST be added to the dependencies block in a standard pubspec.yaml file. Do not use standalone scripts. | [TESTING_FRAMEWORK_PROTOCOL] Tests MUST isolate async states. NEVER hack event loops manually; use expect() with stream/future matchers to verify async flows. | [CHALLENGE_CONSTRAINTS_POLICY] Each challenge MUST include: - A functional StreamController, Isolate, or Class managing continuous state with strict typing and encapsulated private fields. - 10–25 lines of EXECUTABLE base Dart code (STRICT: Do NOT count comments or TODOs). Length MUST vary. Enforce static typing, Sound Null Safety, and idiomatic OOP.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 with this EXACT format translated to en: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Assert Behaviors using test(), expect(), and throwsA()..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3" t="str">
        <f t="shared" si="6"/>
        <v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Assert Behaviors using test(), expect(), and throwsA().. Topic details: Behavior Assertions (test(), expect(), throwsA())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Dart Object-Oriented &amp; Advanced Patterns | 📊 Level: Intermediate
**Topic:** Assert Behaviors using test(), expect(), and throwsA().
---
 | [PYTHON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7"/>
        <v>[ROLE] Tech Lead | [TASK] Provide intentionally messy but functional code for learning debugging and improvement | [TOPIC] Assert Behaviors using test(), expect(), and throwsA(). | [LEVEL] Intermediate | [COUNT] 4 challenges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Tech Lead. A junior wrote this working but messy code. Tone: professional but exhausted by the code quality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[HEADER RULE - STRICT] You MUST start your entire response EXACTLY with this markdown block (do not print anything before it):
### 🔹 Topic #38 | Stage 4 🧹 Refactor | Dart Object-Oriented &amp; Advanced Patterns | 📊 Level: Intermediate | 🌐 Coding5s.com
**Concept:** Behavior Assertions (test(), expect(), throwsA())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 2. Display Summary (Type, Columns, Types) IMMEDIATELY AFTER THE HEADER 3. Use it directly (NO dummy data). If NO dataset is provided IN THIS CURRENT PROMPT: - STRICT: You MUST explicitly state 'Dataset detected: NO. Generating dummy data.' (translate to en)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 with this EXACT format translated to en: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Assert Behaviors using test(), expect(), and throwsA().. Topic details: Behavior Assertions (test(), expect(), throwsA())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Dart Object-Oriented &amp; Advanced Patterns | 📊 Level: Intermediate
**Topic:** Assert Behaviors using test(), expect(), and throwsA().
---
 | [PYTHON QUALITY RULE - STRICT] Code MUST adhere strictly to Effective Dart style guidelines. Use camelCase for variables/functions/members, PascalCase for classes, snake_case for files. Avoid global state; emphasize strict typing, encapsulation, and sound async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9"/>
        <v>[ROLE] Tech Product Manager assigning a Dart Object-Oriented &amp; Advanced Patterns Jira Ticket | [TASK] Provide a guided implementation exercise with full solution for learning purposes | [TOPIC] Assert Behaviors using test(), expect(), and throwsA(). | [LEVEL] Intermediate | [LIBRARY BEING LEARNED]  | [ECOSYSTEM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[PERSONA RULE] Act as a professional Tech Product Manager writing clear Jira tickets | [LANGUAGE CONSISTENCY RULE] ALL output text MUST be written strictly in the selected language (en). This includes translating ALL structural labels requested in this prompt (like 'Dataset detected', 'Dataset Summary', 'File Type', 'Columns / Fields', 'Data Types', 'Notes', 'From', 'To', 'Subject', 'Dirty Code') into en. Do NOT mix languages. Only code and technical identifiers remain unchanged |  | [LANGUAGE SEED CONTEXT] Language Seed Not Necessary | [HEADER RULE - STRICT] You MUST start your entire response EXACTLY with this markdown block (do not print anything before it):
### 🔹 Topic #38 | Stage 5 | Dart Object-Oriented &amp; Advanced Patterns | 📊 Level: Intermediate | 🌐 Coding5s.com
**Concept:** Behavior Assertions (test(), expect(), throwsA())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Assert Behaviors using test(), expect(), and throwsA().. Goal: Behavior Assertions (test(), expect(), throwsA())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 This includes translating ALL structural labels requested in this prompt (like 'Project', 'Objective', 'Support File', 'Code Planning', 'Libraries', 'Functional Structure', 'Friction Point', 'Expected Output', 'Code') into en.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Dart Object-Oriented &amp; Advanced Patterns | 📊 Level: Intermediate
**Topic:** Assert Behaviors using test(), expect(), and throwsA().
---
 | [CODE_QUALITY_PROTOCOL]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1"/>
        <v/>
      </c>
      <c r="AA46" s="56" t="str">
        <f t="shared" si="12"/>
        <v/>
      </c>
      <c r="AB46" s="56" t="str">
        <f t="shared" si="13"/>
        <v/>
      </c>
      <c r="AC46" s="56" t="str">
        <f t="shared" si="14"/>
        <v/>
      </c>
      <c r="AD46" s="56" t="str">
        <f t="shared" si="15"/>
        <v/>
      </c>
      <c r="AE46" s="40"/>
      <c r="AF46" s="40"/>
      <c r="AG46" s="40"/>
      <c r="AH46" s="56" t="str">
        <f t="shared" si="16"/>
        <v/>
      </c>
      <c r="AI46" s="54"/>
      <c r="AJ46" s="54"/>
      <c r="AK46" s="54">
        <v>38</v>
      </c>
      <c r="AL46" s="54" t="s">
        <v>90</v>
      </c>
      <c r="AM46" s="54" t="s">
        <v>91</v>
      </c>
    </row>
    <row r="47" spans="1:39">
      <c r="A47" s="45" t="str" cm="1">
        <f t="array" ref="A47">IF(H47="PROJECT", CHAR(10) &amp; "- " &amp; _xlfn.TEXTJOIN(CHAR(10) &amp; "- ", TRUE, _xlfn._xlws.FILTER($I$9:$I$1000, ($B$9:$B$1000=B47) * ($H$9:$H$1000="Topic"))), "")</f>
        <v/>
      </c>
      <c r="B47" s="45" t="str">
        <f t="shared" si="1"/>
        <v/>
      </c>
      <c r="C47" s="95"/>
      <c r="D47" s="46"/>
      <c r="E47" s="58"/>
      <c r="F47" s="48"/>
      <c r="G47" s="49"/>
      <c r="H47" s="49"/>
      <c r="I47" s="50"/>
      <c r="J47" s="51"/>
      <c r="K47" s="129" t="str">
        <f t="shared" si="17"/>
        <v/>
      </c>
      <c r="L47" s="103" t="str">
        <f t="shared" si="2"/>
        <v/>
      </c>
      <c r="M47" s="53">
        <v>0</v>
      </c>
      <c r="N47" s="102" t="str">
        <f t="shared" si="3"/>
        <v/>
      </c>
      <c r="O47" s="103" t="str">
        <f t="shared" si="4"/>
        <v/>
      </c>
      <c r="P47" s="53">
        <v>0</v>
      </c>
      <c r="Q47" s="102" t="str">
        <f t="shared" si="5"/>
        <v/>
      </c>
      <c r="R47" s="103" t="str">
        <f t="shared" si="6"/>
        <v/>
      </c>
      <c r="S47" s="53">
        <v>0</v>
      </c>
      <c r="T47" s="102" t="str">
        <f t="shared" si="7"/>
        <v/>
      </c>
      <c r="U47" s="103" t="str">
        <f t="shared" si="8"/>
        <v/>
      </c>
      <c r="V47" s="53">
        <v>0</v>
      </c>
      <c r="W47" s="87" t="str">
        <f t="shared" si="9"/>
        <v/>
      </c>
      <c r="X47" s="103" t="str">
        <f t="shared" si="10"/>
        <v/>
      </c>
      <c r="Y47" s="53">
        <v>0</v>
      </c>
      <c r="Z47" s="56" t="str">
        <f t="shared" si="11"/>
        <v/>
      </c>
      <c r="AA47" s="56" t="str">
        <f t="shared" si="12"/>
        <v/>
      </c>
      <c r="AB47" s="56" t="str">
        <f t="shared" si="13"/>
        <v/>
      </c>
      <c r="AC47" s="56" t="str">
        <f t="shared" si="14"/>
        <v/>
      </c>
      <c r="AD47" s="56" t="str">
        <f t="shared" si="15"/>
        <v/>
      </c>
      <c r="AE47" s="40"/>
      <c r="AF47" s="40"/>
      <c r="AG47" s="40"/>
      <c r="AH47" s="56" t="str">
        <f t="shared" si="16"/>
        <v/>
      </c>
      <c r="AI47" s="54"/>
      <c r="AJ47" s="54"/>
      <c r="AK47" s="54">
        <v>39</v>
      </c>
      <c r="AL47" s="54" t="s">
        <v>95</v>
      </c>
      <c r="AM47" s="54" t="s">
        <v>96</v>
      </c>
    </row>
    <row r="48" spans="1:39">
      <c r="A48" s="45" t="str" cm="1">
        <f t="array" ref="A48">IF(H48="PROJECT", CHAR(10) &amp; "- " &amp; _xlfn.TEXTJOIN(CHAR(10) &amp; "- ", TRUE, _xlfn._xlws.FILTER($I$9:$I$1000, ($B$9:$B$1000=B48) * ($H$9:$H$1000="Topic"))), "")</f>
        <v/>
      </c>
      <c r="B48" s="45" t="str">
        <f t="shared" si="1"/>
        <v/>
      </c>
      <c r="C48" s="95"/>
      <c r="D48" s="57"/>
      <c r="E48" s="58"/>
      <c r="F48" s="59"/>
      <c r="G48" s="60"/>
      <c r="H48" s="60"/>
      <c r="I48" s="61"/>
      <c r="J48" s="62"/>
      <c r="K48" s="129" t="str">
        <f t="shared" si="17"/>
        <v/>
      </c>
      <c r="L48" s="103" t="str">
        <f t="shared" si="2"/>
        <v/>
      </c>
      <c r="M48" s="52">
        <v>0</v>
      </c>
      <c r="N48" s="102" t="str">
        <f t="shared" si="3"/>
        <v/>
      </c>
      <c r="O48" s="103" t="str">
        <f t="shared" si="4"/>
        <v/>
      </c>
      <c r="P48" s="52">
        <v>0</v>
      </c>
      <c r="Q48" s="102" t="str">
        <f t="shared" si="5"/>
        <v/>
      </c>
      <c r="R48" s="103" t="str">
        <f t="shared" si="6"/>
        <v/>
      </c>
      <c r="S48" s="52">
        <v>0</v>
      </c>
      <c r="T48" s="102" t="str">
        <f t="shared" si="7"/>
        <v/>
      </c>
      <c r="U48" s="103" t="str">
        <f t="shared" si="8"/>
        <v/>
      </c>
      <c r="V48" s="52">
        <v>0</v>
      </c>
      <c r="W48" s="87" t="str">
        <f t="shared" si="9"/>
        <v/>
      </c>
      <c r="X48" s="103" t="str">
        <f t="shared" si="10"/>
        <v/>
      </c>
      <c r="Y48" s="52">
        <v>0</v>
      </c>
      <c r="Z48" s="56" t="str">
        <f t="shared" si="11"/>
        <v/>
      </c>
      <c r="AA48" s="56" t="str">
        <f t="shared" si="12"/>
        <v/>
      </c>
      <c r="AB48" s="56" t="str">
        <f t="shared" si="13"/>
        <v/>
      </c>
      <c r="AC48" s="56" t="str">
        <f t="shared" si="14"/>
        <v/>
      </c>
      <c r="AD48" s="56" t="str">
        <f t="shared" si="15"/>
        <v/>
      </c>
      <c r="AE48" s="40"/>
      <c r="AF48" s="40"/>
      <c r="AG48" s="40"/>
      <c r="AH48" s="56" t="str">
        <f t="shared" si="16"/>
        <v/>
      </c>
      <c r="AI48" s="54"/>
      <c r="AJ48" s="54"/>
      <c r="AK48" s="54">
        <v>40</v>
      </c>
      <c r="AL48" s="54" t="s">
        <v>100</v>
      </c>
      <c r="AM48" s="54" t="s">
        <v>101</v>
      </c>
    </row>
    <row r="49" spans="1:39">
      <c r="A49" s="45" t="str" cm="1">
        <f t="array" ref="A49">IF(H49="PROJECT", CHAR(10) &amp; "- " &amp; _xlfn.TEXTJOIN(CHAR(10) &amp; "- ", TRUE, _xlfn._xlws.FILTER($I$9:$I$1000, ($B$9:$B$1000=B49) * ($H$9:$H$1000="Topic"))), "")</f>
        <v/>
      </c>
      <c r="B49" s="45" t="str">
        <f t="shared" si="1"/>
        <v/>
      </c>
      <c r="C49" s="95"/>
      <c r="D49" s="46"/>
      <c r="E49" s="58"/>
      <c r="F49" s="48"/>
      <c r="G49" s="49"/>
      <c r="H49" s="49"/>
      <c r="I49" s="50"/>
      <c r="J49" s="51"/>
      <c r="K49" s="129" t="str">
        <f t="shared" si="17"/>
        <v/>
      </c>
      <c r="L49" s="103" t="str">
        <f t="shared" si="2"/>
        <v/>
      </c>
      <c r="M49" s="53">
        <v>0</v>
      </c>
      <c r="N49" s="102" t="str">
        <f t="shared" si="3"/>
        <v/>
      </c>
      <c r="O49" s="103" t="str">
        <f t="shared" si="4"/>
        <v/>
      </c>
      <c r="P49" s="53">
        <v>0</v>
      </c>
      <c r="Q49" s="102" t="str">
        <f t="shared" si="5"/>
        <v/>
      </c>
      <c r="R49" s="103" t="str">
        <f t="shared" si="6"/>
        <v/>
      </c>
      <c r="S49" s="53">
        <v>0</v>
      </c>
      <c r="T49" s="102" t="str">
        <f t="shared" si="7"/>
        <v/>
      </c>
      <c r="U49" s="103" t="str">
        <f t="shared" si="8"/>
        <v/>
      </c>
      <c r="V49" s="53">
        <v>0</v>
      </c>
      <c r="W49" s="87" t="str">
        <f t="shared" si="9"/>
        <v/>
      </c>
      <c r="X49" s="103" t="str">
        <f t="shared" si="10"/>
        <v/>
      </c>
      <c r="Y49" s="53">
        <v>0</v>
      </c>
      <c r="Z49" s="56" t="str">
        <f t="shared" si="11"/>
        <v/>
      </c>
      <c r="AA49" s="56" t="str">
        <f t="shared" si="12"/>
        <v/>
      </c>
      <c r="AB49" s="56" t="str">
        <f t="shared" si="13"/>
        <v/>
      </c>
      <c r="AC49" s="56" t="str">
        <f t="shared" si="14"/>
        <v/>
      </c>
      <c r="AD49" s="56" t="str">
        <f t="shared" si="15"/>
        <v/>
      </c>
      <c r="AE49" s="40"/>
      <c r="AF49" s="40"/>
      <c r="AG49" s="40"/>
      <c r="AH49" s="56" t="str">
        <f t="shared" si="16"/>
        <v/>
      </c>
      <c r="AI49" s="54"/>
      <c r="AJ49" s="54"/>
      <c r="AK49" s="54"/>
      <c r="AL49" s="54"/>
      <c r="AM49" s="54"/>
    </row>
    <row r="50" spans="1:39">
      <c r="A50" s="45" t="str" cm="1">
        <f t="array" ref="A50">IF(H50="PROJECT", CHAR(10) &amp; "- " &amp; _xlfn.TEXTJOIN(CHAR(10) &amp; "- ", TRUE, _xlfn._xlws.FILTER($I$9:$I$1000, ($B$9:$B$1000=B50) * ($H$9:$H$1000="Topic"))), "")</f>
        <v/>
      </c>
      <c r="B50" s="45" t="str">
        <f t="shared" si="1"/>
        <v/>
      </c>
      <c r="C50" s="95"/>
      <c r="D50" s="57"/>
      <c r="E50" s="58"/>
      <c r="F50" s="59"/>
      <c r="G50" s="60"/>
      <c r="H50" s="60"/>
      <c r="I50" s="61"/>
      <c r="J50" s="62"/>
      <c r="K50" s="129" t="str">
        <f t="shared" si="17"/>
        <v/>
      </c>
      <c r="L50" s="103" t="str">
        <f t="shared" si="2"/>
        <v/>
      </c>
      <c r="M50" s="52">
        <v>0</v>
      </c>
      <c r="N50" s="102" t="str">
        <f t="shared" si="3"/>
        <v/>
      </c>
      <c r="O50" s="103" t="str">
        <f t="shared" si="4"/>
        <v/>
      </c>
      <c r="P50" s="52">
        <v>0</v>
      </c>
      <c r="Q50" s="102" t="str">
        <f t="shared" si="5"/>
        <v/>
      </c>
      <c r="R50" s="103" t="str">
        <f t="shared" si="6"/>
        <v/>
      </c>
      <c r="S50" s="52">
        <v>0</v>
      </c>
      <c r="T50" s="102" t="str">
        <f t="shared" si="7"/>
        <v/>
      </c>
      <c r="U50" s="103" t="str">
        <f t="shared" si="8"/>
        <v/>
      </c>
      <c r="V50" s="52">
        <v>0</v>
      </c>
      <c r="W50" s="87" t="str">
        <f t="shared" si="9"/>
        <v/>
      </c>
      <c r="X50" s="103" t="str">
        <f t="shared" si="10"/>
        <v/>
      </c>
      <c r="Y50" s="52">
        <v>0</v>
      </c>
      <c r="Z50" s="56" t="str">
        <f t="shared" si="11"/>
        <v/>
      </c>
      <c r="AA50" s="56" t="str">
        <f t="shared" si="12"/>
        <v/>
      </c>
      <c r="AB50" s="56" t="str">
        <f t="shared" si="13"/>
        <v/>
      </c>
      <c r="AC50" s="56" t="str">
        <f t="shared" si="14"/>
        <v/>
      </c>
      <c r="AD50" s="56" t="str">
        <f t="shared" si="15"/>
        <v/>
      </c>
      <c r="AE50" s="40"/>
      <c r="AF50" s="40"/>
      <c r="AG50" s="40"/>
      <c r="AH50" s="56" t="str">
        <f t="shared" si="16"/>
        <v/>
      </c>
      <c r="AI50" s="54"/>
      <c r="AJ50" s="54"/>
      <c r="AK50" s="54"/>
      <c r="AL50" s="54"/>
      <c r="AM50" s="54"/>
    </row>
    <row r="51" spans="1:39">
      <c r="A51" s="45" t="str" cm="1">
        <f t="array" ref="A51">IF(H51="PROJECT", CHAR(10) &amp; "- " &amp; _xlfn.TEXTJOIN(CHAR(10) &amp; "- ", TRUE, _xlfn._xlws.FILTER($I$9:$I$1000, ($B$9:$B$1000=B51) * ($H$9:$H$1000="Topic"))), "")</f>
        <v/>
      </c>
      <c r="B51" s="45" t="str">
        <f t="shared" si="1"/>
        <v/>
      </c>
      <c r="C51" s="95"/>
      <c r="D51" s="46"/>
      <c r="E51" s="58"/>
      <c r="F51" s="48"/>
      <c r="G51" s="49"/>
      <c r="H51" s="49"/>
      <c r="I51" s="50"/>
      <c r="J51" s="51"/>
      <c r="K51" s="129" t="str">
        <f t="shared" si="17"/>
        <v/>
      </c>
      <c r="L51" s="103" t="str">
        <f t="shared" si="2"/>
        <v/>
      </c>
      <c r="M51" s="53">
        <v>0</v>
      </c>
      <c r="N51" s="102" t="str">
        <f t="shared" si="3"/>
        <v/>
      </c>
      <c r="O51" s="103" t="str">
        <f t="shared" si="4"/>
        <v/>
      </c>
      <c r="P51" s="53">
        <v>0</v>
      </c>
      <c r="Q51" s="102" t="str">
        <f t="shared" si="5"/>
        <v/>
      </c>
      <c r="R51" s="103" t="str">
        <f t="shared" si="6"/>
        <v/>
      </c>
      <c r="S51" s="53">
        <v>0</v>
      </c>
      <c r="T51" s="102" t="str">
        <f t="shared" si="7"/>
        <v/>
      </c>
      <c r="U51" s="103" t="str">
        <f t="shared" si="8"/>
        <v/>
      </c>
      <c r="V51" s="53">
        <v>0</v>
      </c>
      <c r="W51" s="87" t="str">
        <f t="shared" si="9"/>
        <v/>
      </c>
      <c r="X51" s="103" t="str">
        <f t="shared" si="10"/>
        <v/>
      </c>
      <c r="Y51" s="53">
        <v>0</v>
      </c>
      <c r="Z51" s="56" t="str">
        <f t="shared" si="11"/>
        <v/>
      </c>
      <c r="AA51" s="56" t="str">
        <f t="shared" si="12"/>
        <v/>
      </c>
      <c r="AB51" s="56" t="str">
        <f t="shared" si="13"/>
        <v/>
      </c>
      <c r="AC51" s="56" t="str">
        <f t="shared" si="14"/>
        <v/>
      </c>
      <c r="AD51" s="56" t="str">
        <f t="shared" si="15"/>
        <v/>
      </c>
      <c r="AE51" s="40"/>
      <c r="AF51" s="40"/>
      <c r="AG51" s="40"/>
      <c r="AH51" s="56" t="str">
        <f t="shared" si="16"/>
        <v/>
      </c>
      <c r="AI51" s="54"/>
      <c r="AJ51" s="54"/>
      <c r="AK51" s="54"/>
      <c r="AL51" s="54"/>
      <c r="AM51" s="54"/>
    </row>
    <row r="52" spans="1:39">
      <c r="A52" s="45" t="str" cm="1">
        <f t="array" ref="A52">IF(H52="PROJECT", CHAR(10) &amp; "- " &amp; _xlfn.TEXTJOIN(CHAR(10) &amp; "- ", TRUE, _xlfn._xlws.FILTER($I$9:$I$1000, ($B$9:$B$1000=B52) * ($H$9:$H$1000="Topic"))), "")</f>
        <v/>
      </c>
      <c r="B52" s="45" t="str">
        <f t="shared" si="1"/>
        <v/>
      </c>
      <c r="C52" s="95"/>
      <c r="D52" s="57"/>
      <c r="E52" s="58"/>
      <c r="F52" s="59"/>
      <c r="G52" s="60"/>
      <c r="H52" s="60"/>
      <c r="I52" s="61"/>
      <c r="J52" s="62"/>
      <c r="K52" s="129" t="str">
        <f t="shared" si="17"/>
        <v/>
      </c>
      <c r="L52" s="103" t="str">
        <f t="shared" si="2"/>
        <v/>
      </c>
      <c r="M52" s="52">
        <v>0</v>
      </c>
      <c r="N52" s="102" t="str">
        <f t="shared" si="3"/>
        <v/>
      </c>
      <c r="O52" s="103" t="str">
        <f t="shared" si="4"/>
        <v/>
      </c>
      <c r="P52" s="52">
        <v>0</v>
      </c>
      <c r="Q52" s="102" t="str">
        <f t="shared" si="5"/>
        <v/>
      </c>
      <c r="R52" s="103" t="str">
        <f t="shared" si="6"/>
        <v/>
      </c>
      <c r="S52" s="52">
        <v>0</v>
      </c>
      <c r="T52" s="102" t="str">
        <f t="shared" si="7"/>
        <v/>
      </c>
      <c r="U52" s="103" t="str">
        <f t="shared" si="8"/>
        <v/>
      </c>
      <c r="V52" s="52">
        <v>0</v>
      </c>
      <c r="W52" s="87" t="str">
        <f t="shared" si="9"/>
        <v/>
      </c>
      <c r="X52" s="103" t="str">
        <f t="shared" si="10"/>
        <v/>
      </c>
      <c r="Y52" s="52">
        <v>0</v>
      </c>
      <c r="Z52" s="56" t="str">
        <f t="shared" si="11"/>
        <v/>
      </c>
      <c r="AA52" s="56" t="str">
        <f t="shared" si="12"/>
        <v/>
      </c>
      <c r="AB52" s="56" t="str">
        <f t="shared" si="13"/>
        <v/>
      </c>
      <c r="AC52" s="56" t="str">
        <f t="shared" si="14"/>
        <v/>
      </c>
      <c r="AD52" s="56" t="str">
        <f t="shared" si="15"/>
        <v/>
      </c>
      <c r="AE52" s="40"/>
      <c r="AF52" s="40"/>
      <c r="AG52" s="40"/>
      <c r="AH52" s="56" t="str">
        <f t="shared" si="16"/>
        <v/>
      </c>
      <c r="AI52" s="54"/>
      <c r="AJ52" s="54"/>
      <c r="AK52" s="54"/>
      <c r="AL52" s="54"/>
      <c r="AM52" s="54"/>
    </row>
    <row r="53" spans="1:39">
      <c r="A53" s="45" t="str" cm="1">
        <f t="array" ref="A53">IF(H53="PROJECT", CHAR(10) &amp; "- " &amp; _xlfn.TEXTJOIN(CHAR(10) &amp; "- ", TRUE, _xlfn._xlws.FILTER($I$9:$I$1000, ($B$9:$B$1000=B53) * ($H$9:$H$1000="Topic"))), "")</f>
        <v/>
      </c>
      <c r="B53" s="45" t="str">
        <f t="shared" si="1"/>
        <v/>
      </c>
      <c r="C53" s="95"/>
      <c r="D53" s="46"/>
      <c r="E53" s="58"/>
      <c r="F53" s="48"/>
      <c r="G53" s="49"/>
      <c r="H53" s="49"/>
      <c r="I53" s="50"/>
      <c r="J53" s="51"/>
      <c r="K53" s="129" t="str">
        <f t="shared" si="17"/>
        <v/>
      </c>
      <c r="L53" s="103" t="str">
        <f t="shared" si="2"/>
        <v/>
      </c>
      <c r="M53" s="53">
        <v>0</v>
      </c>
      <c r="N53" s="102" t="str">
        <f t="shared" si="3"/>
        <v/>
      </c>
      <c r="O53" s="103" t="str">
        <f t="shared" si="4"/>
        <v/>
      </c>
      <c r="P53" s="53">
        <v>0</v>
      </c>
      <c r="Q53" s="102" t="str">
        <f t="shared" si="5"/>
        <v/>
      </c>
      <c r="R53" s="103" t="str">
        <f t="shared" si="6"/>
        <v/>
      </c>
      <c r="S53" s="53">
        <v>0</v>
      </c>
      <c r="T53" s="102" t="str">
        <f t="shared" si="7"/>
        <v/>
      </c>
      <c r="U53" s="103" t="str">
        <f t="shared" si="8"/>
        <v/>
      </c>
      <c r="V53" s="53">
        <v>0</v>
      </c>
      <c r="W53" s="87" t="str">
        <f t="shared" si="9"/>
        <v/>
      </c>
      <c r="X53" s="103" t="str">
        <f t="shared" si="10"/>
        <v/>
      </c>
      <c r="Y53" s="53">
        <v>0</v>
      </c>
      <c r="Z53" s="56" t="str">
        <f t="shared" si="11"/>
        <v/>
      </c>
      <c r="AA53" s="56" t="str">
        <f t="shared" si="12"/>
        <v/>
      </c>
      <c r="AB53" s="56" t="str">
        <f t="shared" si="13"/>
        <v/>
      </c>
      <c r="AC53" s="56" t="str">
        <f t="shared" si="14"/>
        <v/>
      </c>
      <c r="AD53" s="56" t="str">
        <f t="shared" si="15"/>
        <v/>
      </c>
      <c r="AE53" s="40"/>
      <c r="AF53" s="40"/>
      <c r="AG53" s="40"/>
      <c r="AH53" s="56" t="str">
        <f t="shared" si="16"/>
        <v/>
      </c>
      <c r="AI53" s="54"/>
      <c r="AJ53" s="54"/>
      <c r="AK53" s="54"/>
      <c r="AL53" s="54"/>
      <c r="AM53" s="54"/>
    </row>
    <row r="54" spans="1:39">
      <c r="A54" s="45" t="str" cm="1">
        <f t="array" ref="A54">IF(H54="PROJECT", CHAR(10) &amp; "- " &amp; _xlfn.TEXTJOIN(CHAR(10) &amp; "- ", TRUE, _xlfn._xlws.FILTER($I$9:$I$1000, ($B$9:$B$1000=B54) * ($H$9:$H$1000="Topic"))), "")</f>
        <v/>
      </c>
      <c r="B54" s="45" t="str">
        <f t="shared" si="1"/>
        <v/>
      </c>
      <c r="C54" s="95"/>
      <c r="D54" s="57"/>
      <c r="E54" s="58"/>
      <c r="F54" s="59"/>
      <c r="G54" s="60"/>
      <c r="H54" s="60"/>
      <c r="I54" s="61"/>
      <c r="J54" s="62"/>
      <c r="K54" s="129" t="str">
        <f t="shared" si="17"/>
        <v/>
      </c>
      <c r="L54" s="103" t="str">
        <f t="shared" si="2"/>
        <v/>
      </c>
      <c r="M54" s="52">
        <v>0</v>
      </c>
      <c r="N54" s="102" t="str">
        <f t="shared" si="3"/>
        <v/>
      </c>
      <c r="O54" s="103" t="str">
        <f t="shared" si="4"/>
        <v/>
      </c>
      <c r="P54" s="52">
        <v>0</v>
      </c>
      <c r="Q54" s="102" t="str">
        <f t="shared" si="5"/>
        <v/>
      </c>
      <c r="R54" s="103" t="str">
        <f t="shared" si="6"/>
        <v/>
      </c>
      <c r="S54" s="52">
        <v>0</v>
      </c>
      <c r="T54" s="102" t="str">
        <f t="shared" si="7"/>
        <v/>
      </c>
      <c r="U54" s="103" t="str">
        <f t="shared" si="8"/>
        <v/>
      </c>
      <c r="V54" s="52">
        <v>0</v>
      </c>
      <c r="W54" s="87" t="str">
        <f t="shared" si="9"/>
        <v/>
      </c>
      <c r="X54" s="103" t="str">
        <f t="shared" si="10"/>
        <v/>
      </c>
      <c r="Y54" s="52">
        <v>0</v>
      </c>
      <c r="Z54" s="56" t="str">
        <f t="shared" si="11"/>
        <v/>
      </c>
      <c r="AA54" s="56" t="str">
        <f t="shared" si="12"/>
        <v/>
      </c>
      <c r="AB54" s="56" t="str">
        <f t="shared" si="13"/>
        <v/>
      </c>
      <c r="AC54" s="56" t="str">
        <f t="shared" si="14"/>
        <v/>
      </c>
      <c r="AD54" s="56" t="str">
        <f t="shared" si="15"/>
        <v/>
      </c>
      <c r="AE54" s="40"/>
      <c r="AF54" s="40"/>
      <c r="AG54" s="40"/>
      <c r="AH54" s="56" t="str">
        <f t="shared" si="16"/>
        <v/>
      </c>
      <c r="AI54" s="54"/>
      <c r="AJ54" s="54"/>
      <c r="AK54" s="54"/>
      <c r="AL54" s="54"/>
      <c r="AM54" s="54"/>
    </row>
    <row r="55" spans="1:39">
      <c r="A55" s="45" t="str" cm="1">
        <f t="array" ref="A55">IF(H55="PROJECT", CHAR(10) &amp; "- " &amp; _xlfn.TEXTJOIN(CHAR(10) &amp; "- ", TRUE, _xlfn._xlws.FILTER($I$9:$I$1000, ($B$9:$B$1000=B55) * ($H$9:$H$1000="Topic"))), "")</f>
        <v/>
      </c>
      <c r="B55" s="45" t="str">
        <f t="shared" si="1"/>
        <v/>
      </c>
      <c r="C55" s="95"/>
      <c r="D55" s="46"/>
      <c r="E55" s="58"/>
      <c r="F55" s="48"/>
      <c r="G55" s="49"/>
      <c r="H55" s="49"/>
      <c r="I55" s="50"/>
      <c r="J55" s="51"/>
      <c r="K55" s="129" t="str">
        <f t="shared" si="17"/>
        <v/>
      </c>
      <c r="L55" s="103" t="str">
        <f t="shared" si="2"/>
        <v/>
      </c>
      <c r="M55" s="53">
        <v>0</v>
      </c>
      <c r="N55" s="102" t="str">
        <f t="shared" si="3"/>
        <v/>
      </c>
      <c r="O55" s="103" t="str">
        <f t="shared" si="4"/>
        <v/>
      </c>
      <c r="P55" s="53">
        <v>0</v>
      </c>
      <c r="Q55" s="102" t="str">
        <f t="shared" si="5"/>
        <v/>
      </c>
      <c r="R55" s="103" t="str">
        <f t="shared" si="6"/>
        <v/>
      </c>
      <c r="S55" s="53">
        <v>0</v>
      </c>
      <c r="T55" s="102" t="str">
        <f t="shared" si="7"/>
        <v/>
      </c>
      <c r="U55" s="103" t="str">
        <f t="shared" si="8"/>
        <v/>
      </c>
      <c r="V55" s="53">
        <v>0</v>
      </c>
      <c r="W55" s="87" t="str">
        <f t="shared" si="9"/>
        <v/>
      </c>
      <c r="X55" s="103" t="str">
        <f t="shared" si="10"/>
        <v/>
      </c>
      <c r="Y55" s="53">
        <v>0</v>
      </c>
      <c r="Z55" s="56" t="str">
        <f t="shared" si="11"/>
        <v/>
      </c>
      <c r="AA55" s="56" t="str">
        <f t="shared" si="12"/>
        <v/>
      </c>
      <c r="AB55" s="56" t="str">
        <f t="shared" si="13"/>
        <v/>
      </c>
      <c r="AC55" s="56" t="str">
        <f t="shared" si="14"/>
        <v/>
      </c>
      <c r="AD55" s="56" t="str">
        <f t="shared" si="15"/>
        <v/>
      </c>
      <c r="AE55" s="40"/>
      <c r="AF55" s="40"/>
      <c r="AG55" s="40"/>
      <c r="AH55" s="56" t="str">
        <f t="shared" si="16"/>
        <v/>
      </c>
      <c r="AI55" s="54"/>
      <c r="AJ55" s="54"/>
      <c r="AK55" s="54"/>
      <c r="AL55" s="54"/>
      <c r="AM55" s="54"/>
    </row>
    <row r="56" spans="1:39">
      <c r="A56" s="45" t="str" cm="1">
        <f t="array" ref="A56">IF(H56="PROJECT", CHAR(10) &amp; "- " &amp; _xlfn.TEXTJOIN(CHAR(10) &amp; "- ", TRUE, _xlfn._xlws.FILTER($I$9:$I$1000, ($B$9:$B$1000=B56) * ($H$9:$H$1000="Topic"))), "")</f>
        <v/>
      </c>
      <c r="B56" s="45" t="str">
        <f t="shared" si="1"/>
        <v/>
      </c>
      <c r="C56" s="95"/>
      <c r="D56" s="57"/>
      <c r="E56" s="58"/>
      <c r="F56" s="63"/>
      <c r="G56" s="60"/>
      <c r="H56" s="64"/>
      <c r="I56" s="61"/>
      <c r="J56" s="62"/>
      <c r="K56" s="129" t="str">
        <f t="shared" si="17"/>
        <v/>
      </c>
      <c r="L56" s="103" t="str">
        <f t="shared" si="2"/>
        <v/>
      </c>
      <c r="M56" s="52">
        <v>0</v>
      </c>
      <c r="N56" s="102" t="str">
        <f t="shared" si="3"/>
        <v/>
      </c>
      <c r="O56" s="103" t="str">
        <f t="shared" si="4"/>
        <v/>
      </c>
      <c r="P56" s="52">
        <v>0</v>
      </c>
      <c r="Q56" s="102" t="str">
        <f t="shared" si="5"/>
        <v/>
      </c>
      <c r="R56" s="103" t="str">
        <f t="shared" si="6"/>
        <v/>
      </c>
      <c r="S56" s="52">
        <v>0</v>
      </c>
      <c r="T56" s="102" t="str">
        <f t="shared" si="7"/>
        <v/>
      </c>
      <c r="U56" s="103" t="str">
        <f t="shared" si="8"/>
        <v/>
      </c>
      <c r="V56" s="52">
        <v>0</v>
      </c>
      <c r="W56" s="87" t="str">
        <f t="shared" si="9"/>
        <v/>
      </c>
      <c r="X56" s="103" t="str">
        <f t="shared" si="10"/>
        <v/>
      </c>
      <c r="Y56" s="52">
        <v>0</v>
      </c>
      <c r="Z56" s="56" t="str">
        <f t="shared" si="11"/>
        <v/>
      </c>
      <c r="AA56" s="56" t="str">
        <f t="shared" si="12"/>
        <v/>
      </c>
      <c r="AB56" s="56" t="str">
        <f t="shared" si="13"/>
        <v/>
      </c>
      <c r="AC56" s="56" t="str">
        <f t="shared" si="14"/>
        <v/>
      </c>
      <c r="AD56" s="56" t="str">
        <f t="shared" si="15"/>
        <v/>
      </c>
      <c r="AE56" s="40"/>
      <c r="AF56" s="40"/>
      <c r="AG56" s="40"/>
      <c r="AH56" s="56" t="str">
        <f t="shared" si="16"/>
        <v/>
      </c>
      <c r="AI56" s="54"/>
      <c r="AJ56" s="54"/>
      <c r="AK56" s="54"/>
      <c r="AL56" s="54"/>
      <c r="AM56" s="54"/>
    </row>
    <row r="57" spans="1:39">
      <c r="A57" s="45" t="str" cm="1">
        <f t="array" ref="A57">IF(H57="PROJECT", CHAR(10) &amp; "- " &amp; _xlfn.TEXTJOIN(CHAR(10) &amp; "- ", TRUE, _xlfn._xlws.FILTER($I$9:$I$1000, ($B$9:$B$1000=B57) * ($H$9:$H$1000="Topic"))), "")</f>
        <v/>
      </c>
      <c r="B57" s="45" t="str">
        <f t="shared" si="1"/>
        <v/>
      </c>
      <c r="C57" s="95"/>
      <c r="D57" s="46"/>
      <c r="E57" s="58"/>
      <c r="F57" s="65"/>
      <c r="G57" s="49"/>
      <c r="H57" s="66"/>
      <c r="I57" s="50"/>
      <c r="J57" s="51"/>
      <c r="K57" s="129" t="str">
        <f t="shared" si="17"/>
        <v/>
      </c>
      <c r="L57" s="103" t="str">
        <f t="shared" si="2"/>
        <v/>
      </c>
      <c r="M57" s="53">
        <v>0</v>
      </c>
      <c r="N57" s="102" t="str">
        <f t="shared" si="3"/>
        <v/>
      </c>
      <c r="O57" s="103" t="str">
        <f t="shared" si="4"/>
        <v/>
      </c>
      <c r="P57" s="53">
        <v>0</v>
      </c>
      <c r="Q57" s="102" t="str">
        <f t="shared" si="5"/>
        <v/>
      </c>
      <c r="R57" s="103" t="str">
        <f t="shared" si="6"/>
        <v/>
      </c>
      <c r="S57" s="53">
        <v>0</v>
      </c>
      <c r="T57" s="102" t="str">
        <f t="shared" si="7"/>
        <v/>
      </c>
      <c r="U57" s="103" t="str">
        <f t="shared" si="8"/>
        <v/>
      </c>
      <c r="V57" s="53">
        <v>0</v>
      </c>
      <c r="W57" s="87" t="str">
        <f t="shared" si="9"/>
        <v/>
      </c>
      <c r="X57" s="103" t="str">
        <f t="shared" si="10"/>
        <v/>
      </c>
      <c r="Y57" s="53">
        <v>0</v>
      </c>
      <c r="Z57" s="56" t="str">
        <f t="shared" si="11"/>
        <v/>
      </c>
      <c r="AA57" s="56" t="str">
        <f t="shared" si="12"/>
        <v/>
      </c>
      <c r="AB57" s="56" t="str">
        <f t="shared" si="13"/>
        <v/>
      </c>
      <c r="AC57" s="56" t="str">
        <f t="shared" si="14"/>
        <v/>
      </c>
      <c r="AD57" s="56" t="str">
        <f t="shared" si="15"/>
        <v/>
      </c>
      <c r="AE57" s="40"/>
      <c r="AF57" s="40"/>
      <c r="AG57" s="40"/>
      <c r="AH57" s="56" t="str">
        <f t="shared" si="16"/>
        <v/>
      </c>
      <c r="AI57" s="54"/>
      <c r="AJ57" s="54"/>
      <c r="AK57" s="54"/>
      <c r="AL57" s="54"/>
      <c r="AM57" s="54"/>
    </row>
    <row r="58" spans="1:39">
      <c r="A58" s="45" t="str" cm="1">
        <f t="array" ref="A58">IF(H58="PROJECT", CHAR(10) &amp; "- " &amp; _xlfn.TEXTJOIN(CHAR(10) &amp; "- ", TRUE, _xlfn._xlws.FILTER($I$9:$I$1000, ($B$9:$B$1000=B58) * ($H$9:$H$1000="Topic"))), "")</f>
        <v/>
      </c>
      <c r="B58" s="45" t="str">
        <f t="shared" si="1"/>
        <v/>
      </c>
      <c r="C58" s="95"/>
      <c r="D58" s="57"/>
      <c r="E58" s="58"/>
      <c r="F58" s="63"/>
      <c r="G58" s="60"/>
      <c r="H58" s="64"/>
      <c r="I58" s="61"/>
      <c r="J58" s="62"/>
      <c r="K58" s="129" t="str">
        <f t="shared" si="17"/>
        <v/>
      </c>
      <c r="L58" s="103" t="str">
        <f t="shared" si="2"/>
        <v/>
      </c>
      <c r="M58" s="52">
        <v>0</v>
      </c>
      <c r="N58" s="102" t="str">
        <f t="shared" si="3"/>
        <v/>
      </c>
      <c r="O58" s="103" t="str">
        <f t="shared" si="4"/>
        <v/>
      </c>
      <c r="P58" s="52">
        <v>0</v>
      </c>
      <c r="Q58" s="102" t="str">
        <f t="shared" si="5"/>
        <v/>
      </c>
      <c r="R58" s="103" t="str">
        <f t="shared" si="6"/>
        <v/>
      </c>
      <c r="S58" s="52">
        <v>0</v>
      </c>
      <c r="T58" s="102" t="str">
        <f t="shared" si="7"/>
        <v/>
      </c>
      <c r="U58" s="103" t="str">
        <f t="shared" si="8"/>
        <v/>
      </c>
      <c r="V58" s="52">
        <v>0</v>
      </c>
      <c r="W58" s="87" t="str">
        <f t="shared" si="9"/>
        <v/>
      </c>
      <c r="X58" s="103" t="str">
        <f t="shared" si="10"/>
        <v/>
      </c>
      <c r="Y58" s="52">
        <v>0</v>
      </c>
      <c r="Z58" s="56" t="str">
        <f t="shared" si="11"/>
        <v/>
      </c>
      <c r="AA58" s="56" t="str">
        <f t="shared" si="12"/>
        <v/>
      </c>
      <c r="AB58" s="56" t="str">
        <f t="shared" si="13"/>
        <v/>
      </c>
      <c r="AC58" s="56" t="str">
        <f t="shared" si="14"/>
        <v/>
      </c>
      <c r="AD58" s="56" t="str">
        <f t="shared" si="15"/>
        <v/>
      </c>
      <c r="AE58" s="40"/>
      <c r="AF58" s="40"/>
      <c r="AG58" s="40"/>
      <c r="AH58" s="56" t="str">
        <f t="shared" si="16"/>
        <v/>
      </c>
      <c r="AI58" s="54"/>
      <c r="AJ58" s="54"/>
      <c r="AK58" s="54"/>
      <c r="AL58" s="54"/>
      <c r="AM58" s="54"/>
    </row>
    <row r="59" spans="1:39">
      <c r="A59" s="45" t="str" cm="1">
        <f t="array" ref="A59">IF(H59="PROJECT", CHAR(10) &amp; "- " &amp; _xlfn.TEXTJOIN(CHAR(10) &amp; "- ", TRUE, _xlfn._xlws.FILTER($I$9:$I$1000, ($B$9:$B$1000=B59) * ($H$9:$H$1000="Topic"))), "")</f>
        <v/>
      </c>
      <c r="B59" s="45" t="str">
        <f t="shared" si="1"/>
        <v/>
      </c>
      <c r="C59" s="95"/>
      <c r="D59" s="46"/>
      <c r="E59" s="58"/>
      <c r="F59" s="65"/>
      <c r="G59" s="49"/>
      <c r="H59" s="66"/>
      <c r="I59" s="50"/>
      <c r="J59" s="51"/>
      <c r="K59" s="129" t="str">
        <f t="shared" si="17"/>
        <v/>
      </c>
      <c r="L59" s="103" t="str">
        <f t="shared" si="2"/>
        <v/>
      </c>
      <c r="M59" s="53">
        <v>0</v>
      </c>
      <c r="N59" s="102" t="str">
        <f t="shared" si="3"/>
        <v/>
      </c>
      <c r="O59" s="103" t="str">
        <f t="shared" si="4"/>
        <v/>
      </c>
      <c r="P59" s="53">
        <v>0</v>
      </c>
      <c r="Q59" s="102" t="str">
        <f t="shared" si="5"/>
        <v/>
      </c>
      <c r="R59" s="103" t="str">
        <f t="shared" si="6"/>
        <v/>
      </c>
      <c r="S59" s="53">
        <v>0</v>
      </c>
      <c r="T59" s="102" t="str">
        <f t="shared" si="7"/>
        <v/>
      </c>
      <c r="U59" s="103" t="str">
        <f t="shared" si="8"/>
        <v/>
      </c>
      <c r="V59" s="53">
        <v>0</v>
      </c>
      <c r="W59" s="87" t="str">
        <f t="shared" si="9"/>
        <v/>
      </c>
      <c r="X59" s="103" t="str">
        <f t="shared" si="10"/>
        <v/>
      </c>
      <c r="Y59" s="53">
        <v>0</v>
      </c>
      <c r="Z59" s="56" t="str">
        <f t="shared" si="11"/>
        <v/>
      </c>
      <c r="AA59" s="56" t="str">
        <f t="shared" si="12"/>
        <v/>
      </c>
      <c r="AB59" s="56" t="str">
        <f t="shared" si="13"/>
        <v/>
      </c>
      <c r="AC59" s="56" t="str">
        <f t="shared" si="14"/>
        <v/>
      </c>
      <c r="AD59" s="56" t="str">
        <f t="shared" si="15"/>
        <v/>
      </c>
      <c r="AE59" s="40"/>
      <c r="AF59" s="40"/>
      <c r="AG59" s="40"/>
      <c r="AH59" s="56" t="str">
        <f t="shared" si="16"/>
        <v/>
      </c>
      <c r="AI59" s="54"/>
      <c r="AJ59" s="54"/>
      <c r="AK59" s="54"/>
      <c r="AL59" s="54"/>
      <c r="AM59" s="54"/>
    </row>
    <row r="60" spans="1:39">
      <c r="A60" s="45" t="str" cm="1">
        <f t="array" ref="A60">IF(H60="PROJECT", CHAR(10) &amp; "- " &amp; _xlfn.TEXTJOIN(CHAR(10) &amp; "- ", TRUE, _xlfn._xlws.FILTER($I$9:$I$1000, ($B$9:$B$1000=B60) * ($H$9:$H$1000="Topic"))), "")</f>
        <v/>
      </c>
      <c r="B60" s="45" t="str">
        <f t="shared" si="1"/>
        <v/>
      </c>
      <c r="C60" s="95"/>
      <c r="D60" s="57"/>
      <c r="E60" s="58"/>
      <c r="F60" s="63"/>
      <c r="G60" s="60"/>
      <c r="H60" s="64"/>
      <c r="I60" s="61"/>
      <c r="J60" s="62"/>
      <c r="K60" s="129" t="str">
        <f t="shared" si="17"/>
        <v/>
      </c>
      <c r="L60" s="103" t="str">
        <f t="shared" si="2"/>
        <v/>
      </c>
      <c r="M60" s="52">
        <v>0</v>
      </c>
      <c r="N60" s="102" t="str">
        <f t="shared" si="3"/>
        <v/>
      </c>
      <c r="O60" s="103" t="str">
        <f t="shared" si="4"/>
        <v/>
      </c>
      <c r="P60" s="52">
        <v>0</v>
      </c>
      <c r="Q60" s="102" t="str">
        <f t="shared" si="5"/>
        <v/>
      </c>
      <c r="R60" s="103" t="str">
        <f t="shared" si="6"/>
        <v/>
      </c>
      <c r="S60" s="52">
        <v>0</v>
      </c>
      <c r="T60" s="102" t="str">
        <f t="shared" si="7"/>
        <v/>
      </c>
      <c r="U60" s="103" t="str">
        <f t="shared" si="8"/>
        <v/>
      </c>
      <c r="V60" s="52">
        <v>0</v>
      </c>
      <c r="W60" s="87" t="str">
        <f t="shared" si="9"/>
        <v/>
      </c>
      <c r="X60" s="103" t="str">
        <f t="shared" si="10"/>
        <v/>
      </c>
      <c r="Y60" s="52">
        <v>0</v>
      </c>
      <c r="Z60" s="56" t="str">
        <f t="shared" si="11"/>
        <v/>
      </c>
      <c r="AA60" s="56" t="str">
        <f t="shared" si="12"/>
        <v/>
      </c>
      <c r="AB60" s="56" t="str">
        <f t="shared" si="13"/>
        <v/>
      </c>
      <c r="AC60" s="56" t="str">
        <f t="shared" si="14"/>
        <v/>
      </c>
      <c r="AD60" s="56" t="str">
        <f t="shared" si="15"/>
        <v/>
      </c>
      <c r="AE60" s="40"/>
      <c r="AF60" s="40"/>
      <c r="AG60" s="40"/>
      <c r="AH60" s="56" t="str">
        <f t="shared" si="16"/>
        <v/>
      </c>
      <c r="AI60" s="54"/>
      <c r="AJ60" s="54"/>
      <c r="AK60" s="54"/>
      <c r="AL60" s="54"/>
      <c r="AM60" s="54"/>
    </row>
    <row r="61" spans="1:39">
      <c r="A61" s="45" t="str" cm="1">
        <f t="array" ref="A61">IF(H61="PROJECT", CHAR(10) &amp; "- " &amp; _xlfn.TEXTJOIN(CHAR(10) &amp; "- ", TRUE, _xlfn._xlws.FILTER($I$9:$I$1000, ($B$9:$B$1000=B61) * ($H$9:$H$1000="Topic"))), "")</f>
        <v/>
      </c>
      <c r="B61" s="45" t="str">
        <f t="shared" si="1"/>
        <v/>
      </c>
      <c r="C61" s="95"/>
      <c r="D61" s="46"/>
      <c r="E61" s="58"/>
      <c r="F61" s="65"/>
      <c r="G61" s="49"/>
      <c r="H61" s="66"/>
      <c r="I61" s="50"/>
      <c r="J61" s="51"/>
      <c r="K61" s="129" t="str">
        <f t="shared" si="17"/>
        <v/>
      </c>
      <c r="L61" s="103" t="str">
        <f t="shared" si="2"/>
        <v/>
      </c>
      <c r="M61" s="53">
        <v>0</v>
      </c>
      <c r="N61" s="102" t="str">
        <f t="shared" si="3"/>
        <v/>
      </c>
      <c r="O61" s="103" t="str">
        <f t="shared" si="4"/>
        <v/>
      </c>
      <c r="P61" s="53">
        <v>0</v>
      </c>
      <c r="Q61" s="102" t="str">
        <f t="shared" si="5"/>
        <v/>
      </c>
      <c r="R61" s="103" t="str">
        <f t="shared" si="6"/>
        <v/>
      </c>
      <c r="S61" s="53">
        <v>0</v>
      </c>
      <c r="T61" s="102" t="str">
        <f t="shared" si="7"/>
        <v/>
      </c>
      <c r="U61" s="103" t="str">
        <f t="shared" si="8"/>
        <v/>
      </c>
      <c r="V61" s="53">
        <v>0</v>
      </c>
      <c r="W61" s="87" t="str">
        <f t="shared" si="9"/>
        <v/>
      </c>
      <c r="X61" s="103" t="str">
        <f t="shared" si="10"/>
        <v/>
      </c>
      <c r="Y61" s="53">
        <v>0</v>
      </c>
      <c r="Z61" s="56" t="str">
        <f t="shared" si="11"/>
        <v/>
      </c>
      <c r="AA61" s="56" t="str">
        <f t="shared" si="12"/>
        <v/>
      </c>
      <c r="AB61" s="56" t="str">
        <f t="shared" si="13"/>
        <v/>
      </c>
      <c r="AC61" s="56" t="str">
        <f t="shared" si="14"/>
        <v/>
      </c>
      <c r="AD61" s="56" t="str">
        <f t="shared" si="15"/>
        <v/>
      </c>
      <c r="AE61" s="40"/>
      <c r="AF61" s="40"/>
      <c r="AG61" s="40"/>
      <c r="AH61" s="56" t="str">
        <f t="shared" si="16"/>
        <v/>
      </c>
      <c r="AI61" s="54"/>
      <c r="AJ61" s="54"/>
      <c r="AK61" s="54"/>
      <c r="AL61" s="54"/>
      <c r="AM61" s="54"/>
    </row>
    <row r="62" spans="1:39">
      <c r="A62" s="45" t="str" cm="1">
        <f t="array" ref="A62">IF(H62="PROJECT", CHAR(10) &amp; "- " &amp; _xlfn.TEXTJOIN(CHAR(10) &amp; "- ", TRUE, _xlfn._xlws.FILTER($I$9:$I$1000, ($B$9:$B$1000=B62) * ($H$9:$H$1000="Topic"))), "")</f>
        <v/>
      </c>
      <c r="B62" s="45" t="str">
        <f t="shared" si="1"/>
        <v/>
      </c>
      <c r="C62" s="95"/>
      <c r="D62" s="57"/>
      <c r="E62" s="58"/>
      <c r="F62" s="63"/>
      <c r="G62" s="60"/>
      <c r="H62" s="64"/>
      <c r="I62" s="61"/>
      <c r="J62" s="62"/>
      <c r="K62" s="129" t="str">
        <f t="shared" si="17"/>
        <v/>
      </c>
      <c r="L62" s="103" t="str">
        <f t="shared" si="2"/>
        <v/>
      </c>
      <c r="M62" s="52">
        <v>0</v>
      </c>
      <c r="N62" s="102" t="str">
        <f t="shared" si="3"/>
        <v/>
      </c>
      <c r="O62" s="103" t="str">
        <f t="shared" si="4"/>
        <v/>
      </c>
      <c r="P62" s="52">
        <v>0</v>
      </c>
      <c r="Q62" s="102" t="str">
        <f t="shared" si="5"/>
        <v/>
      </c>
      <c r="R62" s="103" t="str">
        <f t="shared" si="6"/>
        <v/>
      </c>
      <c r="S62" s="52">
        <v>0</v>
      </c>
      <c r="T62" s="102" t="str">
        <f t="shared" si="7"/>
        <v/>
      </c>
      <c r="U62" s="103" t="str">
        <f t="shared" si="8"/>
        <v/>
      </c>
      <c r="V62" s="52">
        <v>0</v>
      </c>
      <c r="W62" s="87" t="str">
        <f t="shared" si="9"/>
        <v/>
      </c>
      <c r="X62" s="103" t="str">
        <f t="shared" si="10"/>
        <v/>
      </c>
      <c r="Y62" s="52">
        <v>0</v>
      </c>
      <c r="Z62" s="56" t="str">
        <f t="shared" si="11"/>
        <v/>
      </c>
      <c r="AA62" s="56" t="str">
        <f t="shared" si="12"/>
        <v/>
      </c>
      <c r="AB62" s="56" t="str">
        <f t="shared" si="13"/>
        <v/>
      </c>
      <c r="AC62" s="56" t="str">
        <f t="shared" si="14"/>
        <v/>
      </c>
      <c r="AD62" s="56" t="str">
        <f t="shared" si="15"/>
        <v/>
      </c>
      <c r="AE62" s="40"/>
      <c r="AF62" s="40"/>
      <c r="AG62" s="40"/>
      <c r="AH62" s="56" t="str">
        <f t="shared" si="16"/>
        <v/>
      </c>
      <c r="AI62" s="54"/>
      <c r="AJ62" s="54"/>
      <c r="AK62" s="54"/>
      <c r="AL62" s="54"/>
      <c r="AM62" s="54"/>
    </row>
    <row r="63" spans="1:39">
      <c r="A63" s="45" t="str" cm="1">
        <f t="array" ref="A63">IF(H63="PROJECT", CHAR(10) &amp; "- " &amp; _xlfn.TEXTJOIN(CHAR(10) &amp; "- ", TRUE, _xlfn._xlws.FILTER($I$9:$I$1000, ($B$9:$B$1000=B63) * ($H$9:$H$1000="Topic"))), "")</f>
        <v/>
      </c>
      <c r="B63" s="45" t="str">
        <f t="shared" si="1"/>
        <v/>
      </c>
      <c r="C63" s="95"/>
      <c r="D63" s="46"/>
      <c r="E63" s="58"/>
      <c r="F63" s="65"/>
      <c r="G63" s="49"/>
      <c r="H63" s="66"/>
      <c r="I63" s="50"/>
      <c r="J63" s="51"/>
      <c r="K63" s="129" t="str">
        <f t="shared" si="17"/>
        <v/>
      </c>
      <c r="L63" s="103" t="str">
        <f t="shared" si="2"/>
        <v/>
      </c>
      <c r="M63" s="53">
        <v>0</v>
      </c>
      <c r="N63" s="102" t="str">
        <f t="shared" si="3"/>
        <v/>
      </c>
      <c r="O63" s="103" t="str">
        <f t="shared" si="4"/>
        <v/>
      </c>
      <c r="P63" s="53">
        <v>0</v>
      </c>
      <c r="Q63" s="102" t="str">
        <f t="shared" si="5"/>
        <v/>
      </c>
      <c r="R63" s="103" t="str">
        <f t="shared" si="6"/>
        <v/>
      </c>
      <c r="S63" s="53">
        <v>0</v>
      </c>
      <c r="T63" s="102" t="str">
        <f t="shared" si="7"/>
        <v/>
      </c>
      <c r="U63" s="103" t="str">
        <f t="shared" si="8"/>
        <v/>
      </c>
      <c r="V63" s="53">
        <v>0</v>
      </c>
      <c r="W63" s="87" t="str">
        <f t="shared" si="9"/>
        <v/>
      </c>
      <c r="X63" s="103" t="str">
        <f t="shared" si="10"/>
        <v/>
      </c>
      <c r="Y63" s="53">
        <v>0</v>
      </c>
      <c r="Z63" s="56" t="str">
        <f t="shared" si="11"/>
        <v/>
      </c>
      <c r="AA63" s="56" t="str">
        <f t="shared" si="12"/>
        <v/>
      </c>
      <c r="AB63" s="56" t="str">
        <f t="shared" si="13"/>
        <v/>
      </c>
      <c r="AC63" s="56" t="str">
        <f t="shared" si="14"/>
        <v/>
      </c>
      <c r="AD63" s="56" t="str">
        <f t="shared" si="15"/>
        <v/>
      </c>
      <c r="AE63" s="40"/>
      <c r="AF63" s="40"/>
      <c r="AG63" s="40"/>
      <c r="AH63" s="56" t="str">
        <f t="shared" si="16"/>
        <v/>
      </c>
      <c r="AI63" s="54"/>
      <c r="AJ63" s="54"/>
      <c r="AK63" s="54"/>
      <c r="AL63" s="54"/>
      <c r="AM63" s="54"/>
    </row>
    <row r="64" spans="1:39">
      <c r="A64" s="45" t="str" cm="1">
        <f t="array" ref="A64">IF(H64="PROJECT", CHAR(10) &amp; "- " &amp; _xlfn.TEXTJOIN(CHAR(10) &amp; "- ", TRUE, _xlfn._xlws.FILTER($I$9:$I$1000, ($B$9:$B$1000=B64) * ($H$9:$H$1000="Topic"))), "")</f>
        <v/>
      </c>
      <c r="B64" s="45" t="str">
        <f t="shared" si="1"/>
        <v/>
      </c>
      <c r="C64" s="95"/>
      <c r="D64" s="57"/>
      <c r="E64" s="58"/>
      <c r="F64" s="63"/>
      <c r="G64" s="60"/>
      <c r="H64" s="64"/>
      <c r="I64" s="61"/>
      <c r="J64" s="62"/>
      <c r="K64" s="129" t="str">
        <f t="shared" si="17"/>
        <v/>
      </c>
      <c r="L64" s="103" t="str">
        <f t="shared" si="2"/>
        <v/>
      </c>
      <c r="M64" s="52">
        <v>0</v>
      </c>
      <c r="N64" s="102" t="str">
        <f t="shared" si="3"/>
        <v/>
      </c>
      <c r="O64" s="103" t="str">
        <f t="shared" si="4"/>
        <v/>
      </c>
      <c r="P64" s="52">
        <v>0</v>
      </c>
      <c r="Q64" s="102" t="str">
        <f t="shared" si="5"/>
        <v/>
      </c>
      <c r="R64" s="103" t="str">
        <f t="shared" si="6"/>
        <v/>
      </c>
      <c r="S64" s="52">
        <v>0</v>
      </c>
      <c r="T64" s="102" t="str">
        <f t="shared" si="7"/>
        <v/>
      </c>
      <c r="U64" s="103" t="str">
        <f t="shared" si="8"/>
        <v/>
      </c>
      <c r="V64" s="52">
        <v>0</v>
      </c>
      <c r="W64" s="87" t="str">
        <f t="shared" si="9"/>
        <v/>
      </c>
      <c r="X64" s="103" t="str">
        <f t="shared" si="10"/>
        <v/>
      </c>
      <c r="Y64" s="52">
        <v>0</v>
      </c>
      <c r="Z64" s="56" t="str">
        <f t="shared" si="11"/>
        <v/>
      </c>
      <c r="AA64" s="56" t="str">
        <f t="shared" si="12"/>
        <v/>
      </c>
      <c r="AB64" s="56" t="str">
        <f t="shared" si="13"/>
        <v/>
      </c>
      <c r="AC64" s="56" t="str">
        <f t="shared" si="14"/>
        <v/>
      </c>
      <c r="AD64" s="56" t="str">
        <f t="shared" si="15"/>
        <v/>
      </c>
      <c r="AE64" s="40"/>
      <c r="AF64" s="40"/>
      <c r="AG64" s="40"/>
      <c r="AH64" s="56" t="str">
        <f t="shared" si="16"/>
        <v/>
      </c>
      <c r="AI64" s="54"/>
      <c r="AJ64" s="54"/>
      <c r="AK64" s="54"/>
      <c r="AL64" s="54"/>
      <c r="AM64" s="54"/>
    </row>
    <row r="65" spans="1:39">
      <c r="A65" s="45" t="str" cm="1">
        <f t="array" ref="A65">IF(H65="PROJECT", CHAR(10) &amp; "- " &amp; _xlfn.TEXTJOIN(CHAR(10) &amp; "- ", TRUE, _xlfn._xlws.FILTER($I$9:$I$1000, ($B$9:$B$1000=B65) * ($H$9:$H$1000="Topic"))), "")</f>
        <v/>
      </c>
      <c r="B65" s="45" t="str">
        <f t="shared" si="1"/>
        <v/>
      </c>
      <c r="C65" s="95"/>
      <c r="D65" s="46"/>
      <c r="E65" s="58"/>
      <c r="F65" s="65"/>
      <c r="G65" s="49"/>
      <c r="H65" s="66"/>
      <c r="I65" s="50"/>
      <c r="J65" s="51"/>
      <c r="K65" s="129" t="str">
        <f t="shared" si="17"/>
        <v/>
      </c>
      <c r="L65" s="103" t="str">
        <f t="shared" si="2"/>
        <v/>
      </c>
      <c r="M65" s="53">
        <v>0</v>
      </c>
      <c r="N65" s="102" t="str">
        <f t="shared" si="3"/>
        <v/>
      </c>
      <c r="O65" s="103" t="str">
        <f t="shared" si="4"/>
        <v/>
      </c>
      <c r="P65" s="53">
        <v>0</v>
      </c>
      <c r="Q65" s="102" t="str">
        <f t="shared" si="5"/>
        <v/>
      </c>
      <c r="R65" s="103" t="str">
        <f t="shared" si="6"/>
        <v/>
      </c>
      <c r="S65" s="53">
        <v>0</v>
      </c>
      <c r="T65" s="102" t="str">
        <f t="shared" si="7"/>
        <v/>
      </c>
      <c r="U65" s="103" t="str">
        <f t="shared" si="8"/>
        <v/>
      </c>
      <c r="V65" s="53">
        <v>0</v>
      </c>
      <c r="W65" s="87" t="str">
        <f t="shared" si="9"/>
        <v/>
      </c>
      <c r="X65" s="103" t="str">
        <f t="shared" si="10"/>
        <v/>
      </c>
      <c r="Y65" s="53">
        <v>0</v>
      </c>
      <c r="Z65" s="56" t="str">
        <f t="shared" si="11"/>
        <v/>
      </c>
      <c r="AA65" s="56" t="str">
        <f t="shared" si="12"/>
        <v/>
      </c>
      <c r="AB65" s="56" t="str">
        <f t="shared" si="13"/>
        <v/>
      </c>
      <c r="AC65" s="56" t="str">
        <f t="shared" si="14"/>
        <v/>
      </c>
      <c r="AD65" s="56" t="str">
        <f t="shared" si="15"/>
        <v/>
      </c>
      <c r="AE65" s="40"/>
      <c r="AF65" s="40"/>
      <c r="AG65" s="40"/>
      <c r="AH65" s="56" t="str">
        <f t="shared" si="16"/>
        <v/>
      </c>
      <c r="AI65" s="54"/>
      <c r="AJ65" s="54"/>
      <c r="AK65" s="54"/>
      <c r="AL65" s="54"/>
      <c r="AM65" s="54"/>
    </row>
    <row r="66" spans="1:39">
      <c r="A66" s="45" t="str" cm="1">
        <f t="array" ref="A66">IF(H66="PROJECT", CHAR(10) &amp; "- " &amp; _xlfn.TEXTJOIN(CHAR(10) &amp; "- ", TRUE, _xlfn._xlws.FILTER($I$9:$I$1000, ($B$9:$B$1000=B66) * ($H$9:$H$1000="Topic"))), "")</f>
        <v/>
      </c>
      <c r="B66" s="45" t="str">
        <f t="shared" si="1"/>
        <v/>
      </c>
      <c r="C66" s="95"/>
      <c r="D66" s="57"/>
      <c r="E66" s="58"/>
      <c r="F66" s="63"/>
      <c r="G66" s="60"/>
      <c r="H66" s="64"/>
      <c r="I66" s="61"/>
      <c r="J66" s="62"/>
      <c r="K66" s="129" t="str">
        <f t="shared" si="17"/>
        <v/>
      </c>
      <c r="L66" s="103" t="str">
        <f t="shared" si="2"/>
        <v/>
      </c>
      <c r="M66" s="52">
        <v>0</v>
      </c>
      <c r="N66" s="102" t="str">
        <f t="shared" si="3"/>
        <v/>
      </c>
      <c r="O66" s="103" t="str">
        <f t="shared" si="4"/>
        <v/>
      </c>
      <c r="P66" s="52">
        <v>0</v>
      </c>
      <c r="Q66" s="102" t="str">
        <f t="shared" si="5"/>
        <v/>
      </c>
      <c r="R66" s="103" t="str">
        <f t="shared" si="6"/>
        <v/>
      </c>
      <c r="S66" s="52">
        <v>0</v>
      </c>
      <c r="T66" s="102" t="str">
        <f t="shared" si="7"/>
        <v/>
      </c>
      <c r="U66" s="103" t="str">
        <f t="shared" si="8"/>
        <v/>
      </c>
      <c r="V66" s="52">
        <v>0</v>
      </c>
      <c r="W66" s="87" t="str">
        <f t="shared" si="9"/>
        <v/>
      </c>
      <c r="X66" s="103" t="str">
        <f t="shared" si="10"/>
        <v/>
      </c>
      <c r="Y66" s="52">
        <v>0</v>
      </c>
      <c r="Z66" s="56" t="str">
        <f t="shared" si="11"/>
        <v/>
      </c>
      <c r="AA66" s="56" t="str">
        <f t="shared" si="12"/>
        <v/>
      </c>
      <c r="AB66" s="56" t="str">
        <f t="shared" si="13"/>
        <v/>
      </c>
      <c r="AC66" s="56" t="str">
        <f t="shared" si="14"/>
        <v/>
      </c>
      <c r="AD66" s="56" t="str">
        <f t="shared" si="15"/>
        <v/>
      </c>
      <c r="AE66" s="40"/>
      <c r="AF66" s="40"/>
      <c r="AG66" s="40"/>
      <c r="AH66" s="56" t="str">
        <f t="shared" si="16"/>
        <v/>
      </c>
      <c r="AI66" s="54"/>
      <c r="AJ66" s="54"/>
      <c r="AK66" s="54"/>
      <c r="AL66" s="54"/>
      <c r="AM66" s="54"/>
    </row>
    <row r="67" spans="1:39">
      <c r="A67" s="45" t="str" cm="1">
        <f t="array" ref="A67">IF(H67="PROJECT", CHAR(10) &amp; "- " &amp; _xlfn.TEXTJOIN(CHAR(10) &amp; "- ", TRUE, _xlfn._xlws.FILTER($I$9:$I$1000, ($B$9:$B$1000=B67) * ($H$9:$H$1000="Topic"))), "")</f>
        <v/>
      </c>
      <c r="B67" s="45" t="str">
        <f t="shared" si="1"/>
        <v/>
      </c>
      <c r="C67" s="95"/>
      <c r="D67" s="46"/>
      <c r="E67" s="58"/>
      <c r="F67" s="65"/>
      <c r="G67" s="49"/>
      <c r="H67" s="66"/>
      <c r="I67" s="50"/>
      <c r="J67" s="51"/>
      <c r="K67" s="129" t="str">
        <f t="shared" si="17"/>
        <v/>
      </c>
      <c r="L67" s="103" t="str">
        <f t="shared" si="2"/>
        <v/>
      </c>
      <c r="M67" s="53">
        <v>0</v>
      </c>
      <c r="N67" s="102" t="str">
        <f t="shared" si="3"/>
        <v/>
      </c>
      <c r="O67" s="103" t="str">
        <f t="shared" si="4"/>
        <v/>
      </c>
      <c r="P67" s="53">
        <v>0</v>
      </c>
      <c r="Q67" s="102" t="str">
        <f t="shared" si="5"/>
        <v/>
      </c>
      <c r="R67" s="103" t="str">
        <f t="shared" si="6"/>
        <v/>
      </c>
      <c r="S67" s="53">
        <v>0</v>
      </c>
      <c r="T67" s="102" t="str">
        <f t="shared" si="7"/>
        <v/>
      </c>
      <c r="U67" s="103" t="str">
        <f t="shared" si="8"/>
        <v/>
      </c>
      <c r="V67" s="53">
        <v>0</v>
      </c>
      <c r="W67" s="87" t="str">
        <f t="shared" si="9"/>
        <v/>
      </c>
      <c r="X67" s="103" t="str">
        <f t="shared" si="10"/>
        <v/>
      </c>
      <c r="Y67" s="53">
        <v>0</v>
      </c>
      <c r="Z67" s="56" t="str">
        <f t="shared" si="11"/>
        <v/>
      </c>
      <c r="AA67" s="56" t="str">
        <f t="shared" si="12"/>
        <v/>
      </c>
      <c r="AB67" s="56" t="str">
        <f t="shared" si="13"/>
        <v/>
      </c>
      <c r="AC67" s="56" t="str">
        <f t="shared" si="14"/>
        <v/>
      </c>
      <c r="AD67" s="56" t="str">
        <f t="shared" si="15"/>
        <v/>
      </c>
      <c r="AE67" s="40"/>
      <c r="AF67" s="40"/>
      <c r="AG67" s="40"/>
      <c r="AH67" s="56" t="str">
        <f t="shared" si="16"/>
        <v/>
      </c>
      <c r="AI67" s="54"/>
      <c r="AJ67" s="54"/>
      <c r="AK67" s="54"/>
      <c r="AL67" s="54"/>
      <c r="AM67" s="54"/>
    </row>
    <row r="68" spans="1:39">
      <c r="A68" s="45" t="str" cm="1">
        <f t="array" ref="A68">IF(H68="PROJECT", CHAR(10) &amp; "- " &amp; _xlfn.TEXTJOIN(CHAR(10) &amp; "- ", TRUE, _xlfn._xlws.FILTER($I$9:$I$1000, ($B$9:$B$1000=B68) * ($H$9:$H$1000="Topic"))), "")</f>
        <v/>
      </c>
      <c r="B68" s="45" t="str">
        <f t="shared" si="1"/>
        <v/>
      </c>
      <c r="C68" s="95"/>
      <c r="D68" s="57"/>
      <c r="E68" s="58"/>
      <c r="F68" s="63"/>
      <c r="G68" s="60"/>
      <c r="H68" s="60"/>
      <c r="I68" s="61"/>
      <c r="J68" s="62"/>
      <c r="K68" s="129" t="str">
        <f t="shared" si="17"/>
        <v/>
      </c>
      <c r="L68" s="103" t="str">
        <f t="shared" si="2"/>
        <v/>
      </c>
      <c r="M68" s="52">
        <v>0</v>
      </c>
      <c r="N68" s="102" t="str">
        <f t="shared" si="3"/>
        <v/>
      </c>
      <c r="O68" s="103" t="str">
        <f t="shared" si="4"/>
        <v/>
      </c>
      <c r="P68" s="52">
        <v>0</v>
      </c>
      <c r="Q68" s="102" t="str">
        <f t="shared" si="5"/>
        <v/>
      </c>
      <c r="R68" s="103" t="str">
        <f t="shared" si="6"/>
        <v/>
      </c>
      <c r="S68" s="52">
        <v>0</v>
      </c>
      <c r="T68" s="102" t="str">
        <f t="shared" si="7"/>
        <v/>
      </c>
      <c r="U68" s="103" t="str">
        <f t="shared" si="8"/>
        <v/>
      </c>
      <c r="V68" s="52">
        <v>0</v>
      </c>
      <c r="W68" s="87" t="str">
        <f t="shared" si="9"/>
        <v/>
      </c>
      <c r="X68" s="103" t="str">
        <f t="shared" si="10"/>
        <v/>
      </c>
      <c r="Y68" s="52">
        <v>0</v>
      </c>
      <c r="Z68" s="56" t="str">
        <f t="shared" si="11"/>
        <v/>
      </c>
      <c r="AA68" s="56" t="str">
        <f t="shared" si="12"/>
        <v/>
      </c>
      <c r="AB68" s="56" t="str">
        <f t="shared" si="13"/>
        <v/>
      </c>
      <c r="AC68" s="56" t="str">
        <f t="shared" si="14"/>
        <v/>
      </c>
      <c r="AD68" s="56" t="str">
        <f t="shared" si="15"/>
        <v/>
      </c>
      <c r="AE68" s="40"/>
      <c r="AF68" s="40"/>
      <c r="AG68" s="40"/>
      <c r="AH68" s="56" t="str">
        <f t="shared" si="16"/>
        <v/>
      </c>
      <c r="AI68" s="54"/>
      <c r="AJ68" s="54"/>
      <c r="AK68" s="54"/>
      <c r="AL68" s="54"/>
      <c r="AM68" s="54"/>
    </row>
    <row r="69" spans="1:39">
      <c r="A69" s="45" t="str" cm="1">
        <f t="array" ref="A69">IF(H69="PROJECT", CHAR(10) &amp; "- " &amp; _xlfn.TEXTJOIN(CHAR(10) &amp; "- ", TRUE, _xlfn._xlws.FILTER($I$9:$I$1000, ($B$9:$B$1000=B69) * ($H$9:$H$1000="Topic"))), "")</f>
        <v/>
      </c>
      <c r="B69" s="45" t="str">
        <f t="shared" si="1"/>
        <v/>
      </c>
      <c r="C69" s="95"/>
      <c r="D69" s="46"/>
      <c r="E69" s="58"/>
      <c r="F69" s="65"/>
      <c r="G69" s="49"/>
      <c r="H69" s="66"/>
      <c r="I69" s="50"/>
      <c r="J69" s="51"/>
      <c r="K69" s="129" t="str">
        <f t="shared" si="17"/>
        <v/>
      </c>
      <c r="L69" s="103" t="str">
        <f t="shared" si="2"/>
        <v/>
      </c>
      <c r="M69" s="53">
        <v>0</v>
      </c>
      <c r="N69" s="102" t="str">
        <f t="shared" si="3"/>
        <v/>
      </c>
      <c r="O69" s="103" t="str">
        <f t="shared" si="4"/>
        <v/>
      </c>
      <c r="P69" s="53">
        <v>0</v>
      </c>
      <c r="Q69" s="102" t="str">
        <f t="shared" si="5"/>
        <v/>
      </c>
      <c r="R69" s="103" t="str">
        <f t="shared" si="6"/>
        <v/>
      </c>
      <c r="S69" s="53">
        <v>0</v>
      </c>
      <c r="T69" s="102" t="str">
        <f t="shared" si="7"/>
        <v/>
      </c>
      <c r="U69" s="103" t="str">
        <f t="shared" si="8"/>
        <v/>
      </c>
      <c r="V69" s="53">
        <v>0</v>
      </c>
      <c r="W69" s="87" t="str">
        <f t="shared" si="9"/>
        <v/>
      </c>
      <c r="X69" s="103" t="str">
        <f t="shared" si="10"/>
        <v/>
      </c>
      <c r="Y69" s="53">
        <v>0</v>
      </c>
      <c r="Z69" s="56" t="str">
        <f t="shared" si="11"/>
        <v/>
      </c>
      <c r="AA69" s="56" t="str">
        <f t="shared" si="12"/>
        <v/>
      </c>
      <c r="AB69" s="56" t="str">
        <f t="shared" si="13"/>
        <v/>
      </c>
      <c r="AC69" s="56" t="str">
        <f t="shared" si="14"/>
        <v/>
      </c>
      <c r="AD69" s="56" t="str">
        <f t="shared" si="15"/>
        <v/>
      </c>
      <c r="AE69" s="40"/>
      <c r="AF69" s="40"/>
      <c r="AG69" s="40"/>
      <c r="AH69" s="56" t="str">
        <f t="shared" si="16"/>
        <v/>
      </c>
      <c r="AI69" s="54"/>
      <c r="AJ69" s="54"/>
      <c r="AK69" s="54"/>
      <c r="AL69" s="54"/>
      <c r="AM69" s="54"/>
    </row>
    <row r="70" spans="1:39">
      <c r="A70" s="45" t="str" cm="1">
        <f t="array" ref="A70">IF(H70="PROJECT", CHAR(10) &amp; "- " &amp; _xlfn.TEXTJOIN(CHAR(10) &amp; "- ", TRUE, _xlfn._xlws.FILTER($I$9:$I$1000, ($B$9:$B$1000=B70) * ($H$9:$H$1000="Topic"))), "")</f>
        <v/>
      </c>
      <c r="B70" s="45" t="str">
        <f t="shared" si="1"/>
        <v/>
      </c>
      <c r="C70" s="95"/>
      <c r="D70" s="57"/>
      <c r="E70" s="58"/>
      <c r="F70" s="63"/>
      <c r="G70" s="60"/>
      <c r="H70" s="64"/>
      <c r="I70" s="61"/>
      <c r="J70" s="62"/>
      <c r="K70" s="129" t="str">
        <f t="shared" si="17"/>
        <v/>
      </c>
      <c r="L70" s="103" t="str">
        <f t="shared" si="2"/>
        <v/>
      </c>
      <c r="M70" s="52">
        <v>0</v>
      </c>
      <c r="N70" s="102" t="str">
        <f t="shared" si="3"/>
        <v/>
      </c>
      <c r="O70" s="103" t="str">
        <f t="shared" si="4"/>
        <v/>
      </c>
      <c r="P70" s="52">
        <v>0</v>
      </c>
      <c r="Q70" s="102" t="str">
        <f t="shared" si="5"/>
        <v/>
      </c>
      <c r="R70" s="103" t="str">
        <f t="shared" si="6"/>
        <v/>
      </c>
      <c r="S70" s="52">
        <v>0</v>
      </c>
      <c r="T70" s="102" t="str">
        <f t="shared" si="7"/>
        <v/>
      </c>
      <c r="U70" s="103" t="str">
        <f t="shared" si="8"/>
        <v/>
      </c>
      <c r="V70" s="52">
        <v>0</v>
      </c>
      <c r="W70" s="87" t="str">
        <f t="shared" si="9"/>
        <v/>
      </c>
      <c r="X70" s="103" t="str">
        <f t="shared" si="10"/>
        <v/>
      </c>
      <c r="Y70" s="52">
        <v>0</v>
      </c>
      <c r="Z70" s="56" t="str">
        <f t="shared" si="11"/>
        <v/>
      </c>
      <c r="AA70" s="56" t="str">
        <f t="shared" si="12"/>
        <v/>
      </c>
      <c r="AB70" s="56" t="str">
        <f t="shared" si="13"/>
        <v/>
      </c>
      <c r="AC70" s="56" t="str">
        <f t="shared" si="14"/>
        <v/>
      </c>
      <c r="AD70" s="56" t="str">
        <f t="shared" si="15"/>
        <v/>
      </c>
      <c r="AE70" s="40"/>
      <c r="AF70" s="40"/>
      <c r="AG70" s="40"/>
      <c r="AH70" s="56" t="str">
        <f t="shared" si="16"/>
        <v/>
      </c>
      <c r="AI70" s="54"/>
      <c r="AJ70" s="54"/>
      <c r="AK70" s="54"/>
      <c r="AL70" s="54"/>
      <c r="AM70" s="54"/>
    </row>
    <row r="71" spans="1:39">
      <c r="A71" s="45" t="str" cm="1">
        <f t="array" ref="A71">IF(H71="PROJECT", CHAR(10) &amp; "- " &amp; _xlfn.TEXTJOIN(CHAR(10) &amp; "- ", TRUE, _xlfn._xlws.FILTER($I$9:$I$1000, ($B$9:$B$1000=B71) * ($H$9:$H$1000="Topic"))), "")</f>
        <v/>
      </c>
      <c r="B71" s="45" t="str">
        <f t="shared" si="1"/>
        <v/>
      </c>
      <c r="C71" s="95"/>
      <c r="D71" s="46"/>
      <c r="E71" s="58"/>
      <c r="F71" s="65"/>
      <c r="G71" s="49"/>
      <c r="H71" s="66"/>
      <c r="I71" s="50"/>
      <c r="J71" s="51"/>
      <c r="K71" s="129" t="str">
        <f t="shared" si="17"/>
        <v/>
      </c>
      <c r="L71" s="103" t="str">
        <f t="shared" si="2"/>
        <v/>
      </c>
      <c r="M71" s="53">
        <v>0</v>
      </c>
      <c r="N71" s="102" t="str">
        <f t="shared" si="3"/>
        <v/>
      </c>
      <c r="O71" s="103" t="str">
        <f t="shared" si="4"/>
        <v/>
      </c>
      <c r="P71" s="53">
        <v>0</v>
      </c>
      <c r="Q71" s="102" t="str">
        <f t="shared" si="5"/>
        <v/>
      </c>
      <c r="R71" s="103" t="str">
        <f t="shared" si="6"/>
        <v/>
      </c>
      <c r="S71" s="53">
        <v>0</v>
      </c>
      <c r="T71" s="102" t="str">
        <f t="shared" si="7"/>
        <v/>
      </c>
      <c r="U71" s="103" t="str">
        <f t="shared" si="8"/>
        <v/>
      </c>
      <c r="V71" s="53">
        <v>0</v>
      </c>
      <c r="W71" s="87" t="str">
        <f t="shared" si="9"/>
        <v/>
      </c>
      <c r="X71" s="103" t="str">
        <f t="shared" si="10"/>
        <v/>
      </c>
      <c r="Y71" s="53">
        <v>0</v>
      </c>
      <c r="Z71" s="56" t="str">
        <f t="shared" si="11"/>
        <v/>
      </c>
      <c r="AA71" s="56" t="str">
        <f t="shared" si="12"/>
        <v/>
      </c>
      <c r="AB71" s="56" t="str">
        <f t="shared" si="13"/>
        <v/>
      </c>
      <c r="AC71" s="56" t="str">
        <f t="shared" si="14"/>
        <v/>
      </c>
      <c r="AD71" s="56" t="str">
        <f t="shared" si="15"/>
        <v/>
      </c>
      <c r="AE71" s="40"/>
      <c r="AF71" s="40"/>
      <c r="AG71" s="40"/>
      <c r="AH71" s="56" t="str">
        <f t="shared" si="16"/>
        <v/>
      </c>
      <c r="AI71" s="54"/>
      <c r="AJ71" s="54"/>
      <c r="AK71" s="54"/>
      <c r="AL71" s="54"/>
      <c r="AM71" s="54"/>
    </row>
    <row r="72" spans="1:39">
      <c r="A72" s="45" t="str" cm="1">
        <f t="array" ref="A72">IF(H72="PROJECT", CHAR(10) &amp; "- " &amp; _xlfn.TEXTJOIN(CHAR(10) &amp; "- ", TRUE, _xlfn._xlws.FILTER($I$9:$I$1000, ($B$9:$B$1000=B72) * ($H$9:$H$1000="Topic"))), "")</f>
        <v/>
      </c>
      <c r="B72" s="45" t="str">
        <f t="shared" si="1"/>
        <v/>
      </c>
      <c r="C72" s="95"/>
      <c r="D72" s="57"/>
      <c r="E72" s="58"/>
      <c r="F72" s="63"/>
      <c r="G72" s="60"/>
      <c r="H72" s="64"/>
      <c r="I72" s="61"/>
      <c r="J72" s="62"/>
      <c r="K72" s="129" t="str">
        <f t="shared" si="17"/>
        <v/>
      </c>
      <c r="L72" s="103" t="str">
        <f t="shared" si="2"/>
        <v/>
      </c>
      <c r="M72" s="52">
        <v>0</v>
      </c>
      <c r="N72" s="102" t="str">
        <f t="shared" si="3"/>
        <v/>
      </c>
      <c r="O72" s="103" t="str">
        <f t="shared" si="4"/>
        <v/>
      </c>
      <c r="P72" s="52">
        <v>0</v>
      </c>
      <c r="Q72" s="102" t="str">
        <f t="shared" si="5"/>
        <v/>
      </c>
      <c r="R72" s="103" t="str">
        <f t="shared" si="6"/>
        <v/>
      </c>
      <c r="S72" s="52">
        <v>0</v>
      </c>
      <c r="T72" s="102" t="str">
        <f t="shared" si="7"/>
        <v/>
      </c>
      <c r="U72" s="103" t="str">
        <f t="shared" si="8"/>
        <v/>
      </c>
      <c r="V72" s="52">
        <v>0</v>
      </c>
      <c r="W72" s="87" t="str">
        <f t="shared" si="9"/>
        <v/>
      </c>
      <c r="X72" s="103" t="str">
        <f t="shared" si="10"/>
        <v/>
      </c>
      <c r="Y72" s="52">
        <v>0</v>
      </c>
      <c r="Z72" s="56" t="str">
        <f t="shared" si="11"/>
        <v/>
      </c>
      <c r="AA72" s="56" t="str">
        <f t="shared" si="12"/>
        <v/>
      </c>
      <c r="AB72" s="56" t="str">
        <f t="shared" si="13"/>
        <v/>
      </c>
      <c r="AC72" s="56" t="str">
        <f t="shared" si="14"/>
        <v/>
      </c>
      <c r="AD72" s="56" t="str">
        <f t="shared" si="15"/>
        <v/>
      </c>
      <c r="AE72" s="40"/>
      <c r="AF72" s="40"/>
      <c r="AG72" s="40"/>
      <c r="AH72" s="56" t="str">
        <f t="shared" si="16"/>
        <v/>
      </c>
      <c r="AI72" s="54"/>
      <c r="AJ72" s="54"/>
      <c r="AK72" s="54"/>
      <c r="AL72" s="54"/>
      <c r="AM72" s="54"/>
    </row>
    <row r="73" spans="1:39">
      <c r="A73" s="45" t="str" cm="1">
        <f t="array" ref="A73">IF(H73="PROJECT", CHAR(10) &amp; "- " &amp; _xlfn.TEXTJOIN(CHAR(10) &amp; "- ", TRUE, _xlfn._xlws.FILTER($I$9:$I$1000, ($B$9:$B$1000=B73) * ($H$9:$H$1000="Topic"))), "")</f>
        <v/>
      </c>
      <c r="B73" s="45" t="str">
        <f t="shared" si="1"/>
        <v/>
      </c>
      <c r="C73" s="95"/>
      <c r="D73" s="46"/>
      <c r="E73" s="58"/>
      <c r="F73" s="67"/>
      <c r="G73" s="53"/>
      <c r="H73" s="49"/>
      <c r="I73" s="50"/>
      <c r="J73" s="51"/>
      <c r="K73" s="129" t="str">
        <f t="shared" ref="K73:K104" si="18">IF(H73="Topic",
"[ROLE] Friendly tutor specializing in " &amp; $I$2 &amp; " | " &amp;
"[TOPIC] " &amp; I73 &amp; " | " &amp;
"[LEVEL] " &amp; G73 &amp; " | " &amp;
"[COUNT] " &amp; D73 &amp; " examples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$A$6 &amp; "). This includes translating ALL structural labels requested in this prompt (like 'Dataset Summary', 'File Type', 'Columns / Fields', 'Data Types', 'Notes', 'Analogy', 'Exercise', 'Objective', 'Expected Output') into " &amp; $A$6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$A$6 &amp; ": " &amp; $AE$7) &amp; " | " &amp;
"[LANGUAGE] " &amp; $A$6 &amp; " | " &amp;
"[EXECUTIVE CONSTRAINTS] Each example MUST include: - Internal data OR dataset usage - Print key intermediate steps and the final result - MUST NOT exceed exactly " &amp; $C73 &amp; " lines of EXECUTABLE code (STRICT: Do NOT count comments or blank lines). - NEVER exceed this limit. | " &amp;
"[FUNCTION RULE] Rule: " &amp; IF(G73="Beginner","Focus: basic async/await, simple Future-returning methods on classes, synchronous Stream handling within class methods.", IF(G73="Intermediate", "Integrate StreamControllers (event-driven) inside classes, async* generators as methods, explicit state transitions via sealed class hierarchies.", "stateful class instances with strict typing, sealed state classes, or Stream-based message passing between objects")) &amp; " | " &amp;
_xlfn._LONGTEXT("[CODE_CONSTRAINTS_RULE] Each example MUST: - Use stateful class instances with strict typing, sealed state classes, or Stream-based message passing between objects - Print steps &amp; result via print() or developer.log() inside isolated scopes, error handler","s, or class methods - MAX ") &amp; $C73 &amp; " executable lines (comments/blanks excluded) - NEVER exceed limit. | " &amp;
_xlfn._LONGTEXT("[I_O_PARADIGM] Use standard event passing via StreamController.add, SendPort.send, or typed method calls on class interfaces and gracefully handle sealed classes representing states, Records like (response, newState), or typed Futures/Streams returned fro","m class methods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F73 &amp; " | Stage 1 📖 Practice | " &amp; IF($I$3="", $I$2, $I$2&amp; " - " &amp;$I$3) &amp; " | 📊 Level: " &amp; G73 &amp; " | 🌐 Coding5s.com" &amp; CHAR(10) &amp; "**Concept:** " &amp; J73 &amp; CHAR(10) &amp; "---" &amp; CHAR(10) &amp; " | " &amp;
"[INTRO RULE] Include a short tutor-style sentence in " &amp; $A$6 &amp; " before the analogy, followed by this EXACT instruction block translated to " &amp; $A$6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D73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IF(AJ73&lt;&gt;"", AJ73,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$A$6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IF(H73="PROJECT", Z73, ""))</f>
        <v/>
      </c>
      <c r="L73" s="103" t="str">
        <f t="shared" si="2"/>
        <v/>
      </c>
      <c r="M73" s="53">
        <v>0</v>
      </c>
      <c r="N73" s="102" t="str">
        <f t="shared" si="3"/>
        <v/>
      </c>
      <c r="O73" s="103" t="str">
        <f t="shared" si="4"/>
        <v/>
      </c>
      <c r="P73" s="53">
        <v>0</v>
      </c>
      <c r="Q73" s="102" t="str">
        <f t="shared" si="5"/>
        <v/>
      </c>
      <c r="R73" s="103" t="str">
        <f t="shared" si="6"/>
        <v/>
      </c>
      <c r="S73" s="53">
        <v>0</v>
      </c>
      <c r="T73" s="102" t="str">
        <f t="shared" si="7"/>
        <v/>
      </c>
      <c r="U73" s="103" t="str">
        <f t="shared" si="8"/>
        <v/>
      </c>
      <c r="V73" s="53">
        <v>0</v>
      </c>
      <c r="W73" s="87" t="str">
        <f t="shared" si="9"/>
        <v/>
      </c>
      <c r="X73" s="103" t="str">
        <f t="shared" si="10"/>
        <v/>
      </c>
      <c r="Y73" s="53">
        <v>0</v>
      </c>
      <c r="Z73" s="56" t="str">
        <f t="shared" si="11"/>
        <v/>
      </c>
      <c r="AA73" s="56" t="str">
        <f t="shared" si="12"/>
        <v/>
      </c>
      <c r="AB73" s="56" t="str">
        <f t="shared" si="13"/>
        <v/>
      </c>
      <c r="AC73" s="56" t="str">
        <f t="shared" si="14"/>
        <v/>
      </c>
      <c r="AD73" s="56" t="str">
        <f t="shared" si="15"/>
        <v/>
      </c>
      <c r="AE73" s="40"/>
      <c r="AF73" s="40"/>
      <c r="AG73" s="40"/>
      <c r="AH73" s="56" t="str">
        <f t="shared" si="16"/>
        <v/>
      </c>
      <c r="AI73" s="54"/>
      <c r="AJ73" s="54"/>
      <c r="AK73" s="54"/>
      <c r="AL73" s="54"/>
      <c r="AM73" s="54"/>
    </row>
    <row r="74" spans="1:39">
      <c r="A74" s="45" t="str" cm="1">
        <f t="array" ref="A74">IF(H74="PROJECT", CHAR(10) &amp; "- " &amp; _xlfn.TEXTJOIN(CHAR(10) &amp; "- ", TRUE, _xlfn._xlws.FILTER($I$9:$I$1000, ($B$9:$B$1000=B74) * ($H$9:$H$1000="Topic"))), "")</f>
        <v/>
      </c>
      <c r="B74" s="45" t="str">
        <f t="shared" ref="B74:B137" si="19">IF(H74="","",IF(AND(H74="Topic",H73="PROJECT"),B73+1,IF(H74="PROJECT",B73,IF(AND(H74="Topic",H73="Topic"),B73,B73+1))))</f>
        <v/>
      </c>
      <c r="C74" s="95"/>
      <c r="D74" s="57"/>
      <c r="E74" s="58"/>
      <c r="F74" s="54"/>
      <c r="G74" s="52"/>
      <c r="H74" s="52"/>
      <c r="I74" s="61"/>
      <c r="J74" s="62"/>
      <c r="K74" s="129" t="str">
        <f t="shared" si="18"/>
        <v/>
      </c>
      <c r="L74" s="103" t="str">
        <f t="shared" ref="L74:L137" si="20">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B74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async/await, Future usage, and simple class methods. Do NOT expect complex StreamControllers, Isolates, or advanced OOP patterns unless explicitly demanded.", IF(G74="Intermediate", "Expect structured Stream handling, isolate usage, and proper state encapsulation using classes with private fields. Look for non-blocking async operations and basic inheritance or composition.", "Expect complete apps with bi-directional Isolate communication, clean separation of public interfaces vs internal state, exhaustive pattern matching with sealed classes, and advanced OOP patterns (composition over inheritance).")) &amp; " | " &amp;
_xlfn._LONGTEXT("[CODE_QUALITY_POLICIES]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c>
      <c r="M74" s="52">
        <v>0</v>
      </c>
      <c r="N74" s="102" t="str">
        <f t="shared" ref="N74:N137" si="21">IF(H74="Topic",
"[ROLE] Careless " &amp; $I$2 &amp; " Developer | " &amp;
"[TASK] Generate debugging challenges in " &amp; $I$2 &amp; " | | " &amp;
"[TOPIC] " &amp; I74 &amp; " | | " &amp;
"[LEVEL] " &amp; G74 &amp; " | | " &amp;
"[COUNT] " &amp; D74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
"[EXUNIT RULE] Always use the Dart test package. You MUST use expect() with Future/Stream matchers for async testing. Avoid testing complex async logic with simple synchronous assertions. | " &amp;
"[HEX DEPENDENCIES RULE] Assume a standard Dart CLI context. External pub.dev dependencies MUST be specified strictly within the dependencies block of pubspec.yaml. | " &amp;
"[CODE CONSTRAINTS] Each challenge MUST include: - At least 1 Stream, Isolate, or class managing continuous state - Explicit typed state initialization - At least 1 asynchronous event listener or Future handler - " &amp; IF(G74="Beginner", "5–15", IF(G74="Intermediate", "10–25", "15–35")) &amp; " lines of EXECUTABLE broken Dart code per example (STRICT: Do NOT count blank lines). Enforce static typing, Sound Null Safety, and avoid 'dynamic'. | All challenges MUST have similar async abstraction depth, OOP complexity, and architectural layering.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
      </c>
      <c r="O74" s="103" t="str">
        <f t="shared" ref="O74:O137" si="22">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B74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74" s="52">
        <v>0</v>
      </c>
      <c r="Q74" s="102" t="str">
        <f t="shared" ref="Q74:Q137" si="23">IF(H74="Topic",
"[ROLE] Tech Lead | " &amp;
"[TASK] Assign incomplete " &amp; $I$2 &amp; " script challenges | " &amp;
"[TOPIC] " &amp; I74 &amp; " | " &amp;
"[LEVEL] " &amp; G74 &amp; " | " &amp;
"[COUNT] " &amp; D74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pub.dev packages MUST be added to the dependencies block in a standard pubspec.yaml file. Do not use standalone scripts. | " &amp;
"[TESTING_FRAMEWORK_PROTOCOL] Tests MUST isolate async states. NEVER hack event loops manually; use expect() with stream/future matchers to verify async flows. | " &amp;
"[CHALLENGE_CONSTRAINTS_POLICY] Each challenge MUST include: - A functional StreamController, Isolate, or Class managing continuous state with strict typing and encapsulated private fields. - " &amp; IF(G74="Beginner","5–15", IF(G74="Intermediate","10–25","15–35")) &amp; " lines of EXECUTABLE base Dart code (STRICT: Do NOT count comments or TODOs). Length MUST vary. Enforce static typing, Sound Null Safety, and idiomatic OOP.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
      </c>
      <c r="R74" s="103" t="str">
        <f t="shared" ref="R74:R137" si="24">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B74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74" s="52">
        <v>0</v>
      </c>
      <c r="T74" s="102" t="str">
        <f t="shared" ref="T74:T137" si="25">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
      </c>
      <c r="U74" s="103" t="str">
        <f t="shared" ref="U74:U137" si="26">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B74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adhere strictly to Effective Dart style guidelines. Use camelCase for variables/functions/members, PascalCase for classes, snake_case for files. Avoid global state; emphasize strict typing, encapsulation, and sound"," async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74" s="52">
        <v>0</v>
      </c>
      <c r="W74" s="87" t="str">
        <f t="shared" ref="W74:W137" si="27">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
      </c>
      <c r="X74" s="103" t="str">
        <f t="shared" ref="X74:X137" si="28">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B74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74" s="52">
        <v>0</v>
      </c>
      <c r="Z74" s="56" t="str">
        <f t="shared" ref="Z74:Z137" si="29">IF(H74&lt;&gt;"PROJECT","",
"[TASK] Teach through a practical " &amp; $I$2 &amp; " - " &amp; $I$3 &amp; " project following the micro-learning methodology, acting as a supportive tutor, creating a project about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pubspec.yaml dependencies block (dependencies: package_name: ^version) at the top. | " &amp;
"[SCOPE_ARCHITECTURE_RULE] Rule: Build apps: bi-directional Isolate communication between class instances, complex Stream transformations, exhaustive switch on sealed class events. | " &amp;
_xlfn._LONGTEXT("[VISUAL_ARCHITECTURE_COMMENTS]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0">IF(H74&lt;&gt;"PROJECT","",
"[ROLE] Careless " &amp; $I$2 &amp; " Developer | " &amp;
"[TASK] Generate debugging project in " &amp; $I$2 &amp; " | " &amp;
"[PROJECT] " &amp; I74 &amp; " | " &amp;
"[TOPICS USED] " &amp; B74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1">IF(H74&lt;&gt;"PROJECT","",
"[ROLE] Tech Lead | " &amp;
"[TASK] Assign incomplete project script | " &amp;
"[PROJECT]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dart pub tooling and pubspec.yaml for dependencies. | " &amp;
"[CHALLENGE_CONSTRAINTS_POLICY] MUST be between " &amp; IF(G74="Beginner","25–40", IF(G74="Intermediate","30–60","40–100")) &amp; " lines of EXECUTABLE base Dart code (STRICT: Do NOT count comments or TODOs). Must feature Stream-based event pipelines, asynchronous isolate flows, or class-based state machines.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2">IF(H74&lt;&gt;"PROJECT","",
"[ROLE] Tech Lead | " &amp;
"[TASK] Provide a messy but functional project for refactoring | " &amp;
"[PROJECT] " &amp; I74 &amp; " | " &amp;
"[TOPICS USED] " &amp; B74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3">IF(H74&lt;&gt;"PROJECT","",
"[ROLE] Tech Product Manager assigning a " &amp; $I$2 &amp; " Jira Ticket | " &amp;
"[TASK] Provide a guided project implementation with full solution | " &amp;
"[PROJECT] " &amp; I74 &amp; " | " &amp;
"[TOPICS USED] " &amp; B74 &amp; " | " &amp;
"[LEVEL] " &amp; G74 &amp; " | " &amp;
"[PERSONA RULE] Act as a professional Tech Product Manager defining a project ticket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6"/>
        <v/>
      </c>
      <c r="AI74" s="54"/>
      <c r="AJ74" s="54"/>
      <c r="AK74" s="54"/>
      <c r="AL74" s="54"/>
      <c r="AM74" s="54"/>
    </row>
    <row r="75" spans="1:39">
      <c r="A75" s="45" t="str" cm="1">
        <f t="array" ref="A75">IF(H75="PROJECT", CHAR(10) &amp; "- " &amp; _xlfn.TEXTJOIN(CHAR(10) &amp; "- ", TRUE, _xlfn._xlws.FILTER($I$9:$I$1000, ($B$9:$B$1000=B75) * ($H$9:$H$1000="Topic"))), "")</f>
        <v/>
      </c>
      <c r="B75" s="45" t="str">
        <f t="shared" si="19"/>
        <v/>
      </c>
      <c r="C75" s="95"/>
      <c r="D75" s="46"/>
      <c r="E75" s="58"/>
      <c r="F75" s="67"/>
      <c r="G75" s="53"/>
      <c r="H75" s="53"/>
      <c r="I75" s="50"/>
      <c r="J75" s="51"/>
      <c r="K75" s="129" t="str">
        <f t="shared" si="18"/>
        <v/>
      </c>
      <c r="L75" s="103" t="str">
        <f t="shared" si="20"/>
        <v/>
      </c>
      <c r="M75" s="53">
        <v>0</v>
      </c>
      <c r="N75" s="102" t="str">
        <f t="shared" si="21"/>
        <v/>
      </c>
      <c r="O75" s="103" t="str">
        <f t="shared" si="22"/>
        <v/>
      </c>
      <c r="P75" s="53">
        <v>0</v>
      </c>
      <c r="Q75" s="102" t="str">
        <f t="shared" si="23"/>
        <v/>
      </c>
      <c r="R75" s="103" t="str">
        <f t="shared" si="24"/>
        <v/>
      </c>
      <c r="S75" s="53">
        <v>0</v>
      </c>
      <c r="T75" s="102" t="str">
        <f t="shared" si="25"/>
        <v/>
      </c>
      <c r="U75" s="103" t="str">
        <f t="shared" si="26"/>
        <v/>
      </c>
      <c r="V75" s="53">
        <v>0</v>
      </c>
      <c r="W75" s="87" t="str">
        <f t="shared" si="27"/>
        <v/>
      </c>
      <c r="X75" s="103" t="str">
        <f t="shared" si="28"/>
        <v/>
      </c>
      <c r="Y75" s="53">
        <v>0</v>
      </c>
      <c r="Z75" s="56" t="str">
        <f t="shared" si="29"/>
        <v/>
      </c>
      <c r="AA75" s="56" t="str">
        <f t="shared" si="30"/>
        <v/>
      </c>
      <c r="AB75" s="56" t="str">
        <f t="shared" si="31"/>
        <v/>
      </c>
      <c r="AC75" s="56" t="str">
        <f t="shared" si="32"/>
        <v/>
      </c>
      <c r="AD75" s="56" t="str">
        <f t="shared" si="33"/>
        <v/>
      </c>
      <c r="AE75" s="40"/>
      <c r="AF75" s="40"/>
      <c r="AG75" s="40"/>
      <c r="AH75" s="56" t="str">
        <f t="shared" si="16"/>
        <v/>
      </c>
      <c r="AI75" s="54"/>
      <c r="AJ75" s="54"/>
      <c r="AK75" s="54"/>
      <c r="AL75" s="54"/>
      <c r="AM75" s="54"/>
    </row>
    <row r="76" spans="1:39">
      <c r="A76" s="45" t="str" cm="1">
        <f t="array" ref="A76">IF(H76="PROJECT", CHAR(10) &amp; "- " &amp; _xlfn.TEXTJOIN(CHAR(10) &amp; "- ", TRUE, _xlfn._xlws.FILTER($I$9:$I$1000, ($B$9:$B$1000=B76) * ($H$9:$H$1000="Topic"))), "")</f>
        <v/>
      </c>
      <c r="B76" s="45" t="str">
        <f t="shared" si="19"/>
        <v/>
      </c>
      <c r="C76" s="95"/>
      <c r="D76" s="57"/>
      <c r="E76" s="58"/>
      <c r="F76" s="54"/>
      <c r="G76" s="52"/>
      <c r="H76" s="52"/>
      <c r="I76" s="61"/>
      <c r="J76" s="62"/>
      <c r="K76" s="129" t="str">
        <f t="shared" si="18"/>
        <v/>
      </c>
      <c r="L76" s="103" t="str">
        <f t="shared" si="20"/>
        <v/>
      </c>
      <c r="M76" s="52">
        <v>0</v>
      </c>
      <c r="N76" s="102" t="str">
        <f t="shared" si="21"/>
        <v/>
      </c>
      <c r="O76" s="103" t="str">
        <f t="shared" si="22"/>
        <v/>
      </c>
      <c r="P76" s="52">
        <v>0</v>
      </c>
      <c r="Q76" s="102" t="str">
        <f t="shared" si="23"/>
        <v/>
      </c>
      <c r="R76" s="103" t="str">
        <f t="shared" si="24"/>
        <v/>
      </c>
      <c r="S76" s="52">
        <v>0</v>
      </c>
      <c r="T76" s="102" t="str">
        <f t="shared" si="25"/>
        <v/>
      </c>
      <c r="U76" s="103" t="str">
        <f t="shared" si="26"/>
        <v/>
      </c>
      <c r="V76" s="52">
        <v>0</v>
      </c>
      <c r="W76" s="87" t="str">
        <f t="shared" si="27"/>
        <v/>
      </c>
      <c r="X76" s="103" t="str">
        <f t="shared" si="28"/>
        <v/>
      </c>
      <c r="Y76" s="52">
        <v>0</v>
      </c>
      <c r="Z76" s="56" t="str">
        <f t="shared" si="29"/>
        <v/>
      </c>
      <c r="AA76" s="56" t="str">
        <f t="shared" si="30"/>
        <v/>
      </c>
      <c r="AB76" s="56" t="str">
        <f t="shared" si="31"/>
        <v/>
      </c>
      <c r="AC76" s="56" t="str">
        <f t="shared" si="32"/>
        <v/>
      </c>
      <c r="AD76" s="56" t="str">
        <f t="shared" si="33"/>
        <v/>
      </c>
      <c r="AE76" s="40"/>
      <c r="AF76" s="40"/>
      <c r="AG76" s="40"/>
      <c r="AH76" s="56" t="str">
        <f t="shared" si="16"/>
        <v/>
      </c>
      <c r="AI76" s="54"/>
      <c r="AJ76" s="54"/>
      <c r="AK76" s="54"/>
      <c r="AL76" s="54"/>
      <c r="AM76" s="54"/>
    </row>
    <row r="77" spans="1:39">
      <c r="A77" s="45" t="str" cm="1">
        <f t="array" ref="A77">IF(H77="PROJECT", CHAR(10) &amp; "- " &amp; _xlfn.TEXTJOIN(CHAR(10) &amp; "- ", TRUE, _xlfn._xlws.FILTER($I$9:$I$1000, ($B$9:$B$1000=B77) * ($H$9:$H$1000="Topic"))), "")</f>
        <v/>
      </c>
      <c r="B77" s="45" t="str">
        <f t="shared" si="19"/>
        <v/>
      </c>
      <c r="C77" s="95"/>
      <c r="D77" s="46"/>
      <c r="E77" s="58"/>
      <c r="F77" s="67"/>
      <c r="G77" s="53"/>
      <c r="H77" s="53"/>
      <c r="I77" s="50"/>
      <c r="J77" s="51"/>
      <c r="K77" s="129" t="str">
        <f t="shared" si="18"/>
        <v/>
      </c>
      <c r="L77" s="103" t="str">
        <f t="shared" si="20"/>
        <v/>
      </c>
      <c r="M77" s="53">
        <v>0</v>
      </c>
      <c r="N77" s="102" t="str">
        <f t="shared" si="21"/>
        <v/>
      </c>
      <c r="O77" s="103" t="str">
        <f t="shared" si="22"/>
        <v/>
      </c>
      <c r="P77" s="53">
        <v>0</v>
      </c>
      <c r="Q77" s="102" t="str">
        <f t="shared" si="23"/>
        <v/>
      </c>
      <c r="R77" s="103" t="str">
        <f t="shared" si="24"/>
        <v/>
      </c>
      <c r="S77" s="53">
        <v>0</v>
      </c>
      <c r="T77" s="102" t="str">
        <f t="shared" si="25"/>
        <v/>
      </c>
      <c r="U77" s="103" t="str">
        <f t="shared" si="26"/>
        <v/>
      </c>
      <c r="V77" s="53">
        <v>0</v>
      </c>
      <c r="W77" s="87" t="str">
        <f t="shared" si="27"/>
        <v/>
      </c>
      <c r="X77" s="103" t="str">
        <f t="shared" si="28"/>
        <v/>
      </c>
      <c r="Y77" s="53">
        <v>0</v>
      </c>
      <c r="Z77" s="56" t="str">
        <f t="shared" si="29"/>
        <v/>
      </c>
      <c r="AA77" s="56" t="str">
        <f t="shared" si="30"/>
        <v/>
      </c>
      <c r="AB77" s="56" t="str">
        <f t="shared" si="31"/>
        <v/>
      </c>
      <c r="AC77" s="56" t="str">
        <f t="shared" si="32"/>
        <v/>
      </c>
      <c r="AD77" s="56" t="str">
        <f t="shared" si="33"/>
        <v/>
      </c>
      <c r="AE77" s="40"/>
      <c r="AF77" s="40"/>
      <c r="AG77" s="40"/>
      <c r="AH77" s="56" t="str">
        <f t="shared" ref="AH77:AH140" si="34">IF(AE77=$A$6,AG77,"")</f>
        <v/>
      </c>
      <c r="AI77" s="54"/>
      <c r="AJ77" s="54"/>
      <c r="AK77" s="54"/>
      <c r="AL77" s="54"/>
      <c r="AM77" s="54"/>
    </row>
    <row r="78" spans="1:39">
      <c r="A78" s="45" t="str" cm="1">
        <f t="array" ref="A78">IF(H78="PROJECT", CHAR(10) &amp; "- " &amp; _xlfn.TEXTJOIN(CHAR(10) &amp; "- ", TRUE, _xlfn._xlws.FILTER($I$9:$I$1000, ($B$9:$B$1000=B78) * ($H$9:$H$1000="Topic"))), "")</f>
        <v/>
      </c>
      <c r="B78" s="45" t="str">
        <f t="shared" si="19"/>
        <v/>
      </c>
      <c r="C78" s="95"/>
      <c r="D78" s="57"/>
      <c r="E78" s="58"/>
      <c r="F78" s="54"/>
      <c r="G78" s="52"/>
      <c r="H78" s="52"/>
      <c r="I78" s="61"/>
      <c r="J78" s="62"/>
      <c r="K78" s="129" t="str">
        <f t="shared" si="18"/>
        <v/>
      </c>
      <c r="L78" s="103" t="str">
        <f t="shared" si="20"/>
        <v/>
      </c>
      <c r="M78" s="52">
        <v>0</v>
      </c>
      <c r="N78" s="102" t="str">
        <f t="shared" si="21"/>
        <v/>
      </c>
      <c r="O78" s="103" t="str">
        <f t="shared" si="22"/>
        <v/>
      </c>
      <c r="P78" s="52">
        <v>0</v>
      </c>
      <c r="Q78" s="102" t="str">
        <f t="shared" si="23"/>
        <v/>
      </c>
      <c r="R78" s="103" t="str">
        <f t="shared" si="24"/>
        <v/>
      </c>
      <c r="S78" s="52">
        <v>0</v>
      </c>
      <c r="T78" s="102" t="str">
        <f t="shared" si="25"/>
        <v/>
      </c>
      <c r="U78" s="103" t="str">
        <f t="shared" si="26"/>
        <v/>
      </c>
      <c r="V78" s="52">
        <v>0</v>
      </c>
      <c r="W78" s="87" t="str">
        <f t="shared" si="27"/>
        <v/>
      </c>
      <c r="X78" s="103" t="str">
        <f t="shared" si="28"/>
        <v/>
      </c>
      <c r="Y78" s="52">
        <v>0</v>
      </c>
      <c r="Z78" s="56" t="str">
        <f t="shared" si="29"/>
        <v/>
      </c>
      <c r="AA78" s="56" t="str">
        <f t="shared" si="30"/>
        <v/>
      </c>
      <c r="AB78" s="56" t="str">
        <f t="shared" si="31"/>
        <v/>
      </c>
      <c r="AC78" s="56" t="str">
        <f t="shared" si="32"/>
        <v/>
      </c>
      <c r="AD78" s="56" t="str">
        <f t="shared" si="33"/>
        <v/>
      </c>
      <c r="AE78" s="40"/>
      <c r="AF78" s="40"/>
      <c r="AG78" s="40"/>
      <c r="AH78" s="56" t="str">
        <f t="shared" si="34"/>
        <v/>
      </c>
      <c r="AI78" s="54"/>
      <c r="AJ78" s="54"/>
      <c r="AK78" s="54"/>
      <c r="AL78" s="54"/>
      <c r="AM78" s="54"/>
    </row>
    <row r="79" spans="1:39">
      <c r="A79" s="45" t="str" cm="1">
        <f t="array" ref="A79">IF(H79="PROJECT", CHAR(10) &amp; "- " &amp; _xlfn.TEXTJOIN(CHAR(10) &amp; "- ", TRUE, _xlfn._xlws.FILTER($I$9:$I$1000, ($B$9:$B$1000=B79) * ($H$9:$H$1000="Topic"))), "")</f>
        <v/>
      </c>
      <c r="B79" s="45" t="str">
        <f t="shared" si="19"/>
        <v/>
      </c>
      <c r="C79" s="95"/>
      <c r="D79" s="46"/>
      <c r="E79" s="58"/>
      <c r="F79" s="67"/>
      <c r="G79" s="53"/>
      <c r="H79" s="53"/>
      <c r="I79" s="50"/>
      <c r="J79" s="51"/>
      <c r="K79" s="129" t="str">
        <f t="shared" si="18"/>
        <v/>
      </c>
      <c r="L79" s="103" t="str">
        <f t="shared" si="20"/>
        <v/>
      </c>
      <c r="M79" s="53">
        <v>0</v>
      </c>
      <c r="N79" s="102" t="str">
        <f t="shared" si="21"/>
        <v/>
      </c>
      <c r="O79" s="103" t="str">
        <f t="shared" si="22"/>
        <v/>
      </c>
      <c r="P79" s="53">
        <v>0</v>
      </c>
      <c r="Q79" s="102" t="str">
        <f t="shared" si="23"/>
        <v/>
      </c>
      <c r="R79" s="103" t="str">
        <f t="shared" si="24"/>
        <v/>
      </c>
      <c r="S79" s="53">
        <v>0</v>
      </c>
      <c r="T79" s="102" t="str">
        <f t="shared" si="25"/>
        <v/>
      </c>
      <c r="U79" s="103" t="str">
        <f t="shared" si="26"/>
        <v/>
      </c>
      <c r="V79" s="53">
        <v>0</v>
      </c>
      <c r="W79" s="87" t="str">
        <f t="shared" si="27"/>
        <v/>
      </c>
      <c r="X79" s="103" t="str">
        <f t="shared" si="28"/>
        <v/>
      </c>
      <c r="Y79" s="53">
        <v>0</v>
      </c>
      <c r="Z79" s="56" t="str">
        <f t="shared" si="29"/>
        <v/>
      </c>
      <c r="AA79" s="56" t="str">
        <f t="shared" si="30"/>
        <v/>
      </c>
      <c r="AB79" s="56" t="str">
        <f t="shared" si="31"/>
        <v/>
      </c>
      <c r="AC79" s="56" t="str">
        <f t="shared" si="32"/>
        <v/>
      </c>
      <c r="AD79" s="56" t="str">
        <f t="shared" si="33"/>
        <v/>
      </c>
      <c r="AE79" s="40"/>
      <c r="AF79" s="40"/>
      <c r="AG79" s="40"/>
      <c r="AH79" s="56" t="str">
        <f t="shared" si="34"/>
        <v/>
      </c>
      <c r="AI79" s="54"/>
      <c r="AJ79" s="54"/>
      <c r="AK79" s="54"/>
      <c r="AL79" s="54"/>
      <c r="AM79" s="54"/>
    </row>
    <row r="80" spans="1:39">
      <c r="A80" s="45" t="str" cm="1">
        <f t="array" ref="A80">IF(H80="PROJECT", CHAR(10) &amp; "- " &amp; _xlfn.TEXTJOIN(CHAR(10) &amp; "- ", TRUE, _xlfn._xlws.FILTER($I$9:$I$1000, ($B$9:$B$1000=B80) * ($H$9:$H$1000="Topic"))), "")</f>
        <v/>
      </c>
      <c r="B80" s="45" t="str">
        <f t="shared" si="19"/>
        <v/>
      </c>
      <c r="C80" s="95"/>
      <c r="D80" s="57"/>
      <c r="E80" s="58"/>
      <c r="F80" s="54"/>
      <c r="G80" s="52"/>
      <c r="H80" s="60"/>
      <c r="I80" s="61"/>
      <c r="J80" s="62"/>
      <c r="K80" s="129" t="str">
        <f t="shared" si="18"/>
        <v/>
      </c>
      <c r="L80" s="103" t="str">
        <f t="shared" si="20"/>
        <v/>
      </c>
      <c r="M80" s="52">
        <v>0</v>
      </c>
      <c r="N80" s="102" t="str">
        <f t="shared" si="21"/>
        <v/>
      </c>
      <c r="O80" s="103" t="str">
        <f t="shared" si="22"/>
        <v/>
      </c>
      <c r="P80" s="52">
        <v>0</v>
      </c>
      <c r="Q80" s="102" t="str">
        <f t="shared" si="23"/>
        <v/>
      </c>
      <c r="R80" s="103" t="str">
        <f t="shared" si="24"/>
        <v/>
      </c>
      <c r="S80" s="52">
        <v>0</v>
      </c>
      <c r="T80" s="102" t="str">
        <f t="shared" si="25"/>
        <v/>
      </c>
      <c r="U80" s="103" t="str">
        <f t="shared" si="26"/>
        <v/>
      </c>
      <c r="V80" s="52">
        <v>0</v>
      </c>
      <c r="W80" s="87" t="str">
        <f t="shared" si="27"/>
        <v/>
      </c>
      <c r="X80" s="103" t="str">
        <f t="shared" si="28"/>
        <v/>
      </c>
      <c r="Y80" s="52">
        <v>0</v>
      </c>
      <c r="Z80" s="56" t="str">
        <f t="shared" si="29"/>
        <v/>
      </c>
      <c r="AA80" s="56" t="str">
        <f t="shared" si="30"/>
        <v/>
      </c>
      <c r="AB80" s="56" t="str">
        <f t="shared" si="31"/>
        <v/>
      </c>
      <c r="AC80" s="56" t="str">
        <f t="shared" si="32"/>
        <v/>
      </c>
      <c r="AD80" s="56" t="str">
        <f t="shared" si="33"/>
        <v/>
      </c>
      <c r="AE80" s="40"/>
      <c r="AF80" s="40"/>
      <c r="AG80" s="40"/>
      <c r="AH80" s="56" t="str">
        <f t="shared" si="34"/>
        <v/>
      </c>
      <c r="AI80" s="54"/>
      <c r="AJ80" s="54"/>
      <c r="AK80" s="54"/>
      <c r="AL80" s="54"/>
      <c r="AM80" s="54"/>
    </row>
    <row r="81" spans="1:39">
      <c r="A81" s="45" t="str" cm="1">
        <f t="array" ref="A81">IF(H81="PROJECT", CHAR(10) &amp; "- " &amp; _xlfn.TEXTJOIN(CHAR(10) &amp; "- ", TRUE, _xlfn._xlws.FILTER($I$9:$I$1000, ($B$9:$B$1000=B81) * ($H$9:$H$1000="Topic"))), "")</f>
        <v/>
      </c>
      <c r="B81" s="45" t="str">
        <f t="shared" si="19"/>
        <v/>
      </c>
      <c r="C81" s="95"/>
      <c r="D81" s="46"/>
      <c r="E81" s="58"/>
      <c r="F81" s="67"/>
      <c r="G81" s="53"/>
      <c r="H81" s="53"/>
      <c r="I81" s="50"/>
      <c r="J81" s="51"/>
      <c r="K81" s="129" t="str">
        <f t="shared" si="18"/>
        <v/>
      </c>
      <c r="L81" s="103" t="str">
        <f t="shared" si="20"/>
        <v/>
      </c>
      <c r="M81" s="53">
        <v>0</v>
      </c>
      <c r="N81" s="102" t="str">
        <f t="shared" si="21"/>
        <v/>
      </c>
      <c r="O81" s="103" t="str">
        <f t="shared" si="22"/>
        <v/>
      </c>
      <c r="P81" s="53">
        <v>0</v>
      </c>
      <c r="Q81" s="102" t="str">
        <f t="shared" si="23"/>
        <v/>
      </c>
      <c r="R81" s="103" t="str">
        <f t="shared" si="24"/>
        <v/>
      </c>
      <c r="S81" s="53">
        <v>0</v>
      </c>
      <c r="T81" s="102" t="str">
        <f t="shared" si="25"/>
        <v/>
      </c>
      <c r="U81" s="103" t="str">
        <f t="shared" si="26"/>
        <v/>
      </c>
      <c r="V81" s="53">
        <v>0</v>
      </c>
      <c r="W81" s="87" t="str">
        <f t="shared" si="27"/>
        <v/>
      </c>
      <c r="X81" s="103" t="str">
        <f t="shared" si="28"/>
        <v/>
      </c>
      <c r="Y81" s="53">
        <v>0</v>
      </c>
      <c r="Z81" s="56" t="str">
        <f t="shared" si="29"/>
        <v/>
      </c>
      <c r="AA81" s="56" t="str">
        <f t="shared" si="30"/>
        <v/>
      </c>
      <c r="AB81" s="56" t="str">
        <f t="shared" si="31"/>
        <v/>
      </c>
      <c r="AC81" s="56" t="str">
        <f t="shared" si="32"/>
        <v/>
      </c>
      <c r="AD81" s="56" t="str">
        <f t="shared" si="33"/>
        <v/>
      </c>
      <c r="AE81" s="40"/>
      <c r="AF81" s="40"/>
      <c r="AG81" s="40"/>
      <c r="AH81" s="56" t="str">
        <f t="shared" si="34"/>
        <v/>
      </c>
      <c r="AI81" s="54"/>
      <c r="AJ81" s="54"/>
      <c r="AK81" s="54"/>
      <c r="AL81" s="54"/>
      <c r="AM81" s="54"/>
    </row>
    <row r="82" spans="1:39">
      <c r="A82" s="45" t="str" cm="1">
        <f t="array" ref="A82">IF(H82="PROJECT", CHAR(10) &amp; "- " &amp; _xlfn.TEXTJOIN(CHAR(10) &amp; "- ", TRUE, _xlfn._xlws.FILTER($I$9:$I$1000, ($B$9:$B$1000=B82) * ($H$9:$H$1000="Topic"))), "")</f>
        <v/>
      </c>
      <c r="B82" s="45" t="str">
        <f t="shared" si="19"/>
        <v/>
      </c>
      <c r="C82" s="95"/>
      <c r="D82" s="57"/>
      <c r="E82" s="58"/>
      <c r="F82" s="54"/>
      <c r="G82" s="52"/>
      <c r="H82" s="52"/>
      <c r="I82" s="61"/>
      <c r="J82" s="62"/>
      <c r="K82" s="129" t="str">
        <f t="shared" si="18"/>
        <v/>
      </c>
      <c r="L82" s="103" t="str">
        <f t="shared" si="20"/>
        <v/>
      </c>
      <c r="M82" s="52">
        <v>0</v>
      </c>
      <c r="N82" s="102" t="str">
        <f t="shared" si="21"/>
        <v/>
      </c>
      <c r="O82" s="103" t="str">
        <f t="shared" si="22"/>
        <v/>
      </c>
      <c r="P82" s="52">
        <v>0</v>
      </c>
      <c r="Q82" s="102" t="str">
        <f t="shared" si="23"/>
        <v/>
      </c>
      <c r="R82" s="103" t="str">
        <f t="shared" si="24"/>
        <v/>
      </c>
      <c r="S82" s="52">
        <v>0</v>
      </c>
      <c r="T82" s="102" t="str">
        <f t="shared" si="25"/>
        <v/>
      </c>
      <c r="U82" s="103" t="str">
        <f t="shared" si="26"/>
        <v/>
      </c>
      <c r="V82" s="52">
        <v>0</v>
      </c>
      <c r="W82" s="87" t="str">
        <f t="shared" si="27"/>
        <v/>
      </c>
      <c r="X82" s="103" t="str">
        <f t="shared" si="28"/>
        <v/>
      </c>
      <c r="Y82" s="52">
        <v>0</v>
      </c>
      <c r="Z82" s="56" t="str">
        <f t="shared" si="29"/>
        <v/>
      </c>
      <c r="AA82" s="56" t="str">
        <f t="shared" si="30"/>
        <v/>
      </c>
      <c r="AB82" s="56" t="str">
        <f t="shared" si="31"/>
        <v/>
      </c>
      <c r="AC82" s="56" t="str">
        <f t="shared" si="32"/>
        <v/>
      </c>
      <c r="AD82" s="56" t="str">
        <f t="shared" si="33"/>
        <v/>
      </c>
      <c r="AE82" s="40"/>
      <c r="AF82" s="40"/>
      <c r="AG82" s="40"/>
      <c r="AH82" s="56" t="str">
        <f t="shared" si="34"/>
        <v/>
      </c>
      <c r="AI82" s="54"/>
      <c r="AJ82" s="54"/>
      <c r="AK82" s="54"/>
      <c r="AL82" s="54"/>
      <c r="AM82" s="54"/>
    </row>
    <row r="83" spans="1:39">
      <c r="A83" s="45" t="str" cm="1">
        <f t="array" ref="A83">IF(H83="PROJECT", CHAR(10) &amp; "- " &amp; _xlfn.TEXTJOIN(CHAR(10) &amp; "- ", TRUE, _xlfn._xlws.FILTER($I$9:$I$1000, ($B$9:$B$1000=B83) * ($H$9:$H$1000="Topic"))), "")</f>
        <v/>
      </c>
      <c r="B83" s="45" t="str">
        <f t="shared" si="19"/>
        <v/>
      </c>
      <c r="C83" s="95"/>
      <c r="D83" s="46"/>
      <c r="E83" s="58"/>
      <c r="F83" s="67"/>
      <c r="G83" s="53"/>
      <c r="H83" s="53"/>
      <c r="I83" s="50"/>
      <c r="J83" s="51"/>
      <c r="K83" s="129" t="str">
        <f t="shared" si="18"/>
        <v/>
      </c>
      <c r="L83" s="103" t="str">
        <f t="shared" si="20"/>
        <v/>
      </c>
      <c r="M83" s="53">
        <v>0</v>
      </c>
      <c r="N83" s="102" t="str">
        <f t="shared" si="21"/>
        <v/>
      </c>
      <c r="O83" s="103" t="str">
        <f t="shared" si="22"/>
        <v/>
      </c>
      <c r="P83" s="53">
        <v>0</v>
      </c>
      <c r="Q83" s="102" t="str">
        <f t="shared" si="23"/>
        <v/>
      </c>
      <c r="R83" s="103" t="str">
        <f t="shared" si="24"/>
        <v/>
      </c>
      <c r="S83" s="53">
        <v>0</v>
      </c>
      <c r="T83" s="102" t="str">
        <f t="shared" si="25"/>
        <v/>
      </c>
      <c r="U83" s="103" t="str">
        <f t="shared" si="26"/>
        <v/>
      </c>
      <c r="V83" s="53">
        <v>0</v>
      </c>
      <c r="W83" s="87" t="str">
        <f t="shared" si="27"/>
        <v/>
      </c>
      <c r="X83" s="103" t="str">
        <f t="shared" si="28"/>
        <v/>
      </c>
      <c r="Y83" s="53">
        <v>0</v>
      </c>
      <c r="Z83" s="56" t="str">
        <f t="shared" si="29"/>
        <v/>
      </c>
      <c r="AA83" s="56" t="str">
        <f t="shared" si="30"/>
        <v/>
      </c>
      <c r="AB83" s="56" t="str">
        <f t="shared" si="31"/>
        <v/>
      </c>
      <c r="AC83" s="56" t="str">
        <f t="shared" si="32"/>
        <v/>
      </c>
      <c r="AD83" s="56" t="str">
        <f t="shared" si="33"/>
        <v/>
      </c>
      <c r="AE83" s="40"/>
      <c r="AF83" s="40"/>
      <c r="AG83" s="40"/>
      <c r="AH83" s="56" t="str">
        <f t="shared" si="34"/>
        <v/>
      </c>
      <c r="AI83" s="54"/>
      <c r="AJ83" s="54"/>
      <c r="AK83" s="54"/>
      <c r="AL83" s="54"/>
      <c r="AM83" s="54"/>
    </row>
    <row r="84" spans="1:39">
      <c r="A84" s="45" t="str" cm="1">
        <f t="array" ref="A84">IF(H84="PROJECT", CHAR(10) &amp; "- " &amp; _xlfn.TEXTJOIN(CHAR(10) &amp; "- ", TRUE, _xlfn._xlws.FILTER($I$9:$I$1000, ($B$9:$B$1000=B84) * ($H$9:$H$1000="Topic"))), "")</f>
        <v/>
      </c>
      <c r="B84" s="45" t="str">
        <f t="shared" si="19"/>
        <v/>
      </c>
      <c r="C84" s="95"/>
      <c r="D84" s="57"/>
      <c r="E84" s="58"/>
      <c r="F84" s="54"/>
      <c r="G84" s="52"/>
      <c r="H84" s="52"/>
      <c r="I84" s="61"/>
      <c r="J84" s="62"/>
      <c r="K84" s="129" t="str">
        <f t="shared" si="18"/>
        <v/>
      </c>
      <c r="L84" s="103" t="str">
        <f t="shared" si="20"/>
        <v/>
      </c>
      <c r="M84" s="52">
        <v>0</v>
      </c>
      <c r="N84" s="102" t="str">
        <f t="shared" si="21"/>
        <v/>
      </c>
      <c r="O84" s="103" t="str">
        <f t="shared" si="22"/>
        <v/>
      </c>
      <c r="P84" s="52">
        <v>0</v>
      </c>
      <c r="Q84" s="102" t="str">
        <f t="shared" si="23"/>
        <v/>
      </c>
      <c r="R84" s="103" t="str">
        <f t="shared" si="24"/>
        <v/>
      </c>
      <c r="S84" s="52">
        <v>0</v>
      </c>
      <c r="T84" s="102" t="str">
        <f t="shared" si="25"/>
        <v/>
      </c>
      <c r="U84" s="103" t="str">
        <f t="shared" si="26"/>
        <v/>
      </c>
      <c r="V84" s="52">
        <v>0</v>
      </c>
      <c r="W84" s="87" t="str">
        <f t="shared" si="27"/>
        <v/>
      </c>
      <c r="X84" s="103" t="str">
        <f t="shared" si="28"/>
        <v/>
      </c>
      <c r="Y84" s="52">
        <v>0</v>
      </c>
      <c r="Z84" s="56" t="str">
        <f t="shared" si="29"/>
        <v/>
      </c>
      <c r="AA84" s="56" t="str">
        <f t="shared" si="30"/>
        <v/>
      </c>
      <c r="AB84" s="56" t="str">
        <f t="shared" si="31"/>
        <v/>
      </c>
      <c r="AC84" s="56" t="str">
        <f t="shared" si="32"/>
        <v/>
      </c>
      <c r="AD84" s="56" t="str">
        <f t="shared" si="33"/>
        <v/>
      </c>
      <c r="AE84" s="40"/>
      <c r="AF84" s="40"/>
      <c r="AG84" s="40"/>
      <c r="AH84" s="56" t="str">
        <f t="shared" si="34"/>
        <v/>
      </c>
      <c r="AI84" s="54"/>
      <c r="AJ84" s="54"/>
      <c r="AK84" s="54"/>
      <c r="AL84" s="54"/>
      <c r="AM84" s="54"/>
    </row>
    <row r="85" spans="1:39">
      <c r="A85" s="45" t="str" cm="1">
        <f t="array" ref="A85">IF(H85="PROJECT", CHAR(10) &amp; "- " &amp; _xlfn.TEXTJOIN(CHAR(10) &amp; "- ", TRUE, _xlfn._xlws.FILTER($I$9:$I$1000, ($B$9:$B$1000=B85) * ($H$9:$H$1000="Topic"))), "")</f>
        <v/>
      </c>
      <c r="B85" s="45" t="str">
        <f t="shared" si="19"/>
        <v/>
      </c>
      <c r="C85" s="95"/>
      <c r="D85" s="46"/>
      <c r="E85" s="58"/>
      <c r="F85" s="67"/>
      <c r="G85" s="53"/>
      <c r="H85" s="53"/>
      <c r="I85" s="50"/>
      <c r="J85" s="51"/>
      <c r="K85" s="129" t="str">
        <f t="shared" si="18"/>
        <v/>
      </c>
      <c r="L85" s="103" t="str">
        <f t="shared" si="20"/>
        <v/>
      </c>
      <c r="M85" s="53">
        <v>0</v>
      </c>
      <c r="N85" s="102" t="str">
        <f t="shared" si="21"/>
        <v/>
      </c>
      <c r="O85" s="103" t="str">
        <f t="shared" si="22"/>
        <v/>
      </c>
      <c r="P85" s="53">
        <v>0</v>
      </c>
      <c r="Q85" s="102" t="str">
        <f t="shared" si="23"/>
        <v/>
      </c>
      <c r="R85" s="103" t="str">
        <f t="shared" si="24"/>
        <v/>
      </c>
      <c r="S85" s="53">
        <v>0</v>
      </c>
      <c r="T85" s="102" t="str">
        <f t="shared" si="25"/>
        <v/>
      </c>
      <c r="U85" s="103" t="str">
        <f t="shared" si="26"/>
        <v/>
      </c>
      <c r="V85" s="53">
        <v>0</v>
      </c>
      <c r="W85" s="87" t="str">
        <f t="shared" si="27"/>
        <v/>
      </c>
      <c r="X85" s="103" t="str">
        <f t="shared" si="28"/>
        <v/>
      </c>
      <c r="Y85" s="53">
        <v>0</v>
      </c>
      <c r="Z85" s="56" t="str">
        <f t="shared" si="29"/>
        <v/>
      </c>
      <c r="AA85" s="56" t="str">
        <f t="shared" si="30"/>
        <v/>
      </c>
      <c r="AB85" s="56" t="str">
        <f t="shared" si="31"/>
        <v/>
      </c>
      <c r="AC85" s="56" t="str">
        <f t="shared" si="32"/>
        <v/>
      </c>
      <c r="AD85" s="56" t="str">
        <f t="shared" si="33"/>
        <v/>
      </c>
      <c r="AE85" s="40"/>
      <c r="AF85" s="40"/>
      <c r="AG85" s="40"/>
      <c r="AH85" s="56" t="str">
        <f t="shared" si="34"/>
        <v/>
      </c>
      <c r="AI85" s="54"/>
      <c r="AJ85" s="54"/>
      <c r="AK85" s="54"/>
      <c r="AL85" s="54"/>
      <c r="AM85" s="54"/>
    </row>
    <row r="86" spans="1:39">
      <c r="A86" s="45" t="str" cm="1">
        <f t="array" ref="A86">IF(H86="PROJECT", CHAR(10) &amp; "- " &amp; _xlfn.TEXTJOIN(CHAR(10) &amp; "- ", TRUE, _xlfn._xlws.FILTER($I$9:$I$1000, ($B$9:$B$1000=B86) * ($H$9:$H$1000="Topic"))), "")</f>
        <v/>
      </c>
      <c r="B86" s="45" t="str">
        <f t="shared" si="19"/>
        <v/>
      </c>
      <c r="C86" s="95"/>
      <c r="D86" s="57"/>
      <c r="E86" s="58"/>
      <c r="F86" s="54"/>
      <c r="G86" s="52"/>
      <c r="H86" s="52"/>
      <c r="I86" s="61"/>
      <c r="J86" s="62"/>
      <c r="K86" s="129" t="str">
        <f t="shared" si="18"/>
        <v/>
      </c>
      <c r="L86" s="103" t="str">
        <f t="shared" si="20"/>
        <v/>
      </c>
      <c r="M86" s="52">
        <v>0</v>
      </c>
      <c r="N86" s="102" t="str">
        <f t="shared" si="21"/>
        <v/>
      </c>
      <c r="O86" s="103" t="str">
        <f t="shared" si="22"/>
        <v/>
      </c>
      <c r="P86" s="52">
        <v>0</v>
      </c>
      <c r="Q86" s="102" t="str">
        <f t="shared" si="23"/>
        <v/>
      </c>
      <c r="R86" s="103" t="str">
        <f t="shared" si="24"/>
        <v/>
      </c>
      <c r="S86" s="52">
        <v>0</v>
      </c>
      <c r="T86" s="102" t="str">
        <f t="shared" si="25"/>
        <v/>
      </c>
      <c r="U86" s="103" t="str">
        <f t="shared" si="26"/>
        <v/>
      </c>
      <c r="V86" s="52">
        <v>0</v>
      </c>
      <c r="W86" s="87" t="str">
        <f t="shared" si="27"/>
        <v/>
      </c>
      <c r="X86" s="103" t="str">
        <f t="shared" si="28"/>
        <v/>
      </c>
      <c r="Y86" s="52">
        <v>0</v>
      </c>
      <c r="Z86" s="56" t="str">
        <f t="shared" si="29"/>
        <v/>
      </c>
      <c r="AA86" s="56" t="str">
        <f t="shared" si="30"/>
        <v/>
      </c>
      <c r="AB86" s="56" t="str">
        <f t="shared" si="31"/>
        <v/>
      </c>
      <c r="AC86" s="56" t="str">
        <f t="shared" si="32"/>
        <v/>
      </c>
      <c r="AD86" s="56" t="str">
        <f t="shared" si="33"/>
        <v/>
      </c>
      <c r="AE86" s="40"/>
      <c r="AF86" s="40"/>
      <c r="AG86" s="40"/>
      <c r="AH86" s="56" t="str">
        <f t="shared" si="34"/>
        <v/>
      </c>
      <c r="AI86" s="54"/>
      <c r="AJ86" s="54"/>
      <c r="AK86" s="54"/>
      <c r="AL86" s="54"/>
      <c r="AM86" s="54"/>
    </row>
    <row r="87" spans="1:39">
      <c r="A87" s="45" t="str" cm="1">
        <f t="array" ref="A87">IF(H87="PROJECT", CHAR(10) &amp; "- " &amp; _xlfn.TEXTJOIN(CHAR(10) &amp; "- ", TRUE, _xlfn._xlws.FILTER($I$9:$I$1000, ($B$9:$B$1000=B87) * ($H$9:$H$1000="Topic"))), "")</f>
        <v/>
      </c>
      <c r="B87" s="45" t="str">
        <f t="shared" si="19"/>
        <v/>
      </c>
      <c r="C87" s="95"/>
      <c r="D87" s="46"/>
      <c r="E87" s="58"/>
      <c r="F87" s="67"/>
      <c r="G87" s="53"/>
      <c r="H87" s="53"/>
      <c r="I87" s="50"/>
      <c r="J87" s="51"/>
      <c r="K87" s="129" t="str">
        <f t="shared" si="18"/>
        <v/>
      </c>
      <c r="L87" s="103" t="str">
        <f t="shared" si="20"/>
        <v/>
      </c>
      <c r="M87" s="53">
        <v>0</v>
      </c>
      <c r="N87" s="102" t="str">
        <f t="shared" si="21"/>
        <v/>
      </c>
      <c r="O87" s="103" t="str">
        <f t="shared" si="22"/>
        <v/>
      </c>
      <c r="P87" s="53">
        <v>0</v>
      </c>
      <c r="Q87" s="102" t="str">
        <f t="shared" si="23"/>
        <v/>
      </c>
      <c r="R87" s="103" t="str">
        <f t="shared" si="24"/>
        <v/>
      </c>
      <c r="S87" s="53">
        <v>0</v>
      </c>
      <c r="T87" s="102" t="str">
        <f t="shared" si="25"/>
        <v/>
      </c>
      <c r="U87" s="103" t="str">
        <f t="shared" si="26"/>
        <v/>
      </c>
      <c r="V87" s="53">
        <v>0</v>
      </c>
      <c r="W87" s="87" t="str">
        <f t="shared" si="27"/>
        <v/>
      </c>
      <c r="X87" s="103" t="str">
        <f t="shared" si="28"/>
        <v/>
      </c>
      <c r="Y87" s="53">
        <v>0</v>
      </c>
      <c r="Z87" s="56" t="str">
        <f t="shared" si="29"/>
        <v/>
      </c>
      <c r="AA87" s="56" t="str">
        <f t="shared" si="30"/>
        <v/>
      </c>
      <c r="AB87" s="56" t="str">
        <f t="shared" si="31"/>
        <v/>
      </c>
      <c r="AC87" s="56" t="str">
        <f t="shared" si="32"/>
        <v/>
      </c>
      <c r="AD87" s="56" t="str">
        <f t="shared" si="33"/>
        <v/>
      </c>
      <c r="AE87" s="40"/>
      <c r="AF87" s="40"/>
      <c r="AG87" s="40"/>
      <c r="AH87" s="56" t="str">
        <f t="shared" si="34"/>
        <v/>
      </c>
      <c r="AI87" s="54"/>
      <c r="AJ87" s="54"/>
      <c r="AK87" s="54"/>
      <c r="AL87" s="54"/>
      <c r="AM87" s="54"/>
    </row>
    <row r="88" spans="1:39">
      <c r="A88" s="45" t="str" cm="1">
        <f t="array" ref="A88">IF(H88="PROJECT", CHAR(10) &amp; "- " &amp; _xlfn.TEXTJOIN(CHAR(10) &amp; "- ", TRUE, _xlfn._xlws.FILTER($I$9:$I$1000, ($B$9:$B$1000=B88) * ($H$9:$H$1000="Topic"))), "")</f>
        <v/>
      </c>
      <c r="B88" s="45" t="str">
        <f t="shared" si="19"/>
        <v/>
      </c>
      <c r="C88" s="95"/>
      <c r="D88" s="57"/>
      <c r="E88" s="58"/>
      <c r="F88" s="54"/>
      <c r="G88" s="52"/>
      <c r="H88" s="52"/>
      <c r="I88" s="61"/>
      <c r="J88" s="62"/>
      <c r="K88" s="129" t="str">
        <f t="shared" si="18"/>
        <v/>
      </c>
      <c r="L88" s="103" t="str">
        <f t="shared" si="20"/>
        <v/>
      </c>
      <c r="M88" s="52">
        <v>0</v>
      </c>
      <c r="N88" s="102" t="str">
        <f t="shared" si="21"/>
        <v/>
      </c>
      <c r="O88" s="103" t="str">
        <f t="shared" si="22"/>
        <v/>
      </c>
      <c r="P88" s="52">
        <v>0</v>
      </c>
      <c r="Q88" s="102" t="str">
        <f t="shared" si="23"/>
        <v/>
      </c>
      <c r="R88" s="103" t="str">
        <f t="shared" si="24"/>
        <v/>
      </c>
      <c r="S88" s="52">
        <v>0</v>
      </c>
      <c r="T88" s="102" t="str">
        <f t="shared" si="25"/>
        <v/>
      </c>
      <c r="U88" s="103" t="str">
        <f t="shared" si="26"/>
        <v/>
      </c>
      <c r="V88" s="52">
        <v>0</v>
      </c>
      <c r="W88" s="87" t="str">
        <f t="shared" si="27"/>
        <v/>
      </c>
      <c r="X88" s="103" t="str">
        <f t="shared" si="28"/>
        <v/>
      </c>
      <c r="Y88" s="52">
        <v>0</v>
      </c>
      <c r="Z88" s="56" t="str">
        <f t="shared" si="29"/>
        <v/>
      </c>
      <c r="AA88" s="56" t="str">
        <f t="shared" si="30"/>
        <v/>
      </c>
      <c r="AB88" s="56" t="str">
        <f t="shared" si="31"/>
        <v/>
      </c>
      <c r="AC88" s="56" t="str">
        <f t="shared" si="32"/>
        <v/>
      </c>
      <c r="AD88" s="56" t="str">
        <f t="shared" si="33"/>
        <v/>
      </c>
      <c r="AE88" s="40"/>
      <c r="AF88" s="40"/>
      <c r="AG88" s="40"/>
      <c r="AH88" s="56" t="str">
        <f t="shared" si="34"/>
        <v/>
      </c>
      <c r="AI88" s="54"/>
      <c r="AJ88" s="54"/>
      <c r="AK88" s="54"/>
      <c r="AL88" s="54"/>
      <c r="AM88" s="54"/>
    </row>
    <row r="89" spans="1:39">
      <c r="A89" s="45" t="str" cm="1">
        <f t="array" ref="A89">IF(H89="PROJECT", CHAR(10) &amp; "- " &amp; _xlfn.TEXTJOIN(CHAR(10) &amp; "- ", TRUE, _xlfn._xlws.FILTER($I$9:$I$1000, ($B$9:$B$1000=B89) * ($H$9:$H$1000="Topic"))), "")</f>
        <v/>
      </c>
      <c r="B89" s="45" t="str">
        <f t="shared" si="19"/>
        <v/>
      </c>
      <c r="C89" s="95"/>
      <c r="D89" s="46"/>
      <c r="E89" s="58"/>
      <c r="F89" s="67"/>
      <c r="G89" s="53"/>
      <c r="H89" s="53"/>
      <c r="I89" s="50"/>
      <c r="J89" s="51"/>
      <c r="K89" s="129" t="str">
        <f t="shared" si="18"/>
        <v/>
      </c>
      <c r="L89" s="103" t="str">
        <f t="shared" si="20"/>
        <v/>
      </c>
      <c r="M89" s="53">
        <v>0</v>
      </c>
      <c r="N89" s="102" t="str">
        <f t="shared" si="21"/>
        <v/>
      </c>
      <c r="O89" s="103" t="str">
        <f t="shared" si="22"/>
        <v/>
      </c>
      <c r="P89" s="53">
        <v>0</v>
      </c>
      <c r="Q89" s="102" t="str">
        <f t="shared" si="23"/>
        <v/>
      </c>
      <c r="R89" s="103" t="str">
        <f t="shared" si="24"/>
        <v/>
      </c>
      <c r="S89" s="53">
        <v>0</v>
      </c>
      <c r="T89" s="102" t="str">
        <f t="shared" si="25"/>
        <v/>
      </c>
      <c r="U89" s="103" t="str">
        <f t="shared" si="26"/>
        <v/>
      </c>
      <c r="V89" s="53">
        <v>0</v>
      </c>
      <c r="W89" s="87" t="str">
        <f t="shared" si="27"/>
        <v/>
      </c>
      <c r="X89" s="103" t="str">
        <f t="shared" si="28"/>
        <v/>
      </c>
      <c r="Y89" s="53">
        <v>0</v>
      </c>
      <c r="Z89" s="56" t="str">
        <f t="shared" si="29"/>
        <v/>
      </c>
      <c r="AA89" s="56" t="str">
        <f t="shared" si="30"/>
        <v/>
      </c>
      <c r="AB89" s="56" t="str">
        <f t="shared" si="31"/>
        <v/>
      </c>
      <c r="AC89" s="56" t="str">
        <f t="shared" si="32"/>
        <v/>
      </c>
      <c r="AD89" s="56" t="str">
        <f t="shared" si="33"/>
        <v/>
      </c>
      <c r="AE89" s="40"/>
      <c r="AF89" s="40"/>
      <c r="AG89" s="40"/>
      <c r="AH89" s="56" t="str">
        <f t="shared" si="34"/>
        <v/>
      </c>
      <c r="AI89" s="54"/>
      <c r="AJ89" s="54"/>
      <c r="AK89" s="54"/>
      <c r="AL89" s="54"/>
      <c r="AM89" s="54"/>
    </row>
    <row r="90" spans="1:39">
      <c r="A90" s="45" t="str" cm="1">
        <f t="array" ref="A90">IF(H90="PROJECT", CHAR(10) &amp; "- " &amp; _xlfn.TEXTJOIN(CHAR(10) &amp; "- ", TRUE, _xlfn._xlws.FILTER($I$9:$I$1000, ($B$9:$B$1000=B90) * ($H$9:$H$1000="Topic"))), "")</f>
        <v/>
      </c>
      <c r="B90" s="45" t="str">
        <f t="shared" si="19"/>
        <v/>
      </c>
      <c r="C90" s="95"/>
      <c r="D90" s="57"/>
      <c r="E90" s="58"/>
      <c r="F90" s="54"/>
      <c r="G90" s="52"/>
      <c r="H90" s="52"/>
      <c r="I90" s="61"/>
      <c r="J90" s="62"/>
      <c r="K90" s="129" t="str">
        <f t="shared" si="18"/>
        <v/>
      </c>
      <c r="L90" s="103" t="str">
        <f t="shared" si="20"/>
        <v/>
      </c>
      <c r="M90" s="52">
        <v>0</v>
      </c>
      <c r="N90" s="102" t="str">
        <f t="shared" si="21"/>
        <v/>
      </c>
      <c r="O90" s="103" t="str">
        <f t="shared" si="22"/>
        <v/>
      </c>
      <c r="P90" s="52">
        <v>0</v>
      </c>
      <c r="Q90" s="102" t="str">
        <f t="shared" si="23"/>
        <v/>
      </c>
      <c r="R90" s="103" t="str">
        <f t="shared" si="24"/>
        <v/>
      </c>
      <c r="S90" s="52">
        <v>0</v>
      </c>
      <c r="T90" s="102" t="str">
        <f t="shared" si="25"/>
        <v/>
      </c>
      <c r="U90" s="103" t="str">
        <f t="shared" si="26"/>
        <v/>
      </c>
      <c r="V90" s="52">
        <v>0</v>
      </c>
      <c r="W90" s="87" t="str">
        <f t="shared" si="27"/>
        <v/>
      </c>
      <c r="X90" s="103" t="str">
        <f t="shared" si="28"/>
        <v/>
      </c>
      <c r="Y90" s="52">
        <v>0</v>
      </c>
      <c r="Z90" s="56" t="str">
        <f t="shared" si="29"/>
        <v/>
      </c>
      <c r="AA90" s="56" t="str">
        <f t="shared" si="30"/>
        <v/>
      </c>
      <c r="AB90" s="56" t="str">
        <f t="shared" si="31"/>
        <v/>
      </c>
      <c r="AC90" s="56" t="str">
        <f t="shared" si="32"/>
        <v/>
      </c>
      <c r="AD90" s="56" t="str">
        <f t="shared" si="33"/>
        <v/>
      </c>
      <c r="AE90" s="40"/>
      <c r="AF90" s="40"/>
      <c r="AG90" s="40"/>
      <c r="AH90" s="56" t="str">
        <f t="shared" si="34"/>
        <v/>
      </c>
      <c r="AI90" s="54"/>
      <c r="AJ90" s="54"/>
      <c r="AK90" s="54"/>
      <c r="AL90" s="54"/>
      <c r="AM90" s="54"/>
    </row>
    <row r="91" spans="1:39">
      <c r="A91" s="45" t="str" cm="1">
        <f t="array" ref="A91">IF(H91="PROJECT", CHAR(10) &amp; "- " &amp; _xlfn.TEXTJOIN(CHAR(10) &amp; "- ", TRUE, _xlfn._xlws.FILTER($I$9:$I$1000, ($B$9:$B$1000=B91) * ($H$9:$H$1000="Topic"))), "")</f>
        <v/>
      </c>
      <c r="B91" s="45" t="str">
        <f t="shared" si="19"/>
        <v/>
      </c>
      <c r="C91" s="95"/>
      <c r="D91" s="46"/>
      <c r="E91" s="58"/>
      <c r="F91" s="67"/>
      <c r="G91" s="53"/>
      <c r="H91" s="53"/>
      <c r="I91" s="50"/>
      <c r="J91" s="51"/>
      <c r="K91" s="129" t="str">
        <f t="shared" si="18"/>
        <v/>
      </c>
      <c r="L91" s="103" t="str">
        <f t="shared" si="20"/>
        <v/>
      </c>
      <c r="M91" s="53">
        <v>0</v>
      </c>
      <c r="N91" s="102" t="str">
        <f t="shared" si="21"/>
        <v/>
      </c>
      <c r="O91" s="103" t="str">
        <f t="shared" si="22"/>
        <v/>
      </c>
      <c r="P91" s="53">
        <v>0</v>
      </c>
      <c r="Q91" s="102" t="str">
        <f t="shared" si="23"/>
        <v/>
      </c>
      <c r="R91" s="103" t="str">
        <f t="shared" si="24"/>
        <v/>
      </c>
      <c r="S91" s="53">
        <v>0</v>
      </c>
      <c r="T91" s="102" t="str">
        <f t="shared" si="25"/>
        <v/>
      </c>
      <c r="U91" s="103" t="str">
        <f t="shared" si="26"/>
        <v/>
      </c>
      <c r="V91" s="53">
        <v>0</v>
      </c>
      <c r="W91" s="87" t="str">
        <f t="shared" si="27"/>
        <v/>
      </c>
      <c r="X91" s="103" t="str">
        <f t="shared" si="28"/>
        <v/>
      </c>
      <c r="Y91" s="53">
        <v>0</v>
      </c>
      <c r="Z91" s="56" t="str">
        <f t="shared" si="29"/>
        <v/>
      </c>
      <c r="AA91" s="56" t="str">
        <f t="shared" si="30"/>
        <v/>
      </c>
      <c r="AB91" s="56" t="str">
        <f t="shared" si="31"/>
        <v/>
      </c>
      <c r="AC91" s="56" t="str">
        <f t="shared" si="32"/>
        <v/>
      </c>
      <c r="AD91" s="56" t="str">
        <f t="shared" si="33"/>
        <v/>
      </c>
      <c r="AE91" s="40"/>
      <c r="AF91" s="40"/>
      <c r="AG91" s="40"/>
      <c r="AH91" s="56" t="str">
        <f t="shared" si="34"/>
        <v/>
      </c>
      <c r="AI91" s="54"/>
      <c r="AJ91" s="54"/>
      <c r="AK91" s="54"/>
      <c r="AL91" s="54"/>
      <c r="AM91" s="54"/>
    </row>
    <row r="92" spans="1:39">
      <c r="A92" s="45" t="str" cm="1">
        <f t="array" ref="A92">IF(H92="PROJECT", CHAR(10) &amp; "- " &amp; _xlfn.TEXTJOIN(CHAR(10) &amp; "- ", TRUE, _xlfn._xlws.FILTER($I$9:$I$1000, ($B$9:$B$1000=B92) * ($H$9:$H$1000="Topic"))), "")</f>
        <v/>
      </c>
      <c r="B92" s="45" t="str">
        <f t="shared" si="19"/>
        <v/>
      </c>
      <c r="C92" s="95"/>
      <c r="D92" s="57"/>
      <c r="E92" s="58"/>
      <c r="F92" s="54"/>
      <c r="G92" s="52"/>
      <c r="H92" s="52"/>
      <c r="I92" s="61"/>
      <c r="J92" s="62"/>
      <c r="K92" s="129" t="str">
        <f t="shared" si="18"/>
        <v/>
      </c>
      <c r="L92" s="103" t="str">
        <f t="shared" si="20"/>
        <v/>
      </c>
      <c r="M92" s="52">
        <v>0</v>
      </c>
      <c r="N92" s="102" t="str">
        <f t="shared" si="21"/>
        <v/>
      </c>
      <c r="O92" s="103" t="str">
        <f t="shared" si="22"/>
        <v/>
      </c>
      <c r="P92" s="52">
        <v>0</v>
      </c>
      <c r="Q92" s="102" t="str">
        <f t="shared" si="23"/>
        <v/>
      </c>
      <c r="R92" s="103" t="str">
        <f t="shared" si="24"/>
        <v/>
      </c>
      <c r="S92" s="52">
        <v>0</v>
      </c>
      <c r="T92" s="102" t="str">
        <f t="shared" si="25"/>
        <v/>
      </c>
      <c r="U92" s="103" t="str">
        <f t="shared" si="26"/>
        <v/>
      </c>
      <c r="V92" s="52">
        <v>0</v>
      </c>
      <c r="W92" s="87" t="str">
        <f t="shared" si="27"/>
        <v/>
      </c>
      <c r="X92" s="103" t="str">
        <f t="shared" si="28"/>
        <v/>
      </c>
      <c r="Y92" s="52">
        <v>0</v>
      </c>
      <c r="Z92" s="56" t="str">
        <f t="shared" si="29"/>
        <v/>
      </c>
      <c r="AA92" s="56" t="str">
        <f t="shared" si="30"/>
        <v/>
      </c>
      <c r="AB92" s="56" t="str">
        <f t="shared" si="31"/>
        <v/>
      </c>
      <c r="AC92" s="56" t="str">
        <f t="shared" si="32"/>
        <v/>
      </c>
      <c r="AD92" s="56" t="str">
        <f t="shared" si="33"/>
        <v/>
      </c>
      <c r="AE92" s="40"/>
      <c r="AF92" s="40"/>
      <c r="AG92" s="40"/>
      <c r="AH92" s="56" t="str">
        <f t="shared" si="34"/>
        <v/>
      </c>
      <c r="AI92" s="54"/>
      <c r="AJ92" s="54"/>
      <c r="AK92" s="54"/>
      <c r="AL92" s="54"/>
      <c r="AM92" s="54"/>
    </row>
    <row r="93" spans="1:39">
      <c r="A93" s="45" t="str" cm="1">
        <f t="array" ref="A93">IF(H93="PROJECT", CHAR(10) &amp; "- " &amp; _xlfn.TEXTJOIN(CHAR(10) &amp; "- ", TRUE, _xlfn._xlws.FILTER($I$9:$I$1000, ($B$9:$B$1000=B93) * ($H$9:$H$1000="Topic"))), "")</f>
        <v/>
      </c>
      <c r="B93" s="45" t="str">
        <f t="shared" si="19"/>
        <v/>
      </c>
      <c r="C93" s="95"/>
      <c r="D93" s="46"/>
      <c r="E93" s="58"/>
      <c r="F93" s="67"/>
      <c r="G93" s="53"/>
      <c r="H93" s="53"/>
      <c r="I93" s="50"/>
      <c r="J93" s="51"/>
      <c r="K93" s="129" t="str">
        <f t="shared" si="18"/>
        <v/>
      </c>
      <c r="L93" s="103" t="str">
        <f t="shared" si="20"/>
        <v/>
      </c>
      <c r="M93" s="53">
        <v>0</v>
      </c>
      <c r="N93" s="102" t="str">
        <f t="shared" si="21"/>
        <v/>
      </c>
      <c r="O93" s="103" t="str">
        <f t="shared" si="22"/>
        <v/>
      </c>
      <c r="P93" s="53">
        <v>0</v>
      </c>
      <c r="Q93" s="102" t="str">
        <f t="shared" si="23"/>
        <v/>
      </c>
      <c r="R93" s="103" t="str">
        <f t="shared" si="24"/>
        <v/>
      </c>
      <c r="S93" s="53">
        <v>0</v>
      </c>
      <c r="T93" s="102" t="str">
        <f t="shared" si="25"/>
        <v/>
      </c>
      <c r="U93" s="103" t="str">
        <f t="shared" si="26"/>
        <v/>
      </c>
      <c r="V93" s="53">
        <v>0</v>
      </c>
      <c r="W93" s="87" t="str">
        <f t="shared" si="27"/>
        <v/>
      </c>
      <c r="X93" s="103" t="str">
        <f t="shared" si="28"/>
        <v/>
      </c>
      <c r="Y93" s="53">
        <v>0</v>
      </c>
      <c r="Z93" s="56" t="str">
        <f t="shared" si="29"/>
        <v/>
      </c>
      <c r="AA93" s="56" t="str">
        <f t="shared" si="30"/>
        <v/>
      </c>
      <c r="AB93" s="56" t="str">
        <f t="shared" si="31"/>
        <v/>
      </c>
      <c r="AC93" s="56" t="str">
        <f t="shared" si="32"/>
        <v/>
      </c>
      <c r="AD93" s="56" t="str">
        <f t="shared" si="33"/>
        <v/>
      </c>
      <c r="AE93" s="40"/>
      <c r="AF93" s="40"/>
      <c r="AG93" s="40"/>
      <c r="AH93" s="56" t="str">
        <f t="shared" si="34"/>
        <v/>
      </c>
      <c r="AI93" s="54"/>
      <c r="AJ93" s="54"/>
      <c r="AK93" s="54"/>
      <c r="AL93" s="54"/>
      <c r="AM93" s="54"/>
    </row>
    <row r="94" spans="1:39">
      <c r="A94" s="45" t="str" cm="1">
        <f t="array" ref="A94">IF(H94="PROJECT", CHAR(10) &amp; "- " &amp; _xlfn.TEXTJOIN(CHAR(10) &amp; "- ", TRUE, _xlfn._xlws.FILTER($I$9:$I$1000, ($B$9:$B$1000=B94) * ($H$9:$H$1000="Topic"))), "")</f>
        <v/>
      </c>
      <c r="B94" s="45" t="str">
        <f t="shared" si="19"/>
        <v/>
      </c>
      <c r="C94" s="95"/>
      <c r="D94" s="57"/>
      <c r="E94" s="58"/>
      <c r="F94" s="54"/>
      <c r="G94" s="52"/>
      <c r="H94" s="52"/>
      <c r="I94" s="61"/>
      <c r="J94" s="62"/>
      <c r="K94" s="129" t="str">
        <f t="shared" si="18"/>
        <v/>
      </c>
      <c r="L94" s="103" t="str">
        <f t="shared" si="20"/>
        <v/>
      </c>
      <c r="M94" s="52">
        <v>0</v>
      </c>
      <c r="N94" s="102" t="str">
        <f t="shared" si="21"/>
        <v/>
      </c>
      <c r="O94" s="103" t="str">
        <f t="shared" si="22"/>
        <v/>
      </c>
      <c r="P94" s="52">
        <v>0</v>
      </c>
      <c r="Q94" s="102" t="str">
        <f t="shared" si="23"/>
        <v/>
      </c>
      <c r="R94" s="103" t="str">
        <f t="shared" si="24"/>
        <v/>
      </c>
      <c r="S94" s="52">
        <v>0</v>
      </c>
      <c r="T94" s="102" t="str">
        <f t="shared" si="25"/>
        <v/>
      </c>
      <c r="U94" s="103" t="str">
        <f t="shared" si="26"/>
        <v/>
      </c>
      <c r="V94" s="52">
        <v>0</v>
      </c>
      <c r="W94" s="87" t="str">
        <f t="shared" si="27"/>
        <v/>
      </c>
      <c r="X94" s="103" t="str">
        <f t="shared" si="28"/>
        <v/>
      </c>
      <c r="Y94" s="52">
        <v>0</v>
      </c>
      <c r="Z94" s="56" t="str">
        <f t="shared" si="29"/>
        <v/>
      </c>
      <c r="AA94" s="56" t="str">
        <f t="shared" si="30"/>
        <v/>
      </c>
      <c r="AB94" s="56" t="str">
        <f t="shared" si="31"/>
        <v/>
      </c>
      <c r="AC94" s="56" t="str">
        <f t="shared" si="32"/>
        <v/>
      </c>
      <c r="AD94" s="56" t="str">
        <f t="shared" si="33"/>
        <v/>
      </c>
      <c r="AE94" s="40"/>
      <c r="AF94" s="40"/>
      <c r="AG94" s="40"/>
      <c r="AH94" s="56" t="str">
        <f t="shared" si="34"/>
        <v/>
      </c>
      <c r="AI94" s="54"/>
      <c r="AJ94" s="54"/>
      <c r="AK94" s="54"/>
      <c r="AL94" s="54"/>
      <c r="AM94" s="54"/>
    </row>
    <row r="95" spans="1:39">
      <c r="A95" s="45" t="str" cm="1">
        <f t="array" ref="A95">IF(H95="PROJECT", CHAR(10) &amp; "- " &amp; _xlfn.TEXTJOIN(CHAR(10) &amp; "- ", TRUE, _xlfn._xlws.FILTER($I$9:$I$1000, ($B$9:$B$1000=B95) * ($H$9:$H$1000="Topic"))), "")</f>
        <v/>
      </c>
      <c r="B95" s="45" t="str">
        <f t="shared" si="19"/>
        <v/>
      </c>
      <c r="C95" s="95"/>
      <c r="D95" s="46"/>
      <c r="E95" s="58"/>
      <c r="F95" s="67"/>
      <c r="G95" s="53"/>
      <c r="H95" s="53"/>
      <c r="I95" s="50"/>
      <c r="J95" s="51"/>
      <c r="K95" s="129" t="str">
        <f t="shared" si="18"/>
        <v/>
      </c>
      <c r="L95" s="103" t="str">
        <f t="shared" si="20"/>
        <v/>
      </c>
      <c r="M95" s="53">
        <v>0</v>
      </c>
      <c r="N95" s="102" t="str">
        <f t="shared" si="21"/>
        <v/>
      </c>
      <c r="O95" s="103" t="str">
        <f t="shared" si="22"/>
        <v/>
      </c>
      <c r="P95" s="53">
        <v>0</v>
      </c>
      <c r="Q95" s="102" t="str">
        <f t="shared" si="23"/>
        <v/>
      </c>
      <c r="R95" s="103" t="str">
        <f t="shared" si="24"/>
        <v/>
      </c>
      <c r="S95" s="53">
        <v>0</v>
      </c>
      <c r="T95" s="102" t="str">
        <f t="shared" si="25"/>
        <v/>
      </c>
      <c r="U95" s="103" t="str">
        <f t="shared" si="26"/>
        <v/>
      </c>
      <c r="V95" s="53">
        <v>0</v>
      </c>
      <c r="W95" s="87" t="str">
        <f t="shared" si="27"/>
        <v/>
      </c>
      <c r="X95" s="103" t="str">
        <f t="shared" si="28"/>
        <v/>
      </c>
      <c r="Y95" s="53">
        <v>0</v>
      </c>
      <c r="Z95" s="56" t="str">
        <f t="shared" si="29"/>
        <v/>
      </c>
      <c r="AA95" s="56" t="str">
        <f t="shared" si="30"/>
        <v/>
      </c>
      <c r="AB95" s="56" t="str">
        <f t="shared" si="31"/>
        <v/>
      </c>
      <c r="AC95" s="56" t="str">
        <f t="shared" si="32"/>
        <v/>
      </c>
      <c r="AD95" s="56" t="str">
        <f t="shared" si="33"/>
        <v/>
      </c>
      <c r="AE95" s="40"/>
      <c r="AF95" s="40"/>
      <c r="AG95" s="40"/>
      <c r="AH95" s="56" t="str">
        <f t="shared" si="34"/>
        <v/>
      </c>
      <c r="AI95" s="54"/>
      <c r="AJ95" s="54"/>
      <c r="AK95" s="54"/>
      <c r="AL95" s="54"/>
      <c r="AM95" s="54"/>
    </row>
    <row r="96" spans="1:39">
      <c r="A96" s="45" t="str" cm="1">
        <f t="array" ref="A96">IF(H96="PROJECT", CHAR(10) &amp; "- " &amp; _xlfn.TEXTJOIN(CHAR(10) &amp; "- ", TRUE, _xlfn._xlws.FILTER($I$9:$I$1000, ($B$9:$B$1000=B96) * ($H$9:$H$1000="Topic"))), "")</f>
        <v/>
      </c>
      <c r="B96" s="45" t="str">
        <f t="shared" si="19"/>
        <v/>
      </c>
      <c r="C96" s="95"/>
      <c r="D96" s="57"/>
      <c r="E96" s="58"/>
      <c r="F96" s="54"/>
      <c r="G96" s="52"/>
      <c r="H96" s="52"/>
      <c r="I96" s="61"/>
      <c r="J96" s="62"/>
      <c r="K96" s="129" t="str">
        <f t="shared" si="18"/>
        <v/>
      </c>
      <c r="L96" s="103" t="str">
        <f t="shared" si="20"/>
        <v/>
      </c>
      <c r="M96" s="52">
        <v>0</v>
      </c>
      <c r="N96" s="102" t="str">
        <f t="shared" si="21"/>
        <v/>
      </c>
      <c r="O96" s="103" t="str">
        <f t="shared" si="22"/>
        <v/>
      </c>
      <c r="P96" s="52">
        <v>0</v>
      </c>
      <c r="Q96" s="102" t="str">
        <f t="shared" si="23"/>
        <v/>
      </c>
      <c r="R96" s="103" t="str">
        <f t="shared" si="24"/>
        <v/>
      </c>
      <c r="S96" s="52">
        <v>0</v>
      </c>
      <c r="T96" s="102" t="str">
        <f t="shared" si="25"/>
        <v/>
      </c>
      <c r="U96" s="103" t="str">
        <f t="shared" si="26"/>
        <v/>
      </c>
      <c r="V96" s="52">
        <v>0</v>
      </c>
      <c r="W96" s="87" t="str">
        <f t="shared" si="27"/>
        <v/>
      </c>
      <c r="X96" s="103" t="str">
        <f t="shared" si="28"/>
        <v/>
      </c>
      <c r="Y96" s="52">
        <v>0</v>
      </c>
      <c r="Z96" s="56" t="str">
        <f t="shared" si="29"/>
        <v/>
      </c>
      <c r="AA96" s="56" t="str">
        <f t="shared" si="30"/>
        <v/>
      </c>
      <c r="AB96" s="56" t="str">
        <f t="shared" si="31"/>
        <v/>
      </c>
      <c r="AC96" s="56" t="str">
        <f t="shared" si="32"/>
        <v/>
      </c>
      <c r="AD96" s="56" t="str">
        <f t="shared" si="33"/>
        <v/>
      </c>
      <c r="AE96" s="40"/>
      <c r="AF96" s="40"/>
      <c r="AG96" s="40"/>
      <c r="AH96" s="56" t="str">
        <f t="shared" si="34"/>
        <v/>
      </c>
      <c r="AI96" s="54"/>
      <c r="AJ96" s="54"/>
      <c r="AK96" s="54"/>
      <c r="AL96" s="54"/>
      <c r="AM96" s="54"/>
    </row>
    <row r="97" spans="1:39">
      <c r="A97" s="45" t="str" cm="1">
        <f t="array" ref="A97">IF(H97="PROJECT", CHAR(10) &amp; "- " &amp; _xlfn.TEXTJOIN(CHAR(10) &amp; "- ", TRUE, _xlfn._xlws.FILTER($I$9:$I$1000, ($B$9:$B$1000=B97) * ($H$9:$H$1000="Topic"))), "")</f>
        <v/>
      </c>
      <c r="B97" s="45" t="str">
        <f t="shared" si="19"/>
        <v/>
      </c>
      <c r="C97" s="95"/>
      <c r="D97" s="46"/>
      <c r="E97" s="58"/>
      <c r="F97" s="67"/>
      <c r="G97" s="53"/>
      <c r="H97" s="53"/>
      <c r="I97" s="50"/>
      <c r="J97" s="51"/>
      <c r="K97" s="129" t="str">
        <f t="shared" si="18"/>
        <v/>
      </c>
      <c r="L97" s="103" t="str">
        <f t="shared" si="20"/>
        <v/>
      </c>
      <c r="M97" s="53">
        <v>0</v>
      </c>
      <c r="N97" s="102" t="str">
        <f t="shared" si="21"/>
        <v/>
      </c>
      <c r="O97" s="103" t="str">
        <f t="shared" si="22"/>
        <v/>
      </c>
      <c r="P97" s="53">
        <v>0</v>
      </c>
      <c r="Q97" s="102" t="str">
        <f t="shared" si="23"/>
        <v/>
      </c>
      <c r="R97" s="103" t="str">
        <f t="shared" si="24"/>
        <v/>
      </c>
      <c r="S97" s="53">
        <v>0</v>
      </c>
      <c r="T97" s="102" t="str">
        <f t="shared" si="25"/>
        <v/>
      </c>
      <c r="U97" s="103" t="str">
        <f t="shared" si="26"/>
        <v/>
      </c>
      <c r="V97" s="53">
        <v>0</v>
      </c>
      <c r="W97" s="87" t="str">
        <f t="shared" si="27"/>
        <v/>
      </c>
      <c r="X97" s="103" t="str">
        <f t="shared" si="28"/>
        <v/>
      </c>
      <c r="Y97" s="53">
        <v>0</v>
      </c>
      <c r="Z97" s="56" t="str">
        <f t="shared" si="29"/>
        <v/>
      </c>
      <c r="AA97" s="56" t="str">
        <f t="shared" si="30"/>
        <v/>
      </c>
      <c r="AB97" s="56" t="str">
        <f t="shared" si="31"/>
        <v/>
      </c>
      <c r="AC97" s="56" t="str">
        <f t="shared" si="32"/>
        <v/>
      </c>
      <c r="AD97" s="56" t="str">
        <f t="shared" si="33"/>
        <v/>
      </c>
      <c r="AE97" s="40"/>
      <c r="AF97" s="40"/>
      <c r="AG97" s="40"/>
      <c r="AH97" s="56" t="str">
        <f t="shared" si="34"/>
        <v/>
      </c>
      <c r="AI97" s="54"/>
      <c r="AJ97" s="54"/>
      <c r="AK97" s="54"/>
      <c r="AL97" s="54"/>
      <c r="AM97" s="54"/>
    </row>
    <row r="98" spans="1:39">
      <c r="A98" s="45" t="str" cm="1">
        <f t="array" ref="A98">IF(H98="PROJECT", CHAR(10) &amp; "- " &amp; _xlfn.TEXTJOIN(CHAR(10) &amp; "- ", TRUE, _xlfn._xlws.FILTER($I$9:$I$1000, ($B$9:$B$1000=B98) * ($H$9:$H$1000="Topic"))), "")</f>
        <v/>
      </c>
      <c r="B98" s="45" t="str">
        <f t="shared" si="19"/>
        <v/>
      </c>
      <c r="C98" s="95"/>
      <c r="D98" s="57"/>
      <c r="E98" s="58"/>
      <c r="F98" s="54"/>
      <c r="G98" s="52"/>
      <c r="H98" s="52"/>
      <c r="I98" s="61"/>
      <c r="J98" s="62"/>
      <c r="K98" s="129" t="str">
        <f t="shared" si="18"/>
        <v/>
      </c>
      <c r="L98" s="103" t="str">
        <f t="shared" si="20"/>
        <v/>
      </c>
      <c r="M98" s="52">
        <v>0</v>
      </c>
      <c r="N98" s="102" t="str">
        <f t="shared" si="21"/>
        <v/>
      </c>
      <c r="O98" s="103" t="str">
        <f t="shared" si="22"/>
        <v/>
      </c>
      <c r="P98" s="52">
        <v>0</v>
      </c>
      <c r="Q98" s="102" t="str">
        <f t="shared" si="23"/>
        <v/>
      </c>
      <c r="R98" s="103" t="str">
        <f t="shared" si="24"/>
        <v/>
      </c>
      <c r="S98" s="52">
        <v>0</v>
      </c>
      <c r="T98" s="102" t="str">
        <f t="shared" si="25"/>
        <v/>
      </c>
      <c r="U98" s="103" t="str">
        <f t="shared" si="26"/>
        <v/>
      </c>
      <c r="V98" s="52">
        <v>0</v>
      </c>
      <c r="W98" s="87" t="str">
        <f t="shared" si="27"/>
        <v/>
      </c>
      <c r="X98" s="103" t="str">
        <f t="shared" si="28"/>
        <v/>
      </c>
      <c r="Y98" s="52">
        <v>0</v>
      </c>
      <c r="Z98" s="56" t="str">
        <f t="shared" si="29"/>
        <v/>
      </c>
      <c r="AA98" s="56" t="str">
        <f t="shared" si="30"/>
        <v/>
      </c>
      <c r="AB98" s="56" t="str">
        <f t="shared" si="31"/>
        <v/>
      </c>
      <c r="AC98" s="56" t="str">
        <f t="shared" si="32"/>
        <v/>
      </c>
      <c r="AD98" s="56" t="str">
        <f t="shared" si="33"/>
        <v/>
      </c>
      <c r="AE98" s="40"/>
      <c r="AF98" s="40"/>
      <c r="AG98" s="40"/>
      <c r="AH98" s="56" t="str">
        <f t="shared" si="34"/>
        <v/>
      </c>
      <c r="AI98" s="54"/>
      <c r="AJ98" s="54"/>
      <c r="AK98" s="54"/>
      <c r="AL98" s="54"/>
      <c r="AM98" s="54"/>
    </row>
    <row r="99" spans="1:39">
      <c r="A99" s="45" t="str" cm="1">
        <f t="array" ref="A99">IF(H99="PROJECT", CHAR(10) &amp; "- " &amp; _xlfn.TEXTJOIN(CHAR(10) &amp; "- ", TRUE, _xlfn._xlws.FILTER($I$9:$I$1000, ($B$9:$B$1000=B99) * ($H$9:$H$1000="Topic"))), "")</f>
        <v/>
      </c>
      <c r="B99" s="45" t="str">
        <f t="shared" si="19"/>
        <v/>
      </c>
      <c r="C99" s="95"/>
      <c r="D99" s="46"/>
      <c r="E99" s="58"/>
      <c r="F99" s="67"/>
      <c r="G99" s="53"/>
      <c r="H99" s="53"/>
      <c r="I99" s="50"/>
      <c r="J99" s="51"/>
      <c r="K99" s="129" t="str">
        <f t="shared" si="18"/>
        <v/>
      </c>
      <c r="L99" s="103" t="str">
        <f t="shared" si="20"/>
        <v/>
      </c>
      <c r="M99" s="53">
        <v>0</v>
      </c>
      <c r="N99" s="102" t="str">
        <f t="shared" si="21"/>
        <v/>
      </c>
      <c r="O99" s="103" t="str">
        <f t="shared" si="22"/>
        <v/>
      </c>
      <c r="P99" s="53">
        <v>0</v>
      </c>
      <c r="Q99" s="102" t="str">
        <f t="shared" si="23"/>
        <v/>
      </c>
      <c r="R99" s="103" t="str">
        <f t="shared" si="24"/>
        <v/>
      </c>
      <c r="S99" s="53">
        <v>0</v>
      </c>
      <c r="T99" s="102" t="str">
        <f t="shared" si="25"/>
        <v/>
      </c>
      <c r="U99" s="103" t="str">
        <f t="shared" si="26"/>
        <v/>
      </c>
      <c r="V99" s="53">
        <v>0</v>
      </c>
      <c r="W99" s="87" t="str">
        <f t="shared" si="27"/>
        <v/>
      </c>
      <c r="X99" s="103" t="str">
        <f t="shared" si="28"/>
        <v/>
      </c>
      <c r="Y99" s="53">
        <v>0</v>
      </c>
      <c r="Z99" s="56" t="str">
        <f t="shared" si="29"/>
        <v/>
      </c>
      <c r="AA99" s="56" t="str">
        <f t="shared" si="30"/>
        <v/>
      </c>
      <c r="AB99" s="56" t="str">
        <f t="shared" si="31"/>
        <v/>
      </c>
      <c r="AC99" s="56" t="str">
        <f t="shared" si="32"/>
        <v/>
      </c>
      <c r="AD99" s="56" t="str">
        <f t="shared" si="33"/>
        <v/>
      </c>
      <c r="AE99" s="40"/>
      <c r="AF99" s="40"/>
      <c r="AG99" s="40"/>
      <c r="AH99" s="56" t="str">
        <f t="shared" si="34"/>
        <v/>
      </c>
      <c r="AI99" s="54"/>
      <c r="AJ99" s="54"/>
      <c r="AK99" s="54"/>
      <c r="AL99" s="54"/>
      <c r="AM99" s="54"/>
    </row>
    <row r="100" spans="1:39">
      <c r="A100" s="45" t="str" cm="1">
        <f t="array" ref="A100">IF(H100="PROJECT", CHAR(10) &amp; "- " &amp; _xlfn.TEXTJOIN(CHAR(10) &amp; "- ", TRUE, _xlfn._xlws.FILTER($I$9:$I$1000, ($B$9:$B$1000=B100) * ($H$9:$H$1000="Topic"))), "")</f>
        <v/>
      </c>
      <c r="B100" s="45" t="str">
        <f t="shared" si="19"/>
        <v/>
      </c>
      <c r="C100" s="95"/>
      <c r="D100" s="57"/>
      <c r="E100" s="58"/>
      <c r="F100" s="54"/>
      <c r="G100" s="52"/>
      <c r="H100" s="52"/>
      <c r="I100" s="61"/>
      <c r="J100" s="62"/>
      <c r="K100" s="129" t="str">
        <f t="shared" si="18"/>
        <v/>
      </c>
      <c r="L100" s="103" t="str">
        <f t="shared" si="20"/>
        <v/>
      </c>
      <c r="M100" s="52">
        <v>0</v>
      </c>
      <c r="N100" s="102" t="str">
        <f t="shared" si="21"/>
        <v/>
      </c>
      <c r="O100" s="103" t="str">
        <f t="shared" si="22"/>
        <v/>
      </c>
      <c r="P100" s="52">
        <v>0</v>
      </c>
      <c r="Q100" s="102" t="str">
        <f t="shared" si="23"/>
        <v/>
      </c>
      <c r="R100" s="103" t="str">
        <f t="shared" si="24"/>
        <v/>
      </c>
      <c r="S100" s="52">
        <v>0</v>
      </c>
      <c r="T100" s="102" t="str">
        <f t="shared" si="25"/>
        <v/>
      </c>
      <c r="U100" s="103" t="str">
        <f t="shared" si="26"/>
        <v/>
      </c>
      <c r="V100" s="52">
        <v>0</v>
      </c>
      <c r="W100" s="87" t="str">
        <f t="shared" si="27"/>
        <v/>
      </c>
      <c r="X100" s="103" t="str">
        <f t="shared" si="28"/>
        <v/>
      </c>
      <c r="Y100" s="52">
        <v>0</v>
      </c>
      <c r="Z100" s="56" t="str">
        <f t="shared" si="29"/>
        <v/>
      </c>
      <c r="AA100" s="56" t="str">
        <f t="shared" si="30"/>
        <v/>
      </c>
      <c r="AB100" s="56" t="str">
        <f t="shared" si="31"/>
        <v/>
      </c>
      <c r="AC100" s="56" t="str">
        <f t="shared" si="32"/>
        <v/>
      </c>
      <c r="AD100" s="56" t="str">
        <f t="shared" si="33"/>
        <v/>
      </c>
      <c r="AE100" s="40"/>
      <c r="AF100" s="40"/>
      <c r="AG100" s="40"/>
      <c r="AH100" s="56" t="str">
        <f t="shared" si="34"/>
        <v/>
      </c>
      <c r="AI100" s="54"/>
      <c r="AJ100" s="54"/>
      <c r="AK100" s="54"/>
      <c r="AL100" s="54"/>
      <c r="AM100" s="54"/>
    </row>
    <row r="101" spans="1:39">
      <c r="A101" s="45" t="str" cm="1">
        <f t="array" ref="A101">IF(H101="PROJECT", CHAR(10) &amp; "- " &amp; _xlfn.TEXTJOIN(CHAR(10) &amp; "- ", TRUE, _xlfn._xlws.FILTER($I$9:$I$1000, ($B$9:$B$1000=B101) * ($H$9:$H$1000="Topic"))), "")</f>
        <v/>
      </c>
      <c r="B101" s="45" t="str">
        <f t="shared" si="19"/>
        <v/>
      </c>
      <c r="C101" s="95"/>
      <c r="D101" s="46"/>
      <c r="E101" s="58"/>
      <c r="F101" s="67"/>
      <c r="G101" s="53"/>
      <c r="H101" s="53"/>
      <c r="I101" s="50"/>
      <c r="J101" s="51"/>
      <c r="K101" s="129" t="str">
        <f t="shared" si="18"/>
        <v/>
      </c>
      <c r="L101" s="103" t="str">
        <f t="shared" si="20"/>
        <v/>
      </c>
      <c r="M101" s="53">
        <v>0</v>
      </c>
      <c r="N101" s="102" t="str">
        <f t="shared" si="21"/>
        <v/>
      </c>
      <c r="O101" s="103" t="str">
        <f t="shared" si="22"/>
        <v/>
      </c>
      <c r="P101" s="53">
        <v>0</v>
      </c>
      <c r="Q101" s="102" t="str">
        <f t="shared" si="23"/>
        <v/>
      </c>
      <c r="R101" s="103" t="str">
        <f t="shared" si="24"/>
        <v/>
      </c>
      <c r="S101" s="53">
        <v>0</v>
      </c>
      <c r="T101" s="102" t="str">
        <f t="shared" si="25"/>
        <v/>
      </c>
      <c r="U101" s="103" t="str">
        <f t="shared" si="26"/>
        <v/>
      </c>
      <c r="V101" s="53">
        <v>0</v>
      </c>
      <c r="W101" s="87" t="str">
        <f t="shared" si="27"/>
        <v/>
      </c>
      <c r="X101" s="103" t="str">
        <f t="shared" si="28"/>
        <v/>
      </c>
      <c r="Y101" s="53">
        <v>0</v>
      </c>
      <c r="Z101" s="56" t="str">
        <f t="shared" si="29"/>
        <v/>
      </c>
      <c r="AA101" s="56" t="str">
        <f t="shared" si="30"/>
        <v/>
      </c>
      <c r="AB101" s="56" t="str">
        <f t="shared" si="31"/>
        <v/>
      </c>
      <c r="AC101" s="56" t="str">
        <f t="shared" si="32"/>
        <v/>
      </c>
      <c r="AD101" s="56" t="str">
        <f t="shared" si="33"/>
        <v/>
      </c>
      <c r="AE101" s="40"/>
      <c r="AF101" s="40"/>
      <c r="AG101" s="40"/>
      <c r="AH101" s="56" t="str">
        <f t="shared" si="34"/>
        <v/>
      </c>
      <c r="AI101" s="54"/>
      <c r="AJ101" s="54"/>
      <c r="AK101" s="54"/>
      <c r="AL101" s="54"/>
      <c r="AM101" s="54"/>
    </row>
    <row r="102" spans="1:39">
      <c r="A102" s="45" t="str" cm="1">
        <f t="array" ref="A102">IF(H102="PROJECT", CHAR(10) &amp; "- " &amp; _xlfn.TEXTJOIN(CHAR(10) &amp; "- ", TRUE, _xlfn._xlws.FILTER($I$9:$I$1000, ($B$9:$B$1000=B102) * ($H$9:$H$1000="Topic"))), "")</f>
        <v/>
      </c>
      <c r="B102" s="45" t="str">
        <f t="shared" si="19"/>
        <v/>
      </c>
      <c r="C102" s="95"/>
      <c r="D102" s="57"/>
      <c r="E102" s="58"/>
      <c r="F102" s="54"/>
      <c r="G102" s="52"/>
      <c r="H102" s="52"/>
      <c r="I102" s="61"/>
      <c r="J102" s="62"/>
      <c r="K102" s="129" t="str">
        <f t="shared" si="18"/>
        <v/>
      </c>
      <c r="L102" s="103" t="str">
        <f t="shared" si="20"/>
        <v/>
      </c>
      <c r="M102" s="52">
        <v>0</v>
      </c>
      <c r="N102" s="102" t="str">
        <f t="shared" si="21"/>
        <v/>
      </c>
      <c r="O102" s="103" t="str">
        <f t="shared" si="22"/>
        <v/>
      </c>
      <c r="P102" s="52">
        <v>0</v>
      </c>
      <c r="Q102" s="102" t="str">
        <f t="shared" si="23"/>
        <v/>
      </c>
      <c r="R102" s="103" t="str">
        <f t="shared" si="24"/>
        <v/>
      </c>
      <c r="S102" s="52">
        <v>0</v>
      </c>
      <c r="T102" s="102" t="str">
        <f t="shared" si="25"/>
        <v/>
      </c>
      <c r="U102" s="103" t="str">
        <f t="shared" si="26"/>
        <v/>
      </c>
      <c r="V102" s="52">
        <v>0</v>
      </c>
      <c r="W102" s="87" t="str">
        <f t="shared" si="27"/>
        <v/>
      </c>
      <c r="X102" s="103" t="str">
        <f t="shared" si="28"/>
        <v/>
      </c>
      <c r="Y102" s="52">
        <v>0</v>
      </c>
      <c r="Z102" s="56" t="str">
        <f t="shared" si="29"/>
        <v/>
      </c>
      <c r="AA102" s="56" t="str">
        <f t="shared" si="30"/>
        <v/>
      </c>
      <c r="AB102" s="56" t="str">
        <f t="shared" si="31"/>
        <v/>
      </c>
      <c r="AC102" s="56" t="str">
        <f t="shared" si="32"/>
        <v/>
      </c>
      <c r="AD102" s="56" t="str">
        <f t="shared" si="33"/>
        <v/>
      </c>
      <c r="AE102" s="40"/>
      <c r="AF102" s="40"/>
      <c r="AG102" s="40"/>
      <c r="AH102" s="56" t="str">
        <f t="shared" si="34"/>
        <v/>
      </c>
      <c r="AI102" s="54"/>
      <c r="AJ102" s="54"/>
      <c r="AK102" s="54"/>
      <c r="AL102" s="54"/>
      <c r="AM102" s="54"/>
    </row>
    <row r="103" spans="1:39">
      <c r="A103" s="45" t="str" cm="1">
        <f t="array" ref="A103">IF(H103="PROJECT", CHAR(10) &amp; "- " &amp; _xlfn.TEXTJOIN(CHAR(10) &amp; "- ", TRUE, _xlfn._xlws.FILTER($I$9:$I$1000, ($B$9:$B$1000=B103) * ($H$9:$H$1000="Topic"))), "")</f>
        <v/>
      </c>
      <c r="B103" s="45" t="str">
        <f t="shared" si="19"/>
        <v/>
      </c>
      <c r="C103" s="95"/>
      <c r="D103" s="46"/>
      <c r="E103" s="58"/>
      <c r="F103" s="67"/>
      <c r="G103" s="53"/>
      <c r="H103" s="53"/>
      <c r="I103" s="50"/>
      <c r="J103" s="51"/>
      <c r="K103" s="129" t="str">
        <f t="shared" si="18"/>
        <v/>
      </c>
      <c r="L103" s="103" t="str">
        <f t="shared" si="20"/>
        <v/>
      </c>
      <c r="M103" s="53">
        <v>0</v>
      </c>
      <c r="N103" s="102" t="str">
        <f t="shared" si="21"/>
        <v/>
      </c>
      <c r="O103" s="103" t="str">
        <f t="shared" si="22"/>
        <v/>
      </c>
      <c r="P103" s="53">
        <v>0</v>
      </c>
      <c r="Q103" s="102" t="str">
        <f t="shared" si="23"/>
        <v/>
      </c>
      <c r="R103" s="103" t="str">
        <f t="shared" si="24"/>
        <v/>
      </c>
      <c r="S103" s="53">
        <v>0</v>
      </c>
      <c r="T103" s="102" t="str">
        <f t="shared" si="25"/>
        <v/>
      </c>
      <c r="U103" s="103" t="str">
        <f t="shared" si="26"/>
        <v/>
      </c>
      <c r="V103" s="53">
        <v>0</v>
      </c>
      <c r="W103" s="87" t="str">
        <f t="shared" si="27"/>
        <v/>
      </c>
      <c r="X103" s="103" t="str">
        <f t="shared" si="28"/>
        <v/>
      </c>
      <c r="Y103" s="53">
        <v>0</v>
      </c>
      <c r="Z103" s="56" t="str">
        <f t="shared" si="29"/>
        <v/>
      </c>
      <c r="AA103" s="56" t="str">
        <f t="shared" si="30"/>
        <v/>
      </c>
      <c r="AB103" s="56" t="str">
        <f t="shared" si="31"/>
        <v/>
      </c>
      <c r="AC103" s="56" t="str">
        <f t="shared" si="32"/>
        <v/>
      </c>
      <c r="AD103" s="56" t="str">
        <f t="shared" si="33"/>
        <v/>
      </c>
      <c r="AE103" s="40"/>
      <c r="AF103" s="40"/>
      <c r="AG103" s="40"/>
      <c r="AH103" s="56" t="str">
        <f t="shared" si="34"/>
        <v/>
      </c>
      <c r="AI103" s="54"/>
      <c r="AJ103" s="54"/>
      <c r="AK103" s="54"/>
      <c r="AL103" s="54"/>
      <c r="AM103" s="54"/>
    </row>
    <row r="104" spans="1:39">
      <c r="A104" s="45" t="str" cm="1">
        <f t="array" ref="A104">IF(H104="PROJECT", CHAR(10) &amp; "- " &amp; _xlfn.TEXTJOIN(CHAR(10) &amp; "- ", TRUE, _xlfn._xlws.FILTER($I$9:$I$1000, ($B$9:$B$1000=B104) * ($H$9:$H$1000="Topic"))), "")</f>
        <v/>
      </c>
      <c r="B104" s="45" t="str">
        <f t="shared" si="19"/>
        <v/>
      </c>
      <c r="C104" s="95"/>
      <c r="D104" s="57"/>
      <c r="E104" s="58"/>
      <c r="F104" s="54"/>
      <c r="G104" s="52"/>
      <c r="H104" s="52"/>
      <c r="I104" s="61"/>
      <c r="J104" s="62"/>
      <c r="K104" s="129" t="str">
        <f t="shared" si="18"/>
        <v/>
      </c>
      <c r="L104" s="103" t="str">
        <f t="shared" si="20"/>
        <v/>
      </c>
      <c r="M104" s="52">
        <v>0</v>
      </c>
      <c r="N104" s="102" t="str">
        <f t="shared" si="21"/>
        <v/>
      </c>
      <c r="O104" s="103" t="str">
        <f t="shared" si="22"/>
        <v/>
      </c>
      <c r="P104" s="52">
        <v>0</v>
      </c>
      <c r="Q104" s="102" t="str">
        <f t="shared" si="23"/>
        <v/>
      </c>
      <c r="R104" s="103" t="str">
        <f t="shared" si="24"/>
        <v/>
      </c>
      <c r="S104" s="52">
        <v>0</v>
      </c>
      <c r="T104" s="102" t="str">
        <f t="shared" si="25"/>
        <v/>
      </c>
      <c r="U104" s="103" t="str">
        <f t="shared" si="26"/>
        <v/>
      </c>
      <c r="V104" s="52">
        <v>0</v>
      </c>
      <c r="W104" s="87" t="str">
        <f t="shared" si="27"/>
        <v/>
      </c>
      <c r="X104" s="103" t="str">
        <f t="shared" si="28"/>
        <v/>
      </c>
      <c r="Y104" s="52">
        <v>0</v>
      </c>
      <c r="Z104" s="56" t="str">
        <f t="shared" si="29"/>
        <v/>
      </c>
      <c r="AA104" s="56" t="str">
        <f t="shared" si="30"/>
        <v/>
      </c>
      <c r="AB104" s="56" t="str">
        <f t="shared" si="31"/>
        <v/>
      </c>
      <c r="AC104" s="56" t="str">
        <f t="shared" si="32"/>
        <v/>
      </c>
      <c r="AD104" s="56" t="str">
        <f t="shared" si="33"/>
        <v/>
      </c>
      <c r="AE104" s="40"/>
      <c r="AF104" s="40"/>
      <c r="AG104" s="40"/>
      <c r="AH104" s="56" t="str">
        <f t="shared" si="34"/>
        <v/>
      </c>
      <c r="AI104" s="54"/>
      <c r="AJ104" s="54"/>
      <c r="AK104" s="54"/>
      <c r="AL104" s="54"/>
      <c r="AM104" s="54"/>
    </row>
    <row r="105" spans="1:39">
      <c r="A105" s="45" t="str" cm="1">
        <f t="array" ref="A105">IF(H105="PROJECT", CHAR(10) &amp; "- " &amp; _xlfn.TEXTJOIN(CHAR(10) &amp; "- ", TRUE, _xlfn._xlws.FILTER($I$9:$I$1000, ($B$9:$B$1000=B105) * ($H$9:$H$1000="Topic"))), "")</f>
        <v/>
      </c>
      <c r="B105" s="45" t="str">
        <f t="shared" si="19"/>
        <v/>
      </c>
      <c r="C105" s="95"/>
      <c r="D105" s="46"/>
      <c r="E105" s="58"/>
      <c r="F105" s="67"/>
      <c r="G105" s="53"/>
      <c r="H105" s="53"/>
      <c r="I105" s="50"/>
      <c r="J105" s="51"/>
      <c r="K105" s="129" t="str">
        <f t="shared" ref="K105:K136" si="35">IF(H105="Topic",
"[ROLE] Friendly tutor specializing in " &amp; $I$2 &amp; " | " &amp;
"[TOPIC] " &amp; I105 &amp; " | " &amp;
"[LEVEL] " &amp; G105 &amp; " | " &amp;
"[COUNT] " &amp; D105 &amp; " examples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$A$6 &amp; "). This includes translating ALL structural labels requested in this prompt (like 'Dataset Summary', 'File Type', 'Columns / Fields', 'Data Types', 'Notes', 'Analogy', 'Exercise', 'Objective', 'Expected Output') into " &amp; $A$6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$A$6 &amp; ": " &amp; $AE$7) &amp; " | " &amp;
"[LANGUAGE] " &amp; $A$6 &amp; " | " &amp;
"[EXECUTIVE CONSTRAINTS] Each example MUST include: - Internal data OR dataset usage - Print key intermediate steps and the final result - MUST NOT exceed exactly " &amp; $C105 &amp; " lines of EXECUTABLE code (STRICT: Do NOT count comments or blank lines). - NEVER exceed this limit. | " &amp;
"[FUNCTION RULE] Rule: " &amp; IF(G105="Beginner","Focus: basic async/await, simple Future-returning methods on classes, synchronous Stream handling within class methods.", IF(G105="Intermediate", "Integrate StreamControllers (event-driven) inside classes, async* generators as methods, explicit state transitions via sealed class hierarchies.", "stateful class instances with strict typing, sealed state classes, or Stream-based message passing between objects")) &amp; " | " &amp;
_xlfn._LONGTEXT("[CODE_CONSTRAINTS_RULE] Each example MUST: - Use stateful class instances with strict typing, sealed state classes, or Stream-based message passing between objects - Print steps &amp; result via print() or developer.log() inside isolated scopes, error handler","s, or class methods - MAX ") &amp; $C105 &amp; " executable lines (comments/blanks excluded) - NEVER exceed limit. | " &amp;
_xlfn._LONGTEXT("[I_O_PARADIGM] Use standard event passing via StreamController.add, SendPort.send, or typed method calls on class interfaces and gracefully handle sealed classes representing states, Records like (response, newState), or typed Futures/Streams returned fro","m class methods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F105 &amp; " | Stage 1 📖 Practice | " &amp; IF($I$3="", $I$2, $I$2&amp; " - " &amp;$I$3) &amp; " | 📊 Level: " &amp; G105 &amp; " | 🌐 Coding5s.com" &amp; CHAR(10) &amp; "**Concept:** " &amp; J105 &amp; CHAR(10) &amp; "---" &amp; CHAR(10) &amp; " | " &amp;
"[INTRO RULE] Include a short tutor-style sentence in " &amp; $A$6 &amp; " before the analogy, followed by this EXACT instruction block translated to " &amp; $A$6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D105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IF(AJ105&lt;&gt;"", AJ105,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$A$6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IF(H105="PROJECT", Z105, ""))</f>
        <v/>
      </c>
      <c r="L105" s="103" t="str">
        <f t="shared" si="20"/>
        <v/>
      </c>
      <c r="M105" s="53">
        <v>0</v>
      </c>
      <c r="N105" s="102" t="str">
        <f t="shared" si="21"/>
        <v/>
      </c>
      <c r="O105" s="103" t="str">
        <f t="shared" si="22"/>
        <v/>
      </c>
      <c r="P105" s="53">
        <v>0</v>
      </c>
      <c r="Q105" s="102" t="str">
        <f t="shared" si="23"/>
        <v/>
      </c>
      <c r="R105" s="103" t="str">
        <f t="shared" si="24"/>
        <v/>
      </c>
      <c r="S105" s="53">
        <v>0</v>
      </c>
      <c r="T105" s="102" t="str">
        <f t="shared" si="25"/>
        <v/>
      </c>
      <c r="U105" s="103" t="str">
        <f t="shared" si="26"/>
        <v/>
      </c>
      <c r="V105" s="53">
        <v>0</v>
      </c>
      <c r="W105" s="87" t="str">
        <f t="shared" si="27"/>
        <v/>
      </c>
      <c r="X105" s="103" t="str">
        <f t="shared" si="28"/>
        <v/>
      </c>
      <c r="Y105" s="53">
        <v>0</v>
      </c>
      <c r="Z105" s="56" t="str">
        <f t="shared" si="29"/>
        <v/>
      </c>
      <c r="AA105" s="56" t="str">
        <f t="shared" si="30"/>
        <v/>
      </c>
      <c r="AB105" s="56" t="str">
        <f t="shared" si="31"/>
        <v/>
      </c>
      <c r="AC105" s="56" t="str">
        <f t="shared" si="32"/>
        <v/>
      </c>
      <c r="AD105" s="56" t="str">
        <f t="shared" si="33"/>
        <v/>
      </c>
      <c r="AE105" s="40"/>
      <c r="AF105" s="40"/>
      <c r="AG105" s="40"/>
      <c r="AH105" s="56" t="str">
        <f t="shared" si="34"/>
        <v/>
      </c>
      <c r="AI105" s="54"/>
      <c r="AJ105" s="54"/>
      <c r="AK105" s="54"/>
      <c r="AL105" s="54"/>
      <c r="AM105" s="54"/>
    </row>
    <row r="106" spans="1:39">
      <c r="A106" s="45" t="str" cm="1">
        <f t="array" ref="A106">IF(H106="PROJECT", CHAR(10) &amp; "- " &amp; _xlfn.TEXTJOIN(CHAR(10) &amp; "- ", TRUE, _xlfn._xlws.FILTER($I$9:$I$1000, ($B$9:$B$1000=B106) * ($H$9:$H$1000="Topic"))), "")</f>
        <v/>
      </c>
      <c r="B106" s="45" t="str">
        <f t="shared" si="19"/>
        <v/>
      </c>
      <c r="C106" s="95"/>
      <c r="D106" s="57"/>
      <c r="E106" s="58"/>
      <c r="F106" s="54"/>
      <c r="G106" s="52"/>
      <c r="H106" s="52"/>
      <c r="I106" s="61"/>
      <c r="J106" s="62"/>
      <c r="K106" s="129" t="str">
        <f t="shared" si="35"/>
        <v/>
      </c>
      <c r="L106" s="103" t="str">
        <f t="shared" si="20"/>
        <v/>
      </c>
      <c r="M106" s="52">
        <v>0</v>
      </c>
      <c r="N106" s="102" t="str">
        <f t="shared" si="21"/>
        <v/>
      </c>
      <c r="O106" s="103" t="str">
        <f t="shared" si="22"/>
        <v/>
      </c>
      <c r="P106" s="52">
        <v>0</v>
      </c>
      <c r="Q106" s="102" t="str">
        <f t="shared" si="23"/>
        <v/>
      </c>
      <c r="R106" s="103" t="str">
        <f t="shared" si="24"/>
        <v/>
      </c>
      <c r="S106" s="52">
        <v>0</v>
      </c>
      <c r="T106" s="102" t="str">
        <f t="shared" si="25"/>
        <v/>
      </c>
      <c r="U106" s="103" t="str">
        <f t="shared" si="26"/>
        <v/>
      </c>
      <c r="V106" s="52">
        <v>0</v>
      </c>
      <c r="W106" s="87" t="str">
        <f t="shared" si="27"/>
        <v/>
      </c>
      <c r="X106" s="103" t="str">
        <f t="shared" si="28"/>
        <v/>
      </c>
      <c r="Y106" s="52">
        <v>0</v>
      </c>
      <c r="Z106" s="56" t="str">
        <f t="shared" si="29"/>
        <v/>
      </c>
      <c r="AA106" s="56" t="str">
        <f t="shared" si="30"/>
        <v/>
      </c>
      <c r="AB106" s="56" t="str">
        <f t="shared" si="31"/>
        <v/>
      </c>
      <c r="AC106" s="56" t="str">
        <f t="shared" si="32"/>
        <v/>
      </c>
      <c r="AD106" s="56" t="str">
        <f t="shared" si="33"/>
        <v/>
      </c>
      <c r="AE106" s="40"/>
      <c r="AF106" s="40"/>
      <c r="AG106" s="40"/>
      <c r="AH106" s="56" t="str">
        <f t="shared" si="34"/>
        <v/>
      </c>
      <c r="AI106" s="54"/>
      <c r="AJ106" s="54"/>
      <c r="AK106" s="54"/>
      <c r="AL106" s="54"/>
      <c r="AM106" s="54"/>
    </row>
    <row r="107" spans="1:39">
      <c r="A107" s="45" t="str" cm="1">
        <f t="array" ref="A107">IF(H107="PROJECT", CHAR(10) &amp; "- " &amp; _xlfn.TEXTJOIN(CHAR(10) &amp; "- ", TRUE, _xlfn._xlws.FILTER($I$9:$I$1000, ($B$9:$B$1000=B107) * ($H$9:$H$1000="Topic"))), "")</f>
        <v/>
      </c>
      <c r="B107" s="45" t="str">
        <f t="shared" si="19"/>
        <v/>
      </c>
      <c r="C107" s="95"/>
      <c r="D107" s="46"/>
      <c r="E107" s="58"/>
      <c r="F107" s="67"/>
      <c r="G107" s="53"/>
      <c r="H107" s="53"/>
      <c r="I107" s="50"/>
      <c r="J107" s="51"/>
      <c r="K107" s="129" t="str">
        <f t="shared" si="35"/>
        <v/>
      </c>
      <c r="L107" s="103" t="str">
        <f t="shared" si="20"/>
        <v/>
      </c>
      <c r="M107" s="53">
        <v>0</v>
      </c>
      <c r="N107" s="102" t="str">
        <f t="shared" si="21"/>
        <v/>
      </c>
      <c r="O107" s="103" t="str">
        <f t="shared" si="22"/>
        <v/>
      </c>
      <c r="P107" s="53">
        <v>0</v>
      </c>
      <c r="Q107" s="102" t="str">
        <f t="shared" si="23"/>
        <v/>
      </c>
      <c r="R107" s="103" t="str">
        <f t="shared" si="24"/>
        <v/>
      </c>
      <c r="S107" s="53">
        <v>0</v>
      </c>
      <c r="T107" s="102" t="str">
        <f t="shared" si="25"/>
        <v/>
      </c>
      <c r="U107" s="103" t="str">
        <f t="shared" si="26"/>
        <v/>
      </c>
      <c r="V107" s="53">
        <v>0</v>
      </c>
      <c r="W107" s="87" t="str">
        <f t="shared" si="27"/>
        <v/>
      </c>
      <c r="X107" s="103" t="str">
        <f t="shared" si="28"/>
        <v/>
      </c>
      <c r="Y107" s="53">
        <v>0</v>
      </c>
      <c r="Z107" s="56" t="str">
        <f t="shared" si="29"/>
        <v/>
      </c>
      <c r="AA107" s="56" t="str">
        <f t="shared" si="30"/>
        <v/>
      </c>
      <c r="AB107" s="56" t="str">
        <f t="shared" si="31"/>
        <v/>
      </c>
      <c r="AC107" s="56" t="str">
        <f t="shared" si="32"/>
        <v/>
      </c>
      <c r="AD107" s="56" t="str">
        <f t="shared" si="33"/>
        <v/>
      </c>
      <c r="AE107" s="40"/>
      <c r="AF107" s="40"/>
      <c r="AG107" s="40"/>
      <c r="AH107" s="56" t="str">
        <f t="shared" si="34"/>
        <v/>
      </c>
      <c r="AI107" s="54"/>
      <c r="AJ107" s="54"/>
      <c r="AK107" s="54"/>
      <c r="AL107" s="54"/>
      <c r="AM107" s="54"/>
    </row>
    <row r="108" spans="1:39">
      <c r="A108" s="45" t="str" cm="1">
        <f t="array" ref="A108">IF(H108="PROJECT", CHAR(10) &amp; "- " &amp; _xlfn.TEXTJOIN(CHAR(10) &amp; "- ", TRUE, _xlfn._xlws.FILTER($I$9:$I$1000, ($B$9:$B$1000=B108) * ($H$9:$H$1000="Topic"))), "")</f>
        <v/>
      </c>
      <c r="B108" s="45" t="str">
        <f t="shared" si="19"/>
        <v/>
      </c>
      <c r="C108" s="95"/>
      <c r="D108" s="57"/>
      <c r="E108" s="58"/>
      <c r="F108" s="54"/>
      <c r="G108" s="52"/>
      <c r="H108" s="52"/>
      <c r="I108" s="61"/>
      <c r="J108" s="62"/>
      <c r="K108" s="129" t="str">
        <f t="shared" si="35"/>
        <v/>
      </c>
      <c r="L108" s="103" t="str">
        <f t="shared" si="20"/>
        <v/>
      </c>
      <c r="M108" s="52">
        <v>0</v>
      </c>
      <c r="N108" s="102" t="str">
        <f t="shared" si="21"/>
        <v/>
      </c>
      <c r="O108" s="103" t="str">
        <f t="shared" si="22"/>
        <v/>
      </c>
      <c r="P108" s="52">
        <v>0</v>
      </c>
      <c r="Q108" s="102" t="str">
        <f t="shared" si="23"/>
        <v/>
      </c>
      <c r="R108" s="103" t="str">
        <f t="shared" si="24"/>
        <v/>
      </c>
      <c r="S108" s="52">
        <v>0</v>
      </c>
      <c r="T108" s="102" t="str">
        <f t="shared" si="25"/>
        <v/>
      </c>
      <c r="U108" s="103" t="str">
        <f t="shared" si="26"/>
        <v/>
      </c>
      <c r="V108" s="52">
        <v>0</v>
      </c>
      <c r="W108" s="87" t="str">
        <f t="shared" si="27"/>
        <v/>
      </c>
      <c r="X108" s="103" t="str">
        <f t="shared" si="28"/>
        <v/>
      </c>
      <c r="Y108" s="52">
        <v>0</v>
      </c>
      <c r="Z108" s="56" t="str">
        <f t="shared" si="29"/>
        <v/>
      </c>
      <c r="AA108" s="56" t="str">
        <f t="shared" si="30"/>
        <v/>
      </c>
      <c r="AB108" s="56" t="str">
        <f t="shared" si="31"/>
        <v/>
      </c>
      <c r="AC108" s="56" t="str">
        <f t="shared" si="32"/>
        <v/>
      </c>
      <c r="AD108" s="56" t="str">
        <f t="shared" si="33"/>
        <v/>
      </c>
      <c r="AE108" s="40"/>
      <c r="AF108" s="40"/>
      <c r="AG108" s="40"/>
      <c r="AH108" s="56" t="str">
        <f t="shared" si="34"/>
        <v/>
      </c>
      <c r="AI108" s="54"/>
      <c r="AJ108" s="54"/>
      <c r="AK108" s="54"/>
      <c r="AL108" s="54"/>
      <c r="AM108" s="54"/>
    </row>
    <row r="109" spans="1:39">
      <c r="A109" s="45" t="str" cm="1">
        <f t="array" ref="A109">IF(H109="PROJECT", CHAR(10) &amp; "- " &amp; _xlfn.TEXTJOIN(CHAR(10) &amp; "- ", TRUE, _xlfn._xlws.FILTER($I$9:$I$1000, ($B$9:$B$1000=B109) * ($H$9:$H$1000="Topic"))), "")</f>
        <v/>
      </c>
      <c r="B109" s="45" t="str">
        <f t="shared" si="19"/>
        <v/>
      </c>
      <c r="C109" s="95"/>
      <c r="D109" s="46"/>
      <c r="E109" s="58"/>
      <c r="F109" s="67"/>
      <c r="G109" s="53"/>
      <c r="H109" s="53"/>
      <c r="I109" s="50"/>
      <c r="J109" s="51"/>
      <c r="K109" s="129" t="str">
        <f t="shared" si="35"/>
        <v/>
      </c>
      <c r="L109" s="103" t="str">
        <f t="shared" si="20"/>
        <v/>
      </c>
      <c r="M109" s="53">
        <v>0</v>
      </c>
      <c r="N109" s="102" t="str">
        <f t="shared" si="21"/>
        <v/>
      </c>
      <c r="O109" s="103" t="str">
        <f t="shared" si="22"/>
        <v/>
      </c>
      <c r="P109" s="53">
        <v>0</v>
      </c>
      <c r="Q109" s="102" t="str">
        <f t="shared" si="23"/>
        <v/>
      </c>
      <c r="R109" s="103" t="str">
        <f t="shared" si="24"/>
        <v/>
      </c>
      <c r="S109" s="53">
        <v>0</v>
      </c>
      <c r="T109" s="102" t="str">
        <f t="shared" si="25"/>
        <v/>
      </c>
      <c r="U109" s="103" t="str">
        <f t="shared" si="26"/>
        <v/>
      </c>
      <c r="V109" s="53">
        <v>0</v>
      </c>
      <c r="W109" s="87" t="str">
        <f t="shared" si="27"/>
        <v/>
      </c>
      <c r="X109" s="103" t="str">
        <f t="shared" si="28"/>
        <v/>
      </c>
      <c r="Y109" s="53">
        <v>0</v>
      </c>
      <c r="Z109" s="56" t="str">
        <f t="shared" si="29"/>
        <v/>
      </c>
      <c r="AA109" s="56" t="str">
        <f t="shared" si="30"/>
        <v/>
      </c>
      <c r="AB109" s="56" t="str">
        <f t="shared" si="31"/>
        <v/>
      </c>
      <c r="AC109" s="56" t="str">
        <f t="shared" si="32"/>
        <v/>
      </c>
      <c r="AD109" s="56" t="str">
        <f t="shared" si="33"/>
        <v/>
      </c>
      <c r="AE109" s="40"/>
      <c r="AF109" s="40"/>
      <c r="AG109" s="40"/>
      <c r="AH109" s="56" t="str">
        <f t="shared" si="34"/>
        <v/>
      </c>
      <c r="AI109" s="54"/>
      <c r="AJ109" s="54"/>
      <c r="AK109" s="54"/>
      <c r="AL109" s="54"/>
      <c r="AM109" s="54"/>
    </row>
    <row r="110" spans="1:39">
      <c r="A110" s="45" t="str" cm="1">
        <f t="array" ref="A110">IF(H110="PROJECT", CHAR(10) &amp; "- " &amp; _xlfn.TEXTJOIN(CHAR(10) &amp; "- ", TRUE, _xlfn._xlws.FILTER($I$9:$I$1000, ($B$9:$B$1000=B110) * ($H$9:$H$1000="Topic"))), "")</f>
        <v/>
      </c>
      <c r="B110" s="45" t="str">
        <f t="shared" si="19"/>
        <v/>
      </c>
      <c r="C110" s="95"/>
      <c r="D110" s="57"/>
      <c r="E110" s="58"/>
      <c r="F110" s="54"/>
      <c r="G110" s="52"/>
      <c r="H110" s="52"/>
      <c r="I110" s="61"/>
      <c r="J110" s="62"/>
      <c r="K110" s="129" t="str">
        <f t="shared" si="35"/>
        <v/>
      </c>
      <c r="L110" s="103" t="str">
        <f t="shared" si="20"/>
        <v/>
      </c>
      <c r="M110" s="52">
        <v>0</v>
      </c>
      <c r="N110" s="102" t="str">
        <f t="shared" si="21"/>
        <v/>
      </c>
      <c r="O110" s="103" t="str">
        <f t="shared" si="22"/>
        <v/>
      </c>
      <c r="P110" s="52">
        <v>0</v>
      </c>
      <c r="Q110" s="102" t="str">
        <f t="shared" si="23"/>
        <v/>
      </c>
      <c r="R110" s="103" t="str">
        <f t="shared" si="24"/>
        <v/>
      </c>
      <c r="S110" s="52">
        <v>0</v>
      </c>
      <c r="T110" s="102" t="str">
        <f t="shared" si="25"/>
        <v/>
      </c>
      <c r="U110" s="103" t="str">
        <f t="shared" si="26"/>
        <v/>
      </c>
      <c r="V110" s="52">
        <v>0</v>
      </c>
      <c r="W110" s="87" t="str">
        <f t="shared" si="27"/>
        <v/>
      </c>
      <c r="X110" s="103" t="str">
        <f t="shared" si="28"/>
        <v/>
      </c>
      <c r="Y110" s="52">
        <v>0</v>
      </c>
      <c r="Z110" s="56" t="str">
        <f t="shared" si="29"/>
        <v/>
      </c>
      <c r="AA110" s="56" t="str">
        <f t="shared" si="30"/>
        <v/>
      </c>
      <c r="AB110" s="56" t="str">
        <f t="shared" si="31"/>
        <v/>
      </c>
      <c r="AC110" s="56" t="str">
        <f t="shared" si="32"/>
        <v/>
      </c>
      <c r="AD110" s="56" t="str">
        <f t="shared" si="33"/>
        <v/>
      </c>
      <c r="AE110" s="40"/>
      <c r="AF110" s="40"/>
      <c r="AG110" s="40"/>
      <c r="AH110" s="56" t="str">
        <f t="shared" si="34"/>
        <v/>
      </c>
      <c r="AI110" s="54"/>
      <c r="AJ110" s="54"/>
      <c r="AK110" s="54"/>
      <c r="AL110" s="54"/>
      <c r="AM110" s="54"/>
    </row>
    <row r="111" spans="1:39">
      <c r="A111" s="45" t="str" cm="1">
        <f t="array" ref="A111">IF(H111="PROJECT", CHAR(10) &amp; "- " &amp; _xlfn.TEXTJOIN(CHAR(10) &amp; "- ", TRUE, _xlfn._xlws.FILTER($I$9:$I$1000, ($B$9:$B$1000=B111) * ($H$9:$H$1000="Topic"))), "")</f>
        <v/>
      </c>
      <c r="B111" s="45" t="str">
        <f t="shared" si="19"/>
        <v/>
      </c>
      <c r="C111" s="95"/>
      <c r="D111" s="46"/>
      <c r="E111" s="58"/>
      <c r="F111" s="67"/>
      <c r="G111" s="53"/>
      <c r="H111" s="53"/>
      <c r="I111" s="50"/>
      <c r="J111" s="51"/>
      <c r="K111" s="129" t="str">
        <f t="shared" si="35"/>
        <v/>
      </c>
      <c r="L111" s="103" t="str">
        <f t="shared" si="20"/>
        <v/>
      </c>
      <c r="M111" s="53">
        <v>0</v>
      </c>
      <c r="N111" s="102" t="str">
        <f t="shared" si="21"/>
        <v/>
      </c>
      <c r="O111" s="103" t="str">
        <f t="shared" si="22"/>
        <v/>
      </c>
      <c r="P111" s="53">
        <v>0</v>
      </c>
      <c r="Q111" s="102" t="str">
        <f t="shared" si="23"/>
        <v/>
      </c>
      <c r="R111" s="103" t="str">
        <f t="shared" si="24"/>
        <v/>
      </c>
      <c r="S111" s="53">
        <v>0</v>
      </c>
      <c r="T111" s="102" t="str">
        <f t="shared" si="25"/>
        <v/>
      </c>
      <c r="U111" s="103" t="str">
        <f t="shared" si="26"/>
        <v/>
      </c>
      <c r="V111" s="53">
        <v>0</v>
      </c>
      <c r="W111" s="87" t="str">
        <f t="shared" si="27"/>
        <v/>
      </c>
      <c r="X111" s="103" t="str">
        <f t="shared" si="28"/>
        <v/>
      </c>
      <c r="Y111" s="53">
        <v>0</v>
      </c>
      <c r="Z111" s="56" t="str">
        <f t="shared" si="29"/>
        <v/>
      </c>
      <c r="AA111" s="56" t="str">
        <f t="shared" si="30"/>
        <v/>
      </c>
      <c r="AB111" s="56" t="str">
        <f t="shared" si="31"/>
        <v/>
      </c>
      <c r="AC111" s="56" t="str">
        <f t="shared" si="32"/>
        <v/>
      </c>
      <c r="AD111" s="56" t="str">
        <f t="shared" si="33"/>
        <v/>
      </c>
      <c r="AE111" s="40"/>
      <c r="AF111" s="40"/>
      <c r="AG111" s="40"/>
      <c r="AH111" s="56" t="str">
        <f t="shared" si="34"/>
        <v/>
      </c>
      <c r="AI111" s="54"/>
      <c r="AJ111" s="54"/>
      <c r="AK111" s="54"/>
      <c r="AL111" s="54"/>
      <c r="AM111" s="54"/>
    </row>
    <row r="112" spans="1:39">
      <c r="A112" s="45" t="str" cm="1">
        <f t="array" ref="A112">IF(H112="PROJECT", CHAR(10) &amp; "- " &amp; _xlfn.TEXTJOIN(CHAR(10) &amp; "- ", TRUE, _xlfn._xlws.FILTER($I$9:$I$1000, ($B$9:$B$1000=B112) * ($H$9:$H$1000="Topic"))), "")</f>
        <v/>
      </c>
      <c r="B112" s="45" t="str">
        <f t="shared" si="19"/>
        <v/>
      </c>
      <c r="C112" s="95"/>
      <c r="D112" s="57"/>
      <c r="E112" s="58"/>
      <c r="F112" s="54"/>
      <c r="G112" s="52"/>
      <c r="H112" s="52"/>
      <c r="I112" s="61"/>
      <c r="J112" s="62"/>
      <c r="K112" s="129" t="str">
        <f t="shared" si="35"/>
        <v/>
      </c>
      <c r="L112" s="103" t="str">
        <f t="shared" si="20"/>
        <v/>
      </c>
      <c r="M112" s="52">
        <v>0</v>
      </c>
      <c r="N112" s="102" t="str">
        <f t="shared" si="21"/>
        <v/>
      </c>
      <c r="O112" s="103" t="str">
        <f t="shared" si="22"/>
        <v/>
      </c>
      <c r="P112" s="52">
        <v>0</v>
      </c>
      <c r="Q112" s="102" t="str">
        <f t="shared" si="23"/>
        <v/>
      </c>
      <c r="R112" s="103" t="str">
        <f t="shared" si="24"/>
        <v/>
      </c>
      <c r="S112" s="52">
        <v>0</v>
      </c>
      <c r="T112" s="102" t="str">
        <f t="shared" si="25"/>
        <v/>
      </c>
      <c r="U112" s="103" t="str">
        <f t="shared" si="26"/>
        <v/>
      </c>
      <c r="V112" s="52">
        <v>0</v>
      </c>
      <c r="W112" s="87" t="str">
        <f t="shared" si="27"/>
        <v/>
      </c>
      <c r="X112" s="103" t="str">
        <f t="shared" si="28"/>
        <v/>
      </c>
      <c r="Y112" s="52">
        <v>0</v>
      </c>
      <c r="Z112" s="56" t="str">
        <f t="shared" si="29"/>
        <v/>
      </c>
      <c r="AA112" s="56" t="str">
        <f t="shared" si="30"/>
        <v/>
      </c>
      <c r="AB112" s="56" t="str">
        <f t="shared" si="31"/>
        <v/>
      </c>
      <c r="AC112" s="56" t="str">
        <f t="shared" si="32"/>
        <v/>
      </c>
      <c r="AD112" s="56" t="str">
        <f t="shared" si="33"/>
        <v/>
      </c>
      <c r="AE112" s="40"/>
      <c r="AF112" s="40"/>
      <c r="AG112" s="40"/>
      <c r="AH112" s="56" t="str">
        <f t="shared" si="34"/>
        <v/>
      </c>
      <c r="AI112" s="54"/>
      <c r="AJ112" s="54"/>
      <c r="AK112" s="54"/>
      <c r="AL112" s="54"/>
      <c r="AM112" s="54"/>
    </row>
    <row r="113" spans="1:39">
      <c r="A113" s="45" t="str" cm="1">
        <f t="array" ref="A113">IF(H113="PROJECT", CHAR(10) &amp; "- " &amp; _xlfn.TEXTJOIN(CHAR(10) &amp; "- ", TRUE, _xlfn._xlws.FILTER($I$9:$I$1000, ($B$9:$B$1000=B113) * ($H$9:$H$1000="Topic"))), "")</f>
        <v/>
      </c>
      <c r="B113" s="45" t="str">
        <f t="shared" si="19"/>
        <v/>
      </c>
      <c r="C113" s="95"/>
      <c r="D113" s="46"/>
      <c r="E113" s="58"/>
      <c r="F113" s="67"/>
      <c r="G113" s="53"/>
      <c r="H113" s="53"/>
      <c r="I113" s="50"/>
      <c r="J113" s="51"/>
      <c r="K113" s="129" t="str">
        <f t="shared" si="35"/>
        <v/>
      </c>
      <c r="L113" s="103" t="str">
        <f t="shared" si="20"/>
        <v/>
      </c>
      <c r="M113" s="53">
        <v>0</v>
      </c>
      <c r="N113" s="102" t="str">
        <f t="shared" si="21"/>
        <v/>
      </c>
      <c r="O113" s="103" t="str">
        <f t="shared" si="22"/>
        <v/>
      </c>
      <c r="P113" s="53">
        <v>0</v>
      </c>
      <c r="Q113" s="102" t="str">
        <f t="shared" si="23"/>
        <v/>
      </c>
      <c r="R113" s="103" t="str">
        <f t="shared" si="24"/>
        <v/>
      </c>
      <c r="S113" s="53">
        <v>0</v>
      </c>
      <c r="T113" s="102" t="str">
        <f t="shared" si="25"/>
        <v/>
      </c>
      <c r="U113" s="103" t="str">
        <f t="shared" si="26"/>
        <v/>
      </c>
      <c r="V113" s="53">
        <v>0</v>
      </c>
      <c r="W113" s="87" t="str">
        <f t="shared" si="27"/>
        <v/>
      </c>
      <c r="X113" s="103" t="str">
        <f t="shared" si="28"/>
        <v/>
      </c>
      <c r="Y113" s="53">
        <v>0</v>
      </c>
      <c r="Z113" s="56" t="str">
        <f t="shared" si="29"/>
        <v/>
      </c>
      <c r="AA113" s="56" t="str">
        <f t="shared" si="30"/>
        <v/>
      </c>
      <c r="AB113" s="56" t="str">
        <f t="shared" si="31"/>
        <v/>
      </c>
      <c r="AC113" s="56" t="str">
        <f t="shared" si="32"/>
        <v/>
      </c>
      <c r="AD113" s="56" t="str">
        <f t="shared" si="33"/>
        <v/>
      </c>
      <c r="AE113" s="40"/>
      <c r="AF113" s="40"/>
      <c r="AG113" s="40"/>
      <c r="AH113" s="56" t="str">
        <f t="shared" si="34"/>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9" t="str">
        <f t="shared" si="35"/>
        <v/>
      </c>
      <c r="L114" s="103" t="str">
        <f t="shared" si="20"/>
        <v/>
      </c>
      <c r="M114" s="52">
        <v>0</v>
      </c>
      <c r="N114" s="102" t="str">
        <f t="shared" si="21"/>
        <v/>
      </c>
      <c r="O114" s="103" t="str">
        <f t="shared" si="22"/>
        <v/>
      </c>
      <c r="P114" s="52">
        <v>0</v>
      </c>
      <c r="Q114" s="102" t="str">
        <f t="shared" si="23"/>
        <v/>
      </c>
      <c r="R114" s="103" t="str">
        <f t="shared" si="24"/>
        <v/>
      </c>
      <c r="S114" s="52">
        <v>0</v>
      </c>
      <c r="T114" s="102" t="str">
        <f t="shared" si="25"/>
        <v/>
      </c>
      <c r="U114" s="103" t="str">
        <f t="shared" si="26"/>
        <v/>
      </c>
      <c r="V114" s="52">
        <v>0</v>
      </c>
      <c r="W114" s="87" t="str">
        <f t="shared" si="27"/>
        <v/>
      </c>
      <c r="X114" s="103" t="str">
        <f t="shared" si="28"/>
        <v/>
      </c>
      <c r="Y114" s="52">
        <v>0</v>
      </c>
      <c r="Z114" s="56" t="str">
        <f t="shared" si="29"/>
        <v/>
      </c>
      <c r="AA114" s="56" t="str">
        <f t="shared" si="30"/>
        <v/>
      </c>
      <c r="AB114" s="56" t="str">
        <f t="shared" si="31"/>
        <v/>
      </c>
      <c r="AC114" s="56" t="str">
        <f t="shared" si="32"/>
        <v/>
      </c>
      <c r="AD114" s="56" t="str">
        <f t="shared" si="33"/>
        <v/>
      </c>
      <c r="AE114" s="40"/>
      <c r="AF114" s="40"/>
      <c r="AG114" s="40"/>
      <c r="AH114" s="56" t="str">
        <f t="shared" si="34"/>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9" t="str">
        <f t="shared" si="35"/>
        <v/>
      </c>
      <c r="L115" s="103" t="str">
        <f t="shared" si="20"/>
        <v/>
      </c>
      <c r="M115" s="53">
        <v>0</v>
      </c>
      <c r="N115" s="102" t="str">
        <f t="shared" si="21"/>
        <v/>
      </c>
      <c r="O115" s="103" t="str">
        <f t="shared" si="22"/>
        <v/>
      </c>
      <c r="P115" s="53">
        <v>0</v>
      </c>
      <c r="Q115" s="102" t="str">
        <f t="shared" si="23"/>
        <v/>
      </c>
      <c r="R115" s="103" t="str">
        <f t="shared" si="24"/>
        <v/>
      </c>
      <c r="S115" s="53">
        <v>0</v>
      </c>
      <c r="T115" s="102" t="str">
        <f t="shared" si="25"/>
        <v/>
      </c>
      <c r="U115" s="103" t="str">
        <f t="shared" si="26"/>
        <v/>
      </c>
      <c r="V115" s="53">
        <v>0</v>
      </c>
      <c r="W115" s="87" t="str">
        <f t="shared" si="27"/>
        <v/>
      </c>
      <c r="X115" s="103" t="str">
        <f t="shared" si="28"/>
        <v/>
      </c>
      <c r="Y115" s="53">
        <v>0</v>
      </c>
      <c r="Z115" s="56" t="str">
        <f t="shared" si="29"/>
        <v/>
      </c>
      <c r="AA115" s="56" t="str">
        <f t="shared" si="30"/>
        <v/>
      </c>
      <c r="AB115" s="56" t="str">
        <f t="shared" si="31"/>
        <v/>
      </c>
      <c r="AC115" s="56" t="str">
        <f t="shared" si="32"/>
        <v/>
      </c>
      <c r="AD115" s="56" t="str">
        <f t="shared" si="33"/>
        <v/>
      </c>
      <c r="AE115" s="40"/>
      <c r="AF115" s="40"/>
      <c r="AG115" s="40"/>
      <c r="AH115" s="56" t="str">
        <f t="shared" si="34"/>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9" t="str">
        <f t="shared" si="35"/>
        <v/>
      </c>
      <c r="L116" s="103" t="str">
        <f t="shared" si="20"/>
        <v/>
      </c>
      <c r="M116" s="52">
        <v>0</v>
      </c>
      <c r="N116" s="102" t="str">
        <f t="shared" si="21"/>
        <v/>
      </c>
      <c r="O116" s="103" t="str">
        <f t="shared" si="22"/>
        <v/>
      </c>
      <c r="P116" s="52">
        <v>0</v>
      </c>
      <c r="Q116" s="102" t="str">
        <f t="shared" si="23"/>
        <v/>
      </c>
      <c r="R116" s="103" t="str">
        <f t="shared" si="24"/>
        <v/>
      </c>
      <c r="S116" s="52">
        <v>0</v>
      </c>
      <c r="T116" s="102" t="str">
        <f t="shared" si="25"/>
        <v/>
      </c>
      <c r="U116" s="103" t="str">
        <f t="shared" si="26"/>
        <v/>
      </c>
      <c r="V116" s="52">
        <v>0</v>
      </c>
      <c r="W116" s="87" t="str">
        <f t="shared" si="27"/>
        <v/>
      </c>
      <c r="X116" s="103" t="str">
        <f t="shared" si="28"/>
        <v/>
      </c>
      <c r="Y116" s="52">
        <v>0</v>
      </c>
      <c r="Z116" s="56" t="str">
        <f t="shared" si="29"/>
        <v/>
      </c>
      <c r="AA116" s="56" t="str">
        <f t="shared" si="30"/>
        <v/>
      </c>
      <c r="AB116" s="56" t="str">
        <f t="shared" si="31"/>
        <v/>
      </c>
      <c r="AC116" s="56" t="str">
        <f t="shared" si="32"/>
        <v/>
      </c>
      <c r="AD116" s="56" t="str">
        <f t="shared" si="33"/>
        <v/>
      </c>
      <c r="AE116" s="40"/>
      <c r="AF116" s="40"/>
      <c r="AG116" s="40"/>
      <c r="AH116" s="56" t="str">
        <f t="shared" si="34"/>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9" t="str">
        <f t="shared" si="35"/>
        <v/>
      </c>
      <c r="L117" s="103" t="str">
        <f t="shared" si="20"/>
        <v/>
      </c>
      <c r="M117" s="53">
        <v>0</v>
      </c>
      <c r="N117" s="102" t="str">
        <f t="shared" si="21"/>
        <v/>
      </c>
      <c r="O117" s="103" t="str">
        <f t="shared" si="22"/>
        <v/>
      </c>
      <c r="P117" s="53">
        <v>0</v>
      </c>
      <c r="Q117" s="102" t="str">
        <f t="shared" si="23"/>
        <v/>
      </c>
      <c r="R117" s="103" t="str">
        <f t="shared" si="24"/>
        <v/>
      </c>
      <c r="S117" s="53">
        <v>0</v>
      </c>
      <c r="T117" s="102" t="str">
        <f t="shared" si="25"/>
        <v/>
      </c>
      <c r="U117" s="103" t="str">
        <f t="shared" si="26"/>
        <v/>
      </c>
      <c r="V117" s="53">
        <v>0</v>
      </c>
      <c r="W117" s="87" t="str">
        <f t="shared" si="27"/>
        <v/>
      </c>
      <c r="X117" s="103" t="str">
        <f t="shared" si="28"/>
        <v/>
      </c>
      <c r="Y117" s="53">
        <v>0</v>
      </c>
      <c r="Z117" s="56" t="str">
        <f t="shared" si="29"/>
        <v/>
      </c>
      <c r="AA117" s="56" t="str">
        <f t="shared" si="30"/>
        <v/>
      </c>
      <c r="AB117" s="56" t="str">
        <f t="shared" si="31"/>
        <v/>
      </c>
      <c r="AC117" s="56" t="str">
        <f t="shared" si="32"/>
        <v/>
      </c>
      <c r="AD117" s="56" t="str">
        <f t="shared" si="33"/>
        <v/>
      </c>
      <c r="AE117" s="40"/>
      <c r="AF117" s="40"/>
      <c r="AG117" s="40"/>
      <c r="AH117" s="56" t="str">
        <f t="shared" si="34"/>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35"/>
        <v/>
      </c>
      <c r="L118" s="103" t="str">
        <f t="shared" si="20"/>
        <v/>
      </c>
      <c r="M118" s="52">
        <v>0</v>
      </c>
      <c r="N118" s="102" t="str">
        <f t="shared" si="21"/>
        <v/>
      </c>
      <c r="O118" s="103" t="str">
        <f t="shared" si="22"/>
        <v/>
      </c>
      <c r="P118" s="52">
        <v>0</v>
      </c>
      <c r="Q118" s="102" t="str">
        <f t="shared" si="23"/>
        <v/>
      </c>
      <c r="R118" s="103" t="str">
        <f t="shared" si="24"/>
        <v/>
      </c>
      <c r="S118" s="52">
        <v>0</v>
      </c>
      <c r="T118" s="102" t="str">
        <f t="shared" si="25"/>
        <v/>
      </c>
      <c r="U118" s="103" t="str">
        <f t="shared" si="26"/>
        <v/>
      </c>
      <c r="V118" s="52">
        <v>0</v>
      </c>
      <c r="W118" s="87" t="str">
        <f t="shared" si="27"/>
        <v/>
      </c>
      <c r="X118" s="103" t="str">
        <f t="shared" si="28"/>
        <v/>
      </c>
      <c r="Y118" s="52">
        <v>0</v>
      </c>
      <c r="Z118" s="56" t="str">
        <f t="shared" si="29"/>
        <v/>
      </c>
      <c r="AA118" s="56" t="str">
        <f t="shared" si="30"/>
        <v/>
      </c>
      <c r="AB118" s="56" t="str">
        <f t="shared" si="31"/>
        <v/>
      </c>
      <c r="AC118" s="56" t="str">
        <f t="shared" si="32"/>
        <v/>
      </c>
      <c r="AD118" s="56" t="str">
        <f t="shared" si="33"/>
        <v/>
      </c>
      <c r="AE118" s="40"/>
      <c r="AF118" s="40"/>
      <c r="AG118" s="40"/>
      <c r="AH118" s="56" t="str">
        <f t="shared" si="34"/>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35"/>
        <v/>
      </c>
      <c r="L119" s="103" t="str">
        <f t="shared" si="20"/>
        <v/>
      </c>
      <c r="M119" s="53">
        <v>0</v>
      </c>
      <c r="N119" s="102" t="str">
        <f t="shared" si="21"/>
        <v/>
      </c>
      <c r="O119" s="103" t="str">
        <f t="shared" si="22"/>
        <v/>
      </c>
      <c r="P119" s="53">
        <v>0</v>
      </c>
      <c r="Q119" s="102" t="str">
        <f t="shared" si="23"/>
        <v/>
      </c>
      <c r="R119" s="103" t="str">
        <f t="shared" si="24"/>
        <v/>
      </c>
      <c r="S119" s="53">
        <v>0</v>
      </c>
      <c r="T119" s="102" t="str">
        <f t="shared" si="25"/>
        <v/>
      </c>
      <c r="U119" s="103" t="str">
        <f t="shared" si="26"/>
        <v/>
      </c>
      <c r="V119" s="53">
        <v>0</v>
      </c>
      <c r="W119" s="87" t="str">
        <f t="shared" si="27"/>
        <v/>
      </c>
      <c r="X119" s="103" t="str">
        <f t="shared" si="28"/>
        <v/>
      </c>
      <c r="Y119" s="53">
        <v>0</v>
      </c>
      <c r="Z119" s="56" t="str">
        <f t="shared" si="29"/>
        <v/>
      </c>
      <c r="AA119" s="56" t="str">
        <f t="shared" si="30"/>
        <v/>
      </c>
      <c r="AB119" s="56" t="str">
        <f t="shared" si="31"/>
        <v/>
      </c>
      <c r="AC119" s="56" t="str">
        <f t="shared" si="32"/>
        <v/>
      </c>
      <c r="AD119" s="56" t="str">
        <f t="shared" si="33"/>
        <v/>
      </c>
      <c r="AE119" s="40"/>
      <c r="AF119" s="40"/>
      <c r="AG119" s="40"/>
      <c r="AH119" s="56" t="str">
        <f t="shared" si="34"/>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35"/>
        <v/>
      </c>
      <c r="L120" s="103" t="str">
        <f t="shared" si="20"/>
        <v/>
      </c>
      <c r="M120" s="52">
        <v>0</v>
      </c>
      <c r="N120" s="102" t="str">
        <f t="shared" si="21"/>
        <v/>
      </c>
      <c r="O120" s="103" t="str">
        <f t="shared" si="22"/>
        <v/>
      </c>
      <c r="P120" s="52">
        <v>0</v>
      </c>
      <c r="Q120" s="102" t="str">
        <f t="shared" si="23"/>
        <v/>
      </c>
      <c r="R120" s="103" t="str">
        <f t="shared" si="24"/>
        <v/>
      </c>
      <c r="S120" s="52">
        <v>0</v>
      </c>
      <c r="T120" s="102" t="str">
        <f t="shared" si="25"/>
        <v/>
      </c>
      <c r="U120" s="103" t="str">
        <f t="shared" si="26"/>
        <v/>
      </c>
      <c r="V120" s="52">
        <v>0</v>
      </c>
      <c r="W120" s="87" t="str">
        <f t="shared" si="27"/>
        <v/>
      </c>
      <c r="X120" s="103" t="str">
        <f t="shared" si="28"/>
        <v/>
      </c>
      <c r="Y120" s="52">
        <v>0</v>
      </c>
      <c r="Z120" s="56" t="str">
        <f t="shared" si="29"/>
        <v/>
      </c>
      <c r="AA120" s="56" t="str">
        <f t="shared" si="30"/>
        <v/>
      </c>
      <c r="AB120" s="56" t="str">
        <f t="shared" si="31"/>
        <v/>
      </c>
      <c r="AC120" s="56" t="str">
        <f t="shared" si="32"/>
        <v/>
      </c>
      <c r="AD120" s="56" t="str">
        <f t="shared" si="33"/>
        <v/>
      </c>
      <c r="AE120" s="40"/>
      <c r="AF120" s="40"/>
      <c r="AG120" s="40"/>
      <c r="AH120" s="56" t="str">
        <f t="shared" si="34"/>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35"/>
        <v/>
      </c>
      <c r="L121" s="103" t="str">
        <f t="shared" si="20"/>
        <v/>
      </c>
      <c r="M121" s="53">
        <v>0</v>
      </c>
      <c r="N121" s="102" t="str">
        <f t="shared" si="21"/>
        <v/>
      </c>
      <c r="O121" s="103" t="str">
        <f t="shared" si="22"/>
        <v/>
      </c>
      <c r="P121" s="53">
        <v>0</v>
      </c>
      <c r="Q121" s="102" t="str">
        <f t="shared" si="23"/>
        <v/>
      </c>
      <c r="R121" s="103" t="str">
        <f t="shared" si="24"/>
        <v/>
      </c>
      <c r="S121" s="53">
        <v>0</v>
      </c>
      <c r="T121" s="102" t="str">
        <f t="shared" si="25"/>
        <v/>
      </c>
      <c r="U121" s="103" t="str">
        <f t="shared" si="26"/>
        <v/>
      </c>
      <c r="V121" s="53">
        <v>0</v>
      </c>
      <c r="W121" s="87" t="str">
        <f t="shared" si="27"/>
        <v/>
      </c>
      <c r="X121" s="103" t="str">
        <f t="shared" si="28"/>
        <v/>
      </c>
      <c r="Y121" s="53">
        <v>0</v>
      </c>
      <c r="Z121" s="56" t="str">
        <f t="shared" si="29"/>
        <v/>
      </c>
      <c r="AA121" s="56" t="str">
        <f t="shared" si="30"/>
        <v/>
      </c>
      <c r="AB121" s="56" t="str">
        <f t="shared" si="31"/>
        <v/>
      </c>
      <c r="AC121" s="56" t="str">
        <f t="shared" si="32"/>
        <v/>
      </c>
      <c r="AD121" s="56" t="str">
        <f t="shared" si="33"/>
        <v/>
      </c>
      <c r="AE121" s="40"/>
      <c r="AF121" s="40"/>
      <c r="AG121" s="40"/>
      <c r="AH121" s="56" t="str">
        <f t="shared" si="34"/>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35"/>
        <v/>
      </c>
      <c r="L122" s="103" t="str">
        <f t="shared" si="20"/>
        <v/>
      </c>
      <c r="M122" s="52">
        <v>0</v>
      </c>
      <c r="N122" s="102" t="str">
        <f t="shared" si="21"/>
        <v/>
      </c>
      <c r="O122" s="103" t="str">
        <f t="shared" si="22"/>
        <v/>
      </c>
      <c r="P122" s="52">
        <v>0</v>
      </c>
      <c r="Q122" s="102" t="str">
        <f t="shared" si="23"/>
        <v/>
      </c>
      <c r="R122" s="103" t="str">
        <f t="shared" si="24"/>
        <v/>
      </c>
      <c r="S122" s="52">
        <v>0</v>
      </c>
      <c r="T122" s="102" t="str">
        <f t="shared" si="25"/>
        <v/>
      </c>
      <c r="U122" s="103" t="str">
        <f t="shared" si="26"/>
        <v/>
      </c>
      <c r="V122" s="52">
        <v>0</v>
      </c>
      <c r="W122" s="87" t="str">
        <f t="shared" si="27"/>
        <v/>
      </c>
      <c r="X122" s="103" t="str">
        <f t="shared" si="28"/>
        <v/>
      </c>
      <c r="Y122" s="52">
        <v>0</v>
      </c>
      <c r="Z122" s="56" t="str">
        <f t="shared" si="29"/>
        <v/>
      </c>
      <c r="AA122" s="56" t="str">
        <f t="shared" si="30"/>
        <v/>
      </c>
      <c r="AB122" s="56" t="str">
        <f t="shared" si="31"/>
        <v/>
      </c>
      <c r="AC122" s="56" t="str">
        <f t="shared" si="32"/>
        <v/>
      </c>
      <c r="AD122" s="56" t="str">
        <f t="shared" si="33"/>
        <v/>
      </c>
      <c r="AE122" s="40"/>
      <c r="AF122" s="40"/>
      <c r="AG122" s="40"/>
      <c r="AH122" s="56" t="str">
        <f t="shared" si="34"/>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35"/>
        <v/>
      </c>
      <c r="L123" s="103" t="str">
        <f t="shared" si="20"/>
        <v/>
      </c>
      <c r="M123" s="53">
        <v>0</v>
      </c>
      <c r="N123" s="102" t="str">
        <f t="shared" si="21"/>
        <v/>
      </c>
      <c r="O123" s="103" t="str">
        <f t="shared" si="22"/>
        <v/>
      </c>
      <c r="P123" s="53">
        <v>0</v>
      </c>
      <c r="Q123" s="102" t="str">
        <f t="shared" si="23"/>
        <v/>
      </c>
      <c r="R123" s="103" t="str">
        <f t="shared" si="24"/>
        <v/>
      </c>
      <c r="S123" s="53">
        <v>0</v>
      </c>
      <c r="T123" s="102" t="str">
        <f t="shared" si="25"/>
        <v/>
      </c>
      <c r="U123" s="103" t="str">
        <f t="shared" si="26"/>
        <v/>
      </c>
      <c r="V123" s="53">
        <v>0</v>
      </c>
      <c r="W123" s="87" t="str">
        <f t="shared" si="27"/>
        <v/>
      </c>
      <c r="X123" s="103" t="str">
        <f t="shared" si="28"/>
        <v/>
      </c>
      <c r="Y123" s="53">
        <v>0</v>
      </c>
      <c r="Z123" s="56" t="str">
        <f t="shared" si="29"/>
        <v/>
      </c>
      <c r="AA123" s="56" t="str">
        <f t="shared" si="30"/>
        <v/>
      </c>
      <c r="AB123" s="56" t="str">
        <f t="shared" si="31"/>
        <v/>
      </c>
      <c r="AC123" s="56" t="str">
        <f t="shared" si="32"/>
        <v/>
      </c>
      <c r="AD123" s="56" t="str">
        <f t="shared" si="33"/>
        <v/>
      </c>
      <c r="AE123" s="40"/>
      <c r="AF123" s="40"/>
      <c r="AG123" s="40"/>
      <c r="AH123" s="56" t="str">
        <f t="shared" si="34"/>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35"/>
        <v/>
      </c>
      <c r="L124" s="103" t="str">
        <f t="shared" si="20"/>
        <v/>
      </c>
      <c r="M124" s="52">
        <v>0</v>
      </c>
      <c r="N124" s="102" t="str">
        <f t="shared" si="21"/>
        <v/>
      </c>
      <c r="O124" s="103" t="str">
        <f t="shared" si="22"/>
        <v/>
      </c>
      <c r="P124" s="52">
        <v>0</v>
      </c>
      <c r="Q124" s="102" t="str">
        <f t="shared" si="23"/>
        <v/>
      </c>
      <c r="R124" s="103" t="str">
        <f t="shared" si="24"/>
        <v/>
      </c>
      <c r="S124" s="52">
        <v>0</v>
      </c>
      <c r="T124" s="102" t="str">
        <f t="shared" si="25"/>
        <v/>
      </c>
      <c r="U124" s="103" t="str">
        <f t="shared" si="26"/>
        <v/>
      </c>
      <c r="V124" s="52">
        <v>0</v>
      </c>
      <c r="W124" s="87" t="str">
        <f t="shared" si="27"/>
        <v/>
      </c>
      <c r="X124" s="103" t="str">
        <f t="shared" si="28"/>
        <v/>
      </c>
      <c r="Y124" s="52">
        <v>0</v>
      </c>
      <c r="Z124" s="56" t="str">
        <f t="shared" si="29"/>
        <v/>
      </c>
      <c r="AA124" s="56" t="str">
        <f t="shared" si="30"/>
        <v/>
      </c>
      <c r="AB124" s="56" t="str">
        <f t="shared" si="31"/>
        <v/>
      </c>
      <c r="AC124" s="56" t="str">
        <f t="shared" si="32"/>
        <v/>
      </c>
      <c r="AD124" s="56" t="str">
        <f t="shared" si="33"/>
        <v/>
      </c>
      <c r="AE124" s="40"/>
      <c r="AF124" s="40"/>
      <c r="AG124" s="40"/>
      <c r="AH124" s="56" t="str">
        <f t="shared" si="34"/>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35"/>
        <v/>
      </c>
      <c r="L125" s="103" t="str">
        <f t="shared" si="20"/>
        <v/>
      </c>
      <c r="M125" s="53">
        <v>0</v>
      </c>
      <c r="N125" s="102" t="str">
        <f t="shared" si="21"/>
        <v/>
      </c>
      <c r="O125" s="103" t="str">
        <f t="shared" si="22"/>
        <v/>
      </c>
      <c r="P125" s="53">
        <v>0</v>
      </c>
      <c r="Q125" s="102" t="str">
        <f t="shared" si="23"/>
        <v/>
      </c>
      <c r="R125" s="103" t="str">
        <f t="shared" si="24"/>
        <v/>
      </c>
      <c r="S125" s="53">
        <v>0</v>
      </c>
      <c r="T125" s="102" t="str">
        <f t="shared" si="25"/>
        <v/>
      </c>
      <c r="U125" s="103" t="str">
        <f t="shared" si="26"/>
        <v/>
      </c>
      <c r="V125" s="53">
        <v>0</v>
      </c>
      <c r="W125" s="87" t="str">
        <f t="shared" si="27"/>
        <v/>
      </c>
      <c r="X125" s="103" t="str">
        <f t="shared" si="28"/>
        <v/>
      </c>
      <c r="Y125" s="53">
        <v>0</v>
      </c>
      <c r="Z125" s="56" t="str">
        <f t="shared" si="29"/>
        <v/>
      </c>
      <c r="AA125" s="56" t="str">
        <f t="shared" si="30"/>
        <v/>
      </c>
      <c r="AB125" s="56" t="str">
        <f t="shared" si="31"/>
        <v/>
      </c>
      <c r="AC125" s="56" t="str">
        <f t="shared" si="32"/>
        <v/>
      </c>
      <c r="AD125" s="56" t="str">
        <f t="shared" si="33"/>
        <v/>
      </c>
      <c r="AE125" s="40"/>
      <c r="AF125" s="40"/>
      <c r="AG125" s="40"/>
      <c r="AH125" s="56" t="str">
        <f t="shared" si="34"/>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35"/>
        <v/>
      </c>
      <c r="L126" s="103" t="str">
        <f t="shared" si="20"/>
        <v/>
      </c>
      <c r="M126" s="52">
        <v>0</v>
      </c>
      <c r="N126" s="102" t="str">
        <f t="shared" si="21"/>
        <v/>
      </c>
      <c r="O126" s="103" t="str">
        <f t="shared" si="22"/>
        <v/>
      </c>
      <c r="P126" s="52">
        <v>0</v>
      </c>
      <c r="Q126" s="102" t="str">
        <f t="shared" si="23"/>
        <v/>
      </c>
      <c r="R126" s="103" t="str">
        <f t="shared" si="24"/>
        <v/>
      </c>
      <c r="S126" s="52">
        <v>0</v>
      </c>
      <c r="T126" s="102" t="str">
        <f t="shared" si="25"/>
        <v/>
      </c>
      <c r="U126" s="103" t="str">
        <f t="shared" si="26"/>
        <v/>
      </c>
      <c r="V126" s="52">
        <v>0</v>
      </c>
      <c r="W126" s="87" t="str">
        <f t="shared" si="27"/>
        <v/>
      </c>
      <c r="X126" s="103" t="str">
        <f t="shared" si="28"/>
        <v/>
      </c>
      <c r="Y126" s="52">
        <v>0</v>
      </c>
      <c r="Z126" s="56" t="str">
        <f t="shared" si="29"/>
        <v/>
      </c>
      <c r="AA126" s="56" t="str">
        <f t="shared" si="30"/>
        <v/>
      </c>
      <c r="AB126" s="56" t="str">
        <f t="shared" si="31"/>
        <v/>
      </c>
      <c r="AC126" s="56" t="str">
        <f t="shared" si="32"/>
        <v/>
      </c>
      <c r="AD126" s="56" t="str">
        <f t="shared" si="33"/>
        <v/>
      </c>
      <c r="AE126" s="40"/>
      <c r="AF126" s="40"/>
      <c r="AG126" s="40"/>
      <c r="AH126" s="56" t="str">
        <f t="shared" si="34"/>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35"/>
        <v/>
      </c>
      <c r="L127" s="103" t="str">
        <f t="shared" si="20"/>
        <v/>
      </c>
      <c r="M127" s="53">
        <v>0</v>
      </c>
      <c r="N127" s="102" t="str">
        <f t="shared" si="21"/>
        <v/>
      </c>
      <c r="O127" s="103" t="str">
        <f t="shared" si="22"/>
        <v/>
      </c>
      <c r="P127" s="53">
        <v>0</v>
      </c>
      <c r="Q127" s="102" t="str">
        <f t="shared" si="23"/>
        <v/>
      </c>
      <c r="R127" s="103" t="str">
        <f t="shared" si="24"/>
        <v/>
      </c>
      <c r="S127" s="53">
        <v>0</v>
      </c>
      <c r="T127" s="102" t="str">
        <f t="shared" si="25"/>
        <v/>
      </c>
      <c r="U127" s="103" t="str">
        <f t="shared" si="26"/>
        <v/>
      </c>
      <c r="V127" s="53">
        <v>0</v>
      </c>
      <c r="W127" s="87" t="str">
        <f t="shared" si="27"/>
        <v/>
      </c>
      <c r="X127" s="103" t="str">
        <f t="shared" si="28"/>
        <v/>
      </c>
      <c r="Y127" s="53">
        <v>0</v>
      </c>
      <c r="Z127" s="56" t="str">
        <f t="shared" si="29"/>
        <v/>
      </c>
      <c r="AA127" s="56" t="str">
        <f t="shared" si="30"/>
        <v/>
      </c>
      <c r="AB127" s="56" t="str">
        <f t="shared" si="31"/>
        <v/>
      </c>
      <c r="AC127" s="56" t="str">
        <f t="shared" si="32"/>
        <v/>
      </c>
      <c r="AD127" s="56" t="str">
        <f t="shared" si="33"/>
        <v/>
      </c>
      <c r="AE127" s="40"/>
      <c r="AF127" s="40"/>
      <c r="AG127" s="40"/>
      <c r="AH127" s="56" t="str">
        <f t="shared" si="34"/>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35"/>
        <v/>
      </c>
      <c r="L128" s="103" t="str">
        <f t="shared" si="20"/>
        <v/>
      </c>
      <c r="M128" s="52">
        <v>0</v>
      </c>
      <c r="N128" s="102" t="str">
        <f t="shared" si="21"/>
        <v/>
      </c>
      <c r="O128" s="103" t="str">
        <f t="shared" si="22"/>
        <v/>
      </c>
      <c r="P128" s="52">
        <v>0</v>
      </c>
      <c r="Q128" s="102" t="str">
        <f t="shared" si="23"/>
        <v/>
      </c>
      <c r="R128" s="103" t="str">
        <f t="shared" si="24"/>
        <v/>
      </c>
      <c r="S128" s="52">
        <v>0</v>
      </c>
      <c r="T128" s="102" t="str">
        <f t="shared" si="25"/>
        <v/>
      </c>
      <c r="U128" s="103" t="str">
        <f t="shared" si="26"/>
        <v/>
      </c>
      <c r="V128" s="52">
        <v>0</v>
      </c>
      <c r="W128" s="87" t="str">
        <f t="shared" si="27"/>
        <v/>
      </c>
      <c r="X128" s="103" t="str">
        <f t="shared" si="28"/>
        <v/>
      </c>
      <c r="Y128" s="52">
        <v>0</v>
      </c>
      <c r="Z128" s="56" t="str">
        <f t="shared" si="29"/>
        <v/>
      </c>
      <c r="AA128" s="56" t="str">
        <f t="shared" si="30"/>
        <v/>
      </c>
      <c r="AB128" s="56" t="str">
        <f t="shared" si="31"/>
        <v/>
      </c>
      <c r="AC128" s="56" t="str">
        <f t="shared" si="32"/>
        <v/>
      </c>
      <c r="AD128" s="56" t="str">
        <f t="shared" si="33"/>
        <v/>
      </c>
      <c r="AE128" s="40"/>
      <c r="AF128" s="40"/>
      <c r="AG128" s="40"/>
      <c r="AH128" s="56" t="str">
        <f t="shared" si="34"/>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35"/>
        <v/>
      </c>
      <c r="L129" s="103" t="str">
        <f t="shared" si="20"/>
        <v/>
      </c>
      <c r="M129" s="53">
        <v>0</v>
      </c>
      <c r="N129" s="102" t="str">
        <f t="shared" si="21"/>
        <v/>
      </c>
      <c r="O129" s="103" t="str">
        <f t="shared" si="22"/>
        <v/>
      </c>
      <c r="P129" s="53">
        <v>0</v>
      </c>
      <c r="Q129" s="102" t="str">
        <f t="shared" si="23"/>
        <v/>
      </c>
      <c r="R129" s="103" t="str">
        <f t="shared" si="24"/>
        <v/>
      </c>
      <c r="S129" s="53">
        <v>0</v>
      </c>
      <c r="T129" s="102" t="str">
        <f t="shared" si="25"/>
        <v/>
      </c>
      <c r="U129" s="103" t="str">
        <f t="shared" si="26"/>
        <v/>
      </c>
      <c r="V129" s="53">
        <v>0</v>
      </c>
      <c r="W129" s="87" t="str">
        <f t="shared" si="27"/>
        <v/>
      </c>
      <c r="X129" s="103" t="str">
        <f t="shared" si="28"/>
        <v/>
      </c>
      <c r="Y129" s="53">
        <v>0</v>
      </c>
      <c r="Z129" s="56" t="str">
        <f t="shared" si="29"/>
        <v/>
      </c>
      <c r="AA129" s="56" t="str">
        <f t="shared" si="30"/>
        <v/>
      </c>
      <c r="AB129" s="56" t="str">
        <f t="shared" si="31"/>
        <v/>
      </c>
      <c r="AC129" s="56" t="str">
        <f t="shared" si="32"/>
        <v/>
      </c>
      <c r="AD129" s="56" t="str">
        <f t="shared" si="33"/>
        <v/>
      </c>
      <c r="AE129" s="40"/>
      <c r="AF129" s="40"/>
      <c r="AG129" s="40"/>
      <c r="AH129" s="56" t="str">
        <f t="shared" si="34"/>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35"/>
        <v/>
      </c>
      <c r="L130" s="103" t="str">
        <f t="shared" si="20"/>
        <v/>
      </c>
      <c r="M130" s="52">
        <v>0</v>
      </c>
      <c r="N130" s="102" t="str">
        <f t="shared" si="21"/>
        <v/>
      </c>
      <c r="O130" s="103" t="str">
        <f t="shared" si="22"/>
        <v/>
      </c>
      <c r="P130" s="52">
        <v>0</v>
      </c>
      <c r="Q130" s="102" t="str">
        <f t="shared" si="23"/>
        <v/>
      </c>
      <c r="R130" s="103" t="str">
        <f t="shared" si="24"/>
        <v/>
      </c>
      <c r="S130" s="52">
        <v>0</v>
      </c>
      <c r="T130" s="102" t="str">
        <f t="shared" si="25"/>
        <v/>
      </c>
      <c r="U130" s="103" t="str">
        <f t="shared" si="26"/>
        <v/>
      </c>
      <c r="V130" s="52">
        <v>0</v>
      </c>
      <c r="W130" s="87" t="str">
        <f t="shared" si="27"/>
        <v/>
      </c>
      <c r="X130" s="103" t="str">
        <f t="shared" si="28"/>
        <v/>
      </c>
      <c r="Y130" s="52">
        <v>0</v>
      </c>
      <c r="Z130" s="56" t="str">
        <f t="shared" si="29"/>
        <v/>
      </c>
      <c r="AA130" s="56" t="str">
        <f t="shared" si="30"/>
        <v/>
      </c>
      <c r="AB130" s="56" t="str">
        <f t="shared" si="31"/>
        <v/>
      </c>
      <c r="AC130" s="56" t="str">
        <f t="shared" si="32"/>
        <v/>
      </c>
      <c r="AD130" s="56" t="str">
        <f t="shared" si="33"/>
        <v/>
      </c>
      <c r="AE130" s="40"/>
      <c r="AF130" s="40"/>
      <c r="AG130" s="40"/>
      <c r="AH130" s="56" t="str">
        <f t="shared" si="34"/>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35"/>
        <v/>
      </c>
      <c r="L131" s="103" t="str">
        <f t="shared" si="20"/>
        <v/>
      </c>
      <c r="M131" s="53">
        <v>0</v>
      </c>
      <c r="N131" s="102" t="str">
        <f t="shared" si="21"/>
        <v/>
      </c>
      <c r="O131" s="103" t="str">
        <f t="shared" si="22"/>
        <v/>
      </c>
      <c r="P131" s="53">
        <v>0</v>
      </c>
      <c r="Q131" s="102" t="str">
        <f t="shared" si="23"/>
        <v/>
      </c>
      <c r="R131" s="103" t="str">
        <f t="shared" si="24"/>
        <v/>
      </c>
      <c r="S131" s="53">
        <v>0</v>
      </c>
      <c r="T131" s="102" t="str">
        <f t="shared" si="25"/>
        <v/>
      </c>
      <c r="U131" s="103" t="str">
        <f t="shared" si="26"/>
        <v/>
      </c>
      <c r="V131" s="53">
        <v>0</v>
      </c>
      <c r="W131" s="87" t="str">
        <f t="shared" si="27"/>
        <v/>
      </c>
      <c r="X131" s="103" t="str">
        <f t="shared" si="28"/>
        <v/>
      </c>
      <c r="Y131" s="53">
        <v>0</v>
      </c>
      <c r="Z131" s="56" t="str">
        <f t="shared" si="29"/>
        <v/>
      </c>
      <c r="AA131" s="56" t="str">
        <f t="shared" si="30"/>
        <v/>
      </c>
      <c r="AB131" s="56" t="str">
        <f t="shared" si="31"/>
        <v/>
      </c>
      <c r="AC131" s="56" t="str">
        <f t="shared" si="32"/>
        <v/>
      </c>
      <c r="AD131" s="56" t="str">
        <f t="shared" si="33"/>
        <v/>
      </c>
      <c r="AE131" s="40"/>
      <c r="AF131" s="40"/>
      <c r="AG131" s="40"/>
      <c r="AH131" s="56" t="str">
        <f t="shared" si="34"/>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35"/>
        <v/>
      </c>
      <c r="L132" s="103" t="str">
        <f t="shared" si="20"/>
        <v/>
      </c>
      <c r="M132" s="52">
        <v>0</v>
      </c>
      <c r="N132" s="102" t="str">
        <f t="shared" si="21"/>
        <v/>
      </c>
      <c r="O132" s="103" t="str">
        <f t="shared" si="22"/>
        <v/>
      </c>
      <c r="P132" s="52">
        <v>0</v>
      </c>
      <c r="Q132" s="102" t="str">
        <f t="shared" si="23"/>
        <v/>
      </c>
      <c r="R132" s="103" t="str">
        <f t="shared" si="24"/>
        <v/>
      </c>
      <c r="S132" s="52">
        <v>0</v>
      </c>
      <c r="T132" s="102" t="str">
        <f t="shared" si="25"/>
        <v/>
      </c>
      <c r="U132" s="103" t="str">
        <f t="shared" si="26"/>
        <v/>
      </c>
      <c r="V132" s="52">
        <v>0</v>
      </c>
      <c r="W132" s="87" t="str">
        <f t="shared" si="27"/>
        <v/>
      </c>
      <c r="X132" s="103" t="str">
        <f t="shared" si="28"/>
        <v/>
      </c>
      <c r="Y132" s="52">
        <v>0</v>
      </c>
      <c r="Z132" s="56" t="str">
        <f t="shared" si="29"/>
        <v/>
      </c>
      <c r="AA132" s="56" t="str">
        <f t="shared" si="30"/>
        <v/>
      </c>
      <c r="AB132" s="56" t="str">
        <f t="shared" si="31"/>
        <v/>
      </c>
      <c r="AC132" s="56" t="str">
        <f t="shared" si="32"/>
        <v/>
      </c>
      <c r="AD132" s="56" t="str">
        <f t="shared" si="33"/>
        <v/>
      </c>
      <c r="AE132" s="40"/>
      <c r="AF132" s="40"/>
      <c r="AG132" s="40"/>
      <c r="AH132" s="56" t="str">
        <f t="shared" si="34"/>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35"/>
        <v/>
      </c>
      <c r="L133" s="103" t="str">
        <f t="shared" si="20"/>
        <v/>
      </c>
      <c r="M133" s="53">
        <v>0</v>
      </c>
      <c r="N133" s="102" t="str">
        <f t="shared" si="21"/>
        <v/>
      </c>
      <c r="O133" s="103" t="str">
        <f t="shared" si="22"/>
        <v/>
      </c>
      <c r="P133" s="53">
        <v>0</v>
      </c>
      <c r="Q133" s="102" t="str">
        <f t="shared" si="23"/>
        <v/>
      </c>
      <c r="R133" s="103" t="str">
        <f t="shared" si="24"/>
        <v/>
      </c>
      <c r="S133" s="53">
        <v>0</v>
      </c>
      <c r="T133" s="102" t="str">
        <f t="shared" si="25"/>
        <v/>
      </c>
      <c r="U133" s="103" t="str">
        <f t="shared" si="26"/>
        <v/>
      </c>
      <c r="V133" s="53">
        <v>0</v>
      </c>
      <c r="W133" s="87" t="str">
        <f t="shared" si="27"/>
        <v/>
      </c>
      <c r="X133" s="103" t="str">
        <f t="shared" si="28"/>
        <v/>
      </c>
      <c r="Y133" s="53">
        <v>0</v>
      </c>
      <c r="Z133" s="56" t="str">
        <f t="shared" si="29"/>
        <v/>
      </c>
      <c r="AA133" s="56" t="str">
        <f t="shared" si="30"/>
        <v/>
      </c>
      <c r="AB133" s="56" t="str">
        <f t="shared" si="31"/>
        <v/>
      </c>
      <c r="AC133" s="56" t="str">
        <f t="shared" si="32"/>
        <v/>
      </c>
      <c r="AD133" s="56" t="str">
        <f t="shared" si="33"/>
        <v/>
      </c>
      <c r="AE133" s="40"/>
      <c r="AF133" s="40"/>
      <c r="AG133" s="40"/>
      <c r="AH133" s="56" t="str">
        <f t="shared" si="34"/>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35"/>
        <v/>
      </c>
      <c r="L134" s="103" t="str">
        <f t="shared" si="20"/>
        <v/>
      </c>
      <c r="M134" s="52">
        <v>0</v>
      </c>
      <c r="N134" s="102" t="str">
        <f t="shared" si="21"/>
        <v/>
      </c>
      <c r="O134" s="103" t="str">
        <f t="shared" si="22"/>
        <v/>
      </c>
      <c r="P134" s="52">
        <v>0</v>
      </c>
      <c r="Q134" s="102" t="str">
        <f t="shared" si="23"/>
        <v/>
      </c>
      <c r="R134" s="103" t="str">
        <f t="shared" si="24"/>
        <v/>
      </c>
      <c r="S134" s="52">
        <v>0</v>
      </c>
      <c r="T134" s="102" t="str">
        <f t="shared" si="25"/>
        <v/>
      </c>
      <c r="U134" s="103" t="str">
        <f t="shared" si="26"/>
        <v/>
      </c>
      <c r="V134" s="52">
        <v>0</v>
      </c>
      <c r="W134" s="87" t="str">
        <f t="shared" si="27"/>
        <v/>
      </c>
      <c r="X134" s="103" t="str">
        <f t="shared" si="28"/>
        <v/>
      </c>
      <c r="Y134" s="52">
        <v>0</v>
      </c>
      <c r="Z134" s="56" t="str">
        <f t="shared" si="29"/>
        <v/>
      </c>
      <c r="AA134" s="56" t="str">
        <f t="shared" si="30"/>
        <v/>
      </c>
      <c r="AB134" s="56" t="str">
        <f t="shared" si="31"/>
        <v/>
      </c>
      <c r="AC134" s="56" t="str">
        <f t="shared" si="32"/>
        <v/>
      </c>
      <c r="AD134" s="56" t="str">
        <f t="shared" si="33"/>
        <v/>
      </c>
      <c r="AE134" s="40"/>
      <c r="AF134" s="40"/>
      <c r="AG134" s="40"/>
      <c r="AH134" s="56" t="str">
        <f t="shared" si="34"/>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35"/>
        <v/>
      </c>
      <c r="L135" s="103" t="str">
        <f t="shared" si="20"/>
        <v/>
      </c>
      <c r="M135" s="53">
        <v>0</v>
      </c>
      <c r="N135" s="102" t="str">
        <f t="shared" si="21"/>
        <v/>
      </c>
      <c r="O135" s="103" t="str">
        <f t="shared" si="22"/>
        <v/>
      </c>
      <c r="P135" s="53">
        <v>0</v>
      </c>
      <c r="Q135" s="102" t="str">
        <f t="shared" si="23"/>
        <v/>
      </c>
      <c r="R135" s="103" t="str">
        <f t="shared" si="24"/>
        <v/>
      </c>
      <c r="S135" s="53">
        <v>0</v>
      </c>
      <c r="T135" s="102" t="str">
        <f t="shared" si="25"/>
        <v/>
      </c>
      <c r="U135" s="103" t="str">
        <f t="shared" si="26"/>
        <v/>
      </c>
      <c r="V135" s="53">
        <v>0</v>
      </c>
      <c r="W135" s="87" t="str">
        <f t="shared" si="27"/>
        <v/>
      </c>
      <c r="X135" s="103" t="str">
        <f t="shared" si="28"/>
        <v/>
      </c>
      <c r="Y135" s="53">
        <v>0</v>
      </c>
      <c r="Z135" s="56" t="str">
        <f t="shared" si="29"/>
        <v/>
      </c>
      <c r="AA135" s="56" t="str">
        <f t="shared" si="30"/>
        <v/>
      </c>
      <c r="AB135" s="56" t="str">
        <f t="shared" si="31"/>
        <v/>
      </c>
      <c r="AC135" s="56" t="str">
        <f t="shared" si="32"/>
        <v/>
      </c>
      <c r="AD135" s="56" t="str">
        <f t="shared" si="33"/>
        <v/>
      </c>
      <c r="AE135" s="40"/>
      <c r="AF135" s="40"/>
      <c r="AG135" s="40"/>
      <c r="AH135" s="56" t="str">
        <f t="shared" si="34"/>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35"/>
        <v/>
      </c>
      <c r="L136" s="103" t="str">
        <f t="shared" si="20"/>
        <v/>
      </c>
      <c r="M136" s="52">
        <v>0</v>
      </c>
      <c r="N136" s="102" t="str">
        <f t="shared" si="21"/>
        <v/>
      </c>
      <c r="O136" s="103" t="str">
        <f t="shared" si="22"/>
        <v/>
      </c>
      <c r="P136" s="52">
        <v>0</v>
      </c>
      <c r="Q136" s="102" t="str">
        <f t="shared" si="23"/>
        <v/>
      </c>
      <c r="R136" s="103" t="str">
        <f t="shared" si="24"/>
        <v/>
      </c>
      <c r="S136" s="52">
        <v>0</v>
      </c>
      <c r="T136" s="102" t="str">
        <f t="shared" si="25"/>
        <v/>
      </c>
      <c r="U136" s="103" t="str">
        <f t="shared" si="26"/>
        <v/>
      </c>
      <c r="V136" s="52">
        <v>0</v>
      </c>
      <c r="W136" s="87" t="str">
        <f t="shared" si="27"/>
        <v/>
      </c>
      <c r="X136" s="103" t="str">
        <f t="shared" si="28"/>
        <v/>
      </c>
      <c r="Y136" s="52">
        <v>0</v>
      </c>
      <c r="Z136" s="56" t="str">
        <f t="shared" si="29"/>
        <v/>
      </c>
      <c r="AA136" s="56" t="str">
        <f t="shared" si="30"/>
        <v/>
      </c>
      <c r="AB136" s="56" t="str">
        <f t="shared" si="31"/>
        <v/>
      </c>
      <c r="AC136" s="56" t="str">
        <f t="shared" si="32"/>
        <v/>
      </c>
      <c r="AD136" s="56" t="str">
        <f t="shared" si="33"/>
        <v/>
      </c>
      <c r="AE136" s="40"/>
      <c r="AF136" s="40"/>
      <c r="AG136" s="40"/>
      <c r="AH136" s="56" t="str">
        <f t="shared" si="34"/>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ref="K137:K168" si="36">IF(H137="Topic",
"[ROLE] Friendly tutor specializing in " &amp; $I$2 &amp; " | " &amp;
"[TOPIC] " &amp; I137 &amp; " | " &amp;
"[LEVEL] " &amp; G137 &amp; " | " &amp;
"[COUNT] " &amp; D137 &amp; " examples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$A$6 &amp; "). This includes translating ALL structural labels requested in this prompt (like 'Dataset Summary', 'File Type', 'Columns / Fields', 'Data Types', 'Notes', 'Analogy', 'Exercise', 'Objective', 'Expected Output') into " &amp; $A$6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$A$6 &amp; ": " &amp; $AE$7) &amp; " | " &amp;
"[LANGUAGE] " &amp; $A$6 &amp; " | " &amp;
"[EXECUTIVE CONSTRAINTS] Each example MUST include: - Internal data OR dataset usage - Print key intermediate steps and the final result - MUST NOT exceed exactly " &amp; $C137 &amp; " lines of EXECUTABLE code (STRICT: Do NOT count comments or blank lines). - NEVER exceed this limit. | " &amp;
"[FUNCTION RULE] Rule: " &amp; IF(G137="Beginner","Focus: basic async/await, simple Future-returning methods on classes, synchronous Stream handling within class methods.", IF(G137="Intermediate", "Integrate StreamControllers (event-driven) inside classes, async* generators as methods, explicit state transitions via sealed class hierarchies.", "stateful class instances with strict typing, sealed state classes, or Stream-based message passing between objects")) &amp; " | " &amp;
_xlfn._LONGTEXT("[CODE_CONSTRAINTS_RULE] Each example MUST: - Use stateful class instances with strict typing, sealed state classes, or Stream-based message passing between objects - Print steps &amp; result via print() or developer.log() inside isolated scopes, error handler","s, or class methods - MAX ") &amp; $C137 &amp; " executable lines (comments/blanks excluded) - NEVER exceed limit. | " &amp;
_xlfn._LONGTEXT("[I_O_PARADIGM] Use standard event passing via StreamController.add, SendPort.send, or typed method calls on class interfaces and gracefully handle sealed classes representing states, Records like (response, newState), or typed Futures/Streams returned fro","m class methods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F137 &amp; " | Stage 1 📖 Practice | " &amp; IF($I$3="", $I$2, $I$2&amp; " - " &amp;$I$3) &amp; " | 📊 Level: " &amp; G137 &amp; " | 🌐 Coding5s.com" &amp; CHAR(10) &amp; "**Concept:** " &amp; J137 &amp; CHAR(10) &amp; "---" &amp; CHAR(10) &amp; " | " &amp;
"[INTRO RULE] Include a short tutor-style sentence in " &amp; $A$6 &amp; " before the analogy, followed by this EXACT instruction block translated to " &amp; $A$6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D137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IF(AJ137&lt;&gt;"", AJ137,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$A$6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IF(H137="PROJECT", Z137, ""))</f>
        <v/>
      </c>
      <c r="L137" s="103" t="str">
        <f t="shared" si="20"/>
        <v/>
      </c>
      <c r="M137" s="53">
        <v>0</v>
      </c>
      <c r="N137" s="102" t="str">
        <f t="shared" si="21"/>
        <v/>
      </c>
      <c r="O137" s="103" t="str">
        <f t="shared" si="22"/>
        <v/>
      </c>
      <c r="P137" s="53">
        <v>0</v>
      </c>
      <c r="Q137" s="102" t="str">
        <f t="shared" si="23"/>
        <v/>
      </c>
      <c r="R137" s="103" t="str">
        <f t="shared" si="24"/>
        <v/>
      </c>
      <c r="S137" s="53">
        <v>0</v>
      </c>
      <c r="T137" s="102" t="str">
        <f t="shared" si="25"/>
        <v/>
      </c>
      <c r="U137" s="103" t="str">
        <f t="shared" si="26"/>
        <v/>
      </c>
      <c r="V137" s="53">
        <v>0</v>
      </c>
      <c r="W137" s="87" t="str">
        <f t="shared" si="27"/>
        <v/>
      </c>
      <c r="X137" s="103" t="str">
        <f t="shared" si="28"/>
        <v/>
      </c>
      <c r="Y137" s="53">
        <v>0</v>
      </c>
      <c r="Z137" s="56" t="str">
        <f t="shared" si="29"/>
        <v/>
      </c>
      <c r="AA137" s="56" t="str">
        <f t="shared" si="30"/>
        <v/>
      </c>
      <c r="AB137" s="56" t="str">
        <f t="shared" si="31"/>
        <v/>
      </c>
      <c r="AC137" s="56" t="str">
        <f t="shared" si="32"/>
        <v/>
      </c>
      <c r="AD137" s="56" t="str">
        <f t="shared" si="33"/>
        <v/>
      </c>
      <c r="AE137" s="40"/>
      <c r="AF137" s="40"/>
      <c r="AG137" s="40"/>
      <c r="AH137" s="56" t="str">
        <f t="shared" si="34"/>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si="36"/>
        <v/>
      </c>
      <c r="L138" s="103" t="str">
        <f t="shared" ref="L138:L200" si="38">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B138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async/await, Future usage, and simple class methods. Do NOT expect complex StreamControllers, Isolates, or advanced OOP patterns unless explicitly demanded.", IF(G138="Intermediate", "Expect structured Stream handling, isolate usage, and proper state encapsulation using classes with private fields. Look for non-blocking async operations and basic inheritance or composition.", "Expect complete apps with bi-directional Isolate communication, clean separation of public interfaces vs internal state, exhaustive pattern matching with sealed classes, and advanced OOP patterns (composition over inheritance).")) &amp; " | " &amp;
_xlfn._LONGTEXT("[CODE_QUALITY_POLICIES]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39">IF(H138="Topic",
"[ROLE] Careless " &amp; $I$2 &amp; " Developer | " &amp;
"[TASK] Generate debugging challenges in " &amp; $I$2 &amp; " | | " &amp;
"[TOPIC] " &amp; I138 &amp; " | | " &amp;
"[LEVEL] " &amp; G138 &amp; " | | " &amp;
"[COUNT] " &amp; D138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
"[EXUNIT RULE] Always use the Dart test package. You MUST use expect() with Future/Stream matchers for async testing. Avoid testing complex async logic with simple synchronous assertions. | " &amp;
"[HEX DEPENDENCIES RULE] Assume a standard Dart CLI context. External pub.dev dependencies MUST be specified strictly within the dependencies block of pubspec.yaml. | " &amp;
"[CODE CONSTRAINTS] Each challenge MUST include: - At least 1 Stream, Isolate, or class managing continuous state - Explicit typed state initialization - At least 1 asynchronous event listener or Future handler - " &amp; IF(G138="Beginner", "5–15", IF(G138="Intermediate", "10–25", "15–35")) &amp; " lines of EXECUTABLE broken Dart code per example (STRICT: Do NOT count blank lines). Enforce static typing, Sound Null Safety, and avoid 'dynamic'. | All challenges MUST have similar async abstraction depth, OOP complexity, and architectural layering.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0">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B138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1">IF(H138="Topic",
"[ROLE] Tech Lead | " &amp;
"[TASK] Assign incomplete " &amp; $I$2 &amp; " script challenges | " &amp;
"[TOPIC] " &amp; I138 &amp; " | " &amp;
"[LEVEL] " &amp; G138 &amp; " | " &amp;
"[COUNT] " &amp; D138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pub.dev packages MUST be added to the dependencies block in a standard pubspec.yaml file. Do not use standalone scripts. | " &amp;
"[TESTING_FRAMEWORK_PROTOCOL] Tests MUST isolate async states. NEVER hack event loops manually; use expect() with stream/future matchers to verify async flows. | " &amp;
"[CHALLENGE_CONSTRAINTS_POLICY] Each challenge MUST include: - A functional StreamController, Isolate, or Class managing continuous state with strict typing and encapsulated private fields. - " &amp; IF(G138="Beginner","5–15", IF(G138="Intermediate","10–25","15–35")) &amp; " lines of EXECUTABLE base Dart code (STRICT: Do NOT count comments or TODOs). Length MUST vary. Enforce static typing, Sound Null Safety, and idiomatic OOP.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2">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B138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3">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4">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B138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adhere strictly to Effective Dart style guidelines. Use camelCase for variables/functions/members, PascalCase for classes, snake_case for files. Avoid global state; emphasize strict typing, encapsulation, and sound"," async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5">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6">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B138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7">IF(H138&lt;&gt;"PROJECT","",
"[TASK] Teach through a practical " &amp; $I$2 &amp; " - " &amp; $I$3 &amp; " project following the micro-learning methodology, acting as a supportive tutor, creating a project about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pubspec.yaml dependencies block (dependencies: package_name: ^version) at the top. | " &amp;
"[SCOPE_ARCHITECTURE_RULE] Rule: Build apps: bi-directional Isolate communication between class instances, complex Stream transformations, exhaustive switch on sealed class events. | " &amp;
_xlfn._LONGTEXT("[VISUAL_ARCHITECTURE_COMMENTS]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8">IF(H138&lt;&gt;"PROJECT","",
"[ROLE] Careless " &amp; $I$2 &amp; " Developer | " &amp;
"[TASK] Generate debugging project in " &amp; $I$2 &amp; " | " &amp;
"[PROJECT] " &amp; I138 &amp; " | " &amp;
"[TOPICS USED] " &amp; B138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49">IF(H138&lt;&gt;"PROJECT","",
"[ROLE] Tech Lead | " &amp;
"[TASK] Assign incomplete project script | " &amp;
"[PROJECT]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dart pub tooling and pubspec.yaml for dependencies. | " &amp;
"[CHALLENGE_CONSTRAINTS_POLICY] MUST be between " &amp; IF(G138="Beginner","25–40", IF(G138="Intermediate","30–60","40–100")) &amp; " lines of EXECUTABLE base Dart code (STRICT: Do NOT count comments or TODOs). Must feature Stream-based event pipelines, asynchronous isolate flows, or class-based state machines.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0">IF(H138&lt;&gt;"PROJECT","",
"[ROLE] Tech Lead | " &amp;
"[TASK] Provide a messy but functional project for refactoring | " &amp;
"[PROJECT] " &amp; I138 &amp; " | " &amp;
"[TOPICS USED] " &amp; B138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1">IF(H138&lt;&gt;"PROJECT","",
"[ROLE] Tech Product Manager assigning a " &amp; $I$2 &amp; " Jira Ticket | " &amp;
"[TASK] Provide a guided project implementation with full solution | " &amp;
"[PROJECT] " &amp; I138 &amp; " | " &amp;
"[TOPICS USED] " &amp; B138 &amp; " | " &amp;
"[LEVEL] " &amp; G138 &amp; " | " &amp;
"[PERSONA RULE] Act as a professional Tech Product Manager defining a project ticket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4"/>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6"/>
        <v/>
      </c>
      <c r="L139" s="103" t="str">
        <f t="shared" si="38"/>
        <v/>
      </c>
      <c r="M139" s="53">
        <v>0</v>
      </c>
      <c r="N139" s="102" t="str">
        <f t="shared" si="39"/>
        <v/>
      </c>
      <c r="O139" s="103" t="str">
        <f t="shared" si="40"/>
        <v/>
      </c>
      <c r="P139" s="53">
        <v>0</v>
      </c>
      <c r="Q139" s="102" t="str">
        <f t="shared" si="41"/>
        <v/>
      </c>
      <c r="R139" s="103" t="str">
        <f t="shared" si="42"/>
        <v/>
      </c>
      <c r="S139" s="53">
        <v>0</v>
      </c>
      <c r="T139" s="102" t="str">
        <f t="shared" si="43"/>
        <v/>
      </c>
      <c r="U139" s="103" t="str">
        <f t="shared" si="44"/>
        <v/>
      </c>
      <c r="V139" s="53">
        <v>0</v>
      </c>
      <c r="W139" s="87" t="str">
        <f t="shared" si="45"/>
        <v/>
      </c>
      <c r="X139" s="103" t="str">
        <f t="shared" si="46"/>
        <v/>
      </c>
      <c r="Y139" s="53">
        <v>0</v>
      </c>
      <c r="Z139" s="56" t="str">
        <f t="shared" si="47"/>
        <v/>
      </c>
      <c r="AA139" s="56" t="str">
        <f t="shared" si="48"/>
        <v/>
      </c>
      <c r="AB139" s="56" t="str">
        <f t="shared" si="49"/>
        <v/>
      </c>
      <c r="AC139" s="56" t="str">
        <f t="shared" si="50"/>
        <v/>
      </c>
      <c r="AD139" s="56" t="str">
        <f t="shared" si="51"/>
        <v/>
      </c>
      <c r="AE139" s="40"/>
      <c r="AF139" s="40"/>
      <c r="AG139" s="40"/>
      <c r="AH139" s="56" t="str">
        <f t="shared" si="34"/>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6"/>
        <v/>
      </c>
      <c r="L140" s="103" t="str">
        <f t="shared" si="38"/>
        <v/>
      </c>
      <c r="M140" s="52">
        <v>0</v>
      </c>
      <c r="N140" s="102" t="str">
        <f t="shared" si="39"/>
        <v/>
      </c>
      <c r="O140" s="103" t="str">
        <f t="shared" si="40"/>
        <v/>
      </c>
      <c r="P140" s="52">
        <v>0</v>
      </c>
      <c r="Q140" s="102" t="str">
        <f t="shared" si="41"/>
        <v/>
      </c>
      <c r="R140" s="103" t="str">
        <f t="shared" si="42"/>
        <v/>
      </c>
      <c r="S140" s="52">
        <v>0</v>
      </c>
      <c r="T140" s="102" t="str">
        <f t="shared" si="43"/>
        <v/>
      </c>
      <c r="U140" s="103" t="str">
        <f t="shared" si="44"/>
        <v/>
      </c>
      <c r="V140" s="52">
        <v>0</v>
      </c>
      <c r="W140" s="87" t="str">
        <f t="shared" si="45"/>
        <v/>
      </c>
      <c r="X140" s="103" t="str">
        <f t="shared" si="46"/>
        <v/>
      </c>
      <c r="Y140" s="52">
        <v>0</v>
      </c>
      <c r="Z140" s="56" t="str">
        <f t="shared" si="47"/>
        <v/>
      </c>
      <c r="AA140" s="56" t="str">
        <f t="shared" si="48"/>
        <v/>
      </c>
      <c r="AB140" s="56" t="str">
        <f t="shared" si="49"/>
        <v/>
      </c>
      <c r="AC140" s="56" t="str">
        <f t="shared" si="50"/>
        <v/>
      </c>
      <c r="AD140" s="56" t="str">
        <f t="shared" si="51"/>
        <v/>
      </c>
      <c r="AE140" s="40"/>
      <c r="AF140" s="40"/>
      <c r="AG140" s="40"/>
      <c r="AH140" s="56" t="str">
        <f t="shared" si="34"/>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6"/>
        <v/>
      </c>
      <c r="L141" s="103" t="str">
        <f t="shared" si="38"/>
        <v/>
      </c>
      <c r="M141" s="53">
        <v>0</v>
      </c>
      <c r="N141" s="102" t="str">
        <f t="shared" si="39"/>
        <v/>
      </c>
      <c r="O141" s="103" t="str">
        <f t="shared" si="40"/>
        <v/>
      </c>
      <c r="P141" s="53">
        <v>0</v>
      </c>
      <c r="Q141" s="102" t="str">
        <f t="shared" si="41"/>
        <v/>
      </c>
      <c r="R141" s="103" t="str">
        <f t="shared" si="42"/>
        <v/>
      </c>
      <c r="S141" s="53">
        <v>0</v>
      </c>
      <c r="T141" s="102" t="str">
        <f t="shared" si="43"/>
        <v/>
      </c>
      <c r="U141" s="103" t="str">
        <f t="shared" si="44"/>
        <v/>
      </c>
      <c r="V141" s="53">
        <v>0</v>
      </c>
      <c r="W141" s="87" t="str">
        <f t="shared" si="45"/>
        <v/>
      </c>
      <c r="X141" s="103" t="str">
        <f t="shared" si="46"/>
        <v/>
      </c>
      <c r="Y141" s="53">
        <v>0</v>
      </c>
      <c r="Z141" s="56" t="str">
        <f t="shared" si="47"/>
        <v/>
      </c>
      <c r="AA141" s="56" t="str">
        <f t="shared" si="48"/>
        <v/>
      </c>
      <c r="AB141" s="56" t="str">
        <f t="shared" si="49"/>
        <v/>
      </c>
      <c r="AC141" s="56" t="str">
        <f t="shared" si="50"/>
        <v/>
      </c>
      <c r="AD141" s="56" t="str">
        <f t="shared" si="51"/>
        <v/>
      </c>
      <c r="AE141" s="40"/>
      <c r="AF141" s="40"/>
      <c r="AG141" s="40"/>
      <c r="AH141" s="56" t="str">
        <f t="shared" ref="AH141:AH200" si="52">IF(AE141=$A$6,AG141,"")</f>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6"/>
        <v/>
      </c>
      <c r="L142" s="103" t="str">
        <f t="shared" si="38"/>
        <v/>
      </c>
      <c r="M142" s="52">
        <v>0</v>
      </c>
      <c r="N142" s="102" t="str">
        <f t="shared" si="39"/>
        <v/>
      </c>
      <c r="O142" s="103" t="str">
        <f t="shared" si="40"/>
        <v/>
      </c>
      <c r="P142" s="52">
        <v>0</v>
      </c>
      <c r="Q142" s="102" t="str">
        <f t="shared" si="41"/>
        <v/>
      </c>
      <c r="R142" s="103" t="str">
        <f t="shared" si="42"/>
        <v/>
      </c>
      <c r="S142" s="52">
        <v>0</v>
      </c>
      <c r="T142" s="102" t="str">
        <f t="shared" si="43"/>
        <v/>
      </c>
      <c r="U142" s="103" t="str">
        <f t="shared" si="44"/>
        <v/>
      </c>
      <c r="V142" s="52">
        <v>0</v>
      </c>
      <c r="W142" s="87" t="str">
        <f t="shared" si="45"/>
        <v/>
      </c>
      <c r="X142" s="103" t="str">
        <f t="shared" si="46"/>
        <v/>
      </c>
      <c r="Y142" s="52">
        <v>0</v>
      </c>
      <c r="Z142" s="56" t="str">
        <f t="shared" si="47"/>
        <v/>
      </c>
      <c r="AA142" s="56" t="str">
        <f t="shared" si="48"/>
        <v/>
      </c>
      <c r="AB142" s="56" t="str">
        <f t="shared" si="49"/>
        <v/>
      </c>
      <c r="AC142" s="56" t="str">
        <f t="shared" si="50"/>
        <v/>
      </c>
      <c r="AD142" s="56" t="str">
        <f t="shared" si="51"/>
        <v/>
      </c>
      <c r="AE142" s="40"/>
      <c r="AF142" s="40"/>
      <c r="AG142" s="40"/>
      <c r="AH142" s="56" t="str">
        <f t="shared" si="52"/>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6"/>
        <v/>
      </c>
      <c r="L143" s="103" t="str">
        <f t="shared" si="38"/>
        <v/>
      </c>
      <c r="M143" s="53">
        <v>0</v>
      </c>
      <c r="N143" s="102" t="str">
        <f t="shared" si="39"/>
        <v/>
      </c>
      <c r="O143" s="103" t="str">
        <f t="shared" si="40"/>
        <v/>
      </c>
      <c r="P143" s="53">
        <v>0</v>
      </c>
      <c r="Q143" s="102" t="str">
        <f t="shared" si="41"/>
        <v/>
      </c>
      <c r="R143" s="103" t="str">
        <f t="shared" si="42"/>
        <v/>
      </c>
      <c r="S143" s="53">
        <v>0</v>
      </c>
      <c r="T143" s="102" t="str">
        <f t="shared" si="43"/>
        <v/>
      </c>
      <c r="U143" s="103" t="str">
        <f t="shared" si="44"/>
        <v/>
      </c>
      <c r="V143" s="53">
        <v>0</v>
      </c>
      <c r="W143" s="87" t="str">
        <f t="shared" si="45"/>
        <v/>
      </c>
      <c r="X143" s="103" t="str">
        <f t="shared" si="46"/>
        <v/>
      </c>
      <c r="Y143" s="53">
        <v>0</v>
      </c>
      <c r="Z143" s="56" t="str">
        <f t="shared" si="47"/>
        <v/>
      </c>
      <c r="AA143" s="56" t="str">
        <f t="shared" si="48"/>
        <v/>
      </c>
      <c r="AB143" s="56" t="str">
        <f t="shared" si="49"/>
        <v/>
      </c>
      <c r="AC143" s="56" t="str">
        <f t="shared" si="50"/>
        <v/>
      </c>
      <c r="AD143" s="56" t="str">
        <f t="shared" si="51"/>
        <v/>
      </c>
      <c r="AE143" s="40"/>
      <c r="AF143" s="40"/>
      <c r="AG143" s="40"/>
      <c r="AH143" s="56" t="str">
        <f t="shared" si="52"/>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6"/>
        <v/>
      </c>
      <c r="L144" s="103" t="str">
        <f t="shared" si="38"/>
        <v/>
      </c>
      <c r="M144" s="52">
        <v>0</v>
      </c>
      <c r="N144" s="102" t="str">
        <f t="shared" si="39"/>
        <v/>
      </c>
      <c r="O144" s="103" t="str">
        <f t="shared" si="40"/>
        <v/>
      </c>
      <c r="P144" s="52">
        <v>0</v>
      </c>
      <c r="Q144" s="102" t="str">
        <f t="shared" si="41"/>
        <v/>
      </c>
      <c r="R144" s="103" t="str">
        <f t="shared" si="42"/>
        <v/>
      </c>
      <c r="S144" s="52">
        <v>0</v>
      </c>
      <c r="T144" s="102" t="str">
        <f t="shared" si="43"/>
        <v/>
      </c>
      <c r="U144" s="103" t="str">
        <f t="shared" si="44"/>
        <v/>
      </c>
      <c r="V144" s="52">
        <v>0</v>
      </c>
      <c r="W144" s="87" t="str">
        <f t="shared" si="45"/>
        <v/>
      </c>
      <c r="X144" s="103" t="str">
        <f t="shared" si="46"/>
        <v/>
      </c>
      <c r="Y144" s="52">
        <v>0</v>
      </c>
      <c r="Z144" s="56" t="str">
        <f t="shared" si="47"/>
        <v/>
      </c>
      <c r="AA144" s="56" t="str">
        <f t="shared" si="48"/>
        <v/>
      </c>
      <c r="AB144" s="56" t="str">
        <f t="shared" si="49"/>
        <v/>
      </c>
      <c r="AC144" s="56" t="str">
        <f t="shared" si="50"/>
        <v/>
      </c>
      <c r="AD144" s="56" t="str">
        <f t="shared" si="51"/>
        <v/>
      </c>
      <c r="AE144" s="40"/>
      <c r="AF144" s="40"/>
      <c r="AG144" s="40"/>
      <c r="AH144" s="56" t="str">
        <f t="shared" si="52"/>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6"/>
        <v/>
      </c>
      <c r="L145" s="103" t="str">
        <f t="shared" si="38"/>
        <v/>
      </c>
      <c r="M145" s="53">
        <v>0</v>
      </c>
      <c r="N145" s="102" t="str">
        <f t="shared" si="39"/>
        <v/>
      </c>
      <c r="O145" s="103" t="str">
        <f t="shared" si="40"/>
        <v/>
      </c>
      <c r="P145" s="53">
        <v>0</v>
      </c>
      <c r="Q145" s="102" t="str">
        <f t="shared" si="41"/>
        <v/>
      </c>
      <c r="R145" s="103" t="str">
        <f t="shared" si="42"/>
        <v/>
      </c>
      <c r="S145" s="53">
        <v>0</v>
      </c>
      <c r="T145" s="102" t="str">
        <f t="shared" si="43"/>
        <v/>
      </c>
      <c r="U145" s="103" t="str">
        <f t="shared" si="44"/>
        <v/>
      </c>
      <c r="V145" s="53">
        <v>0</v>
      </c>
      <c r="W145" s="87" t="str">
        <f t="shared" si="45"/>
        <v/>
      </c>
      <c r="X145" s="103" t="str">
        <f t="shared" si="46"/>
        <v/>
      </c>
      <c r="Y145" s="53">
        <v>0</v>
      </c>
      <c r="Z145" s="56" t="str">
        <f t="shared" si="47"/>
        <v/>
      </c>
      <c r="AA145" s="56" t="str">
        <f t="shared" si="48"/>
        <v/>
      </c>
      <c r="AB145" s="56" t="str">
        <f t="shared" si="49"/>
        <v/>
      </c>
      <c r="AC145" s="56" t="str">
        <f t="shared" si="50"/>
        <v/>
      </c>
      <c r="AD145" s="56" t="str">
        <f t="shared" si="51"/>
        <v/>
      </c>
      <c r="AE145" s="40"/>
      <c r="AF145" s="40"/>
      <c r="AG145" s="40"/>
      <c r="AH145" s="56" t="str">
        <f t="shared" si="52"/>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6"/>
        <v/>
      </c>
      <c r="L146" s="103" t="str">
        <f t="shared" si="38"/>
        <v/>
      </c>
      <c r="M146" s="52">
        <v>0</v>
      </c>
      <c r="N146" s="102" t="str">
        <f t="shared" si="39"/>
        <v/>
      </c>
      <c r="O146" s="103" t="str">
        <f t="shared" si="40"/>
        <v/>
      </c>
      <c r="P146" s="52">
        <v>0</v>
      </c>
      <c r="Q146" s="102" t="str">
        <f t="shared" si="41"/>
        <v/>
      </c>
      <c r="R146" s="103" t="str">
        <f t="shared" si="42"/>
        <v/>
      </c>
      <c r="S146" s="52">
        <v>0</v>
      </c>
      <c r="T146" s="102" t="str">
        <f t="shared" si="43"/>
        <v/>
      </c>
      <c r="U146" s="103" t="str">
        <f t="shared" si="44"/>
        <v/>
      </c>
      <c r="V146" s="52">
        <v>0</v>
      </c>
      <c r="W146" s="87" t="str">
        <f t="shared" si="45"/>
        <v/>
      </c>
      <c r="X146" s="103" t="str">
        <f t="shared" si="46"/>
        <v/>
      </c>
      <c r="Y146" s="52">
        <v>0</v>
      </c>
      <c r="Z146" s="56" t="str">
        <f t="shared" si="47"/>
        <v/>
      </c>
      <c r="AA146" s="56" t="str">
        <f t="shared" si="48"/>
        <v/>
      </c>
      <c r="AB146" s="56" t="str">
        <f t="shared" si="49"/>
        <v/>
      </c>
      <c r="AC146" s="56" t="str">
        <f t="shared" si="50"/>
        <v/>
      </c>
      <c r="AD146" s="56" t="str">
        <f t="shared" si="51"/>
        <v/>
      </c>
      <c r="AE146" s="40"/>
      <c r="AF146" s="40"/>
      <c r="AG146" s="40"/>
      <c r="AH146" s="56" t="str">
        <f t="shared" si="52"/>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6"/>
        <v/>
      </c>
      <c r="L147" s="103" t="str">
        <f t="shared" si="38"/>
        <v/>
      </c>
      <c r="M147" s="53">
        <v>0</v>
      </c>
      <c r="N147" s="102" t="str">
        <f t="shared" si="39"/>
        <v/>
      </c>
      <c r="O147" s="103" t="str">
        <f t="shared" si="40"/>
        <v/>
      </c>
      <c r="P147" s="53">
        <v>0</v>
      </c>
      <c r="Q147" s="102" t="str">
        <f t="shared" si="41"/>
        <v/>
      </c>
      <c r="R147" s="103" t="str">
        <f t="shared" si="42"/>
        <v/>
      </c>
      <c r="S147" s="53">
        <v>0</v>
      </c>
      <c r="T147" s="102" t="str">
        <f t="shared" si="43"/>
        <v/>
      </c>
      <c r="U147" s="103" t="str">
        <f t="shared" si="44"/>
        <v/>
      </c>
      <c r="V147" s="53">
        <v>0</v>
      </c>
      <c r="W147" s="87" t="str">
        <f t="shared" si="45"/>
        <v/>
      </c>
      <c r="X147" s="103" t="str">
        <f t="shared" si="46"/>
        <v/>
      </c>
      <c r="Y147" s="53">
        <v>0</v>
      </c>
      <c r="Z147" s="56" t="str">
        <f t="shared" si="47"/>
        <v/>
      </c>
      <c r="AA147" s="56" t="str">
        <f t="shared" si="48"/>
        <v/>
      </c>
      <c r="AB147" s="56" t="str">
        <f t="shared" si="49"/>
        <v/>
      </c>
      <c r="AC147" s="56" t="str">
        <f t="shared" si="50"/>
        <v/>
      </c>
      <c r="AD147" s="56" t="str">
        <f t="shared" si="51"/>
        <v/>
      </c>
      <c r="AE147" s="40"/>
      <c r="AF147" s="40"/>
      <c r="AG147" s="40"/>
      <c r="AH147" s="56" t="str">
        <f t="shared" si="52"/>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6"/>
        <v/>
      </c>
      <c r="L148" s="103" t="str">
        <f t="shared" si="38"/>
        <v/>
      </c>
      <c r="M148" s="52">
        <v>0</v>
      </c>
      <c r="N148" s="102" t="str">
        <f t="shared" si="39"/>
        <v/>
      </c>
      <c r="O148" s="103" t="str">
        <f t="shared" si="40"/>
        <v/>
      </c>
      <c r="P148" s="52">
        <v>0</v>
      </c>
      <c r="Q148" s="102" t="str">
        <f t="shared" si="41"/>
        <v/>
      </c>
      <c r="R148" s="103" t="str">
        <f t="shared" si="42"/>
        <v/>
      </c>
      <c r="S148" s="52">
        <v>0</v>
      </c>
      <c r="T148" s="102" t="str">
        <f t="shared" si="43"/>
        <v/>
      </c>
      <c r="U148" s="103" t="str">
        <f t="shared" si="44"/>
        <v/>
      </c>
      <c r="V148" s="52">
        <v>0</v>
      </c>
      <c r="W148" s="87" t="str">
        <f t="shared" si="45"/>
        <v/>
      </c>
      <c r="X148" s="103" t="str">
        <f t="shared" si="46"/>
        <v/>
      </c>
      <c r="Y148" s="52">
        <v>0</v>
      </c>
      <c r="Z148" s="56" t="str">
        <f t="shared" si="47"/>
        <v/>
      </c>
      <c r="AA148" s="56" t="str">
        <f t="shared" si="48"/>
        <v/>
      </c>
      <c r="AB148" s="56" t="str">
        <f t="shared" si="49"/>
        <v/>
      </c>
      <c r="AC148" s="56" t="str">
        <f t="shared" si="50"/>
        <v/>
      </c>
      <c r="AD148" s="56" t="str">
        <f t="shared" si="51"/>
        <v/>
      </c>
      <c r="AE148" s="40"/>
      <c r="AF148" s="40"/>
      <c r="AG148" s="40"/>
      <c r="AH148" s="56" t="str">
        <f t="shared" si="52"/>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6"/>
        <v/>
      </c>
      <c r="L149" s="103" t="str">
        <f t="shared" si="38"/>
        <v/>
      </c>
      <c r="M149" s="53">
        <v>0</v>
      </c>
      <c r="N149" s="102" t="str">
        <f t="shared" si="39"/>
        <v/>
      </c>
      <c r="O149" s="103" t="str">
        <f t="shared" si="40"/>
        <v/>
      </c>
      <c r="P149" s="53">
        <v>0</v>
      </c>
      <c r="Q149" s="102" t="str">
        <f t="shared" si="41"/>
        <v/>
      </c>
      <c r="R149" s="103" t="str">
        <f t="shared" si="42"/>
        <v/>
      </c>
      <c r="S149" s="53">
        <v>0</v>
      </c>
      <c r="T149" s="102" t="str">
        <f t="shared" si="43"/>
        <v/>
      </c>
      <c r="U149" s="103" t="str">
        <f t="shared" si="44"/>
        <v/>
      </c>
      <c r="V149" s="53">
        <v>0</v>
      </c>
      <c r="W149" s="87" t="str">
        <f t="shared" si="45"/>
        <v/>
      </c>
      <c r="X149" s="103" t="str">
        <f t="shared" si="46"/>
        <v/>
      </c>
      <c r="Y149" s="53">
        <v>0</v>
      </c>
      <c r="Z149" s="56" t="str">
        <f t="shared" si="47"/>
        <v/>
      </c>
      <c r="AA149" s="56" t="str">
        <f t="shared" si="48"/>
        <v/>
      </c>
      <c r="AB149" s="56" t="str">
        <f t="shared" si="49"/>
        <v/>
      </c>
      <c r="AC149" s="56" t="str">
        <f t="shared" si="50"/>
        <v/>
      </c>
      <c r="AD149" s="56" t="str">
        <f t="shared" si="51"/>
        <v/>
      </c>
      <c r="AE149" s="40"/>
      <c r="AF149" s="40"/>
      <c r="AG149" s="40"/>
      <c r="AH149" s="56" t="str">
        <f t="shared" si="52"/>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6"/>
        <v/>
      </c>
      <c r="L150" s="103" t="str">
        <f t="shared" si="38"/>
        <v/>
      </c>
      <c r="M150" s="52">
        <v>0</v>
      </c>
      <c r="N150" s="102" t="str">
        <f t="shared" si="39"/>
        <v/>
      </c>
      <c r="O150" s="103" t="str">
        <f t="shared" si="40"/>
        <v/>
      </c>
      <c r="P150" s="52">
        <v>0</v>
      </c>
      <c r="Q150" s="102" t="str">
        <f t="shared" si="41"/>
        <v/>
      </c>
      <c r="R150" s="103" t="str">
        <f t="shared" si="42"/>
        <v/>
      </c>
      <c r="S150" s="52">
        <v>0</v>
      </c>
      <c r="T150" s="102" t="str">
        <f t="shared" si="43"/>
        <v/>
      </c>
      <c r="U150" s="103" t="str">
        <f t="shared" si="44"/>
        <v/>
      </c>
      <c r="V150" s="52">
        <v>0</v>
      </c>
      <c r="W150" s="87" t="str">
        <f t="shared" si="45"/>
        <v/>
      </c>
      <c r="X150" s="103" t="str">
        <f t="shared" si="46"/>
        <v/>
      </c>
      <c r="Y150" s="52">
        <v>0</v>
      </c>
      <c r="Z150" s="56" t="str">
        <f t="shared" si="47"/>
        <v/>
      </c>
      <c r="AA150" s="56" t="str">
        <f t="shared" si="48"/>
        <v/>
      </c>
      <c r="AB150" s="56" t="str">
        <f t="shared" si="49"/>
        <v/>
      </c>
      <c r="AC150" s="56" t="str">
        <f t="shared" si="50"/>
        <v/>
      </c>
      <c r="AD150" s="56" t="str">
        <f t="shared" si="51"/>
        <v/>
      </c>
      <c r="AE150" s="40"/>
      <c r="AF150" s="40"/>
      <c r="AG150" s="40"/>
      <c r="AH150" s="56" t="str">
        <f t="shared" si="52"/>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6"/>
        <v/>
      </c>
      <c r="L151" s="103" t="str">
        <f t="shared" si="38"/>
        <v/>
      </c>
      <c r="M151" s="53">
        <v>0</v>
      </c>
      <c r="N151" s="102" t="str">
        <f t="shared" si="39"/>
        <v/>
      </c>
      <c r="O151" s="103" t="str">
        <f t="shared" si="40"/>
        <v/>
      </c>
      <c r="P151" s="53">
        <v>0</v>
      </c>
      <c r="Q151" s="102" t="str">
        <f t="shared" si="41"/>
        <v/>
      </c>
      <c r="R151" s="103" t="str">
        <f t="shared" si="42"/>
        <v/>
      </c>
      <c r="S151" s="53">
        <v>0</v>
      </c>
      <c r="T151" s="102" t="str">
        <f t="shared" si="43"/>
        <v/>
      </c>
      <c r="U151" s="103" t="str">
        <f t="shared" si="44"/>
        <v/>
      </c>
      <c r="V151" s="53">
        <v>0</v>
      </c>
      <c r="W151" s="87" t="str">
        <f t="shared" si="45"/>
        <v/>
      </c>
      <c r="X151" s="103" t="str">
        <f t="shared" si="46"/>
        <v/>
      </c>
      <c r="Y151" s="53">
        <v>0</v>
      </c>
      <c r="Z151" s="56" t="str">
        <f t="shared" si="47"/>
        <v/>
      </c>
      <c r="AA151" s="56" t="str">
        <f t="shared" si="48"/>
        <v/>
      </c>
      <c r="AB151" s="56" t="str">
        <f t="shared" si="49"/>
        <v/>
      </c>
      <c r="AC151" s="56" t="str">
        <f t="shared" si="50"/>
        <v/>
      </c>
      <c r="AD151" s="56" t="str">
        <f t="shared" si="51"/>
        <v/>
      </c>
      <c r="AE151" s="40"/>
      <c r="AF151" s="40"/>
      <c r="AG151" s="40"/>
      <c r="AH151" s="56" t="str">
        <f t="shared" si="52"/>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6"/>
        <v/>
      </c>
      <c r="L152" s="103" t="str">
        <f t="shared" si="38"/>
        <v/>
      </c>
      <c r="M152" s="52">
        <v>0</v>
      </c>
      <c r="N152" s="102" t="str">
        <f t="shared" si="39"/>
        <v/>
      </c>
      <c r="O152" s="103" t="str">
        <f t="shared" si="40"/>
        <v/>
      </c>
      <c r="P152" s="52">
        <v>0</v>
      </c>
      <c r="Q152" s="102" t="str">
        <f t="shared" si="41"/>
        <v/>
      </c>
      <c r="R152" s="103" t="str">
        <f t="shared" si="42"/>
        <v/>
      </c>
      <c r="S152" s="52">
        <v>0</v>
      </c>
      <c r="T152" s="102" t="str">
        <f t="shared" si="43"/>
        <v/>
      </c>
      <c r="U152" s="103" t="str">
        <f t="shared" si="44"/>
        <v/>
      </c>
      <c r="V152" s="52">
        <v>0</v>
      </c>
      <c r="W152" s="87" t="str">
        <f t="shared" si="45"/>
        <v/>
      </c>
      <c r="X152" s="103" t="str">
        <f t="shared" si="46"/>
        <v/>
      </c>
      <c r="Y152" s="52">
        <v>0</v>
      </c>
      <c r="Z152" s="56" t="str">
        <f t="shared" si="47"/>
        <v/>
      </c>
      <c r="AA152" s="56" t="str">
        <f t="shared" si="48"/>
        <v/>
      </c>
      <c r="AB152" s="56" t="str">
        <f t="shared" si="49"/>
        <v/>
      </c>
      <c r="AC152" s="56" t="str">
        <f t="shared" si="50"/>
        <v/>
      </c>
      <c r="AD152" s="56" t="str">
        <f t="shared" si="51"/>
        <v/>
      </c>
      <c r="AE152" s="40"/>
      <c r="AF152" s="40"/>
      <c r="AG152" s="40"/>
      <c r="AH152" s="56" t="str">
        <f t="shared" si="52"/>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6"/>
        <v/>
      </c>
      <c r="L153" s="103" t="str">
        <f t="shared" si="38"/>
        <v/>
      </c>
      <c r="M153" s="53">
        <v>0</v>
      </c>
      <c r="N153" s="102" t="str">
        <f t="shared" si="39"/>
        <v/>
      </c>
      <c r="O153" s="103" t="str">
        <f t="shared" si="40"/>
        <v/>
      </c>
      <c r="P153" s="53">
        <v>0</v>
      </c>
      <c r="Q153" s="102" t="str">
        <f t="shared" si="41"/>
        <v/>
      </c>
      <c r="R153" s="103" t="str">
        <f t="shared" si="42"/>
        <v/>
      </c>
      <c r="S153" s="53">
        <v>0</v>
      </c>
      <c r="T153" s="102" t="str">
        <f t="shared" si="43"/>
        <v/>
      </c>
      <c r="U153" s="103" t="str">
        <f t="shared" si="44"/>
        <v/>
      </c>
      <c r="V153" s="53">
        <v>0</v>
      </c>
      <c r="W153" s="87" t="str">
        <f t="shared" si="45"/>
        <v/>
      </c>
      <c r="X153" s="103" t="str">
        <f t="shared" si="46"/>
        <v/>
      </c>
      <c r="Y153" s="53">
        <v>0</v>
      </c>
      <c r="Z153" s="56" t="str">
        <f t="shared" si="47"/>
        <v/>
      </c>
      <c r="AA153" s="56" t="str">
        <f t="shared" si="48"/>
        <v/>
      </c>
      <c r="AB153" s="56" t="str">
        <f t="shared" si="49"/>
        <v/>
      </c>
      <c r="AC153" s="56" t="str">
        <f t="shared" si="50"/>
        <v/>
      </c>
      <c r="AD153" s="56" t="str">
        <f t="shared" si="51"/>
        <v/>
      </c>
      <c r="AE153" s="40"/>
      <c r="AF153" s="40"/>
      <c r="AG153" s="40"/>
      <c r="AH153" s="56" t="str">
        <f t="shared" si="52"/>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6"/>
        <v/>
      </c>
      <c r="L154" s="103" t="str">
        <f t="shared" si="38"/>
        <v/>
      </c>
      <c r="M154" s="52">
        <v>0</v>
      </c>
      <c r="N154" s="102" t="str">
        <f t="shared" si="39"/>
        <v/>
      </c>
      <c r="O154" s="103" t="str">
        <f t="shared" si="40"/>
        <v/>
      </c>
      <c r="P154" s="52">
        <v>0</v>
      </c>
      <c r="Q154" s="102" t="str">
        <f t="shared" si="41"/>
        <v/>
      </c>
      <c r="R154" s="103" t="str">
        <f t="shared" si="42"/>
        <v/>
      </c>
      <c r="S154" s="52">
        <v>0</v>
      </c>
      <c r="T154" s="102" t="str">
        <f t="shared" si="43"/>
        <v/>
      </c>
      <c r="U154" s="103" t="str">
        <f t="shared" si="44"/>
        <v/>
      </c>
      <c r="V154" s="52">
        <v>0</v>
      </c>
      <c r="W154" s="87" t="str">
        <f t="shared" si="45"/>
        <v/>
      </c>
      <c r="X154" s="103" t="str">
        <f t="shared" si="46"/>
        <v/>
      </c>
      <c r="Y154" s="52">
        <v>0</v>
      </c>
      <c r="Z154" s="56" t="str">
        <f t="shared" si="47"/>
        <v/>
      </c>
      <c r="AA154" s="56" t="str">
        <f t="shared" si="48"/>
        <v/>
      </c>
      <c r="AB154" s="56" t="str">
        <f t="shared" si="49"/>
        <v/>
      </c>
      <c r="AC154" s="56" t="str">
        <f t="shared" si="50"/>
        <v/>
      </c>
      <c r="AD154" s="56" t="str">
        <f t="shared" si="51"/>
        <v/>
      </c>
      <c r="AE154" s="40"/>
      <c r="AF154" s="40"/>
      <c r="AG154" s="40"/>
      <c r="AH154" s="56" t="str">
        <f t="shared" si="52"/>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6"/>
        <v/>
      </c>
      <c r="L155" s="103" t="str">
        <f t="shared" si="38"/>
        <v/>
      </c>
      <c r="M155" s="53">
        <v>0</v>
      </c>
      <c r="N155" s="102" t="str">
        <f t="shared" si="39"/>
        <v/>
      </c>
      <c r="O155" s="103" t="str">
        <f t="shared" si="40"/>
        <v/>
      </c>
      <c r="P155" s="53">
        <v>0</v>
      </c>
      <c r="Q155" s="102" t="str">
        <f t="shared" si="41"/>
        <v/>
      </c>
      <c r="R155" s="103" t="str">
        <f t="shared" si="42"/>
        <v/>
      </c>
      <c r="S155" s="53">
        <v>0</v>
      </c>
      <c r="T155" s="102" t="str">
        <f t="shared" si="43"/>
        <v/>
      </c>
      <c r="U155" s="103" t="str">
        <f t="shared" si="44"/>
        <v/>
      </c>
      <c r="V155" s="53">
        <v>0</v>
      </c>
      <c r="W155" s="87" t="str">
        <f t="shared" si="45"/>
        <v/>
      </c>
      <c r="X155" s="103" t="str">
        <f t="shared" si="46"/>
        <v/>
      </c>
      <c r="Y155" s="53">
        <v>0</v>
      </c>
      <c r="Z155" s="56" t="str">
        <f t="shared" si="47"/>
        <v/>
      </c>
      <c r="AA155" s="56" t="str">
        <f t="shared" si="48"/>
        <v/>
      </c>
      <c r="AB155" s="56" t="str">
        <f t="shared" si="49"/>
        <v/>
      </c>
      <c r="AC155" s="56" t="str">
        <f t="shared" si="50"/>
        <v/>
      </c>
      <c r="AD155" s="56" t="str">
        <f t="shared" si="51"/>
        <v/>
      </c>
      <c r="AE155" s="40"/>
      <c r="AF155" s="40"/>
      <c r="AG155" s="40"/>
      <c r="AH155" s="56" t="str">
        <f t="shared" si="52"/>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6"/>
        <v/>
      </c>
      <c r="L156" s="103" t="str">
        <f t="shared" si="38"/>
        <v/>
      </c>
      <c r="M156" s="52">
        <v>0</v>
      </c>
      <c r="N156" s="102" t="str">
        <f t="shared" si="39"/>
        <v/>
      </c>
      <c r="O156" s="103" t="str">
        <f t="shared" si="40"/>
        <v/>
      </c>
      <c r="P156" s="52">
        <v>0</v>
      </c>
      <c r="Q156" s="102" t="str">
        <f t="shared" si="41"/>
        <v/>
      </c>
      <c r="R156" s="103" t="str">
        <f t="shared" si="42"/>
        <v/>
      </c>
      <c r="S156" s="52">
        <v>0</v>
      </c>
      <c r="T156" s="102" t="str">
        <f t="shared" si="43"/>
        <v/>
      </c>
      <c r="U156" s="103" t="str">
        <f t="shared" si="44"/>
        <v/>
      </c>
      <c r="V156" s="52">
        <v>0</v>
      </c>
      <c r="W156" s="87" t="str">
        <f t="shared" si="45"/>
        <v/>
      </c>
      <c r="X156" s="103" t="str">
        <f t="shared" si="46"/>
        <v/>
      </c>
      <c r="Y156" s="52">
        <v>0</v>
      </c>
      <c r="Z156" s="56" t="str">
        <f t="shared" si="47"/>
        <v/>
      </c>
      <c r="AA156" s="56" t="str">
        <f t="shared" si="48"/>
        <v/>
      </c>
      <c r="AB156" s="56" t="str">
        <f t="shared" si="49"/>
        <v/>
      </c>
      <c r="AC156" s="56" t="str">
        <f t="shared" si="50"/>
        <v/>
      </c>
      <c r="AD156" s="56" t="str">
        <f t="shared" si="51"/>
        <v/>
      </c>
      <c r="AE156" s="40"/>
      <c r="AF156" s="40"/>
      <c r="AG156" s="40"/>
      <c r="AH156" s="56" t="str">
        <f t="shared" si="52"/>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6"/>
        <v/>
      </c>
      <c r="L157" s="103" t="str">
        <f t="shared" si="38"/>
        <v/>
      </c>
      <c r="M157" s="53">
        <v>0</v>
      </c>
      <c r="N157" s="102" t="str">
        <f t="shared" si="39"/>
        <v/>
      </c>
      <c r="O157" s="103" t="str">
        <f t="shared" si="40"/>
        <v/>
      </c>
      <c r="P157" s="53">
        <v>0</v>
      </c>
      <c r="Q157" s="102" t="str">
        <f t="shared" si="41"/>
        <v/>
      </c>
      <c r="R157" s="103" t="str">
        <f t="shared" si="42"/>
        <v/>
      </c>
      <c r="S157" s="53">
        <v>0</v>
      </c>
      <c r="T157" s="102" t="str">
        <f t="shared" si="43"/>
        <v/>
      </c>
      <c r="U157" s="103" t="str">
        <f t="shared" si="44"/>
        <v/>
      </c>
      <c r="V157" s="53">
        <v>0</v>
      </c>
      <c r="W157" s="87" t="str">
        <f t="shared" si="45"/>
        <v/>
      </c>
      <c r="X157" s="103" t="str">
        <f t="shared" si="46"/>
        <v/>
      </c>
      <c r="Y157" s="53">
        <v>0</v>
      </c>
      <c r="Z157" s="56" t="str">
        <f t="shared" si="47"/>
        <v/>
      </c>
      <c r="AA157" s="56" t="str">
        <f t="shared" si="48"/>
        <v/>
      </c>
      <c r="AB157" s="56" t="str">
        <f t="shared" si="49"/>
        <v/>
      </c>
      <c r="AC157" s="56" t="str">
        <f t="shared" si="50"/>
        <v/>
      </c>
      <c r="AD157" s="56" t="str">
        <f t="shared" si="51"/>
        <v/>
      </c>
      <c r="AE157" s="40"/>
      <c r="AF157" s="40"/>
      <c r="AG157" s="40"/>
      <c r="AH157" s="56" t="str">
        <f t="shared" si="52"/>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6"/>
        <v/>
      </c>
      <c r="L158" s="103" t="str">
        <f t="shared" si="38"/>
        <v/>
      </c>
      <c r="M158" s="52">
        <v>0</v>
      </c>
      <c r="N158" s="102" t="str">
        <f t="shared" si="39"/>
        <v/>
      </c>
      <c r="O158" s="103" t="str">
        <f t="shared" si="40"/>
        <v/>
      </c>
      <c r="P158" s="52">
        <v>0</v>
      </c>
      <c r="Q158" s="102" t="str">
        <f t="shared" si="41"/>
        <v/>
      </c>
      <c r="R158" s="103" t="str">
        <f t="shared" si="42"/>
        <v/>
      </c>
      <c r="S158" s="52">
        <v>0</v>
      </c>
      <c r="T158" s="102" t="str">
        <f t="shared" si="43"/>
        <v/>
      </c>
      <c r="U158" s="103" t="str">
        <f t="shared" si="44"/>
        <v/>
      </c>
      <c r="V158" s="52">
        <v>0</v>
      </c>
      <c r="W158" s="87" t="str">
        <f t="shared" si="45"/>
        <v/>
      </c>
      <c r="X158" s="103" t="str">
        <f t="shared" si="46"/>
        <v/>
      </c>
      <c r="Y158" s="52">
        <v>0</v>
      </c>
      <c r="Z158" s="56" t="str">
        <f t="shared" si="47"/>
        <v/>
      </c>
      <c r="AA158" s="56" t="str">
        <f t="shared" si="48"/>
        <v/>
      </c>
      <c r="AB158" s="56" t="str">
        <f t="shared" si="49"/>
        <v/>
      </c>
      <c r="AC158" s="56" t="str">
        <f t="shared" si="50"/>
        <v/>
      </c>
      <c r="AD158" s="56" t="str">
        <f t="shared" si="51"/>
        <v/>
      </c>
      <c r="AE158" s="40"/>
      <c r="AF158" s="40"/>
      <c r="AG158" s="40"/>
      <c r="AH158" s="56" t="str">
        <f t="shared" si="52"/>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6"/>
        <v/>
      </c>
      <c r="L159" s="103" t="str">
        <f t="shared" si="38"/>
        <v/>
      </c>
      <c r="M159" s="53">
        <v>0</v>
      </c>
      <c r="N159" s="102" t="str">
        <f t="shared" si="39"/>
        <v/>
      </c>
      <c r="O159" s="103" t="str">
        <f t="shared" si="40"/>
        <v/>
      </c>
      <c r="P159" s="53">
        <v>0</v>
      </c>
      <c r="Q159" s="102" t="str">
        <f t="shared" si="41"/>
        <v/>
      </c>
      <c r="R159" s="103" t="str">
        <f t="shared" si="42"/>
        <v/>
      </c>
      <c r="S159" s="53">
        <v>0</v>
      </c>
      <c r="T159" s="102" t="str">
        <f t="shared" si="43"/>
        <v/>
      </c>
      <c r="U159" s="103" t="str">
        <f t="shared" si="44"/>
        <v/>
      </c>
      <c r="V159" s="53">
        <v>0</v>
      </c>
      <c r="W159" s="87" t="str">
        <f t="shared" si="45"/>
        <v/>
      </c>
      <c r="X159" s="103" t="str">
        <f t="shared" si="46"/>
        <v/>
      </c>
      <c r="Y159" s="53">
        <v>0</v>
      </c>
      <c r="Z159" s="56" t="str">
        <f t="shared" si="47"/>
        <v/>
      </c>
      <c r="AA159" s="56" t="str">
        <f t="shared" si="48"/>
        <v/>
      </c>
      <c r="AB159" s="56" t="str">
        <f t="shared" si="49"/>
        <v/>
      </c>
      <c r="AC159" s="56" t="str">
        <f t="shared" si="50"/>
        <v/>
      </c>
      <c r="AD159" s="56" t="str">
        <f t="shared" si="51"/>
        <v/>
      </c>
      <c r="AE159" s="40"/>
      <c r="AF159" s="40"/>
      <c r="AG159" s="40"/>
      <c r="AH159" s="56" t="str">
        <f t="shared" si="52"/>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6"/>
        <v/>
      </c>
      <c r="L160" s="103" t="str">
        <f t="shared" si="38"/>
        <v/>
      </c>
      <c r="M160" s="52">
        <v>0</v>
      </c>
      <c r="N160" s="102" t="str">
        <f t="shared" si="39"/>
        <v/>
      </c>
      <c r="O160" s="103" t="str">
        <f t="shared" si="40"/>
        <v/>
      </c>
      <c r="P160" s="52">
        <v>0</v>
      </c>
      <c r="Q160" s="102" t="str">
        <f t="shared" si="41"/>
        <v/>
      </c>
      <c r="R160" s="103" t="str">
        <f t="shared" si="42"/>
        <v/>
      </c>
      <c r="S160" s="52">
        <v>0</v>
      </c>
      <c r="T160" s="102" t="str">
        <f t="shared" si="43"/>
        <v/>
      </c>
      <c r="U160" s="103" t="str">
        <f t="shared" si="44"/>
        <v/>
      </c>
      <c r="V160" s="52">
        <v>0</v>
      </c>
      <c r="W160" s="87" t="str">
        <f t="shared" si="45"/>
        <v/>
      </c>
      <c r="X160" s="103" t="str">
        <f t="shared" si="46"/>
        <v/>
      </c>
      <c r="Y160" s="52">
        <v>0</v>
      </c>
      <c r="Z160" s="56" t="str">
        <f t="shared" si="47"/>
        <v/>
      </c>
      <c r="AA160" s="56" t="str">
        <f t="shared" si="48"/>
        <v/>
      </c>
      <c r="AB160" s="56" t="str">
        <f t="shared" si="49"/>
        <v/>
      </c>
      <c r="AC160" s="56" t="str">
        <f t="shared" si="50"/>
        <v/>
      </c>
      <c r="AD160" s="56" t="str">
        <f t="shared" si="51"/>
        <v/>
      </c>
      <c r="AE160" s="40"/>
      <c r="AF160" s="40"/>
      <c r="AG160" s="40"/>
      <c r="AH160" s="56" t="str">
        <f t="shared" si="52"/>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6"/>
        <v/>
      </c>
      <c r="L161" s="103" t="str">
        <f t="shared" si="38"/>
        <v/>
      </c>
      <c r="M161" s="53">
        <v>0</v>
      </c>
      <c r="N161" s="102" t="str">
        <f t="shared" si="39"/>
        <v/>
      </c>
      <c r="O161" s="103" t="str">
        <f t="shared" si="40"/>
        <v/>
      </c>
      <c r="P161" s="53">
        <v>0</v>
      </c>
      <c r="Q161" s="102" t="str">
        <f t="shared" si="41"/>
        <v/>
      </c>
      <c r="R161" s="103" t="str">
        <f t="shared" si="42"/>
        <v/>
      </c>
      <c r="S161" s="53">
        <v>0</v>
      </c>
      <c r="T161" s="102" t="str">
        <f t="shared" si="43"/>
        <v/>
      </c>
      <c r="U161" s="103" t="str">
        <f t="shared" si="44"/>
        <v/>
      </c>
      <c r="V161" s="53">
        <v>0</v>
      </c>
      <c r="W161" s="87" t="str">
        <f t="shared" si="45"/>
        <v/>
      </c>
      <c r="X161" s="103" t="str">
        <f t="shared" si="46"/>
        <v/>
      </c>
      <c r="Y161" s="53">
        <v>0</v>
      </c>
      <c r="Z161" s="56" t="str">
        <f t="shared" si="47"/>
        <v/>
      </c>
      <c r="AA161" s="56" t="str">
        <f t="shared" si="48"/>
        <v/>
      </c>
      <c r="AB161" s="56" t="str">
        <f t="shared" si="49"/>
        <v/>
      </c>
      <c r="AC161" s="56" t="str">
        <f t="shared" si="50"/>
        <v/>
      </c>
      <c r="AD161" s="56" t="str">
        <f t="shared" si="51"/>
        <v/>
      </c>
      <c r="AE161" s="40"/>
      <c r="AF161" s="40"/>
      <c r="AG161" s="40"/>
      <c r="AH161" s="56" t="str">
        <f t="shared" si="52"/>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6"/>
        <v/>
      </c>
      <c r="L162" s="103" t="str">
        <f t="shared" si="38"/>
        <v/>
      </c>
      <c r="M162" s="52">
        <v>0</v>
      </c>
      <c r="N162" s="102" t="str">
        <f t="shared" si="39"/>
        <v/>
      </c>
      <c r="O162" s="103" t="str">
        <f t="shared" si="40"/>
        <v/>
      </c>
      <c r="P162" s="52">
        <v>0</v>
      </c>
      <c r="Q162" s="102" t="str">
        <f t="shared" si="41"/>
        <v/>
      </c>
      <c r="R162" s="103" t="str">
        <f t="shared" si="42"/>
        <v/>
      </c>
      <c r="S162" s="52">
        <v>0</v>
      </c>
      <c r="T162" s="102" t="str">
        <f t="shared" si="43"/>
        <v/>
      </c>
      <c r="U162" s="103" t="str">
        <f t="shared" si="44"/>
        <v/>
      </c>
      <c r="V162" s="52">
        <v>0</v>
      </c>
      <c r="W162" s="87" t="str">
        <f t="shared" si="45"/>
        <v/>
      </c>
      <c r="X162" s="103" t="str">
        <f t="shared" si="46"/>
        <v/>
      </c>
      <c r="Y162" s="52">
        <v>0</v>
      </c>
      <c r="Z162" s="56" t="str">
        <f t="shared" si="47"/>
        <v/>
      </c>
      <c r="AA162" s="56" t="str">
        <f t="shared" si="48"/>
        <v/>
      </c>
      <c r="AB162" s="56" t="str">
        <f t="shared" si="49"/>
        <v/>
      </c>
      <c r="AC162" s="56" t="str">
        <f t="shared" si="50"/>
        <v/>
      </c>
      <c r="AD162" s="56" t="str">
        <f t="shared" si="51"/>
        <v/>
      </c>
      <c r="AE162" s="40"/>
      <c r="AF162" s="40"/>
      <c r="AG162" s="40"/>
      <c r="AH162" s="56" t="str">
        <f t="shared" si="52"/>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6"/>
        <v/>
      </c>
      <c r="L163" s="103" t="str">
        <f t="shared" si="38"/>
        <v/>
      </c>
      <c r="M163" s="53">
        <v>0</v>
      </c>
      <c r="N163" s="102" t="str">
        <f t="shared" si="39"/>
        <v/>
      </c>
      <c r="O163" s="103" t="str">
        <f t="shared" si="40"/>
        <v/>
      </c>
      <c r="P163" s="53">
        <v>0</v>
      </c>
      <c r="Q163" s="102" t="str">
        <f t="shared" si="41"/>
        <v/>
      </c>
      <c r="R163" s="103" t="str">
        <f t="shared" si="42"/>
        <v/>
      </c>
      <c r="S163" s="53">
        <v>0</v>
      </c>
      <c r="T163" s="102" t="str">
        <f t="shared" si="43"/>
        <v/>
      </c>
      <c r="U163" s="103" t="str">
        <f t="shared" si="44"/>
        <v/>
      </c>
      <c r="V163" s="53">
        <v>0</v>
      </c>
      <c r="W163" s="87" t="str">
        <f t="shared" si="45"/>
        <v/>
      </c>
      <c r="X163" s="103" t="str">
        <f t="shared" si="46"/>
        <v/>
      </c>
      <c r="Y163" s="53">
        <v>0</v>
      </c>
      <c r="Z163" s="56" t="str">
        <f t="shared" si="47"/>
        <v/>
      </c>
      <c r="AA163" s="56" t="str">
        <f t="shared" si="48"/>
        <v/>
      </c>
      <c r="AB163" s="56" t="str">
        <f t="shared" si="49"/>
        <v/>
      </c>
      <c r="AC163" s="56" t="str">
        <f t="shared" si="50"/>
        <v/>
      </c>
      <c r="AD163" s="56" t="str">
        <f t="shared" si="51"/>
        <v/>
      </c>
      <c r="AE163" s="40"/>
      <c r="AF163" s="40"/>
      <c r="AG163" s="40"/>
      <c r="AH163" s="56" t="str">
        <f t="shared" si="52"/>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6"/>
        <v/>
      </c>
      <c r="L164" s="103" t="str">
        <f t="shared" si="38"/>
        <v/>
      </c>
      <c r="M164" s="52">
        <v>0</v>
      </c>
      <c r="N164" s="102" t="str">
        <f t="shared" si="39"/>
        <v/>
      </c>
      <c r="O164" s="103" t="str">
        <f t="shared" si="40"/>
        <v/>
      </c>
      <c r="P164" s="52">
        <v>0</v>
      </c>
      <c r="Q164" s="102" t="str">
        <f t="shared" si="41"/>
        <v/>
      </c>
      <c r="R164" s="103" t="str">
        <f t="shared" si="42"/>
        <v/>
      </c>
      <c r="S164" s="52">
        <v>0</v>
      </c>
      <c r="T164" s="102" t="str">
        <f t="shared" si="43"/>
        <v/>
      </c>
      <c r="U164" s="103" t="str">
        <f t="shared" si="44"/>
        <v/>
      </c>
      <c r="V164" s="52">
        <v>0</v>
      </c>
      <c r="W164" s="87" t="str">
        <f t="shared" si="45"/>
        <v/>
      </c>
      <c r="X164" s="103" t="str">
        <f t="shared" si="46"/>
        <v/>
      </c>
      <c r="Y164" s="52">
        <v>0</v>
      </c>
      <c r="Z164" s="56" t="str">
        <f t="shared" si="47"/>
        <v/>
      </c>
      <c r="AA164" s="56" t="str">
        <f t="shared" si="48"/>
        <v/>
      </c>
      <c r="AB164" s="56" t="str">
        <f t="shared" si="49"/>
        <v/>
      </c>
      <c r="AC164" s="56" t="str">
        <f t="shared" si="50"/>
        <v/>
      </c>
      <c r="AD164" s="56" t="str">
        <f t="shared" si="51"/>
        <v/>
      </c>
      <c r="AE164" s="40"/>
      <c r="AF164" s="40"/>
      <c r="AG164" s="40"/>
      <c r="AH164" s="56" t="str">
        <f t="shared" si="52"/>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6"/>
        <v/>
      </c>
      <c r="L165" s="103" t="str">
        <f t="shared" si="38"/>
        <v/>
      </c>
      <c r="M165" s="53">
        <v>0</v>
      </c>
      <c r="N165" s="102" t="str">
        <f t="shared" si="39"/>
        <v/>
      </c>
      <c r="O165" s="103" t="str">
        <f t="shared" si="40"/>
        <v/>
      </c>
      <c r="P165" s="53">
        <v>0</v>
      </c>
      <c r="Q165" s="102" t="str">
        <f t="shared" si="41"/>
        <v/>
      </c>
      <c r="R165" s="103" t="str">
        <f t="shared" si="42"/>
        <v/>
      </c>
      <c r="S165" s="53">
        <v>0</v>
      </c>
      <c r="T165" s="102" t="str">
        <f t="shared" si="43"/>
        <v/>
      </c>
      <c r="U165" s="103" t="str">
        <f t="shared" si="44"/>
        <v/>
      </c>
      <c r="V165" s="53">
        <v>0</v>
      </c>
      <c r="W165" s="87" t="str">
        <f t="shared" si="45"/>
        <v/>
      </c>
      <c r="X165" s="103" t="str">
        <f t="shared" si="46"/>
        <v/>
      </c>
      <c r="Y165" s="53">
        <v>0</v>
      </c>
      <c r="Z165" s="56" t="str">
        <f t="shared" si="47"/>
        <v/>
      </c>
      <c r="AA165" s="56" t="str">
        <f t="shared" si="48"/>
        <v/>
      </c>
      <c r="AB165" s="56" t="str">
        <f t="shared" si="49"/>
        <v/>
      </c>
      <c r="AC165" s="56" t="str">
        <f t="shared" si="50"/>
        <v/>
      </c>
      <c r="AD165" s="56" t="str">
        <f t="shared" si="51"/>
        <v/>
      </c>
      <c r="AE165" s="40"/>
      <c r="AF165" s="40"/>
      <c r="AG165" s="40"/>
      <c r="AH165" s="56" t="str">
        <f t="shared" si="52"/>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6"/>
        <v/>
      </c>
      <c r="L166" s="103" t="str">
        <f t="shared" si="38"/>
        <v/>
      </c>
      <c r="M166" s="52">
        <v>0</v>
      </c>
      <c r="N166" s="102" t="str">
        <f t="shared" si="39"/>
        <v/>
      </c>
      <c r="O166" s="103" t="str">
        <f t="shared" si="40"/>
        <v/>
      </c>
      <c r="P166" s="52">
        <v>0</v>
      </c>
      <c r="Q166" s="102" t="str">
        <f t="shared" si="41"/>
        <v/>
      </c>
      <c r="R166" s="103" t="str">
        <f t="shared" si="42"/>
        <v/>
      </c>
      <c r="S166" s="52">
        <v>0</v>
      </c>
      <c r="T166" s="102" t="str">
        <f t="shared" si="43"/>
        <v/>
      </c>
      <c r="U166" s="103" t="str">
        <f t="shared" si="44"/>
        <v/>
      </c>
      <c r="V166" s="52">
        <v>0</v>
      </c>
      <c r="W166" s="87" t="str">
        <f t="shared" si="45"/>
        <v/>
      </c>
      <c r="X166" s="103" t="str">
        <f t="shared" si="46"/>
        <v/>
      </c>
      <c r="Y166" s="52">
        <v>0</v>
      </c>
      <c r="Z166" s="56" t="str">
        <f t="shared" si="47"/>
        <v/>
      </c>
      <c r="AA166" s="56" t="str">
        <f t="shared" si="48"/>
        <v/>
      </c>
      <c r="AB166" s="56" t="str">
        <f t="shared" si="49"/>
        <v/>
      </c>
      <c r="AC166" s="56" t="str">
        <f t="shared" si="50"/>
        <v/>
      </c>
      <c r="AD166" s="56" t="str">
        <f t="shared" si="51"/>
        <v/>
      </c>
      <c r="AE166" s="40"/>
      <c r="AF166" s="40"/>
      <c r="AG166" s="40"/>
      <c r="AH166" s="56" t="str">
        <f t="shared" si="52"/>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6"/>
        <v/>
      </c>
      <c r="L167" s="103" t="str">
        <f t="shared" si="38"/>
        <v/>
      </c>
      <c r="M167" s="53">
        <v>0</v>
      </c>
      <c r="N167" s="102" t="str">
        <f t="shared" si="39"/>
        <v/>
      </c>
      <c r="O167" s="103" t="str">
        <f t="shared" si="40"/>
        <v/>
      </c>
      <c r="P167" s="53">
        <v>0</v>
      </c>
      <c r="Q167" s="102" t="str">
        <f t="shared" si="41"/>
        <v/>
      </c>
      <c r="R167" s="103" t="str">
        <f t="shared" si="42"/>
        <v/>
      </c>
      <c r="S167" s="53">
        <v>0</v>
      </c>
      <c r="T167" s="102" t="str">
        <f t="shared" si="43"/>
        <v/>
      </c>
      <c r="U167" s="103" t="str">
        <f t="shared" si="44"/>
        <v/>
      </c>
      <c r="V167" s="53">
        <v>0</v>
      </c>
      <c r="W167" s="87" t="str">
        <f t="shared" si="45"/>
        <v/>
      </c>
      <c r="X167" s="103" t="str">
        <f t="shared" si="46"/>
        <v/>
      </c>
      <c r="Y167" s="53">
        <v>0</v>
      </c>
      <c r="Z167" s="56" t="str">
        <f t="shared" si="47"/>
        <v/>
      </c>
      <c r="AA167" s="56" t="str">
        <f t="shared" si="48"/>
        <v/>
      </c>
      <c r="AB167" s="56" t="str">
        <f t="shared" si="49"/>
        <v/>
      </c>
      <c r="AC167" s="56" t="str">
        <f t="shared" si="50"/>
        <v/>
      </c>
      <c r="AD167" s="56" t="str">
        <f t="shared" si="51"/>
        <v/>
      </c>
      <c r="AE167" s="40"/>
      <c r="AF167" s="40"/>
      <c r="AG167" s="40"/>
      <c r="AH167" s="56" t="str">
        <f t="shared" si="52"/>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6"/>
        <v/>
      </c>
      <c r="L168" s="103" t="str">
        <f t="shared" si="38"/>
        <v/>
      </c>
      <c r="M168" s="52">
        <v>0</v>
      </c>
      <c r="N168" s="102" t="str">
        <f t="shared" si="39"/>
        <v/>
      </c>
      <c r="O168" s="103" t="str">
        <f t="shared" si="40"/>
        <v/>
      </c>
      <c r="P168" s="52">
        <v>0</v>
      </c>
      <c r="Q168" s="102" t="str">
        <f t="shared" si="41"/>
        <v/>
      </c>
      <c r="R168" s="103" t="str">
        <f t="shared" si="42"/>
        <v/>
      </c>
      <c r="S168" s="52">
        <v>0</v>
      </c>
      <c r="T168" s="102" t="str">
        <f t="shared" si="43"/>
        <v/>
      </c>
      <c r="U168" s="103" t="str">
        <f t="shared" si="44"/>
        <v/>
      </c>
      <c r="V168" s="52">
        <v>0</v>
      </c>
      <c r="W168" s="87" t="str">
        <f t="shared" si="45"/>
        <v/>
      </c>
      <c r="X168" s="103" t="str">
        <f t="shared" si="46"/>
        <v/>
      </c>
      <c r="Y168" s="52">
        <v>0</v>
      </c>
      <c r="Z168" s="56" t="str">
        <f t="shared" si="47"/>
        <v/>
      </c>
      <c r="AA168" s="56" t="str">
        <f t="shared" si="48"/>
        <v/>
      </c>
      <c r="AB168" s="56" t="str">
        <f t="shared" si="49"/>
        <v/>
      </c>
      <c r="AC168" s="56" t="str">
        <f t="shared" si="50"/>
        <v/>
      </c>
      <c r="AD168" s="56" t="str">
        <f t="shared" si="51"/>
        <v/>
      </c>
      <c r="AE168" s="40"/>
      <c r="AF168" s="40"/>
      <c r="AG168" s="40"/>
      <c r="AH168" s="56" t="str">
        <f t="shared" si="52"/>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ref="K169:K200" si="53">IF(H169="Topic",
"[ROLE] Friendly tutor specializing in " &amp; $I$2 &amp; " | " &amp;
"[TOPIC] " &amp; I169 &amp; " | " &amp;
"[LEVEL] " &amp; G169 &amp; " | " &amp;
"[COUNT] " &amp; D169 &amp; " examples | " &amp;
"[LIBRARY BEING LEARNED] " &amp; $I$3 &amp; " | " &amp;
_xlfn._LONGTEXT("[ECOSYSTEM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
"[LANGUAGE CONSISTENCY RULE] ALL output text MUST be written strictly in the selected language (" &amp; $A$6 &amp; "). This includes translating ALL structural labels requested in this prompt (like 'Dataset Summary', 'File Type', 'Columns / Fields', 'Data Types', 'Notes', 'Analogy', 'Exercise', 'Objective', 'Expected Output') into " &amp; $A$6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$A$6 &amp; ": " &amp; $AE$7) &amp; " | " &amp;
"[LANGUAGE] " &amp; $A$6 &amp; " | " &amp;
"[EXECUTIVE CONSTRAINTS] Each example MUST include: - Internal data OR dataset usage - Print key intermediate steps and the final result - MUST NOT exceed exactly " &amp; $C169 &amp; " lines of EXECUTABLE code (STRICT: Do NOT count comments or blank lines). - NEVER exceed this limit. | " &amp;
"[FUNCTION RULE] Rule: " &amp; IF(G169="Beginner","Focus: basic async/await, simple Future-returning methods on classes, synchronous Stream handling within class methods.", IF(G169="Intermediate", "Integrate StreamControllers (event-driven) inside classes, async* generators as methods, explicit state transitions via sealed class hierarchies.", "stateful class instances with strict typing, sealed state classes, or Stream-based message passing between objects")) &amp; " | " &amp;
_xlfn._LONGTEXT("[CODE_CONSTRAINTS_RULE] Each example MUST: - Use stateful class instances with strict typing, sealed state classes, or Stream-based message passing between objects - Print steps &amp; result via print() or developer.log() inside isolated scopes, error handler","s, or class methods - MAX ") &amp; $C169 &amp; " executable lines (comments/blanks excluded) - NEVER exceed limit. | " &amp;
_xlfn._LONGTEXT("[I_O_PARADIGM] Use standard event passing via StreamController.add, SendPort.send, or typed method calls on class interfaces and gracefully handle sealed classes representing states, Records like (response, newState), or typed Futures/Streams returned fro","m class methods when applicable. | ") &amp;
"[INLINE_PACKAGE_MANAGER] If using external packages, use Standard pubspec.yaml dependencies block (dependencies: package_name: ^version) at the top of the code block. Assume no project configuration file exists. | " &amp;
_xlfn._LONGTEXT("[TESTING_FRAMEWORK_LIMITS]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F169 &amp; " | Stage 1 📖 Practice | " &amp; IF($I$3="", $I$2, $I$2&amp; " - " &amp;$I$3) &amp; " | 📊 Level: " &amp; G169 &amp; " | 🌐 Coding5s.com" &amp; CHAR(10) &amp; "**Concept:** " &amp; J169 &amp; CHAR(10) &amp; "---" &amp; CHAR(10) &amp; " | " &amp;
"[INTRO RULE] Include a short tutor-style sentence in " &amp; $A$6 &amp; " before the analogy, followed by this EXACT instruction block translated to " &amp; $A$6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D169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IF(AJ169&lt;&gt;"", AJ169,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$A$6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IF(H169="PROJECT", Z169, ""))</f>
        <v/>
      </c>
      <c r="L169" s="103" t="str">
        <f t="shared" si="38"/>
        <v/>
      </c>
      <c r="M169" s="53">
        <v>0</v>
      </c>
      <c r="N169" s="102" t="str">
        <f t="shared" si="39"/>
        <v/>
      </c>
      <c r="O169" s="103" t="str">
        <f t="shared" si="40"/>
        <v/>
      </c>
      <c r="P169" s="53">
        <v>0</v>
      </c>
      <c r="Q169" s="102" t="str">
        <f t="shared" si="41"/>
        <v/>
      </c>
      <c r="R169" s="103" t="str">
        <f t="shared" si="42"/>
        <v/>
      </c>
      <c r="S169" s="53">
        <v>0</v>
      </c>
      <c r="T169" s="102" t="str">
        <f t="shared" si="43"/>
        <v/>
      </c>
      <c r="U169" s="103" t="str">
        <f t="shared" si="44"/>
        <v/>
      </c>
      <c r="V169" s="53">
        <v>0</v>
      </c>
      <c r="W169" s="87" t="str">
        <f t="shared" si="45"/>
        <v/>
      </c>
      <c r="X169" s="103" t="str">
        <f t="shared" si="46"/>
        <v/>
      </c>
      <c r="Y169" s="53">
        <v>0</v>
      </c>
      <c r="Z169" s="56" t="str">
        <f t="shared" si="47"/>
        <v/>
      </c>
      <c r="AA169" s="56" t="str">
        <f t="shared" si="48"/>
        <v/>
      </c>
      <c r="AB169" s="56" t="str">
        <f t="shared" si="49"/>
        <v/>
      </c>
      <c r="AC169" s="56" t="str">
        <f t="shared" si="50"/>
        <v/>
      </c>
      <c r="AD169" s="56" t="str">
        <f t="shared" si="51"/>
        <v/>
      </c>
      <c r="AE169" s="40"/>
      <c r="AF169" s="40"/>
      <c r="AG169" s="40"/>
      <c r="AH169" s="56" t="str">
        <f t="shared" si="52"/>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53"/>
        <v/>
      </c>
      <c r="L170" s="103" t="str">
        <f t="shared" si="38"/>
        <v/>
      </c>
      <c r="M170" s="52">
        <v>0</v>
      </c>
      <c r="N170" s="102" t="str">
        <f t="shared" si="39"/>
        <v/>
      </c>
      <c r="O170" s="103" t="str">
        <f t="shared" si="40"/>
        <v/>
      </c>
      <c r="P170" s="52">
        <v>0</v>
      </c>
      <c r="Q170" s="102" t="str">
        <f t="shared" si="41"/>
        <v/>
      </c>
      <c r="R170" s="103" t="str">
        <f t="shared" si="42"/>
        <v/>
      </c>
      <c r="S170" s="52">
        <v>0</v>
      </c>
      <c r="T170" s="102" t="str">
        <f t="shared" si="43"/>
        <v/>
      </c>
      <c r="U170" s="103" t="str">
        <f t="shared" si="44"/>
        <v/>
      </c>
      <c r="V170" s="52">
        <v>0</v>
      </c>
      <c r="W170" s="87" t="str">
        <f t="shared" si="45"/>
        <v/>
      </c>
      <c r="X170" s="103" t="str">
        <f t="shared" si="46"/>
        <v/>
      </c>
      <c r="Y170" s="52">
        <v>0</v>
      </c>
      <c r="Z170" s="56" t="str">
        <f t="shared" si="47"/>
        <v/>
      </c>
      <c r="AA170" s="56" t="str">
        <f t="shared" si="48"/>
        <v/>
      </c>
      <c r="AB170" s="56" t="str">
        <f t="shared" si="49"/>
        <v/>
      </c>
      <c r="AC170" s="56" t="str">
        <f t="shared" si="50"/>
        <v/>
      </c>
      <c r="AD170" s="56" t="str">
        <f t="shared" si="51"/>
        <v/>
      </c>
      <c r="AE170" s="40"/>
      <c r="AF170" s="40"/>
      <c r="AG170" s="40"/>
      <c r="AH170" s="56" t="str">
        <f t="shared" si="52"/>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53"/>
        <v/>
      </c>
      <c r="L171" s="103" t="str">
        <f t="shared" si="38"/>
        <v/>
      </c>
      <c r="M171" s="53">
        <v>0</v>
      </c>
      <c r="N171" s="102" t="str">
        <f t="shared" si="39"/>
        <v/>
      </c>
      <c r="O171" s="103" t="str">
        <f t="shared" si="40"/>
        <v/>
      </c>
      <c r="P171" s="53">
        <v>0</v>
      </c>
      <c r="Q171" s="102" t="str">
        <f t="shared" si="41"/>
        <v/>
      </c>
      <c r="R171" s="103" t="str">
        <f t="shared" si="42"/>
        <v/>
      </c>
      <c r="S171" s="53">
        <v>0</v>
      </c>
      <c r="T171" s="102" t="str">
        <f t="shared" si="43"/>
        <v/>
      </c>
      <c r="U171" s="103" t="str">
        <f t="shared" si="44"/>
        <v/>
      </c>
      <c r="V171" s="53">
        <v>0</v>
      </c>
      <c r="W171" s="87" t="str">
        <f t="shared" si="45"/>
        <v/>
      </c>
      <c r="X171" s="103" t="str">
        <f t="shared" si="46"/>
        <v/>
      </c>
      <c r="Y171" s="53">
        <v>0</v>
      </c>
      <c r="Z171" s="56" t="str">
        <f t="shared" si="47"/>
        <v/>
      </c>
      <c r="AA171" s="56" t="str">
        <f t="shared" si="48"/>
        <v/>
      </c>
      <c r="AB171" s="56" t="str">
        <f t="shared" si="49"/>
        <v/>
      </c>
      <c r="AC171" s="56" t="str">
        <f t="shared" si="50"/>
        <v/>
      </c>
      <c r="AD171" s="56" t="str">
        <f t="shared" si="51"/>
        <v/>
      </c>
      <c r="AE171" s="40"/>
      <c r="AF171" s="40"/>
      <c r="AG171" s="40"/>
      <c r="AH171" s="56" t="str">
        <f t="shared" si="52"/>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53"/>
        <v/>
      </c>
      <c r="L172" s="103" t="str">
        <f t="shared" si="38"/>
        <v/>
      </c>
      <c r="M172" s="52">
        <v>0</v>
      </c>
      <c r="N172" s="102" t="str">
        <f t="shared" si="39"/>
        <v/>
      </c>
      <c r="O172" s="103" t="str">
        <f t="shared" si="40"/>
        <v/>
      </c>
      <c r="P172" s="52">
        <v>0</v>
      </c>
      <c r="Q172" s="102" t="str">
        <f t="shared" si="41"/>
        <v/>
      </c>
      <c r="R172" s="103" t="str">
        <f t="shared" si="42"/>
        <v/>
      </c>
      <c r="S172" s="52">
        <v>0</v>
      </c>
      <c r="T172" s="102" t="str">
        <f t="shared" si="43"/>
        <v/>
      </c>
      <c r="U172" s="103" t="str">
        <f t="shared" si="44"/>
        <v/>
      </c>
      <c r="V172" s="52">
        <v>0</v>
      </c>
      <c r="W172" s="87" t="str">
        <f t="shared" si="45"/>
        <v/>
      </c>
      <c r="X172" s="103" t="str">
        <f t="shared" si="46"/>
        <v/>
      </c>
      <c r="Y172" s="52">
        <v>0</v>
      </c>
      <c r="Z172" s="56" t="str">
        <f t="shared" si="47"/>
        <v/>
      </c>
      <c r="AA172" s="56" t="str">
        <f t="shared" si="48"/>
        <v/>
      </c>
      <c r="AB172" s="56" t="str">
        <f t="shared" si="49"/>
        <v/>
      </c>
      <c r="AC172" s="56" t="str">
        <f t="shared" si="50"/>
        <v/>
      </c>
      <c r="AD172" s="56" t="str">
        <f t="shared" si="51"/>
        <v/>
      </c>
      <c r="AE172" s="40"/>
      <c r="AF172" s="40"/>
      <c r="AG172" s="40"/>
      <c r="AH172" s="56" t="str">
        <f t="shared" si="52"/>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53"/>
        <v/>
      </c>
      <c r="L173" s="103" t="str">
        <f t="shared" si="38"/>
        <v/>
      </c>
      <c r="M173" s="53">
        <v>0</v>
      </c>
      <c r="N173" s="102" t="str">
        <f t="shared" si="39"/>
        <v/>
      </c>
      <c r="O173" s="103" t="str">
        <f t="shared" si="40"/>
        <v/>
      </c>
      <c r="P173" s="53">
        <v>0</v>
      </c>
      <c r="Q173" s="102" t="str">
        <f t="shared" si="41"/>
        <v/>
      </c>
      <c r="R173" s="103" t="str">
        <f t="shared" si="42"/>
        <v/>
      </c>
      <c r="S173" s="53">
        <v>0</v>
      </c>
      <c r="T173" s="102" t="str">
        <f t="shared" si="43"/>
        <v/>
      </c>
      <c r="U173" s="103" t="str">
        <f t="shared" si="44"/>
        <v/>
      </c>
      <c r="V173" s="53">
        <v>0</v>
      </c>
      <c r="W173" s="87" t="str">
        <f t="shared" si="45"/>
        <v/>
      </c>
      <c r="X173" s="103" t="str">
        <f t="shared" si="46"/>
        <v/>
      </c>
      <c r="Y173" s="53">
        <v>0</v>
      </c>
      <c r="Z173" s="56" t="str">
        <f t="shared" si="47"/>
        <v/>
      </c>
      <c r="AA173" s="56" t="str">
        <f t="shared" si="48"/>
        <v/>
      </c>
      <c r="AB173" s="56" t="str">
        <f t="shared" si="49"/>
        <v/>
      </c>
      <c r="AC173" s="56" t="str">
        <f t="shared" si="50"/>
        <v/>
      </c>
      <c r="AD173" s="56" t="str">
        <f t="shared" si="51"/>
        <v/>
      </c>
      <c r="AE173" s="40"/>
      <c r="AF173" s="40"/>
      <c r="AG173" s="40"/>
      <c r="AH173" s="56" t="str">
        <f t="shared" si="52"/>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53"/>
        <v/>
      </c>
      <c r="L174" s="103" t="str">
        <f t="shared" si="38"/>
        <v/>
      </c>
      <c r="M174" s="52">
        <v>0</v>
      </c>
      <c r="N174" s="102" t="str">
        <f t="shared" si="39"/>
        <v/>
      </c>
      <c r="O174" s="103" t="str">
        <f t="shared" si="40"/>
        <v/>
      </c>
      <c r="P174" s="52">
        <v>0</v>
      </c>
      <c r="Q174" s="102" t="str">
        <f t="shared" si="41"/>
        <v/>
      </c>
      <c r="R174" s="103" t="str">
        <f t="shared" si="42"/>
        <v/>
      </c>
      <c r="S174" s="52">
        <v>0</v>
      </c>
      <c r="T174" s="102" t="str">
        <f t="shared" si="43"/>
        <v/>
      </c>
      <c r="U174" s="103" t="str">
        <f t="shared" si="44"/>
        <v/>
      </c>
      <c r="V174" s="52">
        <v>0</v>
      </c>
      <c r="W174" s="87" t="str">
        <f t="shared" si="45"/>
        <v/>
      </c>
      <c r="X174" s="103" t="str">
        <f t="shared" si="46"/>
        <v/>
      </c>
      <c r="Y174" s="52">
        <v>0</v>
      </c>
      <c r="Z174" s="56" t="str">
        <f t="shared" si="47"/>
        <v/>
      </c>
      <c r="AA174" s="56" t="str">
        <f t="shared" si="48"/>
        <v/>
      </c>
      <c r="AB174" s="56" t="str">
        <f t="shared" si="49"/>
        <v/>
      </c>
      <c r="AC174" s="56" t="str">
        <f t="shared" si="50"/>
        <v/>
      </c>
      <c r="AD174" s="56" t="str">
        <f t="shared" si="51"/>
        <v/>
      </c>
      <c r="AE174" s="40"/>
      <c r="AF174" s="40"/>
      <c r="AG174" s="40"/>
      <c r="AH174" s="56" t="str">
        <f t="shared" si="52"/>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53"/>
        <v/>
      </c>
      <c r="L175" s="103" t="str">
        <f t="shared" si="38"/>
        <v/>
      </c>
      <c r="M175" s="53">
        <v>0</v>
      </c>
      <c r="N175" s="102" t="str">
        <f t="shared" si="39"/>
        <v/>
      </c>
      <c r="O175" s="103" t="str">
        <f t="shared" si="40"/>
        <v/>
      </c>
      <c r="P175" s="53">
        <v>0</v>
      </c>
      <c r="Q175" s="102" t="str">
        <f t="shared" si="41"/>
        <v/>
      </c>
      <c r="R175" s="103" t="str">
        <f t="shared" si="42"/>
        <v/>
      </c>
      <c r="S175" s="53">
        <v>0</v>
      </c>
      <c r="T175" s="102" t="str">
        <f t="shared" si="43"/>
        <v/>
      </c>
      <c r="U175" s="103" t="str">
        <f t="shared" si="44"/>
        <v/>
      </c>
      <c r="V175" s="53">
        <v>0</v>
      </c>
      <c r="W175" s="87" t="str">
        <f t="shared" si="45"/>
        <v/>
      </c>
      <c r="X175" s="103" t="str">
        <f t="shared" si="46"/>
        <v/>
      </c>
      <c r="Y175" s="53">
        <v>0</v>
      </c>
      <c r="Z175" s="56" t="str">
        <f t="shared" si="47"/>
        <v/>
      </c>
      <c r="AA175" s="56" t="str">
        <f t="shared" si="48"/>
        <v/>
      </c>
      <c r="AB175" s="56" t="str">
        <f t="shared" si="49"/>
        <v/>
      </c>
      <c r="AC175" s="56" t="str">
        <f t="shared" si="50"/>
        <v/>
      </c>
      <c r="AD175" s="56" t="str">
        <f t="shared" si="51"/>
        <v/>
      </c>
      <c r="AE175" s="40"/>
      <c r="AF175" s="40"/>
      <c r="AG175" s="40"/>
      <c r="AH175" s="56" t="str">
        <f t="shared" si="52"/>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53"/>
        <v/>
      </c>
      <c r="L176" s="103" t="str">
        <f t="shared" si="38"/>
        <v/>
      </c>
      <c r="M176" s="52">
        <v>0</v>
      </c>
      <c r="N176" s="102" t="str">
        <f t="shared" si="39"/>
        <v/>
      </c>
      <c r="O176" s="103" t="str">
        <f t="shared" si="40"/>
        <v/>
      </c>
      <c r="P176" s="52">
        <v>0</v>
      </c>
      <c r="Q176" s="102" t="str">
        <f t="shared" si="41"/>
        <v/>
      </c>
      <c r="R176" s="103" t="str">
        <f t="shared" si="42"/>
        <v/>
      </c>
      <c r="S176" s="52">
        <v>0</v>
      </c>
      <c r="T176" s="102" t="str">
        <f t="shared" si="43"/>
        <v/>
      </c>
      <c r="U176" s="103" t="str">
        <f t="shared" si="44"/>
        <v/>
      </c>
      <c r="V176" s="52">
        <v>0</v>
      </c>
      <c r="W176" s="87" t="str">
        <f t="shared" si="45"/>
        <v/>
      </c>
      <c r="X176" s="103" t="str">
        <f t="shared" si="46"/>
        <v/>
      </c>
      <c r="Y176" s="52">
        <v>0</v>
      </c>
      <c r="Z176" s="56" t="str">
        <f t="shared" si="47"/>
        <v/>
      </c>
      <c r="AA176" s="56" t="str">
        <f t="shared" si="48"/>
        <v/>
      </c>
      <c r="AB176" s="56" t="str">
        <f t="shared" si="49"/>
        <v/>
      </c>
      <c r="AC176" s="56" t="str">
        <f t="shared" si="50"/>
        <v/>
      </c>
      <c r="AD176" s="56" t="str">
        <f t="shared" si="51"/>
        <v/>
      </c>
      <c r="AE176" s="40"/>
      <c r="AF176" s="40"/>
      <c r="AG176" s="40"/>
      <c r="AH176" s="56" t="str">
        <f t="shared" si="52"/>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53"/>
        <v/>
      </c>
      <c r="L177" s="103" t="str">
        <f t="shared" si="38"/>
        <v/>
      </c>
      <c r="M177" s="53">
        <v>0</v>
      </c>
      <c r="N177" s="102" t="str">
        <f t="shared" si="39"/>
        <v/>
      </c>
      <c r="O177" s="103" t="str">
        <f t="shared" si="40"/>
        <v/>
      </c>
      <c r="P177" s="53">
        <v>0</v>
      </c>
      <c r="Q177" s="102" t="str">
        <f t="shared" si="41"/>
        <v/>
      </c>
      <c r="R177" s="103" t="str">
        <f t="shared" si="42"/>
        <v/>
      </c>
      <c r="S177" s="53">
        <v>0</v>
      </c>
      <c r="T177" s="102" t="str">
        <f t="shared" si="43"/>
        <v/>
      </c>
      <c r="U177" s="103" t="str">
        <f t="shared" si="44"/>
        <v/>
      </c>
      <c r="V177" s="53">
        <v>0</v>
      </c>
      <c r="W177" s="87" t="str">
        <f t="shared" si="45"/>
        <v/>
      </c>
      <c r="X177" s="103" t="str">
        <f t="shared" si="46"/>
        <v/>
      </c>
      <c r="Y177" s="53">
        <v>0</v>
      </c>
      <c r="Z177" s="56" t="str">
        <f t="shared" si="47"/>
        <v/>
      </c>
      <c r="AA177" s="56" t="str">
        <f t="shared" si="48"/>
        <v/>
      </c>
      <c r="AB177" s="56" t="str">
        <f t="shared" si="49"/>
        <v/>
      </c>
      <c r="AC177" s="56" t="str">
        <f t="shared" si="50"/>
        <v/>
      </c>
      <c r="AD177" s="56" t="str">
        <f t="shared" si="51"/>
        <v/>
      </c>
      <c r="AE177" s="40"/>
      <c r="AF177" s="40"/>
      <c r="AG177" s="40"/>
      <c r="AH177" s="56" t="str">
        <f t="shared" si="52"/>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53"/>
        <v/>
      </c>
      <c r="L178" s="103" t="str">
        <f t="shared" si="38"/>
        <v/>
      </c>
      <c r="M178" s="52">
        <v>0</v>
      </c>
      <c r="N178" s="102" t="str">
        <f t="shared" si="39"/>
        <v/>
      </c>
      <c r="O178" s="103" t="str">
        <f t="shared" si="40"/>
        <v/>
      </c>
      <c r="P178" s="52">
        <v>0</v>
      </c>
      <c r="Q178" s="102" t="str">
        <f t="shared" si="41"/>
        <v/>
      </c>
      <c r="R178" s="103" t="str">
        <f t="shared" si="42"/>
        <v/>
      </c>
      <c r="S178" s="52">
        <v>0</v>
      </c>
      <c r="T178" s="102" t="str">
        <f t="shared" si="43"/>
        <v/>
      </c>
      <c r="U178" s="103" t="str">
        <f t="shared" si="44"/>
        <v/>
      </c>
      <c r="V178" s="52">
        <v>0</v>
      </c>
      <c r="W178" s="87" t="str">
        <f t="shared" si="45"/>
        <v/>
      </c>
      <c r="X178" s="103" t="str">
        <f t="shared" si="46"/>
        <v/>
      </c>
      <c r="Y178" s="52">
        <v>0</v>
      </c>
      <c r="Z178" s="56" t="str">
        <f t="shared" si="47"/>
        <v/>
      </c>
      <c r="AA178" s="56" t="str">
        <f t="shared" si="48"/>
        <v/>
      </c>
      <c r="AB178" s="56" t="str">
        <f t="shared" si="49"/>
        <v/>
      </c>
      <c r="AC178" s="56" t="str">
        <f t="shared" si="50"/>
        <v/>
      </c>
      <c r="AD178" s="56" t="str">
        <f t="shared" si="51"/>
        <v/>
      </c>
      <c r="AE178" s="40"/>
      <c r="AF178" s="40"/>
      <c r="AG178" s="40"/>
      <c r="AH178" s="56" t="str">
        <f t="shared" si="52"/>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53"/>
        <v/>
      </c>
      <c r="L179" s="103" t="str">
        <f t="shared" si="38"/>
        <v/>
      </c>
      <c r="M179" s="53">
        <v>0</v>
      </c>
      <c r="N179" s="102" t="str">
        <f t="shared" si="39"/>
        <v/>
      </c>
      <c r="O179" s="103" t="str">
        <f t="shared" si="40"/>
        <v/>
      </c>
      <c r="P179" s="53">
        <v>0</v>
      </c>
      <c r="Q179" s="102" t="str">
        <f t="shared" si="41"/>
        <v/>
      </c>
      <c r="R179" s="103" t="str">
        <f t="shared" si="42"/>
        <v/>
      </c>
      <c r="S179" s="53">
        <v>0</v>
      </c>
      <c r="T179" s="102" t="str">
        <f t="shared" si="43"/>
        <v/>
      </c>
      <c r="U179" s="103" t="str">
        <f t="shared" si="44"/>
        <v/>
      </c>
      <c r="V179" s="53">
        <v>0</v>
      </c>
      <c r="W179" s="87" t="str">
        <f t="shared" si="45"/>
        <v/>
      </c>
      <c r="X179" s="103" t="str">
        <f t="shared" si="46"/>
        <v/>
      </c>
      <c r="Y179" s="53">
        <v>0</v>
      </c>
      <c r="Z179" s="56" t="str">
        <f t="shared" si="47"/>
        <v/>
      </c>
      <c r="AA179" s="56" t="str">
        <f t="shared" si="48"/>
        <v/>
      </c>
      <c r="AB179" s="56" t="str">
        <f t="shared" si="49"/>
        <v/>
      </c>
      <c r="AC179" s="56" t="str">
        <f t="shared" si="50"/>
        <v/>
      </c>
      <c r="AD179" s="56" t="str">
        <f t="shared" si="51"/>
        <v/>
      </c>
      <c r="AE179" s="40"/>
      <c r="AF179" s="40"/>
      <c r="AG179" s="40"/>
      <c r="AH179" s="56" t="str">
        <f t="shared" si="52"/>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53"/>
        <v/>
      </c>
      <c r="L180" s="103" t="str">
        <f t="shared" si="38"/>
        <v/>
      </c>
      <c r="M180" s="52">
        <v>0</v>
      </c>
      <c r="N180" s="102" t="str">
        <f t="shared" si="39"/>
        <v/>
      </c>
      <c r="O180" s="103" t="str">
        <f t="shared" si="40"/>
        <v/>
      </c>
      <c r="P180" s="52">
        <v>0</v>
      </c>
      <c r="Q180" s="102" t="str">
        <f t="shared" si="41"/>
        <v/>
      </c>
      <c r="R180" s="103" t="str">
        <f t="shared" si="42"/>
        <v/>
      </c>
      <c r="S180" s="52">
        <v>0</v>
      </c>
      <c r="T180" s="102" t="str">
        <f t="shared" si="43"/>
        <v/>
      </c>
      <c r="U180" s="103" t="str">
        <f t="shared" si="44"/>
        <v/>
      </c>
      <c r="V180" s="52">
        <v>0</v>
      </c>
      <c r="W180" s="87" t="str">
        <f t="shared" si="45"/>
        <v/>
      </c>
      <c r="X180" s="103" t="str">
        <f t="shared" si="46"/>
        <v/>
      </c>
      <c r="Y180" s="52">
        <v>0</v>
      </c>
      <c r="Z180" s="56" t="str">
        <f t="shared" si="47"/>
        <v/>
      </c>
      <c r="AA180" s="56" t="str">
        <f t="shared" si="48"/>
        <v/>
      </c>
      <c r="AB180" s="56" t="str">
        <f t="shared" si="49"/>
        <v/>
      </c>
      <c r="AC180" s="56" t="str">
        <f t="shared" si="50"/>
        <v/>
      </c>
      <c r="AD180" s="56" t="str">
        <f t="shared" si="51"/>
        <v/>
      </c>
      <c r="AE180" s="40"/>
      <c r="AF180" s="40"/>
      <c r="AG180" s="40"/>
      <c r="AH180" s="56" t="str">
        <f t="shared" si="52"/>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53"/>
        <v/>
      </c>
      <c r="L181" s="103" t="str">
        <f t="shared" si="38"/>
        <v/>
      </c>
      <c r="M181" s="53">
        <v>0</v>
      </c>
      <c r="N181" s="102" t="str">
        <f t="shared" si="39"/>
        <v/>
      </c>
      <c r="O181" s="103" t="str">
        <f t="shared" si="40"/>
        <v/>
      </c>
      <c r="P181" s="53">
        <v>0</v>
      </c>
      <c r="Q181" s="102" t="str">
        <f t="shared" si="41"/>
        <v/>
      </c>
      <c r="R181" s="103" t="str">
        <f t="shared" si="42"/>
        <v/>
      </c>
      <c r="S181" s="53">
        <v>0</v>
      </c>
      <c r="T181" s="102" t="str">
        <f t="shared" si="43"/>
        <v/>
      </c>
      <c r="U181" s="103" t="str">
        <f t="shared" si="44"/>
        <v/>
      </c>
      <c r="V181" s="53">
        <v>0</v>
      </c>
      <c r="W181" s="87" t="str">
        <f t="shared" si="45"/>
        <v/>
      </c>
      <c r="X181" s="103" t="str">
        <f t="shared" si="46"/>
        <v/>
      </c>
      <c r="Y181" s="53">
        <v>0</v>
      </c>
      <c r="Z181" s="56" t="str">
        <f t="shared" si="47"/>
        <v/>
      </c>
      <c r="AA181" s="56" t="str">
        <f t="shared" si="48"/>
        <v/>
      </c>
      <c r="AB181" s="56" t="str">
        <f t="shared" si="49"/>
        <v/>
      </c>
      <c r="AC181" s="56" t="str">
        <f t="shared" si="50"/>
        <v/>
      </c>
      <c r="AD181" s="56" t="str">
        <f t="shared" si="51"/>
        <v/>
      </c>
      <c r="AE181" s="40"/>
      <c r="AF181" s="40"/>
      <c r="AG181" s="40"/>
      <c r="AH181" s="56" t="str">
        <f t="shared" si="52"/>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53"/>
        <v/>
      </c>
      <c r="L182" s="103" t="str">
        <f t="shared" si="38"/>
        <v/>
      </c>
      <c r="M182" s="52">
        <v>0</v>
      </c>
      <c r="N182" s="102" t="str">
        <f t="shared" si="39"/>
        <v/>
      </c>
      <c r="O182" s="103" t="str">
        <f t="shared" si="40"/>
        <v/>
      </c>
      <c r="P182" s="52">
        <v>0</v>
      </c>
      <c r="Q182" s="102" t="str">
        <f t="shared" si="41"/>
        <v/>
      </c>
      <c r="R182" s="103" t="str">
        <f t="shared" si="42"/>
        <v/>
      </c>
      <c r="S182" s="52">
        <v>0</v>
      </c>
      <c r="T182" s="102" t="str">
        <f t="shared" si="43"/>
        <v/>
      </c>
      <c r="U182" s="103" t="str">
        <f t="shared" si="44"/>
        <v/>
      </c>
      <c r="V182" s="52">
        <v>0</v>
      </c>
      <c r="W182" s="87" t="str">
        <f t="shared" si="45"/>
        <v/>
      </c>
      <c r="X182" s="103" t="str">
        <f t="shared" si="46"/>
        <v/>
      </c>
      <c r="Y182" s="52">
        <v>0</v>
      </c>
      <c r="Z182" s="56" t="str">
        <f t="shared" si="47"/>
        <v/>
      </c>
      <c r="AA182" s="56" t="str">
        <f t="shared" si="48"/>
        <v/>
      </c>
      <c r="AB182" s="56" t="str">
        <f t="shared" si="49"/>
        <v/>
      </c>
      <c r="AC182" s="56" t="str">
        <f t="shared" si="50"/>
        <v/>
      </c>
      <c r="AD182" s="56" t="str">
        <f t="shared" si="51"/>
        <v/>
      </c>
      <c r="AE182" s="40"/>
      <c r="AF182" s="40"/>
      <c r="AG182" s="40"/>
      <c r="AH182" s="56" t="str">
        <f t="shared" si="52"/>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53"/>
        <v/>
      </c>
      <c r="L183" s="103" t="str">
        <f t="shared" si="38"/>
        <v/>
      </c>
      <c r="M183" s="53">
        <v>0</v>
      </c>
      <c r="N183" s="102" t="str">
        <f t="shared" si="39"/>
        <v/>
      </c>
      <c r="O183" s="103" t="str">
        <f t="shared" si="40"/>
        <v/>
      </c>
      <c r="P183" s="53">
        <v>0</v>
      </c>
      <c r="Q183" s="102" t="str">
        <f t="shared" si="41"/>
        <v/>
      </c>
      <c r="R183" s="103" t="str">
        <f t="shared" si="42"/>
        <v/>
      </c>
      <c r="S183" s="53">
        <v>0</v>
      </c>
      <c r="T183" s="102" t="str">
        <f t="shared" si="43"/>
        <v/>
      </c>
      <c r="U183" s="103" t="str">
        <f t="shared" si="44"/>
        <v/>
      </c>
      <c r="V183" s="53">
        <v>0</v>
      </c>
      <c r="W183" s="87" t="str">
        <f t="shared" si="45"/>
        <v/>
      </c>
      <c r="X183" s="103" t="str">
        <f t="shared" si="46"/>
        <v/>
      </c>
      <c r="Y183" s="53">
        <v>0</v>
      </c>
      <c r="Z183" s="56" t="str">
        <f t="shared" si="47"/>
        <v/>
      </c>
      <c r="AA183" s="56" t="str">
        <f t="shared" si="48"/>
        <v/>
      </c>
      <c r="AB183" s="56" t="str">
        <f t="shared" si="49"/>
        <v/>
      </c>
      <c r="AC183" s="56" t="str">
        <f t="shared" si="50"/>
        <v/>
      </c>
      <c r="AD183" s="56" t="str">
        <f t="shared" si="51"/>
        <v/>
      </c>
      <c r="AE183" s="40"/>
      <c r="AF183" s="40"/>
      <c r="AG183" s="40"/>
      <c r="AH183" s="56" t="str">
        <f t="shared" si="52"/>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53"/>
        <v/>
      </c>
      <c r="L184" s="103" t="str">
        <f t="shared" si="38"/>
        <v/>
      </c>
      <c r="M184" s="52">
        <v>0</v>
      </c>
      <c r="N184" s="102" t="str">
        <f t="shared" si="39"/>
        <v/>
      </c>
      <c r="O184" s="103" t="str">
        <f t="shared" si="40"/>
        <v/>
      </c>
      <c r="P184" s="52">
        <v>0</v>
      </c>
      <c r="Q184" s="102" t="str">
        <f t="shared" si="41"/>
        <v/>
      </c>
      <c r="R184" s="103" t="str">
        <f t="shared" si="42"/>
        <v/>
      </c>
      <c r="S184" s="52">
        <v>0</v>
      </c>
      <c r="T184" s="102" t="str">
        <f t="shared" si="43"/>
        <v/>
      </c>
      <c r="U184" s="103" t="str">
        <f t="shared" si="44"/>
        <v/>
      </c>
      <c r="V184" s="52">
        <v>0</v>
      </c>
      <c r="W184" s="87" t="str">
        <f t="shared" si="45"/>
        <v/>
      </c>
      <c r="X184" s="103" t="str">
        <f t="shared" si="46"/>
        <v/>
      </c>
      <c r="Y184" s="52">
        <v>0</v>
      </c>
      <c r="Z184" s="56" t="str">
        <f t="shared" si="47"/>
        <v/>
      </c>
      <c r="AA184" s="56" t="str">
        <f t="shared" si="48"/>
        <v/>
      </c>
      <c r="AB184" s="56" t="str">
        <f t="shared" si="49"/>
        <v/>
      </c>
      <c r="AC184" s="56" t="str">
        <f t="shared" si="50"/>
        <v/>
      </c>
      <c r="AD184" s="56" t="str">
        <f t="shared" si="51"/>
        <v/>
      </c>
      <c r="AE184" s="40"/>
      <c r="AF184" s="40"/>
      <c r="AG184" s="40"/>
      <c r="AH184" s="56" t="str">
        <f t="shared" si="52"/>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53"/>
        <v/>
      </c>
      <c r="L185" s="103" t="str">
        <f t="shared" si="38"/>
        <v/>
      </c>
      <c r="M185" s="53">
        <v>0</v>
      </c>
      <c r="N185" s="102" t="str">
        <f t="shared" si="39"/>
        <v/>
      </c>
      <c r="O185" s="103" t="str">
        <f t="shared" si="40"/>
        <v/>
      </c>
      <c r="P185" s="53">
        <v>0</v>
      </c>
      <c r="Q185" s="102" t="str">
        <f t="shared" si="41"/>
        <v/>
      </c>
      <c r="R185" s="103" t="str">
        <f t="shared" si="42"/>
        <v/>
      </c>
      <c r="S185" s="53">
        <v>0</v>
      </c>
      <c r="T185" s="102" t="str">
        <f t="shared" si="43"/>
        <v/>
      </c>
      <c r="U185" s="103" t="str">
        <f t="shared" si="44"/>
        <v/>
      </c>
      <c r="V185" s="53">
        <v>0</v>
      </c>
      <c r="W185" s="87" t="str">
        <f t="shared" si="45"/>
        <v/>
      </c>
      <c r="X185" s="103" t="str">
        <f t="shared" si="46"/>
        <v/>
      </c>
      <c r="Y185" s="53">
        <v>0</v>
      </c>
      <c r="Z185" s="56" t="str">
        <f t="shared" si="47"/>
        <v/>
      </c>
      <c r="AA185" s="56" t="str">
        <f t="shared" si="48"/>
        <v/>
      </c>
      <c r="AB185" s="56" t="str">
        <f t="shared" si="49"/>
        <v/>
      </c>
      <c r="AC185" s="56" t="str">
        <f t="shared" si="50"/>
        <v/>
      </c>
      <c r="AD185" s="56" t="str">
        <f t="shared" si="51"/>
        <v/>
      </c>
      <c r="AE185" s="40"/>
      <c r="AF185" s="40"/>
      <c r="AG185" s="40"/>
      <c r="AH185" s="56" t="str">
        <f t="shared" si="52"/>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53"/>
        <v/>
      </c>
      <c r="L186" s="103" t="str">
        <f t="shared" si="38"/>
        <v/>
      </c>
      <c r="M186" s="52">
        <v>0</v>
      </c>
      <c r="N186" s="102" t="str">
        <f t="shared" si="39"/>
        <v/>
      </c>
      <c r="O186" s="103" t="str">
        <f t="shared" si="40"/>
        <v/>
      </c>
      <c r="P186" s="52">
        <v>0</v>
      </c>
      <c r="Q186" s="102" t="str">
        <f t="shared" si="41"/>
        <v/>
      </c>
      <c r="R186" s="103" t="str">
        <f t="shared" si="42"/>
        <v/>
      </c>
      <c r="S186" s="52">
        <v>0</v>
      </c>
      <c r="T186" s="102" t="str">
        <f t="shared" si="43"/>
        <v/>
      </c>
      <c r="U186" s="103" t="str">
        <f t="shared" si="44"/>
        <v/>
      </c>
      <c r="V186" s="52">
        <v>0</v>
      </c>
      <c r="W186" s="87" t="str">
        <f t="shared" si="45"/>
        <v/>
      </c>
      <c r="X186" s="103" t="str">
        <f t="shared" si="46"/>
        <v/>
      </c>
      <c r="Y186" s="52">
        <v>0</v>
      </c>
      <c r="Z186" s="56" t="str">
        <f t="shared" si="47"/>
        <v/>
      </c>
      <c r="AA186" s="56" t="str">
        <f t="shared" si="48"/>
        <v/>
      </c>
      <c r="AB186" s="56" t="str">
        <f t="shared" si="49"/>
        <v/>
      </c>
      <c r="AC186" s="56" t="str">
        <f t="shared" si="50"/>
        <v/>
      </c>
      <c r="AD186" s="56" t="str">
        <f t="shared" si="51"/>
        <v/>
      </c>
      <c r="AE186" s="40"/>
      <c r="AF186" s="40"/>
      <c r="AG186" s="40"/>
      <c r="AH186" s="56" t="str">
        <f t="shared" si="52"/>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53"/>
        <v/>
      </c>
      <c r="L187" s="103" t="str">
        <f t="shared" si="38"/>
        <v/>
      </c>
      <c r="M187" s="53">
        <v>0</v>
      </c>
      <c r="N187" s="102" t="str">
        <f t="shared" si="39"/>
        <v/>
      </c>
      <c r="O187" s="103" t="str">
        <f t="shared" si="40"/>
        <v/>
      </c>
      <c r="P187" s="53">
        <v>0</v>
      </c>
      <c r="Q187" s="102" t="str">
        <f t="shared" si="41"/>
        <v/>
      </c>
      <c r="R187" s="103" t="str">
        <f t="shared" si="42"/>
        <v/>
      </c>
      <c r="S187" s="53">
        <v>0</v>
      </c>
      <c r="T187" s="102" t="str">
        <f t="shared" si="43"/>
        <v/>
      </c>
      <c r="U187" s="103" t="str">
        <f t="shared" si="44"/>
        <v/>
      </c>
      <c r="V187" s="53">
        <v>0</v>
      </c>
      <c r="W187" s="87" t="str">
        <f t="shared" si="45"/>
        <v/>
      </c>
      <c r="X187" s="103" t="str">
        <f t="shared" si="46"/>
        <v/>
      </c>
      <c r="Y187" s="53">
        <v>0</v>
      </c>
      <c r="Z187" s="56" t="str">
        <f t="shared" si="47"/>
        <v/>
      </c>
      <c r="AA187" s="56" t="str">
        <f t="shared" si="48"/>
        <v/>
      </c>
      <c r="AB187" s="56" t="str">
        <f t="shared" si="49"/>
        <v/>
      </c>
      <c r="AC187" s="56" t="str">
        <f t="shared" si="50"/>
        <v/>
      </c>
      <c r="AD187" s="56" t="str">
        <f t="shared" si="51"/>
        <v/>
      </c>
      <c r="AE187" s="40"/>
      <c r="AF187" s="40"/>
      <c r="AG187" s="40"/>
      <c r="AH187" s="56" t="str">
        <f t="shared" si="52"/>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53"/>
        <v/>
      </c>
      <c r="L188" s="103" t="str">
        <f t="shared" si="38"/>
        <v/>
      </c>
      <c r="M188" s="52">
        <v>0</v>
      </c>
      <c r="N188" s="102" t="str">
        <f t="shared" si="39"/>
        <v/>
      </c>
      <c r="O188" s="103" t="str">
        <f t="shared" si="40"/>
        <v/>
      </c>
      <c r="P188" s="52">
        <v>0</v>
      </c>
      <c r="Q188" s="102" t="str">
        <f t="shared" si="41"/>
        <v/>
      </c>
      <c r="R188" s="103" t="str">
        <f t="shared" si="42"/>
        <v/>
      </c>
      <c r="S188" s="52">
        <v>0</v>
      </c>
      <c r="T188" s="102" t="str">
        <f t="shared" si="43"/>
        <v/>
      </c>
      <c r="U188" s="103" t="str">
        <f t="shared" si="44"/>
        <v/>
      </c>
      <c r="V188" s="52">
        <v>0</v>
      </c>
      <c r="W188" s="87" t="str">
        <f t="shared" si="45"/>
        <v/>
      </c>
      <c r="X188" s="103" t="str">
        <f t="shared" si="46"/>
        <v/>
      </c>
      <c r="Y188" s="52">
        <v>0</v>
      </c>
      <c r="Z188" s="56" t="str">
        <f t="shared" si="47"/>
        <v/>
      </c>
      <c r="AA188" s="56" t="str">
        <f t="shared" si="48"/>
        <v/>
      </c>
      <c r="AB188" s="56" t="str">
        <f t="shared" si="49"/>
        <v/>
      </c>
      <c r="AC188" s="56" t="str">
        <f t="shared" si="50"/>
        <v/>
      </c>
      <c r="AD188" s="56" t="str">
        <f t="shared" si="51"/>
        <v/>
      </c>
      <c r="AE188" s="40"/>
      <c r="AF188" s="40"/>
      <c r="AG188" s="40"/>
      <c r="AH188" s="56" t="str">
        <f t="shared" si="52"/>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53"/>
        <v/>
      </c>
      <c r="L189" s="103" t="str">
        <f t="shared" si="38"/>
        <v/>
      </c>
      <c r="M189" s="53">
        <v>0</v>
      </c>
      <c r="N189" s="102" t="str">
        <f t="shared" si="39"/>
        <v/>
      </c>
      <c r="O189" s="103" t="str">
        <f t="shared" si="40"/>
        <v/>
      </c>
      <c r="P189" s="53">
        <v>0</v>
      </c>
      <c r="Q189" s="102" t="str">
        <f t="shared" si="41"/>
        <v/>
      </c>
      <c r="R189" s="103" t="str">
        <f t="shared" si="42"/>
        <v/>
      </c>
      <c r="S189" s="53">
        <v>0</v>
      </c>
      <c r="T189" s="102" t="str">
        <f t="shared" si="43"/>
        <v/>
      </c>
      <c r="U189" s="103" t="str">
        <f t="shared" si="44"/>
        <v/>
      </c>
      <c r="V189" s="53">
        <v>0</v>
      </c>
      <c r="W189" s="87" t="str">
        <f t="shared" si="45"/>
        <v/>
      </c>
      <c r="X189" s="103" t="str">
        <f t="shared" si="46"/>
        <v/>
      </c>
      <c r="Y189" s="53">
        <v>0</v>
      </c>
      <c r="Z189" s="56" t="str">
        <f t="shared" si="47"/>
        <v/>
      </c>
      <c r="AA189" s="56" t="str">
        <f t="shared" si="48"/>
        <v/>
      </c>
      <c r="AB189" s="56" t="str">
        <f t="shared" si="49"/>
        <v/>
      </c>
      <c r="AC189" s="56" t="str">
        <f t="shared" si="50"/>
        <v/>
      </c>
      <c r="AD189" s="56" t="str">
        <f t="shared" si="51"/>
        <v/>
      </c>
      <c r="AE189" s="40"/>
      <c r="AF189" s="40"/>
      <c r="AG189" s="40"/>
      <c r="AH189" s="56" t="str">
        <f t="shared" si="52"/>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53"/>
        <v/>
      </c>
      <c r="L190" s="103" t="str">
        <f t="shared" si="38"/>
        <v/>
      </c>
      <c r="M190" s="52">
        <v>0</v>
      </c>
      <c r="N190" s="102" t="str">
        <f t="shared" si="39"/>
        <v/>
      </c>
      <c r="O190" s="103" t="str">
        <f t="shared" si="40"/>
        <v/>
      </c>
      <c r="P190" s="52">
        <v>0</v>
      </c>
      <c r="Q190" s="102" t="str">
        <f t="shared" si="41"/>
        <v/>
      </c>
      <c r="R190" s="103" t="str">
        <f t="shared" si="42"/>
        <v/>
      </c>
      <c r="S190" s="52">
        <v>0</v>
      </c>
      <c r="T190" s="102" t="str">
        <f t="shared" si="43"/>
        <v/>
      </c>
      <c r="U190" s="103" t="str">
        <f t="shared" si="44"/>
        <v/>
      </c>
      <c r="V190" s="52">
        <v>0</v>
      </c>
      <c r="W190" s="87" t="str">
        <f t="shared" si="45"/>
        <v/>
      </c>
      <c r="X190" s="103" t="str">
        <f t="shared" si="46"/>
        <v/>
      </c>
      <c r="Y190" s="52">
        <v>0</v>
      </c>
      <c r="Z190" s="56" t="str">
        <f t="shared" si="47"/>
        <v/>
      </c>
      <c r="AA190" s="56" t="str">
        <f t="shared" si="48"/>
        <v/>
      </c>
      <c r="AB190" s="56" t="str">
        <f t="shared" si="49"/>
        <v/>
      </c>
      <c r="AC190" s="56" t="str">
        <f t="shared" si="50"/>
        <v/>
      </c>
      <c r="AD190" s="56" t="str">
        <f t="shared" si="51"/>
        <v/>
      </c>
      <c r="AE190" s="40"/>
      <c r="AF190" s="40"/>
      <c r="AG190" s="40"/>
      <c r="AH190" s="56" t="str">
        <f t="shared" si="52"/>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53"/>
        <v/>
      </c>
      <c r="L191" s="103" t="str">
        <f t="shared" si="38"/>
        <v/>
      </c>
      <c r="M191" s="53">
        <v>0</v>
      </c>
      <c r="N191" s="102" t="str">
        <f t="shared" si="39"/>
        <v/>
      </c>
      <c r="O191" s="103" t="str">
        <f t="shared" si="40"/>
        <v/>
      </c>
      <c r="P191" s="53">
        <v>0</v>
      </c>
      <c r="Q191" s="102" t="str">
        <f t="shared" si="41"/>
        <v/>
      </c>
      <c r="R191" s="103" t="str">
        <f t="shared" si="42"/>
        <v/>
      </c>
      <c r="S191" s="53">
        <v>0</v>
      </c>
      <c r="T191" s="102" t="str">
        <f t="shared" si="43"/>
        <v/>
      </c>
      <c r="U191" s="103" t="str">
        <f t="shared" si="44"/>
        <v/>
      </c>
      <c r="V191" s="53">
        <v>0</v>
      </c>
      <c r="W191" s="87" t="str">
        <f t="shared" si="45"/>
        <v/>
      </c>
      <c r="X191" s="103" t="str">
        <f t="shared" si="46"/>
        <v/>
      </c>
      <c r="Y191" s="53">
        <v>0</v>
      </c>
      <c r="Z191" s="56" t="str">
        <f t="shared" si="47"/>
        <v/>
      </c>
      <c r="AA191" s="56" t="str">
        <f t="shared" si="48"/>
        <v/>
      </c>
      <c r="AB191" s="56" t="str">
        <f t="shared" si="49"/>
        <v/>
      </c>
      <c r="AC191" s="56" t="str">
        <f t="shared" si="50"/>
        <v/>
      </c>
      <c r="AD191" s="56" t="str">
        <f t="shared" si="51"/>
        <v/>
      </c>
      <c r="AE191" s="40"/>
      <c r="AF191" s="40"/>
      <c r="AG191" s="40"/>
      <c r="AH191" s="56" t="str">
        <f t="shared" si="52"/>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53"/>
        <v/>
      </c>
      <c r="L192" s="103" t="str">
        <f t="shared" si="38"/>
        <v/>
      </c>
      <c r="M192" s="52">
        <v>0</v>
      </c>
      <c r="N192" s="102" t="str">
        <f t="shared" si="39"/>
        <v/>
      </c>
      <c r="O192" s="103" t="str">
        <f t="shared" si="40"/>
        <v/>
      </c>
      <c r="P192" s="52">
        <v>0</v>
      </c>
      <c r="Q192" s="102" t="str">
        <f t="shared" si="41"/>
        <v/>
      </c>
      <c r="R192" s="103" t="str">
        <f t="shared" si="42"/>
        <v/>
      </c>
      <c r="S192" s="52">
        <v>0</v>
      </c>
      <c r="T192" s="102" t="str">
        <f t="shared" si="43"/>
        <v/>
      </c>
      <c r="U192" s="103" t="str">
        <f t="shared" si="44"/>
        <v/>
      </c>
      <c r="V192" s="52">
        <v>0</v>
      </c>
      <c r="W192" s="87" t="str">
        <f t="shared" si="45"/>
        <v/>
      </c>
      <c r="X192" s="103" t="str">
        <f t="shared" si="46"/>
        <v/>
      </c>
      <c r="Y192" s="52">
        <v>0</v>
      </c>
      <c r="Z192" s="56" t="str">
        <f t="shared" si="47"/>
        <v/>
      </c>
      <c r="AA192" s="56" t="str">
        <f t="shared" si="48"/>
        <v/>
      </c>
      <c r="AB192" s="56" t="str">
        <f t="shared" si="49"/>
        <v/>
      </c>
      <c r="AC192" s="56" t="str">
        <f t="shared" si="50"/>
        <v/>
      </c>
      <c r="AD192" s="56" t="str">
        <f t="shared" si="51"/>
        <v/>
      </c>
      <c r="AE192" s="40"/>
      <c r="AF192" s="40"/>
      <c r="AG192" s="40"/>
      <c r="AH192" s="56" t="str">
        <f t="shared" si="52"/>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53"/>
        <v/>
      </c>
      <c r="L193" s="103" t="str">
        <f t="shared" si="38"/>
        <v/>
      </c>
      <c r="M193" s="53">
        <v>0</v>
      </c>
      <c r="N193" s="102" t="str">
        <f t="shared" si="39"/>
        <v/>
      </c>
      <c r="O193" s="103" t="str">
        <f t="shared" si="40"/>
        <v/>
      </c>
      <c r="P193" s="53">
        <v>0</v>
      </c>
      <c r="Q193" s="102" t="str">
        <f t="shared" si="41"/>
        <v/>
      </c>
      <c r="R193" s="103" t="str">
        <f t="shared" si="42"/>
        <v/>
      </c>
      <c r="S193" s="53">
        <v>0</v>
      </c>
      <c r="T193" s="102" t="str">
        <f t="shared" si="43"/>
        <v/>
      </c>
      <c r="U193" s="103" t="str">
        <f t="shared" si="44"/>
        <v/>
      </c>
      <c r="V193" s="53">
        <v>0</v>
      </c>
      <c r="W193" s="87" t="str">
        <f t="shared" si="45"/>
        <v/>
      </c>
      <c r="X193" s="103" t="str">
        <f t="shared" si="46"/>
        <v/>
      </c>
      <c r="Y193" s="53">
        <v>0</v>
      </c>
      <c r="Z193" s="56" t="str">
        <f t="shared" si="47"/>
        <v/>
      </c>
      <c r="AA193" s="56" t="str">
        <f t="shared" si="48"/>
        <v/>
      </c>
      <c r="AB193" s="56" t="str">
        <f t="shared" si="49"/>
        <v/>
      </c>
      <c r="AC193" s="56" t="str">
        <f t="shared" si="50"/>
        <v/>
      </c>
      <c r="AD193" s="56" t="str">
        <f t="shared" si="51"/>
        <v/>
      </c>
      <c r="AE193" s="40"/>
      <c r="AF193" s="40"/>
      <c r="AG193" s="40"/>
      <c r="AH193" s="56" t="str">
        <f t="shared" si="52"/>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53"/>
        <v/>
      </c>
      <c r="L194" s="103" t="str">
        <f t="shared" si="38"/>
        <v/>
      </c>
      <c r="M194" s="52">
        <v>0</v>
      </c>
      <c r="N194" s="102" t="str">
        <f t="shared" si="39"/>
        <v/>
      </c>
      <c r="O194" s="103" t="str">
        <f t="shared" si="40"/>
        <v/>
      </c>
      <c r="P194" s="52">
        <v>0</v>
      </c>
      <c r="Q194" s="102" t="str">
        <f t="shared" si="41"/>
        <v/>
      </c>
      <c r="R194" s="103" t="str">
        <f t="shared" si="42"/>
        <v/>
      </c>
      <c r="S194" s="52">
        <v>0</v>
      </c>
      <c r="T194" s="102" t="str">
        <f t="shared" si="43"/>
        <v/>
      </c>
      <c r="U194" s="103" t="str">
        <f t="shared" si="44"/>
        <v/>
      </c>
      <c r="V194" s="52">
        <v>0</v>
      </c>
      <c r="W194" s="87" t="str">
        <f t="shared" si="45"/>
        <v/>
      </c>
      <c r="X194" s="103" t="str">
        <f t="shared" si="46"/>
        <v/>
      </c>
      <c r="Y194" s="52">
        <v>0</v>
      </c>
      <c r="Z194" s="56" t="str">
        <f t="shared" si="47"/>
        <v/>
      </c>
      <c r="AA194" s="56" t="str">
        <f t="shared" si="48"/>
        <v/>
      </c>
      <c r="AB194" s="56" t="str">
        <f t="shared" si="49"/>
        <v/>
      </c>
      <c r="AC194" s="56" t="str">
        <f t="shared" si="50"/>
        <v/>
      </c>
      <c r="AD194" s="56" t="str">
        <f t="shared" si="51"/>
        <v/>
      </c>
      <c r="AE194" s="40"/>
      <c r="AF194" s="40"/>
      <c r="AG194" s="40"/>
      <c r="AH194" s="56" t="str">
        <f t="shared" si="52"/>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53"/>
        <v/>
      </c>
      <c r="L195" s="103" t="str">
        <f t="shared" si="38"/>
        <v/>
      </c>
      <c r="M195" s="53">
        <v>0</v>
      </c>
      <c r="N195" s="102" t="str">
        <f t="shared" si="39"/>
        <v/>
      </c>
      <c r="O195" s="103" t="str">
        <f t="shared" si="40"/>
        <v/>
      </c>
      <c r="P195" s="53">
        <v>0</v>
      </c>
      <c r="Q195" s="102" t="str">
        <f t="shared" si="41"/>
        <v/>
      </c>
      <c r="R195" s="103" t="str">
        <f t="shared" si="42"/>
        <v/>
      </c>
      <c r="S195" s="53">
        <v>0</v>
      </c>
      <c r="T195" s="102" t="str">
        <f t="shared" si="43"/>
        <v/>
      </c>
      <c r="U195" s="103" t="str">
        <f t="shared" si="44"/>
        <v/>
      </c>
      <c r="V195" s="53">
        <v>0</v>
      </c>
      <c r="W195" s="87" t="str">
        <f t="shared" si="45"/>
        <v/>
      </c>
      <c r="X195" s="103" t="str">
        <f t="shared" si="46"/>
        <v/>
      </c>
      <c r="Y195" s="53">
        <v>0</v>
      </c>
      <c r="Z195" s="56" t="str">
        <f t="shared" si="47"/>
        <v/>
      </c>
      <c r="AA195" s="56" t="str">
        <f t="shared" si="48"/>
        <v/>
      </c>
      <c r="AB195" s="56" t="str">
        <f t="shared" si="49"/>
        <v/>
      </c>
      <c r="AC195" s="56" t="str">
        <f t="shared" si="50"/>
        <v/>
      </c>
      <c r="AD195" s="56" t="str">
        <f t="shared" si="51"/>
        <v/>
      </c>
      <c r="AE195" s="40"/>
      <c r="AF195" s="40"/>
      <c r="AG195" s="40"/>
      <c r="AH195" s="56" t="str">
        <f t="shared" si="52"/>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53"/>
        <v/>
      </c>
      <c r="L196" s="103" t="str">
        <f t="shared" si="38"/>
        <v/>
      </c>
      <c r="M196" s="52">
        <v>0</v>
      </c>
      <c r="N196" s="102" t="str">
        <f t="shared" si="39"/>
        <v/>
      </c>
      <c r="O196" s="103" t="str">
        <f t="shared" si="40"/>
        <v/>
      </c>
      <c r="P196" s="52">
        <v>0</v>
      </c>
      <c r="Q196" s="102" t="str">
        <f t="shared" si="41"/>
        <v/>
      </c>
      <c r="R196" s="103" t="str">
        <f t="shared" si="42"/>
        <v/>
      </c>
      <c r="S196" s="52">
        <v>0</v>
      </c>
      <c r="T196" s="102" t="str">
        <f t="shared" si="43"/>
        <v/>
      </c>
      <c r="U196" s="103" t="str">
        <f t="shared" si="44"/>
        <v/>
      </c>
      <c r="V196" s="52">
        <v>0</v>
      </c>
      <c r="W196" s="87" t="str">
        <f t="shared" si="45"/>
        <v/>
      </c>
      <c r="X196" s="103" t="str">
        <f t="shared" si="46"/>
        <v/>
      </c>
      <c r="Y196" s="52">
        <v>0</v>
      </c>
      <c r="Z196" s="56" t="str">
        <f t="shared" si="47"/>
        <v/>
      </c>
      <c r="AA196" s="56" t="str">
        <f t="shared" si="48"/>
        <v/>
      </c>
      <c r="AB196" s="56" t="str">
        <f t="shared" si="49"/>
        <v/>
      </c>
      <c r="AC196" s="56" t="str">
        <f t="shared" si="50"/>
        <v/>
      </c>
      <c r="AD196" s="56" t="str">
        <f t="shared" si="51"/>
        <v/>
      </c>
      <c r="AE196" s="40"/>
      <c r="AF196" s="40"/>
      <c r="AG196" s="40"/>
      <c r="AH196" s="56" t="str">
        <f t="shared" si="52"/>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53"/>
        <v/>
      </c>
      <c r="L197" s="103" t="str">
        <f t="shared" si="38"/>
        <v/>
      </c>
      <c r="M197" s="53">
        <v>0</v>
      </c>
      <c r="N197" s="102" t="str">
        <f t="shared" si="39"/>
        <v/>
      </c>
      <c r="O197" s="103" t="str">
        <f t="shared" si="40"/>
        <v/>
      </c>
      <c r="P197" s="53">
        <v>0</v>
      </c>
      <c r="Q197" s="102" t="str">
        <f t="shared" si="41"/>
        <v/>
      </c>
      <c r="R197" s="103" t="str">
        <f t="shared" si="42"/>
        <v/>
      </c>
      <c r="S197" s="53">
        <v>0</v>
      </c>
      <c r="T197" s="102" t="str">
        <f t="shared" si="43"/>
        <v/>
      </c>
      <c r="U197" s="103" t="str">
        <f t="shared" si="44"/>
        <v/>
      </c>
      <c r="V197" s="53">
        <v>0</v>
      </c>
      <c r="W197" s="87" t="str">
        <f t="shared" si="45"/>
        <v/>
      </c>
      <c r="X197" s="103" t="str">
        <f t="shared" si="46"/>
        <v/>
      </c>
      <c r="Y197" s="53">
        <v>0</v>
      </c>
      <c r="Z197" s="56" t="str">
        <f t="shared" si="47"/>
        <v/>
      </c>
      <c r="AA197" s="56" t="str">
        <f t="shared" si="48"/>
        <v/>
      </c>
      <c r="AB197" s="56" t="str">
        <f t="shared" si="49"/>
        <v/>
      </c>
      <c r="AC197" s="56" t="str">
        <f t="shared" si="50"/>
        <v/>
      </c>
      <c r="AD197" s="56" t="str">
        <f t="shared" si="51"/>
        <v/>
      </c>
      <c r="AE197" s="40"/>
      <c r="AF197" s="40"/>
      <c r="AG197" s="40"/>
      <c r="AH197" s="56" t="str">
        <f t="shared" si="52"/>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53"/>
        <v/>
      </c>
      <c r="L198" s="103" t="str">
        <f t="shared" si="38"/>
        <v/>
      </c>
      <c r="M198" s="52">
        <v>0</v>
      </c>
      <c r="N198" s="102" t="str">
        <f t="shared" si="39"/>
        <v/>
      </c>
      <c r="O198" s="103" t="str">
        <f t="shared" si="40"/>
        <v/>
      </c>
      <c r="P198" s="52">
        <v>0</v>
      </c>
      <c r="Q198" s="102" t="str">
        <f t="shared" si="41"/>
        <v/>
      </c>
      <c r="R198" s="103" t="str">
        <f t="shared" si="42"/>
        <v/>
      </c>
      <c r="S198" s="52">
        <v>0</v>
      </c>
      <c r="T198" s="102" t="str">
        <f t="shared" si="43"/>
        <v/>
      </c>
      <c r="U198" s="103" t="str">
        <f t="shared" si="44"/>
        <v/>
      </c>
      <c r="V198" s="52">
        <v>0</v>
      </c>
      <c r="W198" s="87" t="str">
        <f t="shared" si="45"/>
        <v/>
      </c>
      <c r="X198" s="103" t="str">
        <f t="shared" si="46"/>
        <v/>
      </c>
      <c r="Y198" s="52">
        <v>0</v>
      </c>
      <c r="Z198" s="56" t="str">
        <f t="shared" si="47"/>
        <v/>
      </c>
      <c r="AA198" s="56" t="str">
        <f t="shared" si="48"/>
        <v/>
      </c>
      <c r="AB198" s="56" t="str">
        <f t="shared" si="49"/>
        <v/>
      </c>
      <c r="AC198" s="56" t="str">
        <f t="shared" si="50"/>
        <v/>
      </c>
      <c r="AD198" s="56" t="str">
        <f t="shared" si="51"/>
        <v/>
      </c>
      <c r="AE198" s="40"/>
      <c r="AF198" s="40"/>
      <c r="AG198" s="40"/>
      <c r="AH198" s="56" t="str">
        <f t="shared" si="52"/>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53"/>
        <v/>
      </c>
      <c r="L199" s="103" t="str">
        <f t="shared" si="38"/>
        <v/>
      </c>
      <c r="M199" s="53">
        <v>0</v>
      </c>
      <c r="N199" s="102" t="str">
        <f t="shared" si="39"/>
        <v/>
      </c>
      <c r="O199" s="103" t="str">
        <f t="shared" si="40"/>
        <v/>
      </c>
      <c r="P199" s="53">
        <v>0</v>
      </c>
      <c r="Q199" s="102" t="str">
        <f t="shared" si="41"/>
        <v/>
      </c>
      <c r="R199" s="103" t="str">
        <f t="shared" si="42"/>
        <v/>
      </c>
      <c r="S199" s="53">
        <v>0</v>
      </c>
      <c r="T199" s="102" t="str">
        <f t="shared" si="43"/>
        <v/>
      </c>
      <c r="U199" s="103" t="str">
        <f t="shared" si="44"/>
        <v/>
      </c>
      <c r="V199" s="53">
        <v>0</v>
      </c>
      <c r="W199" s="87" t="str">
        <f t="shared" si="45"/>
        <v/>
      </c>
      <c r="X199" s="103" t="str">
        <f t="shared" si="46"/>
        <v/>
      </c>
      <c r="Y199" s="53">
        <v>0</v>
      </c>
      <c r="Z199" s="56" t="str">
        <f t="shared" si="47"/>
        <v/>
      </c>
      <c r="AA199" s="56" t="str">
        <f t="shared" si="48"/>
        <v/>
      </c>
      <c r="AB199" s="56" t="str">
        <f t="shared" si="49"/>
        <v/>
      </c>
      <c r="AC199" s="56" t="str">
        <f t="shared" si="50"/>
        <v/>
      </c>
      <c r="AD199" s="56" t="str">
        <f t="shared" si="51"/>
        <v/>
      </c>
      <c r="AE199" s="40"/>
      <c r="AF199" s="40"/>
      <c r="AG199" s="40"/>
      <c r="AH199" s="56" t="str">
        <f t="shared" si="52"/>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53"/>
        <v/>
      </c>
      <c r="L200" s="103" t="str">
        <f t="shared" si="38"/>
        <v/>
      </c>
      <c r="M200" s="69">
        <v>0</v>
      </c>
      <c r="N200" s="102" t="str">
        <f t="shared" si="39"/>
        <v/>
      </c>
      <c r="O200" s="103" t="str">
        <f t="shared" si="40"/>
        <v/>
      </c>
      <c r="P200" s="69">
        <v>0</v>
      </c>
      <c r="Q200" s="102" t="str">
        <f t="shared" si="41"/>
        <v/>
      </c>
      <c r="R200" s="103" t="str">
        <f t="shared" si="42"/>
        <v/>
      </c>
      <c r="S200" s="69">
        <v>0</v>
      </c>
      <c r="T200" s="102" t="str">
        <f t="shared" si="43"/>
        <v/>
      </c>
      <c r="U200" s="103" t="str">
        <f t="shared" si="44"/>
        <v/>
      </c>
      <c r="V200" s="69">
        <v>0</v>
      </c>
      <c r="W200" s="87" t="str">
        <f t="shared" si="45"/>
        <v/>
      </c>
      <c r="X200" s="103" t="str">
        <f t="shared" si="46"/>
        <v/>
      </c>
      <c r="Y200" s="69">
        <v>0</v>
      </c>
      <c r="Z200" s="56" t="str">
        <f t="shared" si="47"/>
        <v/>
      </c>
      <c r="AA200" s="56" t="str">
        <f t="shared" si="48"/>
        <v/>
      </c>
      <c r="AB200" s="56" t="str">
        <f t="shared" si="49"/>
        <v/>
      </c>
      <c r="AC200" s="56" t="str">
        <f t="shared" si="50"/>
        <v/>
      </c>
      <c r="AD200" s="56" t="str">
        <f t="shared" si="51"/>
        <v/>
      </c>
      <c r="AE200" s="40"/>
      <c r="AF200" s="40"/>
      <c r="AG200" s="40"/>
      <c r="AH200" s="56" t="str">
        <f t="shared" si="52"/>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713</v>
      </c>
    </row>
    <row r="3" spans="1:1">
      <c r="A3" t="s">
        <v>714</v>
      </c>
    </row>
    <row r="5" spans="1:1" ht="18">
      <c r="A5" s="115" t="s">
        <v>715</v>
      </c>
    </row>
    <row r="7" spans="1:1" ht="21">
      <c r="A7" s="132" t="s">
        <v>716</v>
      </c>
    </row>
    <row r="8" spans="1:1">
      <c r="A8" s="116"/>
    </row>
    <row r="9" spans="1:1">
      <c r="A9" s="116" t="s">
        <v>717</v>
      </c>
    </row>
    <row r="10" spans="1:1">
      <c r="A10" s="116" t="s">
        <v>718</v>
      </c>
    </row>
    <row r="11" spans="1:1">
      <c r="A11" s="116" t="s">
        <v>719</v>
      </c>
    </row>
    <row r="12" spans="1:1">
      <c r="A12" s="116" t="s">
        <v>720</v>
      </c>
    </row>
    <row r="13" spans="1:1">
      <c r="A13" s="116" t="s">
        <v>721</v>
      </c>
    </row>
    <row r="15" spans="1:1" ht="21">
      <c r="A15" s="132" t="s">
        <v>722</v>
      </c>
    </row>
    <row r="17" spans="1:1">
      <c r="A17" t="s">
        <v>723</v>
      </c>
    </row>
    <row r="18" spans="1:1">
      <c r="A18" s="116"/>
    </row>
    <row r="19" spans="1:1">
      <c r="A19" s="117" t="s">
        <v>724</v>
      </c>
    </row>
    <row r="20" spans="1:1">
      <c r="A20" s="118" t="s">
        <v>725</v>
      </c>
    </row>
    <row r="21" spans="1:1">
      <c r="A21" s="118" t="s">
        <v>726</v>
      </c>
    </row>
    <row r="22" spans="1:1">
      <c r="A22" s="118" t="s">
        <v>727</v>
      </c>
    </row>
    <row r="23" spans="1:1">
      <c r="A23" s="118" t="s">
        <v>728</v>
      </c>
    </row>
    <row r="24" spans="1:1">
      <c r="A24" s="116"/>
    </row>
    <row r="25" spans="1:1">
      <c r="A25" s="117" t="s">
        <v>729</v>
      </c>
    </row>
    <row r="29" spans="1:1">
      <c r="A29" s="133"/>
    </row>
    <row r="30" spans="1:1">
      <c r="A30" s="134"/>
    </row>
    <row r="31" spans="1:1">
      <c r="A31" s="133"/>
    </row>
    <row r="32" spans="1:1">
      <c r="A32" s="133"/>
    </row>
    <row r="33" spans="1:1">
      <c r="A33" s="134"/>
    </row>
    <row r="34" spans="1:1">
      <c r="A34" s="133"/>
    </row>
    <row r="35" spans="1:1">
      <c r="A35" s="133"/>
    </row>
    <row r="36" spans="1:1" ht="21">
      <c r="A36" s="132" t="s">
        <v>730</v>
      </c>
    </row>
    <row r="38" spans="1:1">
      <c r="A38" t="s">
        <v>731</v>
      </c>
    </row>
    <row r="39" spans="1:1">
      <c r="A39" s="116"/>
    </row>
    <row r="40" spans="1:1">
      <c r="A40" s="116" t="s">
        <v>732</v>
      </c>
    </row>
    <row r="41" spans="1:1">
      <c r="A41" s="116" t="s">
        <v>733</v>
      </c>
    </row>
    <row r="42" spans="1:1">
      <c r="A42" s="116" t="s">
        <v>734</v>
      </c>
    </row>
    <row r="44" spans="1:1" ht="18">
      <c r="A44" s="115" t="s">
        <v>735</v>
      </c>
    </row>
    <row r="45" spans="1:1">
      <c r="A45" s="116"/>
    </row>
    <row r="46" spans="1:1">
      <c r="A46" s="116" t="s">
        <v>736</v>
      </c>
    </row>
    <row r="47" spans="1:1">
      <c r="A47" s="116" t="s">
        <v>737</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9"/>
  <sheetViews>
    <sheetView workbookViewId="0">
      <selection activeCell="A6" sqref="A6:E59"/>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Dart Object-Oriented &amp; Advanced Patterns</v>
      </c>
    </row>
    <row r="2" spans="1:5" ht="26.25">
      <c r="C2" s="122" t="s">
        <v>271</v>
      </c>
      <c r="D2" s="123" t="str">
        <f>IF(PromptGenerator!I3="","",PromptGenerator!I3)</f>
        <v/>
      </c>
    </row>
    <row r="5" spans="1:5">
      <c r="A5" s="124" t="s">
        <v>657</v>
      </c>
      <c r="B5" s="124" t="s">
        <v>25</v>
      </c>
      <c r="C5" s="124" t="s">
        <v>588</v>
      </c>
      <c r="D5" s="124" t="s">
        <v>631</v>
      </c>
      <c r="E5" s="124" t="s">
        <v>630</v>
      </c>
    </row>
    <row r="6" spans="1:5">
      <c r="A6" s="125" t="s">
        <v>0</v>
      </c>
      <c r="B6" t="s">
        <v>50</v>
      </c>
      <c r="C6" t="s">
        <v>227</v>
      </c>
      <c r="D6" t="s">
        <v>615</v>
      </c>
      <c r="E6" s="120" t="s">
        <v>738</v>
      </c>
    </row>
    <row r="7" spans="1:5">
      <c r="A7" s="125" t="s">
        <v>0</v>
      </c>
      <c r="B7" t="s">
        <v>50</v>
      </c>
      <c r="C7" t="s">
        <v>227</v>
      </c>
      <c r="D7" t="s">
        <v>231</v>
      </c>
      <c r="E7" s="121"/>
    </row>
    <row r="8" spans="1:5">
      <c r="A8" s="125" t="s">
        <v>0</v>
      </c>
      <c r="B8" t="s">
        <v>50</v>
      </c>
      <c r="C8" t="s">
        <v>227</v>
      </c>
      <c r="D8" t="s">
        <v>616</v>
      </c>
      <c r="E8" t="s">
        <v>739</v>
      </c>
    </row>
    <row r="9" spans="1:5">
      <c r="A9" s="125" t="s">
        <v>0</v>
      </c>
      <c r="B9" t="s">
        <v>50</v>
      </c>
      <c r="C9" t="s">
        <v>227</v>
      </c>
      <c r="D9" t="s">
        <v>617</v>
      </c>
      <c r="E9" t="s">
        <v>740</v>
      </c>
    </row>
    <row r="10" spans="1:5">
      <c r="A10" s="125" t="s">
        <v>0</v>
      </c>
      <c r="B10" t="s">
        <v>50</v>
      </c>
      <c r="C10" t="s">
        <v>181</v>
      </c>
      <c r="D10" t="s">
        <v>618</v>
      </c>
      <c r="E10" s="120" t="s">
        <v>741</v>
      </c>
    </row>
    <row r="11" spans="1:5">
      <c r="A11" s="125" t="s">
        <v>0</v>
      </c>
      <c r="B11" t="s">
        <v>50</v>
      </c>
      <c r="C11" t="s">
        <v>181</v>
      </c>
      <c r="D11" t="s">
        <v>619</v>
      </c>
      <c r="E11" t="s">
        <v>742</v>
      </c>
    </row>
    <row r="12" spans="1:5">
      <c r="A12" s="125" t="s">
        <v>0</v>
      </c>
      <c r="B12" t="s">
        <v>50</v>
      </c>
      <c r="C12" t="s">
        <v>181</v>
      </c>
      <c r="D12" t="s">
        <v>620</v>
      </c>
      <c r="E12" s="120" t="s">
        <v>743</v>
      </c>
    </row>
    <row r="13" spans="1:5">
      <c r="A13" s="125" t="s">
        <v>0</v>
      </c>
      <c r="B13" t="s">
        <v>50</v>
      </c>
      <c r="C13" t="s">
        <v>621</v>
      </c>
      <c r="D13" t="s">
        <v>622</v>
      </c>
      <c r="E13" t="s">
        <v>744</v>
      </c>
    </row>
    <row r="14" spans="1:5">
      <c r="A14" s="125" t="s">
        <v>0</v>
      </c>
      <c r="B14" t="s">
        <v>50</v>
      </c>
      <c r="C14" t="s">
        <v>621</v>
      </c>
      <c r="D14" t="s">
        <v>623</v>
      </c>
      <c r="E14" t="s">
        <v>745</v>
      </c>
    </row>
    <row r="15" spans="1:5">
      <c r="A15" s="125" t="s">
        <v>0</v>
      </c>
      <c r="B15" t="s">
        <v>50</v>
      </c>
      <c r="C15" t="s">
        <v>611</v>
      </c>
      <c r="D15" t="s">
        <v>624</v>
      </c>
      <c r="E15" t="s">
        <v>746</v>
      </c>
    </row>
    <row r="16" spans="1:5">
      <c r="A16" s="125" t="s">
        <v>0</v>
      </c>
      <c r="B16" t="s">
        <v>50</v>
      </c>
      <c r="C16" t="s">
        <v>611</v>
      </c>
      <c r="D16" t="s">
        <v>625</v>
      </c>
      <c r="E16" t="s">
        <v>747</v>
      </c>
    </row>
    <row r="17" spans="1:5">
      <c r="A17" s="125" t="s">
        <v>0</v>
      </c>
      <c r="B17" t="s">
        <v>50</v>
      </c>
      <c r="C17" t="s">
        <v>612</v>
      </c>
      <c r="D17" t="s">
        <v>626</v>
      </c>
      <c r="E17" t="s">
        <v>696</v>
      </c>
    </row>
    <row r="18" spans="1:5">
      <c r="A18" s="125" t="s">
        <v>0</v>
      </c>
      <c r="B18" t="s">
        <v>50</v>
      </c>
      <c r="C18" t="s">
        <v>613</v>
      </c>
      <c r="D18" t="s">
        <v>627</v>
      </c>
      <c r="E18" t="s">
        <v>748</v>
      </c>
    </row>
    <row r="19" spans="1:5">
      <c r="A19" s="125" t="s">
        <v>0</v>
      </c>
      <c r="B19" t="s">
        <v>50</v>
      </c>
      <c r="C19" t="s">
        <v>613</v>
      </c>
      <c r="D19" t="s">
        <v>628</v>
      </c>
      <c r="E19" t="s">
        <v>697</v>
      </c>
    </row>
    <row r="20" spans="1:5">
      <c r="A20" s="125" t="s">
        <v>0</v>
      </c>
      <c r="B20" t="s">
        <v>50</v>
      </c>
      <c r="C20" t="s">
        <v>613</v>
      </c>
      <c r="D20" t="s">
        <v>629</v>
      </c>
      <c r="E20" t="s">
        <v>698</v>
      </c>
    </row>
    <row r="21" spans="1:5">
      <c r="A21" s="125" t="s">
        <v>0</v>
      </c>
      <c r="B21" t="s">
        <v>632</v>
      </c>
      <c r="C21" t="s">
        <v>634</v>
      </c>
      <c r="D21" t="s">
        <v>635</v>
      </c>
      <c r="E21" t="s">
        <v>699</v>
      </c>
    </row>
    <row r="22" spans="1:5">
      <c r="A22" s="125" t="s">
        <v>0</v>
      </c>
      <c r="B22" t="s">
        <v>632</v>
      </c>
      <c r="C22" t="s">
        <v>634</v>
      </c>
      <c r="D22" t="s">
        <v>637</v>
      </c>
      <c r="E22" t="s">
        <v>749</v>
      </c>
    </row>
    <row r="23" spans="1:5">
      <c r="A23" s="125" t="s">
        <v>0</v>
      </c>
      <c r="B23" t="s">
        <v>632</v>
      </c>
      <c r="C23" t="s">
        <v>634</v>
      </c>
      <c r="D23" t="s">
        <v>638</v>
      </c>
      <c r="E23" t="s">
        <v>636</v>
      </c>
    </row>
    <row r="24" spans="1:5">
      <c r="A24" s="125" t="s">
        <v>0</v>
      </c>
      <c r="B24" t="s">
        <v>614</v>
      </c>
      <c r="C24" t="s">
        <v>639</v>
      </c>
      <c r="D24" t="s">
        <v>49</v>
      </c>
      <c r="E24" t="s">
        <v>750</v>
      </c>
    </row>
    <row r="25" spans="1:5">
      <c r="A25" s="125" t="s">
        <v>0</v>
      </c>
      <c r="B25" t="s">
        <v>614</v>
      </c>
      <c r="C25" t="s">
        <v>639</v>
      </c>
      <c r="D25" t="s">
        <v>160</v>
      </c>
      <c r="E25" t="s">
        <v>751</v>
      </c>
    </row>
    <row r="26" spans="1:5">
      <c r="A26" s="125" t="s">
        <v>0</v>
      </c>
      <c r="B26" t="s">
        <v>614</v>
      </c>
      <c r="C26" t="s">
        <v>639</v>
      </c>
      <c r="D26" t="s">
        <v>161</v>
      </c>
      <c r="E26" t="s">
        <v>752</v>
      </c>
    </row>
    <row r="27" spans="1:5">
      <c r="A27" s="125" t="s">
        <v>0</v>
      </c>
      <c r="B27" t="s">
        <v>614</v>
      </c>
      <c r="C27" t="s">
        <v>640</v>
      </c>
      <c r="D27" t="s">
        <v>641</v>
      </c>
      <c r="E27" t="s">
        <v>753</v>
      </c>
    </row>
    <row r="28" spans="1:5">
      <c r="A28" s="125" t="s">
        <v>0</v>
      </c>
      <c r="B28" t="s">
        <v>614</v>
      </c>
      <c r="C28" t="s">
        <v>640</v>
      </c>
      <c r="D28" t="s">
        <v>642</v>
      </c>
      <c r="E28" t="s">
        <v>754</v>
      </c>
    </row>
    <row r="29" spans="1:5">
      <c r="A29" s="125" t="s">
        <v>0</v>
      </c>
      <c r="B29" t="s">
        <v>614</v>
      </c>
      <c r="C29" t="s">
        <v>640</v>
      </c>
      <c r="D29" t="s">
        <v>643</v>
      </c>
      <c r="E29" t="s">
        <v>755</v>
      </c>
    </row>
    <row r="30" spans="1:5">
      <c r="A30" s="125" t="s">
        <v>0</v>
      </c>
      <c r="B30" t="s">
        <v>614</v>
      </c>
      <c r="C30" t="s">
        <v>640</v>
      </c>
      <c r="D30" t="s">
        <v>644</v>
      </c>
      <c r="E30" t="s">
        <v>700</v>
      </c>
    </row>
    <row r="31" spans="1:5">
      <c r="A31" s="126" t="s">
        <v>275</v>
      </c>
      <c r="B31" t="s">
        <v>50</v>
      </c>
      <c r="C31" t="s">
        <v>645</v>
      </c>
      <c r="D31" t="s">
        <v>646</v>
      </c>
      <c r="E31" t="s">
        <v>756</v>
      </c>
    </row>
    <row r="32" spans="1:5">
      <c r="A32" s="126" t="s">
        <v>275</v>
      </c>
      <c r="B32" t="s">
        <v>50</v>
      </c>
      <c r="C32" t="s">
        <v>645</v>
      </c>
      <c r="D32" t="s">
        <v>647</v>
      </c>
      <c r="E32" t="s">
        <v>701</v>
      </c>
    </row>
    <row r="33" spans="1:5">
      <c r="A33" s="126" t="s">
        <v>275</v>
      </c>
      <c r="B33" t="s">
        <v>50</v>
      </c>
      <c r="C33" t="s">
        <v>645</v>
      </c>
      <c r="D33" t="s">
        <v>648</v>
      </c>
      <c r="E33" t="s">
        <v>702</v>
      </c>
    </row>
    <row r="34" spans="1:5">
      <c r="A34" s="126" t="s">
        <v>275</v>
      </c>
      <c r="B34" t="s">
        <v>50</v>
      </c>
      <c r="C34" t="s">
        <v>649</v>
      </c>
      <c r="D34" t="s">
        <v>650</v>
      </c>
      <c r="E34" t="s">
        <v>703</v>
      </c>
    </row>
    <row r="35" spans="1:5">
      <c r="A35" s="126" t="s">
        <v>275</v>
      </c>
      <c r="B35" t="s">
        <v>50</v>
      </c>
      <c r="C35" t="s">
        <v>651</v>
      </c>
      <c r="D35" t="s">
        <v>652</v>
      </c>
      <c r="E35" t="s">
        <v>704</v>
      </c>
    </row>
    <row r="36" spans="1:5">
      <c r="A36" s="126" t="s">
        <v>275</v>
      </c>
      <c r="B36" t="s">
        <v>50</v>
      </c>
      <c r="C36" t="s">
        <v>653</v>
      </c>
      <c r="D36" t="s">
        <v>654</v>
      </c>
      <c r="E36" t="s">
        <v>757</v>
      </c>
    </row>
    <row r="37" spans="1:5">
      <c r="A37" s="126" t="s">
        <v>275</v>
      </c>
      <c r="B37" t="s">
        <v>50</v>
      </c>
      <c r="C37" t="s">
        <v>653</v>
      </c>
      <c r="D37" t="s">
        <v>655</v>
      </c>
      <c r="E37" t="s">
        <v>758</v>
      </c>
    </row>
    <row r="38" spans="1:5">
      <c r="A38" s="126" t="s">
        <v>275</v>
      </c>
      <c r="B38" t="s">
        <v>50</v>
      </c>
      <c r="C38" t="s">
        <v>653</v>
      </c>
      <c r="D38" t="s">
        <v>656</v>
      </c>
      <c r="E38" t="s">
        <v>759</v>
      </c>
    </row>
    <row r="39" spans="1:5">
      <c r="A39" s="126" t="s">
        <v>275</v>
      </c>
      <c r="B39" t="s">
        <v>632</v>
      </c>
      <c r="C39" t="s">
        <v>658</v>
      </c>
      <c r="D39" t="s">
        <v>659</v>
      </c>
      <c r="E39" t="s">
        <v>760</v>
      </c>
    </row>
    <row r="40" spans="1:5">
      <c r="A40" s="126" t="s">
        <v>275</v>
      </c>
      <c r="B40" t="s">
        <v>632</v>
      </c>
      <c r="C40" t="s">
        <v>658</v>
      </c>
      <c r="D40" t="s">
        <v>660</v>
      </c>
      <c r="E40" t="s">
        <v>761</v>
      </c>
    </row>
    <row r="41" spans="1:5">
      <c r="A41" s="126" t="s">
        <v>275</v>
      </c>
      <c r="B41" t="s">
        <v>632</v>
      </c>
      <c r="C41" t="s">
        <v>658</v>
      </c>
      <c r="D41" t="s">
        <v>661</v>
      </c>
      <c r="E41" t="s">
        <v>762</v>
      </c>
    </row>
    <row r="42" spans="1:5">
      <c r="A42" s="126" t="s">
        <v>275</v>
      </c>
      <c r="B42" t="s">
        <v>632</v>
      </c>
      <c r="C42" t="s">
        <v>658</v>
      </c>
      <c r="D42" t="s">
        <v>662</v>
      </c>
      <c r="E42" t="s">
        <v>763</v>
      </c>
    </row>
    <row r="43" spans="1:5">
      <c r="A43" s="126" t="s">
        <v>275</v>
      </c>
      <c r="B43" t="s">
        <v>614</v>
      </c>
      <c r="C43" t="s">
        <v>663</v>
      </c>
      <c r="D43" t="s">
        <v>664</v>
      </c>
      <c r="E43" t="s">
        <v>764</v>
      </c>
    </row>
    <row r="44" spans="1:5">
      <c r="A44" s="126" t="s">
        <v>275</v>
      </c>
      <c r="B44" t="s">
        <v>614</v>
      </c>
      <c r="C44" t="s">
        <v>663</v>
      </c>
      <c r="D44" t="s">
        <v>665</v>
      </c>
      <c r="E44" t="s">
        <v>765</v>
      </c>
    </row>
    <row r="45" spans="1:5">
      <c r="A45" s="126" t="s">
        <v>275</v>
      </c>
      <c r="B45" t="s">
        <v>614</v>
      </c>
      <c r="C45" t="s">
        <v>663</v>
      </c>
      <c r="D45" t="s">
        <v>666</v>
      </c>
      <c r="E45" t="s">
        <v>766</v>
      </c>
    </row>
    <row r="46" spans="1:5">
      <c r="A46" s="126" t="s">
        <v>275</v>
      </c>
      <c r="B46" t="s">
        <v>614</v>
      </c>
      <c r="C46" t="s">
        <v>663</v>
      </c>
      <c r="D46" t="s">
        <v>667</v>
      </c>
      <c r="E46" t="s">
        <v>705</v>
      </c>
    </row>
    <row r="47" spans="1:5">
      <c r="A47" s="127" t="s">
        <v>343</v>
      </c>
      <c r="B47" t="s">
        <v>50</v>
      </c>
      <c r="C47" t="s">
        <v>651</v>
      </c>
      <c r="D47" t="s">
        <v>669</v>
      </c>
      <c r="E47" t="s">
        <v>706</v>
      </c>
    </row>
    <row r="48" spans="1:5">
      <c r="A48" s="127" t="s">
        <v>343</v>
      </c>
      <c r="B48" t="s">
        <v>50</v>
      </c>
      <c r="C48" t="s">
        <v>649</v>
      </c>
      <c r="D48" t="s">
        <v>670</v>
      </c>
      <c r="E48" t="s">
        <v>707</v>
      </c>
    </row>
    <row r="49" spans="1:5">
      <c r="A49" s="127" t="s">
        <v>343</v>
      </c>
      <c r="B49" t="s">
        <v>50</v>
      </c>
      <c r="C49" t="s">
        <v>653</v>
      </c>
      <c r="D49" t="s">
        <v>671</v>
      </c>
      <c r="E49" t="s">
        <v>767</v>
      </c>
    </row>
    <row r="50" spans="1:5">
      <c r="A50" s="127" t="s">
        <v>343</v>
      </c>
      <c r="B50" t="s">
        <v>50</v>
      </c>
      <c r="C50" t="s">
        <v>653</v>
      </c>
      <c r="D50" t="s">
        <v>672</v>
      </c>
      <c r="E50" t="s">
        <v>768</v>
      </c>
    </row>
    <row r="51" spans="1:5">
      <c r="A51" s="127" t="s">
        <v>343</v>
      </c>
      <c r="B51" t="s">
        <v>632</v>
      </c>
      <c r="C51" t="s">
        <v>673</v>
      </c>
      <c r="D51" t="s">
        <v>676</v>
      </c>
      <c r="E51" t="s">
        <v>708</v>
      </c>
    </row>
    <row r="52" spans="1:5">
      <c r="A52" s="127" t="s">
        <v>343</v>
      </c>
      <c r="B52" t="s">
        <v>632</v>
      </c>
      <c r="C52" t="s">
        <v>675</v>
      </c>
      <c r="D52" t="s">
        <v>677</v>
      </c>
      <c r="E52" t="s">
        <v>678</v>
      </c>
    </row>
    <row r="53" spans="1:5">
      <c r="A53" s="127" t="s">
        <v>343</v>
      </c>
      <c r="B53" t="s">
        <v>632</v>
      </c>
      <c r="C53" t="s">
        <v>675</v>
      </c>
      <c r="D53" t="s">
        <v>679</v>
      </c>
      <c r="E53" t="s">
        <v>769</v>
      </c>
    </row>
    <row r="54" spans="1:5">
      <c r="A54" s="127" t="s">
        <v>343</v>
      </c>
      <c r="B54" t="s">
        <v>614</v>
      </c>
      <c r="C54" t="s">
        <v>663</v>
      </c>
      <c r="D54" t="s">
        <v>680</v>
      </c>
      <c r="E54" t="s">
        <v>770</v>
      </c>
    </row>
    <row r="55" spans="1:5">
      <c r="A55" s="127" t="s">
        <v>343</v>
      </c>
      <c r="B55" t="s">
        <v>614</v>
      </c>
      <c r="C55" t="s">
        <v>663</v>
      </c>
      <c r="D55" t="s">
        <v>665</v>
      </c>
      <c r="E55" t="s">
        <v>771</v>
      </c>
    </row>
    <row r="56" spans="1:5">
      <c r="A56" s="127" t="s">
        <v>343</v>
      </c>
      <c r="B56" t="s">
        <v>614</v>
      </c>
      <c r="C56" t="s">
        <v>663</v>
      </c>
      <c r="D56" t="s">
        <v>681</v>
      </c>
      <c r="E56" t="s">
        <v>709</v>
      </c>
    </row>
    <row r="57" spans="1:5">
      <c r="A57" s="127" t="s">
        <v>343</v>
      </c>
      <c r="B57" t="s">
        <v>614</v>
      </c>
      <c r="C57" t="s">
        <v>663</v>
      </c>
      <c r="D57" t="s">
        <v>682</v>
      </c>
      <c r="E57" t="s">
        <v>710</v>
      </c>
    </row>
    <row r="58" spans="1:5">
      <c r="A58" s="121" t="s">
        <v>420</v>
      </c>
      <c r="B58" t="s">
        <v>614</v>
      </c>
      <c r="C58" t="s">
        <v>686</v>
      </c>
      <c r="D58" t="s">
        <v>687</v>
      </c>
      <c r="E58" t="s">
        <v>772</v>
      </c>
    </row>
    <row r="59" spans="1:5">
      <c r="A59" s="128" t="s">
        <v>458</v>
      </c>
      <c r="B59" t="s">
        <v>614</v>
      </c>
      <c r="C59" t="s">
        <v>686</v>
      </c>
      <c r="D59" t="s">
        <v>687</v>
      </c>
      <c r="E59" t="s">
        <v>773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D104"/>
  <sheetViews>
    <sheetView showGridLines="0" topLeftCell="A89" zoomScaleNormal="100" workbookViewId="0">
      <selection activeCell="F83" sqref="F83:F104"/>
    </sheetView>
  </sheetViews>
  <sheetFormatPr defaultRowHeight="15"/>
  <cols>
    <col min="1" max="1" width="5.42578125" customWidth="1"/>
    <col min="2" max="2" width="35.85546875" customWidth="1"/>
    <col min="3" max="3" width="33" customWidth="1"/>
    <col min="4" max="4" width="85.28515625" customWidth="1"/>
    <col min="5" max="5" width="26.28515625" customWidth="1"/>
    <col min="6" max="6" width="39.5703125" style="85" customWidth="1"/>
    <col min="7" max="7" width="4" customWidth="1"/>
  </cols>
  <sheetData>
    <row r="2" spans="1:30" ht="36">
      <c r="B2" s="78" t="s">
        <v>456</v>
      </c>
      <c r="D2" s="81" t="s">
        <v>0</v>
      </c>
      <c r="E2" s="81"/>
      <c r="I2" s="82"/>
      <c r="U2" s="82"/>
    </row>
    <row r="3" spans="1:30">
      <c r="B3" s="76" t="s">
        <v>223</v>
      </c>
      <c r="C3" s="76" t="s">
        <v>588</v>
      </c>
      <c r="D3" s="76" t="s">
        <v>589</v>
      </c>
      <c r="E3" s="76"/>
      <c r="F3" s="88" t="s">
        <v>230</v>
      </c>
      <c r="G3" s="4" t="s">
        <v>226</v>
      </c>
      <c r="AD3" t="s">
        <v>226</v>
      </c>
    </row>
    <row r="4" spans="1:30">
      <c r="A4">
        <f>LEN(D4)</f>
        <v>49</v>
      </c>
      <c r="B4" s="75" t="s">
        <v>224</v>
      </c>
      <c r="C4" s="54" t="s">
        <v>162</v>
      </c>
      <c r="D4" s="94" t="s">
        <v>163</v>
      </c>
      <c r="E4" s="94"/>
      <c r="F4" s="77" t="str">
        <f t="shared" ref="F4:F48" si="0">IF(D4="","",""""&amp;C4&amp;" "&amp;IF(C4="[FOOTER RULE - STRICT]",D4,IF(RIGHT(D4,6)=" | "&amp;CHAR(34)&amp;" &amp;",D4,D4&amp;" | "&amp;CHAR(34)&amp;" &amp;")))</f>
        <v>"[ROLE] Friendly tutor specializing in " &amp; $I$2 &amp; " | " &amp;</v>
      </c>
      <c r="G4" s="54" t="s">
        <v>226</v>
      </c>
    </row>
    <row r="5" spans="1:30">
      <c r="A5">
        <f t="shared" ref="A5:A49" si="1">LEN(D5)</f>
        <v>16</v>
      </c>
      <c r="B5" s="75" t="s">
        <v>224</v>
      </c>
      <c r="C5" s="54" t="s">
        <v>166</v>
      </c>
      <c r="D5" s="94" t="s">
        <v>167</v>
      </c>
      <c r="E5" s="94"/>
      <c r="F5" s="77" t="str">
        <f t="shared" si="0"/>
        <v>"[TOPIC] " &amp; I9 &amp; " | " &amp;</v>
      </c>
      <c r="G5" s="54" t="s">
        <v>226</v>
      </c>
    </row>
    <row r="6" spans="1:30">
      <c r="A6">
        <f t="shared" si="1"/>
        <v>16</v>
      </c>
      <c r="B6" s="75" t="s">
        <v>224</v>
      </c>
      <c r="C6" s="54" t="s">
        <v>168</v>
      </c>
      <c r="D6" s="94" t="s">
        <v>169</v>
      </c>
      <c r="E6" s="94"/>
      <c r="F6" s="77" t="str">
        <f t="shared" si="0"/>
        <v>"[LEVEL] " &amp; G9 &amp; " | " &amp;</v>
      </c>
      <c r="G6" s="54" t="s">
        <v>226</v>
      </c>
    </row>
    <row r="7" spans="1:30">
      <c r="A7">
        <f t="shared" si="1"/>
        <v>25</v>
      </c>
      <c r="B7" s="75" t="s">
        <v>224</v>
      </c>
      <c r="C7" s="54" t="s">
        <v>170</v>
      </c>
      <c r="D7" s="94" t="s">
        <v>171</v>
      </c>
      <c r="E7" s="94"/>
      <c r="F7" s="77" t="str">
        <f t="shared" si="0"/>
        <v>"[COUNT] " &amp; D9 &amp; " examples | " &amp;</v>
      </c>
      <c r="G7" s="54" t="s">
        <v>226</v>
      </c>
    </row>
    <row r="8" spans="1:30">
      <c r="A8">
        <f t="shared" si="1"/>
        <v>18</v>
      </c>
      <c r="B8" s="75" t="s">
        <v>224</v>
      </c>
      <c r="C8" s="54" t="s">
        <v>231</v>
      </c>
      <c r="D8" s="94" t="s">
        <v>272</v>
      </c>
      <c r="E8" s="94"/>
      <c r="F8" s="77" t="str">
        <f t="shared" si="0"/>
        <v>"[LIBRARY BEING LEARNED] " &amp; $I$3 &amp; " | " &amp;</v>
      </c>
      <c r="G8" s="54" t="s">
        <v>226</v>
      </c>
    </row>
    <row r="9" spans="1:30">
      <c r="A9">
        <f t="shared" si="1"/>
        <v>549</v>
      </c>
      <c r="B9" s="75" t="s">
        <v>224</v>
      </c>
      <c r="C9" s="32" t="s">
        <v>227</v>
      </c>
      <c r="D9" s="94"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v>
      </c>
      <c r="E9" s="94"/>
      <c r="F9" s="77" t="str">
        <f t="shared" si="0"/>
        <v>"[ECOSYSTEM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v>
      </c>
      <c r="G9" s="54" t="s">
        <v>226</v>
      </c>
    </row>
    <row r="10" spans="1:30">
      <c r="A10">
        <f t="shared" si="1"/>
        <v>406</v>
      </c>
      <c r="B10" s="75" t="s">
        <v>224</v>
      </c>
      <c r="C10" s="54" t="s">
        <v>174</v>
      </c>
      <c r="D10" s="94" t="s">
        <v>175</v>
      </c>
      <c r="E10" s="94"/>
      <c r="F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G10" s="54" t="s">
        <v>226</v>
      </c>
    </row>
    <row r="11" spans="1:30">
      <c r="A11">
        <f t="shared" si="1"/>
        <v>214</v>
      </c>
      <c r="B11" s="75" t="s">
        <v>224</v>
      </c>
      <c r="C11" s="54" t="s">
        <v>500</v>
      </c>
      <c r="D11" s="94" t="s">
        <v>492</v>
      </c>
      <c r="E11" s="94"/>
      <c r="F11" s="77" t="str">
        <f t="shared" si="0"/>
        <v>"[LANGUAGE SEED CONTEXT] " &amp; IF($AE$7 = "", "Language Seed Not Necessary", "You MUST strictly follow this seed context to enhance, adapt, and naturalize your tone, vocabulary, and instructional quality in " &amp; $B$6 &amp; ": " &amp; $AE$7) &amp; " | " &amp;</v>
      </c>
      <c r="G11" s="54" t="s">
        <v>226</v>
      </c>
    </row>
    <row r="12" spans="1:30">
      <c r="A12">
        <f t="shared" si="1"/>
        <v>18</v>
      </c>
      <c r="B12" s="75" t="s">
        <v>224</v>
      </c>
      <c r="C12" s="54" t="s">
        <v>220</v>
      </c>
      <c r="D12" s="94" t="s">
        <v>221</v>
      </c>
      <c r="E12" s="94"/>
      <c r="F12" s="77" t="str">
        <f t="shared" si="0"/>
        <v>"[LANGUAGE] " &amp; $B$6 &amp; " | " &amp;</v>
      </c>
      <c r="G12" s="54" t="s">
        <v>226</v>
      </c>
    </row>
    <row r="13" spans="1:30">
      <c r="A13">
        <f t="shared" si="1"/>
        <v>255</v>
      </c>
      <c r="B13" s="75" t="s">
        <v>224</v>
      </c>
      <c r="C13" s="54" t="s">
        <v>233</v>
      </c>
      <c r="D13" s="94" t="s">
        <v>234</v>
      </c>
      <c r="E13" s="94"/>
      <c r="F13" s="77" t="str">
        <f t="shared" si="0"/>
        <v>"[EXECUTIVE CONSTRAINTS] Each example MUST include: - Internal data OR dataset usage - Print key intermediate steps and the final result - MUST NOT exceed exactly " &amp; $A9 &amp; " lines of EXECUTABLE code (STRICT: Do NOT count comments or blank lines). - NEVER exceed this limit. | " &amp;</v>
      </c>
      <c r="G13" s="54" t="s">
        <v>226</v>
      </c>
    </row>
    <row r="14" spans="1:30">
      <c r="A14">
        <f t="shared" si="1"/>
        <v>449</v>
      </c>
      <c r="B14" s="75" t="s">
        <v>224</v>
      </c>
      <c r="C14" s="32" t="s">
        <v>181</v>
      </c>
      <c r="D14" s="94" t="str">
        <f>"Rule: " &amp; CHAR(34) &amp; " &amp; IF(G9=" &amp; CHAR(34) &amp; "Beginner" &amp; CHAR(34) &amp; "," &amp; CHAR(34) &amp; Variables!E10 &amp; CHAR(34) &amp; ", IF(G9=" &amp; CHAR(34) &amp; "Intermediate" &amp; CHAR(34) &amp; ", " &amp; CHAR(34) &amp; Variables!E11 &amp; CHAR(34) &amp; ", " &amp; CHAR(34) &amp; Variables!E13 &amp; CHAR(34) &amp; ")) &amp; " &amp; CHAR(34) &amp; " | " &amp; CHAR(34) &amp; " &amp;"</f>
        <v>Rule: " &amp; IF(G9="Beginner","Focus: basic async/await, simple Future-returning methods on classes, synchronous Stream handling within class methods.", IF(G9="Intermediate", "Integrate StreamControllers (event-driven) inside classes, async* generators as methods, explicit state transitions via sealed class hierarchies.", "stateful class instances with strict typing, sealed state classes, or Stream-based message passing between objects")) &amp; " | " &amp;</v>
      </c>
      <c r="E14" s="94"/>
      <c r="F14" s="77" t="str">
        <f t="shared" si="0"/>
        <v>"[FUNCTION RULE] Rule: " &amp; IF(G9="Beginner","Focus: basic async/await, simple Future-returning methods on classes, synchronous Stream handling within class methods.", IF(G9="Intermediate", "Integrate StreamControllers (event-driven) inside classes, async* generators as methods, explicit state transitions via sealed class hierarchies.", "stateful class instances with strict typing, sealed state classes, or Stream-based message passing between objects")) &amp; " | " &amp;</v>
      </c>
      <c r="G14" s="54" t="s">
        <v>226</v>
      </c>
    </row>
    <row r="15" spans="1:30">
      <c r="A15">
        <f t="shared" si="1"/>
        <v>0</v>
      </c>
      <c r="B15" s="83" t="s">
        <v>225</v>
      </c>
      <c r="C15" s="54" t="s">
        <v>232</v>
      </c>
      <c r="D15" s="94"/>
      <c r="E15" s="94"/>
      <c r="F15" s="77" t="str">
        <f t="shared" si="0"/>
        <v/>
      </c>
      <c r="G15" s="54" t="s">
        <v>226</v>
      </c>
    </row>
    <row r="16" spans="1:30">
      <c r="A16">
        <f t="shared" si="1"/>
        <v>0</v>
      </c>
      <c r="B16" s="83" t="s">
        <v>225</v>
      </c>
      <c r="C16" s="54" t="s">
        <v>232</v>
      </c>
      <c r="D16" s="94"/>
      <c r="E16" s="94"/>
      <c r="F16" s="77" t="str">
        <f t="shared" si="0"/>
        <v/>
      </c>
      <c r="G16" s="54" t="s">
        <v>226</v>
      </c>
    </row>
    <row r="17" spans="1:7">
      <c r="A17">
        <f t="shared" si="1"/>
        <v>0</v>
      </c>
      <c r="B17" s="83" t="s">
        <v>225</v>
      </c>
      <c r="C17" s="54" t="s">
        <v>232</v>
      </c>
      <c r="D17" s="94"/>
      <c r="E17" s="94"/>
      <c r="F17" s="77" t="str">
        <f t="shared" si="0"/>
        <v/>
      </c>
      <c r="G17" s="54" t="s">
        <v>226</v>
      </c>
    </row>
    <row r="18" spans="1:7">
      <c r="A18">
        <f t="shared" si="1"/>
        <v>340</v>
      </c>
      <c r="B18" s="83" t="s">
        <v>225</v>
      </c>
      <c r="C18" s="32" t="s">
        <v>621</v>
      </c>
      <c r="D18" s="94" t="str">
        <f>"Each example MUST: - Use " &amp; Variables!E13 &amp; " - Print steps &amp; result via " &amp; Variables!E14 &amp; " - MAX " &amp; CHAR(34) &amp; " &amp; $A9 &amp; " &amp; CHAR(34) &amp; " executable lines (comments/blanks excluded) - NEVER exceed limit. | " &amp; CHAR(34) &amp; " &amp;"</f>
        <v>Each example MUST: - Use stateful class instances with strict typing, sealed state classes, or Stream-based message passing between objects - Print steps &amp; result via print() or developer.log() inside isolated scopes, error handlers, or class methods - MAX " &amp; $A9 &amp; " executable lines (comments/blanks excluded) - NEVER exceed limit. | " &amp;</v>
      </c>
      <c r="E18" s="94"/>
      <c r="F18" s="77" t="str">
        <f t="shared" si="0"/>
        <v>"[CODE_CONSTRAINTS_RULE] Each example MUST: - Use stateful class instances with strict typing, sealed state classes, or Stream-based message passing between objects - Print steps &amp; result via print() or developer.log() inside isolated scopes, error handlers, or class methods - MAX " &amp; $A9 &amp; " executable lines (comments/blanks excluded) - NEVER exceed limit. | " &amp;</v>
      </c>
      <c r="G18" s="54" t="s">
        <v>226</v>
      </c>
    </row>
    <row r="19" spans="1:7">
      <c r="A19">
        <f t="shared" si="1"/>
        <v>278</v>
      </c>
      <c r="B19" s="84" t="s">
        <v>225</v>
      </c>
      <c r="C19" s="32" t="s">
        <v>611</v>
      </c>
      <c r="D19" s="94" t="str">
        <f>"Use " &amp; Variables!E15 &amp; " and gracefully handle " &amp; Variables!E16 &amp; " when applicable. | " &amp; CHAR(34) &amp; " &amp;"</f>
        <v>Use standard event passing via StreamController.add, SendPort.send, or typed method calls on class interfaces and gracefully handle sealed classes representing states, Records like (response, newState), or typed Futures/Streams returned from class methods when applicable. | " &amp;</v>
      </c>
      <c r="E19" s="94"/>
      <c r="F19" s="77" t="str">
        <f t="shared" si="0"/>
        <v>"[I_O_PARADIGM] Use standard event passing via StreamController.add, SendPort.send, or typed method calls on class interfaces and gracefully handle sealed classes representing states, Records like (response, newState), or typed Futures/Streams returned from class methods when applicable. | " &amp;</v>
      </c>
      <c r="G19" s="54" t="s">
        <v>226</v>
      </c>
    </row>
    <row r="20" spans="1:7">
      <c r="A20">
        <f t="shared" si="1"/>
        <v>192</v>
      </c>
      <c r="B20" s="84" t="s">
        <v>225</v>
      </c>
      <c r="C20" s="32" t="s">
        <v>612</v>
      </c>
      <c r="D20" s="94" t="str">
        <f>"If using external packages, use " &amp; Variables!E17 &amp; " at the top of the code block. Assume no project configuration file exists. | " &amp; CHAR(34) &amp; " &amp;"</f>
        <v>If using external packages, use Standard pubspec.yaml dependencies block (dependencies: package_name: ^version) at the top of the code block. Assume no project configuration file exists. | " &amp;</v>
      </c>
      <c r="E20" s="94"/>
      <c r="F20" s="77" t="str">
        <f t="shared" si="0"/>
        <v>"[INLINE_PACKAGE_MANAGER] If using external packages, use Standard pubspec.yaml dependencies block (dependencies: package_name: ^version) at the top of the code block. Assume no project configuration file exists. | " &amp;</v>
      </c>
      <c r="G20" s="54" t="s">
        <v>226</v>
      </c>
    </row>
    <row r="21" spans="1:7">
      <c r="A21">
        <f t="shared" si="1"/>
        <v>462</v>
      </c>
      <c r="B21" s="83" t="s">
        <v>225</v>
      </c>
      <c r="C21" s="32" t="s">
        <v>613</v>
      </c>
      <c r="D21" s="94" t="str">
        <f>"For " &amp; Variables!E18 &amp; ", NEVER use " &amp; Variables!E19 &amp; ". Use " &amp; Variables!E20 &amp; ", as " &amp; Variables!E19 &amp; " fail in standalone execution environments. | " &amp; CHAR(34) &amp; " &amp;"</f>
        <v>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v>
      </c>
      <c r="E21" s="94"/>
      <c r="F21" s="77" t="str">
        <f t="shared" si="0"/>
        <v>"[TESTING_FRAMEWORK_LIMITS] For Dart test package with isolated async groups (use group and test functions with Future matchers) following Effective Dart, NEVER use manual event loop blocking or unawaited Futures outside of standard async testing setups. Use standard test framework using expect() and stream matchers like emits() or emitsInOrder(), as manual event loop blocking or unawaited Futures outside of standard async testing setups fail in standalone execution environments. | " &amp;</v>
      </c>
      <c r="G21" s="54" t="s">
        <v>226</v>
      </c>
    </row>
    <row r="22" spans="1:7">
      <c r="A22">
        <f t="shared" si="1"/>
        <v>169</v>
      </c>
      <c r="B22" s="84" t="s">
        <v>276</v>
      </c>
      <c r="C22" s="54" t="s">
        <v>182</v>
      </c>
      <c r="D22" s="94" t="s">
        <v>776</v>
      </c>
      <c r="E22" s="94"/>
      <c r="F22" s="77" t="str">
        <f t="shared" si="0"/>
        <v>"[CODE QUALITY RULE] Code MUST be clean, readable, educational, executable and produce correct results. Safely handle missing/malformed/inconsistent data, using pattern matching if possible. | " &amp;</v>
      </c>
      <c r="G22" s="54" t="s">
        <v>226</v>
      </c>
    </row>
    <row r="23" spans="1:7">
      <c r="A23">
        <f t="shared" si="1"/>
        <v>159</v>
      </c>
      <c r="B23" s="84" t="s">
        <v>276</v>
      </c>
      <c r="C23" s="54" t="s">
        <v>605</v>
      </c>
      <c r="D23" s="94" t="s">
        <v>777</v>
      </c>
      <c r="E23" s="94"/>
      <c r="F23" s="77" t="str">
        <f t="shared" si="0"/>
        <v>"[COMMENT CONSTRAINTS] Code MUST include enough inline comments explaining WHAT it does AND WHY. Density: Beginner=high, Intermediate=medium, Advanced=lower but present in key logic. | " &amp;</v>
      </c>
      <c r="G23" s="54" t="s">
        <v>226</v>
      </c>
    </row>
    <row r="24" spans="1:7">
      <c r="A24">
        <f t="shared" si="1"/>
        <v>39</v>
      </c>
      <c r="B24" s="84" t="s">
        <v>276</v>
      </c>
      <c r="C24" s="54" t="s">
        <v>209</v>
      </c>
      <c r="D24" s="94" t="s">
        <v>285</v>
      </c>
      <c r="E24" s="94"/>
      <c r="F24" s="77" t="str">
        <f t="shared" si="0"/>
        <v>"[FORMAT RULE] Only valid markdown code blocks allowed | " &amp;</v>
      </c>
      <c r="G24" s="54" t="s">
        <v>226</v>
      </c>
    </row>
    <row r="25" spans="1:7">
      <c r="A25">
        <f t="shared" si="1"/>
        <v>114</v>
      </c>
      <c r="B25" s="84" t="s">
        <v>276</v>
      </c>
      <c r="C25" s="54" t="s">
        <v>211</v>
      </c>
      <c r="D25" s="94" t="s">
        <v>608</v>
      </c>
      <c r="E25" s="94"/>
      <c r="F25" s="77" t="str">
        <f t="shared" si="0"/>
        <v>"[LANGUAGE TAG RULE] ALWAYS label markdown code blocks with the correct underlying programming language (e.g., elixir, javascript, sql) | " &amp;</v>
      </c>
      <c r="G25" s="54" t="s">
        <v>226</v>
      </c>
    </row>
    <row r="26" spans="1:7">
      <c r="A26">
        <f t="shared" si="1"/>
        <v>324</v>
      </c>
      <c r="B26" s="84" t="s">
        <v>276</v>
      </c>
      <c r="C26" s="54" t="s">
        <v>217</v>
      </c>
      <c r="D26" s="94" t="s">
        <v>590</v>
      </c>
      <c r="E26" s="94"/>
      <c r="F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G26" s="54" t="s">
        <v>226</v>
      </c>
    </row>
    <row r="27" spans="1:7">
      <c r="A27">
        <f t="shared" si="1"/>
        <v>451</v>
      </c>
      <c r="B27" s="84" t="s">
        <v>276</v>
      </c>
      <c r="C27" s="54" t="s">
        <v>189</v>
      </c>
      <c r="D27" s="94" t="s">
        <v>774</v>
      </c>
      <c r="E27" s="94"/>
      <c r="F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G27" s="54" t="s">
        <v>226</v>
      </c>
    </row>
    <row r="28" spans="1:7">
      <c r="A28">
        <f t="shared" si="1"/>
        <v>36</v>
      </c>
      <c r="B28" s="84" t="s">
        <v>276</v>
      </c>
      <c r="C28" s="54" t="s">
        <v>172</v>
      </c>
      <c r="D28" s="94" t="s">
        <v>173</v>
      </c>
      <c r="E28" s="94"/>
      <c r="F28" s="77" t="str">
        <f t="shared" si="0"/>
        <v>"[PERSONA RULE] Act as a friendly, clear tutor | " &amp;</v>
      </c>
      <c r="G28" s="54" t="s">
        <v>226</v>
      </c>
    </row>
    <row r="29" spans="1:7">
      <c r="A29">
        <f t="shared" si="1"/>
        <v>67</v>
      </c>
      <c r="B29" s="84" t="s">
        <v>276</v>
      </c>
      <c r="C29" s="54" t="s">
        <v>164</v>
      </c>
      <c r="D29" s="94" t="s">
        <v>165</v>
      </c>
      <c r="E29" s="94"/>
      <c r="F29" s="77" t="str">
        <f t="shared" si="0"/>
        <v>"[TASK] Teach and explain concepts clearly with correct code examples | " &amp;</v>
      </c>
      <c r="G29" s="54" t="s">
        <v>226</v>
      </c>
    </row>
    <row r="30" spans="1:7">
      <c r="A30">
        <f t="shared" si="1"/>
        <v>545</v>
      </c>
      <c r="B30" s="84" t="s">
        <v>276</v>
      </c>
      <c r="C30" s="54" t="s">
        <v>179</v>
      </c>
      <c r="D30" s="94" t="s">
        <v>775</v>
      </c>
      <c r="E30" s="94"/>
      <c r="F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G30" s="54" t="s">
        <v>226</v>
      </c>
    </row>
    <row r="31" spans="1:7">
      <c r="A31">
        <f t="shared" si="1"/>
        <v>101</v>
      </c>
      <c r="B31" s="84" t="s">
        <v>276</v>
      </c>
      <c r="C31" s="54" t="s">
        <v>182</v>
      </c>
      <c r="D31" s="94" t="s">
        <v>229</v>
      </c>
      <c r="E31" s="94"/>
      <c r="F31" s="77" t="str">
        <f t="shared" si="0"/>
        <v>"[CODE QUALITY RULE] Code MUST be clean, readable, educational, executable, and produce correct and accurate results | " &amp;</v>
      </c>
      <c r="G31" s="54" t="s">
        <v>226</v>
      </c>
    </row>
    <row r="32" spans="1:7">
      <c r="A32">
        <f t="shared" si="1"/>
        <v>96</v>
      </c>
      <c r="B32" s="84" t="s">
        <v>276</v>
      </c>
      <c r="C32" s="54" t="s">
        <v>183</v>
      </c>
      <c r="D32" s="94" t="s">
        <v>184</v>
      </c>
      <c r="E32" s="94"/>
      <c r="F32" s="77" t="str">
        <f t="shared" si="0"/>
        <v>"[COMMENT RULE - STRICT] Code MUST include sufficient inline comments explaining important lines and logical blocks | " &amp;</v>
      </c>
      <c r="G32" s="54" t="s">
        <v>226</v>
      </c>
    </row>
    <row r="33" spans="1:7">
      <c r="A33">
        <f t="shared" si="1"/>
        <v>77</v>
      </c>
      <c r="B33" s="84" t="s">
        <v>276</v>
      </c>
      <c r="C33" s="54" t="s">
        <v>185</v>
      </c>
      <c r="D33" s="94" t="s">
        <v>186</v>
      </c>
      <c r="E33" s="94"/>
      <c r="F33" s="77" t="str">
        <f t="shared" si="0"/>
        <v>"[COMMENT DEPTH RULE] Comments MUST explain WHAT the code does AND WHY it is written that way | " &amp;</v>
      </c>
      <c r="G33" s="54" t="s">
        <v>226</v>
      </c>
    </row>
    <row r="34" spans="1:7">
      <c r="A34">
        <f t="shared" si="1"/>
        <v>101</v>
      </c>
      <c r="B34" s="84" t="s">
        <v>276</v>
      </c>
      <c r="C34" s="54" t="s">
        <v>199</v>
      </c>
      <c r="D34" s="94" t="s">
        <v>200</v>
      </c>
      <c r="E34" s="94"/>
      <c r="F34" s="77" t="str">
        <f t="shared" si="0"/>
        <v>"[EXPLANATION RULE] Explanation within 'Mini-Lección' MUST explain WHAT, WHY, HOW, and real-world context concisely | " &amp;</v>
      </c>
      <c r="G34" s="54" t="s">
        <v>226</v>
      </c>
    </row>
    <row r="35" spans="1:7">
      <c r="A35">
        <f t="shared" si="1"/>
        <v>47</v>
      </c>
      <c r="B35" s="84" t="s">
        <v>276</v>
      </c>
      <c r="C35" s="54" t="s">
        <v>201</v>
      </c>
      <c r="D35" s="94" t="s">
        <v>202</v>
      </c>
      <c r="E35" s="94"/>
      <c r="F35" s="77" t="str">
        <f t="shared" si="0"/>
        <v>"[LEARNING RULE] Each example MUST highlight a key insight | " &amp;</v>
      </c>
      <c r="G35" s="54" t="s">
        <v>226</v>
      </c>
    </row>
    <row r="36" spans="1:7">
      <c r="A36">
        <f t="shared" si="1"/>
        <v>53</v>
      </c>
      <c r="B36" s="84" t="s">
        <v>276</v>
      </c>
      <c r="C36" s="54" t="s">
        <v>203</v>
      </c>
      <c r="D36" s="94" t="s">
        <v>204</v>
      </c>
      <c r="E36" s="94"/>
      <c r="F36" s="77" t="str">
        <f t="shared" si="0"/>
        <v>"[COMMON MISTAKES RULE] Include a short mistake note after each example | " &amp;</v>
      </c>
      <c r="G36" s="54" t="s">
        <v>226</v>
      </c>
    </row>
    <row r="37" spans="1:7">
      <c r="A37">
        <f t="shared" si="1"/>
        <v>63</v>
      </c>
      <c r="B37" s="84" t="s">
        <v>276</v>
      </c>
      <c r="C37" s="54" t="s">
        <v>205</v>
      </c>
      <c r="D37" s="94" t="s">
        <v>206</v>
      </c>
      <c r="E37" s="94"/>
      <c r="F37" s="77" t="str">
        <f t="shared" si="0"/>
        <v>"[MINI CHALLENGE RULE] Include a short reinforcement question after each example | " &amp;</v>
      </c>
      <c r="G37" s="54" t="s">
        <v>226</v>
      </c>
    </row>
    <row r="38" spans="1:7">
      <c r="A38">
        <f t="shared" si="1"/>
        <v>51</v>
      </c>
      <c r="B38" s="84" t="s">
        <v>276</v>
      </c>
      <c r="C38" s="54" t="s">
        <v>207</v>
      </c>
      <c r="D38" s="94" t="s">
        <v>208</v>
      </c>
      <c r="E38" s="94"/>
      <c r="F38" s="77" t="str">
        <f t="shared" si="0"/>
        <v>"[REAL WORLD RULE] Connect each example to a real-world use case | " &amp;</v>
      </c>
      <c r="G38" s="54" t="s">
        <v>226</v>
      </c>
    </row>
    <row r="39" spans="1:7">
      <c r="A39">
        <f t="shared" si="1"/>
        <v>45</v>
      </c>
      <c r="B39" s="84" t="s">
        <v>276</v>
      </c>
      <c r="C39" s="54" t="s">
        <v>209</v>
      </c>
      <c r="D39" s="94" t="s">
        <v>210</v>
      </c>
      <c r="E39" s="94"/>
      <c r="F39" s="77" t="str">
        <f t="shared" si="0"/>
        <v>"[FORMAT RULE] Only valid markdown code blocks allowed | " &amp;</v>
      </c>
      <c r="G39" s="54" t="s">
        <v>226</v>
      </c>
    </row>
    <row r="40" spans="1:7">
      <c r="A40">
        <f t="shared" si="1"/>
        <v>120</v>
      </c>
      <c r="B40" s="84" t="s">
        <v>276</v>
      </c>
      <c r="C40" s="54" t="s">
        <v>211</v>
      </c>
      <c r="D40" s="94" t="s">
        <v>212</v>
      </c>
      <c r="E40" s="94"/>
      <c r="F40" s="77" t="str">
        <f t="shared" si="0"/>
        <v>"[LANGUAGE TAG RULE] ALWAYS label markdown code blocks with the correct underlying programming language (e.g., python, javascript, sql) | " &amp;</v>
      </c>
      <c r="G40" s="54" t="s">
        <v>226</v>
      </c>
    </row>
    <row r="41" spans="1:7">
      <c r="A41">
        <f t="shared" si="1"/>
        <v>58</v>
      </c>
      <c r="B41" s="84" t="s">
        <v>276</v>
      </c>
      <c r="C41" s="54" t="s">
        <v>214</v>
      </c>
      <c r="D41" s="94" t="s">
        <v>215</v>
      </c>
      <c r="E41" s="94"/>
      <c r="F41" s="77" t="str">
        <f t="shared" si="0"/>
        <v>"[CONSISTENCY RULE] All examples MUST have similar complexity and length | " &amp;</v>
      </c>
      <c r="G41" s="54" t="s">
        <v>226</v>
      </c>
    </row>
    <row r="42" spans="1:7">
      <c r="A42">
        <f t="shared" si="1"/>
        <v>75</v>
      </c>
      <c r="B42" s="84" t="s">
        <v>276</v>
      </c>
      <c r="C42" s="54" t="s">
        <v>216</v>
      </c>
      <c r="D42" s="94" t="s">
        <v>235</v>
      </c>
      <c r="E42" s="94"/>
      <c r="F42" s="77" t="str">
        <f t="shared" si="0"/>
        <v>"[FINAL OUTPUT RULE] Include Key Takeaway section at the end | " &amp; IF(AJ9&lt;&gt;"", AJ9, "") &amp;" | " &amp;</v>
      </c>
      <c r="G42" s="54" t="s">
        <v>226</v>
      </c>
    </row>
    <row r="43" spans="1:7">
      <c r="A43">
        <f t="shared" si="1"/>
        <v>422</v>
      </c>
      <c r="B43" s="84" t="s">
        <v>276</v>
      </c>
      <c r="C43" s="54" t="s">
        <v>176</v>
      </c>
      <c r="D43" s="94" t="s">
        <v>778</v>
      </c>
      <c r="E43" s="94"/>
      <c r="F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G43" s="54" t="s">
        <v>226</v>
      </c>
    </row>
    <row r="44" spans="1:7">
      <c r="A44">
        <f t="shared" si="1"/>
        <v>152</v>
      </c>
      <c r="B44" s="84" t="s">
        <v>276</v>
      </c>
      <c r="C44" s="54" t="s">
        <v>177</v>
      </c>
      <c r="D44" s="94" t="s">
        <v>178</v>
      </c>
      <c r="E44" s="94"/>
      <c r="F44" s="77" t="str">
        <f t="shared" si="0"/>
        <v>"[DATA SUMMARY FORMAT RULE] When a dataset is present, you MUST display IMMEDIATELY AFTER THE HEADER: Dataset Summary: - File Type: - Columns / Fields: - Data Types: - Notes: | " &amp;</v>
      </c>
      <c r="G44" s="54" t="s">
        <v>226</v>
      </c>
    </row>
    <row r="45" spans="1:7">
      <c r="A45">
        <f t="shared" si="1"/>
        <v>28</v>
      </c>
      <c r="B45" s="84" t="s">
        <v>276</v>
      </c>
      <c r="C45" s="54" t="s">
        <v>194</v>
      </c>
      <c r="D45" s="94" t="s">
        <v>195</v>
      </c>
      <c r="E45" s="94"/>
      <c r="F45" s="77" t="str">
        <f t="shared" si="0"/>
        <v>"[DATA CONSISTENCY RULE] Respect dataset schema | " &amp;</v>
      </c>
      <c r="G45" s="54" t="s">
        <v>226</v>
      </c>
    </row>
    <row r="46" spans="1:7">
      <c r="A46">
        <f t="shared" si="1"/>
        <v>87</v>
      </c>
      <c r="B46" s="84" t="s">
        <v>276</v>
      </c>
      <c r="C46" s="54" t="s">
        <v>187</v>
      </c>
      <c r="D46" s="94" t="s">
        <v>188</v>
      </c>
      <c r="E46" s="94"/>
      <c r="F46" s="77" t="str">
        <f t="shared" si="0"/>
        <v>"[COMMENT DENSITY RULE] Beginner = high, Intermediate = medium, Advanced = lower but present in key logic | " &amp;</v>
      </c>
      <c r="G46" s="54" t="s">
        <v>226</v>
      </c>
    </row>
    <row r="47" spans="1:7">
      <c r="A47">
        <f t="shared" si="1"/>
        <v>33</v>
      </c>
      <c r="B47" s="84" t="s">
        <v>276</v>
      </c>
      <c r="C47" s="54" t="s">
        <v>197</v>
      </c>
      <c r="D47" s="94" t="s">
        <v>198</v>
      </c>
      <c r="E47" s="94"/>
      <c r="F47" s="77" t="str">
        <f t="shared" si="0"/>
        <v>"[DIFFICULTY RULE] Complexity MUST match level | " &amp;</v>
      </c>
      <c r="G47" s="54" t="s">
        <v>226</v>
      </c>
    </row>
    <row r="48" spans="1:7">
      <c r="A48">
        <f t="shared" si="1"/>
        <v>78</v>
      </c>
      <c r="B48" s="84" t="s">
        <v>276</v>
      </c>
      <c r="C48" s="54" t="s">
        <v>218</v>
      </c>
      <c r="D48" s="94" t="s">
        <v>219</v>
      </c>
      <c r="E48" s="94"/>
      <c r="F48" s="77" t="str">
        <f t="shared" si="0"/>
        <v>"[OUTPUT] Only header, introduction, examples, outputs, notes, summary, and footer | " &amp;</v>
      </c>
      <c r="G48" s="54" t="s">
        <v>226</v>
      </c>
    </row>
    <row r="49" spans="1:7">
      <c r="A49">
        <f t="shared" si="1"/>
        <v>166</v>
      </c>
      <c r="B49" s="84" t="s">
        <v>276</v>
      </c>
      <c r="C49" s="54" t="s">
        <v>222</v>
      </c>
      <c r="D49" s="94" t="s">
        <v>236</v>
      </c>
      <c r="E49" s="94"/>
      <c r="F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G49" s="54" t="s">
        <v>226</v>
      </c>
    </row>
    <row r="50" spans="1:7">
      <c r="B50" s="84"/>
      <c r="C50" s="54"/>
      <c r="D50" s="94"/>
      <c r="E50" s="94"/>
      <c r="F50" s="88" t="str">
        <f>"IF(H9=""PROJECT"", Z9, """"))"</f>
        <v>IF(H9="PROJECT", Z9, ""))</v>
      </c>
      <c r="G50" s="54"/>
    </row>
    <row r="51" spans="1:7">
      <c r="B51" s="74"/>
      <c r="C51" s="74"/>
      <c r="F51" s="86"/>
    </row>
    <row r="52" spans="1:7">
      <c r="B52" s="74"/>
      <c r="C52" s="74"/>
      <c r="F52" s="86"/>
    </row>
    <row r="53" spans="1:7" ht="36">
      <c r="B53" s="79" t="s">
        <v>455</v>
      </c>
      <c r="C53" s="74"/>
      <c r="F53" s="86"/>
    </row>
    <row r="54" spans="1:7">
      <c r="B54" s="76" t="s">
        <v>269</v>
      </c>
      <c r="C54" s="76" t="s">
        <v>588</v>
      </c>
      <c r="D54" s="76" t="s">
        <v>589</v>
      </c>
      <c r="E54" s="76"/>
      <c r="F54" s="88" t="s">
        <v>270</v>
      </c>
      <c r="G54" s="32" t="s">
        <v>226</v>
      </c>
    </row>
    <row r="55" spans="1:7">
      <c r="B55" s="54" t="s">
        <v>224</v>
      </c>
      <c r="C55" s="54" t="s">
        <v>164</v>
      </c>
      <c r="D55" s="94" t="s">
        <v>273</v>
      </c>
      <c r="E55" s="94"/>
      <c r="F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G55" s="32" t="s">
        <v>226</v>
      </c>
    </row>
    <row r="56" spans="1:7">
      <c r="B56" s="54" t="s">
        <v>224</v>
      </c>
      <c r="C56" s="54" t="s">
        <v>257</v>
      </c>
      <c r="D56" s="94" t="s">
        <v>258</v>
      </c>
      <c r="E56" s="94"/>
      <c r="F56" s="77" t="str">
        <f t="shared" ref="F56:F79" si="2">IF(D56="","",""""&amp;C56&amp;" "&amp;IF(C56="[FOOTER RULE - STRICT]",D56,IF(RIGHT(D56,6)=" | "&amp;CHAR(34)&amp;" &amp;",D56,D56&amp;" | "&amp;CHAR(34)&amp;" &amp;")))</f>
        <v>"[TOPICS USED] " &amp; B9 &amp; " | " &amp;</v>
      </c>
      <c r="G56" s="32" t="s">
        <v>226</v>
      </c>
    </row>
    <row r="57" spans="1:7">
      <c r="B57" s="54" t="s">
        <v>224</v>
      </c>
      <c r="C57" s="54" t="s">
        <v>168</v>
      </c>
      <c r="D57" s="94" t="s">
        <v>169</v>
      </c>
      <c r="E57" s="94"/>
      <c r="F57" s="77" t="str">
        <f t="shared" si="2"/>
        <v>"[LEVEL] " &amp; G9 &amp; " | " &amp;</v>
      </c>
      <c r="G57" s="32" t="s">
        <v>226</v>
      </c>
    </row>
    <row r="58" spans="1:7">
      <c r="B58" s="54" t="s">
        <v>224</v>
      </c>
      <c r="C58" s="54" t="s">
        <v>231</v>
      </c>
      <c r="D58" s="94" t="s">
        <v>272</v>
      </c>
      <c r="E58" s="94"/>
      <c r="F58" s="77" t="str">
        <f t="shared" si="2"/>
        <v>"[LIBRARY BEING LEARNED] " &amp; $I$3 &amp; " | " &amp;</v>
      </c>
      <c r="G58" s="32" t="s">
        <v>226</v>
      </c>
    </row>
    <row r="59" spans="1:7">
      <c r="B59" s="75" t="s">
        <v>224</v>
      </c>
      <c r="C59" s="54" t="s">
        <v>227</v>
      </c>
      <c r="D59" s="94"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v>
      </c>
      <c r="E59" s="94"/>
      <c r="F59" s="77"/>
      <c r="G59" s="32"/>
    </row>
    <row r="60" spans="1:7">
      <c r="B60" s="54" t="s">
        <v>224</v>
      </c>
      <c r="C60" s="54" t="s">
        <v>174</v>
      </c>
      <c r="D60" s="94" t="s">
        <v>259</v>
      </c>
      <c r="E60" s="94"/>
      <c r="F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G60" s="32" t="s">
        <v>226</v>
      </c>
    </row>
    <row r="61" spans="1:7">
      <c r="B61" s="54" t="s">
        <v>224</v>
      </c>
      <c r="C61" s="54" t="s">
        <v>500</v>
      </c>
      <c r="D61" s="94" t="s">
        <v>492</v>
      </c>
      <c r="E61" s="94"/>
      <c r="F61" s="77" t="str">
        <f t="shared" si="2"/>
        <v>"[LANGUAGE SEED CONTEXT] " &amp; IF($AE$7 = "", "Language Seed Not Necessary", "You MUST strictly follow this seed context to enhance, adapt, and naturalize your tone, vocabulary, and instructional quality in " &amp; $B$6 &amp; ": " &amp; $AE$7) &amp; " | " &amp;</v>
      </c>
      <c r="G61" s="32" t="s">
        <v>226</v>
      </c>
    </row>
    <row r="62" spans="1:7">
      <c r="B62" s="54" t="s">
        <v>224</v>
      </c>
      <c r="C62" s="54" t="s">
        <v>220</v>
      </c>
      <c r="D62" s="94" t="s">
        <v>221</v>
      </c>
      <c r="E62" s="94"/>
      <c r="F62" s="77" t="str">
        <f t="shared" si="2"/>
        <v>"[LANGUAGE] " &amp; $B$6 &amp; " | " &amp;</v>
      </c>
      <c r="G62" s="32" t="s">
        <v>226</v>
      </c>
    </row>
    <row r="63" spans="1:7">
      <c r="B63" s="54" t="s">
        <v>225</v>
      </c>
      <c r="C63" s="54" t="s">
        <v>232</v>
      </c>
      <c r="D63" s="94"/>
      <c r="E63" s="94"/>
      <c r="F63" s="77" t="str">
        <f t="shared" ref="F63:F64" si="3">IF(D63="","",""""&amp;C63&amp;" "&amp;IF(C63="[FOOTER RULE - STRICT]",D63,IF(RIGHT(D63,6)=" | "&amp;CHAR(34)&amp;" &amp;",D63,D63&amp;" | "&amp;CHAR(34)&amp;" &amp;")))</f>
        <v/>
      </c>
      <c r="G63" s="32" t="s">
        <v>226</v>
      </c>
    </row>
    <row r="64" spans="1:7">
      <c r="B64" s="54" t="s">
        <v>225</v>
      </c>
      <c r="C64" s="54" t="s">
        <v>232</v>
      </c>
      <c r="D64" s="94"/>
      <c r="E64" s="94"/>
      <c r="F64" s="77" t="str">
        <f t="shared" si="3"/>
        <v/>
      </c>
      <c r="G64" s="32" t="s">
        <v>226</v>
      </c>
    </row>
    <row r="65" spans="2:7">
      <c r="B65" s="54" t="s">
        <v>225</v>
      </c>
      <c r="C65" s="54" t="s">
        <v>612</v>
      </c>
      <c r="D65" s="94" t="str">
        <f>"If the project requires an external package, you MUST use " &amp; Variables!E17 &amp; " at the top. | " &amp; CHAR(34) &amp; " &amp;"</f>
        <v>If the project requires an external package, you MUST use Standard pubspec.yaml dependencies block (dependencies: package_name: ^version) at the top. | " &amp;</v>
      </c>
      <c r="E65" s="94"/>
      <c r="F65" s="77" t="str">
        <f t="shared" si="2"/>
        <v>"[INLINE_PACKAGE_MANAGER] If the project requires an external package, you MUST use Standard pubspec.yaml dependencies block (dependencies: package_name: ^version) at the top. | " &amp;</v>
      </c>
      <c r="G65" s="32" t="s">
        <v>226</v>
      </c>
    </row>
    <row r="66" spans="2:7">
      <c r="B66" s="54" t="s">
        <v>225</v>
      </c>
      <c r="C66" s="54" t="s">
        <v>633</v>
      </c>
      <c r="D66" s="94" t="str">
        <f>"Rule: " &amp; IF(G9="Beginner", Variables!E10, IF(G9="Intermediate", Variables!E11, Variables!E12)) &amp; " | " &amp; CHAR(34) &amp; " &amp;"</f>
        <v>Rule: Build apps: bi-directional Isolate communication between class instances, complex Stream transformations, exhaustive switch on sealed class events. | " &amp;</v>
      </c>
      <c r="E66" s="94"/>
      <c r="F66" s="77" t="str">
        <f t="shared" si="2"/>
        <v>"[SCOPE_ARCHITECTURE_RULE] Rule: Build apps: bi-directional Isolate communication between class instances, complex Stream transformations, exhaustive switch on sealed class events. | " &amp;</v>
      </c>
      <c r="G66" s="32" t="s">
        <v>226</v>
      </c>
    </row>
    <row r="67" spans="2:7">
      <c r="B67" s="54" t="s">
        <v>225</v>
      </c>
      <c r="C67" s="54" t="s">
        <v>634</v>
      </c>
      <c r="D67" s="94" t="str">
        <f>"1. Use " &amp; Variables!E21 &amp; " to map code to the planning phase. 2. Use " &amp; Variables!E22 &amp; ". 3. CRITICAL: NO comment or docstring line may exceed " &amp; Variables!E23 &amp; " in width. | " &amp; CHAR(34) &amp; " &amp;"</f>
        <v>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 &amp;</v>
      </c>
      <c r="E67" s="94"/>
      <c r="F67" s="77" t="str">
        <f t="shared" si="2"/>
        <v>"[VISUAL_ARCHITECTURE_COMMENTS] 1. Use visual block tags separating architectural layers (e.g., '// --- PUBLIC API ---', '// --- INTERNAL STATE ---') to map code to the planning phase. 2. Use comprehensive documentation using /// (doc comments) explaining class structures, inheritance, and Stream/Future APIs. 3. CRITICAL: NO comment or docstring line may exceed 80 characters in width. | " &amp;</v>
      </c>
      <c r="G67" s="32" t="s">
        <v>226</v>
      </c>
    </row>
    <row r="68" spans="2:7">
      <c r="B68" s="84" t="s">
        <v>276</v>
      </c>
      <c r="C68" s="54" t="s">
        <v>192</v>
      </c>
      <c r="D68" s="94" t="s">
        <v>426</v>
      </c>
      <c r="E68" s="94"/>
      <c r="F68" s="77" t="str">
        <f t="shared" si="2"/>
        <v>"[DATA ROBUSTNESS RULE] Handle real-world data safely | " &amp;</v>
      </c>
      <c r="G68" s="32" t="s">
        <v>226</v>
      </c>
    </row>
    <row r="69" spans="2:7">
      <c r="B69" s="84" t="s">
        <v>276</v>
      </c>
      <c r="C69" s="54" t="s">
        <v>180</v>
      </c>
      <c r="D69" s="94" t="s">
        <v>609</v>
      </c>
      <c r="E69" s="94"/>
      <c r="F69" s="77" t="str">
        <f t="shared" si="2"/>
        <v>"[CODE CONSTRAINTS] MUST be between " &amp; IF(G9="Beginner", "25–40", IF(G9="Intermediate", "30–60", "40–100")) &amp; " lines (STRICT) - Multi-step flow | " &amp;</v>
      </c>
      <c r="G69" s="32" t="s">
        <v>226</v>
      </c>
    </row>
    <row r="70" spans="2:7">
      <c r="B70" s="84" t="s">
        <v>276</v>
      </c>
      <c r="C70" s="54" t="s">
        <v>196</v>
      </c>
      <c r="D70" s="94" t="s">
        <v>432</v>
      </c>
      <c r="E70" s="94"/>
      <c r="F70" s="77" t="str">
        <f t="shared" si="2"/>
        <v>"[SUPPORT FILES RULE] Include config files before code if needed | " &amp;</v>
      </c>
      <c r="G70" s="32" t="s">
        <v>226</v>
      </c>
    </row>
    <row r="71" spans="2:7">
      <c r="B71" s="84" t="s">
        <v>276</v>
      </c>
      <c r="C71" s="54" t="s">
        <v>176</v>
      </c>
      <c r="D71" s="94" t="s">
        <v>260</v>
      </c>
      <c r="E71" s="94"/>
      <c r="F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G71" s="32" t="s">
        <v>226</v>
      </c>
    </row>
    <row r="72" spans="2:7">
      <c r="B72" s="84" t="s">
        <v>276</v>
      </c>
      <c r="C72" s="54" t="s">
        <v>179</v>
      </c>
      <c r="D72" s="94" t="s">
        <v>261</v>
      </c>
      <c r="E72" s="94"/>
      <c r="F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G72" s="32" t="s">
        <v>226</v>
      </c>
    </row>
    <row r="73" spans="2:7">
      <c r="B73" s="84" t="s">
        <v>276</v>
      </c>
      <c r="C73" s="54" t="s">
        <v>182</v>
      </c>
      <c r="D73" s="94" t="s">
        <v>262</v>
      </c>
      <c r="E73" s="94"/>
      <c r="F73" s="77" t="str">
        <f t="shared" si="2"/>
        <v>"[CODE QUALITY RULE] Code MUST be clean, readable, correct, and educational | " &amp;</v>
      </c>
      <c r="G73" s="32" t="s">
        <v>226</v>
      </c>
    </row>
    <row r="74" spans="2:7">
      <c r="B74" s="84" t="s">
        <v>276</v>
      </c>
      <c r="C74" s="54" t="s">
        <v>209</v>
      </c>
      <c r="D74" s="94" t="s">
        <v>263</v>
      </c>
      <c r="E74" s="94"/>
      <c r="F74" s="77" t="str">
        <f t="shared" si="2"/>
        <v>"[FORMAT RULE] Only markdown code blocks allowed | " &amp;</v>
      </c>
      <c r="G74" s="32" t="s">
        <v>226</v>
      </c>
    </row>
    <row r="75" spans="2:7">
      <c r="B75" s="84" t="s">
        <v>276</v>
      </c>
      <c r="C75" s="54" t="s">
        <v>264</v>
      </c>
      <c r="D75" s="94" t="s">
        <v>265</v>
      </c>
      <c r="E75" s="94"/>
      <c r="F75" s="77" t="str">
        <f t="shared" si="2"/>
        <v>"[EXECUTION RULE] Code MUST run and produce correct output | " &amp;</v>
      </c>
      <c r="G75" s="32" t="s">
        <v>226</v>
      </c>
    </row>
    <row r="76" spans="2:7">
      <c r="B76" s="84" t="s">
        <v>276</v>
      </c>
      <c r="C76" s="54" t="s">
        <v>214</v>
      </c>
      <c r="D76" s="94" t="s">
        <v>266</v>
      </c>
      <c r="E76" s="94"/>
      <c r="F76" s="77" t="str">
        <f t="shared" si="2"/>
        <v>"[CONSISTENCY RULE] Project must match objective | " &amp;</v>
      </c>
      <c r="G76" s="32" t="s">
        <v>226</v>
      </c>
    </row>
    <row r="77" spans="2:7">
      <c r="B77" s="84" t="s">
        <v>276</v>
      </c>
      <c r="C77" s="54" t="s">
        <v>217</v>
      </c>
      <c r="D77" s="94" t="s">
        <v>591</v>
      </c>
      <c r="E77" s="94"/>
      <c r="F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G77" s="32" t="s">
        <v>226</v>
      </c>
    </row>
    <row r="78" spans="2:7">
      <c r="B78" s="84" t="s">
        <v>276</v>
      </c>
      <c r="C78" s="54" t="s">
        <v>218</v>
      </c>
      <c r="D78" s="94" t="s">
        <v>267</v>
      </c>
      <c r="E78" s="94"/>
      <c r="F78" s="77" t="str">
        <f t="shared" si="2"/>
        <v>"[OUTPUT] Only header, dataset notice, objective, support file, code planning, expected output, code, and footer | " &amp;</v>
      </c>
      <c r="G78" s="32" t="s">
        <v>226</v>
      </c>
    </row>
    <row r="79" spans="2:7">
      <c r="B79" s="84" t="s">
        <v>276</v>
      </c>
      <c r="C79" s="54" t="s">
        <v>222</v>
      </c>
      <c r="D79" s="94" t="s">
        <v>268</v>
      </c>
      <c r="E79" s="94"/>
      <c r="F79" s="77" t="str">
        <f t="shared" si="2"/>
        <v>"[FOOTER RULE - STRICT] End your entire response EXACTLY with this markdown string (ensure all code blocks are closed before it):" &amp; CHAR(10) &amp; "---" &amp; CHAR(10) &amp; "⚡ *Coding5s System — Learn Programming by Writing Code*")</v>
      </c>
      <c r="G79" s="32" t="s">
        <v>226</v>
      </c>
    </row>
    <row r="80" spans="2:7">
      <c r="F80" s="86"/>
      <c r="G80" t="s">
        <v>226</v>
      </c>
    </row>
    <row r="82" spans="2:7" ht="36">
      <c r="B82" s="80" t="s">
        <v>274</v>
      </c>
    </row>
    <row r="83" spans="2:7">
      <c r="B83" s="76" t="s">
        <v>223</v>
      </c>
      <c r="C83" s="76" t="s">
        <v>588</v>
      </c>
      <c r="D83" s="76" t="s">
        <v>589</v>
      </c>
      <c r="E83" s="76"/>
      <c r="F83" s="88" t="s">
        <v>237</v>
      </c>
      <c r="G83" s="54" t="s">
        <v>226</v>
      </c>
    </row>
    <row r="84" spans="2:7">
      <c r="B84" s="54" t="s">
        <v>224</v>
      </c>
      <c r="C84" s="54" t="s">
        <v>238</v>
      </c>
      <c r="D84" s="94" t="s">
        <v>253</v>
      </c>
      <c r="E84" s="94"/>
      <c r="F84" s="77" t="str">
        <f t="shared" ref="F84:F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G84" s="54" t="s">
        <v>226</v>
      </c>
    </row>
    <row r="85" spans="2:7">
      <c r="B85" s="54" t="s">
        <v>224</v>
      </c>
      <c r="C85" s="54" t="s">
        <v>239</v>
      </c>
      <c r="D85" s="94" t="s">
        <v>248</v>
      </c>
      <c r="E85" s="94"/>
      <c r="F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G85" s="54" t="s">
        <v>226</v>
      </c>
    </row>
    <row r="86" spans="2:7">
      <c r="B86" s="54" t="s">
        <v>224</v>
      </c>
      <c r="C86" s="54" t="s">
        <v>240</v>
      </c>
      <c r="D86" s="94" t="s">
        <v>249</v>
      </c>
      <c r="E86" s="94"/>
      <c r="F86" s="77" t="str">
        <f t="shared" si="4"/>
        <v>"[CONTEXT] You are helping a Junior Developer who is " &amp; IF(UPPER(H9)="PROJECT", "building a PROJECT: " &amp; I9 &amp; ". Topics applied in this project: " &amp; B9 &amp; ". Project objective: " &amp; J9, "learning: " &amp; I9 &amp; ". Topic details: " &amp; J9) &amp; " | " &amp;</v>
      </c>
      <c r="G86" s="54" t="s">
        <v>226</v>
      </c>
    </row>
    <row r="87" spans="2:7">
      <c r="B87" s="54" t="s">
        <v>224</v>
      </c>
      <c r="C87" s="54" t="s">
        <v>231</v>
      </c>
      <c r="D87" s="94" t="s">
        <v>272</v>
      </c>
      <c r="E87" s="94"/>
      <c r="F87" s="77"/>
      <c r="G87" s="54"/>
    </row>
    <row r="88" spans="2:7">
      <c r="B88" s="54" t="s">
        <v>224</v>
      </c>
      <c r="C88" s="54" t="s">
        <v>174</v>
      </c>
      <c r="D88" s="94" t="s">
        <v>251</v>
      </c>
      <c r="E88" s="94"/>
      <c r="F88" s="77" t="str">
        <f t="shared" si="4"/>
        <v>"[LANGUAGE CONSISTENCY RULE] ALL output text MUST be written strictly in (" &amp; $B$6 &amp; "). | " &amp;</v>
      </c>
      <c r="G88" s="54" t="s">
        <v>226</v>
      </c>
    </row>
    <row r="89" spans="2:7">
      <c r="B89" s="54" t="s">
        <v>224</v>
      </c>
      <c r="C89" s="54" t="s">
        <v>500</v>
      </c>
      <c r="D89" s="94" t="s">
        <v>492</v>
      </c>
      <c r="E89" s="94"/>
      <c r="F89" s="77" t="str">
        <f t="shared" si="4"/>
        <v>"[LANGUAGE SEED CONTEXT] " &amp; IF($AE$7 = "", "Language Seed Not Necessary", "You MUST strictly follow this seed context to enhance, adapt, and naturalize your tone, vocabulary, and instructional quality in " &amp; $B$6 &amp; ": " &amp; $AE$7) &amp; " | " &amp;</v>
      </c>
      <c r="G89" s="54" t="s">
        <v>226</v>
      </c>
    </row>
    <row r="90" spans="2:7">
      <c r="B90" s="54" t="s">
        <v>224</v>
      </c>
      <c r="C90" s="54" t="s">
        <v>220</v>
      </c>
      <c r="D90" s="94" t="s">
        <v>254</v>
      </c>
      <c r="E90" s="94"/>
      <c r="F90" s="77" t="str">
        <f>IF(D90="","",""""&amp;C90&amp;" "&amp;IF(C90="[FOOTER RULE - STRICT]",D90,IF(RIGHT(D90,6)=" | "&amp;CHAR(34)&amp;" &amp;",D90,D90&amp;" | "&amp;CHAR(34)&amp;" &amp;")))</f>
        <v>"[LANGUAGE] " &amp; $B$6 &amp;" | " &amp;</v>
      </c>
      <c r="G90" s="54" t="s">
        <v>226</v>
      </c>
    </row>
    <row r="91" spans="2:7">
      <c r="B91" s="54" t="s">
        <v>225</v>
      </c>
      <c r="C91" s="54" t="s">
        <v>232</v>
      </c>
      <c r="D91" s="94"/>
      <c r="E91" s="94"/>
      <c r="F91" s="77" t="str">
        <f t="shared" ref="F91:F92" si="5">IF(D91="","",""""&amp;C91&amp;" "&amp;IF(C91="[FOOTER RULE - STRICT]",D91,IF(RIGHT(D91,6)=" | "&amp;CHAR(34)&amp;" &amp;",D91,D91&amp;" | "&amp;CHAR(34)&amp;" &amp;")))</f>
        <v/>
      </c>
      <c r="G91" s="54" t="s">
        <v>226</v>
      </c>
    </row>
    <row r="92" spans="2:7">
      <c r="B92" s="54" t="s">
        <v>225</v>
      </c>
      <c r="C92" s="54" t="s">
        <v>232</v>
      </c>
      <c r="D92" s="94"/>
      <c r="E92" s="94"/>
      <c r="F92" s="77" t="str">
        <f t="shared" si="5"/>
        <v/>
      </c>
      <c r="G92" s="54" t="s">
        <v>226</v>
      </c>
    </row>
    <row r="93" spans="2:7">
      <c r="B93" s="54" t="s">
        <v>225</v>
      </c>
      <c r="C93" s="54" t="s">
        <v>639</v>
      </c>
      <c r="D93" s="94" t="str">
        <f>CHAR(34) &amp; "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&amp; IF(G9="Beginner", "Evaluate based on basic async/await, Future usage, and simple class methods. Do NOT expect complex StreamControllers, Isolates, or advanced OOP patterns unless explicitly demanded.", IF(G9="Intermediate", "Expect structured Stream handling, isolate usage, and proper state encapsulation using classes with private fields. Look for non-blocking async operations and basic inheritance or composition.", "Expect complete apps with bi-directional Isolate communication, clean separation of public interfaces vs internal state, exhaustive pattern matching with sealed classes, and advanced OOP patterns (composition over inheritance).")) &amp; " | " &amp;</v>
      </c>
      <c r="E93" s="94" t="str">
        <f>"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xml:space="preserve"> &amp; IF(G9="Beginner", "Evaluate based on basic async/await, Future usage, and simple class methods. Do NOT expect complex StreamControllers, Isolates, or advanced OOP patterns unless explicitly demanded.", IF(G9="Intermediate", "Expect structured Stream handling, isolate usage, and proper state encapsulation using classes with private fields. Look for non-blocking async operations and basic inheritance or composition.", "Expect complete apps with bi-directional Isolate communication, clean separation of public interfaces vs internal state, exhaustive pattern matching with sealed classes, and advanced OOP patterns (composition over inheritance).")) &amp; " | " &amp;</v>
      </c>
      <c r="F93" s="77" t="str">
        <f>IF(D93="","",""""&amp;C93&amp;" "&amp;IF(C93="[FOOTER RULE - STRICT]",D93,IF(RIGHT(D93,6)=" | "&amp;CHAR(34)&amp;" &amp;",D93,D93&amp;" | "&amp;CHAR(34)&amp;" &amp;")))</f>
        <v>"[MENTOR_SCOPE_EXPECTATIONS] " &amp; IF(G9="Beginner", "Evaluate based on basic async/await, Future usage, and simple class methods. Do NOT expect complex StreamControllers, Isolates, or advanced OOP patterns unless explicitly demanded.", IF(G9="Intermediate", "Expect structured Stream handling, isolate usage, and proper state encapsulation using classes with private fields. Look for non-blocking async operations and basic inheritance or composition.", "Expect complete apps with bi-directional Isolate communication, clean separation of public interfaces vs internal state, exhaustive pattern matching with sealed classes, and advanced OOP patterns (composition over inheritance).")) &amp; " | " &amp;</v>
      </c>
      <c r="G93" s="54" t="s">
        <v>226</v>
      </c>
    </row>
    <row r="94" spans="2:7">
      <c r="B94" s="54" t="s">
        <v>225</v>
      </c>
      <c r="C94" s="54" t="s">
        <v>640</v>
      </c>
      <c r="D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&amp; IF(AJ9&lt;&gt;"", "[MENTOR CONTEXT ALERT] Be aware of the following infrastructure limitation for this exercise: " &amp; AJ9 &amp; " Use this knowledge to reassure the student if they present an environment error. | ", "") &amp; " | " &amp;</v>
      </c>
      <c r="E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&amp; IF(AJ9&lt;&gt;"", "[MENTOR CONTEXT ALERT] Be aware of the following infrastructure limitation for this exercise: " &amp; AJ9 &amp; " Use this knowledge to reassure the student if they present an environment error. | ", "") &amp; " | " &amp;</v>
      </c>
      <c r="F94" s="77" t="str">
        <f>IF(D94="","",""""&amp;C94&amp;" "&amp;IF(C94="[FOOTER RULE - STRICT]",D94,IF(RIGHT(D94,6)=" | "&amp;CHAR(34)&amp;" &amp;",D94,D94&amp;" | "&amp;CHAR(34)&amp;" &amp;")))</f>
        <v>"[CODE_QUALITY_POLICIES] Code MUST be idiomatic Elixir. Use descriptive camelCase for members/functions/variables, PascalCase for types/classes/enums, and snake_case for libraries/files following Effective Dart. Leverage Dart 3+ pattern matching, Records (e.g., (status, state)), sealed classes, and strict static typing with Sound Null Safety. Reject event loop blocking (sync I/O), unawaited Futures, abusing 'dynamic' types, mutable global state, or public mutable fields. If using default parameters, prefer named parameters with the 'required' keyword or provide default values explicitly in the signature. | " &amp; IF(AJ9&lt;&gt;"", "[MENTOR CONTEXT ALERT] Be aware of the following infrastructure limitation for this exercise: " &amp; AJ9 &amp; " Use this knowledge to reassure the student if they present an environment error. | ", "") &amp; " | " &amp;</v>
      </c>
      <c r="G94" s="54" t="s">
        <v>226</v>
      </c>
    </row>
    <row r="95" spans="2:7">
      <c r="B95" s="84" t="s">
        <v>276</v>
      </c>
      <c r="C95" s="54" t="s">
        <v>176</v>
      </c>
      <c r="D95" s="94" t="s">
        <v>252</v>
      </c>
      <c r="E95" s="94"/>
      <c r="F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G95" s="54" t="s">
        <v>226</v>
      </c>
    </row>
    <row r="96" spans="2:7">
      <c r="B96" s="84" t="s">
        <v>276</v>
      </c>
      <c r="C96" s="54" t="s">
        <v>241</v>
      </c>
      <c r="D96" s="94" t="s">
        <v>255</v>
      </c>
      <c r="E96" s="94"/>
      <c r="F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G96" s="54" t="s">
        <v>226</v>
      </c>
    </row>
    <row r="97" spans="2:7">
      <c r="B97" s="84" t="s">
        <v>276</v>
      </c>
      <c r="C97" s="54" t="s">
        <v>164</v>
      </c>
      <c r="D97" s="94" t="s">
        <v>250</v>
      </c>
      <c r="E97" s="94"/>
      <c r="F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G97" s="54" t="s">
        <v>226</v>
      </c>
    </row>
    <row r="98" spans="2:7">
      <c r="B98" s="84" t="s">
        <v>276</v>
      </c>
      <c r="C98" s="54" t="s">
        <v>242</v>
      </c>
      <c r="D98" s="94" t="s">
        <v>316</v>
      </c>
      <c r="E98" s="94"/>
      <c r="F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G98" s="54" t="s">
        <v>226</v>
      </c>
    </row>
    <row r="99" spans="2:7">
      <c r="B99" s="84" t="s">
        <v>276</v>
      </c>
      <c r="C99" s="54" t="s">
        <v>243</v>
      </c>
      <c r="D99" s="94" t="s">
        <v>312</v>
      </c>
      <c r="E99" s="94"/>
      <c r="F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G99" s="54" t="s">
        <v>226</v>
      </c>
    </row>
    <row r="100" spans="2:7">
      <c r="B100" s="84" t="s">
        <v>276</v>
      </c>
      <c r="C100" s="54" t="s">
        <v>244</v>
      </c>
      <c r="D100" s="94" t="s">
        <v>315</v>
      </c>
      <c r="E100" s="94"/>
      <c r="F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G100" s="54" t="s">
        <v>226</v>
      </c>
    </row>
    <row r="101" spans="2:7">
      <c r="B101" s="84" t="s">
        <v>276</v>
      </c>
      <c r="C101" s="54" t="s">
        <v>245</v>
      </c>
      <c r="D101" s="94" t="s">
        <v>256</v>
      </c>
      <c r="E101" s="94"/>
      <c r="F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G101" s="54" t="s">
        <v>226</v>
      </c>
    </row>
    <row r="102" spans="2:7">
      <c r="B102" s="84" t="s">
        <v>276</v>
      </c>
      <c r="C102" s="54" t="s">
        <v>247</v>
      </c>
      <c r="D102" s="94" t="s">
        <v>313</v>
      </c>
      <c r="E102" s="94"/>
      <c r="F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G102" s="54" t="s">
        <v>226</v>
      </c>
    </row>
    <row r="103" spans="2:7">
      <c r="B103" s="84" t="s">
        <v>276</v>
      </c>
      <c r="C103" s="54" t="s">
        <v>217</v>
      </c>
      <c r="D103" s="94" t="s">
        <v>592</v>
      </c>
      <c r="E103" s="94"/>
      <c r="F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G103" s="54" t="s">
        <v>226</v>
      </c>
    </row>
    <row r="104" spans="2:7">
      <c r="B104" s="84" t="s">
        <v>276</v>
      </c>
      <c r="C104" s="54" t="s">
        <v>222</v>
      </c>
      <c r="D104" s="94" t="s">
        <v>314</v>
      </c>
      <c r="E104" s="94"/>
      <c r="F104" s="77" t="str">
        <f t="shared" si="4"/>
        <v>"[FOOTER RULE - STRICT] End your response with: '--- ⚡ *Coding5s Mentor System — Eliminating Epistemic Debt*' | ","")</v>
      </c>
      <c r="G104" s="54" t="s">
        <v>226</v>
      </c>
    </row>
  </sheetData>
  <conditionalFormatting sqref="B1:B1048576">
    <cfRule type="cellIs" dxfId="56" priority="16" operator="equal">
      <formula>"The Immutable ""Kernel"""</formula>
    </cfRule>
    <cfRule type="cellIs" dxfId="55" priority="17" operator="equal">
      <formula>"Paradigm &amp; Ecosystem"</formula>
    </cfRule>
    <cfRule type="cellIs" dxfId="54" priority="18" operator="equal">
      <formula>"Global Variables &amp; Configuration"</formula>
    </cfRule>
  </conditionalFormatting>
  <conditionalFormatting sqref="C4:C50">
    <cfRule type="expression" dxfId="53" priority="13">
      <formula>$B4="The Immutable Kernel"</formula>
    </cfRule>
    <cfRule type="expression" dxfId="52" priority="14">
      <formula>$B4="Paradigm &amp; Ecosystem"</formula>
    </cfRule>
    <cfRule type="expression" dxfId="51" priority="15">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7">
      <formula>$B84="The Immutable Kernel"</formula>
    </cfRule>
    <cfRule type="expression" dxfId="46" priority="8">
      <formula>$B84="Paradigm &amp; Ecosystem"</formula>
    </cfRule>
    <cfRule type="expression" dxfId="45" priority="9">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83"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454</v>
      </c>
      <c r="D2" s="81" t="s">
        <v>275</v>
      </c>
      <c r="H2" s="82"/>
      <c r="T2" s="82"/>
    </row>
    <row r="3" spans="1:29">
      <c r="B3" s="76" t="s">
        <v>223</v>
      </c>
      <c r="C3" s="76" t="s">
        <v>588</v>
      </c>
      <c r="D3" s="76" t="s">
        <v>589</v>
      </c>
      <c r="E3" s="88" t="s">
        <v>230</v>
      </c>
      <c r="F3" s="4" t="s">
        <v>226</v>
      </c>
      <c r="AC3" t="s">
        <v>226</v>
      </c>
    </row>
    <row r="4" spans="1:29">
      <c r="A4">
        <f>LEN(D4)</f>
        <v>31</v>
      </c>
      <c r="B4" s="75" t="s">
        <v>224</v>
      </c>
      <c r="C4" s="54" t="s">
        <v>162</v>
      </c>
      <c r="D4" s="93" t="s">
        <v>277</v>
      </c>
      <c r="E4" s="77" t="str">
        <f t="shared" ref="E4:E41" si="0">IF(D4="","",""""&amp;C4&amp;" "&amp;IF(C4="[FOOTER RULE - STRICT]",D4,IF(RIGHT(D4,6)=" | "&amp;CHAR(34)&amp;" &amp;",D4,D4&amp;" | "&amp;CHAR(34)&amp;" &amp;")))</f>
        <v>"[ROLE] Careless " &amp; $I$2 &amp; " Developer | " &amp;</v>
      </c>
      <c r="F4" s="54" t="s">
        <v>226</v>
      </c>
    </row>
    <row r="5" spans="1:29">
      <c r="A5">
        <f t="shared" ref="A5:A42" si="1">LEN(D5)</f>
        <v>47</v>
      </c>
      <c r="B5" s="75" t="s">
        <v>224</v>
      </c>
      <c r="C5" s="54" t="s">
        <v>164</v>
      </c>
      <c r="D5" s="93" t="s">
        <v>278</v>
      </c>
      <c r="E5" s="77" t="str">
        <f t="shared" si="0"/>
        <v>"[TASK] Generate debugging challenges in " &amp; $I$2 &amp; " | | " &amp;</v>
      </c>
      <c r="F5" s="54" t="s">
        <v>226</v>
      </c>
    </row>
    <row r="6" spans="1:29">
      <c r="A6">
        <f t="shared" si="1"/>
        <v>12</v>
      </c>
      <c r="B6" s="75" t="s">
        <v>224</v>
      </c>
      <c r="C6" s="54" t="s">
        <v>166</v>
      </c>
      <c r="D6" s="93" t="s">
        <v>279</v>
      </c>
      <c r="E6" s="77" t="str">
        <f t="shared" si="0"/>
        <v>"[TOPIC] " &amp; I9 &amp; " | | " &amp;</v>
      </c>
      <c r="F6" s="54" t="s">
        <v>226</v>
      </c>
    </row>
    <row r="7" spans="1:29">
      <c r="A7">
        <f t="shared" si="1"/>
        <v>12</v>
      </c>
      <c r="B7" s="75" t="s">
        <v>224</v>
      </c>
      <c r="C7" s="54" t="s">
        <v>168</v>
      </c>
      <c r="D7" s="93" t="s">
        <v>280</v>
      </c>
      <c r="E7" s="77" t="str">
        <f t="shared" si="0"/>
        <v>"[LEVEL] " &amp; G9 &amp; " | | " &amp;</v>
      </c>
      <c r="F7" s="54" t="s">
        <v>226</v>
      </c>
    </row>
    <row r="8" spans="1:29">
      <c r="A8">
        <f t="shared" si="1"/>
        <v>21</v>
      </c>
      <c r="B8" s="75" t="s">
        <v>224</v>
      </c>
      <c r="C8" s="54" t="s">
        <v>170</v>
      </c>
      <c r="D8" s="93" t="s">
        <v>281</v>
      </c>
      <c r="E8" s="77" t="str">
        <f t="shared" si="0"/>
        <v>"[COUNT] " &amp; D9 &amp; " challenges | " &amp;</v>
      </c>
      <c r="F8" s="54" t="s">
        <v>226</v>
      </c>
    </row>
    <row r="9" spans="1:29">
      <c r="A9">
        <f t="shared" si="1"/>
        <v>18</v>
      </c>
      <c r="B9" s="75" t="s">
        <v>224</v>
      </c>
      <c r="C9" s="54" t="s">
        <v>231</v>
      </c>
      <c r="D9" s="93" t="s">
        <v>272</v>
      </c>
      <c r="E9" s="77" t="str">
        <f t="shared" si="0"/>
        <v>"[LIBRARY BEING LEARNED] " &amp; $I$3 &amp; " | " &amp;</v>
      </c>
      <c r="F9" s="54" t="s">
        <v>226</v>
      </c>
    </row>
    <row r="10" spans="1:29">
      <c r="A10">
        <f t="shared" si="1"/>
        <v>549</v>
      </c>
      <c r="B10" s="75" t="s">
        <v>224</v>
      </c>
      <c r="C10" s="32" t="s">
        <v>227</v>
      </c>
      <c r="D10" s="93"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v>
      </c>
      <c r="E10" s="77" t="str">
        <f t="shared" si="0"/>
        <v>"[ECOSYSTEM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v>
      </c>
      <c r="F10" s="54" t="s">
        <v>226</v>
      </c>
    </row>
    <row r="11" spans="1:29">
      <c r="A11">
        <f t="shared" si="1"/>
        <v>313</v>
      </c>
      <c r="B11" s="75" t="s">
        <v>224</v>
      </c>
      <c r="C11" s="54" t="s">
        <v>217</v>
      </c>
      <c r="D11" s="93" t="s">
        <v>593</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226</v>
      </c>
    </row>
    <row r="12" spans="1:29">
      <c r="A12">
        <f t="shared" si="1"/>
        <v>406</v>
      </c>
      <c r="B12" s="75" t="s">
        <v>224</v>
      </c>
      <c r="C12" s="54" t="s">
        <v>174</v>
      </c>
      <c r="D12" s="93" t="s">
        <v>175</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226</v>
      </c>
    </row>
    <row r="13" spans="1:29">
      <c r="A13">
        <f t="shared" si="1"/>
        <v>214</v>
      </c>
      <c r="B13" s="75" t="s">
        <v>224</v>
      </c>
      <c r="C13" s="54" t="s">
        <v>500</v>
      </c>
      <c r="D13" s="93" t="s">
        <v>492</v>
      </c>
      <c r="E13" s="77" t="str">
        <f t="shared" si="0"/>
        <v>"[LANGUAGE SEED CONTEXT] " &amp; IF($AE$7 = "", "Language Seed Not Necessary", "You MUST strictly follow this seed context to enhance, adapt, and naturalize your tone, vocabulary, and instructional quality in " &amp; $B$6 &amp; ": " &amp; $AE$7) &amp; " | " &amp;</v>
      </c>
      <c r="F13" s="54" t="s">
        <v>226</v>
      </c>
    </row>
    <row r="14" spans="1:29">
      <c r="A14">
        <f t="shared" si="1"/>
        <v>0</v>
      </c>
      <c r="B14" s="83" t="s">
        <v>225</v>
      </c>
      <c r="C14" s="54" t="s">
        <v>232</v>
      </c>
      <c r="D14" s="93"/>
      <c r="E14" s="77" t="str">
        <f t="shared" si="0"/>
        <v/>
      </c>
      <c r="F14" s="54" t="s">
        <v>226</v>
      </c>
    </row>
    <row r="15" spans="1:29">
      <c r="A15">
        <f t="shared" si="1"/>
        <v>0</v>
      </c>
      <c r="B15" s="83" t="s">
        <v>225</v>
      </c>
      <c r="C15" s="54" t="s">
        <v>232</v>
      </c>
      <c r="D15" s="93"/>
      <c r="E15" s="77" t="str">
        <f t="shared" si="0"/>
        <v/>
      </c>
      <c r="F15" s="54" t="s">
        <v>226</v>
      </c>
    </row>
    <row r="16" spans="1:29">
      <c r="A16">
        <f t="shared" si="1"/>
        <v>474</v>
      </c>
      <c r="B16" s="83" t="s">
        <v>225</v>
      </c>
      <c r="C16" s="32" t="s">
        <v>190</v>
      </c>
      <c r="D16" s="93" t="str">
        <f>Variables!E31 &amp; " | " &amp; Variables!E32 &amp; " | " &amp; Variables!E33 &amp; " | " &amp; CHAR(34) &amp; " &amp;"</f>
        <v>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v>
      </c>
      <c r="E16" s="77" t="str">
        <f t="shared" si="0"/>
        <v>"[FILE HANDLING RULE] Use standard async I/O via dart:io inside class methods and gracefully handle errors using try/catch blocks or typed Result records like (value, error). | Environment variables via Platform.environment may be used but bugs MUST exist ONLY in Dart logic files, NEVER in pubspec.yaml or environment setups. | If logic is externalized, MUST include: 1. Instructional sentence 2. Setup class/file block 3. BEFORE the broken logic block (Support files MUST contain NO bugs) | " &amp;</v>
      </c>
      <c r="F16" s="54" t="s">
        <v>226</v>
      </c>
    </row>
    <row r="17" spans="1:6">
      <c r="A17">
        <f t="shared" si="1"/>
        <v>178</v>
      </c>
      <c r="B17" s="83" t="s">
        <v>225</v>
      </c>
      <c r="C17" s="32" t="s">
        <v>607</v>
      </c>
      <c r="D17" s="93" t="str">
        <f>Variables!E34 &amp; " | " &amp; CHAR(34) &amp; " &amp;"</f>
        <v>Always use the Dart test package. You MUST use expect() with Future/Stream matchers for async testing. Avoid testing complex async logic with simple synchronous assertions. | " &amp;</v>
      </c>
      <c r="E17" s="77" t="str">
        <f t="shared" si="0"/>
        <v>"[EXUNIT RULE] Always use the Dart test package. You MUST use expect() with Future/Stream matchers for async testing. Avoid testing complex async logic with simple synchronous assertions. | " &amp;</v>
      </c>
      <c r="F17" s="54" t="s">
        <v>226</v>
      </c>
    </row>
    <row r="18" spans="1:6">
      <c r="A18">
        <f t="shared" si="1"/>
        <v>145</v>
      </c>
      <c r="B18" s="54" t="s">
        <v>225</v>
      </c>
      <c r="C18" s="32" t="s">
        <v>606</v>
      </c>
      <c r="D18" s="93" t="str">
        <f>Variables!E35 &amp; " | " &amp; CHAR(34) &amp; " &amp;"</f>
        <v>Assume a standard Dart CLI context. External pub.dev dependencies MUST be specified strictly within the dependencies block of pubspec.yaml. | " &amp;</v>
      </c>
      <c r="E18" s="77" t="str">
        <f t="shared" si="0"/>
        <v>"[HEX DEPENDENCIES RULE] Assume a standard Dart CLI context. External pub.dev dependencies MUST be specified strictly within the dependencies block of pubspec.yaml. | " &amp;</v>
      </c>
      <c r="F18" s="54" t="s">
        <v>226</v>
      </c>
    </row>
    <row r="19" spans="1:6">
      <c r="A19">
        <f t="shared" si="1"/>
        <v>525</v>
      </c>
      <c r="B19" s="54" t="s">
        <v>225</v>
      </c>
      <c r="C19" s="32" t="s">
        <v>180</v>
      </c>
      <c r="D19" s="93" t="str">
        <f>Variables!E36 &amp; " - " &amp; CHAR(34) &amp; " &amp; IF(G9=" &amp; CHAR(34) &amp; "Beginner" &amp; CHAR(34) &amp; ", " &amp; CHAR(34) &amp; "5–15" &amp; CHAR(34) &amp; ", IF(G9=" &amp; CHAR(34) &amp; "Intermediate" &amp; CHAR(34) &amp; ", " &amp; CHAR(34) &amp; "10–25" &amp; CHAR(34) &amp; ", " &amp; CHAR(34) &amp; "15–35" &amp; CHAR(34) &amp; ")) &amp; " &amp; CHAR(34) &amp; " " &amp; Variables!E37 &amp; " | " &amp; Variables!E38 &amp; " | " &amp; CHAR(34) &amp; " &amp;"</f>
        <v>Each challenge MUST include: - At least 1 Stream, Isolate, or class managing continuous state - Explicit typed state initialization - At least 1 asynchronous event listener or Future handler - " &amp; IF(G9="Beginner", "5–15", IF(G9="Intermediate", "10–25", "15–35")) &amp; " lines of EXECUTABLE broken Dart code per example (STRICT: Do NOT count blank lines). Enforce static typing, Sound Null Safety, and avoid 'dynamic'. | All challenges MUST have similar async abstraction depth, OOP complexity, and architectural layering. | " &amp;</v>
      </c>
      <c r="E19" s="77" t="str">
        <f t="shared" si="0"/>
        <v>"[CODE CONSTRAINTS] Each challenge MUST include: - At least 1 Stream, Isolate, or class managing continuous state - Explicit typed state initialization - At least 1 asynchronous event listener or Future handler - " &amp; IF(G9="Beginner", "5–15", IF(G9="Intermediate", "10–25", "15–35")) &amp; " lines of EXECUTABLE broken Dart code per example (STRICT: Do NOT count blank lines). Enforce static typing, Sound Null Safety, and avoid 'dynamic'. | All challenges MUST have similar async abstraction depth, OOP complexity, and architectural layering. | " &amp;</v>
      </c>
      <c r="F19" s="54" t="s">
        <v>226</v>
      </c>
    </row>
    <row r="20" spans="1:6">
      <c r="A20">
        <f t="shared" si="1"/>
        <v>888</v>
      </c>
      <c r="B20" s="54" t="s">
        <v>276</v>
      </c>
      <c r="C20" s="54" t="s">
        <v>189</v>
      </c>
      <c r="D20" s="93" t="s">
        <v>855</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226</v>
      </c>
    </row>
    <row r="21" spans="1:6">
      <c r="A21">
        <f t="shared" si="1"/>
        <v>40</v>
      </c>
      <c r="B21" s="54" t="s">
        <v>276</v>
      </c>
      <c r="C21" s="54" t="s">
        <v>283</v>
      </c>
      <c r="D21" s="93" t="s">
        <v>284</v>
      </c>
      <c r="E21" s="77" t="str">
        <f t="shared" si="0"/>
        <v>"[COMMENT RULE] Do NOT include comments that reveal bugs | " &amp;</v>
      </c>
      <c r="F21" s="54" t="s">
        <v>226</v>
      </c>
    </row>
    <row r="22" spans="1:6">
      <c r="A22">
        <f t="shared" si="1"/>
        <v>39</v>
      </c>
      <c r="B22" s="54" t="s">
        <v>276</v>
      </c>
      <c r="C22" s="54" t="s">
        <v>209</v>
      </c>
      <c r="D22" s="93" t="s">
        <v>285</v>
      </c>
      <c r="E22" s="77" t="str">
        <f t="shared" si="0"/>
        <v>"[FORMAT RULE] Only valid markdown code blocks allowed | " &amp;</v>
      </c>
      <c r="F22" s="54" t="s">
        <v>226</v>
      </c>
    </row>
    <row r="23" spans="1:6">
      <c r="A23">
        <f t="shared" si="1"/>
        <v>114</v>
      </c>
      <c r="B23" s="54" t="s">
        <v>276</v>
      </c>
      <c r="C23" s="54" t="s">
        <v>211</v>
      </c>
      <c r="D23" s="93" t="s">
        <v>286</v>
      </c>
      <c r="E23" s="77" t="str">
        <f t="shared" si="0"/>
        <v>"[LANGUAGE TAG RULE] ALWAYS label markdown code blocks with the correct underlying programming language (e.g., python, javascript, sql) | " &amp;</v>
      </c>
      <c r="F23" s="54" t="s">
        <v>226</v>
      </c>
    </row>
    <row r="24" spans="1:6">
      <c r="A24">
        <f t="shared" si="1"/>
        <v>51</v>
      </c>
      <c r="B24" s="54" t="s">
        <v>276</v>
      </c>
      <c r="C24" s="54" t="s">
        <v>287</v>
      </c>
      <c r="D24" s="93" t="s">
        <v>288</v>
      </c>
      <c r="E24" s="77" t="str">
        <f t="shared" si="0"/>
        <v>"[STRICT MODE] If ANY rule is violated, regenerate entire response | " &amp;</v>
      </c>
      <c r="F24" s="54" t="s">
        <v>226</v>
      </c>
    </row>
    <row r="25" spans="1:6">
      <c r="A25">
        <f t="shared" si="1"/>
        <v>57</v>
      </c>
      <c r="B25" s="54" t="s">
        <v>276</v>
      </c>
      <c r="C25" s="54" t="s">
        <v>172</v>
      </c>
      <c r="D25" s="93" t="s">
        <v>289</v>
      </c>
      <c r="E25" s="77" t="str">
        <f t="shared" si="0"/>
        <v>"[PERSONA RULE] Use a careless, messy, slightly frustrated developer tone | " &amp;</v>
      </c>
      <c r="F25" s="54" t="s">
        <v>226</v>
      </c>
    </row>
    <row r="26" spans="1:6">
      <c r="A26">
        <f t="shared" si="1"/>
        <v>330</v>
      </c>
      <c r="B26" s="54" t="s">
        <v>276</v>
      </c>
      <c r="C26" s="54" t="s">
        <v>179</v>
      </c>
      <c r="D26" s="93" t="s">
        <v>290</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226</v>
      </c>
    </row>
    <row r="27" spans="1:6">
      <c r="A27">
        <f t="shared" si="1"/>
        <v>74</v>
      </c>
      <c r="B27" s="54" t="s">
        <v>276</v>
      </c>
      <c r="C27" s="54" t="s">
        <v>218</v>
      </c>
      <c r="D27" s="93" t="s">
        <v>291</v>
      </c>
      <c r="E27" s="77" t="str">
        <f t="shared" si="0"/>
        <v>"[OUTPUT] Only header, dataset summary (if any), email intro, challenges, and footer | " &amp;</v>
      </c>
      <c r="F27" s="54" t="s">
        <v>226</v>
      </c>
    </row>
    <row r="28" spans="1:6">
      <c r="A28">
        <f t="shared" si="1"/>
        <v>109</v>
      </c>
      <c r="B28" s="54" t="s">
        <v>276</v>
      </c>
      <c r="C28" s="54" t="s">
        <v>292</v>
      </c>
      <c r="D28" s="93" t="s">
        <v>293</v>
      </c>
      <c r="E28" s="77" t="str">
        <f t="shared" si="0"/>
        <v>"[STRUCTURE RULE] Do NOT rename sections. Do NOT add titles. Do NOT add extra text (except when required by SUPPORT FILES RULE) | " &amp;</v>
      </c>
      <c r="F28" s="54" t="s">
        <v>226</v>
      </c>
    </row>
    <row r="29" spans="1:6">
      <c r="A29">
        <f t="shared" si="1"/>
        <v>54</v>
      </c>
      <c r="B29" s="54" t="s">
        <v>276</v>
      </c>
      <c r="C29" s="54" t="s">
        <v>214</v>
      </c>
      <c r="D29" s="93" t="s">
        <v>294</v>
      </c>
      <c r="E29" s="77" t="str">
        <f t="shared" si="0"/>
        <v>"[CONSISTENCY RULE] All challenges MUST have similar complexity and length | " &amp;</v>
      </c>
      <c r="F29" s="54" t="s">
        <v>226</v>
      </c>
    </row>
    <row r="30" spans="1:6">
      <c r="A30">
        <f t="shared" si="1"/>
        <v>61</v>
      </c>
      <c r="B30" s="54" t="s">
        <v>276</v>
      </c>
      <c r="C30" s="54" t="s">
        <v>295</v>
      </c>
      <c r="D30" s="93" t="s">
        <v>296</v>
      </c>
      <c r="E30" s="77" t="str">
        <f t="shared" si="0"/>
        <v>"[BUG COMPLEXITY RULE] Must align with score (3 basic, 4 intermediate, 5 multi-step) | " &amp;</v>
      </c>
      <c r="F30" s="54" t="s">
        <v>226</v>
      </c>
    </row>
    <row r="31" spans="1:6">
      <c r="A31">
        <f t="shared" si="1"/>
        <v>37</v>
      </c>
      <c r="B31" s="54" t="s">
        <v>276</v>
      </c>
      <c r="C31" s="54" t="s">
        <v>297</v>
      </c>
      <c r="D31" s="93" t="s">
        <v>298</v>
      </c>
      <c r="E31" s="77" t="str">
        <f t="shared" si="0"/>
        <v>"[BUG RULE] Each challenge MUST include 2–3 bugs. | " &amp;</v>
      </c>
      <c r="F31" s="54" t="s">
        <v>226</v>
      </c>
    </row>
    <row r="32" spans="1:6">
      <c r="A32">
        <f t="shared" si="1"/>
        <v>487</v>
      </c>
      <c r="B32" s="54" t="s">
        <v>276</v>
      </c>
      <c r="C32" s="54" t="s">
        <v>299</v>
      </c>
      <c r="D32" s="93" t="s">
        <v>856</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226</v>
      </c>
    </row>
    <row r="33" spans="1:6">
      <c r="A33">
        <f t="shared" si="1"/>
        <v>84</v>
      </c>
      <c r="B33" s="54" t="s">
        <v>276</v>
      </c>
      <c r="C33" s="54" t="s">
        <v>264</v>
      </c>
      <c r="D33" s="93" t="s">
        <v>300</v>
      </c>
      <c r="E33" s="77" t="str">
        <f t="shared" si="0"/>
        <v>"[EXECUTION RULE] Code must fail due to syntax errors, runtime exceptions, or produce incorrect output | " &amp;</v>
      </c>
      <c r="F33" s="54" t="s">
        <v>226</v>
      </c>
    </row>
    <row r="34" spans="1:6">
      <c r="A34">
        <f t="shared" si="1"/>
        <v>510</v>
      </c>
      <c r="B34" s="54" t="s">
        <v>276</v>
      </c>
      <c r="C34" s="54" t="s">
        <v>176</v>
      </c>
      <c r="D34" s="93" t="s">
        <v>857</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226</v>
      </c>
    </row>
    <row r="35" spans="1:6">
      <c r="A35">
        <f t="shared" si="1"/>
        <v>358</v>
      </c>
      <c r="B35" s="54" t="s">
        <v>276</v>
      </c>
      <c r="C35" s="54" t="s">
        <v>301</v>
      </c>
      <c r="D35" s="93" t="s">
        <v>302</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226</v>
      </c>
    </row>
    <row r="36" spans="1:6">
      <c r="A36">
        <f t="shared" si="1"/>
        <v>72</v>
      </c>
      <c r="B36" s="54" t="s">
        <v>276</v>
      </c>
      <c r="C36" s="54" t="s">
        <v>177</v>
      </c>
      <c r="D36" s="93" t="s">
        <v>303</v>
      </c>
      <c r="E36" s="77" t="str">
        <f t="shared" si="0"/>
        <v>"[DATA SUMMARY FORMAT RULE] Dataset Summary: - File Type: - Columns / Fields: - Data Types: - Notes: | " &amp;</v>
      </c>
      <c r="F36" s="54" t="s">
        <v>226</v>
      </c>
    </row>
    <row r="37" spans="1:6">
      <c r="A37">
        <f t="shared" si="1"/>
        <v>129</v>
      </c>
      <c r="B37" s="54" t="s">
        <v>276</v>
      </c>
      <c r="C37" s="54" t="s">
        <v>304</v>
      </c>
      <c r="D37" s="93" t="s">
        <v>305</v>
      </c>
      <c r="E37" s="77" t="str">
        <f t="shared" si="0"/>
        <v>"[SUPPORT FILES RULE - STRICT] If env/config is used, MUST include: 1. Instructional sentence 2. File content in markdown code block 3. BEFORE the broken code | | " &amp;</v>
      </c>
      <c r="F37" s="54" t="s">
        <v>226</v>
      </c>
    </row>
    <row r="38" spans="1:6">
      <c r="A38">
        <f t="shared" si="1"/>
        <v>88</v>
      </c>
      <c r="B38" s="54" t="s">
        <v>276</v>
      </c>
      <c r="C38" s="54" t="s">
        <v>306</v>
      </c>
      <c r="D38" s="93" t="s">
        <v>307</v>
      </c>
      <c r="E38" s="77" t="str">
        <f t="shared" si="0"/>
        <v>"[SUPPORT FILES QUALITY RULE] Support files (.env, .env.example, .gitignore) MUST be fully correct and contain NO bugs | " &amp;</v>
      </c>
      <c r="F38" s="54" t="s">
        <v>226</v>
      </c>
    </row>
    <row r="39" spans="1:6">
      <c r="A39">
        <f t="shared" si="1"/>
        <v>208</v>
      </c>
      <c r="B39" s="54" t="s">
        <v>276</v>
      </c>
      <c r="C39" s="54" t="s">
        <v>308</v>
      </c>
      <c r="D39" s="93" t="s">
        <v>309</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226</v>
      </c>
    </row>
    <row r="40" spans="1:6">
      <c r="A40">
        <f t="shared" si="1"/>
        <v>210</v>
      </c>
      <c r="B40" s="54" t="s">
        <v>276</v>
      </c>
      <c r="C40" s="54" t="s">
        <v>222</v>
      </c>
      <c r="D40" s="93" t="s">
        <v>311</v>
      </c>
      <c r="E40" s="77" t="str">
        <f t="shared" si="0"/>
        <v>"[FOOTER RULE - STRICT] End your entire response EXACTLY with this markdown string (ensure all code blocks are closed before it):" &amp; CHAR(10) &amp; "---" &amp; CHAR(10) &amp; "⚡ Coding5s System - Learn Programming by Writing Code - Coding5S.com",</v>
      </c>
      <c r="F40" s="54" t="s">
        <v>226</v>
      </c>
    </row>
    <row r="41" spans="1:6">
      <c r="A41">
        <f t="shared" si="1"/>
        <v>0</v>
      </c>
      <c r="B41" s="54" t="s">
        <v>276</v>
      </c>
      <c r="C41" s="54"/>
      <c r="D41" s="93"/>
      <c r="E41" s="77" t="str">
        <f t="shared" si="0"/>
        <v/>
      </c>
      <c r="F41" s="54" t="s">
        <v>226</v>
      </c>
    </row>
    <row r="42" spans="1:6">
      <c r="A42">
        <f t="shared" si="1"/>
        <v>0</v>
      </c>
      <c r="B42" s="54" t="s">
        <v>276</v>
      </c>
      <c r="C42" s="54"/>
      <c r="D42" s="93"/>
      <c r="E42" s="88" t="s">
        <v>310</v>
      </c>
      <c r="F42" s="54"/>
    </row>
    <row r="43" spans="1:6">
      <c r="B43" s="74"/>
      <c r="C43" s="74"/>
      <c r="E43" s="86"/>
    </row>
    <row r="44" spans="1:6">
      <c r="B44" s="74"/>
      <c r="C44" s="74"/>
      <c r="E44" s="86"/>
    </row>
    <row r="45" spans="1:6" ht="36">
      <c r="B45" s="79" t="s">
        <v>453</v>
      </c>
      <c r="C45" s="74"/>
      <c r="E45" s="86"/>
    </row>
    <row r="46" spans="1:6">
      <c r="B46" s="76" t="s">
        <v>269</v>
      </c>
      <c r="C46" s="76" t="s">
        <v>588</v>
      </c>
      <c r="D46" s="76" t="s">
        <v>589</v>
      </c>
      <c r="E46" s="88" t="s">
        <v>270</v>
      </c>
      <c r="F46" s="32" t="s">
        <v>226</v>
      </c>
    </row>
    <row r="47" spans="1:6">
      <c r="B47" s="54" t="s">
        <v>224</v>
      </c>
      <c r="C47" s="54" t="s">
        <v>162</v>
      </c>
      <c r="D47" s="93" t="s">
        <v>277</v>
      </c>
      <c r="E47" s="77" t="str">
        <f>IF(D47="","",""""&amp;C47&amp;" "&amp;IF(C47="[FOOTER RULE - STRICT]",D47,IF(RIGHT(D47,6)=" | "&amp;CHAR(34)&amp;" &amp;",D47,D47&amp;" | "&amp;CHAR(34)&amp;" &amp;")))</f>
        <v>"[ROLE] Careless " &amp; $I$2 &amp; " Developer | " &amp;</v>
      </c>
      <c r="F47" s="32" t="s">
        <v>226</v>
      </c>
    </row>
    <row r="48" spans="1:6">
      <c r="B48" s="54" t="s">
        <v>224</v>
      </c>
      <c r="C48" s="54" t="s">
        <v>164</v>
      </c>
      <c r="D48" s="93" t="s">
        <v>317</v>
      </c>
      <c r="E48" s="77" t="str">
        <f t="shared" ref="E48:E76" si="2">IF(D48="","",""""&amp;C48&amp;" "&amp;IF(C48="[FOOTER RULE - STRICT]",D48,IF(RIGHT(D48,6)=" | "&amp;CHAR(34)&amp;" &amp;",D48,D48&amp;" | "&amp;CHAR(34)&amp;" &amp;")))</f>
        <v>"[TASK] Generate debugging project in " &amp; $I$2 &amp; " | " &amp;</v>
      </c>
      <c r="F48" s="32" t="s">
        <v>226</v>
      </c>
    </row>
    <row r="49" spans="2:6">
      <c r="B49" s="54" t="s">
        <v>224</v>
      </c>
      <c r="C49" s="54" t="s">
        <v>318</v>
      </c>
      <c r="D49" s="93" t="s">
        <v>167</v>
      </c>
      <c r="E49" s="77" t="str">
        <f t="shared" si="2"/>
        <v>"[PROJECT] " &amp; I9 &amp; " | " &amp;</v>
      </c>
      <c r="F49" s="32" t="s">
        <v>226</v>
      </c>
    </row>
    <row r="50" spans="2:6">
      <c r="B50" s="54" t="s">
        <v>224</v>
      </c>
      <c r="C50" s="54" t="s">
        <v>257</v>
      </c>
      <c r="D50" s="93" t="s">
        <v>258</v>
      </c>
      <c r="E50" s="77" t="str">
        <f t="shared" si="2"/>
        <v>"[TOPICS USED] " &amp; B9 &amp; " | " &amp;</v>
      </c>
      <c r="F50" s="32" t="s">
        <v>226</v>
      </c>
    </row>
    <row r="51" spans="2:6">
      <c r="B51" s="54" t="s">
        <v>224</v>
      </c>
      <c r="C51" s="54" t="s">
        <v>168</v>
      </c>
      <c r="D51" s="93" t="s">
        <v>169</v>
      </c>
      <c r="E51" s="77" t="str">
        <f t="shared" si="2"/>
        <v>"[LEVEL] " &amp; G9 &amp; " | " &amp;</v>
      </c>
      <c r="F51" s="32" t="s">
        <v>226</v>
      </c>
    </row>
    <row r="52" spans="2:6">
      <c r="B52" s="54" t="s">
        <v>224</v>
      </c>
      <c r="C52" s="54" t="s">
        <v>218</v>
      </c>
      <c r="D52" s="93" t="s">
        <v>319</v>
      </c>
      <c r="E52" s="77" t="str">
        <f t="shared" si="2"/>
        <v>"[OUTPUT] Only header, dataset summary or statement (if any), email intro, objective, expected output, broken code, and footer | " &amp;</v>
      </c>
      <c r="F52" s="32" t="s">
        <v>226</v>
      </c>
    </row>
    <row r="53" spans="2:6">
      <c r="B53" s="54" t="s">
        <v>224</v>
      </c>
      <c r="C53" s="54" t="s">
        <v>217</v>
      </c>
      <c r="D53" s="93" t="s">
        <v>594</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226</v>
      </c>
    </row>
    <row r="54" spans="2:6">
      <c r="B54" s="54" t="s">
        <v>224</v>
      </c>
      <c r="C54" s="54" t="s">
        <v>231</v>
      </c>
      <c r="D54" s="93" t="s">
        <v>272</v>
      </c>
      <c r="E54" s="77" t="str">
        <f t="shared" si="2"/>
        <v>"[LIBRARY BEING LEARNED] " &amp; $I$3 &amp; " | " &amp;</v>
      </c>
      <c r="F54" s="32" t="s">
        <v>226</v>
      </c>
    </row>
    <row r="55" spans="2:6">
      <c r="B55" s="54" t="s">
        <v>224</v>
      </c>
      <c r="C55" s="54" t="s">
        <v>227</v>
      </c>
      <c r="D55" s="93"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v>
      </c>
      <c r="E55" s="77" t="str">
        <f t="shared" si="2"/>
        <v>"[ECOSYSTEM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v>
      </c>
      <c r="F55" s="32" t="s">
        <v>226</v>
      </c>
    </row>
    <row r="56" spans="2:6">
      <c r="B56" s="54" t="s">
        <v>224</v>
      </c>
      <c r="C56" s="54" t="s">
        <v>174</v>
      </c>
      <c r="D56" s="93" t="s">
        <v>320</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226</v>
      </c>
    </row>
    <row r="57" spans="2:6">
      <c r="B57" s="54" t="s">
        <v>224</v>
      </c>
      <c r="C57" s="54" t="s">
        <v>500</v>
      </c>
      <c r="D57" s="93" t="s">
        <v>492</v>
      </c>
      <c r="E57" s="77" t="str">
        <f t="shared" si="2"/>
        <v>"[LANGUAGE SEED CONTEXT] " &amp; IF($AE$7 = "", "Language Seed Not Necessary", "You MUST strictly follow this seed context to enhance, adapt, and naturalize your tone, vocabulary, and instructional quality in " &amp; $B$6 &amp; ": " &amp; $AE$7) &amp; " | " &amp;</v>
      </c>
      <c r="F57" s="32" t="s">
        <v>226</v>
      </c>
    </row>
    <row r="58" spans="2:6">
      <c r="B58" s="54" t="s">
        <v>225</v>
      </c>
      <c r="C58" s="54" t="s">
        <v>232</v>
      </c>
      <c r="D58" s="93"/>
      <c r="E58" s="77" t="str">
        <f t="shared" si="2"/>
        <v/>
      </c>
      <c r="F58" s="32" t="s">
        <v>226</v>
      </c>
    </row>
    <row r="59" spans="2:6">
      <c r="B59" s="54" t="s">
        <v>225</v>
      </c>
      <c r="C59" s="54" t="s">
        <v>297</v>
      </c>
      <c r="D59" s="93" t="str">
        <f>Variables!E39 &amp; " " &amp; Variables!E40 &amp; " " &amp; Variables!E41 &amp; " " &amp; Variables!E42 &amp; " | " &amp; CHAR(34) &amp; " &amp;"</f>
        <v>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 &amp;</v>
      </c>
      <c r="E59" s="77" t="str">
        <f t="shared" si="2"/>
        <v>"[BUG RULE] Simulate a messy production Dart environment. The project MUST contain EXACTLY 2–5 bugs. You MUST randomly select from real-world async/type/OOP errors: 1. Type Safety/Nullability (e.g., nullable type assigned to non-nullable, missing required parameters, unhandled sealed class cases, incorrect override signatures), 2. State/Logic (e.g., updating state without yielding in streams, improper list mutation instead of Iterable methods, incorrect Record parsing, breaking encapsulation by exposing mutable fields), AND 3. Concurrency/Runtime (e.g., unawaited Futures causing race conditions, listening to single-subscription Streams twice, deadlocks via Isolate ports, shared mutable state across isolates). | " &amp;</v>
      </c>
      <c r="F59" s="32" t="s">
        <v>226</v>
      </c>
    </row>
    <row r="60" spans="2:6">
      <c r="B60" s="54" t="s">
        <v>276</v>
      </c>
      <c r="C60" s="54" t="s">
        <v>282</v>
      </c>
      <c r="D60" s="93" t="s">
        <v>321</v>
      </c>
      <c r="E60" s="77" t="str">
        <f t="shared" si="2"/>
        <v>"[ENV USAGE RULE] Bugs ONLY in code logic, not config files | " &amp;</v>
      </c>
      <c r="F60" s="32" t="s">
        <v>226</v>
      </c>
    </row>
    <row r="61" spans="2:6">
      <c r="B61" s="54" t="s">
        <v>276</v>
      </c>
      <c r="C61" s="54" t="s">
        <v>196</v>
      </c>
      <c r="D61" s="93" t="s">
        <v>322</v>
      </c>
      <c r="E61" s="77" t="str">
        <f t="shared" si="2"/>
        <v>"[SUPPORT FILES RULE] IF an external configuration or data file is needed, include: 1. Short instructional sentence 2. File content in markdown code block 3. Place it strictly BEFORE the main code. | " &amp;</v>
      </c>
      <c r="F61" s="32" t="s">
        <v>226</v>
      </c>
    </row>
    <row r="62" spans="2:6">
      <c r="B62" s="54" t="s">
        <v>276</v>
      </c>
      <c r="C62" s="54" t="s">
        <v>308</v>
      </c>
      <c r="D62" s="93" t="s">
        <v>610</v>
      </c>
      <c r="E62" s="77" t="str">
        <f t="shared" si="2"/>
        <v>"[NO SOLUTION RULE - STRICT] You are generating an EXAM. Do NOT provide the fixed code, diagnosis, hints, or explanations. Output ONLY the broken code. Do NOT include comments that reveal the bugs. Let the student find them. | " &amp;</v>
      </c>
      <c r="F62" s="32" t="s">
        <v>226</v>
      </c>
    </row>
    <row r="63" spans="2:6">
      <c r="B63" s="54" t="s">
        <v>276</v>
      </c>
      <c r="C63" s="54" t="s">
        <v>172</v>
      </c>
      <c r="D63" s="93" t="s">
        <v>323</v>
      </c>
      <c r="E63" s="77" t="str">
        <f t="shared" si="2"/>
        <v>"[PERSONA RULE] Use a messy, careless developer tone | " &amp;</v>
      </c>
      <c r="F63" s="32" t="s">
        <v>226</v>
      </c>
    </row>
    <row r="64" spans="2:6">
      <c r="B64" s="54" t="s">
        <v>276</v>
      </c>
      <c r="C64" s="54" t="s">
        <v>189</v>
      </c>
      <c r="D64" s="93" t="s">
        <v>324</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226</v>
      </c>
    </row>
    <row r="65" spans="2:6">
      <c r="B65" s="54" t="s">
        <v>276</v>
      </c>
      <c r="C65" s="54" t="s">
        <v>179</v>
      </c>
      <c r="D65" s="93" t="s">
        <v>325</v>
      </c>
      <c r="E65" s="77" t="str">
        <f t="shared" si="2"/>
        <v>"[OUTPUT CONTRACT] EXACTLY 1 project. Structure MUST be: 'Project:' followed by 'Objective: maximum 6 lines.', then 'Expected Output: standalone markdown code block.', and finally 'Broken Code' | " &amp;</v>
      </c>
      <c r="F65" s="32" t="s">
        <v>226</v>
      </c>
    </row>
    <row r="66" spans="2:6">
      <c r="B66" s="54" t="s">
        <v>276</v>
      </c>
      <c r="C66" s="54" t="s">
        <v>292</v>
      </c>
      <c r="D66" s="93" t="s">
        <v>326</v>
      </c>
      <c r="E66" s="77" t="str">
        <f t="shared" si="2"/>
        <v>"[STRUCTURE RULE] Do NOT add extra sections or explanations (except when required by SUPPORT FILES RULE) | " &amp;</v>
      </c>
      <c r="F66" s="32" t="s">
        <v>226</v>
      </c>
    </row>
    <row r="67" spans="2:6">
      <c r="B67" s="54" t="s">
        <v>276</v>
      </c>
      <c r="C67" s="54" t="s">
        <v>180</v>
      </c>
      <c r="D67" s="93" t="s">
        <v>327</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226</v>
      </c>
    </row>
    <row r="68" spans="2:6">
      <c r="B68" s="54" t="s">
        <v>276</v>
      </c>
      <c r="C68" s="54" t="s">
        <v>264</v>
      </c>
      <c r="D68" s="93" t="s">
        <v>300</v>
      </c>
      <c r="E68" s="77" t="str">
        <f t="shared" si="2"/>
        <v>"[EXECUTION RULE] Code must fail due to syntax errors, runtime exceptions, or produce incorrect output | " &amp;</v>
      </c>
      <c r="F68" s="32" t="s">
        <v>226</v>
      </c>
    </row>
    <row r="69" spans="2:6">
      <c r="B69" s="54" t="s">
        <v>276</v>
      </c>
      <c r="C69" s="54" t="s">
        <v>176</v>
      </c>
      <c r="D69" s="93" t="s">
        <v>328</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226</v>
      </c>
    </row>
    <row r="70" spans="2:6">
      <c r="B70" s="54" t="s">
        <v>276</v>
      </c>
      <c r="C70" s="54" t="s">
        <v>209</v>
      </c>
      <c r="D70" s="93" t="s">
        <v>329</v>
      </c>
      <c r="E70" s="77" t="str">
        <f t="shared" si="2"/>
        <v>"[FORMAT RULE] Only valid markdown code blocks | " &amp;</v>
      </c>
      <c r="F70" s="32" t="s">
        <v>226</v>
      </c>
    </row>
    <row r="71" spans="2:6">
      <c r="B71" s="54" t="s">
        <v>276</v>
      </c>
      <c r="C71" s="54" t="s">
        <v>211</v>
      </c>
      <c r="D71" s="93" t="s">
        <v>286</v>
      </c>
      <c r="E71" s="77" t="str">
        <f t="shared" si="2"/>
        <v>"[LANGUAGE TAG RULE] ALWAYS label markdown code blocks with the correct underlying programming language (e.g., python, javascript, sql) | " &amp;</v>
      </c>
      <c r="F71" s="32" t="s">
        <v>226</v>
      </c>
    </row>
    <row r="72" spans="2:6">
      <c r="B72" s="54" t="s">
        <v>276</v>
      </c>
      <c r="C72" s="54" t="s">
        <v>287</v>
      </c>
      <c r="D72" s="93" t="s">
        <v>330</v>
      </c>
      <c r="E72" s="77" t="str">
        <f t="shared" si="2"/>
        <v>"[STRICT MODE] Enforce all rules strictly | " &amp;</v>
      </c>
      <c r="F72" s="32" t="s">
        <v>226</v>
      </c>
    </row>
    <row r="73" spans="2:6">
      <c r="B73" s="54" t="s">
        <v>276</v>
      </c>
      <c r="C73" s="54" t="s">
        <v>222</v>
      </c>
      <c r="D73" s="93" t="s">
        <v>331</v>
      </c>
      <c r="E73" s="77" t="str">
        <f t="shared" si="2"/>
        <v>"[FOOTER RULE - STRICT] End your entire response EXACTLY with this markdown string (ensure all code blocks are closed before it):" &amp; CHAR(10) &amp; "---" &amp; CHAR(10) &amp; "⚡ Coding5s System - Learn Programming by Writing Code - Coding5S.com" )</v>
      </c>
      <c r="F73" s="32" t="s">
        <v>226</v>
      </c>
    </row>
    <row r="74" spans="2:6">
      <c r="B74" s="54"/>
      <c r="C74" s="54"/>
      <c r="D74" s="93"/>
      <c r="E74" s="77" t="str">
        <f t="shared" si="2"/>
        <v/>
      </c>
      <c r="F74" s="32" t="s">
        <v>226</v>
      </c>
    </row>
    <row r="75" spans="2:6">
      <c r="B75" s="54"/>
      <c r="C75" s="54"/>
      <c r="D75" s="93"/>
      <c r="E75" s="77" t="str">
        <f t="shared" si="2"/>
        <v/>
      </c>
      <c r="F75" s="32" t="s">
        <v>226</v>
      </c>
    </row>
    <row r="76" spans="2:6">
      <c r="B76" s="54"/>
      <c r="C76" s="54"/>
      <c r="D76" s="93"/>
      <c r="E76" s="77" t="str">
        <f t="shared" si="2"/>
        <v/>
      </c>
      <c r="F76" s="32" t="s">
        <v>226</v>
      </c>
    </row>
    <row r="77" spans="2:6">
      <c r="E77" s="86"/>
      <c r="F77" t="s">
        <v>226</v>
      </c>
    </row>
    <row r="79" spans="2:6" ht="36">
      <c r="B79" s="80" t="s">
        <v>452</v>
      </c>
    </row>
    <row r="80" spans="2:6">
      <c r="B80" s="76" t="s">
        <v>223</v>
      </c>
      <c r="C80" s="76" t="s">
        <v>588</v>
      </c>
      <c r="D80" s="76" t="s">
        <v>589</v>
      </c>
      <c r="E80" s="88" t="s">
        <v>237</v>
      </c>
      <c r="F80" s="54" t="s">
        <v>226</v>
      </c>
    </row>
    <row r="81" spans="2:6">
      <c r="B81" s="54" t="s">
        <v>224</v>
      </c>
      <c r="C81" s="54" t="s">
        <v>332</v>
      </c>
      <c r="D81" s="93" t="s">
        <v>387</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226</v>
      </c>
    </row>
    <row r="82" spans="2:6">
      <c r="B82" s="54" t="s">
        <v>224</v>
      </c>
      <c r="C82" s="54" t="s">
        <v>239</v>
      </c>
      <c r="D82" s="93" t="s">
        <v>333</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226</v>
      </c>
    </row>
    <row r="83" spans="2:6">
      <c r="B83" s="54" t="s">
        <v>224</v>
      </c>
      <c r="C83" s="54" t="s">
        <v>240</v>
      </c>
      <c r="D83" s="93" t="s">
        <v>336</v>
      </c>
      <c r="E83" s="17" t="str">
        <f t="shared" si="3"/>
        <v>"[CONTEXT] You are helping a Junior Developer debug a " &amp; IF(UPPER(H9)="PROJECT", "PROJECT: " &amp; I9 &amp; ". Topics involved: " &amp; B9 &amp; ". Project objective: " &amp; J9, "TOPIC: " &amp; I9 &amp; ". Topic details: " &amp; J9) &amp; " | " &amp;</v>
      </c>
      <c r="F83" s="54" t="s">
        <v>226</v>
      </c>
    </row>
    <row r="84" spans="2:6">
      <c r="B84" s="54" t="s">
        <v>224</v>
      </c>
      <c r="C84" s="54" t="s">
        <v>164</v>
      </c>
      <c r="D84" s="93" t="s">
        <v>334</v>
      </c>
      <c r="E84" s="17" t="str">
        <f t="shared" si="3"/>
        <v>"[TASK] Analyze the student's code, explanation, and error. If the code is already fixed and correct, recognize their 'debugging skill' and provide a 'Pro-Tip' for prevention. Otherwise, follow the 2-PHASE MENTORING PROTOCOL | " &amp;</v>
      </c>
      <c r="F84" s="54" t="s">
        <v>226</v>
      </c>
    </row>
    <row r="85" spans="2:6">
      <c r="B85" s="54" t="s">
        <v>224</v>
      </c>
      <c r="C85" s="54" t="s">
        <v>231</v>
      </c>
      <c r="D85" s="93" t="s">
        <v>272</v>
      </c>
      <c r="E85" s="17" t="str">
        <f t="shared" si="3"/>
        <v>"[LIBRARY BEING LEARNED] " &amp; $I$3 &amp; " | " &amp;</v>
      </c>
      <c r="F85" s="54" t="s">
        <v>226</v>
      </c>
    </row>
    <row r="86" spans="2:6">
      <c r="B86" s="54" t="s">
        <v>224</v>
      </c>
      <c r="C86" s="54" t="s">
        <v>174</v>
      </c>
      <c r="D86" s="93" t="s">
        <v>259</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226</v>
      </c>
    </row>
    <row r="87" spans="2:6">
      <c r="B87" s="54" t="s">
        <v>224</v>
      </c>
      <c r="C87" s="54" t="s">
        <v>500</v>
      </c>
      <c r="D87" s="93" t="s">
        <v>492</v>
      </c>
      <c r="E87" s="17" t="str">
        <f t="shared" si="3"/>
        <v>"[LANGUAGE SEED CONTEXT] " &amp; IF($AE$7 = "", "Language Seed Not Necessary", "You MUST strictly follow this seed context to enhance, adapt, and naturalize your tone, vocabulary, and instructional quality in " &amp; $B$6 &amp; ": " &amp; $AE$7) &amp; " | " &amp;</v>
      </c>
      <c r="F87" s="54" t="s">
        <v>226</v>
      </c>
    </row>
    <row r="88" spans="2:6">
      <c r="B88" s="54" t="s">
        <v>224</v>
      </c>
      <c r="C88" s="54" t="s">
        <v>217</v>
      </c>
      <c r="D88" s="93" t="s">
        <v>595</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226</v>
      </c>
    </row>
    <row r="89" spans="2:6">
      <c r="B89" s="54" t="s">
        <v>225</v>
      </c>
      <c r="C89" s="54" t="s">
        <v>232</v>
      </c>
      <c r="D89" s="93"/>
      <c r="E89" s="17" t="str">
        <f t="shared" si="3"/>
        <v/>
      </c>
      <c r="F89" s="54" t="s">
        <v>226</v>
      </c>
    </row>
    <row r="90" spans="2:6">
      <c r="B90" s="54" t="s">
        <v>225</v>
      </c>
      <c r="C90" s="54" t="s">
        <v>246</v>
      </c>
      <c r="D90" s="93" t="str">
        <f>Variables!E43 &amp; " " &amp; Variables!E44 &amp; " " &amp; Variables!E45 &amp; " " &amp; Variables!E46 &amp; " | " &amp; CHAR(34) &amp; " &amp;"</f>
        <v>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 &amp;</v>
      </c>
      <c r="E90" s="17" t="str">
        <f t="shared" si="3"/>
        <v>"[PYTHON QUALITY RULE - STRICT] Code MUST be production-like, cleanly utilizing Dart 3+ features, Sound Null Safety, robust async abstractions, and idiomatic OOP patterns. Use descriptive camelCase for variables/functions/members, PascalCase for classes/enums/types, and snake_case for file names following Effective Dart. Enforce strict static typing, minimize 'dynamic', leverage functional Iterable methods over imperative loops, and prefer composition with private state. If using default arguments, rely on named parameters or explicitly defined default values instead of overloaded function bodies. | " &amp;</v>
      </c>
      <c r="F90" s="54" t="s">
        <v>226</v>
      </c>
    </row>
    <row r="91" spans="2:6">
      <c r="B91" s="54" t="s">
        <v>276</v>
      </c>
      <c r="C91" s="54" t="s">
        <v>241</v>
      </c>
      <c r="D91" s="93" t="s">
        <v>338</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226</v>
      </c>
    </row>
    <row r="92" spans="2:6">
      <c r="B92" s="54" t="s">
        <v>276</v>
      </c>
      <c r="C92" s="54" t="s">
        <v>243</v>
      </c>
      <c r="D92" s="93" t="s">
        <v>339</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226</v>
      </c>
    </row>
    <row r="93" spans="2:6">
      <c r="B93" s="54" t="s">
        <v>276</v>
      </c>
      <c r="C93" s="54" t="s">
        <v>244</v>
      </c>
      <c r="D93" s="93" t="s">
        <v>337</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226</v>
      </c>
    </row>
    <row r="94" spans="2:6">
      <c r="B94" s="54" t="s">
        <v>276</v>
      </c>
      <c r="C94" s="54" t="s">
        <v>247</v>
      </c>
      <c r="D94" s="93" t="s">
        <v>340</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226</v>
      </c>
    </row>
    <row r="95" spans="2:6">
      <c r="B95" s="54" t="s">
        <v>276</v>
      </c>
      <c r="C95" s="54" t="s">
        <v>501</v>
      </c>
      <c r="D95" s="93" t="s">
        <v>502</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226</v>
      </c>
    </row>
    <row r="96" spans="2:6">
      <c r="B96" s="54" t="s">
        <v>276</v>
      </c>
      <c r="C96" s="54" t="s">
        <v>335</v>
      </c>
      <c r="D96" s="93" t="s">
        <v>341</v>
      </c>
      <c r="E96" s="17" t="str">
        <f>IF(D96="","",""""&amp;C96&amp;" "&amp;IF(OR(C96="[FOOTER RULE - STRICT]",C96="[FOOTER RULE]"),D96,IF(RIGHT(D96,6)=" | "&amp;CHAR(34)&amp;" &amp;",D96,D96&amp;" | "&amp;CHAR(34)&amp;" &amp;")))</f>
        <v>"[FOOTER RULE] End your response with: '--- ⚡ *Coding5s Mentor System — Eliminating Epistemic Debt &amp; Hunting Bugs*</v>
      </c>
      <c r="F96" s="54" t="s">
        <v>226</v>
      </c>
    </row>
    <row r="97" spans="2:6">
      <c r="B97" s="54"/>
      <c r="C97" s="54"/>
      <c r="D97" s="93"/>
      <c r="E97" s="88" t="s">
        <v>342</v>
      </c>
      <c r="F97" s="54" t="s">
        <v>226</v>
      </c>
    </row>
    <row r="98" spans="2:6">
      <c r="B98" s="54"/>
      <c r="C98" s="54"/>
      <c r="D98" s="93"/>
      <c r="E98" s="77" t="str">
        <f t="shared" ref="E98:E100" si="4">IF(D98="","",""""&amp;C98&amp;" "&amp;IF(C98="[FOOTER RULE - STRICT]",D98,IF(RIGHT(D98,6)=" | "&amp;CHAR(34)&amp;" &amp;",D98,D98&amp;" | "&amp;CHAR(34)&amp;" &amp;")))</f>
        <v/>
      </c>
      <c r="F98" s="54" t="s">
        <v>226</v>
      </c>
    </row>
    <row r="99" spans="2:6">
      <c r="B99" s="54"/>
      <c r="C99" s="54"/>
      <c r="D99" s="93"/>
      <c r="E99" s="77" t="str">
        <f t="shared" si="4"/>
        <v/>
      </c>
      <c r="F99" s="54" t="s">
        <v>226</v>
      </c>
    </row>
    <row r="100" spans="2:6">
      <c r="B100" s="54"/>
      <c r="C100" s="54"/>
      <c r="D100" s="93"/>
      <c r="E100" s="77" t="str">
        <f t="shared" si="4"/>
        <v/>
      </c>
      <c r="F100" s="54" t="s">
        <v>226</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9"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450</v>
      </c>
      <c r="D2" s="81" t="s">
        <v>343</v>
      </c>
      <c r="H2" s="82"/>
      <c r="T2" s="82"/>
    </row>
    <row r="3" spans="2:29">
      <c r="B3" s="76" t="s">
        <v>223</v>
      </c>
      <c r="C3" s="76" t="s">
        <v>588</v>
      </c>
      <c r="D3" s="76" t="s">
        <v>589</v>
      </c>
      <c r="E3" s="88" t="s">
        <v>230</v>
      </c>
      <c r="F3" s="4" t="s">
        <v>226</v>
      </c>
      <c r="AC3" t="s">
        <v>226</v>
      </c>
    </row>
    <row r="4" spans="2:29">
      <c r="B4" s="75" t="s">
        <v>224</v>
      </c>
      <c r="C4" s="54" t="s">
        <v>162</v>
      </c>
      <c r="D4" s="92" t="s">
        <v>344</v>
      </c>
      <c r="E4" s="77" t="str">
        <f t="shared" ref="E4:E37" si="0">IF(D4="","",""""&amp;C4&amp;" "&amp;IF(C4="[FOOTER RULE - STRICT]",D4,IF(RIGHT(D4,6)=" | "&amp;CHAR(34)&amp;" &amp;",D4,D4&amp;" | "&amp;CHAR(34)&amp;" &amp;")))</f>
        <v>"[ROLE] Tech Lead | " &amp;</v>
      </c>
      <c r="F4" s="54" t="s">
        <v>226</v>
      </c>
    </row>
    <row r="5" spans="2:29">
      <c r="B5" s="75" t="s">
        <v>224</v>
      </c>
      <c r="C5" s="54" t="s">
        <v>164</v>
      </c>
      <c r="D5" s="92" t="s">
        <v>345</v>
      </c>
      <c r="E5" s="77" t="str">
        <f t="shared" si="0"/>
        <v>"[TASK] Assign incomplete " &amp; $I$2 &amp; " script challenges | " &amp;</v>
      </c>
      <c r="F5" s="54" t="s">
        <v>226</v>
      </c>
    </row>
    <row r="6" spans="2:29">
      <c r="B6" s="75" t="s">
        <v>224</v>
      </c>
      <c r="C6" s="54" t="s">
        <v>166</v>
      </c>
      <c r="D6" s="92" t="s">
        <v>167</v>
      </c>
      <c r="E6" s="77" t="str">
        <f t="shared" si="0"/>
        <v>"[TOPIC] " &amp; I9 &amp; " | " &amp;</v>
      </c>
      <c r="F6" s="54" t="s">
        <v>226</v>
      </c>
    </row>
    <row r="7" spans="2:29">
      <c r="B7" s="75" t="s">
        <v>224</v>
      </c>
      <c r="C7" s="54" t="s">
        <v>168</v>
      </c>
      <c r="D7" s="92" t="s">
        <v>169</v>
      </c>
      <c r="E7" s="77" t="str">
        <f t="shared" si="0"/>
        <v>"[LEVEL] " &amp; G9 &amp; " | " &amp;</v>
      </c>
      <c r="F7" s="54" t="s">
        <v>226</v>
      </c>
    </row>
    <row r="8" spans="2:29">
      <c r="B8" s="75" t="s">
        <v>224</v>
      </c>
      <c r="C8" s="54" t="s">
        <v>170</v>
      </c>
      <c r="D8" s="92" t="s">
        <v>281</v>
      </c>
      <c r="E8" s="77" t="str">
        <f t="shared" si="0"/>
        <v>"[COUNT] " &amp; D9 &amp; " challenges | " &amp;</v>
      </c>
      <c r="F8" s="54" t="s">
        <v>226</v>
      </c>
    </row>
    <row r="9" spans="2:29">
      <c r="B9" s="75" t="s">
        <v>224</v>
      </c>
      <c r="C9" s="54" t="s">
        <v>231</v>
      </c>
      <c r="D9" s="92" t="s">
        <v>272</v>
      </c>
      <c r="E9" s="77" t="str">
        <f t="shared" si="0"/>
        <v>"[LIBRARY BEING LEARNED] " &amp; $I$3 &amp; " | " &amp;</v>
      </c>
      <c r="F9" s="54" t="s">
        <v>226</v>
      </c>
    </row>
    <row r="10" spans="2:29">
      <c r="B10" s="75" t="s">
        <v>224</v>
      </c>
      <c r="C10" s="54" t="s">
        <v>227</v>
      </c>
      <c r="D10" s="92"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v>
      </c>
      <c r="E10" s="77" t="str">
        <f t="shared" si="0"/>
        <v>"[ECOSYSTEM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v>
      </c>
      <c r="F10" s="54" t="s">
        <v>226</v>
      </c>
    </row>
    <row r="11" spans="2:29">
      <c r="B11" s="75" t="s">
        <v>224</v>
      </c>
      <c r="C11" s="54" t="s">
        <v>217</v>
      </c>
      <c r="D11" s="92" t="s">
        <v>596</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226</v>
      </c>
    </row>
    <row r="12" spans="2:29">
      <c r="B12" s="75" t="s">
        <v>224</v>
      </c>
      <c r="C12" s="54" t="s">
        <v>174</v>
      </c>
      <c r="D12" s="92" t="s">
        <v>175</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226</v>
      </c>
    </row>
    <row r="13" spans="2:29">
      <c r="B13" s="75" t="s">
        <v>224</v>
      </c>
      <c r="C13" s="54" t="s">
        <v>500</v>
      </c>
      <c r="D13" s="92" t="s">
        <v>492</v>
      </c>
      <c r="E13" s="77" t="str">
        <f t="shared" si="0"/>
        <v>"[LANGUAGE SEED CONTEXT] " &amp; IF($AE$7 = "", "Language Seed Not Necessary", "You MUST strictly follow this seed context to enhance, adapt, and naturalize your tone, vocabulary, and instructional quality in " &amp; $B$6 &amp; ": " &amp; $AE$7) &amp; " | " &amp;</v>
      </c>
      <c r="F13" s="54" t="s">
        <v>226</v>
      </c>
    </row>
    <row r="14" spans="2:29">
      <c r="B14" s="83" t="s">
        <v>225</v>
      </c>
      <c r="C14" s="54" t="s">
        <v>232</v>
      </c>
      <c r="D14" s="92"/>
      <c r="E14" s="77" t="str">
        <f t="shared" si="0"/>
        <v/>
      </c>
      <c r="F14" s="54" t="s">
        <v>226</v>
      </c>
    </row>
    <row r="15" spans="2:29">
      <c r="B15" s="83" t="s">
        <v>225</v>
      </c>
      <c r="C15" s="54" t="s">
        <v>673</v>
      </c>
      <c r="D15" s="92" t="str">
        <f>Variables!E47 &amp; " | " &amp; CHAR(34) &amp; " &amp;"</f>
        <v>External pub.dev packages MUST be added to the dependencies block in a standard pubspec.yaml file. Do not use standalone scripts. | " &amp;</v>
      </c>
      <c r="E15" s="77" t="str">
        <f t="shared" si="0"/>
        <v>"[EXTERNAL_PACKAGE_PROTOCOL] External pub.dev packages MUST be added to the dependencies block in a standard pubspec.yaml file. Do not use standalone scripts. | " &amp;</v>
      </c>
      <c r="F15" s="54" t="s">
        <v>226</v>
      </c>
    </row>
    <row r="16" spans="2:29">
      <c r="B16" s="83" t="s">
        <v>225</v>
      </c>
      <c r="C16" s="54" t="s">
        <v>674</v>
      </c>
      <c r="D16" s="92" t="str">
        <f>Variables!E48 &amp; " | " &amp; CHAR(34) &amp; " &amp;"</f>
        <v>Tests MUST isolate async states. NEVER hack event loops manually; use expect() with stream/future matchers to verify async flows. | " &amp;</v>
      </c>
      <c r="E16" s="77" t="str">
        <f t="shared" si="0"/>
        <v>"[TESTING_FRAMEWORK_PROTOCOL] Tests MUST isolate async states. NEVER hack event loops manually; use expect() with stream/future matchers to verify async flows. | " &amp;</v>
      </c>
      <c r="F16" s="54" t="s">
        <v>226</v>
      </c>
    </row>
    <row r="17" spans="2:6">
      <c r="B17" s="83" t="s">
        <v>225</v>
      </c>
      <c r="C17" s="54" t="s">
        <v>675</v>
      </c>
      <c r="D17" s="92" t="str">
        <f>Variables!E49 &amp; " - " &amp; CHAR(34) &amp; " &amp; IF(G9=" &amp; CHAR(34) &amp; "Beginner" &amp; CHAR(34) &amp; "," &amp; CHAR(34) &amp; "5–15" &amp; CHAR(34) &amp; ", IF(G9=" &amp; CHAR(34) &amp; "Intermediate" &amp; CHAR(34) &amp; "," &amp; CHAR(34) &amp; "10–25" &amp; CHAR(34) &amp; "," &amp; CHAR(34) &amp; "15–35" &amp; CHAR(34) &amp; ")) &amp; " &amp; CHAR(34) &amp; " " &amp; Variables!E50 &amp; " | " &amp; CHAR(34) &amp; " &amp;"</f>
        <v>Each challenge MUST include: - A functional StreamController, Isolate, or Class managing continuous state with strict typing and encapsulated private fields. - " &amp; IF(G9="Beginner","5–15", IF(G9="Intermediate","10–25","15–35")) &amp; " lines of EXECUTABLE base Dart code (STRICT: Do NOT count comments or TODOs). Length MUST vary. Enforce static typing, Sound Null Safety, and idiomatic OOP. | " &amp;</v>
      </c>
      <c r="E17" s="77" t="str">
        <f t="shared" si="0"/>
        <v>"[CHALLENGE_CONSTRAINTS_POLICY] Each challenge MUST include: - A functional StreamController, Isolate, or Class managing continuous state with strict typing and encapsulated private fields. - " &amp; IF(G9="Beginner","5–15", IF(G9="Intermediate","10–25","15–35")) &amp; " lines of EXECUTABLE base Dart code (STRICT: Do NOT count comments or TODOs). Length MUST vary. Enforce static typing, Sound Null Safety, and idiomatic OOP. | " &amp;</v>
      </c>
      <c r="F17" s="54" t="s">
        <v>226</v>
      </c>
    </row>
    <row r="18" spans="2:6">
      <c r="B18" s="83" t="s">
        <v>276</v>
      </c>
      <c r="C18" s="54" t="s">
        <v>209</v>
      </c>
      <c r="D18" s="92" t="s">
        <v>668</v>
      </c>
      <c r="E18" s="77" t="str">
        <f t="shared" si="0"/>
        <v>"[FORMAT RULE] ALWAYS label markdown code blocks with the correct underlying programming language (e.g., elixir, python, javascript, sql) | " &amp;</v>
      </c>
      <c r="F18" s="54" t="s">
        <v>226</v>
      </c>
    </row>
    <row r="19" spans="2:6">
      <c r="B19" s="84" t="s">
        <v>276</v>
      </c>
      <c r="C19" s="54" t="s">
        <v>209</v>
      </c>
      <c r="D19" s="92" t="s">
        <v>285</v>
      </c>
      <c r="E19" s="77" t="str">
        <f t="shared" si="0"/>
        <v>"[FORMAT RULE] Only valid markdown code blocks allowed | " &amp;</v>
      </c>
      <c r="F19" s="54" t="s">
        <v>226</v>
      </c>
    </row>
    <row r="20" spans="2:6">
      <c r="B20" s="84" t="s">
        <v>276</v>
      </c>
      <c r="C20" s="54" t="s">
        <v>346</v>
      </c>
      <c r="D20" s="92" t="s">
        <v>373</v>
      </c>
      <c r="E20" s="77" t="str">
        <f t="shared" si="0"/>
        <v>"[SCORING ENFORCEMENT RULE] Score MUST be ONLY 3, 4, or 5 | " &amp;</v>
      </c>
      <c r="F20" s="54" t="s">
        <v>226</v>
      </c>
    </row>
    <row r="21" spans="2:6">
      <c r="B21" s="84" t="s">
        <v>276</v>
      </c>
      <c r="C21" s="54" t="s">
        <v>347</v>
      </c>
      <c r="D21" s="92" t="s">
        <v>348</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226</v>
      </c>
    </row>
    <row r="22" spans="2:6">
      <c r="B22" s="84" t="s">
        <v>276</v>
      </c>
      <c r="C22" s="54" t="s">
        <v>211</v>
      </c>
      <c r="D22" s="92" t="s">
        <v>286</v>
      </c>
      <c r="E22" s="77" t="str">
        <f t="shared" si="0"/>
        <v>"[LANGUAGE TAG RULE] ALWAYS label markdown code blocks with the correct underlying programming language (e.g., python, javascript, sql) | " &amp;</v>
      </c>
      <c r="F22" s="54" t="s">
        <v>226</v>
      </c>
    </row>
    <row r="23" spans="2:6">
      <c r="B23" s="84" t="s">
        <v>276</v>
      </c>
      <c r="C23" s="54" t="s">
        <v>189</v>
      </c>
      <c r="D23" s="92" t="s">
        <v>349</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226</v>
      </c>
    </row>
    <row r="24" spans="2:6">
      <c r="B24" s="84" t="s">
        <v>276</v>
      </c>
      <c r="C24" s="54" t="s">
        <v>179</v>
      </c>
      <c r="D24" s="92" t="s">
        <v>350</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226</v>
      </c>
    </row>
    <row r="25" spans="2:6">
      <c r="B25" s="54" t="s">
        <v>276</v>
      </c>
      <c r="C25" s="54" t="s">
        <v>351</v>
      </c>
      <c r="D25" s="92" t="s">
        <v>352</v>
      </c>
      <c r="E25" s="77" t="str">
        <f t="shared" si="0"/>
        <v>"[OUTPUT TRUNCATION RULE - STRICT] If expected output is long, display ONLY the first 5 lines. Ensure accuracy. Do NOT use ellipsis (...) | " &amp;</v>
      </c>
      <c r="F25" s="54" t="s">
        <v>226</v>
      </c>
    </row>
    <row r="26" spans="2:6">
      <c r="B26" s="54" t="s">
        <v>276</v>
      </c>
      <c r="C26" s="54" t="s">
        <v>353</v>
      </c>
      <c r="D26" s="92" t="s">
        <v>354</v>
      </c>
      <c r="E26" s="77" t="str">
        <f t="shared" si="0"/>
        <v>"[OUTPUT EXECUTION RULE - STRICT] Expected output MUST be explicit, complete, and produced via print() (at least one print already in base code). Monetary values must include '$' | " &amp;</v>
      </c>
      <c r="F26" s="54" t="s">
        <v>226</v>
      </c>
    </row>
    <row r="27" spans="2:6">
      <c r="B27" s="54" t="s">
        <v>276</v>
      </c>
      <c r="C27" s="54" t="s">
        <v>355</v>
      </c>
      <c r="D27" s="92" t="s">
        <v>356</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226</v>
      </c>
    </row>
    <row r="28" spans="2:6">
      <c r="B28" s="54" t="s">
        <v>276</v>
      </c>
      <c r="C28" s="54" t="s">
        <v>357</v>
      </c>
      <c r="D28" s="92" t="s">
        <v>358</v>
      </c>
      <c r="E28" s="77" t="str">
        <f t="shared" si="0"/>
        <v>"[TODO VARIATION RULE] TODO sections MUST vary: Single-line TODO, Multiple TODOs, Small blocks (2–4 lines). | " &amp;</v>
      </c>
      <c r="F28" s="54" t="s">
        <v>226</v>
      </c>
    </row>
    <row r="29" spans="2:6">
      <c r="B29" s="54" t="s">
        <v>276</v>
      </c>
      <c r="C29" s="54" t="s">
        <v>359</v>
      </c>
      <c r="D29" s="92" t="s">
        <v>360</v>
      </c>
      <c r="E29" s="77" t="str">
        <f t="shared" si="0"/>
        <v>"[VARIABILITY RULE - STRICT] Each challenge MUST be structurally different. Vary: Code length, Logic type, Position of TODO, Number of TODOs (1–3), Data flow. | " &amp;</v>
      </c>
      <c r="F29" s="54" t="s">
        <v>226</v>
      </c>
    </row>
    <row r="30" spans="2:6">
      <c r="B30" s="54" t="s">
        <v>276</v>
      </c>
      <c r="C30" s="54" t="s">
        <v>361</v>
      </c>
      <c r="D30" s="92" t="s">
        <v>362</v>
      </c>
      <c r="E30" s="77" t="str">
        <f t="shared" si="0"/>
        <v>"[TODO REALISM RULE - STRICT] TODOs MUST represent realistic mistakes based on the topic: " &amp; I9 &amp; ". Describe what is incorrect or incomplete. Avoid imperative instructions. | " &amp;</v>
      </c>
      <c r="F30" s="54" t="s">
        <v>226</v>
      </c>
    </row>
    <row r="31" spans="2:6">
      <c r="B31" s="54" t="s">
        <v>276</v>
      </c>
      <c r="C31" s="54" t="s">
        <v>363</v>
      </c>
      <c r="D31" s="92" t="s">
        <v>364</v>
      </c>
      <c r="E31" s="77" t="str">
        <f t="shared" si="0"/>
        <v>"[TODO ISOLATION RULE - STRICT] ALL missing, incorrect, or output-affecting logic MUST exist ONLY inside the TODO block. | " &amp;</v>
      </c>
      <c r="F31" s="54" t="s">
        <v>226</v>
      </c>
    </row>
    <row r="32" spans="2:6">
      <c r="B32" s="54" t="s">
        <v>276</v>
      </c>
      <c r="C32" s="54" t="s">
        <v>308</v>
      </c>
      <c r="D32" s="92" t="s">
        <v>365</v>
      </c>
      <c r="E32" s="77" t="str">
        <f t="shared" si="0"/>
        <v>"[NO SOLUTION RULE - STRICT] The code under the # TODO MUST be left empty or with a 'pass'. DO NOT write the actual solution. | " &amp;</v>
      </c>
      <c r="F32" s="54" t="s">
        <v>226</v>
      </c>
    </row>
    <row r="33" spans="2:6">
      <c r="B33" s="54" t="s">
        <v>276</v>
      </c>
      <c r="C33" s="54" t="s">
        <v>366</v>
      </c>
      <c r="D33" s="92" t="s">
        <v>367</v>
      </c>
      <c r="E33" s="77" t="str">
        <f t="shared" si="0"/>
        <v>"[OUTPUT VERIFICATION RULE] The base code MUST print the final variables/results evaluated in the TODO block to verify correctness. | " &amp;</v>
      </c>
      <c r="F33" s="54" t="s">
        <v>226</v>
      </c>
    </row>
    <row r="34" spans="2:6">
      <c r="B34" s="54" t="s">
        <v>276</v>
      </c>
      <c r="C34" s="54" t="s">
        <v>368</v>
      </c>
      <c r="D34" s="92" t="s">
        <v>369</v>
      </c>
      <c r="E34" s="77" t="str">
        <f t="shared" si="0"/>
        <v>"[TODO GUIDANCE RULE] Rule " &amp; IF(G9="Beginner", "Clear explicit hint (no code) | ", IF(G9="Intermediate", "Brief hint | ", "Minimal hint | ")) &amp; " | " &amp;</v>
      </c>
      <c r="F34" s="54" t="s">
        <v>226</v>
      </c>
    </row>
    <row r="35" spans="2:6">
      <c r="B35" s="54" t="s">
        <v>276</v>
      </c>
      <c r="C35" s="54" t="s">
        <v>218</v>
      </c>
      <c r="D35" s="92" t="s">
        <v>370</v>
      </c>
      <c r="E35" s="77" t="str">
        <f t="shared" si="0"/>
        <v>"[OUTPUT] Only header, dataset summary or statement (if any), intro message, challenges (objective, expected output, incomplete code), and footer | " &amp;</v>
      </c>
      <c r="F35" s="54" t="s">
        <v>226</v>
      </c>
    </row>
    <row r="36" spans="2:6">
      <c r="B36" s="54" t="s">
        <v>276</v>
      </c>
      <c r="C36" s="54" t="s">
        <v>222</v>
      </c>
      <c r="D36" s="92" t="s">
        <v>372</v>
      </c>
      <c r="E36" s="77" t="str">
        <f t="shared" si="0"/>
        <v>"[FOOTER RULE - STRICT] End your entire response EXACTLY with this markdown string (ensure all code blocks are closed before it):" &amp; CHAR(10) &amp; "---" &amp; CHAR(10) &amp; "⚡ *Coding5s System - Learn Programming by Writing Code - Coding5S.com*",</v>
      </c>
      <c r="F36" s="54" t="s">
        <v>226</v>
      </c>
    </row>
    <row r="37" spans="2:6">
      <c r="B37" s="54"/>
      <c r="C37" s="54"/>
      <c r="D37" s="92"/>
      <c r="E37" s="77" t="str">
        <f t="shared" si="0"/>
        <v/>
      </c>
      <c r="F37" s="54" t="s">
        <v>226</v>
      </c>
    </row>
    <row r="38" spans="2:6">
      <c r="B38" s="54"/>
      <c r="C38" s="54"/>
      <c r="D38" s="92"/>
      <c r="E38" s="88" t="s">
        <v>371</v>
      </c>
      <c r="F38" s="54" t="s">
        <v>226</v>
      </c>
    </row>
    <row r="39" spans="2:6">
      <c r="B39" s="54"/>
      <c r="C39" s="54"/>
      <c r="D39" s="92"/>
      <c r="E39" s="77"/>
      <c r="F39" s="54" t="s">
        <v>226</v>
      </c>
    </row>
    <row r="40" spans="2:6">
      <c r="B40" s="54"/>
      <c r="C40" s="54"/>
      <c r="D40" s="92"/>
      <c r="E40" s="77"/>
      <c r="F40" s="54" t="s">
        <v>226</v>
      </c>
    </row>
    <row r="41" spans="2:6">
      <c r="B41" s="54"/>
      <c r="C41" s="54"/>
      <c r="D41" s="92"/>
      <c r="E41" s="77"/>
      <c r="F41" s="54" t="s">
        <v>226</v>
      </c>
    </row>
    <row r="42" spans="2:6">
      <c r="B42" s="54"/>
      <c r="C42" s="54"/>
      <c r="D42" s="92"/>
      <c r="E42" s="77"/>
      <c r="F42" s="54"/>
    </row>
    <row r="43" spans="2:6">
      <c r="B43" s="74"/>
      <c r="C43" s="74"/>
      <c r="E43" s="86"/>
    </row>
    <row r="44" spans="2:6">
      <c r="B44" s="74"/>
      <c r="C44" s="74"/>
      <c r="E44" s="86"/>
    </row>
    <row r="45" spans="2:6" ht="36">
      <c r="B45" s="79" t="s">
        <v>451</v>
      </c>
      <c r="C45" s="74"/>
      <c r="E45" s="86"/>
    </row>
    <row r="46" spans="2:6">
      <c r="B46" s="76" t="s">
        <v>269</v>
      </c>
      <c r="C46" s="76" t="s">
        <v>588</v>
      </c>
      <c r="D46" s="76" t="s">
        <v>589</v>
      </c>
      <c r="E46" s="88" t="s">
        <v>270</v>
      </c>
      <c r="F46" s="32" t="s">
        <v>226</v>
      </c>
    </row>
    <row r="47" spans="2:6">
      <c r="B47" s="54" t="s">
        <v>224</v>
      </c>
      <c r="C47" s="54" t="s">
        <v>162</v>
      </c>
      <c r="D47" s="92" t="s">
        <v>344</v>
      </c>
      <c r="E47" s="77" t="str">
        <f t="shared" ref="E47:E52" si="1">IF(D47="","",""""&amp;C47&amp;" "&amp;IF(C47="[FOOTER RULE - STRICT]",D47,IF(RIGHT(D47,6)=" | "&amp;CHAR(34)&amp;" &amp;",D47,D47&amp;" | "&amp;CHAR(34)&amp;" &amp;")))</f>
        <v>"[ROLE] Tech Lead | " &amp;</v>
      </c>
      <c r="F47" s="32" t="s">
        <v>226</v>
      </c>
    </row>
    <row r="48" spans="2:6">
      <c r="B48" s="54" t="s">
        <v>224</v>
      </c>
      <c r="C48" s="54" t="s">
        <v>164</v>
      </c>
      <c r="D48" s="92" t="s">
        <v>374</v>
      </c>
      <c r="E48" s="77" t="str">
        <f t="shared" si="1"/>
        <v>"[TASK] Assign incomplete project script | " &amp;</v>
      </c>
      <c r="F48" s="32" t="s">
        <v>226</v>
      </c>
    </row>
    <row r="49" spans="2:6">
      <c r="B49" s="54" t="s">
        <v>224</v>
      </c>
      <c r="C49" s="54" t="s">
        <v>318</v>
      </c>
      <c r="D49" s="92" t="s">
        <v>167</v>
      </c>
      <c r="E49" s="77" t="str">
        <f t="shared" si="1"/>
        <v>"[PROJECT] " &amp; I9 &amp; " | " &amp;</v>
      </c>
      <c r="F49" s="32" t="s">
        <v>226</v>
      </c>
    </row>
    <row r="50" spans="2:6">
      <c r="B50" s="54" t="s">
        <v>224</v>
      </c>
      <c r="C50" s="54" t="s">
        <v>257</v>
      </c>
      <c r="D50" s="92" t="s">
        <v>258</v>
      </c>
      <c r="E50" s="77" t="str">
        <f t="shared" si="1"/>
        <v>"[TOPICS USED] " &amp; B9 &amp; " | " &amp;</v>
      </c>
      <c r="F50" s="32" t="s">
        <v>226</v>
      </c>
    </row>
    <row r="51" spans="2:6">
      <c r="B51" s="54" t="s">
        <v>224</v>
      </c>
      <c r="C51" s="54" t="s">
        <v>168</v>
      </c>
      <c r="D51" s="92" t="s">
        <v>169</v>
      </c>
      <c r="E51" s="77" t="str">
        <f t="shared" si="1"/>
        <v>"[LEVEL] " &amp; G9 &amp; " | " &amp;</v>
      </c>
      <c r="F51" s="32" t="s">
        <v>226</v>
      </c>
    </row>
    <row r="52" spans="2:6">
      <c r="B52" s="54" t="s">
        <v>224</v>
      </c>
      <c r="C52" s="54" t="s">
        <v>231</v>
      </c>
      <c r="D52" s="92" t="s">
        <v>272</v>
      </c>
      <c r="E52" s="77" t="str">
        <f t="shared" si="1"/>
        <v>"[LIBRARY BEING LEARNED] " &amp; $I$3 &amp; " | " &amp;</v>
      </c>
      <c r="F52" s="32" t="s">
        <v>226</v>
      </c>
    </row>
    <row r="53" spans="2:6">
      <c r="B53" s="75" t="s">
        <v>224</v>
      </c>
      <c r="C53" s="54" t="s">
        <v>227</v>
      </c>
      <c r="D53" s="92"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v>
      </c>
      <c r="E53" s="77"/>
      <c r="F53" s="32"/>
    </row>
    <row r="54" spans="2:6">
      <c r="B54" s="54" t="s">
        <v>224</v>
      </c>
      <c r="C54" s="54" t="s">
        <v>174</v>
      </c>
      <c r="D54" s="92" t="s">
        <v>259</v>
      </c>
      <c r="E54" s="77" t="str">
        <f t="shared" ref="E54:E76" si="2">IF(D54="","",""""&amp;C54&amp;" "&amp;IF(C54="[FOOTER RULE - STRICT]",D54,IF(RIGHT(D54,6)=" | "&amp;CHAR(34)&amp;" &amp;",D54,D54&amp;" | "&amp;CHAR(34)&amp;" &amp;")))</f>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226</v>
      </c>
    </row>
    <row r="55" spans="2:6">
      <c r="B55" s="54" t="s">
        <v>224</v>
      </c>
      <c r="C55" s="54" t="s">
        <v>500</v>
      </c>
      <c r="D55" s="92" t="s">
        <v>492</v>
      </c>
      <c r="E55" s="77" t="str">
        <f t="shared" si="2"/>
        <v>"[LANGUAGE SEED CONTEXT] " &amp; IF($AE$7 = "", "Language Seed Not Necessary", "You MUST strictly follow this seed context to enhance, adapt, and naturalize your tone, vocabulary, and instructional quality in " &amp; $B$6 &amp; ": " &amp; $AE$7) &amp; " | " &amp;</v>
      </c>
      <c r="F55" s="32" t="s">
        <v>226</v>
      </c>
    </row>
    <row r="56" spans="2:6">
      <c r="B56" s="54" t="s">
        <v>224</v>
      </c>
      <c r="C56" s="54" t="s">
        <v>217</v>
      </c>
      <c r="D56" s="92" t="s">
        <v>597</v>
      </c>
      <c r="E56" s="77" t="str">
        <f t="shared" si="2"/>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226</v>
      </c>
    </row>
    <row r="57" spans="2:6">
      <c r="B57" s="54" t="s">
        <v>225</v>
      </c>
      <c r="C57" s="54" t="s">
        <v>673</v>
      </c>
      <c r="D57" s="92" t="str">
        <f>Variables!E51 &amp; " | " &amp; CHAR(34) &amp; " &amp;"</f>
        <v>Require standard dart pub tooling and pubspec.yaml for dependencies. | " &amp;</v>
      </c>
      <c r="E57" s="77" t="str">
        <f t="shared" si="2"/>
        <v>"[EXTERNAL_PACKAGE_PROTOCOL] Require standard dart pub tooling and pubspec.yaml for dependencies. | " &amp;</v>
      </c>
      <c r="F57" s="32" t="s">
        <v>226</v>
      </c>
    </row>
    <row r="58" spans="2:6">
      <c r="B58" s="54" t="s">
        <v>225</v>
      </c>
      <c r="C58" s="54" t="s">
        <v>675</v>
      </c>
      <c r="D58" s="92" t="str">
        <f>Variables!E52 &amp; " " &amp; CHAR(34) &amp; " &amp; IF(G9=" &amp; CHAR(34) &amp; "Beginner" &amp; CHAR(34) &amp; "," &amp; CHAR(34) &amp; "25–40" &amp; CHAR(34) &amp; ", IF(G9=" &amp; CHAR(34) &amp; "Intermediate" &amp; CHAR(34) &amp; "," &amp; CHAR(34) &amp; "30–60" &amp; CHAR(34) &amp; "," &amp; CHAR(34) &amp; "40–100" &amp; CHAR(34) &amp; ")) &amp; " &amp; CHAR(34) &amp; " " &amp; Variables!E53 &amp; " | " &amp; CHAR(34) &amp; " &amp;"</f>
        <v>MUST be between " &amp; IF(G9="Beginner","25–40", IF(G9="Intermediate","30–60","40–100")) &amp; " lines of EXECUTABLE base Dart code (STRICT: Do NOT count comments or TODOs). Must feature Stream-based event pipelines, asynchronous isolate flows, or class-based state machines. | " &amp;</v>
      </c>
      <c r="E58" s="77" t="str">
        <f t="shared" si="2"/>
        <v>"[CHALLENGE_CONSTRAINTS_POLICY] MUST be between " &amp; IF(G9="Beginner","25–40", IF(G9="Intermediate","30–60","40–100")) &amp; " lines of EXECUTABLE base Dart code (STRICT: Do NOT count comments or TODOs). Must feature Stream-based event pipelines, asynchronous isolate flows, or class-based state machines. | " &amp;</v>
      </c>
      <c r="F58" s="32" t="s">
        <v>226</v>
      </c>
    </row>
    <row r="59" spans="2:6">
      <c r="B59" s="54" t="s">
        <v>276</v>
      </c>
      <c r="C59" s="54" t="s">
        <v>209</v>
      </c>
      <c r="D59" s="92" t="s">
        <v>285</v>
      </c>
      <c r="E59" s="77" t="str">
        <f t="shared" si="2"/>
        <v>"[FORMAT RULE] Only valid markdown code blocks allowed | " &amp;</v>
      </c>
      <c r="F59" s="32" t="s">
        <v>226</v>
      </c>
    </row>
    <row r="60" spans="2:6">
      <c r="B60" s="54" t="s">
        <v>276</v>
      </c>
      <c r="C60" s="54" t="s">
        <v>211</v>
      </c>
      <c r="D60" s="92" t="s">
        <v>286</v>
      </c>
      <c r="E60" s="77" t="str">
        <f t="shared" si="2"/>
        <v>"[LANGUAGE TAG RULE] ALWAYS label markdown code blocks with the correct underlying programming language (e.g., python, javascript, sql) | " &amp;</v>
      </c>
      <c r="F60" s="32" t="s">
        <v>226</v>
      </c>
    </row>
    <row r="61" spans="2:6">
      <c r="B61" s="54" t="s">
        <v>276</v>
      </c>
      <c r="C61" s="54" t="s">
        <v>347</v>
      </c>
      <c r="D61" s="92" t="s">
        <v>375</v>
      </c>
      <c r="E61" s="77" t="str">
        <f t="shared" si="2"/>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226</v>
      </c>
    </row>
    <row r="62" spans="2:6">
      <c r="B62" s="54" t="s">
        <v>276</v>
      </c>
      <c r="C62" s="54" t="s">
        <v>189</v>
      </c>
      <c r="D62" s="92" t="s">
        <v>376</v>
      </c>
      <c r="E62" s="77" t="str">
        <f t="shared" si="2"/>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226</v>
      </c>
    </row>
    <row r="63" spans="2:6">
      <c r="B63" s="54" t="s">
        <v>276</v>
      </c>
      <c r="C63" s="54" t="s">
        <v>179</v>
      </c>
      <c r="D63" s="92" t="s">
        <v>377</v>
      </c>
      <c r="E63" s="77" t="str">
        <f t="shared" si="2"/>
        <v>"[OUTPUT CONTRACT] EXACTLY 1 project. Structure MUST be: Tech Lead Intro Message, Project: Objective (max 6 lines), Expected Output (code block), Incomplete Code | " &amp;</v>
      </c>
      <c r="F63" s="32" t="s">
        <v>226</v>
      </c>
    </row>
    <row r="64" spans="2:6">
      <c r="B64" s="54" t="s">
        <v>276</v>
      </c>
      <c r="C64" s="54" t="s">
        <v>378</v>
      </c>
      <c r="D64" s="92" t="s">
        <v>379</v>
      </c>
      <c r="E64" s="77" t="str">
        <f t="shared" si="2"/>
        <v>"[OUTPUT TRUNCATION RULE] If output is large, show only first 5 lines. Do NOT use ellipsis (...) | " &amp;</v>
      </c>
      <c r="F64" s="32" t="s">
        <v>226</v>
      </c>
    </row>
    <row r="65" spans="2:6">
      <c r="B65" s="54" t="s">
        <v>276</v>
      </c>
      <c r="C65" s="54" t="s">
        <v>353</v>
      </c>
      <c r="D65" s="92" t="s">
        <v>380</v>
      </c>
      <c r="E65" s="77" t="str">
        <f t="shared" si="2"/>
        <v>"[OUTPUT EXECUTION RULE - STRICT] Expected output MUST be explicit, complete, and produced via final print(). | " &amp;</v>
      </c>
      <c r="F65" s="32" t="s">
        <v>226</v>
      </c>
    </row>
    <row r="66" spans="2:6">
      <c r="B66" s="54" t="s">
        <v>276</v>
      </c>
      <c r="C66" s="54" t="s">
        <v>355</v>
      </c>
      <c r="D66" s="92" t="s">
        <v>381</v>
      </c>
      <c r="E66" s="77" t="str">
        <f t="shared" si="2"/>
        <v>"[BASE CODE INTEGRITY RULE - STRICT] Code outside the TODO block MUST be 100% valid, logically correct, and run without errors. Do NOT use 'pass', '...', or empty placeholders outside the TODO. | " &amp;</v>
      </c>
      <c r="F66" s="32" t="s">
        <v>226</v>
      </c>
    </row>
    <row r="67" spans="2:6">
      <c r="B67" s="54" t="s">
        <v>276</v>
      </c>
      <c r="C67" s="54" t="s">
        <v>382</v>
      </c>
      <c r="D67" s="92" t="s">
        <v>383</v>
      </c>
      <c r="E67" s="77" t="str">
        <f t="shared" si="2"/>
        <v>"[TODO REALISM RULE] TODO must represent realistic integration bugs. Describe what is incorrect/incomplete. | " &amp;</v>
      </c>
      <c r="F67" s="32" t="s">
        <v>226</v>
      </c>
    </row>
    <row r="68" spans="2:6">
      <c r="B68" s="54" t="s">
        <v>276</v>
      </c>
      <c r="C68" s="54" t="s">
        <v>363</v>
      </c>
      <c r="D68" s="92" t="s">
        <v>384</v>
      </c>
      <c r="E68" s="77" t="str">
        <f t="shared" si="2"/>
        <v>"[TODO ISOLATION RULE - STRICT] ALL missing, incorrect, or output-affecting logic MUST exist ONLY inside the TODO block. Replace ONLY integration logic. | " &amp;</v>
      </c>
      <c r="F68" s="32" t="s">
        <v>226</v>
      </c>
    </row>
    <row r="69" spans="2:6">
      <c r="B69" s="54" t="s">
        <v>276</v>
      </c>
      <c r="C69" s="54" t="s">
        <v>308</v>
      </c>
      <c r="D69" s="92" t="s">
        <v>365</v>
      </c>
      <c r="E69" s="77" t="str">
        <f t="shared" si="2"/>
        <v>"[NO SOLUTION RULE - STRICT] The code under the # TODO MUST be left empty or with a 'pass'. DO NOT write the actual solution. | " &amp;</v>
      </c>
      <c r="F69" s="32" t="s">
        <v>226</v>
      </c>
    </row>
    <row r="70" spans="2:6">
      <c r="B70" s="54" t="s">
        <v>276</v>
      </c>
      <c r="C70" s="54" t="s">
        <v>218</v>
      </c>
      <c r="D70" s="92" t="s">
        <v>385</v>
      </c>
      <c r="E70" s="77" t="str">
        <f t="shared" si="2"/>
        <v>"[OUTPUT] Only header, dataset summary or statement (if any), intro message, objective, expected output, incomplete code, and footer | " &amp;</v>
      </c>
      <c r="F70" s="32" t="s">
        <v>226</v>
      </c>
    </row>
    <row r="71" spans="2:6">
      <c r="B71" s="54" t="s">
        <v>276</v>
      </c>
      <c r="C71" s="54" t="s">
        <v>222</v>
      </c>
      <c r="D71" s="92" t="s">
        <v>386</v>
      </c>
      <c r="E71" s="77" t="str">
        <f t="shared" si="2"/>
        <v>"[FOOTER RULE - STRICT] End your entire response EXACTLY with this markdown string (ensure all code blocks are closed before it):" &amp; CHAR(10) &amp; "---" &amp; CHAR(10) &amp; "⚡ *Coding5s System - Learn Programming by Writing Code - Coding5S.com*")</v>
      </c>
      <c r="F71" s="32" t="s">
        <v>226</v>
      </c>
    </row>
    <row r="72" spans="2:6">
      <c r="B72" s="54"/>
      <c r="C72" s="54"/>
      <c r="D72" s="92"/>
      <c r="E72" s="77" t="str">
        <f t="shared" si="2"/>
        <v/>
      </c>
      <c r="F72" s="32" t="s">
        <v>226</v>
      </c>
    </row>
    <row r="73" spans="2:6">
      <c r="B73" s="54"/>
      <c r="C73" s="54"/>
      <c r="D73" s="92"/>
      <c r="E73" s="77" t="str">
        <f t="shared" si="2"/>
        <v/>
      </c>
      <c r="F73" s="32" t="s">
        <v>226</v>
      </c>
    </row>
    <row r="74" spans="2:6">
      <c r="B74" s="54"/>
      <c r="C74" s="54"/>
      <c r="D74" s="92"/>
      <c r="E74" s="77" t="str">
        <f t="shared" si="2"/>
        <v/>
      </c>
      <c r="F74" s="32" t="s">
        <v>226</v>
      </c>
    </row>
    <row r="75" spans="2:6">
      <c r="B75" s="54"/>
      <c r="C75" s="54"/>
      <c r="D75" s="92"/>
      <c r="E75" s="77" t="str">
        <f t="shared" si="2"/>
        <v/>
      </c>
      <c r="F75" s="32" t="s">
        <v>226</v>
      </c>
    </row>
    <row r="76" spans="2:6">
      <c r="B76" s="54"/>
      <c r="C76" s="54"/>
      <c r="D76" s="92"/>
      <c r="E76" s="77" t="str">
        <f t="shared" si="2"/>
        <v/>
      </c>
      <c r="F76" s="32" t="s">
        <v>226</v>
      </c>
    </row>
    <row r="77" spans="2:6">
      <c r="E77" s="86"/>
      <c r="F77" t="s">
        <v>226</v>
      </c>
    </row>
    <row r="79" spans="2:6" ht="36">
      <c r="B79" s="80" t="s">
        <v>449</v>
      </c>
    </row>
    <row r="80" spans="2:6">
      <c r="B80" s="76" t="s">
        <v>223</v>
      </c>
      <c r="C80" s="76" t="s">
        <v>588</v>
      </c>
      <c r="D80" s="76" t="s">
        <v>589</v>
      </c>
      <c r="E80" s="89" t="s">
        <v>237</v>
      </c>
      <c r="F80" s="54" t="s">
        <v>226</v>
      </c>
    </row>
    <row r="81" spans="2:6">
      <c r="B81" s="54" t="s">
        <v>224</v>
      </c>
      <c r="C81" s="54" t="s">
        <v>388</v>
      </c>
      <c r="D81" s="92" t="s">
        <v>389</v>
      </c>
      <c r="E81" s="17" t="str">
        <f t="shared" ref="E81:E95" si="3">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226</v>
      </c>
    </row>
    <row r="82" spans="2:6">
      <c r="B82" s="54" t="s">
        <v>224</v>
      </c>
      <c r="C82" s="54" t="s">
        <v>239</v>
      </c>
      <c r="D82" s="92" t="s">
        <v>390</v>
      </c>
      <c r="E82" s="17" t="str">
        <f t="shared" si="3"/>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226</v>
      </c>
    </row>
    <row r="83" spans="2:6">
      <c r="B83" s="54" t="s">
        <v>224</v>
      </c>
      <c r="C83" s="54" t="s">
        <v>240</v>
      </c>
      <c r="D83" s="92" t="s">
        <v>391</v>
      </c>
      <c r="E83" s="17" t="str">
        <f t="shared" si="3"/>
        <v>"[CONTEXT] You are helping a Junior Developer complete a " &amp; IF(UPPER(H9)="PROJECT", "PROJECT: " &amp; I9 &amp; ". Topics involved: " &amp; B9 &amp; ". Project objective: " &amp; J9, "TOPIC: " &amp; I9 &amp; ". Topic details: " &amp; J9) &amp; " | " &amp;</v>
      </c>
      <c r="F83" s="54" t="s">
        <v>226</v>
      </c>
    </row>
    <row r="84" spans="2:6">
      <c r="B84" s="54" t="s">
        <v>224</v>
      </c>
      <c r="C84" s="54" t="s">
        <v>164</v>
      </c>
      <c r="D84" s="92" t="s">
        <v>392</v>
      </c>
      <c r="E84" s="17" t="str">
        <f t="shared" si="3"/>
        <v>"[TASK] Analyze the student's code and explanation. If they completed the data flow perfectly, celebrate the 'solid foundation' and offer a 'System Extension' challenge. Otherwise, follow the 2-PHASE MENTORING PROTOCOL | " &amp;</v>
      </c>
      <c r="F84" s="54" t="s">
        <v>226</v>
      </c>
    </row>
    <row r="85" spans="2:6">
      <c r="B85" s="54" t="s">
        <v>224</v>
      </c>
      <c r="C85" s="54" t="s">
        <v>231</v>
      </c>
      <c r="D85" s="92" t="s">
        <v>272</v>
      </c>
      <c r="E85" s="17" t="str">
        <f t="shared" si="3"/>
        <v>"[LIBRARY BEING LEARNED] " &amp; $I$3 &amp; " | " &amp;</v>
      </c>
      <c r="F85" s="54" t="s">
        <v>226</v>
      </c>
    </row>
    <row r="86" spans="2:6">
      <c r="B86" s="54" t="s">
        <v>224</v>
      </c>
      <c r="C86" s="54" t="s">
        <v>174</v>
      </c>
      <c r="D86" s="92" t="s">
        <v>259</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226</v>
      </c>
    </row>
    <row r="87" spans="2:6">
      <c r="B87" s="54" t="s">
        <v>224</v>
      </c>
      <c r="C87" s="54" t="s">
        <v>500</v>
      </c>
      <c r="D87" s="92" t="s">
        <v>492</v>
      </c>
      <c r="E87" s="17" t="str">
        <f t="shared" si="3"/>
        <v>"[LANGUAGE SEED CONTEXT] " &amp; IF($AE$7 = "", "Language Seed Not Necessary", "You MUST strictly follow this seed context to enhance, adapt, and naturalize your tone, vocabulary, and instructional quality in " &amp; $B$6 &amp; ": " &amp; $AE$7) &amp; " | " &amp;</v>
      </c>
      <c r="F87" s="54" t="s">
        <v>226</v>
      </c>
    </row>
    <row r="88" spans="2:6">
      <c r="B88" s="54" t="s">
        <v>224</v>
      </c>
      <c r="C88" s="54" t="s">
        <v>217</v>
      </c>
      <c r="D88" s="92" t="s">
        <v>598</v>
      </c>
      <c r="E88" s="17" t="str">
        <f t="shared" si="3"/>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226</v>
      </c>
    </row>
    <row r="89" spans="2:6">
      <c r="B89" s="54" t="s">
        <v>225</v>
      </c>
      <c r="C89" s="54" t="s">
        <v>232</v>
      </c>
      <c r="D89" s="92"/>
      <c r="E89" s="17" t="str">
        <f t="shared" si="3"/>
        <v/>
      </c>
      <c r="F89" s="54" t="s">
        <v>226</v>
      </c>
    </row>
    <row r="90" spans="2:6">
      <c r="B90" s="54" t="s">
        <v>225</v>
      </c>
      <c r="C90" s="54" t="s">
        <v>246</v>
      </c>
      <c r="D90" s="92" t="str">
        <f>Variables!E54 &amp; " " &amp; Variables!E55 &amp; " " &amp; Variables!E56 &amp; " " &amp; Variables!E57 &amp; " | " &amp; CHAR(34) &amp; " &amp;"</f>
        <v>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v>
      </c>
      <c r="E90" s="17" t="str">
        <f t="shared" si="3"/>
        <v>"[PYTHON QUALITY RULE - STRICT] Code MUST perfectly model idiomatic Dart 3+ architectural paradigms utilizing standard Dart CLI ecosystem tools and Effective Dart guidelines. Use descriptive camelCase for variables/functions/members, PascalCase for classes/types, and snake_case for file names. Enforce exhaustive pattern matching on sealed classes/Records and maintain flawless null safety and static typing. Reject event loop blocking, unawaited Futures, and bypassing null safety checks. Leverage Dart 3 pattern matching instead of long if/else chains. | " &amp;</v>
      </c>
      <c r="F90" s="54" t="s">
        <v>226</v>
      </c>
    </row>
    <row r="91" spans="2:6">
      <c r="B91" s="54" t="s">
        <v>276</v>
      </c>
      <c r="C91" s="54" t="s">
        <v>241</v>
      </c>
      <c r="D91" s="92" t="s">
        <v>393</v>
      </c>
      <c r="E91" s="17" t="str">
        <f t="shared" si="3"/>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226</v>
      </c>
    </row>
    <row r="92" spans="2:6">
      <c r="B92" s="54" t="s">
        <v>276</v>
      </c>
      <c r="C92" s="54" t="s">
        <v>243</v>
      </c>
      <c r="D92" s="92" t="s">
        <v>394</v>
      </c>
      <c r="E92" s="17" t="str">
        <f t="shared" si="3"/>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226</v>
      </c>
    </row>
    <row r="93" spans="2:6">
      <c r="B93" s="54" t="s">
        <v>276</v>
      </c>
      <c r="C93" s="54" t="s">
        <v>244</v>
      </c>
      <c r="D93" s="92" t="s">
        <v>395</v>
      </c>
      <c r="E93" s="17" t="str">
        <f t="shared" si="3"/>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226</v>
      </c>
    </row>
    <row r="94" spans="2:6">
      <c r="B94" s="54" t="s">
        <v>276</v>
      </c>
      <c r="C94" s="54" t="s">
        <v>247</v>
      </c>
      <c r="D94" s="92" t="s">
        <v>396</v>
      </c>
      <c r="E94" s="17" t="str">
        <f t="shared" si="3"/>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226</v>
      </c>
    </row>
    <row r="95" spans="2:6">
      <c r="B95" s="54" t="s">
        <v>276</v>
      </c>
      <c r="C95" s="54" t="s">
        <v>335</v>
      </c>
      <c r="D95" s="92" t="s">
        <v>397</v>
      </c>
      <c r="E95" s="17" t="str">
        <f t="shared" si="3"/>
        <v>"[FOOTER RULE] End your response with: '--- ⚡ *Coding5s Mentor System — Eliminating Epistemic Debt &amp; Connecting the Flow*',</v>
      </c>
      <c r="F95" s="54" t="s">
        <v>226</v>
      </c>
    </row>
    <row r="96" spans="2:6">
      <c r="B96" s="54"/>
      <c r="C96" s="54"/>
      <c r="D96" s="54"/>
      <c r="E96" s="89" t="s">
        <v>342</v>
      </c>
      <c r="F96" s="54" t="s">
        <v>226</v>
      </c>
    </row>
    <row r="97" spans="2:6">
      <c r="B97" s="54"/>
      <c r="C97" s="54"/>
      <c r="D97" s="54"/>
      <c r="E97" s="77" t="str">
        <f t="shared" ref="E97:E100" si="4">IF(D97="","",""""&amp;C97&amp;" "&amp;IF(C97="[FOOTER RULE - STRICT]",D97,IF(RIGHT(D97,6)=" | "&amp;CHAR(34)&amp;" &amp;",D97,D97&amp;" | "&amp;CHAR(34)&amp;" &amp;")))</f>
        <v/>
      </c>
      <c r="F97" s="54" t="s">
        <v>226</v>
      </c>
    </row>
    <row r="98" spans="2:6">
      <c r="B98" s="54"/>
      <c r="C98" s="54"/>
      <c r="D98" s="54"/>
      <c r="E98" s="77" t="str">
        <f t="shared" si="4"/>
        <v/>
      </c>
      <c r="F98" s="54" t="s">
        <v>226</v>
      </c>
    </row>
    <row r="99" spans="2:6">
      <c r="B99" s="54"/>
      <c r="C99" s="54"/>
      <c r="D99" s="54"/>
      <c r="E99" s="77" t="str">
        <f t="shared" si="4"/>
        <v/>
      </c>
      <c r="F99" s="54" t="s">
        <v>226</v>
      </c>
    </row>
    <row r="100" spans="2:6">
      <c r="B100" s="54"/>
      <c r="C100" s="54"/>
      <c r="D100" s="54"/>
      <c r="E100" s="77" t="str">
        <f t="shared" si="4"/>
        <v/>
      </c>
      <c r="F100" s="54" t="s">
        <v>226</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6"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448</v>
      </c>
      <c r="D2" s="81" t="s">
        <v>420</v>
      </c>
      <c r="H2" s="82"/>
      <c r="T2" s="82"/>
    </row>
    <row r="3" spans="2:29">
      <c r="B3" s="76" t="s">
        <v>223</v>
      </c>
      <c r="C3" s="76" t="s">
        <v>588</v>
      </c>
      <c r="D3" s="76" t="s">
        <v>589</v>
      </c>
      <c r="E3" s="88" t="s">
        <v>230</v>
      </c>
      <c r="F3" s="4" t="s">
        <v>226</v>
      </c>
      <c r="AC3" t="s">
        <v>226</v>
      </c>
    </row>
    <row r="4" spans="2:29">
      <c r="B4" s="75" t="s">
        <v>224</v>
      </c>
      <c r="C4" s="54" t="s">
        <v>162</v>
      </c>
      <c r="D4" s="90" t="s">
        <v>344</v>
      </c>
      <c r="E4" s="77" t="str">
        <f t="shared" ref="E4:E39" si="0">IF(D4="","",""""&amp;C4&amp;" "&amp;IF(C4="[FOOTER RULE - STRICT]",D4,IF(RIGHT(D4,6)=" | "&amp;CHAR(34)&amp;" &amp;",D4,D4&amp;" | "&amp;CHAR(34)&amp;" &amp;")))</f>
        <v>"[ROLE] Tech Lead | " &amp;</v>
      </c>
      <c r="F4" s="54" t="s">
        <v>226</v>
      </c>
    </row>
    <row r="5" spans="2:29">
      <c r="B5" s="75" t="s">
        <v>224</v>
      </c>
      <c r="C5" s="54" t="s">
        <v>164</v>
      </c>
      <c r="D5" s="90" t="s">
        <v>398</v>
      </c>
      <c r="E5" s="77" t="str">
        <f t="shared" si="0"/>
        <v>"[TASK] Provide intentionally messy but functional code for learning debugging and improvement | " &amp;</v>
      </c>
      <c r="F5" s="54" t="s">
        <v>226</v>
      </c>
    </row>
    <row r="6" spans="2:29">
      <c r="B6" s="75" t="s">
        <v>224</v>
      </c>
      <c r="C6" s="54" t="s">
        <v>166</v>
      </c>
      <c r="D6" s="90" t="s">
        <v>167</v>
      </c>
      <c r="E6" s="77" t="str">
        <f t="shared" si="0"/>
        <v>"[TOPIC] " &amp; I9 &amp; " | " &amp;</v>
      </c>
      <c r="F6" s="54" t="s">
        <v>226</v>
      </c>
    </row>
    <row r="7" spans="2:29">
      <c r="B7" s="75" t="s">
        <v>224</v>
      </c>
      <c r="C7" s="54" t="s">
        <v>168</v>
      </c>
      <c r="D7" s="90" t="s">
        <v>169</v>
      </c>
      <c r="E7" s="77" t="str">
        <f t="shared" si="0"/>
        <v>"[LEVEL] " &amp; G9 &amp; " | " &amp;</v>
      </c>
      <c r="F7" s="54" t="s">
        <v>226</v>
      </c>
    </row>
    <row r="8" spans="2:29">
      <c r="B8" s="75" t="s">
        <v>224</v>
      </c>
      <c r="C8" s="54" t="s">
        <v>170</v>
      </c>
      <c r="D8" s="90" t="s">
        <v>281</v>
      </c>
      <c r="E8" s="77" t="str">
        <f t="shared" si="0"/>
        <v>"[COUNT] " &amp; D9 &amp; " challenges | " &amp;</v>
      </c>
      <c r="F8" s="54" t="s">
        <v>226</v>
      </c>
    </row>
    <row r="9" spans="2:29">
      <c r="B9" s="75" t="s">
        <v>224</v>
      </c>
      <c r="C9" s="54" t="s">
        <v>231</v>
      </c>
      <c r="D9" s="90" t="s">
        <v>272</v>
      </c>
      <c r="E9" s="77" t="str">
        <f t="shared" si="0"/>
        <v>"[LIBRARY BEING LEARNED] " &amp; $I$3 &amp; " | " &amp;</v>
      </c>
      <c r="F9" s="54" t="s">
        <v>226</v>
      </c>
    </row>
    <row r="10" spans="2:29">
      <c r="B10" s="75" t="s">
        <v>224</v>
      </c>
      <c r="C10" s="54" t="s">
        <v>227</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v>
      </c>
      <c r="E10" s="77" t="str">
        <f t="shared" si="0"/>
        <v>"[ECOSYSTEM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v>
      </c>
      <c r="F10" s="54" t="s">
        <v>226</v>
      </c>
    </row>
    <row r="11" spans="2:29">
      <c r="B11" s="75" t="s">
        <v>224</v>
      </c>
      <c r="C11" s="54" t="s">
        <v>172</v>
      </c>
      <c r="D11" s="90" t="s">
        <v>399</v>
      </c>
      <c r="E11" s="77" t="str">
        <f t="shared" si="0"/>
        <v>"[PERSONA RULE] Act as a Tech Lead. A junior wrote this working but messy code. Tone: professional but exhausted by the code quality | " &amp;</v>
      </c>
      <c r="F11" s="54" t="s">
        <v>226</v>
      </c>
    </row>
    <row r="12" spans="2:29">
      <c r="B12" s="75" t="s">
        <v>224</v>
      </c>
      <c r="C12" s="54" t="s">
        <v>174</v>
      </c>
      <c r="D12" s="90" t="s">
        <v>400</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226</v>
      </c>
    </row>
    <row r="13" spans="2:29">
      <c r="B13" s="75" t="s">
        <v>224</v>
      </c>
      <c r="C13" s="54" t="s">
        <v>217</v>
      </c>
      <c r="D13" s="90" t="s">
        <v>599</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226</v>
      </c>
    </row>
    <row r="14" spans="2:29">
      <c r="B14" s="83" t="s">
        <v>224</v>
      </c>
      <c r="C14" s="54" t="s">
        <v>500</v>
      </c>
      <c r="D14" s="90" t="s">
        <v>492</v>
      </c>
      <c r="E14" s="77" t="str">
        <f t="shared" si="0"/>
        <v>"[LANGUAGE SEED CONTEXT] " &amp; IF($AE$7 = "", "Language Seed Not Necessary", "You MUST strictly follow this seed context to enhance, adapt, and naturalize your tone, vocabulary, and instructional quality in " &amp; $B$6 &amp; ": " &amp; $AE$7) &amp; " | " &amp;</v>
      </c>
      <c r="F14" s="54" t="s">
        <v>226</v>
      </c>
    </row>
    <row r="15" spans="2:29">
      <c r="B15" s="83" t="s">
        <v>225</v>
      </c>
      <c r="C15" s="54" t="s">
        <v>232</v>
      </c>
      <c r="D15" s="90"/>
      <c r="E15" s="77" t="str">
        <f t="shared" si="0"/>
        <v/>
      </c>
      <c r="F15" s="54" t="s">
        <v>226</v>
      </c>
    </row>
    <row r="16" spans="2:29">
      <c r="B16" s="83" t="s">
        <v>225</v>
      </c>
      <c r="C16" s="54" t="s">
        <v>232</v>
      </c>
      <c r="D16" s="90"/>
      <c r="E16" s="77" t="str">
        <f t="shared" si="0"/>
        <v/>
      </c>
      <c r="F16" s="54" t="s">
        <v>226</v>
      </c>
    </row>
    <row r="17" spans="2:6">
      <c r="B17" s="83" t="s">
        <v>225</v>
      </c>
      <c r="C17" s="54" t="s">
        <v>232</v>
      </c>
      <c r="D17" s="90"/>
      <c r="E17" s="77" t="str">
        <f t="shared" si="0"/>
        <v/>
      </c>
      <c r="F17" s="54" t="s">
        <v>226</v>
      </c>
    </row>
    <row r="18" spans="2:6">
      <c r="B18" s="54" t="s">
        <v>276</v>
      </c>
      <c r="C18" s="54" t="s">
        <v>182</v>
      </c>
      <c r="D18" s="90" t="s">
        <v>401</v>
      </c>
      <c r="E18" s="77" t="str">
        <f t="shared" si="0"/>
        <v>"[CODE QUALITY RULE] Code MUST be executable and correct BUT intentionally messy, inconsistent, or suboptimal | " &amp;</v>
      </c>
      <c r="F18" s="54" t="s">
        <v>226</v>
      </c>
    </row>
    <row r="19" spans="2:6">
      <c r="B19" s="54" t="s">
        <v>276</v>
      </c>
      <c r="C19" s="54" t="s">
        <v>402</v>
      </c>
      <c r="D19" s="90" t="s">
        <v>403</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226</v>
      </c>
    </row>
    <row r="20" spans="2:6">
      <c r="B20" s="54" t="s">
        <v>276</v>
      </c>
      <c r="C20" s="54" t="s">
        <v>404</v>
      </c>
      <c r="D20" s="90" t="s">
        <v>405</v>
      </c>
      <c r="E20" s="77" t="str">
        <f t="shared" si="0"/>
        <v>"[STYLE INCONSISTENCY RULE] Each challenge should feel like it was written at a different time with different formatting styles | " &amp;</v>
      </c>
      <c r="F20" s="54" t="s">
        <v>226</v>
      </c>
    </row>
    <row r="21" spans="2:6">
      <c r="B21" s="54" t="s">
        <v>276</v>
      </c>
      <c r="C21" s="54" t="s">
        <v>190</v>
      </c>
      <c r="D21" s="90" t="s">
        <v>685</v>
      </c>
      <c r="E21" s="77" t="str">
        <f t="shared" si="0"/>
        <v>"[FILE HANDLING RULE] Use correct loaders and enforce encoding='utf-8' and newline='' when applicable if the programming language supports it. | " &amp;</v>
      </c>
      <c r="F21" s="54" t="s">
        <v>226</v>
      </c>
    </row>
    <row r="22" spans="2:6">
      <c r="B22" s="54" t="s">
        <v>276</v>
      </c>
      <c r="C22" s="54" t="s">
        <v>191</v>
      </c>
      <c r="D22" s="90" t="s">
        <v>684</v>
      </c>
      <c r="E22" s="77" t="str">
        <f t="shared" si="0"/>
        <v>"[DATA TYPE RULE] Explicit casting required before calculations when the programming language requires it. | " &amp;</v>
      </c>
      <c r="F22" s="54" t="s">
        <v>226</v>
      </c>
    </row>
    <row r="23" spans="2:6">
      <c r="B23" s="54" t="s">
        <v>276</v>
      </c>
      <c r="C23" s="54" t="s">
        <v>192</v>
      </c>
      <c r="D23" s="90" t="s">
        <v>406</v>
      </c>
      <c r="E23" s="77" t="str">
        <f t="shared" si="0"/>
        <v>"[DATA ROBUSTNESS RULE] Handle missing, malformed, or inconsistent data safely | " &amp;</v>
      </c>
      <c r="F23" s="54" t="s">
        <v>226</v>
      </c>
    </row>
    <row r="24" spans="2:6">
      <c r="B24" s="54" t="s">
        <v>276</v>
      </c>
      <c r="C24" s="54" t="s">
        <v>193</v>
      </c>
      <c r="D24" s="90" t="s">
        <v>683</v>
      </c>
      <c r="E24" s="77" t="str">
        <f t="shared" si="0"/>
        <v>"[BOOLEAN HANDLING RULE] Normalize boolean values before comparison when the programming language requires it. | " &amp;</v>
      </c>
      <c r="F24" s="54" t="s">
        <v>226</v>
      </c>
    </row>
    <row r="25" spans="2:6">
      <c r="B25" s="54" t="s">
        <v>276</v>
      </c>
      <c r="C25" s="54" t="s">
        <v>194</v>
      </c>
      <c r="D25" s="90" t="s">
        <v>407</v>
      </c>
      <c r="E25" s="77" t="str">
        <f t="shared" si="0"/>
        <v>"[DATA CONSISTENCY RULE] Respect dataset schema | " &amp;</v>
      </c>
      <c r="F25" s="54" t="s">
        <v>226</v>
      </c>
    </row>
    <row r="26" spans="2:6">
      <c r="B26" s="54" t="s">
        <v>276</v>
      </c>
      <c r="C26" s="54" t="s">
        <v>209</v>
      </c>
      <c r="D26" s="90" t="s">
        <v>285</v>
      </c>
      <c r="E26" s="77" t="str">
        <f t="shared" si="0"/>
        <v>"[FORMAT RULE] Only valid markdown code blocks allowed | " &amp;</v>
      </c>
      <c r="F26" s="54" t="s">
        <v>226</v>
      </c>
    </row>
    <row r="27" spans="2:6">
      <c r="B27" s="54" t="s">
        <v>276</v>
      </c>
      <c r="C27" s="54" t="s">
        <v>211</v>
      </c>
      <c r="D27" s="90" t="s">
        <v>286</v>
      </c>
      <c r="E27" s="77" t="str">
        <f t="shared" si="0"/>
        <v>"[LANGUAGE TAG RULE] ALWAYS label markdown code blocks with the correct underlying programming language (e.g., python, javascript, sql) | " &amp;</v>
      </c>
      <c r="F27" s="54" t="s">
        <v>226</v>
      </c>
    </row>
    <row r="28" spans="2:6">
      <c r="B28" s="54" t="s">
        <v>276</v>
      </c>
      <c r="C28" s="54" t="s">
        <v>213</v>
      </c>
      <c r="D28" s="90" t="s">
        <v>408</v>
      </c>
      <c r="E28" s="77" t="str">
        <f t="shared" si="0"/>
        <v>"[OUTPUT FORMAT RULE] Monetary values formatted with '$', commas, 2 decimals | " &amp;</v>
      </c>
      <c r="F28" s="54" t="s">
        <v>226</v>
      </c>
    </row>
    <row r="29" spans="2:6">
      <c r="B29" s="54" t="s">
        <v>276</v>
      </c>
      <c r="C29" s="54" t="s">
        <v>218</v>
      </c>
      <c r="D29" s="90" t="s">
        <v>409</v>
      </c>
      <c r="E29" s="77" t="str">
        <f t="shared" si="0"/>
        <v>"[OUTPUT] Only header, dataset summary or statement (if any), intro, challenges, code, outputs, and footer | " &amp;</v>
      </c>
      <c r="F29" s="54" t="s">
        <v>226</v>
      </c>
    </row>
    <row r="30" spans="2:6">
      <c r="B30" s="54" t="s">
        <v>276</v>
      </c>
      <c r="C30" s="54" t="s">
        <v>176</v>
      </c>
      <c r="D30" s="90" t="s">
        <v>348</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226</v>
      </c>
    </row>
    <row r="31" spans="2:6">
      <c r="B31" s="54" t="s">
        <v>276</v>
      </c>
      <c r="C31" s="54" t="s">
        <v>177</v>
      </c>
      <c r="D31" s="90" t="s">
        <v>410</v>
      </c>
      <c r="E31" s="77" t="str">
        <f t="shared" si="0"/>
        <v>"[DATA SUMMARY FORMAT RULE] When a dataset is present, you MUST display IMMEDIATELY AFTER THE HEADER: Dataset Summary: - File Type: - Columns / Fields: - Data Types: - Notes: | " &amp;</v>
      </c>
      <c r="F31" s="54" t="s">
        <v>226</v>
      </c>
    </row>
    <row r="32" spans="2:6">
      <c r="B32" s="54" t="s">
        <v>276</v>
      </c>
      <c r="C32" s="54" t="s">
        <v>189</v>
      </c>
      <c r="D32" s="90" t="s">
        <v>411</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226</v>
      </c>
    </row>
    <row r="33" spans="2:6">
      <c r="B33" s="54" t="s">
        <v>276</v>
      </c>
      <c r="C33" s="54" t="s">
        <v>179</v>
      </c>
      <c r="D33" s="90" t="s">
        <v>412</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226</v>
      </c>
    </row>
    <row r="34" spans="2:6">
      <c r="B34" s="54" t="s">
        <v>276</v>
      </c>
      <c r="C34" s="54" t="s">
        <v>413</v>
      </c>
      <c r="D34" s="90" t="s">
        <v>414</v>
      </c>
      <c r="E34" s="77" t="str">
        <f t="shared" si="0"/>
        <v>"[REVIEW INTENT RULE] The user is expected to review, identify issues, and refactor the code to production-level quality | " &amp;</v>
      </c>
      <c r="F34" s="54" t="s">
        <v>226</v>
      </c>
    </row>
    <row r="35" spans="2:6">
      <c r="B35" s="54" t="s">
        <v>276</v>
      </c>
      <c r="C35" s="54" t="s">
        <v>180</v>
      </c>
      <c r="D35" s="90" t="s">
        <v>415</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226</v>
      </c>
    </row>
    <row r="36" spans="2:6">
      <c r="B36" s="54" t="s">
        <v>276</v>
      </c>
      <c r="C36" s="54" t="s">
        <v>196</v>
      </c>
      <c r="D36" s="90" t="s">
        <v>416</v>
      </c>
      <c r="E36" s="77" t="str">
        <f t="shared" si="0"/>
        <v>"[SUPPORT FILES RULE] If env/config is used, include: 1. Instructional sentence 2. File content in markdown code block 3. BEFORE the main code | " &amp;</v>
      </c>
      <c r="F36" s="54" t="s">
        <v>226</v>
      </c>
    </row>
    <row r="37" spans="2:6">
      <c r="B37" s="54" t="s">
        <v>276</v>
      </c>
      <c r="C37" s="54" t="s">
        <v>197</v>
      </c>
      <c r="D37" s="90" t="s">
        <v>417</v>
      </c>
      <c r="E37" s="77" t="str">
        <f t="shared" si="0"/>
        <v>"[DIFFICULTY RULE] Complexity MUST match level | " &amp;</v>
      </c>
      <c r="F37" s="54" t="s">
        <v>226</v>
      </c>
    </row>
    <row r="38" spans="2:6">
      <c r="B38" s="54" t="s">
        <v>276</v>
      </c>
      <c r="C38" s="54" t="s">
        <v>418</v>
      </c>
      <c r="D38" s="90" t="s">
        <v>419</v>
      </c>
      <c r="E38" s="77" t="str">
        <f t="shared" si="0"/>
        <v>"[DIFFICULTY CONSISTENCY RULE] All challenges MUST have similar complexity and length, even if coding styles differ | " &amp;</v>
      </c>
      <c r="F38" s="54" t="s">
        <v>226</v>
      </c>
    </row>
    <row r="39" spans="2:6">
      <c r="B39" s="54" t="s">
        <v>276</v>
      </c>
      <c r="C39" s="54" t="s">
        <v>222</v>
      </c>
      <c r="D39" s="90" t="s">
        <v>372</v>
      </c>
      <c r="E39" s="77" t="str">
        <f t="shared" si="0"/>
        <v>"[FOOTER RULE - STRICT] End your entire response EXACTLY with this markdown string (ensure all code blocks are closed before it):" &amp; CHAR(10) &amp; "---" &amp; CHAR(10) &amp; "⚡ *Coding5s System - Learn Programming by Writing Code - Coding5S.com*",</v>
      </c>
      <c r="F39" s="54" t="s">
        <v>226</v>
      </c>
    </row>
    <row r="40" spans="2:6">
      <c r="B40" s="54"/>
      <c r="C40" s="54"/>
      <c r="D40" s="90"/>
      <c r="E40" s="88" t="s">
        <v>421</v>
      </c>
      <c r="F40" s="54" t="s">
        <v>226</v>
      </c>
    </row>
    <row r="41" spans="2:6">
      <c r="B41" s="54"/>
      <c r="C41" s="54"/>
      <c r="D41" s="90"/>
      <c r="E41" s="77"/>
      <c r="F41" s="54"/>
    </row>
    <row r="42" spans="2:6">
      <c r="B42" s="74"/>
      <c r="C42" s="74"/>
      <c r="E42" s="86"/>
    </row>
    <row r="43" spans="2:6">
      <c r="B43" s="74"/>
      <c r="C43" s="74"/>
      <c r="E43" s="86"/>
    </row>
    <row r="44" spans="2:6" ht="36">
      <c r="B44" s="79" t="s">
        <v>447</v>
      </c>
      <c r="C44" s="74"/>
      <c r="E44" s="86"/>
    </row>
    <row r="45" spans="2:6">
      <c r="B45" s="76" t="s">
        <v>269</v>
      </c>
      <c r="C45" s="76" t="s">
        <v>588</v>
      </c>
      <c r="D45" s="76" t="s">
        <v>589</v>
      </c>
      <c r="E45" s="88" t="s">
        <v>270</v>
      </c>
      <c r="F45" s="32" t="s">
        <v>226</v>
      </c>
    </row>
    <row r="46" spans="2:6">
      <c r="B46" s="54" t="s">
        <v>224</v>
      </c>
      <c r="C46" s="54" t="s">
        <v>162</v>
      </c>
      <c r="D46" s="90" t="s">
        <v>344</v>
      </c>
      <c r="E46" s="77" t="str">
        <f>IF(D46="","",""""&amp;C46&amp;" "&amp;IF(C46="[FOOTER RULE - STRICT]",D46,IF(RIGHT(D46,6)=" | "&amp;CHAR(34)&amp;" &amp;",D46,D46&amp;" | "&amp;CHAR(34)&amp;" &amp;")))</f>
        <v>"[ROLE] Tech Lead | " &amp;</v>
      </c>
      <c r="F46" s="32" t="s">
        <v>226</v>
      </c>
    </row>
    <row r="47" spans="2:6">
      <c r="B47" s="54" t="s">
        <v>224</v>
      </c>
      <c r="C47" s="54" t="s">
        <v>164</v>
      </c>
      <c r="D47" s="90" t="s">
        <v>422</v>
      </c>
      <c r="E47" s="77" t="str">
        <f t="shared" ref="E47:E76" si="1">IF(D47="","",""""&amp;C47&amp;" "&amp;IF(C47="[FOOTER RULE - STRICT]",D47,IF(RIGHT(D47,6)=" | "&amp;CHAR(34)&amp;" &amp;",D47,D47&amp;" | "&amp;CHAR(34)&amp;" &amp;")))</f>
        <v>"[TASK] Provide a messy but functional project for refactoring | " &amp;</v>
      </c>
      <c r="F47" s="32" t="s">
        <v>226</v>
      </c>
    </row>
    <row r="48" spans="2:6">
      <c r="B48" s="54" t="s">
        <v>224</v>
      </c>
      <c r="C48" s="54" t="s">
        <v>318</v>
      </c>
      <c r="D48" s="90" t="s">
        <v>167</v>
      </c>
      <c r="E48" s="77" t="str">
        <f t="shared" si="1"/>
        <v>"[PROJECT] " &amp; I9 &amp; " | " &amp;</v>
      </c>
      <c r="F48" s="32" t="s">
        <v>226</v>
      </c>
    </row>
    <row r="49" spans="2:6">
      <c r="B49" s="54" t="s">
        <v>224</v>
      </c>
      <c r="C49" s="54" t="s">
        <v>257</v>
      </c>
      <c r="D49" s="90" t="s">
        <v>258</v>
      </c>
      <c r="E49" s="77" t="str">
        <f t="shared" si="1"/>
        <v>"[TOPICS USED] " &amp; B9 &amp; " | " &amp;</v>
      </c>
      <c r="F49" s="32" t="s">
        <v>226</v>
      </c>
    </row>
    <row r="50" spans="2:6">
      <c r="B50" s="54" t="s">
        <v>224</v>
      </c>
      <c r="C50" s="54" t="s">
        <v>168</v>
      </c>
      <c r="D50" s="90" t="s">
        <v>169</v>
      </c>
      <c r="E50" s="77" t="str">
        <f t="shared" si="1"/>
        <v>"[LEVEL] " &amp; G9 &amp; " | " &amp;</v>
      </c>
      <c r="F50" s="32" t="s">
        <v>226</v>
      </c>
    </row>
    <row r="51" spans="2:6">
      <c r="B51" s="54" t="s">
        <v>224</v>
      </c>
      <c r="C51" s="54" t="s">
        <v>172</v>
      </c>
      <c r="D51" s="90" t="s">
        <v>423</v>
      </c>
      <c r="E51" s="77" t="str">
        <f t="shared" si="1"/>
        <v>"[PERSONA RULE] Act as a Tech Lead. A junior wrote this working but messy code. Tone: professional but exhausted | " &amp;</v>
      </c>
      <c r="F51" s="32" t="s">
        <v>226</v>
      </c>
    </row>
    <row r="52" spans="2:6">
      <c r="B52" s="54" t="s">
        <v>224</v>
      </c>
      <c r="C52" s="54" t="s">
        <v>217</v>
      </c>
      <c r="D52" s="90" t="s">
        <v>600</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226</v>
      </c>
    </row>
    <row r="53" spans="2:6">
      <c r="B53" s="54" t="s">
        <v>224</v>
      </c>
      <c r="C53" s="54" t="s">
        <v>231</v>
      </c>
      <c r="D53" s="90" t="s">
        <v>272</v>
      </c>
      <c r="E53" s="77" t="str">
        <f t="shared" si="1"/>
        <v>"[LIBRARY BEING LEARNED] " &amp; $I$3 &amp; " | " &amp;</v>
      </c>
      <c r="F53" s="32" t="s">
        <v>226</v>
      </c>
    </row>
    <row r="54" spans="2:6">
      <c r="B54" s="75" t="s">
        <v>224</v>
      </c>
      <c r="C54" s="54" t="s">
        <v>227</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v>
      </c>
      <c r="E54" s="77"/>
      <c r="F54" s="32"/>
    </row>
    <row r="55" spans="2:6">
      <c r="B55" s="54" t="s">
        <v>224</v>
      </c>
      <c r="C55" s="54" t="s">
        <v>174</v>
      </c>
      <c r="D55" s="90" t="s">
        <v>259</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226</v>
      </c>
    </row>
    <row r="56" spans="2:6">
      <c r="B56" s="54" t="s">
        <v>224</v>
      </c>
      <c r="C56" s="54" t="s">
        <v>500</v>
      </c>
      <c r="D56" s="90" t="s">
        <v>492</v>
      </c>
      <c r="E56" s="77" t="str">
        <f t="shared" si="1"/>
        <v>"[LANGUAGE SEED CONTEXT] " &amp; IF($AE$7 = "", "Language Seed Not Necessary", "You MUST strictly follow this seed context to enhance, adapt, and naturalize your tone, vocabulary, and instructional quality in " &amp; $B$6 &amp; ": " &amp; $AE$7) &amp; " | " &amp;</v>
      </c>
      <c r="F56" s="32" t="s">
        <v>226</v>
      </c>
    </row>
    <row r="57" spans="2:6">
      <c r="B57" s="54" t="s">
        <v>225</v>
      </c>
      <c r="C57" s="54" t="s">
        <v>232</v>
      </c>
      <c r="D57" s="90"/>
      <c r="E57" s="77" t="str">
        <f t="shared" si="1"/>
        <v/>
      </c>
      <c r="F57" s="32" t="s">
        <v>226</v>
      </c>
    </row>
    <row r="58" spans="2:6">
      <c r="B58" s="54" t="s">
        <v>225</v>
      </c>
      <c r="C58" s="54" t="s">
        <v>232</v>
      </c>
      <c r="D58" s="90"/>
      <c r="E58" s="77" t="str">
        <f t="shared" si="1"/>
        <v/>
      </c>
      <c r="F58" s="32" t="s">
        <v>226</v>
      </c>
    </row>
    <row r="59" spans="2:6">
      <c r="B59" s="54" t="s">
        <v>225</v>
      </c>
      <c r="C59" s="54" t="s">
        <v>232</v>
      </c>
      <c r="D59" s="90"/>
      <c r="E59" s="77" t="str">
        <f t="shared" si="1"/>
        <v/>
      </c>
      <c r="F59" s="32" t="s">
        <v>226</v>
      </c>
    </row>
    <row r="60" spans="2:6">
      <c r="B60" s="54" t="s">
        <v>276</v>
      </c>
      <c r="C60" s="54" t="s">
        <v>182</v>
      </c>
      <c r="D60" s="90" t="s">
        <v>424</v>
      </c>
      <c r="E60" s="77" t="str">
        <f t="shared" si="1"/>
        <v>"[CODE QUALITY RULE] Code MUST be correct and executable but not perfectly clean | " &amp;</v>
      </c>
      <c r="F60" s="32" t="s">
        <v>226</v>
      </c>
    </row>
    <row r="61" spans="2:6">
      <c r="B61" s="54" t="s">
        <v>276</v>
      </c>
      <c r="C61" s="54" t="s">
        <v>402</v>
      </c>
      <c r="D61" s="90" t="s">
        <v>425</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226</v>
      </c>
    </row>
    <row r="62" spans="2:6">
      <c r="B62" s="54" t="s">
        <v>276</v>
      </c>
      <c r="C62" s="54" t="s">
        <v>192</v>
      </c>
      <c r="D62" s="90" t="s">
        <v>426</v>
      </c>
      <c r="E62" s="77" t="str">
        <f t="shared" si="1"/>
        <v>"[DATA ROBUSTNESS RULE] Handle real-world data safely | " &amp;</v>
      </c>
      <c r="F62" s="32" t="s">
        <v>226</v>
      </c>
    </row>
    <row r="63" spans="2:6">
      <c r="B63" s="54" t="s">
        <v>276</v>
      </c>
      <c r="C63" s="54" t="s">
        <v>209</v>
      </c>
      <c r="D63" s="90" t="s">
        <v>285</v>
      </c>
      <c r="E63" s="77" t="str">
        <f t="shared" si="1"/>
        <v>"[FORMAT RULE] Only valid markdown code blocks allowed | " &amp;</v>
      </c>
      <c r="F63" s="32" t="s">
        <v>226</v>
      </c>
    </row>
    <row r="64" spans="2:6">
      <c r="B64" s="54" t="s">
        <v>276</v>
      </c>
      <c r="C64" s="54" t="s">
        <v>211</v>
      </c>
      <c r="D64" s="90" t="s">
        <v>286</v>
      </c>
      <c r="E64" s="77" t="str">
        <f t="shared" si="1"/>
        <v>"[LANGUAGE TAG RULE] ALWAYS label markdown code blocks with the correct underlying programming language (e.g., python, javascript, sql) | " &amp;</v>
      </c>
      <c r="F64" s="32" t="s">
        <v>226</v>
      </c>
    </row>
    <row r="65" spans="2:6">
      <c r="B65" s="54" t="s">
        <v>276</v>
      </c>
      <c r="C65" s="54" t="s">
        <v>176</v>
      </c>
      <c r="D65" s="90" t="s">
        <v>427</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226</v>
      </c>
    </row>
    <row r="66" spans="2:6">
      <c r="B66" s="54" t="s">
        <v>276</v>
      </c>
      <c r="C66" s="54" t="s">
        <v>189</v>
      </c>
      <c r="D66" s="90" t="s">
        <v>428</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226</v>
      </c>
    </row>
    <row r="67" spans="2:6">
      <c r="B67" s="54" t="s">
        <v>276</v>
      </c>
      <c r="C67" s="54" t="s">
        <v>179</v>
      </c>
      <c r="D67" s="90" t="s">
        <v>429</v>
      </c>
      <c r="E67" s="77" t="str">
        <f t="shared" si="1"/>
        <v>"[OUTPUT CONTRACT] EXACTLY 1 project. Structure MUST be: 1. Tech Lead Intro Email 2. Project: Objective (max 6 lines), Expected Output (code block), Dirty Code | " &amp;</v>
      </c>
      <c r="F67" s="32" t="s">
        <v>226</v>
      </c>
    </row>
    <row r="68" spans="2:6">
      <c r="B68" s="54" t="s">
        <v>276</v>
      </c>
      <c r="C68" s="54" t="s">
        <v>413</v>
      </c>
      <c r="D68" s="90" t="s">
        <v>430</v>
      </c>
      <c r="E68" s="77" t="str">
        <f t="shared" si="1"/>
        <v>"[REVIEW INTENT RULE] The user is expected to review and refactor the project to improve structure, readability, and maintainability | " &amp;</v>
      </c>
      <c r="F68" s="32" t="s">
        <v>226</v>
      </c>
    </row>
    <row r="69" spans="2:6">
      <c r="B69" s="54" t="s">
        <v>276</v>
      </c>
      <c r="C69" s="54" t="s">
        <v>180</v>
      </c>
      <c r="D69" s="90" t="s">
        <v>431</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226</v>
      </c>
    </row>
    <row r="70" spans="2:6">
      <c r="B70" s="54" t="s">
        <v>276</v>
      </c>
      <c r="C70" s="54" t="s">
        <v>196</v>
      </c>
      <c r="D70" s="90" t="s">
        <v>432</v>
      </c>
      <c r="E70" s="77" t="str">
        <f t="shared" si="1"/>
        <v>"[SUPPORT FILES RULE] Include config files before code if needed | " &amp;</v>
      </c>
      <c r="F70" s="32" t="s">
        <v>226</v>
      </c>
    </row>
    <row r="71" spans="2:6">
      <c r="B71" s="54" t="s">
        <v>276</v>
      </c>
      <c r="C71" s="54" t="s">
        <v>264</v>
      </c>
      <c r="D71" s="90" t="s">
        <v>433</v>
      </c>
      <c r="E71" s="77" t="str">
        <f t="shared" si="1"/>
        <v>"[EXECUTION RULE] Code MUST run and produce correct output | " &amp;</v>
      </c>
      <c r="F71" s="32" t="s">
        <v>226</v>
      </c>
    </row>
    <row r="72" spans="2:6">
      <c r="B72" s="54" t="s">
        <v>276</v>
      </c>
      <c r="C72" s="54" t="s">
        <v>214</v>
      </c>
      <c r="D72" s="90" t="s">
        <v>434</v>
      </c>
      <c r="E72" s="77" t="str">
        <f t="shared" si="1"/>
        <v>"[CONSISTENCY RULE] Project must match objective | " &amp;</v>
      </c>
      <c r="F72" s="32" t="s">
        <v>226</v>
      </c>
    </row>
    <row r="73" spans="2:6">
      <c r="B73" s="54" t="s">
        <v>276</v>
      </c>
      <c r="C73" s="54" t="s">
        <v>218</v>
      </c>
      <c r="D73" s="90" t="s">
        <v>435</v>
      </c>
      <c r="E73" s="77" t="str">
        <f t="shared" si="1"/>
        <v>"[OUTPUT] Only header, dataset summary or statement (if any), intro email, objective, expected output, code, and footer | " &amp;</v>
      </c>
      <c r="F73" s="32" t="s">
        <v>226</v>
      </c>
    </row>
    <row r="74" spans="2:6">
      <c r="B74" s="54" t="s">
        <v>276</v>
      </c>
      <c r="C74" s="54" t="s">
        <v>222</v>
      </c>
      <c r="D74" s="90" t="s">
        <v>386</v>
      </c>
      <c r="E74" s="77" t="str">
        <f t="shared" si="1"/>
        <v>"[FOOTER RULE - STRICT] End your entire response EXACTLY with this markdown string (ensure all code blocks are closed before it):" &amp; CHAR(10) &amp; "---" &amp; CHAR(10) &amp; "⚡ *Coding5s System - Learn Programming by Writing Code - Coding5S.com*")</v>
      </c>
      <c r="F74" s="32" t="s">
        <v>226</v>
      </c>
    </row>
    <row r="75" spans="2:6">
      <c r="B75" s="54"/>
      <c r="C75" s="54"/>
      <c r="D75" s="90"/>
      <c r="E75" s="77" t="str">
        <f t="shared" si="1"/>
        <v/>
      </c>
      <c r="F75" s="32" t="s">
        <v>226</v>
      </c>
    </row>
    <row r="76" spans="2:6">
      <c r="B76" s="54"/>
      <c r="C76" s="54"/>
      <c r="D76" s="90"/>
      <c r="E76" s="77" t="str">
        <f t="shared" si="1"/>
        <v/>
      </c>
      <c r="F76" s="32" t="s">
        <v>226</v>
      </c>
    </row>
    <row r="77" spans="2:6">
      <c r="E77" s="86"/>
      <c r="F77" t="s">
        <v>226</v>
      </c>
    </row>
    <row r="79" spans="2:6" ht="36">
      <c r="B79" s="80" t="s">
        <v>446</v>
      </c>
    </row>
    <row r="80" spans="2:6">
      <c r="B80" s="76" t="s">
        <v>223</v>
      </c>
      <c r="C80" s="76" t="s">
        <v>588</v>
      </c>
      <c r="D80" s="76" t="s">
        <v>589</v>
      </c>
      <c r="E80" s="89" t="s">
        <v>237</v>
      </c>
      <c r="F80" s="54" t="s">
        <v>226</v>
      </c>
    </row>
    <row r="81" spans="2:6">
      <c r="B81" s="54" t="s">
        <v>224</v>
      </c>
      <c r="C81" s="54" t="s">
        <v>436</v>
      </c>
      <c r="D81" s="90" t="s">
        <v>437</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226</v>
      </c>
    </row>
    <row r="82" spans="2:6">
      <c r="B82" s="54" t="s">
        <v>224</v>
      </c>
      <c r="C82" s="54" t="s">
        <v>239</v>
      </c>
      <c r="D82" s="90" t="s">
        <v>438</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226</v>
      </c>
    </row>
    <row r="83" spans="2:6">
      <c r="B83" s="54" t="s">
        <v>224</v>
      </c>
      <c r="C83" s="54" t="s">
        <v>240</v>
      </c>
      <c r="D83" s="90" t="s">
        <v>439</v>
      </c>
      <c r="E83" s="17" t="str">
        <f t="shared" si="2"/>
        <v>"[CONTEXT] You are performing a Code Review for a " &amp; IF(UPPER(H9)="PROJECT", "PROJECT: " &amp; I9 &amp; ". Topics involved: " &amp; B9 &amp; ". Project objective: " &amp; J9, "TOPIC: " &amp; I9 &amp; ". Topic details: " &amp; J9) &amp; " | " &amp;</v>
      </c>
      <c r="F83" s="54" t="s">
        <v>226</v>
      </c>
    </row>
    <row r="84" spans="2:6">
      <c r="B84" s="54" t="s">
        <v>224</v>
      </c>
      <c r="C84" s="54" t="s">
        <v>164</v>
      </c>
      <c r="D84" s="90" t="s">
        <v>440</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226</v>
      </c>
    </row>
    <row r="85" spans="2:6">
      <c r="B85" s="54" t="s">
        <v>224</v>
      </c>
      <c r="C85" s="54" t="s">
        <v>231</v>
      </c>
      <c r="D85" s="90" t="s">
        <v>272</v>
      </c>
      <c r="E85" s="17" t="str">
        <f t="shared" si="2"/>
        <v>"[LIBRARY BEING LEARNED] " &amp; $I$3 &amp; " | " &amp;</v>
      </c>
      <c r="F85" s="54" t="s">
        <v>226</v>
      </c>
    </row>
    <row r="86" spans="2:6">
      <c r="B86" s="54" t="s">
        <v>224</v>
      </c>
      <c r="C86" s="54" t="s">
        <v>174</v>
      </c>
      <c r="D86" s="90" t="s">
        <v>259</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226</v>
      </c>
    </row>
    <row r="87" spans="2:6">
      <c r="B87" s="54" t="s">
        <v>224</v>
      </c>
      <c r="C87" s="54" t="s">
        <v>500</v>
      </c>
      <c r="D87" s="90" t="s">
        <v>492</v>
      </c>
      <c r="E87" s="17" t="str">
        <f t="shared" si="2"/>
        <v>"[LANGUAGE SEED CONTEXT] " &amp; IF($AE$7 = "", "Language Seed Not Necessary", "You MUST strictly follow this seed context to enhance, adapt, and naturalize your tone, vocabulary, and instructional quality in " &amp; $B$6 &amp; ": " &amp; $AE$7) &amp; " | " &amp;</v>
      </c>
      <c r="F87" s="54" t="s">
        <v>226</v>
      </c>
    </row>
    <row r="88" spans="2:6">
      <c r="B88" s="54" t="s">
        <v>224</v>
      </c>
      <c r="C88" s="54" t="s">
        <v>217</v>
      </c>
      <c r="D88" s="90" t="s">
        <v>601</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226</v>
      </c>
    </row>
    <row r="89" spans="2:6">
      <c r="B89" s="54" t="s">
        <v>225</v>
      </c>
      <c r="C89" s="54" t="s">
        <v>232</v>
      </c>
      <c r="D89" s="90"/>
      <c r="E89" s="17" t="str">
        <f t="shared" si="2"/>
        <v/>
      </c>
      <c r="F89" s="54" t="s">
        <v>226</v>
      </c>
    </row>
    <row r="90" spans="2:6">
      <c r="B90" s="54" t="s">
        <v>225</v>
      </c>
      <c r="C90" s="54" t="s">
        <v>232</v>
      </c>
      <c r="D90" s="90"/>
      <c r="E90" s="17" t="str">
        <f t="shared" si="2"/>
        <v/>
      </c>
      <c r="F90" s="54" t="s">
        <v>226</v>
      </c>
    </row>
    <row r="91" spans="2:6">
      <c r="B91" s="54" t="s">
        <v>225</v>
      </c>
      <c r="C91" s="54" t="s">
        <v>246</v>
      </c>
      <c r="D91" s="90" t="str">
        <f>Variables!E58 &amp; " | " &amp; CHAR(34) &amp; " &amp;"</f>
        <v>Code MUST adhere strictly to Effective Dart style guidelines. Use camelCase for variables/functions/members, PascalCase for classes, snake_case for files. Avoid global state; emphasize strict typing, encapsulation, and sound async architectures. | " &amp;</v>
      </c>
      <c r="E91" s="17" t="str">
        <f t="shared" si="2"/>
        <v>"[PYTHON QUALITY RULE - STRICT] Code MUST adhere strictly to Effective Dart style guidelines. Use camelCase for variables/functions/members, PascalCase for classes, snake_case for files. Avoid global state; emphasize strict typing, encapsulation, and sound async architectures. | " &amp;</v>
      </c>
      <c r="F91" s="54" t="s">
        <v>226</v>
      </c>
    </row>
    <row r="92" spans="2:6">
      <c r="B92" s="54" t="s">
        <v>276</v>
      </c>
      <c r="C92" s="54" t="s">
        <v>241</v>
      </c>
      <c r="D92" s="90" t="s">
        <v>441</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226</v>
      </c>
    </row>
    <row r="93" spans="2:6">
      <c r="B93" s="54" t="s">
        <v>276</v>
      </c>
      <c r="C93" s="54" t="s">
        <v>243</v>
      </c>
      <c r="D93" s="90" t="s">
        <v>442</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226</v>
      </c>
    </row>
    <row r="94" spans="2:6">
      <c r="B94" s="54" t="s">
        <v>276</v>
      </c>
      <c r="C94" s="54" t="s">
        <v>244</v>
      </c>
      <c r="D94" s="90" t="s">
        <v>443</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226</v>
      </c>
    </row>
    <row r="95" spans="2:6">
      <c r="B95" s="54" t="s">
        <v>276</v>
      </c>
      <c r="C95" s="54" t="s">
        <v>247</v>
      </c>
      <c r="D95" s="90" t="s">
        <v>444</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226</v>
      </c>
    </row>
    <row r="96" spans="2:6">
      <c r="B96" s="54" t="s">
        <v>276</v>
      </c>
      <c r="C96" s="54" t="s">
        <v>335</v>
      </c>
      <c r="D96" s="90" t="s">
        <v>509</v>
      </c>
      <c r="E96" s="17" t="str">
        <f t="shared" si="2"/>
        <v>"[FOOTER RULE] End your response with: '--- ⚡ *Coding5s Mentor System — Eliminating Technical Debt with Elegance*'",</v>
      </c>
      <c r="F96" s="54" t="s">
        <v>226</v>
      </c>
    </row>
    <row r="97" spans="2:6">
      <c r="B97" s="54"/>
      <c r="C97" s="54"/>
      <c r="D97" s="90"/>
      <c r="E97" s="88" t="s">
        <v>445</v>
      </c>
      <c r="F97" s="54" t="s">
        <v>226</v>
      </c>
    </row>
    <row r="98" spans="2:6">
      <c r="B98" s="54"/>
      <c r="C98" s="54"/>
      <c r="D98" s="90"/>
      <c r="E98" s="77" t="str">
        <f t="shared" ref="E98:E100" si="3">IF(D98="","",""""&amp;C98&amp;" "&amp;IF(C98="[FOOTER RULE - STRICT]",D98,IF(RIGHT(D98,6)=" | "&amp;CHAR(34)&amp;" &amp;",D98,D98&amp;" | "&amp;CHAR(34)&amp;" &amp;")))</f>
        <v/>
      </c>
      <c r="F98" s="54" t="s">
        <v>226</v>
      </c>
    </row>
    <row r="99" spans="2:6">
      <c r="B99" s="54"/>
      <c r="C99" s="54"/>
      <c r="D99" s="90"/>
      <c r="E99" s="77" t="str">
        <f t="shared" si="3"/>
        <v/>
      </c>
      <c r="F99" s="54" t="s">
        <v>226</v>
      </c>
    </row>
    <row r="100" spans="2:6">
      <c r="B100" s="54"/>
      <c r="C100" s="54"/>
      <c r="D100" s="90"/>
      <c r="E100" s="77" t="str">
        <f t="shared" si="3"/>
        <v/>
      </c>
      <c r="F100" s="54" t="s">
        <v>226</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9"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457</v>
      </c>
      <c r="D2" s="81" t="s">
        <v>458</v>
      </c>
      <c r="H2" s="82"/>
      <c r="T2" s="82"/>
    </row>
    <row r="3" spans="2:29">
      <c r="B3" s="76" t="s">
        <v>223</v>
      </c>
      <c r="C3" s="76" t="s">
        <v>588</v>
      </c>
      <c r="D3" s="76" t="s">
        <v>589</v>
      </c>
      <c r="E3" s="88" t="s">
        <v>230</v>
      </c>
      <c r="F3" s="4" t="s">
        <v>226</v>
      </c>
      <c r="AC3" t="s">
        <v>226</v>
      </c>
    </row>
    <row r="4" spans="2:29">
      <c r="B4" s="75" t="s">
        <v>224</v>
      </c>
      <c r="C4" s="54" t="s">
        <v>162</v>
      </c>
      <c r="D4" s="91" t="s">
        <v>461</v>
      </c>
      <c r="E4" s="77" t="str">
        <f t="shared" ref="E4:E41" si="0">IF(D4="","",""""&amp;C4&amp;" "&amp;IF(C4="[FOOTER RULE - STRICT]",D4,IF(RIGHT(D4,6)=" | "&amp;CHAR(34)&amp;" &amp;",D4,D4&amp;" | "&amp;CHAR(34)&amp;" &amp;")))</f>
        <v>"[ROLE] Tech Product Manager assigning a " &amp; $I$2 &amp; " Jira Ticket | " &amp;</v>
      </c>
      <c r="F4" s="54" t="s">
        <v>226</v>
      </c>
    </row>
    <row r="5" spans="2:29">
      <c r="B5" s="75" t="s">
        <v>224</v>
      </c>
      <c r="C5" s="54" t="s">
        <v>164</v>
      </c>
      <c r="D5" s="91" t="s">
        <v>462</v>
      </c>
      <c r="E5" s="77" t="str">
        <f t="shared" si="0"/>
        <v>"[TASK] Provide a guided implementation exercise with full solution for learning purposes | " &amp;</v>
      </c>
      <c r="F5" s="54" t="s">
        <v>226</v>
      </c>
    </row>
    <row r="6" spans="2:29">
      <c r="B6" s="75" t="s">
        <v>224</v>
      </c>
      <c r="C6" s="54" t="s">
        <v>166</v>
      </c>
      <c r="D6" s="91" t="s">
        <v>167</v>
      </c>
      <c r="E6" s="77" t="str">
        <f t="shared" si="0"/>
        <v>"[TOPIC] " &amp; I9 &amp; " | " &amp;</v>
      </c>
      <c r="F6" s="54" t="s">
        <v>226</v>
      </c>
    </row>
    <row r="7" spans="2:29">
      <c r="B7" s="75" t="s">
        <v>224</v>
      </c>
      <c r="C7" s="54" t="s">
        <v>168</v>
      </c>
      <c r="D7" s="91" t="s">
        <v>169</v>
      </c>
      <c r="E7" s="77" t="str">
        <f t="shared" si="0"/>
        <v>"[LEVEL] " &amp; G9 &amp; " | " &amp;</v>
      </c>
      <c r="F7" s="54" t="s">
        <v>226</v>
      </c>
    </row>
    <row r="8" spans="2:29">
      <c r="B8" s="75" t="s">
        <v>224</v>
      </c>
      <c r="C8" s="54" t="s">
        <v>231</v>
      </c>
      <c r="D8" s="91" t="s">
        <v>272</v>
      </c>
      <c r="E8" s="77" t="str">
        <f t="shared" si="0"/>
        <v>"[LIBRARY BEING LEARNED] " &amp; $I$3 &amp; " | " &amp;</v>
      </c>
      <c r="F8" s="54" t="s">
        <v>226</v>
      </c>
    </row>
    <row r="9" spans="2:29">
      <c r="B9" s="75" t="s">
        <v>224</v>
      </c>
      <c r="C9" s="54" t="s">
        <v>227</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v>
      </c>
      <c r="E9" s="77" t="str">
        <f t="shared" si="0"/>
        <v>"[ECOSYSTEM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v>
      </c>
      <c r="F9" s="54" t="s">
        <v>226</v>
      </c>
    </row>
    <row r="10" spans="2:29">
      <c r="B10" s="75" t="s">
        <v>224</v>
      </c>
      <c r="C10" s="54" t="s">
        <v>172</v>
      </c>
      <c r="D10" s="91" t="s">
        <v>463</v>
      </c>
      <c r="E10" s="77" t="str">
        <f t="shared" si="0"/>
        <v>"[PERSONA RULE] Act as a professional Tech Product Manager writing clear Jira tickets | " &amp;</v>
      </c>
      <c r="F10" s="54" t="s">
        <v>226</v>
      </c>
    </row>
    <row r="11" spans="2:29">
      <c r="B11" s="75" t="s">
        <v>224</v>
      </c>
      <c r="C11" s="54" t="s">
        <v>174</v>
      </c>
      <c r="D11" s="91" t="s">
        <v>400</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226</v>
      </c>
    </row>
    <row r="12" spans="2:29">
      <c r="B12" s="75" t="s">
        <v>224</v>
      </c>
      <c r="C12" s="54" t="s">
        <v>500</v>
      </c>
      <c r="D12" s="91" t="s">
        <v>492</v>
      </c>
      <c r="E12" s="77" t="str">
        <f t="shared" si="0"/>
        <v>"[LANGUAGE SEED CONTEXT] " &amp; IF($AE$7 = "", "Language Seed Not Necessary", "You MUST strictly follow this seed context to enhance, adapt, and naturalize your tone, vocabulary, and instructional quality in " &amp; $B$6 &amp; ": " &amp; $AE$7) &amp; " | " &amp;</v>
      </c>
      <c r="F12" s="54" t="s">
        <v>226</v>
      </c>
    </row>
    <row r="13" spans="2:29">
      <c r="B13" s="75" t="s">
        <v>224</v>
      </c>
      <c r="C13" s="54" t="s">
        <v>217</v>
      </c>
      <c r="D13" s="91" t="s">
        <v>602</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226</v>
      </c>
    </row>
    <row r="14" spans="2:29">
      <c r="B14" s="83" t="s">
        <v>225</v>
      </c>
      <c r="C14" s="54" t="s">
        <v>232</v>
      </c>
      <c r="D14" s="91"/>
      <c r="E14" s="77" t="str">
        <f t="shared" si="0"/>
        <v/>
      </c>
      <c r="F14" s="54" t="s">
        <v>226</v>
      </c>
    </row>
    <row r="15" spans="2:29">
      <c r="B15" s="83" t="s">
        <v>225</v>
      </c>
      <c r="C15" s="54" t="s">
        <v>232</v>
      </c>
      <c r="D15" s="91"/>
      <c r="E15" s="77" t="str">
        <f t="shared" si="0"/>
        <v/>
      </c>
      <c r="F15" s="54" t="s">
        <v>226</v>
      </c>
    </row>
    <row r="16" spans="2:29">
      <c r="B16" s="54" t="s">
        <v>276</v>
      </c>
      <c r="C16" s="54" t="s">
        <v>692</v>
      </c>
      <c r="D16" s="91" t="s">
        <v>468</v>
      </c>
      <c r="E16" s="77" t="str">
        <f t="shared" si="0"/>
        <v>"[FUNCTIONAL_STRUCTURE_POLICY] Rule: " &amp; IF(G9="Beginner", "Use simple scripts or minimal functions. ", IF(G9="Intermediate", "Use functions where appropriate. ", "Use modular functions with clear structure. ")) &amp; " | " &amp;</v>
      </c>
      <c r="F16" s="54" t="s">
        <v>226</v>
      </c>
    </row>
    <row r="17" spans="2:6">
      <c r="B17" s="54" t="s">
        <v>276</v>
      </c>
      <c r="C17" s="54" t="s">
        <v>691</v>
      </c>
      <c r="D17" s="91" t="s">
        <v>693</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226</v>
      </c>
    </row>
    <row r="18" spans="2:6">
      <c r="B18" s="54" t="s">
        <v>276</v>
      </c>
      <c r="C18" s="54" t="s">
        <v>182</v>
      </c>
      <c r="D18" s="91" t="s">
        <v>469</v>
      </c>
      <c r="E18" s="77" t="str">
        <f t="shared" si="0"/>
        <v>"[CODE QUALITY RULE] Code MUST be clean, readable, and production-like | " &amp;</v>
      </c>
      <c r="F18" s="54" t="s">
        <v>226</v>
      </c>
    </row>
    <row r="19" spans="2:6">
      <c r="B19" s="54" t="s">
        <v>276</v>
      </c>
      <c r="C19" s="54" t="s">
        <v>190</v>
      </c>
      <c r="D19" s="91" t="s">
        <v>690</v>
      </c>
      <c r="E19" s="77" t="str">
        <f t="shared" si="0"/>
        <v>"[FILE HANDLING RULE] Use correct loaders and enforce encoding='utf-8' and newline=' when applicable or supported by the programming language. | " &amp;</v>
      </c>
      <c r="F19" s="54" t="s">
        <v>226</v>
      </c>
    </row>
    <row r="20" spans="2:6">
      <c r="B20" s="54" t="s">
        <v>276</v>
      </c>
      <c r="C20" s="54" t="s">
        <v>191</v>
      </c>
      <c r="D20" s="91" t="s">
        <v>689</v>
      </c>
      <c r="E20" s="77" t="str">
        <f t="shared" si="0"/>
        <v>"[DATA TYPE RULE] Explicit casting required before calculations if the programming language requires it. | " &amp;</v>
      </c>
      <c r="F20" s="54" t="s">
        <v>226</v>
      </c>
    </row>
    <row r="21" spans="2:6">
      <c r="B21" s="54" t="s">
        <v>276</v>
      </c>
      <c r="C21" s="54" t="s">
        <v>192</v>
      </c>
      <c r="D21" s="91" t="s">
        <v>470</v>
      </c>
      <c r="E21" s="77" t="str">
        <f t="shared" si="0"/>
        <v>"[DATA ROBUSTNESS RULE] Handle missing or malformed data safely | " &amp;</v>
      </c>
      <c r="F21" s="54" t="s">
        <v>226</v>
      </c>
    </row>
    <row r="22" spans="2:6">
      <c r="B22" s="54" t="s">
        <v>276</v>
      </c>
      <c r="C22" s="54" t="s">
        <v>193</v>
      </c>
      <c r="D22" s="91" t="s">
        <v>688</v>
      </c>
      <c r="E22" s="77" t="str">
        <f t="shared" si="0"/>
        <v>"[BOOLEAN HANDLING RULE] Normalize boolean values before comparison if the programming language requires it. | " &amp;</v>
      </c>
      <c r="F22" s="54" t="s">
        <v>226</v>
      </c>
    </row>
    <row r="23" spans="2:6">
      <c r="B23" s="54" t="s">
        <v>276</v>
      </c>
      <c r="C23" s="54" t="s">
        <v>194</v>
      </c>
      <c r="D23" s="91" t="s">
        <v>407</v>
      </c>
      <c r="E23" s="77" t="str">
        <f t="shared" si="0"/>
        <v>"[DATA CONSISTENCY RULE] Respect dataset schema | " &amp;</v>
      </c>
      <c r="F23" s="54" t="s">
        <v>226</v>
      </c>
    </row>
    <row r="24" spans="2:6">
      <c r="B24" s="54" t="s">
        <v>276</v>
      </c>
      <c r="C24" s="54" t="s">
        <v>464</v>
      </c>
      <c r="D24" s="91" t="s">
        <v>465</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226</v>
      </c>
    </row>
    <row r="25" spans="2:6">
      <c r="B25" s="54" t="s">
        <v>276</v>
      </c>
      <c r="C25" s="54" t="s">
        <v>176</v>
      </c>
      <c r="D25" s="91" t="s">
        <v>695</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226</v>
      </c>
    </row>
    <row r="26" spans="2:6">
      <c r="B26" s="54" t="s">
        <v>276</v>
      </c>
      <c r="C26" s="54" t="s">
        <v>177</v>
      </c>
      <c r="D26" s="91" t="s">
        <v>410</v>
      </c>
      <c r="E26" s="77" t="str">
        <f t="shared" si="0"/>
        <v>"[DATA SUMMARY FORMAT RULE] When a dataset is present, you MUST display IMMEDIATELY AFTER THE HEADER: Dataset Summary: - File Type: - Columns / Fields: - Data Types: - Notes: | " &amp;</v>
      </c>
      <c r="F26" s="54" t="s">
        <v>226</v>
      </c>
    </row>
    <row r="27" spans="2:6">
      <c r="B27" s="54" t="s">
        <v>276</v>
      </c>
      <c r="C27" s="54" t="s">
        <v>179</v>
      </c>
      <c r="D27" s="91" t="s">
        <v>499</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226</v>
      </c>
    </row>
    <row r="28" spans="2:6">
      <c r="B28" s="54" t="s">
        <v>276</v>
      </c>
      <c r="C28" s="54" t="s">
        <v>180</v>
      </c>
      <c r="D28" s="91" t="s">
        <v>466</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226</v>
      </c>
    </row>
    <row r="29" spans="2:6">
      <c r="B29" s="54" t="s">
        <v>276</v>
      </c>
      <c r="C29" s="54" t="s">
        <v>304</v>
      </c>
      <c r="D29" s="91" t="s">
        <v>471</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226</v>
      </c>
    </row>
    <row r="30" spans="2:6">
      <c r="B30" s="54" t="s">
        <v>276</v>
      </c>
      <c r="C30" s="54" t="s">
        <v>197</v>
      </c>
      <c r="D30" s="91" t="s">
        <v>417</v>
      </c>
      <c r="E30" s="77" t="str">
        <f t="shared" si="0"/>
        <v>"[DIFFICULTY RULE] Complexity MUST match level | " &amp;</v>
      </c>
      <c r="F30" s="54" t="s">
        <v>226</v>
      </c>
    </row>
    <row r="31" spans="2:6">
      <c r="B31" s="54" t="s">
        <v>276</v>
      </c>
      <c r="C31" s="54" t="s">
        <v>209</v>
      </c>
      <c r="D31" s="91" t="s">
        <v>285</v>
      </c>
      <c r="E31" s="77" t="str">
        <f t="shared" si="0"/>
        <v>"[FORMAT RULE] Only valid markdown code blocks allowed | " &amp;</v>
      </c>
      <c r="F31" s="54" t="s">
        <v>226</v>
      </c>
    </row>
    <row r="32" spans="2:6">
      <c r="B32" s="54" t="s">
        <v>276</v>
      </c>
      <c r="C32" s="54" t="s">
        <v>211</v>
      </c>
      <c r="D32" s="91" t="s">
        <v>286</v>
      </c>
      <c r="E32" s="77" t="str">
        <f t="shared" si="0"/>
        <v>"[LANGUAGE TAG RULE] ALWAYS label markdown code blocks with the correct underlying programming language (e.g., python, javascript, sql) | " &amp;</v>
      </c>
      <c r="F32" s="54" t="s">
        <v>226</v>
      </c>
    </row>
    <row r="33" spans="2:6">
      <c r="B33" s="54" t="s">
        <v>276</v>
      </c>
      <c r="C33" s="54" t="s">
        <v>218</v>
      </c>
      <c r="D33" s="91" t="s">
        <v>472</v>
      </c>
      <c r="E33" s="77" t="str">
        <f t="shared" si="0"/>
        <v>"[OUTPUT] Only header, dataset summary or statement (if any), the defined sections, and footer | " &amp;</v>
      </c>
      <c r="F33" s="54" t="s">
        <v>226</v>
      </c>
    </row>
    <row r="34" spans="2:6">
      <c r="B34" s="54" t="s">
        <v>276</v>
      </c>
      <c r="C34" s="54" t="s">
        <v>222</v>
      </c>
      <c r="D34" s="91" t="s">
        <v>473</v>
      </c>
      <c r="E34" s="77" t="str">
        <f t="shared" si="0"/>
        <v>"[FOOTER RULE - STRICT] End your entire response EXACTLY with this markdown string (ensure all code blocks are closed before it):" &amp; CHAR(10) &amp; "---" &amp; CHAR(10) &amp; "⚡ *Coding5s System — Learn Programming by Writing Code*",</v>
      </c>
      <c r="F34" s="54" t="s">
        <v>226</v>
      </c>
    </row>
    <row r="35" spans="2:6">
      <c r="B35" s="54"/>
      <c r="C35" s="54"/>
      <c r="D35" s="91"/>
      <c r="E35" s="88" t="s">
        <v>474</v>
      </c>
      <c r="F35" s="54" t="s">
        <v>226</v>
      </c>
    </row>
    <row r="36" spans="2:6">
      <c r="B36" s="54"/>
      <c r="C36" s="54"/>
      <c r="D36" s="91"/>
      <c r="E36" s="77" t="str">
        <f t="shared" si="0"/>
        <v/>
      </c>
      <c r="F36" s="54" t="s">
        <v>226</v>
      </c>
    </row>
    <row r="37" spans="2:6">
      <c r="B37" s="54"/>
      <c r="C37" s="54"/>
      <c r="D37" s="91"/>
      <c r="E37" s="77" t="str">
        <f t="shared" si="0"/>
        <v/>
      </c>
      <c r="F37" s="54" t="s">
        <v>226</v>
      </c>
    </row>
    <row r="38" spans="2:6">
      <c r="B38" s="54"/>
      <c r="C38" s="54"/>
      <c r="D38" s="91"/>
      <c r="E38" s="77" t="str">
        <f t="shared" si="0"/>
        <v/>
      </c>
      <c r="F38" s="54" t="s">
        <v>226</v>
      </c>
    </row>
    <row r="39" spans="2:6">
      <c r="B39" s="54"/>
      <c r="C39" s="54"/>
      <c r="D39" s="91"/>
      <c r="E39" s="77" t="str">
        <f t="shared" si="0"/>
        <v/>
      </c>
      <c r="F39" s="54" t="s">
        <v>226</v>
      </c>
    </row>
    <row r="40" spans="2:6">
      <c r="B40" s="54"/>
      <c r="C40" s="54"/>
      <c r="D40" s="91"/>
      <c r="E40" s="77" t="str">
        <f t="shared" si="0"/>
        <v/>
      </c>
      <c r="F40" s="54" t="s">
        <v>226</v>
      </c>
    </row>
    <row r="41" spans="2:6">
      <c r="B41" s="54"/>
      <c r="C41" s="54"/>
      <c r="D41" s="91"/>
      <c r="E41" s="77" t="str">
        <f t="shared" si="0"/>
        <v/>
      </c>
      <c r="F41" s="54" t="s">
        <v>226</v>
      </c>
    </row>
    <row r="42" spans="2:6">
      <c r="B42" s="54"/>
      <c r="C42" s="54"/>
      <c r="D42" s="91"/>
      <c r="E42" s="77"/>
      <c r="F42" s="54"/>
    </row>
    <row r="43" spans="2:6">
      <c r="B43" s="74"/>
      <c r="C43" s="74"/>
      <c r="E43" s="86"/>
    </row>
    <row r="44" spans="2:6">
      <c r="B44" s="74"/>
      <c r="C44" s="74"/>
      <c r="E44" s="86"/>
    </row>
    <row r="45" spans="2:6" ht="36">
      <c r="B45" s="79" t="s">
        <v>459</v>
      </c>
      <c r="C45" s="74"/>
      <c r="E45" s="86"/>
    </row>
    <row r="46" spans="2:6">
      <c r="B46" s="76" t="s">
        <v>269</v>
      </c>
      <c r="C46" s="76" t="s">
        <v>588</v>
      </c>
      <c r="D46" s="76" t="s">
        <v>589</v>
      </c>
      <c r="E46" s="88" t="s">
        <v>270</v>
      </c>
      <c r="F46" s="32" t="s">
        <v>226</v>
      </c>
    </row>
    <row r="47" spans="2:6">
      <c r="B47" s="54" t="s">
        <v>224</v>
      </c>
      <c r="C47" s="54" t="s">
        <v>162</v>
      </c>
      <c r="D47" s="91" t="s">
        <v>461</v>
      </c>
      <c r="E47" s="77" t="str">
        <f>IF(D47="","",""""&amp;C47&amp;" "&amp;IF(C47="[FOOTER RULE - STRICT]",D47,IF(RIGHT(D47,6)=" | "&amp;CHAR(34)&amp;" &amp;",D47,D47&amp;" | "&amp;CHAR(34)&amp;" &amp;")))</f>
        <v>"[ROLE] Tech Product Manager assigning a " &amp; $I$2 &amp; " Jira Ticket | " &amp;</v>
      </c>
      <c r="F47" s="32" t="s">
        <v>226</v>
      </c>
    </row>
    <row r="48" spans="2:6">
      <c r="B48" s="54" t="s">
        <v>224</v>
      </c>
      <c r="C48" s="54" t="s">
        <v>164</v>
      </c>
      <c r="D48" s="91" t="s">
        <v>475</v>
      </c>
      <c r="E48" s="77" t="str">
        <f t="shared" ref="E48:E76" si="1">IF(D48="","",""""&amp;C48&amp;" "&amp;IF(C48="[FOOTER RULE - STRICT]",D48,IF(RIGHT(D48,6)=" | "&amp;CHAR(34)&amp;" &amp;",D48,D48&amp;" | "&amp;CHAR(34)&amp;" &amp;")))</f>
        <v>"[TASK] Provide a guided project implementation with full solution | " &amp;</v>
      </c>
      <c r="F48" s="32" t="s">
        <v>226</v>
      </c>
    </row>
    <row r="49" spans="2:6">
      <c r="B49" s="54" t="s">
        <v>224</v>
      </c>
      <c r="C49" s="54" t="s">
        <v>318</v>
      </c>
      <c r="D49" s="91" t="s">
        <v>167</v>
      </c>
      <c r="E49" s="77" t="str">
        <f t="shared" si="1"/>
        <v>"[PROJECT] " &amp; I9 &amp; " | " &amp;</v>
      </c>
      <c r="F49" s="32" t="s">
        <v>226</v>
      </c>
    </row>
    <row r="50" spans="2:6">
      <c r="B50" s="54" t="s">
        <v>224</v>
      </c>
      <c r="C50" s="54" t="s">
        <v>257</v>
      </c>
      <c r="D50" s="91" t="s">
        <v>258</v>
      </c>
      <c r="E50" s="77" t="str">
        <f t="shared" si="1"/>
        <v>"[TOPICS USED] " &amp; B9 &amp; " | " &amp;</v>
      </c>
      <c r="F50" s="32" t="s">
        <v>226</v>
      </c>
    </row>
    <row r="51" spans="2:6">
      <c r="B51" s="54" t="s">
        <v>224</v>
      </c>
      <c r="C51" s="54" t="s">
        <v>168</v>
      </c>
      <c r="D51" s="91" t="s">
        <v>169</v>
      </c>
      <c r="E51" s="77" t="str">
        <f t="shared" si="1"/>
        <v>"[LEVEL] " &amp; G9 &amp; " | " &amp;</v>
      </c>
      <c r="F51" s="32" t="s">
        <v>226</v>
      </c>
    </row>
    <row r="52" spans="2:6">
      <c r="B52" s="54" t="s">
        <v>224</v>
      </c>
      <c r="C52" s="54" t="s">
        <v>172</v>
      </c>
      <c r="D52" s="91" t="s">
        <v>476</v>
      </c>
      <c r="E52" s="77" t="str">
        <f t="shared" si="1"/>
        <v>"[PERSONA RULE] Act as a professional Tech Product Manager defining a project ticket | " &amp;</v>
      </c>
      <c r="F52" s="32" t="s">
        <v>226</v>
      </c>
    </row>
    <row r="53" spans="2:6">
      <c r="B53" s="54" t="s">
        <v>224</v>
      </c>
      <c r="C53" s="54" t="s">
        <v>231</v>
      </c>
      <c r="D53" s="91" t="s">
        <v>272</v>
      </c>
      <c r="E53" s="77" t="str">
        <f t="shared" si="1"/>
        <v>"[LIBRARY BEING LEARNED] " &amp; $I$3 &amp; " | " &amp;</v>
      </c>
      <c r="F53" s="32" t="s">
        <v>226</v>
      </c>
    </row>
    <row r="54" spans="2:6">
      <c r="B54" s="54" t="s">
        <v>224</v>
      </c>
      <c r="C54" s="54" t="s">
        <v>227</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v>
      </c>
      <c r="E54" s="77" t="str">
        <f t="shared" si="1"/>
        <v>"[ECOSYSTEM ORIENTATION RULE] If a module or ecosystem like Isolates, Streams, StreamController, or Future concurrency models combined with class-based state encapsulation and sealed class hierarchies is specified in , you are CRITICALLY FORBIDDEN from using manual Isolate.spawn without proper ReceivePort/SendPort error handling &amp; cleanup, or mutable shared state across isolates. You MUST enforce the Async programming with Futures/Streams, state management via encapsulated class instances, isolates, or immutable data structures and data structures of that specific library. | " &amp;</v>
      </c>
      <c r="F54" s="32" t="s">
        <v>226</v>
      </c>
    </row>
    <row r="55" spans="2:6">
      <c r="B55" s="54" t="s">
        <v>224</v>
      </c>
      <c r="C55" s="54" t="s">
        <v>217</v>
      </c>
      <c r="D55" s="91" t="s">
        <v>603</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226</v>
      </c>
    </row>
    <row r="56" spans="2:6">
      <c r="B56" s="54" t="s">
        <v>224</v>
      </c>
      <c r="C56" s="54" t="s">
        <v>174</v>
      </c>
      <c r="D56" s="91" t="s">
        <v>477</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226</v>
      </c>
    </row>
    <row r="57" spans="2:6">
      <c r="B57" s="54" t="s">
        <v>224</v>
      </c>
      <c r="C57" s="54" t="s">
        <v>500</v>
      </c>
      <c r="D57" s="91" t="s">
        <v>492</v>
      </c>
      <c r="E57" s="77" t="str">
        <f t="shared" si="1"/>
        <v>"[LANGUAGE SEED CONTEXT] " &amp; IF($AE$7 = "", "Language Seed Not Necessary", "You MUST strictly follow this seed context to enhance, adapt, and naturalize your tone, vocabulary, and instructional quality in " &amp; $B$6 &amp; ": " &amp; $AE$7) &amp; " | " &amp;</v>
      </c>
      <c r="F57" s="32" t="s">
        <v>226</v>
      </c>
    </row>
    <row r="58" spans="2:6">
      <c r="B58" s="54" t="s">
        <v>225</v>
      </c>
      <c r="C58" s="54" t="s">
        <v>232</v>
      </c>
      <c r="D58" s="91"/>
      <c r="E58" s="77" t="str">
        <f t="shared" si="1"/>
        <v/>
      </c>
      <c r="F58" s="32" t="s">
        <v>226</v>
      </c>
    </row>
    <row r="59" spans="2:6">
      <c r="B59" s="54" t="s">
        <v>225</v>
      </c>
      <c r="C59" s="54" t="s">
        <v>232</v>
      </c>
      <c r="D59" s="91"/>
      <c r="E59" s="77" t="str">
        <f t="shared" si="1"/>
        <v/>
      </c>
      <c r="F59" s="32" t="s">
        <v>226</v>
      </c>
    </row>
    <row r="60" spans="2:6">
      <c r="B60" s="54" t="s">
        <v>276</v>
      </c>
      <c r="C60" s="54" t="s">
        <v>180</v>
      </c>
      <c r="D60" s="91" t="s">
        <v>694</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226</v>
      </c>
    </row>
    <row r="61" spans="2:6">
      <c r="B61" s="54" t="s">
        <v>276</v>
      </c>
      <c r="C61" s="54" t="s">
        <v>467</v>
      </c>
      <c r="D61" s="91" t="s">
        <v>478</v>
      </c>
      <c r="E61" s="77" t="str">
        <f t="shared" si="1"/>
        <v>"[CRITICAL OUTPUT RULE] Output MUST match real execution - Convert sets to sorted lists before printing | " &amp;</v>
      </c>
      <c r="F61" s="32" t="s">
        <v>226</v>
      </c>
    </row>
    <row r="62" spans="2:6">
      <c r="B62" s="54" t="s">
        <v>276</v>
      </c>
      <c r="C62" s="54" t="s">
        <v>181</v>
      </c>
      <c r="D62" s="91" t="s">
        <v>479</v>
      </c>
      <c r="E62" s="77" t="str">
        <f t="shared" si="1"/>
        <v>"[FUNCTION RULE] " &amp; IF(G9="Beginner", "Avoid complex structure. ", IF(G9="Intermediate", "Functions optional. ", "Use structured modular functions. ")) &amp; " | " &amp;</v>
      </c>
      <c r="F62" s="32" t="s">
        <v>226</v>
      </c>
    </row>
    <row r="63" spans="2:6">
      <c r="B63" s="54" t="s">
        <v>276</v>
      </c>
      <c r="C63" s="54" t="s">
        <v>464</v>
      </c>
      <c r="D63" s="91" t="s">
        <v>480</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226</v>
      </c>
    </row>
    <row r="64" spans="2:6">
      <c r="B64" s="54" t="s">
        <v>276</v>
      </c>
      <c r="C64" s="54" t="s">
        <v>176</v>
      </c>
      <c r="D64" s="91" t="s">
        <v>481</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226</v>
      </c>
    </row>
    <row r="65" spans="2:6">
      <c r="B65" s="54" t="s">
        <v>276</v>
      </c>
      <c r="C65" s="54" t="s">
        <v>179</v>
      </c>
      <c r="D65" s="91" t="s">
        <v>482</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226</v>
      </c>
    </row>
    <row r="66" spans="2:6">
      <c r="B66" s="54" t="s">
        <v>276</v>
      </c>
      <c r="C66" s="54" t="s">
        <v>182</v>
      </c>
      <c r="D66" s="91" t="s">
        <v>483</v>
      </c>
      <c r="E66" s="77" t="str">
        <f t="shared" si="1"/>
        <v>"[CODE QUALITY RULE] Code MUST be clean and realistic | " &amp;</v>
      </c>
      <c r="F66" s="32" t="s">
        <v>226</v>
      </c>
    </row>
    <row r="67" spans="2:6">
      <c r="B67" s="54" t="s">
        <v>276</v>
      </c>
      <c r="C67" s="54" t="s">
        <v>192</v>
      </c>
      <c r="D67" s="91" t="s">
        <v>426</v>
      </c>
      <c r="E67" s="77" t="str">
        <f t="shared" si="1"/>
        <v>"[DATA ROBUSTNESS RULE] Handle real-world data safely | " &amp;</v>
      </c>
      <c r="F67" s="32" t="s">
        <v>226</v>
      </c>
    </row>
    <row r="68" spans="2:6">
      <c r="B68" s="54" t="s">
        <v>276</v>
      </c>
      <c r="C68" s="54" t="s">
        <v>209</v>
      </c>
      <c r="D68" s="91" t="s">
        <v>484</v>
      </c>
      <c r="E68" s="77" t="str">
        <f t="shared" si="1"/>
        <v>"[FORMAT RULE] Only markdown code blocks allowed | " &amp;</v>
      </c>
      <c r="F68" s="32" t="s">
        <v>226</v>
      </c>
    </row>
    <row r="69" spans="2:6">
      <c r="B69" s="54" t="s">
        <v>276</v>
      </c>
      <c r="C69" s="54" t="s">
        <v>211</v>
      </c>
      <c r="D69" s="91" t="s">
        <v>286</v>
      </c>
      <c r="E69" s="77" t="str">
        <f t="shared" si="1"/>
        <v>"[LANGUAGE TAG RULE] ALWAYS label markdown code blocks with the correct underlying programming language (e.g., python, javascript, sql) | " &amp;</v>
      </c>
      <c r="F69" s="32" t="s">
        <v>226</v>
      </c>
    </row>
    <row r="70" spans="2:6">
      <c r="B70" s="54" t="s">
        <v>276</v>
      </c>
      <c r="C70" s="54" t="s">
        <v>264</v>
      </c>
      <c r="D70" s="91" t="s">
        <v>485</v>
      </c>
      <c r="E70" s="77" t="str">
        <f t="shared" si="1"/>
        <v>"[EXECUTION RULE] Code MUST run correctly | " &amp;</v>
      </c>
      <c r="F70" s="32" t="s">
        <v>226</v>
      </c>
    </row>
    <row r="71" spans="2:6">
      <c r="B71" s="54" t="s">
        <v>276</v>
      </c>
      <c r="C71" s="54" t="s">
        <v>218</v>
      </c>
      <c r="D71" s="91" t="s">
        <v>486</v>
      </c>
      <c r="E71" s="77" t="str">
        <f t="shared" si="1"/>
        <v>"[OUTPUT] Only header, dataset summary or statement (if any), defined sections, and footer, | " &amp;</v>
      </c>
      <c r="F71" s="32" t="s">
        <v>226</v>
      </c>
    </row>
    <row r="72" spans="2:6">
      <c r="B72" s="54" t="s">
        <v>276</v>
      </c>
      <c r="C72" s="54" t="s">
        <v>222</v>
      </c>
      <c r="D72" s="91" t="s">
        <v>268</v>
      </c>
      <c r="E72" s="77" t="str">
        <f t="shared" si="1"/>
        <v>"[FOOTER RULE - STRICT] End your entire response EXACTLY with this markdown string (ensure all code blocks are closed before it):" &amp; CHAR(10) &amp; "---" &amp; CHAR(10) &amp; "⚡ *Coding5s System — Learn Programming by Writing Code*")</v>
      </c>
      <c r="F72" s="32" t="s">
        <v>226</v>
      </c>
    </row>
    <row r="73" spans="2:6">
      <c r="B73" s="54"/>
      <c r="C73" s="54"/>
      <c r="D73" s="91"/>
      <c r="E73" s="77" t="str">
        <f t="shared" si="1"/>
        <v/>
      </c>
      <c r="F73" s="32" t="s">
        <v>226</v>
      </c>
    </row>
    <row r="74" spans="2:6">
      <c r="B74" s="54"/>
      <c r="C74" s="54"/>
      <c r="D74" s="91"/>
      <c r="E74" s="77" t="str">
        <f t="shared" si="1"/>
        <v/>
      </c>
      <c r="F74" s="32" t="s">
        <v>226</v>
      </c>
    </row>
    <row r="75" spans="2:6">
      <c r="B75" s="54"/>
      <c r="C75" s="54"/>
      <c r="D75" s="91"/>
      <c r="E75" s="77" t="str">
        <f t="shared" si="1"/>
        <v/>
      </c>
      <c r="F75" s="32" t="s">
        <v>226</v>
      </c>
    </row>
    <row r="76" spans="2:6">
      <c r="B76" s="54"/>
      <c r="C76" s="54"/>
      <c r="D76" s="91"/>
      <c r="E76" s="77" t="str">
        <f t="shared" si="1"/>
        <v/>
      </c>
      <c r="F76" s="32" t="s">
        <v>226</v>
      </c>
    </row>
    <row r="77" spans="2:6">
      <c r="E77" s="86"/>
      <c r="F77" t="s">
        <v>226</v>
      </c>
    </row>
    <row r="79" spans="2:6" ht="36">
      <c r="B79" s="80" t="s">
        <v>460</v>
      </c>
    </row>
    <row r="80" spans="2:6">
      <c r="B80" s="76" t="s">
        <v>223</v>
      </c>
      <c r="C80" s="76" t="s">
        <v>588</v>
      </c>
      <c r="D80" s="76" t="s">
        <v>589</v>
      </c>
      <c r="E80" s="89" t="s">
        <v>237</v>
      </c>
      <c r="F80" s="54" t="s">
        <v>226</v>
      </c>
    </row>
    <row r="81" spans="2:6">
      <c r="B81" s="54" t="s">
        <v>224</v>
      </c>
      <c r="C81" s="54" t="s">
        <v>487</v>
      </c>
      <c r="D81" s="91" t="s">
        <v>488</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226</v>
      </c>
    </row>
    <row r="82" spans="2:6">
      <c r="B82" s="54" t="s">
        <v>224</v>
      </c>
      <c r="C82" s="54" t="s">
        <v>239</v>
      </c>
      <c r="D82" s="91" t="s">
        <v>489</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226</v>
      </c>
    </row>
    <row r="83" spans="2:6">
      <c r="B83" s="54" t="s">
        <v>224</v>
      </c>
      <c r="C83" s="54" t="s">
        <v>240</v>
      </c>
      <c r="D83" s="91" t="s">
        <v>490</v>
      </c>
      <c r="E83" s="17" t="str">
        <f t="shared" si="2"/>
        <v>"[CONTEXT] You are reviewing the final implementation of a new feature for a " &amp; IF(UPPER(H9)="PROJECT", "PROJECT: " &amp; I9 &amp; ". Topics integrated: " &amp; B9 &amp; ". Business Goal: " &amp; J9, "TOPIC: " &amp; I9 &amp; ". Goal: " &amp; J9) &amp; " | " &amp;</v>
      </c>
      <c r="F83" s="54" t="s">
        <v>226</v>
      </c>
    </row>
    <row r="84" spans="2:6">
      <c r="B84" s="54" t="s">
        <v>224</v>
      </c>
      <c r="C84" s="54" t="s">
        <v>164</v>
      </c>
      <c r="D84" s="91" t="s">
        <v>491</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226</v>
      </c>
    </row>
    <row r="85" spans="2:6">
      <c r="B85" s="54" t="s">
        <v>224</v>
      </c>
      <c r="C85" s="54" t="s">
        <v>231</v>
      </c>
      <c r="D85" s="91" t="s">
        <v>272</v>
      </c>
      <c r="E85" s="17" t="str">
        <f t="shared" si="2"/>
        <v>"[LIBRARY BEING LEARNED] " &amp; $I$3 &amp; " | " &amp;</v>
      </c>
      <c r="F85" s="54" t="s">
        <v>226</v>
      </c>
    </row>
    <row r="86" spans="2:6">
      <c r="B86" s="54" t="s">
        <v>224</v>
      </c>
      <c r="C86" s="54" t="s">
        <v>174</v>
      </c>
      <c r="D86" s="91" t="s">
        <v>259</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226</v>
      </c>
    </row>
    <row r="87" spans="2:6">
      <c r="B87" s="54" t="s">
        <v>224</v>
      </c>
      <c r="C87" s="54" t="s">
        <v>500</v>
      </c>
      <c r="D87" s="91" t="s">
        <v>492</v>
      </c>
      <c r="E87" s="17" t="str">
        <f t="shared" si="2"/>
        <v>"[LANGUAGE SEED CONTEXT] " &amp; IF($AE$7 = "", "Language Seed Not Necessary", "You MUST strictly follow this seed context to enhance, adapt, and naturalize your tone, vocabulary, and instructional quality in " &amp; $B$6 &amp; ": " &amp; $AE$7) &amp; " | " &amp;</v>
      </c>
      <c r="F87" s="54" t="s">
        <v>226</v>
      </c>
    </row>
    <row r="88" spans="2:6">
      <c r="B88" s="54" t="s">
        <v>224</v>
      </c>
      <c r="C88" s="54" t="s">
        <v>217</v>
      </c>
      <c r="D88" s="91" t="s">
        <v>604</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226</v>
      </c>
    </row>
    <row r="89" spans="2:6">
      <c r="B89" s="54" t="s">
        <v>225</v>
      </c>
      <c r="C89" s="54" t="s">
        <v>232</v>
      </c>
      <c r="D89" s="91"/>
      <c r="E89" s="17" t="str">
        <f t="shared" si="2"/>
        <v/>
      </c>
      <c r="F89" s="54" t="s">
        <v>226</v>
      </c>
    </row>
    <row r="90" spans="2:6">
      <c r="B90" s="54" t="s">
        <v>225</v>
      </c>
      <c r="C90" s="54" t="s">
        <v>686</v>
      </c>
      <c r="D90" s="91" t="str">
        <f>Variables!E59 &amp; " | " &amp; CHAR(34) &amp; " &amp;"</f>
        <v>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 &amp;</v>
      </c>
      <c r="E90" s="17" t="str">
        <f t="shared" si="2"/>
        <v>"[CODE_QUALITY_PROTOCOL] Code MUST adhere strictly to Effective Dart style guidelines. Use camelCase for variables/functions/members, PascalCase for classes, snake_case for files. NEVER leak state globally; enforce Sound Null Safety and private fields. Prioritize modern async/await and robust Stream architectures. | " &amp;</v>
      </c>
      <c r="F90" s="54" t="s">
        <v>226</v>
      </c>
    </row>
    <row r="91" spans="2:6">
      <c r="B91" s="54" t="s">
        <v>276</v>
      </c>
      <c r="C91" s="54" t="s">
        <v>241</v>
      </c>
      <c r="D91" s="91" t="s">
        <v>493</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226</v>
      </c>
    </row>
    <row r="92" spans="2:6">
      <c r="B92" s="54" t="s">
        <v>276</v>
      </c>
      <c r="C92" s="54" t="s">
        <v>243</v>
      </c>
      <c r="D92" s="91" t="s">
        <v>494</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226</v>
      </c>
    </row>
    <row r="93" spans="2:6">
      <c r="B93" s="54" t="s">
        <v>276</v>
      </c>
      <c r="C93" s="54" t="s">
        <v>244</v>
      </c>
      <c r="D93" s="91" t="s">
        <v>495</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226</v>
      </c>
    </row>
    <row r="94" spans="2:6">
      <c r="B94" s="54" t="s">
        <v>276</v>
      </c>
      <c r="C94" s="54" t="s">
        <v>496</v>
      </c>
      <c r="D94" s="91" t="s">
        <v>497</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226</v>
      </c>
    </row>
    <row r="95" spans="2:6">
      <c r="B95" s="54" t="s">
        <v>276</v>
      </c>
      <c r="C95" s="54" t="s">
        <v>335</v>
      </c>
      <c r="D95" s="91" t="s">
        <v>498</v>
      </c>
      <c r="E95" s="17" t="str">
        <f t="shared" si="2"/>
        <v>"[FOOTER RULE] End your response with: '--- ⚡ *Coding5s Mentor System — Eliminating Epistemic Debt &amp; Shipping to Production*'",</v>
      </c>
      <c r="F95" s="54" t="s">
        <v>226</v>
      </c>
    </row>
    <row r="96" spans="2:6">
      <c r="B96" s="54"/>
      <c r="C96" s="54"/>
      <c r="D96" s="91"/>
      <c r="E96" s="89" t="s">
        <v>445</v>
      </c>
      <c r="F96" s="54" t="s">
        <v>226</v>
      </c>
    </row>
    <row r="97" spans="2:6">
      <c r="B97" s="54"/>
      <c r="C97" s="54"/>
      <c r="D97" s="91"/>
      <c r="E97" s="77" t="str">
        <f t="shared" ref="E97:E100" si="3">IF(D97="","",""""&amp;C97&amp;" "&amp;IF(C97="[FOOTER RULE - STRICT]",D97,IF(RIGHT(D97,6)=" | "&amp;CHAR(34)&amp;" &amp;",D97,D97&amp;" | "&amp;CHAR(34)&amp;" &amp;")))</f>
        <v/>
      </c>
      <c r="F97" s="54" t="s">
        <v>226</v>
      </c>
    </row>
    <row r="98" spans="2:6">
      <c r="B98" s="54"/>
      <c r="C98" s="54"/>
      <c r="D98" s="91"/>
      <c r="E98" s="77" t="str">
        <f t="shared" si="3"/>
        <v/>
      </c>
      <c r="F98" s="54" t="s">
        <v>226</v>
      </c>
    </row>
    <row r="99" spans="2:6">
      <c r="B99" s="54"/>
      <c r="C99" s="54"/>
      <c r="D99" s="91"/>
      <c r="E99" s="77" t="str">
        <f t="shared" si="3"/>
        <v/>
      </c>
      <c r="F99" s="54" t="s">
        <v>226</v>
      </c>
    </row>
    <row r="100" spans="2:6">
      <c r="B100" s="54"/>
      <c r="C100" s="54"/>
      <c r="D100" s="91"/>
      <c r="E100" s="77" t="str">
        <f t="shared" si="3"/>
        <v/>
      </c>
      <c r="F100" s="54" t="s">
        <v>226</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559</v>
      </c>
      <c r="C2" t="s">
        <v>530</v>
      </c>
      <c r="D2" t="s">
        <v>25</v>
      </c>
      <c r="E2" t="s">
        <v>560</v>
      </c>
    </row>
    <row r="3" spans="2:5">
      <c r="B3" t="s">
        <v>531</v>
      </c>
      <c r="C3" t="s">
        <v>20</v>
      </c>
      <c r="D3" t="s">
        <v>532</v>
      </c>
      <c r="E3" t="s">
        <v>561</v>
      </c>
    </row>
    <row r="4" spans="2:5">
      <c r="B4" t="s">
        <v>533</v>
      </c>
      <c r="C4" t="s">
        <v>551</v>
      </c>
      <c r="D4" t="s">
        <v>532</v>
      </c>
      <c r="E4" t="s">
        <v>562</v>
      </c>
    </row>
    <row r="5" spans="2:5">
      <c r="B5" t="s">
        <v>534</v>
      </c>
      <c r="C5" t="s">
        <v>23</v>
      </c>
      <c r="D5" t="s">
        <v>532</v>
      </c>
      <c r="E5" t="s">
        <v>563</v>
      </c>
    </row>
    <row r="6" spans="2:5">
      <c r="B6" t="s">
        <v>535</v>
      </c>
      <c r="C6" t="s">
        <v>24</v>
      </c>
      <c r="D6" t="s">
        <v>532</v>
      </c>
      <c r="E6" t="s">
        <v>564</v>
      </c>
    </row>
    <row r="7" spans="2:5">
      <c r="B7" t="s">
        <v>536</v>
      </c>
      <c r="C7" t="s">
        <v>25</v>
      </c>
      <c r="D7" t="s">
        <v>532</v>
      </c>
      <c r="E7" t="s">
        <v>565</v>
      </c>
    </row>
    <row r="8" spans="2:5">
      <c r="B8" t="s">
        <v>537</v>
      </c>
      <c r="C8" t="s">
        <v>26</v>
      </c>
      <c r="D8" t="s">
        <v>532</v>
      </c>
      <c r="E8" t="s">
        <v>566</v>
      </c>
    </row>
    <row r="9" spans="2:5">
      <c r="B9" t="s">
        <v>538</v>
      </c>
      <c r="C9" t="s">
        <v>27</v>
      </c>
      <c r="D9" t="s">
        <v>532</v>
      </c>
      <c r="E9" t="s">
        <v>567</v>
      </c>
    </row>
    <row r="10" spans="2:5">
      <c r="B10" t="s">
        <v>539</v>
      </c>
      <c r="C10" t="s">
        <v>47</v>
      </c>
      <c r="D10" t="s">
        <v>540</v>
      </c>
      <c r="E10" t="s">
        <v>568</v>
      </c>
    </row>
    <row r="11" spans="2:5">
      <c r="B11" t="s">
        <v>541</v>
      </c>
      <c r="C11" t="s">
        <v>542</v>
      </c>
      <c r="D11" t="s">
        <v>540</v>
      </c>
      <c r="E11" t="s">
        <v>569</v>
      </c>
    </row>
    <row r="12" spans="2:5">
      <c r="B12" t="s">
        <v>543</v>
      </c>
      <c r="C12" t="s">
        <v>552</v>
      </c>
      <c r="D12" t="s">
        <v>540</v>
      </c>
      <c r="E12" t="s">
        <v>570</v>
      </c>
    </row>
    <row r="13" spans="2:5">
      <c r="B13" t="s">
        <v>544</v>
      </c>
      <c r="C13" t="s">
        <v>507</v>
      </c>
      <c r="D13" t="s">
        <v>540</v>
      </c>
      <c r="E13" t="s">
        <v>571</v>
      </c>
    </row>
    <row r="14" spans="2:5">
      <c r="B14" t="s">
        <v>545</v>
      </c>
      <c r="C14" t="s">
        <v>553</v>
      </c>
      <c r="D14" t="s">
        <v>532</v>
      </c>
      <c r="E14" t="s">
        <v>572</v>
      </c>
    </row>
    <row r="15" spans="2:5">
      <c r="B15" t="s">
        <v>546</v>
      </c>
      <c r="C15" t="s">
        <v>554</v>
      </c>
      <c r="D15" t="s">
        <v>532</v>
      </c>
      <c r="E15" t="s">
        <v>573</v>
      </c>
    </row>
    <row r="16" spans="2:5">
      <c r="B16" t="s">
        <v>547</v>
      </c>
      <c r="C16" t="s">
        <v>555</v>
      </c>
      <c r="D16" t="s">
        <v>532</v>
      </c>
      <c r="E16" t="s">
        <v>574</v>
      </c>
    </row>
    <row r="17" spans="2:5">
      <c r="B17" t="s">
        <v>548</v>
      </c>
      <c r="C17" t="s">
        <v>556</v>
      </c>
      <c r="D17" t="s">
        <v>532</v>
      </c>
      <c r="E17" t="s">
        <v>575</v>
      </c>
    </row>
    <row r="18" spans="2:5">
      <c r="B18" t="s">
        <v>549</v>
      </c>
      <c r="C18" t="s">
        <v>557</v>
      </c>
      <c r="D18" t="s">
        <v>532</v>
      </c>
      <c r="E18" t="s">
        <v>576</v>
      </c>
    </row>
    <row r="19" spans="2:5">
      <c r="B19" t="s">
        <v>550</v>
      </c>
      <c r="C19" t="s">
        <v>558</v>
      </c>
      <c r="D19" t="s">
        <v>532</v>
      </c>
      <c r="E19" t="s">
        <v>577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511</v>
      </c>
      <c r="C2" s="106"/>
      <c r="D2" s="106"/>
      <c r="E2" s="106"/>
      <c r="F2" s="106"/>
      <c r="G2" s="106"/>
      <c r="H2" s="106"/>
      <c r="I2" s="106"/>
      <c r="J2" s="106"/>
      <c r="K2" s="107"/>
    </row>
    <row r="3" spans="2:11">
      <c r="B3" s="108"/>
      <c r="K3" s="109"/>
    </row>
    <row r="4" spans="2:11">
      <c r="B4" s="108" t="s">
        <v>512</v>
      </c>
      <c r="K4" s="109"/>
    </row>
    <row r="5" spans="2:11">
      <c r="B5" s="108"/>
      <c r="K5" s="109"/>
    </row>
    <row r="6" spans="2:11">
      <c r="B6" s="110" t="s">
        <v>513</v>
      </c>
      <c r="K6" s="109"/>
    </row>
    <row r="7" spans="2:11">
      <c r="B7" s="110" t="s">
        <v>514</v>
      </c>
      <c r="K7" s="109"/>
    </row>
    <row r="8" spans="2:11">
      <c r="B8" s="110" t="s">
        <v>515</v>
      </c>
      <c r="K8" s="109"/>
    </row>
    <row r="9" spans="2:11">
      <c r="B9" s="110" t="s">
        <v>516</v>
      </c>
      <c r="K9" s="109"/>
    </row>
    <row r="10" spans="2:11">
      <c r="B10" s="110" t="s">
        <v>517</v>
      </c>
      <c r="K10" s="109"/>
    </row>
    <row r="11" spans="2:11">
      <c r="B11" s="110" t="s">
        <v>518</v>
      </c>
      <c r="K11" s="109"/>
    </row>
    <row r="12" spans="2:11">
      <c r="B12" s="110"/>
      <c r="K12" s="109"/>
    </row>
    <row r="13" spans="2:11">
      <c r="B13" s="110" t="s">
        <v>519</v>
      </c>
      <c r="K13" s="109"/>
    </row>
    <row r="14" spans="2:11">
      <c r="B14" s="110" t="s">
        <v>520</v>
      </c>
      <c r="K14" s="109"/>
    </row>
    <row r="15" spans="2:11">
      <c r="B15" s="110"/>
      <c r="K15" s="109"/>
    </row>
    <row r="16" spans="2:11">
      <c r="B16" s="110" t="s">
        <v>521</v>
      </c>
      <c r="K16" s="109"/>
    </row>
    <row r="17" spans="2:11">
      <c r="B17" s="110" t="s">
        <v>522</v>
      </c>
      <c r="K17" s="109"/>
    </row>
    <row r="18" spans="2:11">
      <c r="B18" s="110" t="s">
        <v>523</v>
      </c>
      <c r="K18" s="109"/>
    </row>
    <row r="19" spans="2:11">
      <c r="B19" s="110" t="s">
        <v>524</v>
      </c>
      <c r="K19" s="109"/>
    </row>
    <row r="20" spans="2:11">
      <c r="B20" s="110" t="s">
        <v>525</v>
      </c>
      <c r="K20" s="109"/>
    </row>
    <row r="21" spans="2:11">
      <c r="B21" s="110" t="s">
        <v>526</v>
      </c>
      <c r="K21" s="109"/>
    </row>
    <row r="22" spans="2:11">
      <c r="B22" s="110" t="s">
        <v>527</v>
      </c>
      <c r="K22" s="109"/>
    </row>
    <row r="23" spans="2:11">
      <c r="B23" s="110"/>
      <c r="K23" s="109"/>
    </row>
    <row r="24" spans="2:11">
      <c r="B24" s="110" t="s">
        <v>528</v>
      </c>
      <c r="D24" s="114" t="s">
        <v>529</v>
      </c>
      <c r="K24" s="109"/>
    </row>
    <row r="25" spans="2:11">
      <c r="B25" s="111" t="s">
        <v>859</v>
      </c>
      <c r="C25" s="112"/>
      <c r="D25" s="141" t="s">
        <v>860</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578</v>
      </c>
    </row>
    <row r="3" spans="1:1">
      <c r="A3" t="s">
        <v>579</v>
      </c>
    </row>
    <row r="4" spans="1:1">
      <c r="A4" s="116"/>
    </row>
    <row r="5" spans="1:1">
      <c r="A5" s="117" t="s">
        <v>580</v>
      </c>
    </row>
    <row r="6" spans="1:1">
      <c r="A6" s="118"/>
    </row>
    <row r="7" spans="1:1">
      <c r="A7" s="119" t="s">
        <v>581</v>
      </c>
    </row>
    <row r="8" spans="1:1">
      <c r="A8" s="119" t="s">
        <v>582</v>
      </c>
    </row>
    <row r="9" spans="1:1">
      <c r="A9" s="116"/>
    </row>
    <row r="10" spans="1:1">
      <c r="A10" s="117" t="s">
        <v>583</v>
      </c>
    </row>
    <row r="11" spans="1:1">
      <c r="A11" s="118"/>
    </row>
    <row r="12" spans="1:1">
      <c r="A12" s="118" t="s">
        <v>584</v>
      </c>
    </row>
    <row r="13" spans="1:1">
      <c r="A13" s="118" t="s">
        <v>585</v>
      </c>
    </row>
    <row r="14" spans="1:1">
      <c r="A14" s="118" t="s">
        <v>586</v>
      </c>
    </row>
    <row r="15" spans="1:1">
      <c r="A15" s="116"/>
    </row>
    <row r="16" spans="1:1">
      <c r="A16" s="117"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2026-07-26T22:22:04Z</dcterms:modified>
</cp:coreProperties>
</file>