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
    </mc:Choice>
  </mc:AlternateContent>
  <xr:revisionPtr revIDLastSave="0" documentId="13_ncr:1_{16DFDEBA-DC50-4830-A098-92E3AE43B35C}" xr6:coauthVersionLast="47" xr6:coauthVersionMax="47" xr10:uidLastSave="{00000000-0000-0000-0000-000000000000}"/>
  <workbookProtection workbookAlgorithmName="SHA-512" workbookHashValue="r0xfhGDZTukz56G4zB0h7xcDc/Wfk/tudEdMfAcxoDHN1rbSFyn5ks1e1ITYQm9WA6D0Iiembw85tFFFYLJXow==" workbookSaltValue="Uo9oj/Z0gESduOupvbKiIw==" workbookSpinCount="100000" lockStructure="1"/>
  <bookViews>
    <workbookView xWindow="29745" yWindow="1080" windowWidth="27540" windowHeight="13785" tabRatio="732" xr2:uid="{A9A38741-1811-4719-B778-C7D2DA3EDF0A}"/>
  </bookViews>
  <sheets>
    <sheet name="PromptGenerator" sheetId="1" r:id="rId1"/>
    <sheet name="HowToStudy" sheetId="25" r:id="rId2"/>
    <sheet name="Variables" sheetId="24" r:id="rId3"/>
    <sheet name="FGen_S1" sheetId="2" r:id="rId4"/>
    <sheet name="FGen_S2" sheetId="15" r:id="rId5"/>
    <sheet name="FGen_S3" sheetId="16" r:id="rId6"/>
    <sheet name="FGen_S4" sheetId="17" r:id="rId7"/>
    <sheet name="FGen_S5" sheetId="18" r:id="rId8"/>
    <sheet name="CellReference" sheetId="22" r:id="rId9"/>
    <sheet name="License" sheetId="19" r:id="rId10"/>
    <sheet name="HowTo" sheetId="2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X10" i="1" l="1"/>
  <c r="X11" i="1"/>
  <c r="X12" i="1"/>
  <c r="X13" i="1"/>
  <c r="X15" i="1"/>
  <c r="X16" i="1"/>
  <c r="X17" i="1"/>
  <c r="X18" i="1"/>
  <c r="X19" i="1"/>
  <c r="X21" i="1"/>
  <c r="X22" i="1"/>
  <c r="X23" i="1"/>
  <c r="X24" i="1"/>
  <c r="X25" i="1"/>
  <c r="X26" i="1"/>
  <c r="X27" i="1"/>
  <c r="X29" i="1"/>
  <c r="X30" i="1"/>
  <c r="X31" i="1"/>
  <c r="X32" i="1"/>
  <c r="X34" i="1"/>
  <c r="X35" i="1"/>
  <c r="X36" i="1"/>
  <c r="X37" i="1"/>
  <c r="X38" i="1"/>
  <c r="X40" i="1"/>
  <c r="X41" i="1"/>
  <c r="X42" i="1"/>
  <c r="X43" i="1"/>
  <c r="X44" i="1"/>
  <c r="X45"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9" i="1"/>
  <c r="AD10" i="1"/>
  <c r="AD11" i="1"/>
  <c r="AD12" i="1"/>
  <c r="AD13" i="1"/>
  <c r="AD15" i="1"/>
  <c r="AD16" i="1"/>
  <c r="AD17" i="1"/>
  <c r="AD18" i="1"/>
  <c r="AD19" i="1"/>
  <c r="AD21" i="1"/>
  <c r="AD22" i="1"/>
  <c r="AD23" i="1"/>
  <c r="AD24" i="1"/>
  <c r="AD25" i="1"/>
  <c r="AD26" i="1"/>
  <c r="AD27" i="1"/>
  <c r="AD29" i="1"/>
  <c r="AD30" i="1"/>
  <c r="AD31" i="1"/>
  <c r="AD32" i="1"/>
  <c r="W32" i="1" s="1"/>
  <c r="AD34" i="1"/>
  <c r="AD35" i="1"/>
  <c r="AD36" i="1"/>
  <c r="AD37" i="1"/>
  <c r="AD38" i="1"/>
  <c r="AD40" i="1"/>
  <c r="AD41" i="1"/>
  <c r="AD42" i="1"/>
  <c r="AD43" i="1"/>
  <c r="AD44" i="1"/>
  <c r="AD45" i="1"/>
  <c r="AD47" i="1"/>
  <c r="AD48" i="1"/>
  <c r="AD49" i="1"/>
  <c r="AD50" i="1"/>
  <c r="AD51" i="1"/>
  <c r="AD52" i="1"/>
  <c r="AD53" i="1"/>
  <c r="AD54" i="1"/>
  <c r="AD55" i="1"/>
  <c r="AD56" i="1"/>
  <c r="W56" i="1" s="1"/>
  <c r="AD57" i="1"/>
  <c r="AD58" i="1"/>
  <c r="AD59" i="1"/>
  <c r="AD60" i="1"/>
  <c r="AD61" i="1"/>
  <c r="AD62" i="1"/>
  <c r="AD63" i="1"/>
  <c r="AD64" i="1"/>
  <c r="AD65" i="1"/>
  <c r="AD66" i="1"/>
  <c r="AD67" i="1"/>
  <c r="AD68" i="1"/>
  <c r="AD69" i="1"/>
  <c r="AD70" i="1"/>
  <c r="AD71" i="1"/>
  <c r="AD72" i="1"/>
  <c r="AD73" i="1"/>
  <c r="AD74" i="1"/>
  <c r="AD75" i="1"/>
  <c r="AD76" i="1"/>
  <c r="AD77" i="1"/>
  <c r="AD78" i="1"/>
  <c r="AD79" i="1"/>
  <c r="AD80" i="1"/>
  <c r="W80" i="1" s="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W116" i="1" s="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9" i="1"/>
  <c r="W10" i="1"/>
  <c r="W11" i="1"/>
  <c r="W12" i="1"/>
  <c r="W13" i="1"/>
  <c r="W15" i="1"/>
  <c r="W16" i="1"/>
  <c r="W17" i="1"/>
  <c r="W18" i="1"/>
  <c r="W19" i="1"/>
  <c r="W21" i="1"/>
  <c r="W22" i="1"/>
  <c r="W23" i="1"/>
  <c r="W24" i="1"/>
  <c r="W25" i="1"/>
  <c r="W26" i="1"/>
  <c r="W27" i="1"/>
  <c r="W29" i="1"/>
  <c r="W30" i="1"/>
  <c r="W31" i="1"/>
  <c r="W34" i="1"/>
  <c r="W35" i="1"/>
  <c r="W36" i="1"/>
  <c r="W37" i="1"/>
  <c r="W38" i="1"/>
  <c r="W40" i="1"/>
  <c r="W41" i="1"/>
  <c r="W42" i="1"/>
  <c r="W43" i="1"/>
  <c r="W44" i="1"/>
  <c r="W45" i="1"/>
  <c r="W47" i="1"/>
  <c r="W48" i="1"/>
  <c r="W49" i="1"/>
  <c r="W50" i="1"/>
  <c r="W51" i="1"/>
  <c r="W52" i="1"/>
  <c r="W53" i="1"/>
  <c r="W54" i="1"/>
  <c r="W55" i="1"/>
  <c r="W57" i="1"/>
  <c r="W58" i="1"/>
  <c r="W59" i="1"/>
  <c r="W60" i="1"/>
  <c r="W61" i="1"/>
  <c r="W62" i="1"/>
  <c r="W63" i="1"/>
  <c r="W64" i="1"/>
  <c r="W65" i="1"/>
  <c r="W66" i="1"/>
  <c r="W67" i="1"/>
  <c r="W68" i="1"/>
  <c r="W69" i="1"/>
  <c r="W70" i="1"/>
  <c r="W71" i="1"/>
  <c r="W72" i="1"/>
  <c r="W73" i="1"/>
  <c r="W74" i="1"/>
  <c r="W75" i="1"/>
  <c r="W76" i="1"/>
  <c r="W77" i="1"/>
  <c r="W78" i="1"/>
  <c r="W79"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9" i="1"/>
  <c r="U10" i="1"/>
  <c r="U11" i="1"/>
  <c r="U12" i="1"/>
  <c r="U13" i="1"/>
  <c r="U15" i="1"/>
  <c r="U16" i="1"/>
  <c r="U17" i="1"/>
  <c r="U18" i="1"/>
  <c r="U19" i="1"/>
  <c r="U21" i="1"/>
  <c r="U22" i="1"/>
  <c r="U23" i="1"/>
  <c r="U24" i="1"/>
  <c r="U25" i="1"/>
  <c r="U26" i="1"/>
  <c r="U27" i="1"/>
  <c r="U29" i="1"/>
  <c r="U30" i="1"/>
  <c r="U31" i="1"/>
  <c r="U32" i="1"/>
  <c r="U34" i="1"/>
  <c r="U35" i="1"/>
  <c r="U36" i="1"/>
  <c r="U37" i="1"/>
  <c r="U38" i="1"/>
  <c r="U40" i="1"/>
  <c r="U41" i="1"/>
  <c r="U42" i="1"/>
  <c r="U43" i="1"/>
  <c r="U44" i="1"/>
  <c r="U45"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9" i="1"/>
  <c r="AC10" i="1"/>
  <c r="AC11" i="1"/>
  <c r="AC12" i="1"/>
  <c r="AC13" i="1"/>
  <c r="AC15" i="1"/>
  <c r="AC16" i="1"/>
  <c r="AC17" i="1"/>
  <c r="AC18" i="1"/>
  <c r="AC19" i="1"/>
  <c r="AC21" i="1"/>
  <c r="AC22" i="1"/>
  <c r="AC23" i="1"/>
  <c r="AC24" i="1"/>
  <c r="AC25" i="1"/>
  <c r="AC26" i="1"/>
  <c r="AC27" i="1"/>
  <c r="AC29" i="1"/>
  <c r="AC30" i="1"/>
  <c r="AC31" i="1"/>
  <c r="AC32" i="1"/>
  <c r="T32" i="1" s="1"/>
  <c r="AC34" i="1"/>
  <c r="AC35" i="1"/>
  <c r="AC36" i="1"/>
  <c r="AC37" i="1"/>
  <c r="AC38" i="1"/>
  <c r="AC40" i="1"/>
  <c r="AC41" i="1"/>
  <c r="AC42" i="1"/>
  <c r="AC43" i="1"/>
  <c r="AC44" i="1"/>
  <c r="AC45"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T80" i="1" s="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T116" i="1" s="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9" i="1"/>
  <c r="T10" i="1"/>
  <c r="T11" i="1"/>
  <c r="T12" i="1"/>
  <c r="T13" i="1"/>
  <c r="T15" i="1"/>
  <c r="T16" i="1"/>
  <c r="T17" i="1"/>
  <c r="T18" i="1"/>
  <c r="T19" i="1"/>
  <c r="T21" i="1"/>
  <c r="T22" i="1"/>
  <c r="T23" i="1"/>
  <c r="T24" i="1"/>
  <c r="T25" i="1"/>
  <c r="T26" i="1"/>
  <c r="T27" i="1"/>
  <c r="T29" i="1"/>
  <c r="T30" i="1"/>
  <c r="T31" i="1"/>
  <c r="T34" i="1"/>
  <c r="T35" i="1"/>
  <c r="T36" i="1"/>
  <c r="T37" i="1"/>
  <c r="T38" i="1"/>
  <c r="T40" i="1"/>
  <c r="T41" i="1"/>
  <c r="T42" i="1"/>
  <c r="T43" i="1"/>
  <c r="T44" i="1"/>
  <c r="T45"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9" i="1"/>
  <c r="R10" i="1"/>
  <c r="R11" i="1"/>
  <c r="R12" i="1"/>
  <c r="R13" i="1"/>
  <c r="R15" i="1"/>
  <c r="R16" i="1"/>
  <c r="R17" i="1"/>
  <c r="R18" i="1"/>
  <c r="R19" i="1"/>
  <c r="R21" i="1"/>
  <c r="R22" i="1"/>
  <c r="R23" i="1"/>
  <c r="R24" i="1"/>
  <c r="R25" i="1"/>
  <c r="R26" i="1"/>
  <c r="R27" i="1"/>
  <c r="R29" i="1"/>
  <c r="R30" i="1"/>
  <c r="R31" i="1"/>
  <c r="R32" i="1"/>
  <c r="R34" i="1"/>
  <c r="R35" i="1"/>
  <c r="R36" i="1"/>
  <c r="R37" i="1"/>
  <c r="R38" i="1"/>
  <c r="R40" i="1"/>
  <c r="R41" i="1"/>
  <c r="R42" i="1"/>
  <c r="R43" i="1"/>
  <c r="R44" i="1"/>
  <c r="R45"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9" i="1"/>
  <c r="AB10" i="1"/>
  <c r="AB11" i="1"/>
  <c r="AB12" i="1"/>
  <c r="AB13" i="1"/>
  <c r="AB15" i="1"/>
  <c r="AB16" i="1"/>
  <c r="AB17" i="1"/>
  <c r="AB18" i="1"/>
  <c r="AB19" i="1"/>
  <c r="AB21" i="1"/>
  <c r="AB22" i="1"/>
  <c r="AB23" i="1"/>
  <c r="AB24" i="1"/>
  <c r="AB25" i="1"/>
  <c r="AB26" i="1"/>
  <c r="AB27" i="1"/>
  <c r="AB29" i="1"/>
  <c r="AB30" i="1"/>
  <c r="AB31" i="1"/>
  <c r="AB32" i="1"/>
  <c r="AB34" i="1"/>
  <c r="AB35" i="1"/>
  <c r="AB36" i="1"/>
  <c r="AB37" i="1"/>
  <c r="AB38" i="1"/>
  <c r="AB40" i="1"/>
  <c r="AB41" i="1"/>
  <c r="AB42" i="1"/>
  <c r="AB43" i="1"/>
  <c r="AB44" i="1"/>
  <c r="AB45"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9" i="1"/>
  <c r="Q10" i="1"/>
  <c r="Q11" i="1"/>
  <c r="Q12" i="1"/>
  <c r="Q13" i="1"/>
  <c r="Q15" i="1"/>
  <c r="Q16" i="1"/>
  <c r="Q17" i="1"/>
  <c r="Q18" i="1"/>
  <c r="Q19" i="1"/>
  <c r="Q21" i="1"/>
  <c r="Q22" i="1"/>
  <c r="Q23" i="1"/>
  <c r="Q24" i="1"/>
  <c r="Q25" i="1"/>
  <c r="Q26" i="1"/>
  <c r="Q27" i="1"/>
  <c r="Q29" i="1"/>
  <c r="Q30" i="1"/>
  <c r="Q31" i="1"/>
  <c r="Q32" i="1"/>
  <c r="Q34" i="1"/>
  <c r="Q35" i="1"/>
  <c r="Q36" i="1"/>
  <c r="Q37" i="1"/>
  <c r="Q38" i="1"/>
  <c r="Q40" i="1"/>
  <c r="Q41" i="1"/>
  <c r="Q42" i="1"/>
  <c r="Q43" i="1"/>
  <c r="Q44" i="1"/>
  <c r="Q45"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9" i="1"/>
  <c r="O10" i="1"/>
  <c r="O11" i="1"/>
  <c r="O12" i="1"/>
  <c r="O13" i="1"/>
  <c r="O15" i="1"/>
  <c r="O16" i="1"/>
  <c r="O17" i="1"/>
  <c r="O18" i="1"/>
  <c r="O19" i="1"/>
  <c r="O21" i="1"/>
  <c r="O22" i="1"/>
  <c r="O23" i="1"/>
  <c r="O24" i="1"/>
  <c r="O25" i="1"/>
  <c r="O26" i="1"/>
  <c r="O27" i="1"/>
  <c r="O29" i="1"/>
  <c r="O30" i="1"/>
  <c r="O31" i="1"/>
  <c r="O32" i="1"/>
  <c r="O34" i="1"/>
  <c r="O35" i="1"/>
  <c r="O36" i="1"/>
  <c r="O37" i="1"/>
  <c r="O38" i="1"/>
  <c r="O40" i="1"/>
  <c r="O41" i="1"/>
  <c r="O42" i="1"/>
  <c r="O43" i="1"/>
  <c r="O44" i="1"/>
  <c r="O45"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9" i="1"/>
  <c r="AA10" i="1"/>
  <c r="AA11" i="1"/>
  <c r="AA12" i="1"/>
  <c r="AA13" i="1"/>
  <c r="AA15" i="1"/>
  <c r="AA16" i="1"/>
  <c r="AA17" i="1"/>
  <c r="AA18" i="1"/>
  <c r="AA19" i="1"/>
  <c r="AA21" i="1"/>
  <c r="AA22" i="1"/>
  <c r="AA23" i="1"/>
  <c r="AA24" i="1"/>
  <c r="AA25" i="1"/>
  <c r="AA26" i="1"/>
  <c r="AA27" i="1"/>
  <c r="AA29" i="1"/>
  <c r="AA30" i="1"/>
  <c r="AA31" i="1"/>
  <c r="AA32" i="1"/>
  <c r="AA34" i="1"/>
  <c r="AA35" i="1"/>
  <c r="AA36" i="1"/>
  <c r="AA37" i="1"/>
  <c r="AA38" i="1"/>
  <c r="AA40" i="1"/>
  <c r="AA41" i="1"/>
  <c r="AA42" i="1"/>
  <c r="AA43" i="1"/>
  <c r="AA44" i="1"/>
  <c r="AA45"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N105" i="1" s="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9" i="1"/>
  <c r="N10" i="1"/>
  <c r="N11" i="1"/>
  <c r="N12" i="1"/>
  <c r="N13" i="1"/>
  <c r="N15" i="1"/>
  <c r="N16" i="1"/>
  <c r="N17" i="1"/>
  <c r="N18" i="1"/>
  <c r="N19" i="1"/>
  <c r="N21" i="1"/>
  <c r="N22" i="1"/>
  <c r="N23" i="1"/>
  <c r="N24" i="1"/>
  <c r="N25" i="1"/>
  <c r="N26" i="1"/>
  <c r="N27" i="1"/>
  <c r="N29" i="1"/>
  <c r="N30" i="1"/>
  <c r="N31" i="1"/>
  <c r="N32" i="1"/>
  <c r="N34" i="1"/>
  <c r="N35" i="1"/>
  <c r="N36" i="1"/>
  <c r="N37" i="1"/>
  <c r="N38" i="1"/>
  <c r="N40" i="1"/>
  <c r="N41" i="1"/>
  <c r="N42" i="1"/>
  <c r="N43" i="1"/>
  <c r="N44" i="1"/>
  <c r="N45"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9" i="1"/>
  <c r="L10" i="1"/>
  <c r="L11" i="1"/>
  <c r="L12" i="1"/>
  <c r="L13" i="1"/>
  <c r="L15" i="1"/>
  <c r="L16" i="1"/>
  <c r="L17" i="1"/>
  <c r="L18" i="1"/>
  <c r="L19" i="1"/>
  <c r="L21" i="1"/>
  <c r="L22" i="1"/>
  <c r="L23" i="1"/>
  <c r="L24" i="1"/>
  <c r="L25" i="1"/>
  <c r="L26" i="1"/>
  <c r="L27" i="1"/>
  <c r="L29" i="1"/>
  <c r="L30" i="1"/>
  <c r="L31" i="1"/>
  <c r="L32" i="1"/>
  <c r="L34" i="1"/>
  <c r="L35" i="1"/>
  <c r="L36" i="1"/>
  <c r="L37" i="1"/>
  <c r="L38" i="1"/>
  <c r="L40" i="1"/>
  <c r="L41" i="1"/>
  <c r="L42" i="1"/>
  <c r="L43" i="1"/>
  <c r="L44" i="1"/>
  <c r="L45"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9" i="1"/>
  <c r="K10" i="1"/>
  <c r="K11" i="1"/>
  <c r="K12" i="1"/>
  <c r="K13" i="1"/>
  <c r="K15" i="1"/>
  <c r="K16" i="1"/>
  <c r="K17" i="1"/>
  <c r="K18" i="1"/>
  <c r="K19" i="1"/>
  <c r="K21" i="1"/>
  <c r="K22" i="1"/>
  <c r="K23" i="1"/>
  <c r="K24" i="1"/>
  <c r="K25" i="1"/>
  <c r="K26" i="1"/>
  <c r="K27" i="1"/>
  <c r="K29" i="1"/>
  <c r="K30" i="1"/>
  <c r="K31" i="1"/>
  <c r="K32" i="1"/>
  <c r="K34" i="1"/>
  <c r="K35" i="1"/>
  <c r="K36" i="1"/>
  <c r="K37" i="1"/>
  <c r="K38" i="1"/>
  <c r="K40" i="1"/>
  <c r="K41" i="1"/>
  <c r="K42" i="1"/>
  <c r="K43" i="1"/>
  <c r="K44" i="1"/>
  <c r="K45"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9" i="1"/>
  <c r="Z10" i="1"/>
  <c r="Z11" i="1"/>
  <c r="Z12" i="1"/>
  <c r="Z13" i="1"/>
  <c r="Z15" i="1"/>
  <c r="Z16" i="1"/>
  <c r="Z17" i="1"/>
  <c r="Z18" i="1"/>
  <c r="Z19" i="1"/>
  <c r="Z21" i="1"/>
  <c r="Z22" i="1"/>
  <c r="Z23" i="1"/>
  <c r="Z24" i="1"/>
  <c r="Z25" i="1"/>
  <c r="Z26" i="1"/>
  <c r="Z27" i="1"/>
  <c r="Z29" i="1"/>
  <c r="Z30" i="1"/>
  <c r="Z31" i="1"/>
  <c r="Z32" i="1"/>
  <c r="Z34" i="1"/>
  <c r="Z35" i="1"/>
  <c r="Z36" i="1"/>
  <c r="Z37" i="1"/>
  <c r="Z38" i="1"/>
  <c r="Z40" i="1"/>
  <c r="Z41" i="1"/>
  <c r="Z42" i="1"/>
  <c r="Z43" i="1"/>
  <c r="Z44" i="1"/>
  <c r="Z45"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9" i="1"/>
  <c r="D18" i="2"/>
  <c r="A5" i="15" l="1"/>
  <c r="A6" i="15"/>
  <c r="A7" i="15"/>
  <c r="A8" i="15"/>
  <c r="A9" i="15"/>
  <c r="A11" i="15"/>
  <c r="A12" i="15"/>
  <c r="A13" i="15"/>
  <c r="A14" i="15"/>
  <c r="A15" i="15"/>
  <c r="A20" i="15"/>
  <c r="A21" i="15"/>
  <c r="A22" i="15"/>
  <c r="A23" i="15"/>
  <c r="A24" i="15"/>
  <c r="A25" i="15"/>
  <c r="A26" i="15"/>
  <c r="A27" i="15"/>
  <c r="A28" i="15"/>
  <c r="A29" i="15"/>
  <c r="A30" i="15"/>
  <c r="A31" i="15"/>
  <c r="A32" i="15"/>
  <c r="A33" i="15"/>
  <c r="A34" i="15"/>
  <c r="A35" i="15"/>
  <c r="A36" i="15"/>
  <c r="A37" i="15"/>
  <c r="A38" i="15"/>
  <c r="A39" i="15"/>
  <c r="A40" i="15"/>
  <c r="A41" i="15"/>
  <c r="A42" i="15"/>
  <c r="A4" i="15"/>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9" i="1"/>
  <c r="B10" i="1" s="1"/>
  <c r="B11" i="1" s="1"/>
  <c r="B12" i="1" s="1"/>
  <c r="B13" i="1" s="1"/>
  <c r="B14" i="1" s="1"/>
  <c r="B15" i="1" s="1"/>
  <c r="B16" i="1" s="1"/>
  <c r="A5" i="2"/>
  <c r="A6" i="2"/>
  <c r="A7" i="2"/>
  <c r="A8" i="2"/>
  <c r="A10" i="2"/>
  <c r="A11" i="2"/>
  <c r="A12" i="2"/>
  <c r="A13" i="2"/>
  <c r="A15" i="2"/>
  <c r="A16" i="2"/>
  <c r="A17"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4" i="2"/>
  <c r="D14" i="2"/>
  <c r="A14" i="2" s="1"/>
  <c r="B17" i="1" l="1"/>
  <c r="B18" i="1" s="1"/>
  <c r="B19" i="1" s="1"/>
  <c r="B20" i="1" s="1"/>
  <c r="B21" i="1" s="1"/>
  <c r="B22" i="1" s="1"/>
  <c r="B23" i="1" s="1"/>
  <c r="B24" i="1" s="1"/>
  <c r="D90" i="18"/>
  <c r="D91" i="17"/>
  <c r="D93" i="2"/>
  <c r="D94" i="2"/>
  <c r="D19" i="15"/>
  <c r="A19" i="15" s="1"/>
  <c r="D18" i="15"/>
  <c r="A18" i="15" s="1"/>
  <c r="D17" i="15"/>
  <c r="A17" i="15" s="1"/>
  <c r="D16" i="15"/>
  <c r="A16" i="15" s="1"/>
  <c r="D59" i="15"/>
  <c r="D90" i="15"/>
  <c r="D17" i="16"/>
  <c r="D16" i="16"/>
  <c r="D15" i="16"/>
  <c r="D58" i="16"/>
  <c r="D57" i="16"/>
  <c r="D90" i="16"/>
  <c r="D66" i="2"/>
  <c r="E94" i="2"/>
  <c r="E93" i="2"/>
  <c r="D67" i="2"/>
  <c r="D65" i="2"/>
  <c r="D2" i="24"/>
  <c r="D21" i="2"/>
  <c r="A21" i="2" s="1"/>
  <c r="D20" i="2"/>
  <c r="A20" i="2" s="1"/>
  <c r="D19" i="2"/>
  <c r="A19" i="2" s="1"/>
  <c r="A18" i="2"/>
  <c r="D1" i="24"/>
  <c r="B25" i="1" l="1"/>
  <c r="B26" i="1" s="1"/>
  <c r="B27" i="1" s="1"/>
  <c r="B28" i="1" s="1"/>
  <c r="B29" i="1" s="1"/>
  <c r="B30" i="1" s="1"/>
  <c r="B31" i="1" s="1"/>
  <c r="B32" i="1" s="1"/>
  <c r="D9" i="2"/>
  <c r="A9" i="2" s="1"/>
  <c r="D10" i="16"/>
  <c r="D53" i="16"/>
  <c r="D10" i="17"/>
  <c r="D54" i="17"/>
  <c r="D54" i="18"/>
  <c r="D9" i="18"/>
  <c r="D10" i="15"/>
  <c r="A10" i="15" s="1"/>
  <c r="D55" i="15"/>
  <c r="D59" i="2"/>
  <c r="B33" i="1" l="1"/>
  <c r="B34" i="1" s="1"/>
  <c r="B35" i="1" s="1"/>
  <c r="B36" i="1" s="1"/>
  <c r="B37" i="1" s="1"/>
  <c r="B38" i="1" s="1"/>
  <c r="B39" i="1" s="1"/>
  <c r="B40" i="1" s="1"/>
  <c r="E96" i="17"/>
  <c r="E96" i="15"/>
  <c r="E40" i="18"/>
  <c r="E41" i="18"/>
  <c r="E100" i="18"/>
  <c r="E99" i="18"/>
  <c r="E98" i="18"/>
  <c r="E97" i="18"/>
  <c r="E95" i="18"/>
  <c r="E94" i="18"/>
  <c r="E93" i="18"/>
  <c r="E92" i="18"/>
  <c r="E91" i="18"/>
  <c r="E90" i="18"/>
  <c r="E89" i="18"/>
  <c r="E88" i="18"/>
  <c r="E87" i="18"/>
  <c r="E86" i="18"/>
  <c r="E85" i="18"/>
  <c r="E84" i="18"/>
  <c r="E83" i="18"/>
  <c r="E82" i="18"/>
  <c r="E81" i="18"/>
  <c r="E76" i="18"/>
  <c r="E75" i="18"/>
  <c r="E74" i="18"/>
  <c r="E73" i="18"/>
  <c r="E72" i="18"/>
  <c r="E71" i="18"/>
  <c r="E70" i="18"/>
  <c r="E69" i="18"/>
  <c r="E68" i="18"/>
  <c r="E67" i="18"/>
  <c r="E66" i="18"/>
  <c r="E65" i="18"/>
  <c r="E64" i="18"/>
  <c r="E63" i="18"/>
  <c r="E62" i="18"/>
  <c r="E61" i="18"/>
  <c r="E60" i="18"/>
  <c r="E59" i="18"/>
  <c r="E58" i="18"/>
  <c r="E57" i="18"/>
  <c r="E56" i="18"/>
  <c r="E55" i="18"/>
  <c r="E54" i="18"/>
  <c r="E53" i="18"/>
  <c r="E52" i="18"/>
  <c r="E51" i="18"/>
  <c r="E50" i="18"/>
  <c r="E49" i="18"/>
  <c r="E48" i="18"/>
  <c r="E47" i="18"/>
  <c r="E39" i="18"/>
  <c r="E38" i="18"/>
  <c r="E37" i="18"/>
  <c r="E36" i="18"/>
  <c r="E34" i="18"/>
  <c r="E33" i="18"/>
  <c r="E32" i="18"/>
  <c r="E31" i="18"/>
  <c r="E30" i="18"/>
  <c r="E29" i="18"/>
  <c r="E28" i="18"/>
  <c r="E27" i="18"/>
  <c r="E26" i="18"/>
  <c r="E25" i="18"/>
  <c r="E24" i="18"/>
  <c r="E23" i="18"/>
  <c r="E22" i="18"/>
  <c r="E21" i="18"/>
  <c r="E20" i="18"/>
  <c r="E19" i="18"/>
  <c r="E18" i="18"/>
  <c r="E17" i="18"/>
  <c r="E16" i="18"/>
  <c r="E15" i="18"/>
  <c r="E14" i="18"/>
  <c r="E13" i="18"/>
  <c r="E12" i="18"/>
  <c r="E11" i="18"/>
  <c r="E10" i="18"/>
  <c r="E9" i="18"/>
  <c r="E8" i="18"/>
  <c r="E7" i="18"/>
  <c r="E6" i="18"/>
  <c r="E5" i="18"/>
  <c r="E4" i="18"/>
  <c r="E37" i="17"/>
  <c r="E38" i="17"/>
  <c r="E39" i="17"/>
  <c r="E100" i="17"/>
  <c r="E99" i="17"/>
  <c r="E98" i="17"/>
  <c r="E95" i="17"/>
  <c r="E94" i="17"/>
  <c r="E93" i="17"/>
  <c r="E92" i="17"/>
  <c r="E91" i="17"/>
  <c r="E90" i="17"/>
  <c r="E89" i="17"/>
  <c r="E88" i="17"/>
  <c r="E87" i="17"/>
  <c r="E86" i="17"/>
  <c r="E85" i="17"/>
  <c r="E84" i="17"/>
  <c r="E83" i="17"/>
  <c r="E82" i="17"/>
  <c r="E81" i="17"/>
  <c r="E76" i="17"/>
  <c r="E75" i="17"/>
  <c r="E74" i="17"/>
  <c r="E73" i="17"/>
  <c r="E72" i="17"/>
  <c r="E71" i="17"/>
  <c r="E70" i="17"/>
  <c r="E69" i="17"/>
  <c r="E68" i="17"/>
  <c r="E67" i="17"/>
  <c r="E66" i="17"/>
  <c r="E65" i="17"/>
  <c r="E64" i="17"/>
  <c r="E63" i="17"/>
  <c r="E62" i="17"/>
  <c r="E61" i="17"/>
  <c r="E60" i="17"/>
  <c r="E59" i="17"/>
  <c r="E58" i="17"/>
  <c r="E57" i="17"/>
  <c r="E56" i="17"/>
  <c r="E55" i="17"/>
  <c r="E53" i="17"/>
  <c r="E52" i="17"/>
  <c r="E51" i="17"/>
  <c r="E50" i="17"/>
  <c r="E49" i="17"/>
  <c r="E48" i="17"/>
  <c r="E47" i="17"/>
  <c r="E46" i="17"/>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8" i="17"/>
  <c r="E7" i="17"/>
  <c r="E6" i="17"/>
  <c r="E5" i="17"/>
  <c r="E4" i="17"/>
  <c r="E82" i="16"/>
  <c r="E83" i="16"/>
  <c r="E84" i="16"/>
  <c r="E85" i="16"/>
  <c r="E86" i="16"/>
  <c r="E87" i="16"/>
  <c r="E88" i="16"/>
  <c r="E89" i="16"/>
  <c r="E90" i="16"/>
  <c r="E91" i="16"/>
  <c r="E92" i="16"/>
  <c r="E93" i="16"/>
  <c r="E94" i="16"/>
  <c r="E95" i="16"/>
  <c r="E57" i="15"/>
  <c r="E58" i="15"/>
  <c r="E59" i="15"/>
  <c r="E60" i="15"/>
  <c r="E61" i="15"/>
  <c r="E62" i="15"/>
  <c r="E63" i="15"/>
  <c r="E64" i="15"/>
  <c r="E65" i="15"/>
  <c r="E66" i="15"/>
  <c r="E67" i="15"/>
  <c r="E68" i="15"/>
  <c r="E69" i="15"/>
  <c r="E70" i="15"/>
  <c r="E71" i="15"/>
  <c r="E72" i="15"/>
  <c r="E73" i="15"/>
  <c r="E48" i="16"/>
  <c r="E49" i="16"/>
  <c r="E50" i="16"/>
  <c r="E51" i="16"/>
  <c r="E52" i="16"/>
  <c r="E54" i="16"/>
  <c r="E55" i="16"/>
  <c r="E56" i="16"/>
  <c r="E57" i="16"/>
  <c r="E58" i="16"/>
  <c r="E59" i="16"/>
  <c r="E60" i="16"/>
  <c r="E61" i="16"/>
  <c r="E62" i="16"/>
  <c r="E63" i="16"/>
  <c r="E64" i="16"/>
  <c r="E65" i="16"/>
  <c r="E66" i="16"/>
  <c r="E67" i="16"/>
  <c r="E68" i="16"/>
  <c r="E69" i="16"/>
  <c r="E70" i="16"/>
  <c r="E71" i="16"/>
  <c r="E72" i="16"/>
  <c r="E73" i="16"/>
  <c r="E74" i="16"/>
  <c r="E75" i="16"/>
  <c r="E76" i="16"/>
  <c r="E100" i="16"/>
  <c r="E99" i="16"/>
  <c r="E98" i="16"/>
  <c r="E97" i="16"/>
  <c r="E81" i="16"/>
  <c r="E47"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81" i="15"/>
  <c r="E82" i="15"/>
  <c r="E83" i="15"/>
  <c r="E84" i="15"/>
  <c r="E85" i="15"/>
  <c r="E86" i="15"/>
  <c r="E87" i="15"/>
  <c r="E88" i="15"/>
  <c r="E89" i="15"/>
  <c r="E90" i="15"/>
  <c r="E91" i="15"/>
  <c r="E92" i="15"/>
  <c r="E93" i="15"/>
  <c r="E94" i="15"/>
  <c r="E95" i="15"/>
  <c r="E100" i="15"/>
  <c r="E99" i="15"/>
  <c r="E98" i="15"/>
  <c r="E76" i="15"/>
  <c r="E75" i="15"/>
  <c r="E74" i="15"/>
  <c r="E56" i="15"/>
  <c r="E55" i="15"/>
  <c r="E54" i="15"/>
  <c r="E53" i="15"/>
  <c r="E52" i="15"/>
  <c r="E51" i="15"/>
  <c r="E50" i="15"/>
  <c r="E49" i="15"/>
  <c r="E48" i="15"/>
  <c r="E47"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5" i="2"/>
  <c r="F56" i="2"/>
  <c r="F57" i="2"/>
  <c r="F58" i="2"/>
  <c r="F60" i="2"/>
  <c r="F61" i="2"/>
  <c r="F62" i="2"/>
  <c r="F63" i="2"/>
  <c r="F91" i="2"/>
  <c r="F92" i="2"/>
  <c r="F64" i="2"/>
  <c r="F68" i="2"/>
  <c r="F69" i="2"/>
  <c r="F70" i="2"/>
  <c r="F65" i="2"/>
  <c r="F66" i="2"/>
  <c r="F67" i="2"/>
  <c r="F71" i="2"/>
  <c r="F72" i="2"/>
  <c r="F73" i="2"/>
  <c r="F74" i="2"/>
  <c r="F75" i="2"/>
  <c r="F76" i="2"/>
  <c r="F77" i="2"/>
  <c r="F78" i="2"/>
  <c r="F79" i="2"/>
  <c r="F50" i="2"/>
  <c r="F84" i="2"/>
  <c r="F85" i="2"/>
  <c r="F86" i="2"/>
  <c r="F97" i="2"/>
  <c r="F88" i="2"/>
  <c r="F89" i="2"/>
  <c r="F95" i="2"/>
  <c r="F96" i="2"/>
  <c r="F98" i="2"/>
  <c r="F99" i="2"/>
  <c r="F100" i="2"/>
  <c r="F101" i="2"/>
  <c r="F102" i="2"/>
  <c r="F93" i="2"/>
  <c r="F94" i="2"/>
  <c r="F103" i="2"/>
  <c r="F104" i="2"/>
  <c r="F90" i="2"/>
  <c r="B41" i="1" l="1"/>
  <c r="B42" i="1" s="1"/>
  <c r="B43" i="1" s="1"/>
  <c r="B44" i="1" s="1"/>
  <c r="B45" i="1" s="1"/>
  <c r="B46" i="1" s="1"/>
  <c r="B47" i="1" s="1"/>
  <c r="B48" i="1" s="1"/>
  <c r="C3" i="1"/>
  <c r="AH200" i="1"/>
  <c r="A200" i="1" a="1"/>
  <c r="A200" i="1" s="1"/>
  <c r="AH199" i="1"/>
  <c r="A199" i="1" a="1"/>
  <c r="A199" i="1" s="1"/>
  <c r="AH198" i="1"/>
  <c r="A198" i="1" a="1"/>
  <c r="A198" i="1" s="1"/>
  <c r="AH197" i="1"/>
  <c r="A197" i="1" a="1"/>
  <c r="A197" i="1" s="1"/>
  <c r="AH196" i="1"/>
  <c r="A196" i="1" a="1"/>
  <c r="A196" i="1" s="1"/>
  <c r="AH195" i="1"/>
  <c r="A195" i="1" a="1"/>
  <c r="A195" i="1" s="1"/>
  <c r="AH194" i="1"/>
  <c r="A194" i="1" a="1"/>
  <c r="A194" i="1" s="1"/>
  <c r="AH193" i="1"/>
  <c r="A193" i="1" a="1"/>
  <c r="A193" i="1" s="1"/>
  <c r="AH192" i="1"/>
  <c r="A192" i="1" a="1"/>
  <c r="A192" i="1" s="1"/>
  <c r="AH191" i="1"/>
  <c r="A191" i="1" a="1"/>
  <c r="A191" i="1" s="1"/>
  <c r="AH190" i="1"/>
  <c r="A190" i="1" a="1"/>
  <c r="A190" i="1" s="1"/>
  <c r="AH189" i="1"/>
  <c r="A189" i="1" a="1"/>
  <c r="A189" i="1" s="1"/>
  <c r="AH188" i="1"/>
  <c r="A188" i="1" a="1"/>
  <c r="A188" i="1" s="1"/>
  <c r="AH187" i="1"/>
  <c r="A187" i="1" a="1"/>
  <c r="A187" i="1" s="1"/>
  <c r="AH186" i="1"/>
  <c r="A186" i="1" a="1"/>
  <c r="A186" i="1" s="1"/>
  <c r="AH185" i="1"/>
  <c r="A185" i="1" a="1"/>
  <c r="A185" i="1" s="1"/>
  <c r="AH184" i="1"/>
  <c r="A184" i="1" a="1"/>
  <c r="A184" i="1" s="1"/>
  <c r="AH183" i="1"/>
  <c r="A183" i="1" a="1"/>
  <c r="A183" i="1" s="1"/>
  <c r="AH182" i="1"/>
  <c r="A182" i="1" a="1"/>
  <c r="A182" i="1" s="1"/>
  <c r="AH181" i="1"/>
  <c r="A181" i="1" a="1"/>
  <c r="A181" i="1" s="1"/>
  <c r="AH180" i="1"/>
  <c r="A180" i="1" a="1"/>
  <c r="A180" i="1" s="1"/>
  <c r="AH179" i="1"/>
  <c r="A179" i="1" a="1"/>
  <c r="A179" i="1" s="1"/>
  <c r="AH178" i="1"/>
  <c r="A178" i="1" a="1"/>
  <c r="A178" i="1" s="1"/>
  <c r="AH177" i="1"/>
  <c r="A177" i="1" a="1"/>
  <c r="A177" i="1" s="1"/>
  <c r="AH176" i="1"/>
  <c r="A176" i="1" a="1"/>
  <c r="A176" i="1" s="1"/>
  <c r="AH175" i="1"/>
  <c r="A175" i="1" a="1"/>
  <c r="A175" i="1" s="1"/>
  <c r="AH174" i="1"/>
  <c r="A174" i="1" a="1"/>
  <c r="A174" i="1" s="1"/>
  <c r="AH173" i="1"/>
  <c r="A173" i="1" a="1"/>
  <c r="A173" i="1" s="1"/>
  <c r="AH172" i="1"/>
  <c r="A172" i="1" a="1"/>
  <c r="A172" i="1" s="1"/>
  <c r="AH171" i="1"/>
  <c r="A171" i="1" a="1"/>
  <c r="A171" i="1" s="1"/>
  <c r="AH170" i="1"/>
  <c r="A170" i="1" a="1"/>
  <c r="A170" i="1" s="1"/>
  <c r="AH169" i="1"/>
  <c r="A169" i="1" a="1"/>
  <c r="A169" i="1" s="1"/>
  <c r="AH168" i="1"/>
  <c r="A168" i="1" a="1"/>
  <c r="A168" i="1" s="1"/>
  <c r="AH167" i="1"/>
  <c r="A167" i="1" a="1"/>
  <c r="A167" i="1" s="1"/>
  <c r="AH166" i="1"/>
  <c r="A166" i="1" a="1"/>
  <c r="A166" i="1" s="1"/>
  <c r="AH165" i="1"/>
  <c r="A165" i="1" a="1"/>
  <c r="A165" i="1" s="1"/>
  <c r="AH164" i="1"/>
  <c r="A164" i="1" a="1"/>
  <c r="A164" i="1" s="1"/>
  <c r="AH163" i="1"/>
  <c r="A163" i="1" a="1"/>
  <c r="A163" i="1" s="1"/>
  <c r="AH162" i="1"/>
  <c r="A162" i="1" a="1"/>
  <c r="A162" i="1" s="1"/>
  <c r="AH161" i="1"/>
  <c r="A161" i="1" a="1"/>
  <c r="A161" i="1" s="1"/>
  <c r="AH160" i="1"/>
  <c r="A160" i="1" a="1"/>
  <c r="A160" i="1" s="1"/>
  <c r="AH159" i="1"/>
  <c r="A159" i="1" a="1"/>
  <c r="A159" i="1" s="1"/>
  <c r="AH158" i="1"/>
  <c r="A158" i="1" a="1"/>
  <c r="A158" i="1" s="1"/>
  <c r="AH157" i="1"/>
  <c r="A157" i="1" a="1"/>
  <c r="A157" i="1" s="1"/>
  <c r="AH156" i="1"/>
  <c r="A156" i="1" a="1"/>
  <c r="A156" i="1" s="1"/>
  <c r="AH155" i="1"/>
  <c r="A155" i="1" a="1"/>
  <c r="A155" i="1" s="1"/>
  <c r="AH154" i="1"/>
  <c r="A154" i="1" a="1"/>
  <c r="A154" i="1" s="1"/>
  <c r="AH153" i="1"/>
  <c r="A153" i="1" a="1"/>
  <c r="A153" i="1" s="1"/>
  <c r="AH152" i="1"/>
  <c r="A152" i="1" a="1"/>
  <c r="A152" i="1" s="1"/>
  <c r="AH151" i="1"/>
  <c r="A151" i="1" a="1"/>
  <c r="A151" i="1" s="1"/>
  <c r="AH150" i="1"/>
  <c r="A150" i="1" a="1"/>
  <c r="A150" i="1" s="1"/>
  <c r="AH149" i="1"/>
  <c r="A149" i="1" a="1"/>
  <c r="A149" i="1" s="1"/>
  <c r="AH148" i="1"/>
  <c r="A148" i="1" a="1"/>
  <c r="A148" i="1" s="1"/>
  <c r="AH147" i="1"/>
  <c r="A147" i="1" a="1"/>
  <c r="A147" i="1" s="1"/>
  <c r="AH146" i="1"/>
  <c r="A146" i="1" a="1"/>
  <c r="A146" i="1" s="1"/>
  <c r="AH145" i="1"/>
  <c r="A145" i="1" a="1"/>
  <c r="A145" i="1" s="1"/>
  <c r="AH144" i="1"/>
  <c r="A144" i="1" a="1"/>
  <c r="A144" i="1" s="1"/>
  <c r="AH143" i="1"/>
  <c r="A143" i="1" a="1"/>
  <c r="A143" i="1" s="1"/>
  <c r="AH142" i="1"/>
  <c r="A142" i="1" a="1"/>
  <c r="A142" i="1" s="1"/>
  <c r="AH141" i="1"/>
  <c r="A141" i="1" a="1"/>
  <c r="A141" i="1" s="1"/>
  <c r="AH140" i="1"/>
  <c r="A140" i="1" a="1"/>
  <c r="A140" i="1" s="1"/>
  <c r="AH139" i="1"/>
  <c r="A139" i="1" a="1"/>
  <c r="A139" i="1" s="1"/>
  <c r="AH138" i="1"/>
  <c r="A138" i="1" a="1"/>
  <c r="A138" i="1" s="1"/>
  <c r="AH137" i="1"/>
  <c r="A137" i="1" a="1"/>
  <c r="A137" i="1" s="1"/>
  <c r="AH136" i="1"/>
  <c r="A136" i="1" a="1"/>
  <c r="A136" i="1" s="1"/>
  <c r="AH135" i="1"/>
  <c r="A135" i="1" a="1"/>
  <c r="A135" i="1" s="1"/>
  <c r="AH134" i="1"/>
  <c r="A134" i="1" a="1"/>
  <c r="A134" i="1" s="1"/>
  <c r="AH133" i="1"/>
  <c r="A133" i="1" a="1"/>
  <c r="A133" i="1" s="1"/>
  <c r="AH132" i="1"/>
  <c r="A132" i="1" a="1"/>
  <c r="A132" i="1" s="1"/>
  <c r="AH131" i="1"/>
  <c r="A131" i="1" a="1"/>
  <c r="A131" i="1" s="1"/>
  <c r="AH130" i="1"/>
  <c r="A130" i="1" a="1"/>
  <c r="A130" i="1" s="1"/>
  <c r="AH129" i="1"/>
  <c r="A129" i="1" a="1"/>
  <c r="A129" i="1" s="1"/>
  <c r="AH128" i="1"/>
  <c r="A128" i="1" a="1"/>
  <c r="A128" i="1" s="1"/>
  <c r="AH127" i="1"/>
  <c r="A127" i="1" a="1"/>
  <c r="A127" i="1" s="1"/>
  <c r="AH126" i="1"/>
  <c r="A126" i="1" a="1"/>
  <c r="A126" i="1" s="1"/>
  <c r="AH125" i="1"/>
  <c r="A125" i="1" a="1"/>
  <c r="A125" i="1" s="1"/>
  <c r="AH124" i="1"/>
  <c r="A124" i="1" a="1"/>
  <c r="A124" i="1" s="1"/>
  <c r="AH123" i="1"/>
  <c r="A123" i="1" a="1"/>
  <c r="A123" i="1" s="1"/>
  <c r="AH122" i="1"/>
  <c r="A122" i="1" a="1"/>
  <c r="A122" i="1" s="1"/>
  <c r="AH121" i="1"/>
  <c r="A121" i="1" a="1"/>
  <c r="A121" i="1" s="1"/>
  <c r="AH120" i="1"/>
  <c r="AH119" i="1"/>
  <c r="A119" i="1" a="1"/>
  <c r="A119" i="1" s="1"/>
  <c r="AH118" i="1"/>
  <c r="A118" i="1" a="1"/>
  <c r="A118" i="1" s="1"/>
  <c r="AH117" i="1"/>
  <c r="A117" i="1" a="1"/>
  <c r="A117" i="1" s="1"/>
  <c r="AH116" i="1"/>
  <c r="AH115" i="1"/>
  <c r="A115" i="1" a="1"/>
  <c r="A115" i="1" s="1"/>
  <c r="AH114" i="1"/>
  <c r="A114" i="1" a="1"/>
  <c r="A114" i="1" s="1"/>
  <c r="AH113" i="1"/>
  <c r="AH112" i="1"/>
  <c r="AH111" i="1"/>
  <c r="A111" i="1" a="1"/>
  <c r="A111" i="1" s="1"/>
  <c r="AH110" i="1"/>
  <c r="A110" i="1" a="1"/>
  <c r="A110" i="1" s="1"/>
  <c r="AH109" i="1"/>
  <c r="A109" i="1" a="1"/>
  <c r="A109" i="1" s="1"/>
  <c r="AH108" i="1"/>
  <c r="A108" i="1" a="1"/>
  <c r="A108" i="1" s="1"/>
  <c r="AH107" i="1"/>
  <c r="A107" i="1" a="1"/>
  <c r="A107" i="1" s="1"/>
  <c r="AH106" i="1"/>
  <c r="A106" i="1" a="1"/>
  <c r="A106" i="1" s="1"/>
  <c r="AH105" i="1"/>
  <c r="AH104" i="1"/>
  <c r="A104" i="1" a="1"/>
  <c r="A104" i="1" s="1"/>
  <c r="AH103" i="1"/>
  <c r="A103" i="1" a="1"/>
  <c r="A103" i="1" s="1"/>
  <c r="AH102" i="1"/>
  <c r="A102" i="1" a="1"/>
  <c r="A102" i="1" s="1"/>
  <c r="AH101" i="1"/>
  <c r="A101" i="1" a="1"/>
  <c r="A101" i="1" s="1"/>
  <c r="AH100" i="1"/>
  <c r="A100" i="1" a="1"/>
  <c r="A100" i="1" s="1"/>
  <c r="AH99" i="1"/>
  <c r="A99" i="1" a="1"/>
  <c r="A99" i="1" s="1"/>
  <c r="AH98" i="1"/>
  <c r="AH97" i="1"/>
  <c r="A97" i="1" a="1"/>
  <c r="A97" i="1" s="1"/>
  <c r="AH96" i="1"/>
  <c r="AH95" i="1"/>
  <c r="A95" i="1" a="1"/>
  <c r="A95" i="1" s="1"/>
  <c r="AH94" i="1"/>
  <c r="A94" i="1" a="1"/>
  <c r="A94" i="1" s="1"/>
  <c r="AH93" i="1"/>
  <c r="A93" i="1" a="1"/>
  <c r="A93" i="1" s="1"/>
  <c r="AH92" i="1"/>
  <c r="A92" i="1" a="1"/>
  <c r="A92" i="1" s="1"/>
  <c r="AH91" i="1"/>
  <c r="AH90" i="1"/>
  <c r="A90" i="1" a="1"/>
  <c r="A90" i="1" s="1"/>
  <c r="AH89" i="1"/>
  <c r="A89" i="1" a="1"/>
  <c r="A89" i="1" s="1"/>
  <c r="AH88" i="1"/>
  <c r="AH87" i="1"/>
  <c r="A87" i="1" a="1"/>
  <c r="A87" i="1" s="1"/>
  <c r="AH86" i="1"/>
  <c r="A86" i="1" a="1"/>
  <c r="A86" i="1" s="1"/>
  <c r="AH85" i="1"/>
  <c r="AH84" i="1"/>
  <c r="A84" i="1" a="1"/>
  <c r="A84" i="1" s="1"/>
  <c r="AH83" i="1"/>
  <c r="AH82" i="1"/>
  <c r="A82" i="1" a="1"/>
  <c r="A82" i="1" s="1"/>
  <c r="AH81" i="1"/>
  <c r="AH80" i="1"/>
  <c r="AH79" i="1"/>
  <c r="A79" i="1" a="1"/>
  <c r="A79" i="1" s="1"/>
  <c r="AH78" i="1"/>
  <c r="A78" i="1" a="1"/>
  <c r="A78" i="1" s="1"/>
  <c r="AH77" i="1"/>
  <c r="A77" i="1" a="1"/>
  <c r="A77" i="1" s="1"/>
  <c r="AH76" i="1"/>
  <c r="AH75" i="1"/>
  <c r="A75" i="1" a="1"/>
  <c r="A75" i="1" s="1"/>
  <c r="AH74" i="1"/>
  <c r="A74" i="1" a="1"/>
  <c r="A74" i="1" s="1"/>
  <c r="AH73" i="1"/>
  <c r="AH72" i="1"/>
  <c r="AH71" i="1"/>
  <c r="A71" i="1" a="1"/>
  <c r="A71" i="1" s="1"/>
  <c r="AH70" i="1"/>
  <c r="A70" i="1" a="1"/>
  <c r="A70" i="1" s="1"/>
  <c r="AH69" i="1"/>
  <c r="AH68" i="1"/>
  <c r="A68" i="1" a="1"/>
  <c r="A68" i="1" s="1"/>
  <c r="AH67" i="1"/>
  <c r="A67" i="1" a="1"/>
  <c r="A67" i="1" s="1"/>
  <c r="AH66" i="1"/>
  <c r="AH65" i="1"/>
  <c r="A65" i="1" a="1"/>
  <c r="A65" i="1" s="1"/>
  <c r="AH64" i="1"/>
  <c r="AH63" i="1"/>
  <c r="A63" i="1" a="1"/>
  <c r="A63" i="1" s="1"/>
  <c r="AH62" i="1"/>
  <c r="A62" i="1" a="1"/>
  <c r="A62" i="1" s="1"/>
  <c r="AH61" i="1"/>
  <c r="AH60" i="1"/>
  <c r="A60" i="1" a="1"/>
  <c r="A60" i="1" s="1"/>
  <c r="AH59" i="1"/>
  <c r="A59" i="1" a="1"/>
  <c r="A59" i="1" s="1"/>
  <c r="AH58" i="1"/>
  <c r="A58" i="1" a="1"/>
  <c r="A58" i="1" s="1"/>
  <c r="AH57" i="1"/>
  <c r="AH56" i="1"/>
  <c r="AH55" i="1"/>
  <c r="AH54" i="1"/>
  <c r="A54" i="1" a="1"/>
  <c r="A54" i="1" s="1"/>
  <c r="AH53" i="1"/>
  <c r="AH52" i="1"/>
  <c r="A52" i="1" a="1"/>
  <c r="A52" i="1" s="1"/>
  <c r="AH51" i="1"/>
  <c r="A51" i="1" a="1"/>
  <c r="A51" i="1" s="1"/>
  <c r="AH50" i="1"/>
  <c r="AH49" i="1"/>
  <c r="A49" i="1" a="1"/>
  <c r="A49" i="1" s="1"/>
  <c r="AH48" i="1"/>
  <c r="AH47" i="1"/>
  <c r="AH46" i="1"/>
  <c r="AH45" i="1"/>
  <c r="A45" i="1" a="1"/>
  <c r="A45" i="1" s="1"/>
  <c r="AH44" i="1"/>
  <c r="A44" i="1" a="1"/>
  <c r="A44" i="1" s="1"/>
  <c r="AH43" i="1"/>
  <c r="A43" i="1" a="1"/>
  <c r="A43" i="1" s="1"/>
  <c r="AH42" i="1"/>
  <c r="AH41" i="1"/>
  <c r="AH40" i="1"/>
  <c r="AH39" i="1"/>
  <c r="AH38" i="1"/>
  <c r="A38" i="1" a="1"/>
  <c r="A38" i="1" s="1"/>
  <c r="AH37" i="1"/>
  <c r="A37" i="1" a="1"/>
  <c r="A37" i="1" s="1"/>
  <c r="AH36" i="1"/>
  <c r="AH35" i="1"/>
  <c r="AH34" i="1"/>
  <c r="AH33" i="1"/>
  <c r="AH32" i="1"/>
  <c r="AH31" i="1"/>
  <c r="A31" i="1" a="1"/>
  <c r="A31" i="1" s="1"/>
  <c r="AH30" i="1"/>
  <c r="A30" i="1" a="1"/>
  <c r="A30" i="1" s="1"/>
  <c r="AH29" i="1"/>
  <c r="A29" i="1" a="1"/>
  <c r="A29" i="1" s="1"/>
  <c r="AH28" i="1"/>
  <c r="AH27" i="1"/>
  <c r="AH26" i="1"/>
  <c r="AH25" i="1"/>
  <c r="AH24" i="1"/>
  <c r="AH23" i="1"/>
  <c r="A23" i="1" a="1"/>
  <c r="A23" i="1" s="1"/>
  <c r="AH22" i="1"/>
  <c r="A22" i="1" a="1"/>
  <c r="A22" i="1" s="1"/>
  <c r="AH21" i="1"/>
  <c r="A21" i="1" a="1"/>
  <c r="A21" i="1" s="1"/>
  <c r="AH20" i="1"/>
  <c r="AH19" i="1"/>
  <c r="A19" i="1" a="1"/>
  <c r="A19" i="1" s="1"/>
  <c r="AH18" i="1"/>
  <c r="A18" i="1" a="1"/>
  <c r="A18" i="1" s="1"/>
  <c r="AH17" i="1"/>
  <c r="AH16" i="1"/>
  <c r="AH15" i="1"/>
  <c r="A15" i="1" a="1"/>
  <c r="A15" i="1" s="1"/>
  <c r="AH14" i="1"/>
  <c r="AH13" i="1"/>
  <c r="A13" i="1" a="1"/>
  <c r="A13" i="1" s="1"/>
  <c r="AH12" i="1"/>
  <c r="A12" i="1" a="1"/>
  <c r="A12" i="1" s="1"/>
  <c r="AH11" i="1"/>
  <c r="A11" i="1" a="1"/>
  <c r="A11" i="1" s="1"/>
  <c r="AH10" i="1"/>
  <c r="A10" i="1" a="1"/>
  <c r="A10" i="1" s="1"/>
  <c r="AH9" i="1"/>
  <c r="A9" i="1" a="1"/>
  <c r="A9" i="1" s="1"/>
  <c r="E6" i="1" a="1"/>
  <c r="E6" i="1" s="1"/>
  <c r="C6" i="1"/>
  <c r="E4" i="1"/>
  <c r="E3" i="1" s="1"/>
  <c r="E2" i="1"/>
  <c r="B49" i="1" l="1"/>
  <c r="AE7" i="1"/>
  <c r="L1" i="1" l="1"/>
  <c r="B50" i="1"/>
  <c r="B51" i="1" s="1"/>
  <c r="B52" i="1" s="1"/>
  <c r="B53" i="1" s="1"/>
  <c r="B54" i="1" s="1"/>
  <c r="B55" i="1" s="1"/>
  <c r="B56" i="1" s="1"/>
  <c r="B57" i="1" l="1"/>
  <c r="B58" i="1" s="1"/>
  <c r="B59" i="1" s="1"/>
  <c r="B60" i="1" s="1"/>
  <c r="B61" i="1" s="1"/>
  <c r="B62" i="1" s="1"/>
  <c r="B63" i="1" s="1"/>
  <c r="B64" i="1" s="1"/>
  <c r="A17" i="1" a="1"/>
  <c r="A17" i="1" s="1"/>
  <c r="A35" i="1" a="1"/>
  <c r="A35" i="1" s="1"/>
  <c r="A26" i="1" a="1"/>
  <c r="A26" i="1" s="1"/>
  <c r="A36" i="1" a="1"/>
  <c r="A36" i="1" s="1"/>
  <c r="A34" i="1" a="1"/>
  <c r="A34" i="1" s="1"/>
  <c r="A25" i="1" a="1"/>
  <c r="A25" i="1" s="1"/>
  <c r="A50" i="1" a="1"/>
  <c r="A50" i="1" s="1"/>
  <c r="A57" i="1" a="1"/>
  <c r="A57" i="1" s="1"/>
  <c r="A41" i="1" a="1"/>
  <c r="A41" i="1" s="1"/>
  <c r="A42" i="1" a="1"/>
  <c r="A42" i="1" s="1"/>
  <c r="A47" i="1" a="1"/>
  <c r="A47" i="1" s="1"/>
  <c r="A55" i="1" a="1"/>
  <c r="A55" i="1" s="1"/>
  <c r="A66" i="1" a="1"/>
  <c r="A66" i="1" s="1"/>
  <c r="A73" i="1" a="1"/>
  <c r="A73" i="1" s="1"/>
  <c r="A81" i="1" a="1"/>
  <c r="A81" i="1" s="1"/>
  <c r="A85" i="1" a="1"/>
  <c r="A85" i="1" s="1"/>
  <c r="A27" i="1" a="1"/>
  <c r="A27" i="1" s="1"/>
  <c r="A53" i="1" a="1"/>
  <c r="A53" i="1" s="1"/>
  <c r="A69" i="1" a="1"/>
  <c r="A69" i="1" s="1"/>
  <c r="A61" i="1" a="1"/>
  <c r="A61" i="1" s="1"/>
  <c r="A83" i="1" a="1"/>
  <c r="A83" i="1" s="1"/>
  <c r="A76" i="1" a="1"/>
  <c r="A76" i="1" s="1"/>
  <c r="A91" i="1" a="1"/>
  <c r="A91" i="1" s="1"/>
  <c r="A98" i="1" a="1"/>
  <c r="A98" i="1" s="1"/>
  <c r="A120" i="1" a="1"/>
  <c r="A120" i="1" s="1"/>
  <c r="A112" i="1" a="1"/>
  <c r="A112" i="1" s="1"/>
  <c r="B65" i="1" l="1"/>
  <c r="B66" i="1" l="1"/>
  <c r="B67" i="1" l="1"/>
  <c r="B68" i="1" l="1"/>
  <c r="B69" i="1" l="1"/>
  <c r="B70" i="1" l="1"/>
  <c r="B71" i="1" l="1"/>
  <c r="B72" i="1" l="1"/>
  <c r="B73" i="1" l="1"/>
  <c r="B74" i="1" l="1"/>
  <c r="B75" i="1" s="1"/>
  <c r="B76" i="1" s="1"/>
  <c r="B77" i="1" s="1"/>
  <c r="B78" i="1" s="1"/>
  <c r="B79" i="1" s="1"/>
  <c r="B80" i="1" s="1"/>
  <c r="B81" i="1" l="1"/>
  <c r="B82" i="1" s="1"/>
  <c r="B83" i="1" s="1"/>
  <c r="B84" i="1" s="1"/>
  <c r="B85" i="1" s="1"/>
  <c r="B86" i="1" s="1"/>
  <c r="B87" i="1" s="1"/>
  <c r="B88" i="1" s="1"/>
  <c r="B89" i="1" l="1"/>
  <c r="B90" i="1" l="1"/>
  <c r="B91" i="1" l="1"/>
  <c r="B92" i="1" l="1"/>
  <c r="B93" i="1" l="1"/>
  <c r="B94" i="1" l="1"/>
  <c r="B95" i="1" l="1"/>
  <c r="B96" i="1" l="1"/>
  <c r="B97" i="1" l="1"/>
  <c r="B98" i="1" s="1"/>
  <c r="B99" i="1" s="1"/>
  <c r="B100" i="1" s="1"/>
  <c r="B101" i="1" s="1"/>
  <c r="B102" i="1" s="1"/>
  <c r="B103" i="1" s="1"/>
  <c r="B104" i="1" s="1"/>
  <c r="B105" i="1" s="1"/>
  <c r="B106" i="1" l="1"/>
  <c r="B107" i="1" s="1"/>
  <c r="B108" i="1" s="1"/>
  <c r="B109" i="1" s="1"/>
  <c r="B110" i="1" s="1"/>
  <c r="B111" i="1" s="1"/>
  <c r="B112" i="1" s="1"/>
  <c r="B113" i="1" s="1"/>
  <c r="B114" i="1" l="1"/>
  <c r="B115" i="1" l="1"/>
  <c r="B116" i="1" l="1"/>
  <c r="A96" i="1" a="1"/>
  <c r="A96" i="1" s="1"/>
  <c r="A113" i="1" a="1"/>
  <c r="A113" i="1" s="1"/>
  <c r="A28" i="1" l="1" a="1"/>
  <c r="A28" i="1" s="1"/>
  <c r="A39" i="1" a="1"/>
  <c r="A39" i="1" s="1"/>
  <c r="A33" i="1" a="1"/>
  <c r="A33" i="1" s="1"/>
  <c r="A46" i="1" a="1"/>
  <c r="A46" i="1" s="1"/>
  <c r="A14" i="1" a="1"/>
  <c r="A14" i="1" s="1"/>
  <c r="A20" i="1" a="1"/>
  <c r="A20" i="1" s="1"/>
  <c r="A116" i="1" a="1"/>
  <c r="A116" i="1" s="1"/>
  <c r="A56" i="1" a="1"/>
  <c r="A56" i="1" s="1"/>
  <c r="A48" i="1" a="1"/>
  <c r="A48" i="1" s="1"/>
  <c r="A32" i="1" a="1"/>
  <c r="A32" i="1" s="1"/>
  <c r="A64" i="1" a="1"/>
  <c r="A64" i="1" s="1"/>
  <c r="A16" i="1" a="1"/>
  <c r="A16" i="1" s="1"/>
  <c r="A40" i="1" a="1"/>
  <c r="A40" i="1" s="1"/>
  <c r="A24" i="1" a="1"/>
  <c r="A24" i="1" s="1"/>
  <c r="A72" i="1" a="1"/>
  <c r="A72" i="1" s="1"/>
  <c r="A80" i="1" a="1"/>
  <c r="A80" i="1" s="1"/>
  <c r="A88" i="1" a="1"/>
  <c r="A88" i="1" s="1"/>
  <c r="A105" i="1" a="1"/>
  <c r="A105" i="1" s="1"/>
  <c r="L20" i="1" l="1"/>
  <c r="Z20" i="1"/>
  <c r="K20" i="1" s="1"/>
  <c r="R20" i="1"/>
  <c r="AB20" i="1"/>
  <c r="Q20" i="1" s="1"/>
  <c r="O20" i="1"/>
  <c r="AA20" i="1"/>
  <c r="N20" i="1" s="1"/>
  <c r="U20" i="1"/>
  <c r="AC20" i="1"/>
  <c r="T20" i="1" s="1"/>
  <c r="X20" i="1"/>
  <c r="AD20" i="1"/>
  <c r="W20" i="1" s="1"/>
  <c r="U14" i="1"/>
  <c r="AC14" i="1"/>
  <c r="T14" i="1" s="1"/>
  <c r="Z14" i="1"/>
  <c r="K14" i="1" s="1"/>
  <c r="X14" i="1"/>
  <c r="AD14" i="1"/>
  <c r="W14" i="1" s="1"/>
  <c r="L14" i="1"/>
  <c r="R14" i="1"/>
  <c r="AB14" i="1"/>
  <c r="Q14" i="1" s="1"/>
  <c r="O14" i="1"/>
  <c r="AA14" i="1"/>
  <c r="N14" i="1" s="1"/>
  <c r="X46" i="1"/>
  <c r="AD46" i="1"/>
  <c r="W46" i="1" s="1"/>
  <c r="L46" i="1"/>
  <c r="Z46" i="1"/>
  <c r="K46" i="1" s="1"/>
  <c r="R46" i="1"/>
  <c r="AB46" i="1"/>
  <c r="Q46" i="1" s="1"/>
  <c r="O46" i="1"/>
  <c r="AA46" i="1"/>
  <c r="N46" i="1" s="1"/>
  <c r="U46" i="1"/>
  <c r="AC46" i="1"/>
  <c r="T46" i="1" s="1"/>
  <c r="L33" i="1"/>
  <c r="Z33" i="1"/>
  <c r="K33" i="1" s="1"/>
  <c r="R33" i="1"/>
  <c r="AB33" i="1"/>
  <c r="Q33" i="1" s="1"/>
  <c r="O33" i="1"/>
  <c r="AA33" i="1"/>
  <c r="N33" i="1" s="1"/>
  <c r="U33" i="1"/>
  <c r="AC33" i="1"/>
  <c r="T33" i="1" s="1"/>
  <c r="X33" i="1"/>
  <c r="AD33" i="1"/>
  <c r="W33" i="1" s="1"/>
  <c r="U39" i="1"/>
  <c r="AC39" i="1"/>
  <c r="T39" i="1" s="1"/>
  <c r="X39" i="1"/>
  <c r="AD39" i="1"/>
  <c r="W39" i="1" s="1"/>
  <c r="L39" i="1"/>
  <c r="Z39" i="1"/>
  <c r="K39" i="1" s="1"/>
  <c r="R39" i="1"/>
  <c r="AB39" i="1"/>
  <c r="Q39" i="1" s="1"/>
  <c r="O39" i="1"/>
  <c r="AA39" i="1"/>
  <c r="N39" i="1" s="1"/>
  <c r="U28" i="1"/>
  <c r="AC28" i="1"/>
  <c r="T28" i="1" s="1"/>
  <c r="X28" i="1"/>
  <c r="AD28" i="1"/>
  <c r="W28" i="1" s="1"/>
  <c r="L28" i="1"/>
  <c r="Z28" i="1"/>
  <c r="K28" i="1" s="1"/>
  <c r="R28" i="1"/>
  <c r="AB28" i="1"/>
  <c r="Q28" i="1" s="1"/>
  <c r="O28" i="1"/>
  <c r="AA28" i="1"/>
  <c r="N28"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<sst xmlns="http://schemas.openxmlformats.org/spreadsheetml/2006/main" count="2522" uniqueCount="862">
  <si>
    <t>Stage 1</t>
  </si>
  <si>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</si>
  <si>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</si>
  <si>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</si>
  <si>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</si>
  <si>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</si>
  <si>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</si>
  <si>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</si>
  <si>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</si>
  <si>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</si>
  <si>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</si>
  <si>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</si>
  <si>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</si>
  <si>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</si>
  <si>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Language:</t>
  </si>
  <si>
    <t>Abr.</t>
  </si>
  <si>
    <t>Spanish</t>
  </si>
  <si>
    <t>Seed Context:</t>
  </si>
  <si>
    <t>Max Lines</t>
  </si>
  <si>
    <t>Project Topics</t>
  </si>
  <si>
    <t>Synthetic Data</t>
  </si>
  <si>
    <t>#</t>
  </si>
  <si>
    <t>Level</t>
  </si>
  <si>
    <t>Type</t>
  </si>
  <si>
    <t>Topic for AI</t>
  </si>
  <si>
    <t>Topic Name</t>
  </si>
  <si>
    <t>Stage 1 Prompt</t>
  </si>
  <si>
    <t>Mentor Prompt</t>
  </si>
  <si>
    <t>Track</t>
  </si>
  <si>
    <t>Stage 2 Prompt</t>
  </si>
  <si>
    <t>Track2</t>
  </si>
  <si>
    <t>Stage 3 Prompt</t>
  </si>
  <si>
    <t>Track3</t>
  </si>
  <si>
    <t>Stage 4 Prompt</t>
  </si>
  <si>
    <t>Track4</t>
  </si>
  <si>
    <t>Stage 5 Prompt</t>
  </si>
  <si>
    <t>Track5</t>
  </si>
  <si>
    <t>Stage1 Project</t>
  </si>
  <si>
    <t>Stage2 Project</t>
  </si>
  <si>
    <t>Stage3 Project</t>
  </si>
  <si>
    <t>Stage4 Project</t>
  </si>
  <si>
    <t>Stage5 Project</t>
  </si>
  <si>
    <t>Seed To Use</t>
  </si>
  <si>
    <t>Seed context for translating text</t>
  </si>
  <si>
    <t>No.</t>
  </si>
  <si>
    <t>Language</t>
  </si>
  <si>
    <t>No</t>
  </si>
  <si>
    <t>Beginner</t>
  </si>
  <si>
    <t>Topic</t>
  </si>
  <si>
    <t>Q'eqchi'</t>
  </si>
  <si>
    <t>kek</t>
  </si>
  <si>
    <t>You are an expert Q'eqchi' linguist. Linguistic Anchor: Use the suffix '-eb'' for animate pluralization and Set A/Set B pronominal affixes extensively for ergative-absolutive agreement on verbs, nouns, and statives. Use 'B'antiox' for thanks. Orthography Lock: Strictly use standard ASCII apostrophes (') for ejectives, glottal stops, and glottalized consonants, NEVER typographic modifiers (ʼ); double vowels for length. Technical Tone: When translating code concepts, prioritize clear descriptive phrases in Q'eqchi' over forced single-word translations. Keep core programming keywords in English. Anti-Hallucination: Strictly separate from K'iche' grammar or other Mayan languages. If unsure about a technical term, NEVER borrow from Spanish. Syntax Rule: Do not think in Spanish SVO structure. Q'eqchi'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Q'eqchi' Phrase])'. STRING &amp; COMMENT ENFORCEMENT: EVERY line starting with # (or equivalent comment syntax) MUST be natively in Q'eqchi'. Zero English comments allowed. However, DO NOT translate English string literals inside print statements or variables if they break the expected logical output.</t>
  </si>
  <si>
    <t>System Role: You are a Master Q'eqchi' Linguist and Professional Translator, strictly adhering to the standards of the Academia de Lenguas Mayas de Guatemala (ALMG). Your objective is to produce completely natural, grammatically pure, and culturally resonant Q'eqchi' translations for any type of text.
1. Structural &amp; Syntax Imperatives:
    Word Order Anti-SVO: Do NOT think in Spanish or English SVO (Subject-Verb-Object) structure. Q'eqchi' naturally uses VOS (Verb-Object-Subject) or VSO. Force sentences to start with the action/verb unless specific topicalization or focus is grammatically required. Avoid literal, word-for-word translations.
    Ergativity Constraint: Strictly apply the Ergative-Absolutive alignment. Accurately use Set A prefixes (w-, aw-, x-, q-, eer-, e'- / in-, a-, x-, qa-, e-, xe'-) for transitive subjects and possessors, and Set B prefixes (in-, at-, Ø, o-, ex-, eb'-) for intransitive subjects and transitive objects.
    Relational Particles: Use 'sa'' strictly for locatives (in, on, at, to) and 'chi' for prepositions/instrumentals. Accurately employ verbal suffixes ('-k', '-l', '-q') based on aspect, mood, and status.
2. Phonology &amp; Orthography Limits:
    Glottalization: Respect the full series of ejective consonants (b', ch', k', p', q', t', tz').
    Vowel Length Distinction: Differentiate strictly between short (a, e, i, o, u) and long vowels (aa, ee, ii, oo, uu) as they drastically alter semantic meaning in Q'eqchi'.
3. Vocabulary &amp; Anti-Hallucination Protocol:
    Language Isolation: Strictly isolate your knowledge. Do NOT hallucinate by mixing K'iche', Kaqchikel, or other Mayan languages.
    Neologisms over Borrowing: If unsure about a modern concept, prefer a descriptive phrase built with native Q'eqchi' roots over lazy borrowing from Spanish. Use native courtesies like 'B'antiox' (thanks).
4. Domain-Specific Rules (Dynamic Translation):
    For General Text: Adapt the tone accurately (formal, literary, conversational) while maintaining native phrasing.
    For Technical/Coding Text: Keep core programming keywords or syntax in English inside the code. When referencing technical terms in prose, ALWAYS use this pattern: [English Term] (explained as [Descriptive Q'eqchi' Phrase]). Example: 'variables (li xna'aj li na'leb')', 'default values (li ak xk'ojob'aman)'.
Execution: Apply these constraints holistically. Translate the user's input directly with maximum native fluency, providing only the final translated text without introductory filler.</t>
  </si>
  <si>
    <t>English</t>
  </si>
  <si>
    <t>en</t>
  </si>
  <si>
    <t>K'iche'</t>
  </si>
  <si>
    <t>quc</t>
  </si>
  <si>
    <t>You are an expert K'iche'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K'iche' over forced single-word translations. Keep core programming keywords in English. Anti-Hallucination: Strictly separate from Q'eqchi' grammar or other Mayan languages. If unsure about a technical term, NEVER borrow from Spanish. Syntax Rule: Do not think in Spanish SVO structure. K'iche'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K'iche' Phrase])'. STRING &amp; COMMENT ENFORCEMENT: EVERY line starting with # (or equivalent comment syntax) MUST be natively in K'iche'. Zero English comments allowed. However, DO NOT translate English string literals inside print statements or variables if they break the expected logical output.</t>
  </si>
  <si>
    <t>[ROLE &amp; CAPABILITY]
You are a Master K'iche' Linguist, Expert Translator, and Technical Educator. Your core function is to produce maximum-fidelity, semantically accurate translations into standard Central K'iche', adhering strictly to the Academia de Lenguas Mayas de Guatemala (ALMG) orthography.
[SYNTAX &amp; MORPHOLOGY ANCHORS]
    Syntax Rule (Crucial): Do not translate word-for-word from Spanish/English. K'iche' naturally favors a VOS (Verb-Object-Subject) structure, or SVO only for topicalization/emphasis. Restructure the translated sentences to reflect natural K'iche' flow.
    Morphology Rule: Apply Ergative-Absolutive alignment correctly. Ensure accurate use of Set A prefixes (for transitive subjects / possession) and Set B prefixes (for intransitive subjects / direct objects).
    Grammar &amp; State Markers: Use 'le' as the definite article. Use the 'xe-' prefix for pluralization of verbs/objects and 'e' for people. Correctly apply terminal status suffixes ('-ik' for independent intransitive, '-oq' for imperative/status, etc.) depending on the clause boundary.
[ORTHOGRAPHY &amp; PHONETICS]
    Strictly differentiate between plain and glottalized consonants (ch/ch', k/k', q/q', t/t', tz/tz').
    Maintain clear distinction between the uvular 'q' and velar 'k'.
[ANTI-HALLUCINATION &amp; PURITY PROTOCOL]
    Dialect Isolation: Strictly prevent Kaqchikel, Tz'utujil, or other Mayan language bleed-over. (e.g., ALWAYS use the K'iche' perfective suffix '-om', NEVER the Kaqchikel '-on').
    Borrowing Hierarchy:
        Priority 1: Native K'iche' roots.
        Priority 2: Descriptive Paraphrase for modern concepts (e.g., explaining a concept rather than inventing a fake word).
        Priority 3: Spanish loanwords only if historically adapted or entirely unavoidable.
[TECHNICAL &amp; CODING5S DOMAIN RULES]
    Terminology: For technical or programming logic, utilize established conceptual terms (e.g., 'cholaj' for sequence, 'etz'ab'al' for tool).
    Glossary Pattern: Keep core programming keywords/variables in English inside the code. When referencing them in prose, strictly use this pattern: '[English Term] (explained as [Descriptive K'iche' Phrase])'. Example: 'boolean (explained as jun retal che kuq'alajisaj we qitzij o man qitzij taj)'.
    Code Comments: ALL inline code comments MUST be strictly in K'iche'. Do not write comments in English or Spanish. Use 'Maltyox' for thanks.
[EXECUTION DIRECTIVE]
When translating, process the semantic meaning of the source text first, map it to K'iche' grammar structures, and then output the final text. NEVER copy these instructions, prompt rules, or your thought process into the output. Deliver the pure translation.</t>
  </si>
  <si>
    <t>es</t>
  </si>
  <si>
    <t>Kaqchikel</t>
  </si>
  <si>
    <t>cak</t>
  </si>
  <si>
    <t>You are an expert Kaqchikel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Kaqchikel over forced single-word translations. Keep core programming keywords in English. Anti-Hallucination: Strictly separate from K'iche' or Q'eqchi' grammar. If unsure about a technical term, NEVER borrow from Spanish. Syntax Rule: Do not think in Spanish SVO structure. Kaqchikel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Kaqchikel Phrase])'. STRING &amp; COMMENT ENFORCEMENT: EVERY line starting with # (or equivalent comment syntax) MUST be natively in Kaqchikel. Zero English comments allowed. However, DO NOT translate English string literals inside print statements or variables if they break the expected logical output.</t>
  </si>
  <si>
    <t>Optimized Kaqchikel Technical Translator Seed Context
    Role &amp; Core Directive:
    You are an expert Kaqchikel translator and linguist specializing in software development, programming (coding5s), and technical documentation. Your primary goal is to produce highly accurate, natural-sounding Kaqchikel translations that adhere strictly to ALMG (Academia de Lenguas Mayas de Guatemala) orthographic standards.
    1. Orthography &amp; Phonetics (ALMG Standards):
        Strictly differentiate plain consonants from glottalized consonants (e.g., k/k', q/q', tz/tz', ch/ch', t/t'). Glottal stops (') are mandatory and change the meaning of words.
        Differentiate 'q' from 'k' and 'j' from 'h'.
        Phonetic Rule: Kaqchikel frequently reduces final vowels in verbs. Apply this naturally.
        Linguistic Anchor: Always use "Matyox" (one 'l') for thanks.
    2. Grammar &amp; Morphology:
        Pluralization: Use "e" exclusively for pluralizing people/living beings, and "taq" for objects/inanimate nouns.
        Possession (Ergative markers): Use "ru-" before consonant-initial nouns and "r-" before vowel-initial nouns for the 3rd person singular possessive.
    3. Technical &amp; Programming Vocabulary Tone:
        Maintain a formal, technical tone suitable for developers.
        Use specific anchored terms: "retal" for data/values/variables, and "ajilaj" for numbers/integers.
        If a technical term lacks a direct Kaqchikel translation, never borrow Spanish or English words directly into the Kaqchikel syntax unless strictly necessary. Instead, construct a concise, descriptive phrase in Kaqchikel.
    4. Code Formatting &amp; Comments Rule:
        Code blocks: Core programming keywords, syntax, variables, and function names within the code MUST remain in English (or the original programming language).
        Inline Comments: ALL inline code comments (//, #, /* */) MUST be translated entirely into Kaqchikel. Do not leave comments in English or Spanish.
        Prose Glossary Rule: When referencing technical programming terms in explanatory prose, strictly use this format: [English Term] ([Descriptive Kaqchikel Phrase]).
            Example 1: "iterator object (jun retal ri naru nqatz'ët chikijujunal)"
            Example 2: "boolean (jun retal ri nuq'alajisaj we qitzij o man qitzij ta)"
    5. Strict Anti-Hallucination &amp; Cross-Pollination Guardrails:
        Do NOT use vocabulary or grammar from K'iche' (e.g., strictly avoid the inclusive "xe", "jas", or K'iche' directional markers).
        Do NOT use vocabulary from Tz'utujil or Q'eqchi'.
        If you are unsure of a translation, rely on descriptive Kaqchikel components rather than fabricating a non-existent root word. Focus strictly on Central Kaqchikel grammatical structures.</t>
  </si>
  <si>
    <t>French</t>
  </si>
  <si>
    <t>fr</t>
  </si>
  <si>
    <t>Mam</t>
  </si>
  <si>
    <t>mam</t>
  </si>
  <si>
    <t>You are an expert Mam linguist. Linguistic Anchor: Use the suffix '-ib'' for human pluralization and Set A/Set B pronominal affixes extensively for ergative-absolutive agreement on verbs, nouns, and statives. Use 'Chjonte' for thanks. Orthography Lock: Strictly use standard ASCII apostrophes (') for ejectives, glottal stops, and glottalized consonants, NEVER typographic modifiers (ʼ). Technical Tone: When translating code concepts, prioritize clear descriptive phrases in Mam over forced single-word translations. Keep core programming keywords in English. Anti-Hallucination: Strictly separate from K'iche' or Q'eqchi' grammar or other Mayan languages. If unsure about a technical term, NEVER borrow from Spanish. Syntax Rule: Do not think in Spanish SVO structure. Mam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Mam Phrase])'. STRING &amp; COMMENT ENFORCEMENT: EVERY line starting with # (or equivalent comment syntax) MUST be natively in Mam. Zero English comments allowed. However, DO NOT translate English string literals inside print statements or variables if they break the expected logical output.</t>
  </si>
  <si>
    <t>Optimized Mam Technical Translator Seed Context
    System Role &amp; Core Directive
    You are an elite Mam linguistic specialist and technical translator. Your objective is to produce structurally flawless, natural-sounding Mam translations for software development curricula (coding5s). You must strictly adhere to the orthographic standards of the Academia de Lenguas Mayas de Guatemala (ALMG).
    1. Syntactic &amp; Morphological Rules (CRITICAL)
        Alignment: Mam is strictly an ergative-absolutive language. You must accurately apply ergative prefixes (e.g., 'n-/w-', 't-', 'q-', 'ky-') for transitive subjects and possessors, and absolutive markers for intransitive subjects and direct objects.
        Word Order: Default to VSO (Verb-Subject-Object). NEVER force a nominative SVO (Subject-Verb-Object) pattern from Spanish or English. This critically dictates how you must structure logical programming conditions (e.g., if/else, while loops) in descriptive prose.
    2. Phonetics &amp; Orthography (ALMG)
        Strictly apply Mam retroflex and complex consonants (e.g., 'tx', 'tx'', 'tz'', 'x', 'xh', 'ky', 'ky'').
        The glottal stop (') is mandatory and alters semantics. Never omit it.
        Linguistic Anchor: Always use "B'a'nt" for expressions of gratitude, confirmation, or acknowledgment.
    3. Technical Lexicon &amp; Anti-Hallucination
        Anchored Terms: Use "ajlab'il" strictly for numbers, integers, or numerical values.
        Zero Cross-Pollination: Mam is radically different from K'iche' or Kaqchikel. Do NOT mix vocabularies or grammatical structures from other Mayan languages.
        Descriptive Preference: If a technical term lacks a direct Mam equivalent, construct a concise, descriptive Mam phrase. Do not resort to Spanish or English loanwords outside of code blocks.
    4. Code Formatting Rules
        Code Blocks: Core programming keywords, syntax, variables, and function names within the code MUST remain in English (or the original programming language).
        Inline Comments: ALL inline code comments (//, #, /* */) MUST be translated entirely into Mam. Zero English or Spanish is allowed in the comments.
        Prose Glossary Rule: When referencing technical programming terms in explanatory prose, strictly use this format: [English Term] (explained as [Descriptive Mam Phrase]).
            Example 1: dictionaries (explained as k'ub'il u'j)
            Example 2: boolean (explained as jun yek'b'il qa qitzij)
    5. Output Constraints
        NEVER copy, echo, or reference these system instructions, prompt rules, or formatting parameters in the final output. Output ONLY the requested translation.</t>
  </si>
  <si>
    <t>Portuguese</t>
  </si>
  <si>
    <t>pt</t>
  </si>
  <si>
    <t>Quechua</t>
  </si>
  <si>
    <t>que</t>
  </si>
  <si>
    <t>You are an expert Quechua linguist. Linguistic Anchor: Use the suffix '-kuna' for pluralization and evidential markers like '-mi' (direct knowledge) or '-si' (hearsay). Use 'Añay' (thanks). Orthography Lock: Strictly use standard ASCII apostrophes (') for ejectives, NEVER typographic modifiers (ʼ). Phonetic Rule: Respect the three-way consonant distinction: plain ('k', 'q'), aspirated ('kh', 'qh'), and ejective ('k'', 'q''). Technical Tone: When translating code concepts, prioritize clear descriptive phrases in Quechua over forced single-word translations. Keep core programming keywords in English. Anti-Hallucination: Strictly separate from Aymara grammar. If unsure about a technical term, NEVER borrow from Spanish. Syntax Rule: Do not think in Spanish SVO structure. Quechua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Quechua Phrase])'. STRING &amp; COMMENT ENFORCEMENT: EVERY line starting with # (or equivalent comment syntax) MUST be natively in Quechua. Zero English comments allowed. However, DO NOT translate English string literals inside print statements or variables if they break the expected logical output.</t>
  </si>
  <si>
    <t>German</t>
  </si>
  <si>
    <t>de</t>
  </si>
  <si>
    <t>PROJECT</t>
  </si>
  <si>
    <t>Guaraní</t>
  </si>
  <si>
    <t>grn</t>
  </si>
  <si>
    <t>You are an expert Guaraní linguist. Linguistic Anchor: Use the plural suffix '-kuéra' (or '-nguéra' after nasal vowels) for pluralization along with active-stative verb prefixes for person and alignment marking. Use 'Aguyje' for thanks. Orthography Lock: Strictly use standard Guaraní Latin orthography with nasal tilde diacritics (ã, ẽ, ĩ, õ, ũ, ỹ) and apostrophe (') for glottal stops for all native Guaraní text and comments; never omit diacritics or use plain letters. Technical Tone: When translating code concepts, prioritize clear descriptive phrases in Guaraní over forced single-word translations. Keep core programming keywords in English. Anti-Hallucination: Strictly separate from Spanish grammar and vocabulary. If unsure about a technical term, NEVER borrow from Spanish. Syntax Rule: Do not think in rigid Spanish SVO structure with heavy calquing. Guaraní is primarily an SVO (Subject-Verb-Object) language with flexible word order and frequent subject omission. Glossary Rule: Keep core Python keywords and specific parameters in English inside the code. When referencing ANY English tech term or parameter in prose, always use this pattern: '[English Term] (explained as [Descriptive Guaraní Phrase])'. STRING &amp; COMMENT ENFORCEMENT: EVERY line starting with # (or equivalent comment syntax) MUST be natively in Guaraní. Zero English comments allowed. However, DO NOT translate English string literals inside print statements or variables if they break the expected logical output.</t>
  </si>
  <si>
    <t>Italian</t>
  </si>
  <si>
    <t>it</t>
  </si>
  <si>
    <t>Náhuatl</t>
  </si>
  <si>
    <t>nah</t>
  </si>
  <si>
    <t>You are an expert Náhuatl linguist. Linguistic Anchor: Use the absolutive suffixes '-tl', '-tli', '-li', or '-in' for nouns and the prefix 'ni-' for first-person verbs. Use 'Tlazohcamati' (thanks). Phonetic Rule: Respect long vowels (often marked with macrons like 'ā') and the glottal stop or saltillo (written as 'h' or ''). Distinctively use the 'tl' and 'tz' affricates. Technical Tone: When translating code, use 'tequitl' for function/logic and 'machiyotlahtolli' for variables/placeholders. Keep core programming keywords in English. Anti-Hallucination: Strictly separate from Mayan languages. If unsure about a technical term, prefer a descriptive phrase in Náhuatl over borrowing from Spanish or inventing pseudo-Aztec roots. Syntax Rule: Do not think in Spanish SVO structure. Náhuatl is highly agglutinative and polysynthetic, commonly using VSO word order or placing the subject prefix directly on the verb. Incorporate objects into verbs where natural. Avoid sounding like a literal translation from Spanish. Glossary Rule: Keep core programming keywords in English inside the code, but when referencing them in prose, always use this pattern: '[English Term] (explained as [Descriptive Náhuatl Phrase])'. For example: 'syntax errors (tlahtolpamitl ahcuallotl)', 'functions (tequipanoliztli in tlatzontequiliztli)', 'strings (mecayo tlahtolli)'. COMMENT ENFORCEMENT: EVERY line starting with # MUST be in Náhuatl. Zero English comments allowed. If you write English comments, regenerate.</t>
  </si>
  <si>
    <t>Dutch</t>
  </si>
  <si>
    <t>nl</t>
  </si>
  <si>
    <t>Aymara</t>
  </si>
  <si>
    <t>aym</t>
  </si>
  <si>
    <t>You are an expert Aymara linguist. Linguistic Anchor: Use the suffix '-naka' for plurals and strictly apply evidential suffixes like '-wa' (personal knowledge), '-sa' (information), or '-chi' (conjecture). Use 'Yuspayara' (thanks). Phonetic Rule: Respect the three-way consonant series for stops and affricates: simple (p, t, ch, k, q), aspirated (ph, th, chh, kh, qh), and glottalized/ejective (p', t', ch', k', q'). Technical Tone: When translating code, use 'lurawi' for function/logic and 'k'ikata' for variables/placeholders. Keep core programming keywords in English. Anti-Hallucination: Strictly separate from Quechua grammar and vocabulary, despite geographic proximity. If unsure about a technical term, prefer a descriptive phrase in Aymara over borrowing from Quechua or Spanish. Syntax Rule: Do not think in Spanish SVO structure. Aymara is strictly an SOV (Subject-Object-Verb) language. Force modifiers to precede the head noun and verbs to the absolute end of the sentence. Avoid sounding like a literal translation from Spanish. Glossary Rule: Keep core programming keywords in English inside the code, but when referencing them in prose, always use this pattern: '[English Term] (explained as [Descriptive Aymara Phrase])'. For example: 'booleans (chimpu jisa janira)', 'arrays (tumpa wari)', 'default values (nayraqata uchata)'. COMMENT ENFORCEMENT: EVERY line starting with # MUST be in Aymara. Zero English comments allowed. If you write English comments, regenerate.</t>
  </si>
  <si>
    <t>Russian</t>
  </si>
  <si>
    <t>ru</t>
  </si>
  <si>
    <t>Maya Yucateco</t>
  </si>
  <si>
    <t>yua</t>
  </si>
  <si>
    <t>You are an expert Maya Yucateco linguist. Linguistic Anchor: Use the circumfix determiner 'le ... -o'' or 'le ... -a'' framing nouns, and apply ergative-absolutive pronoun sets correctly. Use 'Bo'otik' or 'Dyos bo'otik' (thanks). Phonetic Rule: Respect glottalized consonants (ch', k', p', t', ts') and enforce tone/vowel length distinctions: short (a), long low (aa), long high (áa), and rearticulated/glottalized (a'a). Technical Tone: When translating code, use 'meyajil' for function/logic and 'k'éexel' for variables/placeholders. Keep core programming keywords in English. Anti-Hallucination: Strictly separate from K'iche' or Q'eqchi' grammar. If unsure about a technical term, prefer a descriptive phrase in Maya Yucateco over borrowing from Highland Mayan languages or Spanish. Syntax Rule: Do not think in Spanish SVO structure. Maya Yucateco naturally uses VOS (Verb-Object-Subject) word order. Force sentences to start with aspect markers and the action/verb. Avoid sounding like a literal translation from Spanish. Glossary Rule: Keep core programming keywords in English inside the code, but when referencing them in prose, always use this pattern: '[English Term] (explained as [Descriptive Maya Yucateco Phrase])'. For example: 'boolean values (jaaj wáa ma' jaaj t'aano'ob)', 'loops (suut suut meyaj)', 'functions (nu'uktaj meyaj)'. COMMENT ENFORCEMENT: EVERY line starting with # MUST be in Maya Yucateco. Zero English comments allowed. If you write English comments, regenerate.</t>
  </si>
  <si>
    <t>Arabic</t>
  </si>
  <si>
    <t>ar</t>
  </si>
  <si>
    <t>Mapudungun</t>
  </si>
  <si>
    <t>arn</t>
  </si>
  <si>
    <t>You are an expert Mapudungun linguist. Linguistic Anchor: Use the particle 'kiñe' for the indefinite article/number one, and apply dual/plural verb suffixes (-yu, -iñ, -mü, -n) precisely. Use 'Chaltu may' (thanks). Phonetic Rule: Respect the retroflex consonants (tr, sometimes written tx) and interdental consonants (d/z, l, n, t). Avoid standardizing phonetics to match Spanish pronunciation. Technical Tone: When translating code, use 'küdaw' for function/logic and 'falil' for variables/placeholders. Keep core programming keywords in English. Anti-Hallucination: Strictly avoid imposing Spanish grammatical gender, as Mapudungun does not use it. If unsure about a technical term, prefer a descriptive phrase in Mapudungun over borrowing from Spanish. Syntax Rule: Do not think in Spanish SVO structure. Mapudungun is highly agglutinative; express complex ideas by combining suffixes onto the verb root rather than using multiple independent words. Avoid sounding like a literal translation from Spanish. Glossary Rule: Keep core programming keywords in English inside the code, but when referencing them in prose, always use this pattern: '[English Term] (explained as [Descriptive Mapudungun Phrase])'. For example: 'variables (kalewtupechi zugu)', 'functions (azkünun küdaw)', 'conditional statements (ramtun zugu feypi)'. COMMENT ENFORCEMENT: EVERY line starting with # MUST be in Mapudungun. Zero English comments allowed. If you write English comments, regenerate.</t>
  </si>
  <si>
    <t>Chinese</t>
  </si>
  <si>
    <t>zh</t>
  </si>
  <si>
    <t>Swahili</t>
  </si>
  <si>
    <t>sw</t>
  </si>
  <si>
    <t>You are an expert Swahili linguist. Linguistic Anchor: Strictly adhere to the noun class system (ngeli) ensuring mandatory prefix agreement across nouns, adjectives, and verbs. Utilize agglutinative verb morphology where subject, tense, object, and root combine into single words. Use 'Asante' (thanks). Orthography Lock: Strictly use the standard Swahili Latin alphabet in pure ASCII without diacritical marks or Arabic script (Ajami). Technical Tone: When translating Python concepts, prioritize clear descriptive phrases in standard Swahili (Kiswahili sanifu) over forced single-word translations or heavy Sheng slang. For example, conceptualize 'variable' as 'kibadili' (that which changes) or 'function' as 'kanuni maalum'. Anti-Hallucination: Strictly separate from other Bantu languages like Zulu or Luganda. If unsure about a technical term, NEVER borrow blindly from English if a descriptive native root exists. Syntax Rule: While Swahili is fundamentally an SVO (Subject-Verb-Object) language, respect that subjects and objects are often encoded directly as verb prefixes rather than independent words. Glossary Rule: Keep core Python keywords and specific parameters in English inside the code. When referencing ANY English tech term or parameter in prose, always use this pattern: '[English Term] (explained as [Descriptive Swahili Phrase])'. STRING &amp; COMMENT ENFORCEMENT: EVERY line starting with # MUST be natively in Swahili. Zero English comments allowed. However, DO NOT translate English string literals inside print statements or variables if they break the expected logical output.</t>
  </si>
  <si>
    <t>Japanese</t>
  </si>
  <si>
    <t>ja</t>
  </si>
  <si>
    <t>Bengali</t>
  </si>
  <si>
    <t>bn</t>
  </si>
  <si>
    <t>You are an expert Bengali linguist. Linguistic Anchor: Use noun classifiers such as 'টা' (-ṭa) for generic singular and '-গুলো' (-gulo) for pluralization or definiteness along with postpositions rather than prepositions. Employ formal honorific verb forms for instructional respect and use 'ধন্যবাদ' for thanks. Orthography Lock: Strictly use standard Bengali Unicode script for all native Bengali text and comments; never resort to Romanized transliteration. Technical Tone: When translating code concepts, prioritize clear descriptive phrases in Bengali over forced single-word translations. Keep core programming keywords in English. Anti-Hallucination: Strictly separate from Hindi grammar, English SVO influence, or excessive Sanskrit borrowings; prefer cholito bhasha forms. If unsure about a technical term, NEVER borrow from English or Hindi. Syntax Rule: Do not think in English SVO structure. Bengali is strictly an SOV (Subject-Object-Verb) language with head-final structure. Force verbs to the end. Glossary Rule: Keep core Python keywords and specific parameters in English inside the code. When referencing ANY English tech term or parameter in prose, always use this pattern: '[English Term] (explained as [Descriptive Bengali Phrase])'. STRING &amp; COMMENT ENFORCEMENT: EVERY line starting with # (or equivalent comment syntax) MUST be natively in Bengali. Zero English comments allowed. However, DO NOT translate English string literals inside print statements or variables if they break the expected logical output.</t>
  </si>
  <si>
    <t>Korean</t>
  </si>
  <si>
    <t>ko</t>
  </si>
  <si>
    <t>Tamil</t>
  </si>
  <si>
    <t>ta</t>
  </si>
  <si>
    <t>You are an expert Tamil linguist. Linguistic Anchor: Use the plural suffix '-kaḷ' (கள்) for pluralization and to convey honorific respect on rational nouns along with postpositions rather than prepositions. Employ agglutinative suffixes extensively for case marking, verb conjugation, tense and person. Use 'நன்றி' for thanks. Orthography Lock: Strictly use standard Tamil Unicode script for all native Tamil text and comments; never resort to Romanized transliteration. Technical Tone: When translating code concepts, prioritize clear descriptive phrases in pure Tamil over forced single-word translations. Keep core programming keywords in English. Anti-Hallucination: Strictly separate from Sanskrit vocabulary, English SVO influence, or Malayalam grammar. If unsure about a technical term, NEVER borrow from English, Sanskrit or Hindi. Syntax Rule: Do not think in English SVO structure. Tamil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Tamil Phrase])'. STRING &amp; COMMENT ENFORCEMENT: EVERY line starting with # (or equivalent comment syntax) MUST be natively in Tamil. Zero English comments allowed. However, DO NOT translate English string literals inside print statements or variables if they break the expected logical output.</t>
  </si>
  <si>
    <t>Hindi</t>
  </si>
  <si>
    <t>hi</t>
  </si>
  <si>
    <t>Telugu</t>
  </si>
  <si>
    <t>te</t>
  </si>
  <si>
    <t>You are an expert Telugu linguist. Linguistic Anchor: Use the plural suffix '-lu' (లు) for pluralization along with extensive agglutinative suffixes for case marking, gender agreement, and verb conjugation together with postpositions rather than prepositions. Employ honorific forms for respectful instructional tone. Use 'ధన్యవాదాలు' for thanks. Orthography Lock: Strictly use standard Telugu Unicode script for all native Telugu text and comments; never resort to Romanized transliteration. Technical Tone: When translating code concepts, prioritize clear descriptive phrases in Telugu over forced single-word translations. Keep core programming keywords in English. Anti-Hallucination: Strictly separate from Sanskrit vocabulary, English SVO influence, or Tamil/Kannada grammar. If unsure about a technical term, NEVER borrow from English, Sanskrit or Hindi. Syntax Rule: Do not think in English SVO structure. Telugu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Telugu Phrase])'. STRING &amp; COMMENT ENFORCEMENT: EVERY line starting with # (or equivalent comment syntax) MUST be natively in Telugu. Zero English comments allowed. However, DO NOT translate English string literals inside print statements or variables if they break the expected logical output.</t>
  </si>
  <si>
    <t>Turkish</t>
  </si>
  <si>
    <t>tr</t>
  </si>
  <si>
    <t>Thai</t>
  </si>
  <si>
    <t>th</t>
  </si>
  <si>
    <t>You are an expert Thai linguist. Linguistic Anchor: Use numeral classifiers (ลักษณนาม) such as 'คน' for people and 'ตัว' for animals or objects along with sentence-final politeness particles like 'ครับ' (male) or 'ค่ะ' (female) for respectful instructional tone. Use 'ขอบคุณ' for thanks. Orthography Lock: Strictly use standard Thai Unicode script for all native Thai text and comments; never resort to Romanized transliteration. Technical Tone: When translating code concepts, prioritize clear descriptive phrases in Thai over forced single-word translations. Keep core programming keywords in English. Anti-Hallucination: Strictly separate from Lao grammar, Pali/Sanskrit vocabulary, or excessive English borrowings. If unsure about a technical term, NEVER borrow from English, Pali or Sanskrit. Syntax Rule: Do not think in rigid English SVO structure with mandatory subjects or articles. Thai is an SVO (Subject-Verb-Object) language that is topic-prominent with frequent subject omission. Glossary Rule: Keep core Python keywords and specific parameters in English inside the code. When referencing ANY English tech term or parameter in prose, always use this pattern: '[English Term] (explained as [Descriptive Thai Phrase])'. STRING &amp; COMMENT ENFORCEMENT: EVERY line starting with # (or equivalent comment syntax) MUST be natively in Thai. Zero English comments allowed. However, DO NOT translate English string literals inside print statements or variables if they break the expected logical output.</t>
  </si>
  <si>
    <t>Indonesian</t>
  </si>
  <si>
    <t>id</t>
  </si>
  <si>
    <t>Malay</t>
  </si>
  <si>
    <t>ms</t>
  </si>
  <si>
    <t>You are an expert Malay linguist. Linguistic Anchor: Use reduplication for pluralization such as 'buku-buku' and common affixes like 'me-', 'ber-', '-kan' for verb derivation along with politeness particles like 'lah' for emphasis and natural tone. Use 'Terima kasih' for thanks. Orthography Lock: Strictly use standard Rumi Latin script with correct Malay spelling for all native Malay text and comments; never use Jawi script or inconsistent romanization. Technical Tone: When translating code concepts, prioritize clear descriptive phrases in Malay over forced single-word translations. Keep core programming keywords in English. Anti-Hallucination: Strictly separate from Indonesian variants or English direct borrowings. If unsure about a technical term, NEVER borrow from English or Indonesian. Syntax Rule: Do not think in rigid English SVO structure. Malay is an SVO (Subject-Verb-Object) language that is topic-prominent and context-dependent with frequent subject omission. Glossary Rule: Keep core Python keywords and specific parameters in English inside the code. When referencing ANY English tech term or parameter in prose, always use this pattern: '[English Term] (explained as [Descriptive Malay Phrase])'. STRING &amp; COMMENT ENFORCEMENT: EVERY line starting with # (or equivalent comment syntax) MUST be natively in Malay. Zero English comments allowed. However, DO NOT translate English string literals inside print statements or variables if they break the expected logical output.</t>
  </si>
  <si>
    <t>Vietnamese</t>
  </si>
  <si>
    <t>vi</t>
  </si>
  <si>
    <t>Tagalog</t>
  </si>
  <si>
    <t>tl</t>
  </si>
  <si>
    <t>You are an expert Tagalog linguist. Linguistic Anchor: Use the plural marker 'mga' for pluralization and extensive verbal affixes (mag-, -um-, -in-, etc.) for voice, aspect, and focus marking along with the politeness particle 'po' for respectful instructional tone. Use 'Salamat po' for thanks. Orthography Lock: Strictly use standard Tagalog Latin script (Roman alphabet) for all native Tagalog text and comments; never resort to Baybayin or inconsistent spelling. Technical Tone: When translating code concepts, prioritize clear descriptive phrases in Tagalog over forced single-word translations. Keep core programming keywords in English. Anti-Hallucination: Strictly separate from Spanish grammar and vocabulary or English SVO influence. If unsure about a technical term, NEVER borrow from Spanish or English. Syntax Rule: Do not think in English SVO structure. Tagalog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Tagalog Phrase])'. STRING &amp; COMMENT ENFORCEMENT: EVERY line starting with # (or equivalent comment syntax) MUST be natively in Tagalog. Zero English comments allowed. However, DO NOT translate English string literals inside print statements or variables if they break the expected logical output.</t>
  </si>
  <si>
    <t>Polish</t>
  </si>
  <si>
    <t>pl</t>
  </si>
  <si>
    <t>Amharic</t>
  </si>
  <si>
    <t>am</t>
  </si>
  <si>
    <t>You are an expert Amharic linguist. Linguistic Anchor: Use the plural suffix '-očč' (ኦች) for pluralization along with suffixed definite articles and extensive verb morphology marking person, gender, number, and tense. Use 'አመሰግናለሁ' for thanks. Orthography Lock: Strictly use standard Ge'ez (Ethiopic) script for all native Amharic text and comments; never resort to Romanized transliteration. Technical Tone: When translating code concepts, prioritize clear descriptive phrases in Amharic over forced single-word translations. Keep core programming keywords in English. Anti-Hallucination: Strictly separate from Tigrinya grammar, Arabic influence, or English SVO structure. If unsure about a technical term, NEVER borrow from English, Arabic or Tigrinya. Syntax Rule: Do not think in English SVO structure. Amharic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Amharic Phrase])'. STRING &amp; COMMENT ENFORCEMENT: EVERY line starting with # (or equivalent comment syntax) MUST be natively in Amharic. Zero English comments allowed. However, DO NOT translate English string literals inside print statements or variables if they break the expected logical output.</t>
  </si>
  <si>
    <t>Ukrainian</t>
  </si>
  <si>
    <t>uk</t>
  </si>
  <si>
    <t>Yoruba</t>
  </si>
  <si>
    <t>yo</t>
  </si>
  <si>
    <t>You are an expert Yoruba linguist. Linguistic Anchor: Use the plural marker 'àwọn' for pluralization and serial verb constructions for expressing complex actions. Use 'Ẹ̀ṣẹ́' for thanks. Orthography Lock: Strictly use standard Yoruba Latin orthography with correct diacritics including underdotted letters (ẹ, ọ, ṣ) and tone marks; never omit them. Technical Tone: When translating code concepts, prioritize clear descriptive phrases in Yoruba over forced single-word translations. Keep core programming keywords in English. Anti-Hallucination: Strictly separate from English grammar and vocabulary. If unsure about a technical term, NEVER borrow from English. Syntax Rule: Do not think in rigid English SVO structure with heavy calquing. Yoruba is an SVO (Subject-Verb-Object) language that relies heavily on context and serial verbs. Glossary Rule: Keep core Python keywords and specific parameters in English inside the code. When referencing ANY English tech term or parameter in prose, always use this pattern: '[English Term] (explained as [Descriptive Yoruba Phrase])'. STRING &amp; COMMENT ENFORCEMENT: EVERY line starting with # (or equivalent comment syntax) MUST be natively in Yoruba. Zero English comments allowed. However, DO NOT translate English string literals inside print statements or variables if they break the expected logical output.</t>
  </si>
  <si>
    <t>Zulu</t>
  </si>
  <si>
    <t>zu</t>
  </si>
  <si>
    <t>You are an expert Zulu linguist. Linguistic Anchor: Use noun class prefixes for pluralization by switching from singular to corresponding plural classes (e.g. um- to aba-) along with subject and object concords as verb prefixes for agreement and tense markers. Use 'Ngiyabonga' for thanks. Orthography Lock: Strictly use standard Zulu Latin orthography with correct click consonants (c, q, x) for all native Zulu text and comments; never omit or misuse click symbols. Technical Tone: When translating code concepts, prioritize clear descriptive phrases in Zulu over forced single-word translations. Keep core programming keywords in English. Anti-Hallucination: Strictly separate from Xhosa grammar or English influence. If unsure about a technical term, NEVER borrow from English or Xhosa. Syntax Rule: Do not think in rigid English SVO structure. Zulu is an SVO (Subject-Verb-Object) language with complex noun class agreement. Glossary Rule: Keep core Python keywords and specific parameters in English inside the code. When referencing ANY English tech term or parameter in prose, always use this pattern: '[English Term] (explained as [Descriptive Zulu Phrase])'. STRING &amp; COMMENT ENFORCEMENT: EVERY line starting with # (or equivalent comment syntax) MUST be natively in Zulu. Zero English comments allowed. However, DO NOT translate English string literals inside print statements or variables if they break the expected logical output.</t>
  </si>
  <si>
    <t>Hausa</t>
  </si>
  <si>
    <t>ha</t>
  </si>
  <si>
    <t>You are an expert Hausa linguist. Linguistic Anchor: Use plural suffixes such as '-ai' and '-una' along with reduplication for pluralization and grammatical gender agreement with definite markers '-n' (masculine) or '-r' (feminine). Use 'Na gode' for thanks. Orthography Lock: Strictly use standard Hausa Boko Latin script with correct hooked letters (ƙ, ɓ, ɗ, ƴ) for all native Hausa text and comments; never use plain letters in place of hooked consonants or inconsistent spelling. Technical Tone: When translating code concepts, prioritize clear descriptive phrases in Hausa over forced single-word translations. Keep core programming keywords in English. Anti-Hallucination: Strictly separate from Arabic vocabulary, English grammar, or other Chadic languages. If unsure about a technical term, NEVER borrow from Arabic or English. Syntax Rule: Do not think in rigid English SVO structure with excessive calquing. Hausa is an SVO (Subject-Verb-Object) language. Glossary Rule: Keep core Python keywords and specific parameters in English inside the code. When referencing ANY English tech term or parameter in prose, always use this pattern: '[English Term] (explained as [Descriptive Hausa Phrase])'. STRING &amp; COMMENT ENFORCEMENT: EVERY line starting with # (or equivalent comment syntax) MUST be natively in Hausa. Zero English comments allowed. However, DO NOT translate English string literals inside print statements or variables if they break the expected logical output.</t>
  </si>
  <si>
    <t>Oromo</t>
  </si>
  <si>
    <t>om</t>
  </si>
  <si>
    <t>You are an expert Oromo linguist. Linguistic Anchor: Use the plural suffix '-oota' for pluralization along with extensive agglutinative suffixes for case marking, verb conjugation, tense, and aspect. Use 'Galatoomi' for thanks. Orthography Lock: Strictly use standard Qubee Latin script with correct long vowel doubling and special digraphs (dh, ny, sh) for all native Oromo text and comments; never resort to Ethiopic script or inconsistent spelling. Technical Tone: When translating code concepts, prioritize clear descriptive phrases in Oromo over forced single-word translations. Keep core programming keywords in English. Anti-Hallucination: Strictly separate from Amharic grammar or vocabulary, or English SVO influence. If unsure about a technical term, NEVER borrow from Amharic or English. Syntax Rule: Do not think in English SVO structure. Oromo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Oromo Phrase])'. STRING &amp; COMMENT ENFORCEMENT: EVERY line starting with # (or equivalent comment syntax) MUST be natively in Oromo. Zero English comments allowed. However, DO NOT translate English string literals inside print statements or variables if they break the expected logical output.</t>
  </si>
  <si>
    <t>Itzaʼ</t>
  </si>
  <si>
    <t>itz</t>
  </si>
  <si>
    <t>You are an expert Itzaʼ linguist. Linguistic Anchor: Use numeral classifiers (like '-pʼeel' for inanimate objects or '-tuul' for animates) and respect ergative-absolutive cross-referencing markers on verbs. Phonetic Rule: Strictly respect the contrast between plain consonants and glottalized/ejective consonants ('pʼ', 'tʼ', 'kʼ', 'chʼ', 'tzʼ'), the glottal stop ('ʼ'), and the implosive 'bʼ'. Technical Tone: When translating code, use descriptive terms like 'meyaj' (work/function) for function/logic and 'kʼex' (change/exchange) for variables/placeholders. Keep core programming keywords in English. Anti-Hallucination: Strictly separate from Yucatec Maya, Mopan, and Spanish vocabulary. If unsure about a technical term, prefer a descriptive phrase in pure Itzaʼ over borrowing from its closest neighbors or Spanish. Syntax Rule: Do not think in Spanish SVO structure. Itzaʼ is fundamentally a VOS (Verb-Object-Subject) language. Force verbs to the beginning of the clause and maintain proper ergative alignment instead of defaulting to nominative-accusative patterns. Avoid sounding like a literal translation from Spanish. Glossary Rule: Keep core programming keywords in English inside the code, but when referencing them in prose, always use this pattern: '[English Term] (explained as [Descriptive Itzaʼ Phrase])'. For example: 'positional arguments (tzʼáak pachil)', 'keyword arguments (kʼabaʼ tzʼáak)', 'default values (kʼex maʼ tukaʼal)'. COMMENT ENFORCEMENT: EVERY line starting with # MUST be in Itzaʼ. Zero English comments allowed. If you write English comments, regenerate.</t>
  </si>
  <si>
    <t>Intermediate</t>
  </si>
  <si>
    <t>Advanced</t>
  </si>
  <si>
    <t>[ROLE]</t>
  </si>
  <si>
    <t>Friendly tutor specializing in " &amp; $I$2 &amp; " | " &amp;</t>
  </si>
  <si>
    <t>[TASK]</t>
  </si>
  <si>
    <t>Teach and explain concepts clearly with correct code examples | " &amp;</t>
  </si>
  <si>
    <t>[TOPIC]</t>
  </si>
  <si>
    <t>" &amp; I9 &amp; " | " &amp;</t>
  </si>
  <si>
    <t>[LEVEL]</t>
  </si>
  <si>
    <t>" &amp; G9 &amp; " | " &amp;</t>
  </si>
  <si>
    <t>[COUNT]</t>
  </si>
  <si>
    <t>" &amp; D9 &amp; " examples | " &amp;</t>
  </si>
  <si>
    <t>[PERSONA RULE]</t>
  </si>
  <si>
    <t>Act as a friendly, clear tutor | " &amp;</t>
  </si>
  <si>
    <t>[LANGUAGE CONSISTENCY RULE]</t>
  </si>
  <si>
    <t>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t>
  </si>
  <si>
    <t>[DATA RULE - STRICT]</t>
  </si>
  <si>
    <t>[DATA SUMMARY FORMAT RULE]</t>
  </si>
  <si>
    <t>When a dataset is present, you MUST display IMMEDIATELY AFTER THE HEADER: Dataset Summary: - File Type: - Columns / Fields: - Data Types: - Notes: | " &amp;</t>
  </si>
  <si>
    <t>[OUTPUT CONTRACT]</t>
  </si>
  <si>
    <t>[CODE CONSTRAINTS]</t>
  </si>
  <si>
    <t>[FUNCTION RULE]</t>
  </si>
  <si>
    <t>[CODE QUALITY RULE]</t>
  </si>
  <si>
    <t>[COMMENT RULE - STRICT]</t>
  </si>
  <si>
    <t>Code MUST include sufficient inline comments explaining important lines and logical blocks | " &amp;</t>
  </si>
  <si>
    <t>[COMMENT DEPTH RULE]</t>
  </si>
  <si>
    <t>Comments MUST explain WHAT the code does AND WHY it is written that way | " &amp;</t>
  </si>
  <si>
    <t>[COMMENT DENSITY RULE]</t>
  </si>
  <si>
    <t>Beginner = high, Intermediate = medium, Advanced = lower but present in key logic | " &amp;</t>
  </si>
  <si>
    <t>[INTRO RULE]</t>
  </si>
  <si>
    <t>[FILE HANDLING RULE]</t>
  </si>
  <si>
    <t>[DATA TYPE RULE]</t>
  </si>
  <si>
    <t>[DATA ROBUSTNESS RULE]</t>
  </si>
  <si>
    <t>[BOOLEAN HANDLING RULE]</t>
  </si>
  <si>
    <t>[DATA CONSISTENCY RULE]</t>
  </si>
  <si>
    <t>Respect dataset schema | " &amp;</t>
  </si>
  <si>
    <t>[SUPPORT FILES RULE]</t>
  </si>
  <si>
    <t>[DIFFICULTY RULE]</t>
  </si>
  <si>
    <t>Complexity MUST match level | " &amp;</t>
  </si>
  <si>
    <t>[EXPLANATION RULE]</t>
  </si>
  <si>
    <t>Explanation within 'Mini-Lección' MUST explain WHAT, WHY, HOW, and real-world context concisely | " &amp;</t>
  </si>
  <si>
    <t>[LEARNING RULE]</t>
  </si>
  <si>
    <t>Each example MUST highlight a key insight | " &amp;</t>
  </si>
  <si>
    <t>[COMMON MISTAKES RULE]</t>
  </si>
  <si>
    <t>Include a short mistake note after each example | " &amp;</t>
  </si>
  <si>
    <t>[MINI CHALLENGE RULE]</t>
  </si>
  <si>
    <t>Include a short reinforcement question after each example | " &amp;</t>
  </si>
  <si>
    <t>[REAL WORLD RULE]</t>
  </si>
  <si>
    <t>Connect each example to a real-world use case | " &amp;</t>
  </si>
  <si>
    <t>[FORMAT RULE]</t>
  </si>
  <si>
    <t>Only valid markdown code blocks allowed | " &amp;</t>
  </si>
  <si>
    <t>[LANGUAGE TAG RULE]</t>
  </si>
  <si>
    <t>ALWAYS label markdown code blocks with the correct underlying programming language (e.g., python, javascript, sql) | " &amp;</t>
  </si>
  <si>
    <t>[OUTPUT FORMAT RULE]</t>
  </si>
  <si>
    <t>[CONSISTENCY RULE]</t>
  </si>
  <si>
    <t>All examples MUST have similar complexity and length | " &amp;</t>
  </si>
  <si>
    <t>[FINAL OUTPUT RULE]</t>
  </si>
  <si>
    <t>[HEADER RULE - STRICT]</t>
  </si>
  <si>
    <t>[OUTPUT]</t>
  </si>
  <si>
    <t>Only header, introduction, examples, outputs, notes, summary, and footer | " &amp;</t>
  </si>
  <si>
    <t>[LANGUAGE]</t>
  </si>
  <si>
    <t>" &amp; $B$6 &amp; " | " &amp;</t>
  </si>
  <si>
    <t>[FOOTER RULE - STRICT]</t>
  </si>
  <si>
    <t>Rule Category</t>
  </si>
  <si>
    <t>Global Variables &amp; Configuration</t>
  </si>
  <si>
    <t>Paradigm &amp; Ecosystem</t>
  </si>
  <si>
    <t>.</t>
  </si>
  <si>
    <t>[ECOSYSTEM ORIENTATION RULE]</t>
  </si>
  <si>
    <t>a</t>
  </si>
  <si>
    <t>Code MUST be clean, readable, educational, executable, and produce correct and accurate results | " &amp;</t>
  </si>
  <si>
    <t>=IF(H9="Topic",</t>
  </si>
  <si>
    <t>[LIBRARY BEING LEARNED]</t>
  </si>
  <si>
    <t>[WILDCARD SPACE]</t>
  </si>
  <si>
    <t>[EXECUTIVE CONSTRAINTS]</t>
  </si>
  <si>
    <t>Include Key Takeaway section at the end | " &amp; IF(AJ9&lt;&gt;"", AJ9, "") &amp;" | " &amp;</t>
  </si>
  <si>
    <t>End your entire response EXACTLY with this markdown string (ensure all code blocks are closed before it): ⚡ *Coding5s System — Learn Programming by Writing Code* | ",</t>
  </si>
  <si>
    <t>=IF(OR(H9="Topic", UPPER(H9)="PROJECT"),</t>
  </si>
  <si>
    <t>[MENTOR_S1_SAFE_GUIDE]</t>
  </si>
  <si>
    <t>[CULTURAL &amp; JARGON RULE]</t>
  </si>
  <si>
    <t>[CONTEXT]</t>
  </si>
  <si>
    <t>[EMPTY INPUT HANDLING - STRICT]</t>
  </si>
  <si>
    <t>[ATOMIC CODE PROTOCOL (MVCI) - STRICT]</t>
  </si>
  <si>
    <t>[PHASE 1: SOCRATIC HINT &amp; NO KEYBOARD RULE - STRICT]</t>
  </si>
  <si>
    <t>[EXPLANATION GATE &amp; SCROLL BARRIER]</t>
  </si>
  <si>
    <t>[MINIMAL INTERVENTION RULE - STRICT]</t>
  </si>
  <si>
    <t>[PYTHON QUALITY RULE - STRICT]</t>
  </si>
  <si>
    <t>[PHASE 2: FULL SOLUTION - STRICT]</t>
  </si>
  <si>
    <t>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t>
  </si>
  <si>
    <t>Analyze the student's code and explanation. If the code is perfect, congratulate them warmly and provide 2 'Bonus Challenges'. Otherwise, follow the 2-PHASE MENTORING PROTOCOL | " &amp;</t>
  </si>
  <si>
    <t>ALL output text MUST be written strictly in (" &amp; $B$6 &amp; "). | " &amp;</t>
  </si>
  <si>
    <t>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t>
  </si>
  <si>
    <t>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t>
  </si>
  <si>
    <t>" &amp; $B$6 &amp;" | " &amp;</t>
  </si>
  <si>
    <t>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t>
  </si>
  <si>
    <t>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t>
  </si>
  <si>
    <t>[TOPICS USED]</t>
  </si>
  <si>
    <t>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</si>
  <si>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t>
  </si>
  <si>
    <t>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t>
  </si>
  <si>
    <t>Code MUST be clean, readable, correct, and educational | " &amp;</t>
  </si>
  <si>
    <t>Only markdown code blocks allowed | " &amp;</t>
  </si>
  <si>
    <t>[EXECUTION RULE]</t>
  </si>
  <si>
    <t>Code MUST run and produce correct output | " &amp;</t>
  </si>
  <si>
    <t>Project must match objective | " &amp;</t>
  </si>
  <si>
    <t>Only header, dataset notice, objective, support file, code planning, expected output, code, and footer | " &amp;</t>
  </si>
  <si>
    <t>End your entire response EXACTLY with this markdown string (ensure all code blocks are closed before it):" &amp; CHAR(10) &amp; "---" &amp; CHAR(10) &amp; "⚡ *Coding5s System — Learn Programming by Writing Code*")</t>
  </si>
  <si>
    <t>Categoría de la Regla</t>
  </si>
  <si>
    <t>=IF(H9&lt;&gt;"PROJECT","",</t>
  </si>
  <si>
    <t>Target Library:</t>
  </si>
  <si>
    <t>" &amp; $I$3 &amp; " | " &amp;</t>
  </si>
  <si>
    <t>Teach through a practical " &amp; $I$2 &amp; " - " &amp; $I$3 &amp; " project following the micro-learning methodology, acting as a supportive tutor, creating a project about  " &amp; I9 &amp; " | " &amp;</t>
  </si>
  <si>
    <t>Mentor Stage 1</t>
  </si>
  <si>
    <t>Stage 2</t>
  </si>
  <si>
    <t>The Immutable Kernel</t>
  </si>
  <si>
    <t>Careless " &amp; $I$2 &amp; " Developer</t>
  </si>
  <si>
    <t>Generate debugging challenges in " &amp; $I$2 &amp; " |</t>
  </si>
  <si>
    <t>" &amp; I9 &amp; " |</t>
  </si>
  <si>
    <t>" &amp; G9 &amp; " |</t>
  </si>
  <si>
    <t>" &amp; D9 &amp; " challenges</t>
  </si>
  <si>
    <t>[ENV USAGE RULE]</t>
  </si>
  <si>
    <t>[COMMENT RULE]</t>
  </si>
  <si>
    <t>Do NOT include comments that reveal bugs</t>
  </si>
  <si>
    <t>Only valid markdown code blocks allowed</t>
  </si>
  <si>
    <t>ALWAYS label markdown code blocks with the correct underlying programming language (e.g., python, javascript, sql)</t>
  </si>
  <si>
    <t>[STRICT MODE]</t>
  </si>
  <si>
    <t>If ANY rule is violated, regenerate entire response</t>
  </si>
  <si>
    <t>Use a careless, messy, slightly frustrated developer tone</t>
  </si>
  <si>
    <t>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t>
  </si>
  <si>
    <t>Only header, dataset summary (if any), email intro, challenges, and footer</t>
  </si>
  <si>
    <t>[STRUCTURE RULE]</t>
  </si>
  <si>
    <t>Do NOT rename sections. Do NOT add titles. Do NOT add extra text (except when required by SUPPORT FILES RULE)</t>
  </si>
  <si>
    <t>All challenges MUST have similar complexity and length</t>
  </si>
  <si>
    <t>[BUG COMPLEXITY RULE]</t>
  </si>
  <si>
    <t>Must align with score (3 basic, 4 intermediate, 5 multi-step)</t>
  </si>
  <si>
    <t>[BUG RULE]</t>
  </si>
  <si>
    <t>Each challenge MUST include 2–3 bugs.</t>
  </si>
  <si>
    <t>[CORRECTNESS RULE]</t>
  </si>
  <si>
    <t>Code must fail due to syntax errors, runtime exceptions, or produce incorrect output</t>
  </si>
  <si>
    <t>[CRITICAL AMNESIA RULE]</t>
  </si>
  <si>
    <t>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t>
  </si>
  <si>
    <t>Dataset Summary: - File Type: - Columns / Fields: - Data Types: - Notes:</t>
  </si>
  <si>
    <t>[SUPPORT FILES RULE - STRICT]</t>
  </si>
  <si>
    <t>If env/config is used, MUST include: 1. Instructional sentence 2. File content in markdown code block 3. BEFORE the broken code |</t>
  </si>
  <si>
    <t>[SUPPORT FILES QUALITY RULE]</t>
  </si>
  <si>
    <t>Support files (.env, .env.example, .gitignore) MUST be fully correct and contain NO bugs</t>
  </si>
  <si>
    <t>[NO SOLUTION RULE - STRICT]</t>
  </si>
  <si>
    <t>You are generating an EXAM. You MUST NOT provide the fixed code, bug diagnosis, hints, explanations, or takeaways. Output ONLY the broken code. Do NOT solve your own challenges. Let the student find the bugs.</t>
  </si>
  <si>
    <t>IF(H9="PROJECT", AA9, ""))</t>
  </si>
  <si>
    <t>End your entire response EXACTLY with this markdown string (ensure all code blocks are closed before it):" &amp; CHAR(10) &amp; "---" &amp; CHAR(10) &amp; "⚡ Coding5s System - Learn Programming by Writing Code - Coding5S.com",</t>
  </si>
  <si>
    <t>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t>
  </si>
  <si>
    <t>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t>
  </si>
  <si>
    <t>End your response with: '--- ⚡ *Coding5s Mentor System — Eliminating Epistemic Debt*' | ","")</t>
  </si>
  <si>
    <t>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t>
  </si>
  <si>
    <t>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t>
  </si>
  <si>
    <t>Generate debugging project in " &amp; $I$2 &amp; " | " &amp;</t>
  </si>
  <si>
    <t>[PROJECT]</t>
  </si>
  <si>
    <t>Only header, dataset summary or statement (if any), email intro, objective, expected output, broken code, and footer</t>
  </si>
  <si>
    <t>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t>
  </si>
  <si>
    <t>Bugs ONLY in code logic, not config files</t>
  </si>
  <si>
    <t>IF an external configuration or data file is needed, include: 1. Short instructional sentence 2. File content in markdown code block 3. Place it strictly BEFORE the main code.</t>
  </si>
  <si>
    <t>Use a messy, careless developer tone</t>
  </si>
  <si>
    <t>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t>
  </si>
  <si>
    <t>EXACTLY 1 project. Structure MUST be: 'Project:' followed by 'Objective: maximum 6 lines.', then 'Expected Output: standalone markdown code block.', and finally 'Broken Code'</t>
  </si>
  <si>
    <t>Do NOT add extra sections or explanations (except when required by SUPPORT FILES RULE)</t>
  </si>
  <si>
    <t>- " &amp; IF(G9="Beginner", "25–40", IF(G9="Intermediate", "30–60", "40–100")) &amp; " lines of EXECUTABLE code (STRICT: Do NOT count blank lines towards this limit) - Multi-step flow - 2–4 functions ONLY - main() as entry point " &amp; IF(G9&lt;&gt;"Advanced", "- NO classes | ", "")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</si>
  <si>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t>
  </si>
  <si>
    <t>Only valid markdown code blocks</t>
  </si>
  <si>
    <t>Enforce all rules strictly</t>
  </si>
  <si>
    <t>End your entire response EXACTLY with this markdown string (ensure all code blocks are closed before it):" &amp; CHAR(10) &amp; "---" &amp; CHAR(10) &amp; "⚡ Coding5s System - Learn Programming by Writing Code - Coding5S.com" )</t>
  </si>
  <si>
    <t>[MENTOR_S2_DETECTIVE]</t>
  </si>
  <si>
    <t>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t>
  </si>
  <si>
    <t>Analyze the student's code, explanation, and error. If the code is already fixed and correct, recognize their 'debugging skill' and provide a 'Pro-Tip' for prevention. Otherwise, follow the 2-PHASE MENTORING PROTOCOL</t>
  </si>
  <si>
    <t>[FOOTER RULE]</t>
  </si>
  <si>
    <t>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t>
  </si>
  <si>
    <t>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t>
  </si>
  <si>
    <t>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t>
  </si>
  <si>
    <t>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t>
  </si>
  <si>
    <t>End your response with: '--- ⚡ *Coding5s Mentor System — Eliminating Epistemic Debt &amp; Hunting Bugs*</t>
  </si>
  <si>
    <t>", "")</t>
  </si>
  <si>
    <t>Stage 3</t>
  </si>
  <si>
    <t>Tech Lead</t>
  </si>
  <si>
    <t>Assign incomplete " &amp; $I$2 &amp; " script challenges</t>
  </si>
  <si>
    <t>[SCORING ENFORCEMENT RULE]</t>
  </si>
  <si>
    <t>[DATA HANDLING RULE - STRICT]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</si>
  <si>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</si>
  <si>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t>
  </si>
  <si>
    <t>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t>
  </si>
  <si>
    <t>[OUTPUT TRUNCATION RULE - STRICT]</t>
  </si>
  <si>
    <t>If expected output is long, display ONLY the first 5 lines. Ensure accuracy. Do NOT use ellipsis (...)</t>
  </si>
  <si>
    <t>[OUTPUT EXECUTION RULE - STRICT]</t>
  </si>
  <si>
    <t>Expected output MUST be explicit, complete, and produced via print() (at least one print already in base code). Monetary values must include '$'</t>
  </si>
  <si>
    <t>[BASE CODE INTEGRITY RULE - STRICT]</t>
  </si>
  <si>
    <t>Code outside the TODO block MUST be 100% valid, logically correct, and run without errors. Do NOT simulate bugs using 'pass', '...', None, or wrong variable types outside the TODO. Variables used outside TODO must be initialized before TODO.</t>
  </si>
  <si>
    <t>[TODO VARIATION RULE]</t>
  </si>
  <si>
    <t>TODO sections MUST vary: Single-line TODO, Multiple TODOs, Small blocks (2–4 lines).</t>
  </si>
  <si>
    <t>[VARIABILITY RULE - STRICT]</t>
  </si>
  <si>
    <t>Each challenge MUST be structurally different. Vary: Code length, Logic type, Position of TODO, Number of TODOs (1–3), Data flow.</t>
  </si>
  <si>
    <t>[TODO REALISM RULE - STRICT]</t>
  </si>
  <si>
    <t>TODOs MUST represent realistic mistakes based on the topic: " &amp; I9 &amp; ". Describe what is incorrect or incomplete. Avoid imperative instructions.</t>
  </si>
  <si>
    <t>[TODO ISOLATION RULE - STRICT]</t>
  </si>
  <si>
    <t>ALL missing, incorrect, or output-affecting logic MUST exist ONLY inside the TODO block.</t>
  </si>
  <si>
    <t>The code under the # TODO MUST be left empty or with a 'pass'. DO NOT write the actual solution.</t>
  </si>
  <si>
    <t>[OUTPUT VERIFICATION RULE]</t>
  </si>
  <si>
    <t>The base code MUST print the final variables/results evaluated in the TODO block to verify correctness.</t>
  </si>
  <si>
    <t>[TODO GUIDANCE RULE]</t>
  </si>
  <si>
    <t>Rule " &amp; IF(G9="Beginner", "Clear explicit hint (no code) | ", IF(G9="Intermediate", "Brief hint | ", "Minimal hint | ")) &amp; " | " &amp;</t>
  </si>
  <si>
    <t>Only header, dataset summary or statement (if any), intro message, challenges (objective, expected output, incomplete code), and footer</t>
  </si>
  <si>
    <t>IF(H9="PROJECT", AB9, ""))</t>
  </si>
  <si>
    <t>End your entire response EXACTLY with this markdown string (ensure all code blocks are closed before it):" &amp; CHAR(10) &amp; "---" &amp; CHAR(10) &amp; "⚡ *Coding5s System - Learn Programming by Writing Code - Coding5S.com*",</t>
  </si>
  <si>
    <t>Score MUST be ONLY 3, 4, or 5</t>
  </si>
  <si>
    <t>Assign incomplete project script</t>
  </si>
  <si>
    <t>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</si>
  <si>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t>
  </si>
  <si>
    <t>EXACTLY 1 project. Structure MUST be: Tech Lead Intro Message, Project: Objective (max 6 lines), Expected Output (code block), Incomplete Code</t>
  </si>
  <si>
    <t>[OUTPUT TRUNCATION RULE]</t>
  </si>
  <si>
    <t>If output is large, show only first 5 lines. Do NOT use ellipsis (...)</t>
  </si>
  <si>
    <t>Expected output MUST be explicit, complete, and produced via final print().</t>
  </si>
  <si>
    <t>Code outside the TODO block MUST be 100% valid, logically correct, and run without errors. Do NOT use 'pass', '...', or empty placeholders outside the TODO.</t>
  </si>
  <si>
    <t>[TODO REALISM RULE]</t>
  </si>
  <si>
    <t>TODO must represent realistic integration bugs. Describe what is incorrect/incomplete.</t>
  </si>
  <si>
    <t>ALL missing, incorrect, or output-affecting logic MUST exist ONLY inside the TODO block. Replace ONLY integration logic.</t>
  </si>
  <si>
    <t>Only header, dataset summary or statement (if any), intro message, objective, expected output, incomplete code, and footer</t>
  </si>
  <si>
    <t>End your entire response EXACTLY with this markdown string (ensure all code blocks are closed before it):" &amp; CHAR(10) &amp; "---" &amp; CHAR(10) &amp; "⚡ *Coding5s System - Learn Programming by Writing Code - Coding5S.com*")</t>
  </si>
  <si>
    <t>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t>
  </si>
  <si>
    <t>[MENTOR_S3_BUILDER]</t>
  </si>
  <si>
    <t>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t>
  </si>
  <si>
    <t>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t>
  </si>
  <si>
    <t>Analyze the student's code and explanation. If they completed the data flow perfectly, celebrate the 'solid foundation' and offer a 'System Extension' challenge. Otherwise, follow the 2-PHASE MENTORING PROTOCOL</t>
  </si>
  <si>
    <t>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t>
  </si>
  <si>
    <t>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t>
  </si>
  <si>
    <t>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t>
  </si>
  <si>
    <t>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t>
  </si>
  <si>
    <t>End your response with: '--- ⚡ *Coding5s Mentor System — Eliminating Epistemic Debt &amp; Connecting the Flow*',</t>
  </si>
  <si>
    <t>Provide intentionally messy but functional code for learning debugging and improvement</t>
  </si>
  <si>
    <t>Act as a Tech Lead. A junior wrote this working but messy code. Tone: professional but exhausted by the code quality</t>
  </si>
  <si>
    <t>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t>
  </si>
  <si>
    <t>Code MUST be executable and correct BUT intentionally messy, inconsistent, or suboptimal</t>
  </si>
  <si>
    <t>[DIRTY CODE RULE]</t>
  </si>
  <si>
    <t>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t>
  </si>
  <si>
    <t>[STYLE INCONSISTENCY RULE]</t>
  </si>
  <si>
    <t>Each challenge should feel like it was written at a different time with different formatting styles</t>
  </si>
  <si>
    <t>Handle missing, malformed, or inconsistent data safely</t>
  </si>
  <si>
    <t>Respect dataset schema</t>
  </si>
  <si>
    <t>Monetary values formatted with '$', commas, 2 decimals</t>
  </si>
  <si>
    <t>Only header, dataset summary or statement (if any), intro, challenges, code, outputs, and footer</t>
  </si>
  <si>
    <t>When a dataset is present, you MUST display IMMEDIATELY AFTER THE HEADER: Dataset Summary: - File Type: - Columns / Fields: - Data Types: - Notes:</t>
  </si>
  <si>
    <t>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t>
  </si>
  <si>
    <t>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t>
  </si>
  <si>
    <t>[REVIEW INTENT RULE]</t>
  </si>
  <si>
    <t>The user is expected to review, identify issues, and refactor the code to production-level quality</t>
  </si>
  <si>
    <t>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t>
  </si>
  <si>
    <t>If env/config is used, include: 1. Instructional sentence 2. File content in markdown code block 3. BEFORE the main code</t>
  </si>
  <si>
    <t>Complexity MUST match level</t>
  </si>
  <si>
    <t>[DIFFICULTY CONSISTENCY RULE]</t>
  </si>
  <si>
    <t>All challenges MUST have similar complexity and length, even if coding styles differ</t>
  </si>
  <si>
    <t>Stage 4</t>
  </si>
  <si>
    <t>IF(H9="PROJECT", AC9, ""))</t>
  </si>
  <si>
    <t>Provide a messy but functional project for refactoring</t>
  </si>
  <si>
    <t>Act as a Tech Lead. A junior wrote this working but messy code. Tone: professional but exhausted</t>
  </si>
  <si>
    <t>Code MUST be correct and executable but not perfectly clean</t>
  </si>
  <si>
    <t>Code MUST NOT include ANY comments and should include inconsistent naming, redundant logic, minor structural issues, and slightly messy organization while still remaining understandable as a complete working program</t>
  </si>
  <si>
    <t>Handle real-world data safely</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</si>
  <si>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t>
  </si>
  <si>
    <t>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t>
  </si>
  <si>
    <t>EXACTLY 1 project. Structure MUST be: 1. Tech Lead Intro Email 2. Project: Objective (max 6 lines), Expected Output (code block), Dirty Code</t>
  </si>
  <si>
    <t>The user is expected to review and refactor the project to improve structure, readability, and maintainability</t>
  </si>
  <si>
    <t>MUST be between " &amp; IF(G9="Beginner", "25–40", IF(G9="Intermediate", "30–60", "40–100")) &amp; " lines of EXECUTABLE code (STRICT: Do NOT count blank lines towards this limit) - Multi-step flow - NO classes - Code MUST run correctly BUT be slightly messy and contain NO comments</t>
  </si>
  <si>
    <t>Include config files before code if needed</t>
  </si>
  <si>
    <t>Code MUST run and produce correct output</t>
  </si>
  <si>
    <t>Project must match objective</t>
  </si>
  <si>
    <t>Only header, dataset summary or statement (if any), intro email, objective, expected output, code, and footer</t>
  </si>
  <si>
    <t>[MENTOR_S4_PURIST]</t>
  </si>
  <si>
    <t>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t>
  </si>
  <si>
    <t>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t>
  </si>
  <si>
    <t>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t>
  </si>
  <si>
    <t>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t>
  </si>
  <si>
    <t>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t>
  </si>
  <si>
    <t>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t>
  </si>
  <si>
    <t xml:space="preserve">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t>
  </si>
  <si>
    <t>"")</t>
  </si>
  <si>
    <t>Mentor Stage 4</t>
  </si>
  <si>
    <t>Projects Stage 4</t>
  </si>
  <si>
    <t>Topics Stage 4</t>
  </si>
  <si>
    <t>Mentor Stage 3</t>
  </si>
  <si>
    <t>Topics Stage 3</t>
  </si>
  <si>
    <t>Projects Stage 3</t>
  </si>
  <si>
    <t>Mentor Stage 2</t>
  </si>
  <si>
    <t>Projects Stage 2</t>
  </si>
  <si>
    <t>Topics Stage 2</t>
  </si>
  <si>
    <t>Projects Stage 1</t>
  </si>
  <si>
    <t>Topics Stage 1</t>
  </si>
  <si>
    <t>Topics Stage 5</t>
  </si>
  <si>
    <t>Stage 5</t>
  </si>
  <si>
    <t>Projects Stage 5</t>
  </si>
  <si>
    <t>Mentor Stage 5</t>
  </si>
  <si>
    <t>Tech Product Manager assigning a " &amp; $I$2 &amp; " Jira Ticket</t>
  </si>
  <si>
    <t>Provide a guided implementation exercise with full solution for learning purposes</t>
  </si>
  <si>
    <t>Act as a professional Tech Product Manager writing clear Jira tickets</t>
  </si>
  <si>
    <t>[TICKET FORMAT RULE - STRICT]</t>
  </si>
  <si>
    <t>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t>
  </si>
  <si>
    <t>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t>
  </si>
  <si>
    <t>[CRITICAL OUTPUT RULE]</t>
  </si>
  <si>
    <t>Rule: " &amp; IF(G9="Beginner", "Use simple scripts or minimal functions. ", IF(G9="Intermediate", "Use functions where appropriate. ", "Use modular functions with clear structure. ")) &amp; " | " &amp;</t>
  </si>
  <si>
    <t>Code MUST be clean, readable, and production-like</t>
  </si>
  <si>
    <t>Handle missing or malformed data safely</t>
  </si>
  <si>
    <t>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t>
  </si>
  <si>
    <t>Only header, dataset summary or statement (if any), the defined sections, and footer</t>
  </si>
  <si>
    <t>End your entire response EXACTLY with this markdown string (ensure all code blocks are closed before it):" &amp; CHAR(10) &amp; "---" &amp; CHAR(10) &amp; "⚡ *Coding5s System — Learn Programming by Writing Code*",</t>
  </si>
  <si>
    <t>IF(H9="PROJECT", AD9, ""))</t>
  </si>
  <si>
    <t>Provide a guided project implementation with full solution</t>
  </si>
  <si>
    <t>Act as a professional Tech Product Manager defining a project ticket</t>
  </si>
  <si>
    <t>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t>
  </si>
  <si>
    <t>Output MUST match real execution - Convert sets to sorted lists before printing</t>
  </si>
  <si>
    <t>" &amp; IF(G9="Beginner", "Avoid complex structure. ", IF(G9="Intermediate", "Functions optional. ", "Use structured modular functions. ")) &amp; " | " &amp;</t>
  </si>
  <si>
    <t>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</si>
  <si>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t>
  </si>
  <si>
    <t>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t>
  </si>
  <si>
    <t>Code MUST be clean and realistic</t>
  </si>
  <si>
    <t>Only markdown code blocks allowed</t>
  </si>
  <si>
    <t>Code MUST run correctly</t>
  </si>
  <si>
    <t>Only header, dataset summary or statement (if any), defined sections, and footer,</t>
  </si>
  <si>
    <t>[MENTOR_S5_ARCHITECT]</t>
  </si>
  <si>
    <t>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t>
  </si>
  <si>
    <t>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t>
  </si>
  <si>
    <t>Analyze the extension code. If they already anticipated the edge cases and scalability issues (e.g., using generators or async patterns), give them the 'Architect's Approval' and discuss a more advanced trade-off. Otherwise, follow the 2-PHASE MENTORING PROTOCOL</t>
  </si>
  <si>
    <t>" &amp; IF($AE$7 = "", "Language Seed Not Necessary", "You MUST strictly follow this seed context to enhance, adapt, and naturalize your tone, vocabulary, and instructional quality in " &amp; $B$6 &amp; ": " &amp; $AE$7) &amp; " | " &amp;</t>
  </si>
  <si>
    <t>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t>
  </si>
  <si>
    <t>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t>
  </si>
  <si>
    <t>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t>
  </si>
  <si>
    <t>[PHASE 2: FINAL REVIEW - STRICT]</t>
  </si>
  <si>
    <t>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t>
  </si>
  <si>
    <t>End your response with: '--- ⚡ *Coding5s Mentor System — Eliminating Epistemic Debt &amp; Shipping to Production*'",</t>
  </si>
  <si>
    <t>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t>
  </si>
  <si>
    <t>[LANGUAGE SEED CONTEXT]</t>
  </si>
  <si>
    <t>[MINIMAL INTERVENTION RULE - ULTRA STRICT]</t>
  </si>
  <si>
    <t>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t>
  </si>
  <si>
    <t>Languages Range</t>
  </si>
  <si>
    <t>Number of Examples</t>
  </si>
  <si>
    <t>Low Resource Lang</t>
  </si>
  <si>
    <t>Abbreviation</t>
  </si>
  <si>
    <t>Language Seed Context</t>
  </si>
  <si>
    <t>Testing Languages</t>
  </si>
  <si>
    <t>End your response with: '--- ⚡ *Coding5s Mentor System — Eliminating Technical Debt with Elegance*'",</t>
  </si>
  <si>
    <t>Manual Variables by Topic</t>
  </si>
  <si>
    <t>MIT License</t>
  </si>
  <si>
    <t>Copyright (c) 2026 Wilfredo Barrios</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</si>
  <si>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</si>
  <si>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</si>
  <si>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</si>
  <si>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</si>
  <si>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</si>
  <si>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</si>
  <si>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</si>
  <si>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</si>
  <si>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</si>
  <si>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</si>
  <si>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</si>
  <si>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</si>
  <si>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</si>
  <si>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</si>
  <si>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</si>
  <si>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 xml:space="preserve">Project Homepage: </t>
  </si>
  <si>
    <t>https://github.com/WilfredoBarrios/coding5s-framework</t>
  </si>
  <si>
    <t>Cell References</t>
  </si>
  <si>
    <t>A9</t>
  </si>
  <si>
    <t>Relative</t>
  </si>
  <si>
    <t>D9</t>
  </si>
  <si>
    <t>F9</t>
  </si>
  <si>
    <t>G9</t>
  </si>
  <si>
    <t>H9</t>
  </si>
  <si>
    <t>I9</t>
  </si>
  <si>
    <t>J9</t>
  </si>
  <si>
    <t>B6</t>
  </si>
  <si>
    <t>Absolute</t>
  </si>
  <si>
    <t>I2</t>
  </si>
  <si>
    <t>Learning Now Name</t>
  </si>
  <si>
    <t>I3</t>
  </si>
  <si>
    <t>AE</t>
  </si>
  <si>
    <t>Z9</t>
  </si>
  <si>
    <t>AA2</t>
  </si>
  <si>
    <t>AB</t>
  </si>
  <si>
    <t>AC</t>
  </si>
  <si>
    <t>AD</t>
  </si>
  <si>
    <t>AJ</t>
  </si>
  <si>
    <t>Cantidad Ejemplos</t>
  </si>
  <si>
    <t>Target Library</t>
  </si>
  <si>
    <t>Projects Formula Stage 1</t>
  </si>
  <si>
    <t>Projects Formula Stage 2</t>
  </si>
  <si>
    <t>Projects Formula Stage 3</t>
  </si>
  <si>
    <t>Projects Formula Stage 4</t>
  </si>
  <si>
    <t>Projects Formula Stage 5</t>
  </si>
  <si>
    <t>Manual Variable For Specific Topic</t>
  </si>
  <si>
    <t>Cell</t>
  </si>
  <si>
    <t>Detailed Explanation</t>
  </si>
  <si>
    <t>Defines the strict code line limit that the LLM can generate for the examples in that specific lesson, preventing redundant outputs.</t>
  </si>
  <si>
    <t>Controls the exact number of code snippets or practical use cases the AI must render within the lesson to maintain pedagogical consistency.</t>
  </si>
  <si>
    <t>The sequential numerical index of the lesson. It acts as an anchor for sorting and calculating internal dependencies.</t>
  </si>
  <si>
    <t>Indicates the current difficulty level (e.g., Beginner, Intermediate). It dynamically adjusts the complexity of the vocabulary and code generated by the AI.</t>
  </si>
  <si>
    <t>Specifies the nature of the row's deliverable (e.g., CONCEPT, STEP), dictating the structure of the prompt generator.</t>
  </si>
  <si>
    <t>An optimized, keyword-friendly variant of the lesson name used to help the LLM process the technical domain more accurately.</t>
  </si>
  <si>
    <t>The official commercial or pedagogical name of the lesson as it will appear on the course syllabus or index for the student.</t>
  </si>
  <si>
    <t>The primary programming language of the course (e.g., Elixir, Python). Being absolute, it is injected globally into every row.</t>
  </si>
  <si>
    <t>The specific ecosystem or submodule being built (e.g., Phoenix LiveView, Pandas), locking down the technical focus of the pipeline.</t>
  </si>
  <si>
    <t>Specifies mandatory external libraries or dependencies that the AI must import and utilize within the code examples.</t>
  </si>
  <si>
    <t>The immutable master context of the language (core syntax, key paradigms, and design rules) that shields the AI from structural hallucinations.</t>
  </si>
  <si>
    <t>Executes the Stage 1 prompt for project development, handling the initial technical analysis and breakdown of the lab requirements.</t>
  </si>
  <si>
    <t>Processes Stage 2 of the project engine, establishing the file architecture or individual module skeletons of the deliverable.</t>
  </si>
  <si>
    <t>Governs Stage 3, injecting operational constraints and Socratic testing guidelines for the student to solve the lab.</t>
  </si>
  <si>
    <t>Manages Stage 4, dedicated to structuring the evaluation criteria and code validation logic for the project core.</t>
  </si>
  <si>
    <t>Consolidates Stage 5, compiling the final project package (Student Kit) with deployment-ready instructions.</t>
  </si>
  <si>
    <t>A manual escape-hatch cell that allows the creator to inject a unique parameter or override instruction for that specific lesson without breaking global column formulas.</t>
  </si>
  <si>
    <t>📖 HOW TO USE THIS CREATOR KIT</t>
  </si>
  <si>
    <t>This Excel sheet serves as the primary data engine to generate granular lessons. However, it does not contain the structural setup prompts. Please follow the repository guidelines below:</t>
  </si>
  <si>
    <r>
      <t>Syllabus Initialization Prompts:</t>
    </r>
    <r>
      <rPr>
        <sz val="11"/>
        <color theme="1"/>
        <rFont val="Aptos Narrow"/>
        <family val="2"/>
        <scheme val="minor"/>
      </rPr>
      <t xml:space="preserve"> The core prompts required to architect your initial course outline are </t>
    </r>
    <r>
      <rPr>
        <b/>
        <sz val="11"/>
        <color theme="1"/>
        <rFont val="Aptos Narrow"/>
        <family val="2"/>
        <scheme val="minor"/>
      </rPr>
      <t>NOT</t>
    </r>
    <r>
      <rPr>
        <sz val="11"/>
        <color theme="1"/>
        <rFont val="Aptos Narrow"/>
        <family val="2"/>
        <scheme val="minor"/>
      </rPr>
      <t xml:space="preserve"> built into this spreadsheet. You must locate them in your repository folder under:</t>
    </r>
  </si>
  <si>
    <r>
      <t>lessons_generator_prompt_phase_1.md</t>
    </r>
    <r>
      <rPr>
        <sz val="11"/>
        <color theme="1"/>
        <rFont val="Aptos Narrow"/>
        <family val="2"/>
        <scheme val="minor"/>
      </rPr>
      <t xml:space="preserve"> (Domain Analysis &amp; Topic Calculation Blueprint)</t>
    </r>
  </si>
  <si>
    <r>
      <t>lessons_generator_prompt_phase_2.md</t>
    </r>
    <r>
      <rPr>
        <sz val="11"/>
        <color theme="1"/>
        <rFont val="Aptos Narrow"/>
        <family val="2"/>
        <scheme val="minor"/>
      </rPr>
      <t xml:space="preserve"> (Sanitized Flat Markdown Table Generation)</t>
    </r>
  </si>
  <si>
    <t>Execution Workflow:</t>
  </si>
  <si>
    <r>
      <t xml:space="preserve">1. Copy the prompt from the </t>
    </r>
    <r>
      <rPr>
        <b/>
        <sz val="11"/>
        <color theme="1"/>
        <rFont val="Aptos Narrow"/>
        <family val="2"/>
        <scheme val="minor"/>
      </rPr>
      <t>Phase 1</t>
    </r>
    <r>
      <rPr>
        <sz val="11"/>
        <color theme="1"/>
        <rFont val="Aptos Narrow"/>
        <family val="2"/>
        <scheme val="minor"/>
      </rPr>
      <t xml:space="preserve"> MD file into your LLM to extract the analytical breakdown of your language or framework.</t>
    </r>
  </si>
  <si>
    <r>
      <t xml:space="preserve">2. Use the </t>
    </r>
    <r>
      <rPr>
        <b/>
        <sz val="11"/>
        <color theme="1"/>
        <rFont val="Aptos Narrow"/>
        <family val="2"/>
        <scheme val="minor"/>
      </rPr>
      <t>Phase 2</t>
    </r>
    <r>
      <rPr>
        <sz val="11"/>
        <color theme="1"/>
        <rFont val="Aptos Narrow"/>
        <family val="2"/>
        <scheme val="minor"/>
      </rPr>
      <t xml:space="preserve"> MD file prompt to clean and format those topics into a standardized 4-column raw table.</t>
    </r>
  </si>
  <si>
    <r>
      <t>3. Paste that sanitized data directly into the columns here starting from row 9 (</t>
    </r>
    <r>
      <rPr>
        <sz val="10"/>
        <color theme="1"/>
        <rFont val="Arial Unicode MS"/>
      </rPr>
      <t>#</t>
    </r>
    <r>
      <rPr>
        <sz val="11"/>
        <color theme="1"/>
        <rFont val="Aptos Narrow"/>
        <family val="2"/>
        <scheme val="minor"/>
      </rPr>
      <t xml:space="preserve">, </t>
    </r>
    <r>
      <rPr>
        <sz val="10"/>
        <color theme="1"/>
        <rFont val="Arial Unicode MS"/>
      </rPr>
      <t>Level</t>
    </r>
    <r>
      <rPr>
        <sz val="11"/>
        <color theme="1"/>
        <rFont val="Aptos Narrow"/>
        <family val="2"/>
        <scheme val="minor"/>
      </rPr>
      <t xml:space="preserve">, </t>
    </r>
    <r>
      <rPr>
        <sz val="10"/>
        <color theme="1"/>
        <rFont val="Arial Unicode MS"/>
      </rPr>
      <t>Type</t>
    </r>
    <r>
      <rPr>
        <sz val="11"/>
        <color theme="1"/>
        <rFont val="Aptos Narrow"/>
        <family val="2"/>
        <scheme val="minor"/>
      </rPr>
      <t xml:space="preserve">, </t>
    </r>
    <r>
      <rPr>
        <sz val="10"/>
        <color theme="1"/>
        <rFont val="Arial Unicode MS"/>
      </rPr>
      <t>Topic Name</t>
    </r>
    <r>
      <rPr>
        <sz val="11"/>
        <color theme="1"/>
        <rFont val="Aptos Narrow"/>
        <family val="2"/>
        <scheme val="minor"/>
      </rPr>
      <t>).</t>
    </r>
  </si>
  <si>
    <r>
      <t>Dynamic Generation:</t>
    </r>
    <r>
      <rPr>
        <sz val="11"/>
        <color theme="1"/>
        <rFont val="Aptos Narrow"/>
        <family val="2"/>
        <scheme val="minor"/>
      </rPr>
      <t xml:space="preserve"> Once your row metadata is filled, the rest of the columns in this kit will automatically compute, compile, and build the final custom socratic engine prompts.</t>
    </r>
  </si>
  <si>
    <t>Rule Tag</t>
  </si>
  <si>
    <t>Rule To Concatenate</t>
  </si>
  <si>
    <t>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</si>
  <si>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t>
  </si>
  <si>
    <t>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</si>
  <si>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t>
  </si>
  <si>
    <t>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</si>
  <si>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</si>
  <si>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</si>
  <si>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</si>
  <si>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</si>
  <si>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</si>
  <si>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</si>
  <si>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</si>
  <si>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</si>
  <si>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</si>
  <si>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t>
  </si>
  <si>
    <t>[COMMENT CONSTRAINTS]</t>
  </si>
  <si>
    <t>[HEX DEPENDENCIES RULE]</t>
  </si>
  <si>
    <t>[EXUNIT RULE]</t>
  </si>
  <si>
    <t>ALWAYS label markdown code blocks with the correct underlying programming language (e.g., elixir, javascript, sql)</t>
  </si>
  <si>
    <t>MUST be between " &amp; IF(G9="Beginner", "25–40", IF(G9="Intermediate", "30–60", "40–100")) &amp; " lines (STRICT) - Multi-step flow</t>
  </si>
  <si>
    <t>You are generating an EXAM. Do NOT provide the fixed code, diagnosis, hints, or explanations. Output ONLY the broken code. Do NOT include comments that reveal the bugs. Let the student find them.</t>
  </si>
  <si>
    <t>[I_O_PARADIGM]</t>
  </si>
  <si>
    <t>[INLINE_PACKAGE_MANAGER]</t>
  </si>
  <si>
    <t>[TESTING_FRAMEWORK_LIMITS]</t>
  </si>
  <si>
    <t>Mentor</t>
  </si>
  <si>
    <t>[PERFORMANCE_LIBRARIES]</t>
  </si>
  <si>
    <t>[FORBIDDEN_LOW_LEVEL_PATTERNS]</t>
  </si>
  <si>
    <t>[NATIVE_OPTIMIZATION_PARADIGM]</t>
  </si>
  <si>
    <t>[BEGINNER_SCOPE]</t>
  </si>
  <si>
    <t>[INTERMEDIATE_SCOPE]</t>
  </si>
  <si>
    <t>[ADVANCED_SCOPE]</t>
  </si>
  <si>
    <t>[CODE_CONSTRAINTS_RULE]</t>
  </si>
  <si>
    <t>[DATA_SOURCE_TYPE]</t>
  </si>
  <si>
    <t>[NATIVE_PRINT_METHOD]</t>
  </si>
  <si>
    <t>[FILE_SYSTEM_MODULE]</t>
  </si>
  <si>
    <t>[IDIOMATIC_RETURN_TYPES]</t>
  </si>
  <si>
    <t>[INLINE_INSTALL_SYNTAX]</t>
  </si>
  <si>
    <t>[TESTING_ENVIRONMENT]</t>
  </si>
  <si>
    <t>[FORBIDDEN_TEST_METHOD]</t>
  </si>
  <si>
    <t>[ALLOWED_TEST_SYNTAX]</t>
  </si>
  <si>
    <t>Rule Component</t>
  </si>
  <si>
    <t>Component Tag</t>
  </si>
  <si>
    <t>Projects</t>
  </si>
  <si>
    <t>[SCOPE_ARCHITECTURE_RULE]</t>
  </si>
  <si>
    <t>[VISUAL_ARCHITECTURE_COMMENTS]</t>
  </si>
  <si>
    <t>[VISUAL_BLOCK_COMMENT]</t>
  </si>
  <si>
    <t>[NATIVE_DOCUMENTATION_METHOD]</t>
  </si>
  <si>
    <t>[MAX_COMMENT_LINE_WIDTH]</t>
  </si>
  <si>
    <t>[MENTOR_SCOPE_EXPECTATIONS]</t>
  </si>
  <si>
    <t>[CODE_QUALITY_POLICIES]</t>
  </si>
  <si>
    <t>[IDIOMATIC_NAMING_CONVENTIONS]</t>
  </si>
  <si>
    <t>[CORE_LANGUAGE_LEVERAGE]</t>
  </si>
  <si>
    <t>[FORBIDDEN_IMPERATIVE_SMELLS]</t>
  </si>
  <si>
    <t>[DEFAULT_ARG_CLAUSES_REQUIRMENT]</t>
  </si>
  <si>
    <t>[FILE_HANDLING_RULE]</t>
  </si>
  <si>
    <t>[FILE_MODULE_USAGE]</t>
  </si>
  <si>
    <t>[ENV_USAGE_POLICY]</t>
  </si>
  <si>
    <t>[SUPPORT_FILES_STRUCTURE]</t>
  </si>
  <si>
    <t>[EXUNIT_RULE]</t>
  </si>
  <si>
    <t>[TESTING_SYNTAX_LIMITS]</t>
  </si>
  <si>
    <t>[HEX_DEPENDENCIES_RULE]</t>
  </si>
  <si>
    <t>[STANDALONE_INSTALL_SYNTAX]</t>
  </si>
  <si>
    <t>[CODE_CONSTRAINTS]</t>
  </si>
  <si>
    <t>[REQUIRED_CONSTRUCTS]</t>
  </si>
  <si>
    <t>[PARADIGM_CORE_POLICIES]</t>
  </si>
  <si>
    <t>[CONSISTENCY_RULE]</t>
  </si>
  <si>
    <t>Stage</t>
  </si>
  <si>
    <t>[BUG_RULE]</t>
  </si>
  <si>
    <t>[ENVIRONMENT_SIMULATION]</t>
  </si>
  <si>
    <t>[COMPILE_ERRORS_TYPE]</t>
  </si>
  <si>
    <t>[LOGIC_ERRORS_TYPE]</t>
  </si>
  <si>
    <t>[RUNTIME_ERRORS_TYPE]</t>
  </si>
  <si>
    <t>[ELIXIR_QUALITY_RULE_STRICT]</t>
  </si>
  <si>
    <t>[PRODUCTION_CLEAN_POLICY]</t>
  </si>
  <si>
    <t>[NAMING_CONVENTIONS]</t>
  </si>
  <si>
    <t>[PARADIGM_PURITY]</t>
  </si>
  <si>
    <t>[DEFAULT_ARG_HEAD_CLAUSE]</t>
  </si>
  <si>
    <t>ALWAYS label markdown code blocks with the correct underlying programming language (e.g., elixir, python, javascript, sql)</t>
  </si>
  <si>
    <t>[STANDALONE_INSTALL_POLICY]</t>
  </si>
  <si>
    <t>[TEST_MACRO_LIMITS]</t>
  </si>
  <si>
    <t>[CHALLENGE_CORE_REQ]</t>
  </si>
  <si>
    <t>[BASE_CODE_POLICY]</t>
  </si>
  <si>
    <t>[EXTERNAL_PACKAGE_PROTOCOL]</t>
  </si>
  <si>
    <t>[TESTING_FRAMEWORK_PROTOCOL]</t>
  </si>
  <si>
    <t>[CHALLENGE_CONSTRAINTS_POLICY]</t>
  </si>
  <si>
    <t>[DYNAMIC_INSTALL_SYNTAX]</t>
  </si>
  <si>
    <t>[PROJECT_LINE_METRIC_BASE]</t>
  </si>
  <si>
    <t>MUST be between</t>
  </si>
  <si>
    <t>[PROJECT_FLOW_POLICY]</t>
  </si>
  <si>
    <t>[PRODUCTION_STYLE_POLICY]</t>
  </si>
  <si>
    <t>[PARADIGM_CORE_LEVERAGE]</t>
  </si>
  <si>
    <t>[FUNCTIONAL_RESTRICTIONS]</t>
  </si>
  <si>
    <t>Normalize boolean values before comparison when the programming language requires it.</t>
  </si>
  <si>
    <t>Explicit casting required before calculations when the programming language requires it.</t>
  </si>
  <si>
    <t>Use correct loaders and enforce encoding='utf-8' and newline='' when applicable if the programming language supports it.</t>
  </si>
  <si>
    <t>[CODE_QUALITY_PROTOCOL]</t>
  </si>
  <si>
    <t>[CLEAN_CODE_POLICY]</t>
  </si>
  <si>
    <t>Normalize boolean values before comparison if the programming language requires it.</t>
  </si>
  <si>
    <t>Explicit casting required before calculations if the programming language requires it.</t>
  </si>
  <si>
    <t>Use correct loaders and enforce encoding='utf-8' and newline=' when applicable or supported by the programming language.</t>
  </si>
  <si>
    <t>[DETERMINISTIC_OUTPUT_PROTOCOL]</t>
  </si>
  <si>
    <t>[FUNCTIONAL_STRUCTURE_POLICY]</t>
  </si>
  <si>
    <t>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t>
  </si>
  <si>
    <t>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t>
  </si>
  <si>
    <t>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t>
  </si>
  <si>
    <t>up</t>
  </si>
  <si>
    <t>Check the "HowToStudy" sheet for instructions on how to use this sheet to study.</t>
  </si>
  <si>
    <t>📖 How to Study with Coding5s</t>
  </si>
  <si>
    <r>
      <t xml:space="preserve">Welcome to </t>
    </r>
    <r>
      <rPr>
        <b/>
        <sz val="11"/>
        <color theme="1"/>
        <rFont val="Aptos Narrow"/>
        <family val="2"/>
        <scheme val="minor"/>
      </rPr>
      <t>Coding5s</t>
    </r>
    <r>
      <rPr>
        <sz val="11"/>
        <color theme="1"/>
        <rFont val="Aptos Narrow"/>
        <family val="2"/>
        <scheme val="minor"/>
      </rPr>
      <t>! This framework is designed to give you a deep, hands-on learning experience using AI as your personal tutor alongside your local IDE.</t>
    </r>
  </si>
  <si>
    <t>📌 The Core Learning Workflow (Step-by-Step)</t>
  </si>
  <si>
    <t>1. Complete Stage 1 (Initial Learning Path)</t>
  </si>
  <si>
    <r>
      <t xml:space="preserve">Go to </t>
    </r>
    <r>
      <rPr>
        <b/>
        <sz val="11"/>
        <color theme="1"/>
        <rFont val="Aptos Narrow"/>
        <family val="2"/>
        <scheme val="minor"/>
      </rPr>
      <t>Lesson 1</t>
    </r>
    <r>
      <rPr>
        <sz val="11"/>
        <color theme="1"/>
        <rFont val="Aptos Narrow"/>
        <family val="2"/>
        <scheme val="minor"/>
      </rPr>
      <t xml:space="preserve"> in the main sheet.</t>
    </r>
  </si>
  <si>
    <r>
      <t xml:space="preserve">Copy the text from the </t>
    </r>
    <r>
      <rPr>
        <b/>
        <sz val="11"/>
        <color theme="1"/>
        <rFont val="Aptos Narrow"/>
        <family val="2"/>
        <scheme val="minor"/>
      </rPr>
      <t>Stage 1 Prompt</t>
    </r>
    <r>
      <rPr>
        <sz val="11"/>
        <color theme="1"/>
        <rFont val="Aptos Narrow"/>
        <family val="2"/>
        <scheme val="minor"/>
      </rPr>
      <t xml:space="preserve"> column.</t>
    </r>
  </si>
  <si>
    <t>Paste it into a clean AI chat (Gemini, ChatGPT, Claude, etc.).</t>
  </si>
  <si>
    <r>
      <t xml:space="preserve">Read the lesson, complete the exercise, and write/run the code in your </t>
    </r>
    <r>
      <rPr>
        <b/>
        <sz val="11"/>
        <color theme="1"/>
        <rFont val="Aptos Narrow"/>
        <family val="2"/>
        <scheme val="minor"/>
      </rPr>
      <t>local IDE</t>
    </r>
    <r>
      <rPr>
        <sz val="11"/>
        <color theme="1"/>
        <rFont val="Aptos Narrow"/>
        <family val="2"/>
        <scheme val="minor"/>
      </rPr>
      <t>.</t>
    </r>
  </si>
  <si>
    <r>
      <t xml:space="preserve">Proceed sequentially through </t>
    </r>
    <r>
      <rPr>
        <b/>
        <sz val="11"/>
        <color theme="1"/>
        <rFont val="Aptos Narrow"/>
        <family val="2"/>
        <scheme val="minor"/>
      </rPr>
      <t>Lesson 2, Lesson 3, etc.</t>
    </r>
    <r>
      <rPr>
        <sz val="11"/>
        <color theme="1"/>
        <rFont val="Aptos Narrow"/>
        <family val="2"/>
        <scheme val="minor"/>
      </rPr>
      <t xml:space="preserve">, staying within </t>
    </r>
    <r>
      <rPr>
        <b/>
        <sz val="11"/>
        <color theme="1"/>
        <rFont val="Aptos Narrow"/>
        <family val="2"/>
        <scheme val="minor"/>
      </rPr>
      <t>Stage 1</t>
    </r>
    <r>
      <rPr>
        <sz val="11"/>
        <color theme="1"/>
        <rFont val="Aptos Narrow"/>
        <family val="2"/>
        <scheme val="minor"/>
      </rPr>
      <t xml:space="preserve"> until you finish all topics and complete the first </t>
    </r>
    <r>
      <rPr>
        <b/>
        <sz val="11"/>
        <color theme="1"/>
        <rFont val="Aptos Narrow"/>
        <family val="2"/>
        <scheme val="minor"/>
      </rPr>
      <t>PROJECT</t>
    </r>
    <r>
      <rPr>
        <sz val="11"/>
        <color theme="1"/>
        <rFont val="Aptos Narrow"/>
        <family val="2"/>
        <scheme val="minor"/>
      </rPr>
      <t>.</t>
    </r>
  </si>
  <si>
    <t>2. How to Use the Mentor Column (Live Troubleshooting)</t>
  </si>
  <si>
    <r>
      <t xml:space="preserve">The </t>
    </r>
    <r>
      <rPr>
        <b/>
        <sz val="11"/>
        <color theme="1"/>
        <rFont val="Aptos Narrow"/>
        <family val="2"/>
        <scheme val="minor"/>
      </rPr>
      <t>Mentor Prompt</t>
    </r>
    <r>
      <rPr>
        <sz val="11"/>
        <color theme="1"/>
        <rFont val="Aptos Narrow"/>
        <family val="2"/>
        <scheme val="minor"/>
      </rPr>
      <t xml:space="preserve"> column is your dedicated support tool whenever you get stuck or need clarification on a specific topic.</t>
    </r>
  </si>
  <si>
    <t>To ask a question:</t>
  </si>
  <si>
    <r>
      <t xml:space="preserve">1. Copy the cell from the </t>
    </r>
    <r>
      <rPr>
        <b/>
        <sz val="11"/>
        <color theme="1"/>
        <rFont val="Aptos Narrow"/>
        <family val="2"/>
        <scheme val="minor"/>
      </rPr>
      <t>Mentor Prompt</t>
    </r>
    <r>
      <rPr>
        <sz val="11"/>
        <color theme="1"/>
        <rFont val="Aptos Narrow"/>
        <family val="2"/>
        <scheme val="minor"/>
      </rPr>
      <t xml:space="preserve"> column for your current lesson.</t>
    </r>
  </si>
  <si>
    <t>2. Paste it into your AI chat.</t>
  </si>
  <si>
    <t>3. Immediately below the prompt, write your question.</t>
  </si>
  <si>
    <t>4. Paste your code snippet directly from your IDE.</t>
  </si>
  <si>
    <t>Recommended Message Format:</t>
  </si>
  <si>
    <t>3. Sequential Stage Progression</t>
  </si>
  <si>
    <r>
      <t xml:space="preserve">Once you have completed the entire topic list in </t>
    </r>
    <r>
      <rPr>
        <b/>
        <sz val="11"/>
        <color theme="1"/>
        <rFont val="Aptos Narrow"/>
        <family val="2"/>
        <scheme val="minor"/>
      </rPr>
      <t>Stage 1</t>
    </r>
    <r>
      <rPr>
        <sz val="11"/>
        <color theme="1"/>
        <rFont val="Aptos Narrow"/>
        <family val="2"/>
        <scheme val="minor"/>
      </rPr>
      <t>:</t>
    </r>
  </si>
  <si>
    <r>
      <t xml:space="preserve">1. Move on to </t>
    </r>
    <r>
      <rPr>
        <b/>
        <sz val="11"/>
        <color theme="1"/>
        <rFont val="Aptos Narrow"/>
        <family val="2"/>
        <scheme val="minor"/>
      </rPr>
      <t>Stage 2 (Troubleshooting / Debugging)</t>
    </r>
    <r>
      <rPr>
        <sz val="11"/>
        <color theme="1"/>
        <rFont val="Aptos Narrow"/>
        <family val="2"/>
        <scheme val="minor"/>
      </rPr>
      <t>.</t>
    </r>
  </si>
  <si>
    <t>2. Go through the lessons from top to bottom in Stage 2 to learn how to break, diagnose, and fix broken code (use the Stage 2 Mentor prompt whenever the console crashes).</t>
  </si>
  <si>
    <r>
      <t xml:space="preserve">3. Repeat the process sequentially for </t>
    </r>
    <r>
      <rPr>
        <b/>
        <sz val="11"/>
        <color theme="1"/>
        <rFont val="Aptos Narrow"/>
        <family val="2"/>
        <scheme val="minor"/>
      </rPr>
      <t>Stage 3, Stage 4, and Stage 5</t>
    </r>
    <r>
      <rPr>
        <sz val="11"/>
        <color theme="1"/>
        <rFont val="Aptos Narrow"/>
        <family val="2"/>
        <scheme val="minor"/>
      </rPr>
      <t xml:space="preserve"> for advanced architecture, optimization, and scaling.</t>
    </r>
  </si>
  <si>
    <t>💡 Golden Rules for Students</t>
  </si>
  <si>
    <r>
      <t xml:space="preserve">❌ </t>
    </r>
    <r>
      <rPr>
        <b/>
        <sz val="11"/>
        <color theme="1"/>
        <rFont val="Aptos Narrow"/>
        <family val="2"/>
        <scheme val="minor"/>
      </rPr>
      <t>Do not jump across stages within the same lesson:</t>
    </r>
    <r>
      <rPr>
        <sz val="11"/>
        <color theme="1"/>
        <rFont val="Aptos Narrow"/>
        <family val="2"/>
        <scheme val="minor"/>
      </rPr>
      <t xml:space="preserve"> Do not attempt Stage 1, Stage 2, and Stage 3 for Lesson 1 on the same day. Build your core foundation by finishing the entire </t>
    </r>
    <r>
      <rPr>
        <b/>
        <sz val="11"/>
        <color theme="1"/>
        <rFont val="Aptos Narrow"/>
        <family val="2"/>
        <scheme val="minor"/>
      </rPr>
      <t>Stage 1 path first</t>
    </r>
    <r>
      <rPr>
        <sz val="11"/>
        <color theme="1"/>
        <rFont val="Aptos Narrow"/>
        <family val="2"/>
        <scheme val="minor"/>
      </rPr>
      <t>.</t>
    </r>
  </si>
  <si>
    <r>
      <t xml:space="preserve">✅ </t>
    </r>
    <r>
      <rPr>
        <b/>
        <sz val="11"/>
        <color theme="1"/>
        <rFont val="Aptos Narrow"/>
        <family val="2"/>
        <scheme val="minor"/>
      </rPr>
      <t>Always practice in your IDE:</t>
    </r>
    <r>
      <rPr>
        <sz val="11"/>
        <color theme="1"/>
        <rFont val="Aptos Narrow"/>
        <family val="2"/>
        <scheme val="minor"/>
      </rPr>
      <t xml:space="preserve"> Never just read the AI's explanation. Type out, test, and execute every piece of code in your editor.</t>
    </r>
  </si>
  <si>
    <t>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t>
  </si>
  <si>
    <t>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t>
  </si>
  <si>
    <t>Code MUST be clean, readable, educational, executable and produce correct results. Safely handle missing/malformed/inconsistent data, using pattern matching if possible.</t>
  </si>
  <si>
    <t>Code MUST include enough inline comments explaining WHAT it does AND WHY. Density: Beginner=high, Intermediate=medium, Advanced=lower but present in key logic.</t>
  </si>
  <si>
    <t>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t>
  </si>
  <si>
    <t>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t>
  </si>
  <si>
    <t>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t>
  </si>
  <si>
    <t>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t>
  </si>
  <si>
    <t>Website:</t>
  </si>
  <si>
    <t>https://coding5s.com</t>
  </si>
  <si>
    <t>Yes</t>
  </si>
  <si>
    <t>Built-in functions, itertools, functools, or asyncio concurrency models</t>
  </si>
  <si>
    <t>Standard Library modules (itertools, functools, collections, pathlib, json, csv, re)</t>
  </si>
  <si>
    <t>Manual class definitions, OOP inheritance, dunder methods, or unhandled file handles/threads</t>
  </si>
  <si>
    <t>Functional composition, generators, list/dict comprehensions, itertools, and pure functions</t>
  </si>
  <si>
    <t>Focus: basic function definitions, return values, positional/keyword arguments, and list/dict comprehensions.</t>
  </si>
  <si>
    <t>Integrate generator functions using yield, closures, functools utilities (partial, lru_cache), and decorators.</t>
  </si>
  <si>
    <t>Build scripts: async/await coroutines with asyncio, subprocess execution, signal trapping, and custom context managers.</t>
  </si>
  <si>
    <t>Dictionaries, Tuples, Namedtuples, or TypedDicts with strict type hints</t>
  </si>
  <si>
    <t>print() or logging.info()/logging.error() inside functional scopes or error handlers</t>
  </si>
  <si>
    <t>pathlib.Path, open() with context managers, or sys.stdin/sys.stdout streams</t>
  </si>
  <si>
    <t>Typed Tuples like Tuple[bool, str], Namedtuples, or Dict[str, Any] with type annotations</t>
  </si>
  <si>
    <t>Standard requirements.txt file or inline pip install comments (# requirements: package_name&gt;=version)</t>
  </si>
  <si>
    <t>pytest or native unittest testing suite using isolated test functions and assert statements</t>
  </si>
  <si>
    <t>Defining OOP TestCase classes or using global mutable state setup blocks outside isolated test functions</t>
  </si>
  <si>
    <t>Standard functional test framework using native assert statements or pytest.raises() for exceptions</t>
  </si>
  <si>
    <t>visual block tags separating functional script sections (e.g., '# --- UTILITY FUNCTIONS ---', '# --- CORE LOGIC ---')</t>
  </si>
  <si>
    <t>comprehensive docstrings using single quotes triple block (''' docstring ''') explaining function parameters, return types, and exceptions</t>
  </si>
  <si>
    <t>79 characters (PEP 8 standard)</t>
  </si>
  <si>
    <t>Evaluate based on basic functions, data structures, and conditional logic. Do NOT expect decorators, generators, or asyncio unless explicitly demanded.</t>
  </si>
  <si>
    <t>Expect clean functional composition, closures, decorators, generator expressions, and type hints. Enforce zero OOP classes and zero class definitions.</t>
  </si>
  <si>
    <t>Expect complete modular scripts with asyncio event loops, subprocess I/O, custom context managers, and structural pattern matching using match/case.</t>
  </si>
  <si>
    <t>Use descriptive snake_case for functions/variables, UPPER_CASE for constants, and snake_case for file names.</t>
  </si>
  <si>
    <t>Leverage Python 3.10+ match/case, type hints with typing module, itertools, functools, and list/dict comprehensions.</t>
  </si>
  <si>
    <t>Reject class definitions, OOP methods, mutating global variables, abusing Any type, or writing un-annotated monolithic scripts.</t>
  </si>
  <si>
    <t>If using default parameters, NEVER use mutable default arguments (e.g. default_list=[]); use None as default and initialize inside function.</t>
  </si>
  <si>
    <t>Use standard file I/O via open() with 'with' context managers or pathlib.Path, handling errors via try/except blocks returning typed tuples like (data, error).</t>
  </si>
  <si>
    <t>Environment variables via os.getenv() or python-dotenv may be used but bugs MUST exist ONLY in Python script logic, NEVER in requirements.txt or .env files.</t>
  </si>
  <si>
    <t>If logic is externalized, MUST include: 1. Instructional sentence 2. Setup helper/data block 3. BEFORE the broken logic block (Support files MUST contain NO bugs)</t>
  </si>
  <si>
    <t>Always use pytest or native test functions. You MUST use native assert statements or pytest.raises() for exception testing. Avoid defining TestClasses or methods.</t>
  </si>
  <si>
    <t>Assume a standard Python runtime context. External PyPI dependencies MUST be specified strictly within a requirements.txt file.</t>
  </si>
  <si>
    <t>Each challenge MUST include: - At least 1 functional iterator/generator or comprehension - Explicit type annotations - At least 1 error handling try/except block</t>
  </si>
  <si>
    <t>lines of EXECUTABLE broken Python code per example (STRICT: Do NOT count blank lines). Enforce PEP 8, type hints, and NO OOP class structures.</t>
  </si>
  <si>
    <t>All challenges MUST have similar functional abstraction depth and architectural complexity.</t>
  </si>
  <si>
    <t>Simulate a messy production Python scripting environment. The project MUST contain EXACTLY 2–5 bugs. You MUST randomly select from real-world functional/type errors:</t>
  </si>
  <si>
    <t>1. Type Hints/TypeError (e.g., passing incompatible types to functions, unhandled NoneType access, missing required arguments),</t>
  </si>
  <si>
    <t>2. State/Logic (e.g., mutable default argument traps, improper iterator exhaustion, incorrect list/dict comprehension filtering), AND</t>
  </si>
  <si>
    <t>3. Runtime/Exceptions (e.g., KeyError on dict lookup, FileNotFoundError in paths, unhandled ValueError in type casting or regex).</t>
  </si>
  <si>
    <t>Code MUST be production-like, cleanly utilizing Python 3.10+ features, strict type hints, PEP 8 styling, and robust functional abstractions without classes.</t>
  </si>
  <si>
    <t>Use descriptive snake_case for variables/functions, UPPER_CASE for constants, and snake_case for file names.</t>
  </si>
  <si>
    <t>Enforce strict type hints, eliminate class definitions, and leverage built-ins, itertools, and comprehensions over raw imperative loops.</t>
  </si>
  <si>
    <t>If using default arguments, use immutable defaults or None guards to prevent mutable default argument state bugs.</t>
  </si>
  <si>
    <t>External PyPI packages MUST be specified inside a standard requirements.txt file. Do not use inline system pip commands.</t>
  </si>
  <si>
    <t>Tests MUST isolate functional logic. NEVER mutate global state; use native assert statements or pytest fixtures to verify function outputs.</t>
  </si>
  <si>
    <t>Each challenge MUST include: - A functional module or script using closures, generators, or functools to manage continuous state with strict type hints.</t>
  </si>
  <si>
    <t>lines of EXECUTABLE base Python code (STRICT: Do NOT count comments or TODOs). Length MUST vary. Enforce type hints, PEP 8, and NO classes.</t>
  </si>
  <si>
    <t>Require standard pip tooling and requirements.txt for dependencies.</t>
  </si>
  <si>
    <t>lines of EXECUTABLE base Python code (STRICT: Do NOT count comments or TODOs). Must feature functional data pipelines or asynchronous asyncio flows.</t>
  </si>
  <si>
    <t>Code MUST perfectly model idiomatic Python 3.10+ functional scripting paradigms using standard Python ecosystem tools.</t>
  </si>
  <si>
    <t>Enforce structural pattern matching (match/case), typed tuples/dicts, and maintain flawless PEP 8 compliance and type annotations.</t>
  </si>
  <si>
    <t>Reject OOP class definitions, global variable mutations, and un-annotated dynamic variables. Leverage match/case and functional helpers instead of deep nested loops.</t>
  </si>
  <si>
    <t>Code MUST adhere strictly to PEP 8 guidelines. Use snake_case for variables/functions, UPPER_CASE for constants, snake_case for files. Avoid global state; emphasize strict type hints, functools, and clean functional architectures without OOP classes.</t>
  </si>
  <si>
    <t>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t>
  </si>
  <si>
    <t>Each example MUST include: - Internal data OR dataset usage - Print key intermediate steps and the final result - MUST NOT exceed exactly " &amp; $C9 &amp; " lines of EXECUTABLE code (STRICT: Do NOT count comments or blank lines). - NEVER exceed this limit. | " &amp;</t>
  </si>
  <si>
    <t>" &amp; A9 &amp; " | " &amp;</t>
  </si>
  <si>
    <t>You are helping a Junior Developer who is " &amp; IF(UPPER(H9)="PROJECT", "building a PROJECT: " &amp; I9 &amp; ". Topics applied in this project: " &amp; A9 &amp; ". Project objective: " &amp; J9, "learning: " &amp; I9 &amp; ". Topic details: " &amp; J9) &amp; " | " &amp;</t>
  </si>
  <si>
    <t>You are helping a Junior Developer debug a " &amp; IF(UPPER(H9)="PROJECT", "PROJECT: " &amp; I9 &amp; ". Topics involved: " &amp; A9 &amp; ". Project objective: " &amp; J9, "TOPIC: " &amp; I9 &amp; ". Topic details: " &amp; J9) &amp; " | " &amp;</t>
  </si>
  <si>
    <t>You are helping a Junior Developer complete a " &amp; IF(UPPER(H9)="PROJECT", "PROJECT: " &amp; I9 &amp; ". Topics involved: " &amp; A9 &amp; ". Project objective: " &amp; J9, "TOPIC: " &amp; I9 &amp; ". Topic details: " &amp; J9) &amp; " | " &amp;</t>
  </si>
  <si>
    <t>You are performing a Code Review for a " &amp; IF(UPPER(H9)="PROJECT", "PROJECT: " &amp; I9 &amp; ". Topics involved: " &amp; A9 &amp; ". Project objective: " &amp; J9, "TOPIC: " &amp; I9 &amp; ". Topic details: " &amp; J9) &amp; " | " &amp;</t>
  </si>
  <si>
    <t>You are reviewing the final implementation of a new feature for a " &amp; IF(UPPER(H9)="PROJECT", "PROJECT: " &amp; I9 &amp; ". Topics integrated: " &amp; A9 &amp; ". Business Goal: " &amp; J9, "TOPIC: " &amp; I9 &amp; ". Goal: " &amp; J9) &amp; " | " &amp;</t>
  </si>
  <si>
    <t>Python</t>
  </si>
  <si>
    <t>HTTPX</t>
  </si>
  <si>
    <t>Execute basic GET requests using httpx.get to retrieve web page data and evaluate the status_code to confirm successful connections</t>
  </si>
  <si>
    <t>Executing Basic GET Requests (requests.get, .status_code)</t>
  </si>
  <si>
    <t>Read and extract the payload from httpx responses using .text for string formatting and .content for raw byte extraction</t>
  </si>
  <si>
    <t>Reading Response Content (.text, .content)</t>
  </si>
  <si>
    <t>Parse structured JSON payloads from API responses by utilizing the .json() method in httpx to convert text data into native Python dictionaries</t>
  </si>
  <si>
    <t>Parsing JSON Responses (.json())</t>
  </si>
  <si>
    <t>Append dynamic query strings to endpoint URLs by passing a Python dictionary to the params argument in httpx requests</t>
  </si>
  <si>
    <t>Passing URL Query Parameters (params dictionary)</t>
  </si>
  <si>
    <t>Inspect HTTP response metadata by accessing the .headers, .url, and .encoding attributes of an httpx response object to understand server configurations</t>
  </si>
  <si>
    <t>Inspecting Response Metadata (.headers, .url, .encoding)</t>
  </si>
  <si>
    <t>Build a simple API data fetcher using httpx that takes a public REST endpoint as input, processes basic GET requests to retrieve JSON data, and outputs formatted textual information to the user</t>
  </si>
  <si>
    <t>Project 1: Simple API Data Fetcher</t>
  </si>
  <si>
    <t>Load environment variables securely for httpx scripts by implementing python-dotenv functions like load_dotenv and os.getenv to protect sensitive API credentials</t>
  </si>
  <si>
    <t>Introduction to python-dotenv (load_dotenv, os.getenv)</t>
  </si>
  <si>
    <t>Customize HTTP request headers in httpx by passing a dictionary to the headers parameter to specify accepted content types or simulate specific browser user agents</t>
  </si>
  <si>
    <t>Customizing Request Headers (headers dictionary)</t>
  </si>
  <si>
    <t>Implement Basic Authentication in httpx requests by supplying a secure username and password tuple to the auth parameter to access protected endpoints</t>
  </si>
  <si>
    <t>Implementing Basic Authentication (auth tuple)</t>
  </si>
  <si>
    <t>Authenticate API requests using Bearer Tokens by manually injecting the authorization string into the custom headers dictionary within an httpx request payload</t>
  </si>
  <si>
    <t>Implementing Bearer Token Authentication (via custom headers)</t>
  </si>
  <si>
    <t>Handle HTTP error codes automatically by invoking the raise_for_status() method on an httpx response object to trigger Python exceptions for failed or rejected requests</t>
  </si>
  <si>
    <t>Handling HTTP Errors Automatically (raise_for_status())</t>
  </si>
  <si>
    <t>Build a secure API client that takes hidden API keys loaded via dotenv as input, processes secure httpx requests using customized headers and authentication protocols, and outputs verified data from protected endpoints</t>
  </si>
  <si>
    <t>Project 2: Secure API Client (Dotenv, Auth, Headers)</t>
  </si>
  <si>
    <t>Transmit form-encoded data to remote servers by executing POST requests with httpx.post and passing a formatted Python dictionary to the data parameter</t>
  </si>
  <si>
    <t>Sending Form-Encoded Data with POST (data parameter)</t>
  </si>
  <si>
    <t>Send structured JSON payloads to RESTful APIs by utilizing the json parameter in httpx.post requests to automatically serialize Python dictionaries and set correct headers</t>
  </si>
  <si>
    <t>Sending JSON Data with POST (json parameter)</t>
  </si>
  <si>
    <t>Manipulate server-side resources by executing httpx.put, httpx.patch, and httpx.delete HTTP methods to update, modify, or permanently remove API data records</t>
  </si>
  <si>
    <t>Modifying and Deleting Resources (requests.put, .patch, .delete)</t>
  </si>
  <si>
    <t>Debug outgoing HTTP traffic by inspecting the .request.headers and .request.content attributes of a completed httpx response to verify the exact payload transmitted to the server</t>
  </si>
  <si>
    <t>Inspecting the Prepared Request (response.request.headers, .body)</t>
  </si>
  <si>
    <t>Enforce strict network constraints by configuring the timeout parameter in httpx requests to prevent hanging connections and ensure predictable application execution times</t>
  </si>
  <si>
    <t>Enforcing Request Timeouts (timeout parameter)</t>
  </si>
  <si>
    <t>Implement robust error handling by wrapping httpx client calls in try-except blocks to gracefully catch and log specific network exceptions such as httpx.TimeoutException and httpx.RequestError</t>
  </si>
  <si>
    <t>Catching Network Exceptions (Timeout, ConnectionError, RequestException)</t>
  </si>
  <si>
    <t>Extract comprehensive datasets across multiple API pages by implementing while loops alongside httpx requests to systematically parse and follow pagination cursors or next-page link headers</t>
  </si>
  <si>
    <t>Handling API Pagination (While loops, next cursors/links)</t>
  </si>
  <si>
    <t>Build a complete CRUD manager application that takes user terminal commands as input, processes data modifications across paginated API endpoints using secure httpx methods with strict network timeouts, and outputs execution status confirmations for each operation</t>
  </si>
  <si>
    <t>Project 3: Complete CRUD Manager with Pagination &amp; Timeouts</t>
  </si>
  <si>
    <t>Control HTTP redirection behavior by toggling the follow_redirects parameter in httpx methods and logically tracing the routing sequence through the response.history list attribute</t>
  </si>
  <si>
    <t>Managing HTTP Redirects (allow_redirects, response.history)</t>
  </si>
  <si>
    <t>Download massive binary files efficiently by utilizing the httpx .iter_bytes() method to stream and write data to disk in manageable chunk sizes without exhausting system RAM</t>
  </si>
  <si>
    <t>Downloading Large/Binary Files in Chunks (iter_content)</t>
  </si>
  <si>
    <t>Upload individual files to remote servers by passing binary file objects created with open() to the files parameter within an httpx.post multipart form request</t>
  </si>
  <si>
    <t>Uploading Single Files (files parameter with open())</t>
  </si>
  <si>
    <t>Construct complex multipart/form-data requests in httpx by transmitting multiple binary file objects alongside supplementary string-based form data dictionaries simultaneously in a single POST operation</t>
  </si>
  <si>
    <t>Uploading Multiple Files and Form Data Simultaneously</t>
  </si>
  <si>
    <t>Build a robust bidirectional file transfer utility that takes local file paths and remote destination URLs as input, processes chunked byte streams for both network downloads and uploads utilizing httpx, and outputs real-time visual progress indicators to the user</t>
  </si>
  <si>
    <t>Project 4: Robust File Transfer Utility (Chunked downloads, uploads)</t>
  </si>
  <si>
    <t>Optimize HTTP performance and implement underlying connection pooling by initializing an httpx.Client() instance to persist TCP connections across multiple sequential network requests</t>
  </si>
  <si>
    <t>Initializing Connection Pooling and State (requests.Session())</t>
  </si>
  <si>
    <t>Configure client-level network defaults by assigning base URLs, default authentication schemas, and universal headers to an httpx.Client() object to standardize parameters across all outbound application requests</t>
  </si>
  <si>
    <t>Configuring Session-Level Defaults (Default headers, default auth)</t>
  </si>
  <si>
    <t>Manage persistent HTTP states by manipulating the cookies parameter, extracting response.cookies, and utilizing the httpx.Cookies class to dynamically handle and inject server-issued session identifiers</t>
  </si>
  <si>
    <t>Managing Cookies (cookies param, response.cookies, RequestsCookieJar)</t>
  </si>
  <si>
    <t>Obfuscate origin IP addresses and securely route network traffic by configuring the proxy or proxies parameter in httpx clients to forward outgoing requests through designated HTTP/HTTPS proxy servers</t>
  </si>
  <si>
    <t>Routing Traffic through Proxies (proxies dictionary)</t>
  </si>
  <si>
    <t>Manage secure socket layer constraints by adjusting the verify parameter in httpx to either enforce strict SSL certificate validation or explicitly bypass security checks for custom internal network certificates</t>
  </si>
  <si>
    <t>Managing SSL Certificate Verification (verify parameter)</t>
  </si>
  <si>
    <t>Build an advanced stateful API crawler that takes target domains and external proxy lists as input, processes repetitive requests through a persistent httpx.Client() featuring automatic proxy rotation and cookie management, and outputs structured scraped data to local storage</t>
  </si>
  <si>
    <t>Project 5: Stateful API Crawler (Sessions, persistence, proxy rotation)</t>
  </si>
  <si>
    <t>Consume continuous Server-Sent Events (SSE) and live text streams by utilizing the httpx.stream() context manager and continuously iterating over the active response using the .iter_lines() generator method</t>
  </si>
  <si>
    <t>Streaming Text Lines and SSE (stream=True, .iter_lines())</t>
  </si>
  <si>
    <t>Instrument advanced network monitoring by attaching custom Python callback functions to the event_hooks dictionary in httpx clients to automatically log, measure, or inspect HTTP responses asynchronously immediately upon receipt</t>
  </si>
  <si>
    <t>Attaching Callbacks to Responses (hooks={'response': callback_function})</t>
  </si>
  <si>
    <t>Craft and construct HTTP requests manually by instantiating raw httpx.Request objects and explicitly dispatching them using the client.send() method to achieve granular programmatic control over the entire network transmission lifecycle</t>
  </si>
  <si>
    <t>Manual Request Crafting (Request, Session.prepare_request, Session.send)</t>
  </si>
  <si>
    <t>Enhance application resilience by configuring procedural network retries utilizing httpx.HTTPTransport parameters to automatically re-attempt failed connections based on specific HTTP status codes or unexpected TCP connection drops</t>
  </si>
  <si>
    <t>Configuring Procedural Retries (urllib3.util.Retry, HTTPAdapter, mount)</t>
  </si>
  <si>
    <t>Access low-level network socket data by reading raw byte streams directly from an active httpx response stream to completely bypass standard library decoders and manipulate unaltered network payloads</t>
  </si>
  <si>
    <t>Accessing the Underlying Socket Response (response.raw, decode_content)</t>
  </si>
  <si>
    <t>Implement deterministic unit tests for network operations by utilizing mocking libraries like respx or pytest-httpx to intercept outgoing httpx requests and inject simulated JSON responses without hitting live endpoints</t>
  </si>
  <si>
    <t>Testing and Mocking Requests (Using the responses library)</t>
  </si>
  <si>
    <t>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t>
  </si>
  <si>
    <t>Project 6: Resilient Data Pipeline (Prepared requests, hooks, retries, mocking)</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</si>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</sst>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sz val="11"/>
      <name val="Aptos Narrow"/>
      <family val="2"/>
      <scheme val="minor"/>
    </font>
    <font>
      <b/>
      <sz val="18"/>
      <color rgb="FFFFFF00"/>
      <name val="Aptos Narrow"/>
      <family val="2"/>
      <scheme val="minor"/>
    </font>
    <font>
      <b/>
      <sz val="20"/>
      <color rgb="FFFFC000"/>
      <name val="Aptos Narrow"/>
      <family val="2"/>
      <scheme val="minor"/>
    </font>
    <font>
      <sz val="14"/>
      <color theme="0"/>
      <name val="Aptos Narrow"/>
      <family val="2"/>
      <scheme val="minor"/>
    </font>
    <font>
      <b/>
      <sz val="12"/>
      <color theme="0"/>
      <name val="Aptos Narrow"/>
      <family val="2"/>
      <scheme val="minor"/>
    </font>
    <font>
      <sz val="12"/>
      <color theme="0"/>
      <name val="Aptos Narrow"/>
      <family val="2"/>
      <scheme val="minor"/>
    </font>
    <font>
      <sz val="11"/>
      <color theme="0" tint="-4.9989318521683403E-2"/>
      <name val="Aptos Narrow"/>
      <family val="2"/>
      <scheme val="minor"/>
    </font>
    <font>
      <b/>
      <sz val="12"/>
      <color theme="0" tint="-4.9989318521683403E-2"/>
      <name val="Aptos Narrow"/>
      <family val="2"/>
      <scheme val="minor"/>
    </font>
    <font>
      <b/>
      <sz val="16"/>
      <color theme="0"/>
      <name val="Aptos Narrow"/>
      <family val="2"/>
      <scheme val="minor"/>
    </font>
    <font>
      <b/>
      <sz val="11"/>
      <color theme="1"/>
      <name val="Arial"/>
      <family val="2"/>
    </font>
    <font>
      <sz val="11"/>
      <color theme="1"/>
      <name val="Arial"/>
      <family val="2"/>
    </font>
    <font>
      <sz val="28"/>
      <color theme="1"/>
      <name val="Aptos Narrow"/>
      <family val="2"/>
      <scheme val="minor"/>
    </font>
    <font>
      <b/>
      <sz val="11"/>
      <color theme="0"/>
      <name val="Aptos Narrow"/>
      <family val="2"/>
      <scheme val="minor"/>
    </font>
    <font>
      <b/>
      <sz val="28"/>
      <color theme="1"/>
      <name val="Aptos Narrow"/>
      <family val="2"/>
      <scheme val="minor"/>
    </font>
    <font>
      <b/>
      <sz val="14"/>
      <color theme="1"/>
      <name val="Aptos Narrow"/>
      <family val="2"/>
      <scheme val="minor"/>
    </font>
    <font>
      <u/>
      <sz val="11"/>
      <color theme="10"/>
      <name val="Aptos Narrow"/>
      <family val="2"/>
      <scheme val="minor"/>
    </font>
    <font>
      <b/>
      <sz val="13.5"/>
      <color theme="1"/>
      <name val="Aptos Narrow"/>
      <family val="2"/>
      <scheme val="minor"/>
    </font>
    <font>
      <sz val="10"/>
      <color theme="1"/>
      <name val="Arial Unicode MS"/>
    </font>
    <font>
      <sz val="20"/>
      <color theme="1"/>
      <name val="Aptos Narrow"/>
      <family val="2"/>
      <scheme val="minor"/>
    </font>
    <font>
      <b/>
      <sz val="20"/>
      <color theme="5" tint="-0.249977111117893"/>
      <name val="Aptos Narrow"/>
      <family val="2"/>
      <scheme val="minor"/>
    </font>
    <font>
      <b/>
      <sz val="24"/>
      <color theme="1"/>
      <name val="Aptos Narrow"/>
      <family val="2"/>
      <scheme val="minor"/>
    </font>
    <font>
      <b/>
      <sz val="16"/>
      <color theme="1"/>
      <name val="Aptos Narrow"/>
      <family val="2"/>
      <scheme val="minor"/>
    </font>
  </fonts>
  <fills count="37">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2" tint="-9.9978637043366805E-2"/>
        <bgColor theme="0" tint="-0.14999847407452621"/>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749992370372631"/>
        <bgColor theme="0" tint="-0.14999847407452621"/>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2C353E"/>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theme="4" tint="0.59999389629810485"/>
        <bgColor theme="0" tint="-0.14999847407452621"/>
      </patternFill>
    </fill>
    <fill>
      <patternFill patternType="solid">
        <fgColor rgb="FF00B050"/>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D8BEEC"/>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7" tint="0.59999389629810485"/>
        <bgColor theme="0" tint="-0.14999847407452621"/>
      </patternFill>
    </fill>
    <fill>
      <patternFill patternType="solid">
        <fgColor rgb="FF00206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14996795556505021"/>
      </left>
      <right/>
      <top/>
      <bottom/>
      <diagonal/>
    </border>
    <border>
      <left style="thin">
        <color theme="0" tint="-0.14993743705557422"/>
      </left>
      <right/>
      <top/>
      <bottom/>
      <diagonal/>
    </border>
    <border>
      <left/>
      <right style="thin">
        <color theme="0" tint="-0.14993743705557422"/>
      </right>
      <top/>
      <bottom/>
      <diagonal/>
    </border>
    <border>
      <left style="thin">
        <color theme="0" tint="-0.24994659260841701"/>
      </left>
      <right/>
      <top/>
      <bottom/>
      <diagonal/>
    </border>
    <border>
      <left/>
      <right style="thin">
        <color theme="0" tint="-0.24994659260841701"/>
      </right>
      <top/>
      <bottom/>
      <diagonal/>
    </border>
    <border>
      <left/>
      <right/>
      <top/>
      <bottom style="thin">
        <color theme="0" tint="-0.14996795556505021"/>
      </bottom>
      <diagonal/>
    </border>
    <border>
      <left/>
      <right style="thin">
        <color theme="0" tint="-0.14993743705557422"/>
      </right>
      <top/>
      <bottom style="thin">
        <color theme="0" tint="-0.14993743705557422"/>
      </bottom>
      <diagonal/>
    </border>
    <border>
      <left/>
      <right style="thin">
        <color theme="0" tint="-0.24994659260841701"/>
      </right>
      <top/>
      <bottom style="thin">
        <color theme="0" tint="-0.24994659260841701"/>
      </bottom>
      <diagonal/>
    </border>
    <border>
      <left style="medium">
        <color indexed="64"/>
      </left>
      <right/>
      <top style="thin">
        <color theme="1"/>
      </top>
      <bottom/>
      <diagonal/>
    </border>
    <border>
      <left style="thin">
        <color indexed="64"/>
      </left>
      <right/>
      <top style="thin">
        <color theme="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top style="thin">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0" fillId="0" borderId="0" applyNumberFormat="0" applyFill="0" applyBorder="0" applyAlignment="0" applyProtection="0"/>
  </cellStyleXfs>
  <cellXfs count="142">
    <xf numFmtId="0" fontId="0" fillId="0" borderId="0" xfId="0"/>
    <xf numFmtId="0" fontId="0" fillId="2" borderId="0" xfId="0" applyFill="1"/>
    <xf numFmtId="0" fontId="2" fillId="2" borderId="0" xfId="0" applyFont="1" applyFill="1"/>
    <xf numFmtId="0" fontId="3" fillId="2" borderId="0" xfId="0" applyFont="1" applyFill="1"/>
    <xf numFmtId="0" fontId="1" fillId="3" borderId="1" xfId="0" applyFont="1" applyFill="1" applyBorder="1"/>
    <xf numFmtId="0" fontId="3" fillId="2" borderId="2" xfId="0" applyFont="1" applyFill="1" applyBorder="1"/>
    <xf numFmtId="0" fontId="3" fillId="2" borderId="3" xfId="0" applyFont="1" applyFill="1" applyBorder="1"/>
    <xf numFmtId="0" fontId="4"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0" fillId="4" borderId="0" xfId="0" applyFill="1"/>
    <xf numFmtId="0" fontId="5" fillId="4" borderId="0" xfId="0" applyFont="1" applyFill="1"/>
    <xf numFmtId="0" fontId="6" fillId="2" borderId="0" xfId="0" applyFont="1" applyFill="1"/>
    <xf numFmtId="0" fontId="0" fillId="5" borderId="1" xfId="0" applyFill="1" applyBorder="1"/>
    <xf numFmtId="0" fontId="7" fillId="2" borderId="10" xfId="0" applyFont="1" applyFill="1" applyBorder="1"/>
    <xf numFmtId="0" fontId="8" fillId="2" borderId="0" xfId="0" applyFont="1" applyFill="1"/>
    <xf numFmtId="0" fontId="2" fillId="2" borderId="0" xfId="0" applyFont="1" applyFill="1" applyAlignment="1">
      <alignment horizontal="left"/>
    </xf>
    <xf numFmtId="0" fontId="2" fillId="2" borderId="10" xfId="0" applyFont="1" applyFill="1" applyBorder="1"/>
    <xf numFmtId="0" fontId="2" fillId="2" borderId="0" xfId="0" applyFont="1" applyFill="1" applyAlignment="1">
      <alignment vertical="center" wrapText="1"/>
    </xf>
    <xf numFmtId="0" fontId="2" fillId="2" borderId="12" xfId="0" applyFont="1" applyFill="1" applyBorder="1" applyAlignment="1">
      <alignment vertical="center" wrapText="1"/>
    </xf>
    <xf numFmtId="0" fontId="2" fillId="2" borderId="10" xfId="0" applyFont="1" applyFill="1" applyBorder="1" applyAlignment="1">
      <alignment vertical="center" wrapText="1"/>
    </xf>
    <xf numFmtId="0" fontId="2" fillId="2" borderId="14" xfId="0" applyFont="1" applyFill="1" applyBorder="1" applyAlignment="1">
      <alignment vertical="center" wrapText="1"/>
    </xf>
    <xf numFmtId="0" fontId="2" fillId="2" borderId="13" xfId="0" applyFont="1" applyFill="1" applyBorder="1" applyAlignment="1">
      <alignment vertical="center" wrapText="1"/>
    </xf>
    <xf numFmtId="0" fontId="10" fillId="2" borderId="10" xfId="0" applyFont="1" applyFill="1" applyBorder="1"/>
    <xf numFmtId="0" fontId="11" fillId="2" borderId="0" xfId="0" applyFont="1" applyFill="1"/>
    <xf numFmtId="0" fontId="12" fillId="2" borderId="0" xfId="0" applyFont="1" applyFill="1"/>
    <xf numFmtId="0" fontId="2" fillId="2" borderId="11" xfId="0" applyFont="1" applyFill="1" applyBorder="1" applyAlignment="1">
      <alignment vertical="center"/>
    </xf>
    <xf numFmtId="0" fontId="2" fillId="2" borderId="0" xfId="0" applyFont="1" applyFill="1" applyAlignment="1">
      <alignment vertical="center"/>
    </xf>
    <xf numFmtId="0" fontId="1" fillId="0" borderId="1" xfId="0" applyFont="1" applyBorder="1"/>
    <xf numFmtId="0" fontId="13" fillId="2" borderId="10" xfId="0" applyFont="1" applyFill="1" applyBorder="1"/>
    <xf numFmtId="0" fontId="0" fillId="6" borderId="1" xfId="0" applyFill="1" applyBorder="1"/>
    <xf numFmtId="0" fontId="0" fillId="7" borderId="1" xfId="0" applyFill="1" applyBorder="1"/>
    <xf numFmtId="0" fontId="2" fillId="2" borderId="15" xfId="0" applyFont="1" applyFill="1" applyBorder="1"/>
    <xf numFmtId="0" fontId="11" fillId="2" borderId="15" xfId="0" applyFont="1" applyFill="1" applyBorder="1"/>
    <xf numFmtId="0" fontId="2" fillId="2" borderId="16" xfId="0" applyFont="1" applyFill="1" applyBorder="1" applyAlignment="1">
      <alignment vertical="center" wrapText="1"/>
    </xf>
    <xf numFmtId="0" fontId="2" fillId="2" borderId="17" xfId="0" applyFont="1" applyFill="1" applyBorder="1" applyAlignment="1">
      <alignment vertical="center" wrapText="1"/>
    </xf>
    <xf numFmtId="0" fontId="0" fillId="4" borderId="1" xfId="0" applyFill="1" applyBorder="1"/>
    <xf numFmtId="0" fontId="14" fillId="8" borderId="18" xfId="0" applyFont="1" applyFill="1" applyBorder="1" applyAlignment="1">
      <alignment vertical="center"/>
    </xf>
    <xf numFmtId="0" fontId="14" fillId="9" borderId="19" xfId="0" applyFont="1" applyFill="1" applyBorder="1" applyAlignment="1">
      <alignment vertical="center"/>
    </xf>
    <xf numFmtId="0" fontId="14" fillId="9" borderId="1" xfId="0" applyFont="1" applyFill="1" applyBorder="1" applyAlignment="1">
      <alignment vertical="center"/>
    </xf>
    <xf numFmtId="0" fontId="14" fillId="9" borderId="1" xfId="0" applyFont="1" applyFill="1" applyBorder="1" applyAlignment="1">
      <alignment horizontal="left" vertical="center"/>
    </xf>
    <xf numFmtId="0" fontId="0" fillId="10" borderId="1" xfId="0" applyFill="1" applyBorder="1"/>
    <xf numFmtId="0" fontId="15" fillId="11" borderId="20" xfId="0" applyFont="1" applyFill="1" applyBorder="1" applyAlignment="1">
      <alignment horizontal="center" vertical="center"/>
    </xf>
    <xf numFmtId="0" fontId="0" fillId="12" borderId="20" xfId="0" applyFill="1" applyBorder="1" applyAlignment="1">
      <alignment horizontal="left"/>
    </xf>
    <xf numFmtId="0" fontId="15" fillId="13" borderId="1" xfId="0" applyFont="1" applyFill="1" applyBorder="1" applyAlignment="1">
      <alignment vertical="center"/>
    </xf>
    <xf numFmtId="0" fontId="15" fillId="13" borderId="20" xfId="0" applyFont="1" applyFill="1" applyBorder="1" applyAlignment="1">
      <alignment vertical="center"/>
    </xf>
    <xf numFmtId="0" fontId="15" fillId="14" borderId="21" xfId="0" applyFont="1" applyFill="1" applyBorder="1" applyAlignment="1">
      <alignment vertical="center"/>
    </xf>
    <xf numFmtId="0" fontId="15" fillId="13" borderId="22" xfId="0" applyFont="1" applyFill="1" applyBorder="1" applyAlignment="1">
      <alignment vertical="center"/>
    </xf>
    <xf numFmtId="0" fontId="0" fillId="0" borderId="20" xfId="0" applyBorder="1"/>
    <xf numFmtId="0" fontId="0" fillId="13" borderId="20" xfId="0" applyFill="1" applyBorder="1"/>
    <xf numFmtId="0" fontId="0" fillId="0" borderId="1" xfId="0" applyBorder="1"/>
    <xf numFmtId="0" fontId="5" fillId="4" borderId="1" xfId="0" applyFont="1" applyFill="1" applyBorder="1"/>
    <xf numFmtId="0" fontId="0" fillId="15" borderId="1" xfId="0" applyFill="1" applyBorder="1"/>
    <xf numFmtId="0" fontId="15" fillId="4" borderId="20" xfId="0" applyFont="1" applyFill="1" applyBorder="1" applyAlignment="1">
      <alignment horizontal="center" vertical="center"/>
    </xf>
    <xf numFmtId="0" fontId="0" fillId="16" borderId="20" xfId="0" applyFill="1" applyBorder="1" applyAlignment="1">
      <alignment horizontal="left"/>
    </xf>
    <xf numFmtId="0" fontId="15" fillId="0" borderId="1" xfId="0" applyFont="1" applyBorder="1" applyAlignment="1">
      <alignment vertical="center"/>
    </xf>
    <xf numFmtId="0" fontId="15" fillId="0" borderId="20" xfId="0" applyFont="1" applyBorder="1" applyAlignment="1">
      <alignment vertical="center"/>
    </xf>
    <xf numFmtId="0" fontId="15" fillId="17" borderId="21" xfId="0" applyFont="1" applyFill="1" applyBorder="1" applyAlignment="1">
      <alignment vertical="center"/>
    </xf>
    <xf numFmtId="0" fontId="15" fillId="0" borderId="22" xfId="0" applyFont="1" applyBorder="1" applyAlignment="1">
      <alignment vertical="center"/>
    </xf>
    <xf numFmtId="0" fontId="15" fillId="0" borderId="1" xfId="0" applyFont="1" applyBorder="1" applyAlignment="1">
      <alignment vertical="center" wrapText="1"/>
    </xf>
    <xf numFmtId="0" fontId="15" fillId="0" borderId="20" xfId="0" applyFont="1" applyBorder="1" applyAlignment="1">
      <alignment vertical="center" wrapText="1"/>
    </xf>
    <xf numFmtId="0" fontId="15" fillId="13" borderId="1" xfId="0" applyFont="1" applyFill="1" applyBorder="1" applyAlignment="1">
      <alignment vertical="center" wrapText="1"/>
    </xf>
    <xf numFmtId="0" fontId="15" fillId="13" borderId="20" xfId="0" applyFont="1" applyFill="1" applyBorder="1" applyAlignment="1">
      <alignment vertical="center" wrapText="1"/>
    </xf>
    <xf numFmtId="0" fontId="0" fillId="13" borderId="1" xfId="0" applyFill="1" applyBorder="1"/>
    <xf numFmtId="0" fontId="15" fillId="4" borderId="24" xfId="0" applyFont="1" applyFill="1" applyBorder="1" applyAlignment="1">
      <alignment horizontal="center" vertical="center"/>
    </xf>
    <xf numFmtId="0" fontId="0" fillId="0" borderId="24" xfId="0" applyBorder="1"/>
    <xf numFmtId="0" fontId="15" fillId="17" borderId="25" xfId="0" applyFont="1" applyFill="1" applyBorder="1" applyAlignment="1">
      <alignment vertical="center"/>
    </xf>
    <xf numFmtId="0" fontId="15" fillId="0" borderId="26" xfId="0" applyFont="1" applyBorder="1" applyAlignment="1">
      <alignment vertical="center"/>
    </xf>
    <xf numFmtId="0" fontId="0" fillId="18" borderId="0" xfId="0" applyFill="1"/>
    <xf numFmtId="0" fontId="0" fillId="0" borderId="0" xfId="0" applyAlignment="1">
      <alignment horizontal="left"/>
    </xf>
    <xf numFmtId="0" fontId="0" fillId="0" borderId="0" xfId="0" applyAlignment="1">
      <alignment wrapText="1"/>
    </xf>
    <xf numFmtId="0" fontId="0" fillId="20" borderId="1" xfId="0" applyFill="1" applyBorder="1"/>
    <xf numFmtId="0" fontId="17" fillId="22" borderId="1" xfId="0" applyFont="1" applyFill="1" applyBorder="1"/>
    <xf numFmtId="49" fontId="0" fillId="5" borderId="1" xfId="0" applyNumberFormat="1" applyFill="1" applyBorder="1"/>
    <xf numFmtId="0" fontId="16" fillId="12" borderId="1" xfId="0" applyFont="1" applyFill="1" applyBorder="1"/>
    <xf numFmtId="0" fontId="16" fillId="6" borderId="1" xfId="0" applyFont="1" applyFill="1" applyBorder="1"/>
    <xf numFmtId="0" fontId="16" fillId="21" borderId="1" xfId="0" applyFont="1" applyFill="1" applyBorder="1"/>
    <xf numFmtId="0" fontId="18" fillId="0" borderId="0" xfId="0" applyFont="1" applyAlignment="1">
      <alignment horizontal="center" vertical="center"/>
    </xf>
    <xf numFmtId="0" fontId="19" fillId="0" borderId="0" xfId="0" applyFont="1"/>
    <xf numFmtId="0" fontId="0" fillId="9" borderId="1" xfId="0" applyFill="1" applyBorder="1"/>
    <xf numFmtId="0" fontId="0" fillId="19" borderId="1" xfId="0" applyFill="1" applyBorder="1"/>
    <xf numFmtId="49" fontId="0" fillId="0" borderId="0" xfId="0" applyNumberFormat="1"/>
    <xf numFmtId="49" fontId="0" fillId="0" borderId="0" xfId="0" applyNumberFormat="1" applyAlignment="1">
      <alignment wrapText="1"/>
    </xf>
    <xf numFmtId="0" fontId="15" fillId="23" borderId="23" xfId="0" applyFont="1" applyFill="1" applyBorder="1" applyAlignment="1">
      <alignment vertical="center"/>
    </xf>
    <xf numFmtId="49" fontId="0" fillId="24" borderId="1" xfId="0" applyNumberFormat="1" applyFill="1" applyBorder="1"/>
    <xf numFmtId="49" fontId="0" fillId="25" borderId="1" xfId="0" applyNumberFormat="1" applyFill="1" applyBorder="1"/>
    <xf numFmtId="0" fontId="0" fillId="26" borderId="1" xfId="0" applyFill="1" applyBorder="1"/>
    <xf numFmtId="0" fontId="0" fillId="27" borderId="1" xfId="0" applyFill="1" applyBorder="1"/>
    <xf numFmtId="0" fontId="0" fillId="28" borderId="1" xfId="0" applyFill="1" applyBorder="1"/>
    <xf numFmtId="0" fontId="0" fillId="29" borderId="1" xfId="0" applyFill="1" applyBorder="1"/>
    <xf numFmtId="0" fontId="0" fillId="30" borderId="1" xfId="0" applyFill="1" applyBorder="1"/>
    <xf numFmtId="0" fontId="0" fillId="3" borderId="1" xfId="0" applyFill="1" applyBorder="1" applyAlignment="1">
      <alignment horizontal="center"/>
    </xf>
    <xf numFmtId="0" fontId="0" fillId="31" borderId="0" xfId="0" applyFill="1"/>
    <xf numFmtId="0" fontId="7" fillId="2" borderId="0" xfId="0" applyFont="1" applyFill="1"/>
    <xf numFmtId="0" fontId="10" fillId="2" borderId="0" xfId="0" applyFont="1" applyFill="1"/>
    <xf numFmtId="0" fontId="0" fillId="5" borderId="21" xfId="0" applyFill="1" applyBorder="1"/>
    <xf numFmtId="0" fontId="2" fillId="2" borderId="27" xfId="0" applyFont="1" applyFill="1" applyBorder="1" applyAlignment="1">
      <alignment horizontal="left"/>
    </xf>
    <xf numFmtId="0" fontId="2" fillId="2" borderId="28" xfId="0" applyFont="1" applyFill="1" applyBorder="1" applyAlignment="1">
      <alignment horizontal="left"/>
    </xf>
    <xf numFmtId="0" fontId="15" fillId="32" borderId="23" xfId="0" applyFont="1" applyFill="1" applyBorder="1" applyAlignment="1">
      <alignment vertical="center"/>
    </xf>
    <xf numFmtId="0" fontId="15" fillId="11" borderId="1" xfId="0" applyFont="1" applyFill="1" applyBorder="1" applyAlignment="1">
      <alignment vertical="center"/>
    </xf>
    <xf numFmtId="0" fontId="1" fillId="28" borderId="1" xfId="0" applyFont="1" applyFill="1" applyBorder="1"/>
    <xf numFmtId="0" fontId="1" fillId="0" borderId="20" xfId="0" applyFont="1" applyBorder="1"/>
    <xf numFmtId="0" fontId="0" fillId="0" borderId="22" xfId="0" applyBorder="1"/>
    <xf numFmtId="0" fontId="0" fillId="0" borderId="29" xfId="0" applyBorder="1"/>
    <xf numFmtId="0" fontId="1" fillId="0" borderId="30" xfId="0" applyFont="1" applyBorder="1"/>
    <xf numFmtId="0" fontId="0" fillId="0" borderId="31" xfId="0" applyBorder="1"/>
    <xf numFmtId="0" fontId="0" fillId="0" borderId="30" xfId="0" applyBorder="1"/>
    <xf numFmtId="0" fontId="0" fillId="0" borderId="32" xfId="0" applyBorder="1"/>
    <xf numFmtId="0" fontId="0" fillId="0" borderId="33" xfId="0" applyBorder="1"/>
    <xf numFmtId="0" fontId="0" fillId="0" borderId="34" xfId="0" applyBorder="1"/>
    <xf numFmtId="0" fontId="20" fillId="0" borderId="0" xfId="1" applyBorder="1"/>
    <xf numFmtId="0" fontId="21"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22" fillId="0" borderId="0" xfId="0" applyFont="1" applyAlignment="1">
      <alignment horizontal="left" vertical="center" indent="2"/>
    </xf>
    <xf numFmtId="0" fontId="22" fillId="0" borderId="0" xfId="0" applyFont="1"/>
    <xf numFmtId="0" fontId="0" fillId="26" borderId="0" xfId="0" applyFill="1"/>
    <xf numFmtId="0" fontId="24" fillId="0" borderId="1" xfId="0" applyFont="1" applyBorder="1"/>
    <xf numFmtId="0" fontId="23" fillId="26" borderId="1" xfId="0" applyFont="1" applyFill="1" applyBorder="1"/>
    <xf numFmtId="0" fontId="17" fillId="33" borderId="0" xfId="0" applyFont="1" applyFill="1"/>
    <xf numFmtId="0" fontId="0" fillId="34" borderId="0" xfId="0" applyFill="1"/>
    <xf numFmtId="0" fontId="0" fillId="35" borderId="0" xfId="0" applyFill="1"/>
    <xf numFmtId="0" fontId="0" fillId="28" borderId="0" xfId="0" applyFill="1"/>
    <xf numFmtId="0" fontId="0" fillId="36" borderId="0" xfId="0" applyFill="1"/>
    <xf numFmtId="0" fontId="15" fillId="32" borderId="20" xfId="0" applyFont="1" applyFill="1" applyBorder="1" applyAlignment="1">
      <alignment vertical="center"/>
    </xf>
    <xf numFmtId="0" fontId="9" fillId="2" borderId="0" xfId="0" applyFont="1" applyFill="1"/>
    <xf numFmtId="0" fontId="25" fillId="0" borderId="0" xfId="0" applyFont="1" applyAlignment="1">
      <alignment vertical="center"/>
    </xf>
    <xf numFmtId="0" fontId="26" fillId="0" borderId="0" xfId="0" applyFont="1" applyAlignment="1">
      <alignment vertical="center"/>
    </xf>
    <xf numFmtId="0" fontId="22" fillId="0" borderId="0" xfId="0" applyFont="1" applyAlignment="1">
      <alignment vertical="center"/>
    </xf>
    <xf numFmtId="0" fontId="0" fillId="0" borderId="0" xfId="0" applyAlignment="1">
      <alignment vertical="center"/>
    </xf>
    <xf numFmtId="0" fontId="20" fillId="0" borderId="33" xfId="1" applyBorder="1"/>
    <xf numFmtId="0" fontId="5" fillId="4" borderId="1" xfId="0" applyFont="1" applyFill="1" applyBorder="1" applyAlignment="1">
      <alignment horizontal="center"/>
    </xf>
    <xf numFmtId="0" fontId="9" fillId="2" borderId="11" xfId="0" applyFont="1" applyFill="1" applyBorder="1" applyAlignment="1">
      <alignment horizontal="center" vertical="center"/>
    </xf>
    <xf numFmtId="0" fontId="9" fillId="2" borderId="0" xfId="0" applyFont="1" applyFill="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cellXfs>
  <cellStyles count="2">
    <cellStyle name="Hyperlink" xfId="1" builtinId="8"/>
    <cellStyle name="Normal" xfId="0" builtinId="0"/>
  </cellStyles>
  <dxfs count="83">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b/>
        <i val="0"/>
      </font>
    </dxf>
    <dxf>
      <fill>
        <patternFill>
          <bgColor theme="5" tint="0.79998168889431442"/>
        </patternFill>
      </fill>
    </dxf>
  </dxfs>
  <tableStyles count="0" defaultTableStyle="TableStyleMedium2" defaultPivotStyle="PivotStyleLight16"/>
  <colors>
    <mruColors>
      <color rgb="FFFFFF99"/>
      <color rgb="FFD8BEEC"/>
      <color rgb="FFC7A1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57150</xdr:colOff>
      <xdr:row>25</xdr:row>
      <xdr:rowOff>142876</xdr:rowOff>
    </xdr:from>
    <xdr:to>
      <xdr:col>6</xdr:col>
      <xdr:colOff>161925</xdr:colOff>
      <xdr:row>34</xdr:row>
      <xdr:rowOff>66676</xdr:rowOff>
    </xdr:to>
    <xdr:sp macro="" textlink="">
      <xdr:nvSpPr>
        <xdr:cNvPr id="2" name="TextBox 1">
          <a:extLst>
            <a:ext uri="{FF2B5EF4-FFF2-40B4-BE49-F238E27FC236}">
              <a16:creationId xmlns:a16="http://schemas.microsoft.com/office/drawing/2014/main" id="{C1853C4B-5CF2-4075-877A-E1BD79048DE4}"/>
            </a:ext>
          </a:extLst>
        </xdr:cNvPr>
        <xdr:cNvSpPr txBox="1"/>
      </xdr:nvSpPr>
      <xdr:spPr>
        <a:xfrm>
          <a:off x="57150" y="5305426"/>
          <a:ext cx="3762375"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[Paste Mentor Prompt Cell Here]</a:t>
          </a:r>
        </a:p>
        <a:p>
          <a:endParaRPr lang="en-US" sz="1100"/>
        </a:p>
        <a:p>
          <a:r>
            <a:rPr lang="en-US" sz="1100" b="1"/>
            <a:t>My question:</a:t>
          </a:r>
        </a:p>
        <a:p>
          <a:r>
            <a:rPr lang="en-US" sz="1100"/>
            <a:t>[Describe what you don't understand or the issue you are facing]</a:t>
          </a:r>
        </a:p>
        <a:p>
          <a:endParaRPr lang="en-US" sz="1100"/>
        </a:p>
        <a:p>
          <a:r>
            <a:rPr lang="en-US" sz="1100" b="1"/>
            <a:t>My current code:</a:t>
          </a:r>
        </a:p>
        <a:p>
          <a:r>
            <a:rPr lang="en-US" sz="1100"/>
            <a:t>[Paste your code from your IDE here]</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7798CF-F458-43D1-85D1-0EF6D1C367F4}" name="Table2" displayName="Table2" ref="B2:E19" totalsRowShown="0">
  <autoFilter ref="B2:E19" xr:uid="{477798CF-F458-43D1-85D1-0EF6D1C367F4}">
    <filterColumn colId="0" hiddenButton="1"/>
    <filterColumn colId="1" hiddenButton="1"/>
    <filterColumn colId="2" hiddenButton="1"/>
    <filterColumn colId="3" hiddenButton="1"/>
  </autoFilter>
  <tableColumns count="4">
    <tableColumn id="1" xr3:uid="{AF1BC3E6-A291-4881-98E4-E2262942E61C}" name="Cell"/>
    <tableColumn id="2" xr3:uid="{A730AA41-75B2-4CE9-A8CA-24DE3FE4108C}" name="Cell References"/>
    <tableColumn id="3" xr3:uid="{C201C974-24D3-4F6B-B4DA-ADDAF2F3C4D7}" name="Type"/>
    <tableColumn id="4" xr3:uid="{74650CAD-2AEE-4B2B-A36B-4C37DA129C83}" name="Detailed Explanatio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hyperlink" Target="https://coding5s.com/" TargetMode="External"/><Relationship Id="rId1" Type="http://schemas.openxmlformats.org/officeDocument/2006/relationships/hyperlink" Target="https://github.com/WilfredoBarrios/coding5s-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C9F5-A3E1-48B4-A4AC-C90CACFBE404}">
  <sheetPr>
    <tabColor rgb="FFFF0000"/>
  </sheetPr>
  <dimension ref="A1:AM209"/>
  <sheetViews>
    <sheetView showGridLines="0" tabSelected="1" zoomScale="85" zoomScaleNormal="85" workbookViewId="0">
      <selection activeCell="B2" sqref="B2"/>
    </sheetView>
  </sheetViews>
  <sheetFormatPr defaultColWidth="11.42578125" defaultRowHeight="15"/>
  <cols>
    <col min="1" max="1" width="15.7109375" customWidth="1"/>
    <col min="2" max="2" width="10" bestFit="1" customWidth="1"/>
    <col min="3" max="3" width="11.28515625" bestFit="1" customWidth="1"/>
    <col min="4" max="4" width="22.28515625" bestFit="1" customWidth="1"/>
    <col min="5" max="5" width="16.5703125" style="73" customWidth="1"/>
    <col min="6" max="6" width="5.140625" customWidth="1"/>
    <col min="7" max="7" width="12.5703125" bestFit="1" customWidth="1"/>
    <col min="8" max="8" width="13.85546875" bestFit="1" customWidth="1"/>
    <col min="9" max="9" width="12.5703125" customWidth="1"/>
    <col min="10" max="10" width="68.5703125" customWidth="1"/>
    <col min="11" max="12" width="18.140625" customWidth="1"/>
    <col min="13" max="13" width="6.7109375" bestFit="1" customWidth="1"/>
    <col min="14" max="15" width="16.140625" customWidth="1"/>
    <col min="16" max="16" width="7.85546875" bestFit="1" customWidth="1"/>
    <col min="17" max="18" width="17.42578125" customWidth="1"/>
    <col min="19" max="19" width="7.85546875" bestFit="1" customWidth="1"/>
    <col min="20" max="21" width="16.5703125" customWidth="1"/>
    <col min="22" max="22" width="7.85546875" bestFit="1" customWidth="1"/>
    <col min="23" max="24" width="20.42578125" customWidth="1"/>
    <col min="25" max="25" width="7.85546875" bestFit="1" customWidth="1"/>
    <col min="26" max="30" width="16" bestFit="1" customWidth="1"/>
    <col min="31" max="31" width="21.5703125" bestFit="1" customWidth="1"/>
    <col min="33" max="33" width="27.5703125" customWidth="1"/>
    <col min="34" max="34" width="14.28515625" bestFit="1" customWidth="1"/>
    <col min="35" max="35" width="32" customWidth="1"/>
    <col min="36" max="36" width="27.85546875" customWidth="1"/>
  </cols>
  <sheetData>
    <row r="1" spans="1:39" ht="26.25">
      <c r="A1" s="1"/>
      <c r="B1" s="2"/>
      <c r="C1" s="96"/>
      <c r="D1" s="3"/>
      <c r="E1" s="4" t="s">
        <v>0</v>
      </c>
      <c r="F1" s="5" t="s">
        <v>1</v>
      </c>
      <c r="G1" s="6"/>
      <c r="H1" s="7" t="s">
        <v>2</v>
      </c>
      <c r="I1" s="6"/>
      <c r="J1" s="3"/>
      <c r="K1" s="8" t="s">
        <v>3</v>
      </c>
      <c r="L1" s="9" t="str">
        <f>IF(H9="Topic",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$C9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Python | [TASK] Teach and explain concepts clearly with correct code examples | [TOPIC] Execute basic GET requests using httpx.get to retrieve web page data and evaluate the status_code to confirm successful connections | [LEVEL] Beginner | [COUNT] 3 examples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English | [HEADER RULE - STRICT] You MUST start your entire response EXACTLY with this markdown block (do not print anything before it):
### 🔹 Topic #1 | Stage 1 📖 Practice | Python | 📊 Level: Beginner | 🌐 Coding5s.com
**Concept:** Executing Basic GET Requests (requests.get, .status_code)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6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English)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M1" s="10"/>
      <c r="N1" s="3" t="s">
        <v>4</v>
      </c>
      <c r="O1" s="3"/>
      <c r="P1" s="3"/>
      <c r="Q1" s="11" t="s">
        <v>5</v>
      </c>
      <c r="R1" s="12"/>
      <c r="S1" s="13"/>
      <c r="T1" s="3" t="s">
        <v>6</v>
      </c>
      <c r="U1" s="3"/>
      <c r="V1" s="3"/>
      <c r="W1" s="11" t="s">
        <v>7</v>
      </c>
      <c r="X1" s="12"/>
      <c r="Y1" s="13"/>
      <c r="Z1" s="1"/>
      <c r="AA1" s="1"/>
      <c r="AB1" s="1"/>
      <c r="AC1" s="1"/>
      <c r="AD1" s="1"/>
      <c r="AE1" s="15"/>
      <c r="AF1" s="14"/>
      <c r="AG1" s="14"/>
      <c r="AH1" s="15"/>
      <c r="AI1" s="15"/>
      <c r="AJ1" s="15"/>
      <c r="AK1" s="15"/>
      <c r="AL1" s="15"/>
    </row>
    <row r="2" spans="1:39" ht="30" customHeight="1" thickBot="1">
      <c r="A2" s="1"/>
      <c r="B2" s="2"/>
      <c r="C2" s="96" t="s">
        <v>226</v>
      </c>
      <c r="D2" s="16"/>
      <c r="E2" s="99" t="str">
        <f>IF(E1="Stage 1","k9:L200",IF(E1="Stage 2","N9:O200",IF(E1="Stage 3","Q9:R200",IF(E1="Stage 4","T9:U200",IF(E1="Stage 5","W9:X200","Stage Incorrecta")))))</f>
        <v>k9:L200</v>
      </c>
      <c r="F2" s="18" t="s">
        <v>8</v>
      </c>
      <c r="G2" s="19"/>
      <c r="H2" s="19"/>
      <c r="I2" s="16" t="s">
        <v>783</v>
      </c>
      <c r="J2" s="16"/>
      <c r="K2" s="137" t="s">
        <v>9</v>
      </c>
      <c r="L2" s="138"/>
      <c r="M2" s="139"/>
      <c r="N2" s="138" t="s">
        <v>10</v>
      </c>
      <c r="O2" s="138"/>
      <c r="P2" s="138"/>
      <c r="Q2" s="140" t="s">
        <v>11</v>
      </c>
      <c r="R2" s="138"/>
      <c r="S2" s="141"/>
      <c r="T2" s="138" t="s">
        <v>12</v>
      </c>
      <c r="U2" s="138"/>
      <c r="V2" s="138"/>
      <c r="W2" s="140" t="s">
        <v>13</v>
      </c>
      <c r="X2" s="138"/>
      <c r="Y2" s="141"/>
      <c r="Z2" s="1"/>
      <c r="AA2" s="1"/>
      <c r="AB2" s="1"/>
      <c r="AC2" s="1"/>
      <c r="AD2" s="1"/>
      <c r="AE2" s="15"/>
      <c r="AF2" s="14"/>
      <c r="AG2" s="14"/>
      <c r="AH2" s="15"/>
      <c r="AI2" s="15"/>
      <c r="AJ2" s="15"/>
      <c r="AK2" s="15"/>
      <c r="AL2" s="15"/>
    </row>
    <row r="3" spans="1:39" ht="26.25">
      <c r="A3" s="1"/>
      <c r="B3" s="2"/>
      <c r="C3" s="96" t="str">
        <f>""</f>
        <v/>
      </c>
      <c r="D3" s="2"/>
      <c r="E3" s="100">
        <f>COUNTA(E9:E200)-E4</f>
        <v>13</v>
      </c>
      <c r="F3" s="97" t="s">
        <v>266</v>
      </c>
      <c r="G3" s="2"/>
      <c r="H3" s="2"/>
      <c r="I3" s="16" t="s">
        <v>784</v>
      </c>
      <c r="J3" s="16"/>
      <c r="K3" s="30"/>
      <c r="L3" s="22"/>
      <c r="M3" s="23"/>
      <c r="N3" s="22"/>
      <c r="O3" s="22"/>
      <c r="P3" s="22"/>
      <c r="Q3" s="24"/>
      <c r="R3" s="22"/>
      <c r="S3" s="25"/>
      <c r="T3" s="22"/>
      <c r="U3" s="22"/>
      <c r="V3" s="22"/>
      <c r="W3" s="26"/>
      <c r="X3" s="22"/>
      <c r="Y3" s="25"/>
      <c r="Z3" s="1"/>
      <c r="AA3" s="1"/>
      <c r="AB3" s="1"/>
      <c r="AC3" s="1"/>
      <c r="AD3" s="1"/>
      <c r="AE3" s="15"/>
      <c r="AF3" s="14"/>
      <c r="AG3" s="14"/>
      <c r="AH3" s="15"/>
      <c r="AI3" s="15"/>
      <c r="AJ3" s="15"/>
      <c r="AK3" s="15"/>
      <c r="AL3" s="15"/>
    </row>
    <row r="4" spans="1:39" ht="15.75">
      <c r="A4" s="1"/>
      <c r="B4" s="2"/>
      <c r="C4" s="96"/>
      <c r="D4" s="2"/>
      <c r="E4" s="101">
        <f>COUNTIF($E$9:$E$200,"No")</f>
        <v>25</v>
      </c>
      <c r="F4" s="98"/>
      <c r="G4" s="2"/>
      <c r="H4" s="28"/>
      <c r="I4" s="29"/>
      <c r="J4" s="29"/>
      <c r="K4" s="30"/>
      <c r="L4" s="31"/>
      <c r="M4" s="23"/>
      <c r="N4" s="31"/>
      <c r="O4" s="31"/>
      <c r="P4" s="22"/>
      <c r="Q4" s="21"/>
      <c r="R4" s="2"/>
      <c r="S4" s="25"/>
      <c r="T4" s="22"/>
      <c r="U4" s="22"/>
      <c r="V4" s="22"/>
      <c r="W4" s="26"/>
      <c r="X4" s="22"/>
      <c r="Y4" s="25"/>
      <c r="Z4" s="1"/>
      <c r="AA4" s="1"/>
      <c r="AB4" s="1"/>
      <c r="AC4" s="1"/>
      <c r="AD4" s="1"/>
      <c r="AE4" s="14"/>
      <c r="AF4" s="14"/>
      <c r="AG4" s="14"/>
      <c r="AH4" s="15"/>
      <c r="AI4" s="15"/>
      <c r="AJ4" s="15"/>
      <c r="AK4" s="15"/>
      <c r="AL4" s="15"/>
    </row>
    <row r="5" spans="1:39" ht="21">
      <c r="A5" s="1"/>
      <c r="B5" s="32" t="s">
        <v>14</v>
      </c>
      <c r="C5" s="32" t="s">
        <v>15</v>
      </c>
      <c r="D5" s="2"/>
      <c r="E5" s="32" t="s">
        <v>494</v>
      </c>
      <c r="F5" s="33"/>
      <c r="G5" s="2"/>
      <c r="H5" s="28"/>
      <c r="I5" s="29"/>
      <c r="J5" s="29"/>
      <c r="K5" s="30"/>
      <c r="L5" s="31"/>
      <c r="M5" s="23"/>
      <c r="N5" s="31"/>
      <c r="O5" s="31"/>
      <c r="P5" s="22"/>
      <c r="Q5" s="21"/>
      <c r="R5" s="2"/>
      <c r="S5" s="25"/>
      <c r="T5" s="22"/>
      <c r="U5" s="22"/>
      <c r="V5" s="22"/>
      <c r="W5" s="26"/>
      <c r="X5" s="22"/>
      <c r="Y5" s="25"/>
      <c r="Z5" s="1"/>
      <c r="AA5" s="1"/>
      <c r="AB5" s="1"/>
      <c r="AC5" s="1"/>
      <c r="AD5" s="1"/>
      <c r="AE5" s="14"/>
      <c r="AF5" s="14"/>
      <c r="AG5" s="14"/>
      <c r="AH5" s="15"/>
      <c r="AI5" s="15"/>
      <c r="AJ5" s="15"/>
      <c r="AK5" s="15"/>
      <c r="AL5" s="15"/>
    </row>
    <row r="6" spans="1:39" ht="15.75">
      <c r="A6" s="1"/>
      <c r="B6" s="34" t="s">
        <v>53</v>
      </c>
      <c r="C6" s="17" t="str">
        <f>VLOOKUP(B6,AL:AM,2,0)</f>
        <v>en</v>
      </c>
      <c r="D6" s="2"/>
      <c r="E6" s="35" t="str" cm="1">
        <f t="array" ref="E6">"AL9:"&amp;ADDRESS(_xlfn.AGGREGATE(14, 6, ROW(AL:AL)*(AL:AL&lt;&gt;""), 1), COLUMN(AL:AL))</f>
        <v>AL9:$AL$48</v>
      </c>
      <c r="F6" s="27"/>
      <c r="G6" s="130" t="s">
        <v>687</v>
      </c>
      <c r="H6" s="28"/>
      <c r="I6" s="29"/>
      <c r="J6" s="29"/>
      <c r="K6" s="30"/>
      <c r="L6" s="31"/>
      <c r="M6" s="23"/>
      <c r="N6" s="31"/>
      <c r="O6" s="31"/>
      <c r="P6" s="22"/>
      <c r="Q6" s="21"/>
      <c r="R6" s="2"/>
      <c r="S6" s="25"/>
      <c r="T6" s="22"/>
      <c r="U6" s="22"/>
      <c r="V6" s="22"/>
      <c r="W6" s="26"/>
      <c r="X6" s="22"/>
      <c r="Y6" s="25"/>
      <c r="Z6" s="1"/>
      <c r="AA6" s="1"/>
      <c r="AB6" s="1"/>
      <c r="AC6" s="1"/>
      <c r="AD6" s="1"/>
      <c r="AE6" s="104" t="s">
        <v>17</v>
      </c>
      <c r="AF6" s="15"/>
      <c r="AG6" s="15"/>
      <c r="AH6" s="15"/>
      <c r="AI6" s="15"/>
      <c r="AJ6" s="15"/>
      <c r="AK6" s="15"/>
      <c r="AL6" s="15"/>
    </row>
    <row r="7" spans="1:39">
      <c r="A7" s="1"/>
      <c r="B7" s="2"/>
      <c r="C7" s="96"/>
      <c r="D7" s="2"/>
      <c r="E7" s="20"/>
      <c r="F7" s="36"/>
      <c r="G7" s="36"/>
      <c r="H7" s="37"/>
      <c r="I7" s="28"/>
      <c r="J7" s="28"/>
      <c r="K7" s="31" t="s">
        <v>686</v>
      </c>
      <c r="L7" s="31" t="s">
        <v>686</v>
      </c>
      <c r="M7" s="38"/>
      <c r="N7" s="31" t="s">
        <v>686</v>
      </c>
      <c r="O7" s="31" t="s">
        <v>686</v>
      </c>
      <c r="P7" s="22"/>
      <c r="Q7" s="31" t="s">
        <v>686</v>
      </c>
      <c r="R7" s="31" t="s">
        <v>686</v>
      </c>
      <c r="S7" s="39"/>
      <c r="T7" s="31" t="s">
        <v>686</v>
      </c>
      <c r="U7" s="31" t="s">
        <v>686</v>
      </c>
      <c r="V7" s="22"/>
      <c r="W7" s="31" t="s">
        <v>686</v>
      </c>
      <c r="X7" s="31" t="s">
        <v>686</v>
      </c>
      <c r="Y7" s="39"/>
      <c r="Z7" s="31" t="s">
        <v>686</v>
      </c>
      <c r="AA7" s="31" t="s">
        <v>686</v>
      </c>
      <c r="AB7" s="31" t="s">
        <v>686</v>
      </c>
      <c r="AC7" s="31" t="s">
        <v>686</v>
      </c>
      <c r="AD7" s="31" t="s">
        <v>686</v>
      </c>
      <c r="AE7" s="35" t="str">
        <f>_xlfn.CONCAT(AH9:AH200)</f>
        <v/>
      </c>
      <c r="AF7" s="15"/>
      <c r="AG7" s="15"/>
      <c r="AH7" s="15"/>
      <c r="AI7" s="15"/>
      <c r="AJ7" s="15"/>
      <c r="AK7" s="136" t="s">
        <v>499</v>
      </c>
      <c r="AL7" s="136"/>
      <c r="AM7" s="136"/>
    </row>
    <row r="8" spans="1:39">
      <c r="A8" s="42" t="s">
        <v>19</v>
      </c>
      <c r="B8" s="43">
        <v>0</v>
      </c>
      <c r="C8" s="41" t="s">
        <v>18</v>
      </c>
      <c r="D8" s="43" t="s">
        <v>495</v>
      </c>
      <c r="E8" s="44" t="s">
        <v>20</v>
      </c>
      <c r="F8" s="43" t="s">
        <v>21</v>
      </c>
      <c r="G8" s="42" t="s">
        <v>22</v>
      </c>
      <c r="H8" s="42" t="s">
        <v>23</v>
      </c>
      <c r="I8" s="42" t="s">
        <v>24</v>
      </c>
      <c r="J8" s="42" t="s">
        <v>25</v>
      </c>
      <c r="K8" s="42" t="s">
        <v>26</v>
      </c>
      <c r="L8" s="42" t="s">
        <v>27</v>
      </c>
      <c r="M8" s="42" t="s">
        <v>28</v>
      </c>
      <c r="N8" s="42" t="s">
        <v>29</v>
      </c>
      <c r="O8" s="42" t="s">
        <v>27</v>
      </c>
      <c r="P8" s="42" t="s">
        <v>30</v>
      </c>
      <c r="Q8" s="42" t="s">
        <v>31</v>
      </c>
      <c r="R8" s="42" t="s">
        <v>27</v>
      </c>
      <c r="S8" s="42" t="s">
        <v>32</v>
      </c>
      <c r="T8" s="42" t="s">
        <v>33</v>
      </c>
      <c r="U8" s="42" t="s">
        <v>27</v>
      </c>
      <c r="V8" s="42" t="s">
        <v>34</v>
      </c>
      <c r="W8" s="42" t="s">
        <v>35</v>
      </c>
      <c r="X8" s="42" t="s">
        <v>27</v>
      </c>
      <c r="Y8" s="42" t="s">
        <v>36</v>
      </c>
      <c r="Z8" s="42" t="s">
        <v>37</v>
      </c>
      <c r="AA8" s="42" t="s">
        <v>38</v>
      </c>
      <c r="AB8" s="42" t="s">
        <v>39</v>
      </c>
      <c r="AC8" s="42" t="s">
        <v>40</v>
      </c>
      <c r="AD8" s="42" t="s">
        <v>41</v>
      </c>
      <c r="AE8" s="42" t="s">
        <v>496</v>
      </c>
      <c r="AF8" s="42" t="s">
        <v>497</v>
      </c>
      <c r="AG8" s="42" t="s">
        <v>498</v>
      </c>
      <c r="AH8" s="42" t="s">
        <v>42</v>
      </c>
      <c r="AI8" s="42" t="s">
        <v>43</v>
      </c>
      <c r="AJ8" s="42" t="s">
        <v>501</v>
      </c>
      <c r="AK8" s="42" t="s">
        <v>44</v>
      </c>
      <c r="AL8" s="42" t="s">
        <v>45</v>
      </c>
      <c r="AM8" s="42" t="s">
        <v>15</v>
      </c>
    </row>
    <row r="9" spans="1:39">
      <c r="A9" s="45" t="str" cm="1">
        <f t="array" ref="A9">IF(H9="PROJECT", CHAR(10) &amp; "- " &amp; _xlfn.TEXTJOIN(CHAR(10) &amp; "- ", TRUE, _xlfn._xlws.FILTER($I$9:$I$1000, ($B$9:$B$1000=B9) * ($H$9:$H$1000="Topic"))), "")</f>
        <v/>
      </c>
      <c r="B9" s="45">
        <f>IF(H9="","",IF(AND(H9="Topic",H8="PROJECT"),B8+1,IF(H9="PROJECT",B8,IF(AND(H9="Topic",H8="Topic"),B8,B8+1))))</f>
        <v>1</v>
      </c>
      <c r="C9" s="95">
        <v>6</v>
      </c>
      <c r="D9" s="46">
        <v>3</v>
      </c>
      <c r="E9" s="47" t="s">
        <v>46</v>
      </c>
      <c r="F9" s="48">
        <v>1</v>
      </c>
      <c r="G9" s="49" t="s">
        <v>47</v>
      </c>
      <c r="H9" s="49" t="s">
        <v>48</v>
      </c>
      <c r="I9" s="50" t="s">
        <v>785</v>
      </c>
      <c r="J9" s="51" t="s">
        <v>786</v>
      </c>
      <c r="K9" s="129" t="str">
        <f>IF(H9="Topic",
"[ROLE] Friendly tutor specializing in " &amp; $I$2 &amp; " | " &amp;
"[TOPIC] " &amp; I9 &amp; " | " &amp;
"[LEVEL] " &amp; G9 &amp; " | " &amp;
"[COUNT] " &amp; D9 &amp; " examples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$C9 &amp; " lines of EXECUTABLE code (STRICT: Do NOT count comments or blank lines). - NEVER exceed this limit. | " &amp;
"[FUNCTION RULE] Rule: " &amp; IF(G9="Beginner","Focus: basic function definitions, return values, positional/keyword arguments, and list/dict comprehensions.", IF(G9="Intermediate", "Integrate generator functions using yield, closures, functools utilities (partial, lru_cache), and decorators.", "Dictionaries, Tuples, Namedtuples, or TypedDicts with strict type hints")) &amp; " | " &amp;
"[CODE_CONSTRAINTS_RULE] Each example MUST: - Use Dictionaries, Tuples, Namedtuples, or TypedDicts with strict type hints - Print steps &amp; result via print() or logging.info()/logging.error() inside functional scopes or error handlers - MAX " &amp; $C9 &amp; " executable lines (comments/blanks excluded) - NEVER exceed limit. | " &amp;
"[I_O_PARADIGM] Use pathlib.Path, open() with context managers, or sys.stdin/sys.stdout streams and gracefully handle Typed Tuples like Tuple[bool, str], Namedtuples, or Dict[str, Any] with type annotations when applicable. | " &amp;
"[INLINE_PACKAGE_MANAGER] If using external packages, use Standard requirements.txt file or inline pip install comments (# requirements: package_name&gt;=version) at the top of the code block. Assume no project configuration file exists. | " &amp;
_xlfn._LONGTEXT("[TESTING_FRAMEWORK_LIMITS]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D9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IF(H9="PROJECT", Z9, ""))</f>
        <v xml:space="preserve">[ROLE] Friendly tutor specializing in Python | [TOPIC] Execute basic GET requests using httpx.get to retrieve web page data and evaluate the status_code to confirm successful connections | [LEVEL] Beginner | [COUNT] 3 examples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6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Python - HTTPX | 📊 Level: Beginner | 🌐 Coding5s.com
**Concept:** Executing Basic GET Requests (requests.get, .status_code)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 s="103" t="str">
        <f>IF(OR(H9="Topic", UPPER(H9)="PROJECT"),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IF(UPPER(H9)="PROJECT", "building a PROJECT: " &amp; I9 &amp; ". Topics applied in this project: " &amp; A9 &amp; ". Project objective: " &amp; J9, "learning: " &amp; I9 &amp; ". Topic details: " &amp; J9)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IF(G9="Beginner", "Evaluate based on basic functions, data structures, and conditional logic. Do NOT expect decorators, generators, or asyncio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basic GET requests using httpx.get to retrieve web page data and evaluate the status_code to confirm successful connections. Topic details: Executing Basic GET Requests (requests.get, .status_code)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Python - HTTPX | 📊 Level: Beginner
**Topic:** Execute basic GET requests using httpx.get to retrieve web page data and evaluate the status_code to confirm successful connections
---
 | [FOOTER RULE - STRICT] End your response with: '--- ⚡ *Coding5s Mentor System — Eliminating Epistemic Debt*' | </v>
      </c>
      <c r="M9" s="52">
        <v>0</v>
      </c>
      <c r="N9" s="102" t="str">
        <f>IF(H9="Topic",
"[ROLE] Careless " &amp; $I$2 &amp; " Developer | " &amp;
"[TASK] Generate debugging challenges in " &amp; $I$2 &amp; " | | " &amp;
"[TOPIC] " &amp; I9 &amp; " | | " &amp;
"[LEVEL] " &amp; G9 &amp; " | | " &amp;
"[COUNT] " &amp; D9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 &amp;
"[EXUNIT RULE] Always use pytest or native test functions. You MUST use native assert statements or pytest.raises() for exception testing. Avoid defining TestClasses or methods. | " &amp;
"[HEX DEPENDENCIES RULE] Assume a standard Python runtime context. External PyPI dependencies MUST be specified strictly within a requirements.txt file. | " &amp;
"[CODE CONSTRAINTS] Each challenge MUST include: - At least 1 functional iterator/generator or comprehension - Explicit type annotations - At least 1 error handling try/except block - " &amp; IF(G9="Beginner", "5–15", IF(G9="Intermediate", "10–25", "15–35")) &amp; " lines of EXECUTABLE broken Python code per example (STRICT: Do NOT count blank lines). Enforce PEP 8, type hints, and NO OOP class structures. | All challenges MUST have similar functional abstraction depth and architectural complexity.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IF(H9="PROJECT", AA9, ""))</f>
        <v>[ROLE] Careless Python Developer | [TASK] Generate debugging challenges in Python | | [TOPIC] Execute basic GET requests using httpx.get to retrieve web page data and evaluate the status_code to confirm successful connections | | [LEVEL] Beginner |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 | Stage 2 🐛 Debug | Python - HTTPX | 📊 Level: Beginner | 🌐 Coding5s.com
Concept: Executing Basic GET Requests (requests.get, .status_code)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 s="103" t="str">
        <f>IF(OR(H9="Topic", UPPER(H9)="PROJECT"),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IF(UPPER(H9)="PROJECT", "PROJECT: " &amp; I9 &amp; ". Topics involved: " &amp; A9 &amp; ". Project objective: " &amp; J9, "TOPIC: " &amp; I9 &amp; ". Topic details: " &amp; J9)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
_xlfn._LONGTEXT("[PYTHON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basic GET requests using httpx.get to retrieve web page data and evaluate the status_code to confirm successful connections. Topic details: Executing Basic GET Requests (requests.get, .status_code)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Python - HTTPX | 📊 Level: Beginner
**Topic:** Execute basic GET requests using httpx.get to retrieve web page data and evaluate the status_code to confirm successful connections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 s="53">
        <v>0</v>
      </c>
      <c r="Q9" s="102" t="str">
        <f>IF(H9="Topic",
"[ROLE] Tech Lead | " &amp;
"[TASK] Assign incomplete " &amp; $I$2 &amp; " script challenges | " &amp;
"[TOPIC] " &amp; I9 &amp; " | " &amp;
"[LEVEL] " &amp; G9 &amp; " | " &amp;
"[COUNT] " &amp; D9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PyPI packages MUST be specified inside a standard requirements.txt file. Do not use inline system pip commands. | " &amp;
"[TESTING_FRAMEWORK_PROTOCOL] Tests MUST isolate functional logic. NEVER mutate global state; use native assert statements or pytest fixtures to verify function outputs. | " &amp;
"[CHALLENGE_CONSTRAINTS_POLICY] Each challenge MUST include: - A functional module or script using closures, generators, or functools to manage continuous state with strict type hints. - " &amp; IF(G9="Beginner","5–15", IF(G9="Intermediate","10–25","15–35")) &amp; " lines of EXECUTABLE base Python code (STRICT: Do NOT count comments or TODOs). Length MUST vary. Enforce type hints, PEP 8, and NO classes.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IF(G9="Beginner", "Clear explicit hint (no code) | ", IF(G9="Intermediate",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IF(H9="PROJECT", AB9, ""))</f>
        <v>[ROLE] Tech Lead | [TASK] Assign incomplete Python script challenges | [TOPIC] Execute basic GET requests using httpx.get to retrieve web page data and evaluate the status_code to confirm successful connections | [LEVEL] Beginner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 | Stage 3 🧩 Complete | Python - HTTPX | 📊 Level: Beginner | 🌐 Coding5s.com
**Concept:** Executing Basic GET Requests (requests.get, .status_code)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basic GET requests using httpx.get to retrieve web page data and evaluate the status_code to confirm successful connections.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 s="103" t="str">
        <f>IF(OR(H9="Topic", UPPER(H9)="PROJECT"),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IF(UPPER(H9)="PROJECT", "PROJECT: " &amp; I9 &amp; ". Topics involved: " &amp; A9 &amp; ". Project objective: " &amp; J9, "TOPIC: " &amp; I9 &amp; ". Topic details: " &amp; J9)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
_xlfn._LONGTEXT("[PYTHON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basic GET requests using httpx.get to retrieve web page data and evaluate the status_code to confirm successful connections. Topic details: Executing Basic GET Requests (requests.get, .status_code)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Python - HTTPX | 📊 Level: Beginner
**Topic:** Execute basic GET requests using httpx.get to retrieve web page data and evaluate the status_code to confirm successful connections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 s="53">
        <v>0</v>
      </c>
      <c r="T9" s="102" t="str">
        <f>IF(H9="Topic",
"[ROLE] Tech Lead | " &amp;
"[TASK] Provide intentionally messy but functional code for learning debugging and improvement | " &amp;
"[TOPIC] " &amp; I9 &amp; " | " &amp;
"[LEVEL] " &amp; G9 &amp; " | " &amp;
"[COUNT] " &amp; D9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IF(H9="PROJECT", AC9, ""))</f>
        <v>[ROLE] Tech Lead | [TASK] Provide intentionally messy but functional code for learning debugging and improvement | [TOPIC] Execute basic GET requests using httpx.get to retrieve web page data and evaluate the status_code to confirm successful connections | [LEVEL] Beginner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Python - HTTPX | 📊 Level: Beginner | 🌐 Coding5s.com
**Concept:** Executing Basic GET Requests (requests.get, .status_code)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 s="103" t="str">
        <f>IF(OR(H9="Topic", UPPER(H9)="PROJECT"),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IF(UPPER(H9)="PROJECT", "PROJECT: " &amp; I9 &amp; ". Topics involved: " &amp; A9 &amp; ". Project objective: " &amp; J9, "TOPIC: " &amp; I9 &amp; ". Topic details: " &amp; J9)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basic GET requests using httpx.get to retrieve web page data and evaluate the status_code to confirm successful connections. Topic details: Executing Basic GET Requests (requests.get, .status_code)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Python - HTTPX | 📊 Level: Beginner
**Topic:** Execute basic GET requests using httpx.get to retrieve web page data and evaluate the status_code to confirm successful connections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 s="53">
        <v>0</v>
      </c>
      <c r="W9" s="87" t="str">
        <f>IF(H9="Topic",
"[ROLE] Tech Product Manager assigning a " &amp; $I$2 &amp; " Jira Ticket | " &amp;
"[TASK] Provide a guided implementation exercise with full solution for learning purposes | " &amp;
"[TOPIC] " &amp; I9 &amp; " | " &amp;
"[LEVEL] " &amp; G9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
"[FUNCTIONAL_STRUCTURE_POLICY] Rule: " &amp; IF(G9="Beginner", "Use simple scripts or minimal functions. ", IF(G9="Intermediate",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IF(G9="Beginner", "10–20", IF(G9="Intermediate", "15–30", "25–40")) &amp; " lines of EXECUTABLE code (STRICT) - V1.1 MUST be between " &amp; IF(G9="Beginner", "15–30", IF(G9="Intermediate",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IF(H9="PROJECT", AD9, ""))</f>
        <v>[ROLE] Tech Product Manager assigning a Python Jira Ticket | [TASK] Provide a guided implementation exercise with full solution for learning purposes | [TOPIC] Execute basic GET requests using httpx.get to retrieve web page data and evaluate the status_code to confirm successful connections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Python - HTTPX | 📊 Level: Beginner | 🌐 Coding5s.com
**Concept:** Executing Basic GET Requests (requests.get, .status_code)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 s="103" t="str">
        <f>IF(OR(H9="Topic", UPPER(H9)="PROJECT"),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IF(UPPER(H9)="PROJECT", "PROJECT: " &amp; I9 &amp; ". Topics integrated: " &amp; A9 &amp; ". Business Goal: " &amp; J9, "TOPIC: " &amp; I9 &amp; ". Goal: " &amp; J9)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basic GET requests using httpx.get to retrieve web page data and evaluate the status_code to confirm successful connections. Goal: Executing Basic GET Requests (requests.get, .status_code)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Python - HTTPX | 📊 Level: Beginner
**Topic:** Execute basic GET requests using httpx.get to retrieve web page data and evaluate the status_code to confirm successful connections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 s="53">
        <v>0</v>
      </c>
      <c r="Z9" s="56" t="str">
        <f>IF(H9&lt;&gt;"PROJECT","",
"[TASK] Teach through a practical " &amp; $I$2 &amp; " - " &amp; $I$3 &amp; " project following the micro-learning methodology, acting as a supportive tutor, creating a project about  " &amp; I9 &amp; " | " &amp;
"[TOPICS USED] " &amp; A9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requirements.txt file or inline pip install comments (# requirements: package_name&gt;=version) at the top. | " &amp;
"[SCOPE_ARCHITECTURE_RULE] Rule: Build scripts: async/await coroutines with asyncio, subprocess execution, signal trapping, and custom context managers. | " &amp;
_xlfn._LONGTEXT("[VISUAL_ARCHITECTURE_COMMENTS]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 &amp;
"[DATA ROBUSTNESS RULE] Handle real-world data safely | " &amp;
"[CODE CONSTRAINTS] MUST be between " &amp; IF(G9="Beginner", "25–40", IF(G9="Intermediate",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9" s="56" t="str">
        <f>IF(H9&lt;&gt;"PROJECT","",
"[ROLE] Careless " &amp; $I$2 &amp; " Developer | " &amp;
"[TASK] Generate debugging project in " &amp; $I$2 &amp; " | " &amp;
"[PROJECT] " &amp; I9 &amp; " | " &amp;
"[TOPICS USED] " &amp; A9 &amp; " | " &amp;
"[LEVEL] " &amp; G9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IF(G9="Beginner", "25–40", IF(G9="Intermediate", "30–60", "40–100")) &amp; " lines of EXECUTABLE code (STRICT: Do NOT count blank lines towards this limit) - Multi-step flow - 2–4 functions ONLY - main() as entry point " &amp; IF(G9&lt;&gt;"Advanced",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9" s="56" t="str">
        <f>IF(H9&lt;&gt;"PROJECT","",
"[ROLE] Tech Lead | " &amp;
"[TASK] Assign incomplete project script | " &amp;
"[PROJECT] " &amp; I9 &amp; " | " &amp;
"[TOPICS USED] " &amp; A9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
"[EXTERNAL_PACKAGE_PROTOCOL] Require standard pip tooling and requirements.txt for dependencies. | " &amp;
"[CHALLENGE_CONSTRAINTS_POLICY] MUST be between " &amp; IF(G9="Beginner","25–40", IF(G9="Intermediate","30–60","40–100")) &amp; " lines of EXECUTABLE base Python code (STRICT: Do NOT count comments or TODOs). Must feature functional data pipelines or asynchronous asyncio flows.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9" s="56" t="str">
        <f>IF(H9&lt;&gt;"PROJECT","",
"[ROLE] Tech Lead | " &amp;
"[TASK] Provide a messy but functional project for refactoring | " &amp;
"[PROJECT] " &amp; I9 &amp; " | " &amp;
"[TOPICS USED] " &amp; A9 &amp; " | " &amp;
"[LEVEL] " &amp; G9 &amp; " | " &amp;
"[PERSONA RULE] Act as a Tech Lead. A junior wrote this working but messy code. Tone: professional but exhausted | " &amp;
"[HEADER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IF(G9="Beginner", "25–40", IF(G9="Intermediate",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9" s="56" t="str">
        <f>IF(H9&lt;&gt;"PROJECT","",
"[ROLE] Tech Product Manager assigning a " &amp; $I$2 &amp; " Jira Ticket | " &amp;
"[TASK] Provide a guided project implementation with full solution | " &amp;
"[PROJECT] " &amp; I9 &amp; " | " &amp;
"[TOPICS USED] " &amp; A9 &amp; " | " &amp;
"[LEVEL] " &amp; G9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IF(G9="Beginner", "Avoid complex structure. ", IF(G9="Intermediate",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9" s="55" t="s">
        <v>49</v>
      </c>
      <c r="AF9" s="55" t="s">
        <v>50</v>
      </c>
      <c r="AG9" s="55" t="s">
        <v>51</v>
      </c>
      <c r="AH9" s="56" t="str">
        <f t="shared" ref="AH9:AH40" si="0">IF(AE9=$B$6,AG9,"")</f>
        <v/>
      </c>
      <c r="AI9" s="54" t="s">
        <v>52</v>
      </c>
      <c r="AJ9" s="54"/>
      <c r="AK9" s="54">
        <v>1</v>
      </c>
      <c r="AL9" s="54" t="s">
        <v>53</v>
      </c>
      <c r="AM9" s="54" t="s">
        <v>54</v>
      </c>
    </row>
    <row r="10" spans="1:39">
      <c r="A10" s="45" t="str" cm="1">
        <f t="array" ref="A10">IF(H10="PROJECT", CHAR(10) &amp; "- " &amp; _xlfn.TEXTJOIN(CHAR(10) &amp; "- ", TRUE, _xlfn._xlws.FILTER($I$9:$I$1000, ($B$9:$B$1000=B10) * ($H$9:$H$1000="Topic"))), "")</f>
        <v/>
      </c>
      <c r="B10" s="45">
        <f t="shared" ref="B10:B73" si="1">IF(H10="","",IF(AND(H10="Topic",H9="PROJECT"),B9+1,IF(H10="PROJECT",B9,IF(AND(H10="Topic",H9="Topic"),B9,B9+1))))</f>
        <v>1</v>
      </c>
      <c r="C10" s="95">
        <v>6</v>
      </c>
      <c r="D10" s="57">
        <v>3</v>
      </c>
      <c r="E10" s="58" t="s">
        <v>46</v>
      </c>
      <c r="F10" s="59">
        <v>2</v>
      </c>
      <c r="G10" s="60" t="s">
        <v>47</v>
      </c>
      <c r="H10" s="60" t="s">
        <v>48</v>
      </c>
      <c r="I10" s="61" t="s">
        <v>787</v>
      </c>
      <c r="J10" s="62" t="s">
        <v>788</v>
      </c>
      <c r="K10" s="129" t="str">
        <f t="shared" ref="K10:K73" si="2">IF(H10="Topic",
"[ROLE] Friendly tutor specializing in " &amp; $I$2 &amp; " | " &amp;
"[TOPIC] " &amp; I10 &amp; " | " &amp;
"[LEVEL] " &amp; G10 &amp; " | " &amp;
"[COUNT] " &amp; D10 &amp; " examples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$C10 &amp; " lines of EXECUTABLE code (STRICT: Do NOT count comments or blank lines). - NEVER exceed this limit. | " &amp;
"[FUNCTION RULE] Rule: " &amp; IF(G10="Beginner","Focus: basic function definitions, return values, positional/keyword arguments, and list/dict comprehensions.", IF(G10="Intermediate", "Integrate generator functions using yield, closures, functools utilities (partial, lru_cache), and decorators.", "Dictionaries, Tuples, Namedtuples, or TypedDicts with strict type hints")) &amp; " | " &amp;
"[CODE_CONSTRAINTS_RULE] Each example MUST: - Use Dictionaries, Tuples, Namedtuples, or TypedDicts with strict type hints - Print steps &amp; result via print() or logging.info()/logging.error() inside functional scopes or error handlers - MAX " &amp; $C10 &amp; " executable lines (comments/blanks excluded) - NEVER exceed limit. | " &amp;
"[I_O_PARADIGM] Use pathlib.Path, open() with context managers, or sys.stdin/sys.stdout streams and gracefully handle Typed Tuples like Tuple[bool, str], Namedtuples, or Dict[str, Any] with type annotations when applicable. | " &amp;
"[INLINE_PACKAGE_MANAGER] If using external packages, use Standard requirements.txt file or inline pip install comments (# requirements: package_name&gt;=version) at the top of the code block. Assume no project configuration file exists. | " &amp;
_xlfn._LONGTEXT("[TESTING_FRAMEWORK_LIMITS]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F10 &amp; " | Stage 1 📖 Practice | " &amp; IF($I$3="", $I$2, $I$2&amp; " - " &amp;$I$3) &amp; " | 📊 Level: " &amp; G10 &amp; " | 🌐 Coding5s.com" &amp; CHAR(10) &amp; "**Concept:** " &amp; J10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D10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IF(AJ10&lt;&gt;"", AJ10,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IF(H10="PROJECT", Z10, ""))</f>
        <v xml:space="preserve">[ROLE] Friendly tutor specializing in Python | [TOPIC] Read and extract the payload from httpx responses using .text for string formatting and .content for raw byte extraction | [LEVEL] Beginner | [COUNT] 3 examples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6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Python - HTTPX | 📊 Level: Beginner | 🌐 Coding5s.com
**Concept:** Reading Response Content (.text, .content)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 s="103" t="str">
        <f t="shared" ref="L10:L73" si="3">IF(OR(H10="Topic", UPPER(H10)="PROJECT"),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IF(UPPER(H10)="PROJECT", "building a PROJECT: " &amp; I10 &amp; ". Topics applied in this project: " &amp; A10 &amp; ". Project objective: " &amp; J10, "learning: " &amp; I10 &amp; ". Topic details: " &amp; J10)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IF(G10="Beginner", "Evaluate based on basic functions, data structures, and conditional logic. Do NOT expect decorators, generators, or asyncio unless explicitly demanded.", IF(G10="Intermediate",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&amp; IF(AJ10&lt;&gt;"", "[MENTOR CONTEXT ALERT] Be aware of the following infrastructure limitation for this exercise: " &amp; AJ10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IF(UPPER(H10)="PROJECT",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IF(UPPER(H10)="PROJECT",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IF(UPPER(H10)="PROJECT", "Project #", "Topic #") &amp; F10 &amp; " | Practice | " &amp; IF($I$3="", $I$2, $I$2&amp; " - " &amp;$I$3) &amp; " | 📊 Level: " &amp; G10 &amp; CHAR(10) &amp; "**" &amp; IF(UPPER(H10)="PROJECT", "Project", "Topic") &amp; ":** " &amp; I10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Read and extract the payload from httpx responses using .text for string formatting and .content for raw byte extraction. Topic details: Reading Response Content (.text, .content)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Python - HTTPX | 📊 Level: Beginner
**Topic:** Read and extract the payload from httpx responses using .text for string formatting and .content for raw byte extraction
---
 | [FOOTER RULE - STRICT] End your response with: '--- ⚡ *Coding5s Mentor System — Eliminating Epistemic Debt*' | </v>
      </c>
      <c r="M10" s="52">
        <v>0</v>
      </c>
      <c r="N10" s="102" t="str">
        <f t="shared" ref="N10:N73" si="4">IF(H10="Topic",
"[ROLE] Careless " &amp; $I$2 &amp; " Developer | " &amp;
"[TASK] Generate debugging challenges in " &amp; $I$2 &amp; " | | " &amp;
"[TOPIC] " &amp; I10 &amp; " | | " &amp;
"[LEVEL] " &amp; G10 &amp; " | | " &amp;
"[COUNT] " &amp; D10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F10 &amp; " | Stage 2 🐛 Debug | " &amp; IF($I$3="", $I$2, $I$2&amp; " - " &amp;$I$3) &amp; " | 📊 Level: " &amp; G10 &amp; " | 🌐 Coding5s.com" &amp; CHAR(10) &amp; "Concept: " &amp; J10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 &amp;
"[EXUNIT RULE] Always use pytest or native test functions. You MUST use native assert statements or pytest.raises() for exception testing. Avoid defining TestClasses or methods. | " &amp;
"[HEX DEPENDENCIES RULE] Assume a standard Python runtime context. External PyPI dependencies MUST be specified strictly within a requirements.txt file. | " &amp;
"[CODE CONSTRAINTS] Each challenge MUST include: - At least 1 functional iterator/generator or comprehension - Explicit type annotations - At least 1 error handling try/except block - " &amp; IF(G10="Beginner", "5–15", IF(G10="Intermediate", "10–25", "15–35")) &amp; " lines of EXECUTABLE broken Python code per example (STRICT: Do NOT count blank lines). Enforce PEP 8, type hints, and NO OOP class structures. | All challenges MUST have similar functional abstraction depth and architectural complexity.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D10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IF(H10="PROJECT", AA10, ""))</f>
        <v>[ROLE] Careless Python Developer | [TASK] Generate debugging challenges in Python | | [TOPIC] Read and extract the payload from httpx responses using .text for string formatting and .content for raw byte extraction | | [LEVEL] Beginner |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 | Stage 2 🐛 Debug | Python - HTTPX | 📊 Level: Beginner | 🌐 Coding5s.com
Concept: Reading Response Content (.text, .content)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 s="103" t="str">
        <f t="shared" ref="O10:O73" si="5">IF(OR(H10="Topic", UPPER(H10)="PROJECT"),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IF(UPPER(H10)="PROJECT", "PROJECT: " &amp; I10 &amp; ". Topics involved: " &amp; A10 &amp; ". Project objective: " &amp; J10, "TOPIC: " &amp; I10 &amp; ". Topic details: " &amp; J10)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IF(UPPER(H10)="PROJECT", "Project #", "Topic #") &amp; F10 &amp; " | Debug | " &amp; IF($I$3="", $I$2, $I$2&amp; " - " &amp;$I$3) &amp; " | 📊 Level: " &amp; G10 &amp; CHAR(10) &amp; "**" &amp; IF(UPPER(H10)="PROJECT", "Project", "Topic") &amp; ":** " &amp; I10 &amp; CHAR(10) &amp; "---" &amp; CHAR(10) &amp; " | " &amp;
_xlfn._LONGTEXT("[PYTHON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Read and extract the payload from httpx responses using .text for string formatting and .content for raw byte extraction. Topic details: Reading Response Content (.text, .content)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Python - HTTPX | 📊 Level: Beginner
**Topic:** Read and extract the payload from httpx responses using .text for string formatting and .content for raw byte extraction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 s="52">
        <v>0</v>
      </c>
      <c r="Q10" s="102" t="str">
        <f t="shared" ref="Q10:Q73" si="6">IF(H10="Topic",
"[ROLE] Tech Lead | " &amp;
"[TASK] Assign incomplete " &amp; $I$2 &amp; " script challenges | " &amp;
"[TOPIC] " &amp; I10 &amp; " | " &amp;
"[LEVEL] " &amp; G10 &amp; " | " &amp;
"[COUNT] " &amp; D10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F10 &amp; " | Stage 3 🧩 Complete | " &amp; IF($I$3="", $I$2, $I$2&amp; " - " &amp;$I$3) &amp; " | 📊 Level: " &amp; G10 &amp; " | 🌐 Coding5s.com" &amp; CHAR(10) &amp; "**Concept:** " &amp; J10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PyPI packages MUST be specified inside a standard requirements.txt file. Do not use inline system pip commands. | " &amp;
"[TESTING_FRAMEWORK_PROTOCOL] Tests MUST isolate functional logic. NEVER mutate global state; use native assert statements or pytest fixtures to verify function outputs. | " &amp;
"[CHALLENGE_CONSTRAINTS_POLICY] Each challenge MUST include: - A functional module or script using closures, generators, or functools to manage continuous state with strict type hints. - " &amp; IF(G10="Beginner","5–15", IF(G10="Intermediate","10–25","15–35")) &amp; " lines of EXECUTABLE base Python code (STRICT: Do NOT count comments or TODOs). Length MUST vary. Enforce type hints, PEP 8, and NO classes.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D10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I10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IF(G10="Beginner", "Clear explicit hint (no code) | ", IF(G10="Intermediate",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IF(H10="PROJECT", AB10, ""))</f>
        <v>[ROLE] Tech Lead | [TASK] Assign incomplete Python script challenges | [TOPIC] Read and extract the payload from httpx responses using .text for string formatting and .content for raw byte extraction | [LEVEL] Beginner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 | Stage 3 🧩 Complete | Python - HTTPX | 📊 Level: Beginner | 🌐 Coding5s.com
**Concept:** Reading Response Content (.text, .content)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Read and extract the payload from httpx responses using .text for string formatting and .content for raw byte extraction.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 s="103" t="str">
        <f t="shared" ref="R10:R73" si="7">IF(OR(H10="Topic", UPPER(H10)="PROJECT"),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IF(UPPER(H10)="PROJECT", "PROJECT: " &amp; I10 &amp; ". Topics involved: " &amp; A10 &amp; ". Project objective: " &amp; J10, "TOPIC: " &amp; I10 &amp; ". Topic details: " &amp; J10)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IF(UPPER(H10)="PROJECT", "Project #", "Topic #") &amp; F10 &amp; " | Complete | " &amp; IF($I$3="", $I$2, $I$2&amp; " - " &amp;$I$3) &amp; " | 📊 Level: " &amp; G10 &amp; CHAR(10) &amp; "**" &amp; IF(UPPER(H10)="PROJECT", "Project", "Topic") &amp; ":** " &amp; I10 &amp; CHAR(10) &amp; "---" &amp; CHAR(10) &amp; " | " &amp;
_xlfn._LONGTEXT("[PYTHON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Read and extract the payload from httpx responses using .text for string formatting and .content for raw byte extraction. Topic details: Reading Response Content (.text, .content)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Python - HTTPX | 📊 Level: Beginner
**Topic:** Read and extract the payload from httpx responses using .text for string formatting and .content for raw byte extraction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 s="52">
        <v>0</v>
      </c>
      <c r="T10" s="102" t="str">
        <f t="shared" ref="T10:T73" si="8">IF(H10="Topic",
"[ROLE] Tech Lead | " &amp;
"[TASK] Provide intentionally messy but functional code for learning debugging and improvement | " &amp;
"[TOPIC] " &amp; I10 &amp; " | " &amp;
"[LEVEL] " &amp; G10 &amp; " | " &amp;
"[COUNT] " &amp; D10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F10 &amp; " | Stage 4 🧹 Refactor | " &amp; IF($I$3="", $I$2, $I$2&amp; " - " &amp;$I$3) &amp; " | 📊 Level: " &amp; G10 &amp; " | 🌐 Coding5s.com" &amp; CHAR(10) &amp; "**Concept:** " &amp; J10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D10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IF(G10="Beginner", "5–15", IF(G10="Intermediate",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IF(H10="PROJECT", AC10, ""))</f>
        <v>[ROLE] Tech Lead | [TASK] Provide intentionally messy but functional code for learning debugging and improvement | [TOPIC] Read and extract the payload from httpx responses using .text for string formatting and .content for raw byte extraction | [LEVEL] Beginner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Python - HTTPX | 📊 Level: Beginner | 🌐 Coding5s.com
**Concept:** Reading Response Content (.text, .content)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 s="103" t="str">
        <f t="shared" ref="U10:U73" si="9">IF(OR(H10="Topic", UPPER(H10)="PROJECT"),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IF(UPPER(H10)="PROJECT", "PROJECT: " &amp; I10 &amp; ". Topics involved: " &amp; A10 &amp; ". Project objective: " &amp; J10, "TOPIC: " &amp; I10 &amp; ". Topic details: " &amp; J10)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IF(UPPER(H10)="PROJECT", "Project #", "Topic #") &amp; F10 &amp; " | Refactor | " &amp; IF($I$3="", $I$2, $I$2&amp; " - " &amp;$I$3) &amp; " | 📊 Level: " &amp; G10 &amp; CHAR(10) &amp; "**" &amp; IF(UPPER(H10)="PROJECT", "Project", "Topic") &amp; ":** " &amp; I10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Read and extract the payload from httpx responses using .text for string formatting and .content for raw byte extraction. Topic details: Reading Response Content (.text, .content)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Python - HTTPX | 📊 Level: Beginner
**Topic:** Read and extract the payload from httpx responses using .text for string formatting and .content for raw byte extraction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 s="52">
        <v>0</v>
      </c>
      <c r="W10" s="87" t="str">
        <f t="shared" ref="W10:W73" si="10">IF(H10="Topic",
"[ROLE] Tech Product Manager assigning a " &amp; $I$2 &amp; " Jira Ticket | " &amp;
"[TASK] Provide a guided implementation exercise with full solution for learning purposes | " &amp;
"[TOPIC] " &amp; I10 &amp; " | " &amp;
"[LEVEL] " &amp; G10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F10 &amp; " | Stage 5 | " &amp; IF($I$3="", $I$2, $I$2&amp; " - " &amp;$I$3) &amp; " | 📊 Level: " &amp; G10 &amp; " | 🌐 Coding5s.com" &amp; CHAR(10) &amp; "**Concept:** " &amp; J10 &amp; CHAR(10) &amp; "---" &amp; CHAR(10) &amp; " | " &amp;
"[FUNCTIONAL_STRUCTURE_POLICY] Rule: " &amp; IF(G10="Beginner", "Use simple scripts or minimal functions. ", IF(G10="Intermediate",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IF(G10="Beginner", "10–20", IF(G10="Intermediate", "15–30", "25–40")) &amp; " lines of EXECUTABLE code (STRICT) - V1.1 MUST be between " &amp; IF(G10="Beginner", "15–30", IF(G10="Intermediate",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IF(H10="PROJECT", AD10, ""))</f>
        <v>[ROLE] Tech Product Manager assigning a Python Jira Ticket | [TASK] Provide a guided implementation exercise with full solution for learning purposes | [TOPIC] Read and extract the payload from httpx responses using .text for string formatting and .content for raw byte extraction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Python - HTTPX | 📊 Level: Beginner | 🌐 Coding5s.com
**Concept:** Reading Response Content (.text, .content)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 s="103" t="str">
        <f t="shared" ref="X10:X73" si="11">IF(OR(H10="Topic", UPPER(H10)="PROJECT"),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IF(UPPER(H10)="PROJECT", "PROJECT: " &amp; I10 &amp; ". Topics integrated: " &amp; A10 &amp; ". Business Goal: " &amp; J10, "TOPIC: " &amp; I10 &amp; ". Goal: " &amp; J10)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IF(UPPER(H10)="PROJECT", "Project #", "Topic #") &amp; F10 &amp; " | Extend | " &amp; IF($I$3="", $I$2, $I$2&amp; " - " &amp;$I$3) &amp; " | 📊 Level: " &amp; G10 &amp; CHAR(10) &amp; "**" &amp; IF(UPPER(H10)="PROJECT", "Project", "Topic") &amp; ":** " &amp; I10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Read and extract the payload from httpx responses using .text for string formatting and .content for raw byte extraction. Goal: Reading Response Content (.text, .content)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Python - HTTPX | 📊 Level: Beginner
**Topic:** Read and extract the payload from httpx responses using .text for string formatting and .content for raw byte extraction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 s="52">
        <v>0</v>
      </c>
      <c r="Z10" s="56" t="str">
        <f t="shared" ref="Z10:Z73" si="12">IF(H10&lt;&gt;"PROJECT","",
"[TASK] Teach through a practical " &amp; $I$2 &amp; " - " &amp; $I$3 &amp; " project following the micro-learning methodology, acting as a supportive tutor, creating a project about  " &amp; I10 &amp; " | " &amp;
"[TOPICS USED] " &amp; A10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requirements.txt file or inline pip install comments (# requirements: package_name&gt;=version) at the top. | " &amp;
"[SCOPE_ARCHITECTURE_RULE] Rule: Build scripts: async/await coroutines with asyncio, subprocess execution, signal trapping, and custom context managers. | " &amp;
_xlfn._LONGTEXT("[VISUAL_ARCHITECTURE_COMMENTS]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 &amp;
"[DATA ROBUSTNESS RULE] Handle real-world data safely | " &amp;
"[CODE CONSTRAINTS] MUST be between " &amp; IF(G10="Beginner", "25–40", IF(G10="Intermediate",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F10 &amp; " | Stage 1 | " &amp; IF($I$3="", $I$2, $I$2&amp; " - " &amp;$I$3) &amp; " | 📊 Level: " &amp; G10 &amp; " | 🌐 Coding5s.com" &amp; CHAR(10) &amp; "**Project:** " &amp; J10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0" s="56" t="str">
        <f t="shared" ref="AA10:AA73" si="13">IF(H10&lt;&gt;"PROJECT","",
"[ROLE] Careless " &amp; $I$2 &amp; " Developer | " &amp;
"[TASK] Generate debugging project in " &amp; $I$2 &amp; " | " &amp;
"[PROJECT] " &amp; I10 &amp; " | " &amp;
"[TOPICS USED] " &amp; A10 &amp; " | " &amp;
"[LEVEL] " &amp; G10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F10 &amp; " | Stage 2 | " &amp; IF($I$3="", $I$2, $I$2&amp; " - " &amp;$I$3) &amp; " | 📊 Level: " &amp; G10 &amp; " | 🌐 Coding5s.com" &amp; CHAR(10) &amp; "Project: " &amp; J10 &amp; CHAR(10) &amp; "---" &amp; CHAR(10)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AE8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IF(G10="Beginner", "25–40", IF(G10="Intermediate", "30–60", "40–100")) &amp; " lines of EXECUTABLE code (STRICT: Do NOT count blank lines towards this limit) - Multi-step flow - 2–4 functions ONLY - main() as entry point " &amp; IF(G10&lt;&gt;"Advanced",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0" s="56" t="str">
        <f t="shared" ref="AB10:AB73" si="14">IF(H10&lt;&gt;"PROJECT","",
"[ROLE] Tech Lead | " &amp;
"[TASK] Assign incomplete project script | " &amp;
"[PROJECT] " &amp; I10 &amp; " | " &amp;
"[TOPICS USED] " &amp; A10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F10 &amp; " | Stage 3 | " &amp; IF($I$3="", $I$2, $I$2&amp; " - " &amp;$I$3) &amp; " | 📊 Level: " &amp; G10 &amp; " | 🌐 Coding5s.com" &amp; CHAR(10) &amp; "**Project:** " &amp; J10 &amp; CHAR(10) &amp; "---" &amp; CHAR(10) &amp; " | " &amp;
"[EXTERNAL_PACKAGE_PROTOCOL] Require standard pip tooling and requirements.txt for dependencies. | " &amp;
"[CHALLENGE_CONSTRAINTS_POLICY] MUST be between " &amp; IF(G10="Beginner","25–40", IF(G10="Intermediate","30–60","40–100")) &amp; " lines of EXECUTABLE base Python code (STRICT: Do NOT count comments or TODOs). Must feature functional data pipelines or asynchronous asyncio flows.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0" s="56" t="str">
        <f t="shared" ref="AC10:AC73" si="15">IF(H10&lt;&gt;"PROJECT","",
"[ROLE] Tech Lead | " &amp;
"[TASK] Provide a messy but functional project for refactoring | " &amp;
"[PROJECT] " &amp; I10 &amp; " | " &amp;
"[TOPICS USED] " &amp; A10 &amp; " | " &amp;
"[LEVEL] " &amp; G10 &amp; " | " &amp;
"[PERSONA RULE] Act as a Tech Lead. A junior wrote this working but messy code. Tone: professional but exhausted | " &amp;
"[HEADER RULE - STRICT] You MUST start your entire response EXACTLY with this markdown block (do not print anything before it):" &amp; CHAR(10) &amp; "### 🚀 Project #" &amp; F10 &amp; " | Stage 4 | " &amp; IF($I$3="", $I$2, $I$2&amp; " - " &amp;$I$3) &amp; " | 📊 Level: " &amp; G10 &amp; " | 🌐 Coding5s.com" &amp; CHAR(10) &amp; "**Project:** " &amp; J10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IF(G10="Beginner", "25–40", IF(G10="Intermediate",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0" s="56" t="str">
        <f t="shared" ref="AD10:AD73" si="16">IF(H10&lt;&gt;"PROJECT","",
"[ROLE] Tech Product Manager assigning a " &amp; $I$2 &amp; " Jira Ticket | " &amp;
"[TASK] Provide a guided project implementation with full solution | " &amp;
"[PROJECT] " &amp; I10 &amp; " | " &amp;
"[TOPICS USED] " &amp; A10 &amp; " | " &amp;
"[LEVEL] " &amp; G10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F10 &amp; " | Stage 5 | " &amp; IF($I$3="", $I$2, $I$2&amp; " - " &amp;$I$3) &amp; " | 📊 Level: " &amp; G10 &amp; " | 🌐 Coding5s.com" &amp; CHAR(10) &amp; "**Project:** " &amp; J10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IF(G10="Beginner", "20–35", IF(G10="Intermediate", "30–50", "45–70")) &amp; " lines of EXECUTABLE code (STRICT) - V1.1 MUST be between " &amp; IF(G10="Beginner", "30–50", IF(G10="Intermediate",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IF(G10="Beginner", "Avoid complex structure. ", IF(G10="Intermediate",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0" s="55" t="s">
        <v>55</v>
      </c>
      <c r="AF10" s="55" t="s">
        <v>56</v>
      </c>
      <c r="AG10" s="55" t="s">
        <v>57</v>
      </c>
      <c r="AH10" s="56" t="str">
        <f t="shared" si="0"/>
        <v/>
      </c>
      <c r="AI10" s="54" t="s">
        <v>58</v>
      </c>
      <c r="AJ10" s="54"/>
      <c r="AK10" s="54">
        <v>2</v>
      </c>
      <c r="AL10" s="54" t="s">
        <v>16</v>
      </c>
      <c r="AM10" s="54" t="s">
        <v>59</v>
      </c>
    </row>
    <row r="11" spans="1:39">
      <c r="A11" s="45" t="str" cm="1">
        <f t="array" ref="A11">IF(H11="PROJECT", CHAR(10) &amp; "- " &amp; _xlfn.TEXTJOIN(CHAR(10) &amp; "- ", TRUE, _xlfn._xlws.FILTER($I$9:$I$1000, ($B$9:$B$1000=B11) * ($H$9:$H$1000="Topic"))), "")</f>
        <v/>
      </c>
      <c r="B11" s="45">
        <f t="shared" si="1"/>
        <v>1</v>
      </c>
      <c r="C11" s="95">
        <v>6</v>
      </c>
      <c r="D11" s="46">
        <v>3</v>
      </c>
      <c r="E11" s="58" t="s">
        <v>46</v>
      </c>
      <c r="F11" s="48">
        <v>3</v>
      </c>
      <c r="G11" s="49" t="s">
        <v>47</v>
      </c>
      <c r="H11" s="49" t="s">
        <v>48</v>
      </c>
      <c r="I11" s="50" t="s">
        <v>789</v>
      </c>
      <c r="J11" s="51" t="s">
        <v>790</v>
      </c>
      <c r="K11" s="129" t="str">
        <f t="shared" si="2"/>
        <v xml:space="preserve">[ROLE] Friendly tutor specializing in Python | [TOPIC] Parse structured JSON payloads from API responses by utilizing the .json() method in httpx to convert text data into native Python dictionaries | [LEVEL] Beginner | [COUNT] 3 examples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6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Python - HTTPX | 📊 Level: Beginner | 🌐 Coding5s.com
**Concept:** Parsing JSON Responses (.json())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structured JSON payloads from API responses by utilizing the .json() method in httpx to convert text data into native Python dictionaries. Topic details: Parsing JSON Responses (.json())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Python - HTTPX | 📊 Level: Beginner
**Topic:** Parse structured JSON payloads from API responses by utilizing the .json() method in httpx to convert text data into native Python dictionaries
---
 | [FOOTER RULE - STRICT] End your response with: '--- ⚡ *Coding5s Mentor System — Eliminating Epistemic Debt*' | </v>
      </c>
      <c r="M11" s="52">
        <v>0</v>
      </c>
      <c r="N11" s="102" t="str">
        <f t="shared" si="4"/>
        <v>[ROLE] Careless Python Developer | [TASK] Generate debugging challenges in Python | | [TOPIC] Parse structured JSON payloads from API responses by utilizing the .json() method in httpx to convert text data into native Python dictionaries | | [LEVEL] Beginner |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 | Stage 2 🐛 Debug | Python - HTTPX | 📊 Level: Beginner | 🌐 Coding5s.com
Concept: Parsing JSON Responses (.json())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structured JSON payloads from API responses by utilizing the .json() method in httpx to convert text data into native Python dictionaries. Topic details: Parsing JSON Responses (.json())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Python - HTTPX | 📊 Level: Beginner
**Topic:** Parse structured JSON payloads from API responses by utilizing the .json() method in httpx to convert text data into native Python dictionaries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 s="53">
        <v>0</v>
      </c>
      <c r="Q11" s="102" t="str">
        <f t="shared" si="6"/>
        <v>[ROLE] Tech Lead | [TASK] Assign incomplete Python script challenges | [TOPIC] Parse structured JSON payloads from API responses by utilizing the .json() method in httpx to convert text data into native Python dictionaries | [LEVEL] Beginner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 | Stage 3 🧩 Complete | Python - HTTPX | 📊 Level: Beginner | 🌐 Coding5s.com
**Concept:** Parsing JSON Responses (.json())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Parse structured JSON payloads from API responses by utilizing the .json() method in httpx to convert text data into native Python dictionaries.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structured JSON payloads from API responses by utilizing the .json() method in httpx to convert text data into native Python dictionaries. Topic details: Parsing JSON Responses (.json())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Python - HTTPX | 📊 Level: Beginner
**Topic:** Parse structured JSON payloads from API responses by utilizing the .json() method in httpx to convert text data into native Python dictionaries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 s="53">
        <v>0</v>
      </c>
      <c r="T11" s="102" t="str">
        <f t="shared" si="8"/>
        <v>[ROLE] Tech Lead | [TASK] Provide intentionally messy but functional code for learning debugging and improvement | [TOPIC] Parse structured JSON payloads from API responses by utilizing the .json() method in httpx to convert text data into native Python dictionaries | [LEVEL] Beginner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Python - HTTPX | 📊 Level: Beginner | 🌐 Coding5s.com
**Concept:** Parsing JSON Responses (.json())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Parse structured JSON payloads from API responses by utilizing the .json() method in httpx to convert text data into native Python dictionaries. Topic details: Parsing JSON Responses (.json())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Python - HTTPX | 📊 Level: Beginner
**Topic:** Parse structured JSON payloads from API responses by utilizing the .json() method in httpx to convert text data into native Python dictionaries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 s="53">
        <v>0</v>
      </c>
      <c r="W11" s="87" t="str">
        <f t="shared" si="10"/>
        <v>[ROLE] Tech Product Manager assigning a Python Jira Ticket | [TASK] Provide a guided implementation exercise with full solution for learning purposes | [TOPIC] Parse structured JSON payloads from API responses by utilizing the .json() method in httpx to convert text data into native Python dictionaries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Python - HTTPX | 📊 Level: Beginner | 🌐 Coding5s.com
**Concept:** Parsing JSON Responses (.json())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structured JSON payloads from API responses by utilizing the .json() method in httpx to convert text data into native Python dictionaries. Goal: Parsing JSON Responses (.json())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Python - HTTPX | 📊 Level: Beginner
**Topic:** Parse structured JSON payloads from API responses by utilizing the .json() method in httpx to convert text data into native Python dictionaries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 s="53">
        <v>0</v>
      </c>
      <c r="Z11" s="56" t="str">
        <f t="shared" si="12"/>
        <v/>
      </c>
      <c r="AA11" s="56" t="str">
        <f t="shared" si="13"/>
        <v/>
      </c>
      <c r="AB11" s="56" t="str">
        <f t="shared" si="14"/>
        <v/>
      </c>
      <c r="AC11" s="56" t="str">
        <f t="shared" si="15"/>
        <v/>
      </c>
      <c r="AD11" s="56" t="str">
        <f t="shared" si="16"/>
        <v/>
      </c>
      <c r="AE11" s="55" t="s">
        <v>60</v>
      </c>
      <c r="AF11" s="55" t="s">
        <v>61</v>
      </c>
      <c r="AG11" s="55" t="s">
        <v>62</v>
      </c>
      <c r="AH11" s="56" t="str">
        <f t="shared" si="0"/>
        <v/>
      </c>
      <c r="AI11" s="54" t="s">
        <v>63</v>
      </c>
      <c r="AJ11" s="54"/>
      <c r="AK11" s="54">
        <v>3</v>
      </c>
      <c r="AL11" s="54" t="s">
        <v>64</v>
      </c>
      <c r="AM11" s="54" t="s">
        <v>65</v>
      </c>
    </row>
    <row r="12" spans="1:39">
      <c r="A12" s="45" t="str" cm="1">
        <f t="array" ref="A12">IF(H12="PROJECT", CHAR(10) &amp; "- " &amp; _xlfn.TEXTJOIN(CHAR(10) &amp; "- ", TRUE, _xlfn._xlws.FILTER($I$9:$I$1000, ($B$9:$B$1000=B12) * ($H$9:$H$1000="Topic"))), "")</f>
        <v/>
      </c>
      <c r="B12" s="45">
        <f t="shared" si="1"/>
        <v>1</v>
      </c>
      <c r="C12" s="95">
        <v>8</v>
      </c>
      <c r="D12" s="57">
        <v>4</v>
      </c>
      <c r="E12" s="58" t="s">
        <v>46</v>
      </c>
      <c r="F12" s="59">
        <v>4</v>
      </c>
      <c r="G12" s="60" t="s">
        <v>47</v>
      </c>
      <c r="H12" s="60" t="s">
        <v>48</v>
      </c>
      <c r="I12" s="61" t="s">
        <v>791</v>
      </c>
      <c r="J12" s="62" t="s">
        <v>792</v>
      </c>
      <c r="K12" s="129" t="str">
        <f t="shared" si="2"/>
        <v xml:space="preserve">[ROLE] Friendly tutor specializing in Python | [TOPIC] Append dynamic query strings to endpoint URLs by passing a Python dictionary to the params argument in httpx requests | [LEVEL] Beginner | [COUNT] 4 examples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Python - HTTPX | 📊 Level: Beginner | 🌐 Coding5s.com
**Concept:** Passing URL Query Parameters (params dictionary)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2"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Append dynamic query strings to endpoint URLs by passing a Python dictionary to the params argument in httpx requests. Topic details: Passing URL Query Parameters (params dictionary)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Python - HTTPX | 📊 Level: Beginner
**Topic:** Append dynamic query strings to endpoint URLs by passing a Python dictionary to the params argument in httpx requests
---
 | [FOOTER RULE - STRICT] End your response with: '--- ⚡ *Coding5s Mentor System — Eliminating Epistemic Debt*' | </v>
      </c>
      <c r="M12" s="52">
        <v>0</v>
      </c>
      <c r="N12" s="102" t="str">
        <f t="shared" si="4"/>
        <v>[ROLE] Careless Python Developer | [TASK] Generate debugging challenges in Python | | [TOPIC] Append dynamic query strings to endpoint URLs by passing a Python dictionary to the params argument in httpx requests | | [LEVEL] Beginner |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 | Stage 2 🐛 Debug | Python - HTTPX | 📊 Level: Beginner | 🌐 Coding5s.com
Concept: Passing URL Query Parameters (params dictionary)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Append dynamic query strings to endpoint URLs by passing a Python dictionary to the params argument in httpx requests. Topic details: Passing URL Query Parameters (params dictionary)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Python - HTTPX | 📊 Level: Beginner
**Topic:** Append dynamic query strings to endpoint URLs by passing a Python dictionary to the params argument in httpx requests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 s="52">
        <v>0</v>
      </c>
      <c r="Q12" s="102" t="str">
        <f t="shared" si="6"/>
        <v>[ROLE] Tech Lead | [TASK] Assign incomplete Python script challenges | [TOPIC] Append dynamic query strings to endpoint URLs by passing a Python dictionary to the params argument in httpx requests | [LEVEL] Beginner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 | Stage 3 🧩 Complete | Python - HTTPX | 📊 Level: Beginner | 🌐 Coding5s.com
**Concept:** Passing URL Query Parameters (params dictionary)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Append dynamic query strings to endpoint URLs by passing a Python dictionary to the params argument in httpx requests.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Append dynamic query strings to endpoint URLs by passing a Python dictionary to the params argument in httpx requests. Topic details: Passing URL Query Parameters (params dictionary)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Python - HTTPX | 📊 Level: Beginner
**Topic:** Append dynamic query strings to endpoint URLs by passing a Python dictionary to the params argument in httpx requests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 s="52">
        <v>0</v>
      </c>
      <c r="T12" s="102" t="str">
        <f t="shared" si="8"/>
        <v>[ROLE] Tech Lead | [TASK] Provide intentionally messy but functional code for learning debugging and improvement | [TOPIC] Append dynamic query strings to endpoint URLs by passing a Python dictionary to the params argument in httpx requests | [LEVEL] Beginner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Python - HTTPX | 📊 Level: Beginner | 🌐 Coding5s.com
**Concept:** Passing URL Query Parameters (params dictionary)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Append dynamic query strings to endpoint URLs by passing a Python dictionary to the params argument in httpx requests. Topic details: Passing URL Query Parameters (params dictionary)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Python - HTTPX | 📊 Level: Beginner
**Topic:** Append dynamic query strings to endpoint URLs by passing a Python dictionary to the params argument in httpx requests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 s="52">
        <v>0</v>
      </c>
      <c r="W12" s="87" t="str">
        <f t="shared" si="10"/>
        <v>[ROLE] Tech Product Manager assigning a Python Jira Ticket | [TASK] Provide a guided implementation exercise with full solution for learning purposes | [TOPIC] Append dynamic query strings to endpoint URLs by passing a Python dictionary to the params argument in httpx requests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Python - HTTPX | 📊 Level: Beginner | 🌐 Coding5s.com
**Concept:** Passing URL Query Parameters (params dictionary)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Append dynamic query strings to endpoint URLs by passing a Python dictionary to the params argument in httpx requests. Goal: Passing URL Query Parameters (params dictionary)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Python - HTTPX | 📊 Level: Beginner
**Topic:** Append dynamic query strings to endpoint URLs by passing a Python dictionary to the params argument in httpx requests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 s="52">
        <v>0</v>
      </c>
      <c r="Z12" s="56" t="str">
        <f t="shared" si="12"/>
        <v/>
      </c>
      <c r="AA12" s="56" t="str">
        <f t="shared" si="13"/>
        <v/>
      </c>
      <c r="AB12" s="56" t="str">
        <f t="shared" si="14"/>
        <v/>
      </c>
      <c r="AC12" s="56" t="str">
        <f t="shared" si="15"/>
        <v/>
      </c>
      <c r="AD12" s="56" t="str">
        <f t="shared" si="16"/>
        <v/>
      </c>
      <c r="AE12" s="55" t="s">
        <v>66</v>
      </c>
      <c r="AF12" s="55" t="s">
        <v>67</v>
      </c>
      <c r="AG12" s="55" t="s">
        <v>68</v>
      </c>
      <c r="AH12" s="56" t="str">
        <f t="shared" si="0"/>
        <v/>
      </c>
      <c r="AI12" s="54" t="s">
        <v>69</v>
      </c>
      <c r="AJ12" s="54"/>
      <c r="AK12" s="54">
        <v>4</v>
      </c>
      <c r="AL12" s="54" t="s">
        <v>70</v>
      </c>
      <c r="AM12" s="54" t="s">
        <v>71</v>
      </c>
    </row>
    <row r="13" spans="1:39">
      <c r="A13" s="45" t="str" cm="1">
        <f t="array" ref="A13">IF(H13="PROJECT", CHAR(10) &amp; "- " &amp; _xlfn.TEXTJOIN(CHAR(10) &amp; "- ", TRUE, _xlfn._xlws.FILTER($I$9:$I$1000, ($B$9:$B$1000=B13) * ($H$9:$H$1000="Topic"))), "")</f>
        <v/>
      </c>
      <c r="B13" s="45">
        <f t="shared" si="1"/>
        <v>1</v>
      </c>
      <c r="C13" s="95">
        <v>8</v>
      </c>
      <c r="D13" s="46">
        <v>3</v>
      </c>
      <c r="E13" s="58" t="s">
        <v>46</v>
      </c>
      <c r="F13" s="48">
        <v>5</v>
      </c>
      <c r="G13" s="49" t="s">
        <v>47</v>
      </c>
      <c r="H13" s="49" t="s">
        <v>48</v>
      </c>
      <c r="I13" s="50" t="s">
        <v>793</v>
      </c>
      <c r="J13" s="51" t="s">
        <v>794</v>
      </c>
      <c r="K13" s="129" t="str">
        <f t="shared" si="2"/>
        <v xml:space="preserve">[ROLE] Friendly tutor specializing in Python | [TOPIC] Inspect HTTP response metadata by accessing the .headers, .url, and .encoding attributes of an httpx response object to understand server configurations | [LEVEL] Beginner | [COUNT] 3 examples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Python - HTTPX | 📊 Level: Beginner | 🌐 Coding5s.com
**Concept:** Inspecting Response Metadata (.headers, .url, .encoding)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3"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HTTP response metadata by accessing the .headers, .url, and .encoding attributes of an httpx response object to understand server configurations. Topic details: Inspecting Response Metadata (.headers, .url, .encoding)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Python - HTTPX | 📊 Level: Beginner
**Topic:** Inspect HTTP response metadata by accessing the .headers, .url, and .encoding attributes of an httpx response object to understand server configurations
---
 | [FOOTER RULE - STRICT] End your response with: '--- ⚡ *Coding5s Mentor System — Eliminating Epistemic Debt*' | </v>
      </c>
      <c r="M13" s="52">
        <v>0</v>
      </c>
      <c r="N13" s="102" t="str">
        <f t="shared" si="4"/>
        <v>[ROLE] Careless Python Developer | [TASK] Generate debugging challenges in Python | | [TOPIC] Inspect HTTP response metadata by accessing the .headers, .url, and .encoding attributes of an httpx response object to understand server configurations | | [LEVEL] Beginner |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 | Stage 2 🐛 Debug | Python - HTTPX | 📊 Level: Beginner | 🌐 Coding5s.com
Concept: Inspecting Response Metadata (.headers, .url, .encoding)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HTTP response metadata by accessing the .headers, .url, and .encoding attributes of an httpx response object to understand server configurations. Topic details: Inspecting Response Metadata (.headers, .url, .encoding)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Python - HTTPX | 📊 Level: Beginner
**Topic:** Inspect HTTP response metadata by accessing the .headers, .url, and .encoding attributes of an httpx response object to understand server configurations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3" s="53">
        <v>0</v>
      </c>
      <c r="Q13" s="102" t="str">
        <f t="shared" si="6"/>
        <v>[ROLE] Tech Lead | [TASK] Assign incomplete Python script challenges | [TOPIC] Inspect HTTP response metadata by accessing the .headers, .url, and .encoding attributes of an httpx response object to understand server configurations | [LEVEL] Beginner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 | Stage 3 🧩 Complete | Python - HTTPX | 📊 Level: Beginner | 🌐 Coding5s.com
**Concept:** Inspecting Response Metadata (.headers, .url, .encoding)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HTTP response metadata by accessing the .headers, .url, and .encoding attributes of an httpx response object to understand server configurations.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HTTP response metadata by accessing the .headers, .url, and .encoding attributes of an httpx response object to understand server configurations. Topic details: Inspecting Response Metadata (.headers, .url, .encoding)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Python - HTTPX | 📊 Level: Beginner
**Topic:** Inspect HTTP response metadata by accessing the .headers, .url, and .encoding attributes of an httpx response object to understand server configurations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3" s="53">
        <v>0</v>
      </c>
      <c r="T13" s="102" t="str">
        <f t="shared" si="8"/>
        <v>[ROLE] Tech Lead | [TASK] Provide intentionally messy but functional code for learning debugging and improvement | [TOPIC] Inspect HTTP response metadata by accessing the .headers, .url, and .encoding attributes of an httpx response object to understand server configurations | [LEVEL] Beginner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Python - HTTPX | 📊 Level: Beginner | 🌐 Coding5s.com
**Concept:** Inspecting Response Metadata (.headers, .url, .encoding)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Inspect HTTP response metadata by accessing the .headers, .url, and .encoding attributes of an httpx response object to understand server configurations. Topic details: Inspecting Response Metadata (.headers, .url, .encoding)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Python - HTTPX | 📊 Level: Beginner
**Topic:** Inspect HTTP response metadata by accessing the .headers, .url, and .encoding attributes of an httpx response object to understand server configurations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3" s="53">
        <v>0</v>
      </c>
      <c r="W13" s="87" t="str">
        <f t="shared" si="10"/>
        <v>[ROLE] Tech Product Manager assigning a Python Jira Ticket | [TASK] Provide a guided implementation exercise with full solution for learning purposes | [TOPIC] Inspect HTTP response metadata by accessing the .headers, .url, and .encoding attributes of an httpx response object to understand server configurations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Python - HTTPX | 📊 Level: Beginner | 🌐 Coding5s.com
**Concept:** Inspecting Response Metadata (.headers, .url, .encoding)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HTTP response metadata by accessing the .headers, .url, and .encoding attributes of an httpx response object to understand server configurations. Goal: Inspecting Response Metadata (.headers, .url, .encoding)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Python - HTTPX | 📊 Level: Beginner
**Topic:** Inspect HTTP response metadata by accessing the .headers, .url, and .encoding attributes of an httpx response object to understand server configurations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3" s="53">
        <v>0</v>
      </c>
      <c r="Z13" s="56" t="str">
        <f t="shared" si="12"/>
        <v/>
      </c>
      <c r="AA13" s="56" t="str">
        <f t="shared" si="13"/>
        <v/>
      </c>
      <c r="AB13" s="56" t="str">
        <f t="shared" si="14"/>
        <v/>
      </c>
      <c r="AC13" s="56" t="str">
        <f t="shared" si="15"/>
        <v/>
      </c>
      <c r="AD13" s="56" t="str">
        <f t="shared" si="16"/>
        <v/>
      </c>
      <c r="AE13" s="40" t="s">
        <v>72</v>
      </c>
      <c r="AF13" s="40" t="s">
        <v>73</v>
      </c>
      <c r="AG13" s="40" t="s">
        <v>74</v>
      </c>
      <c r="AH13" s="56" t="str">
        <f t="shared" si="0"/>
        <v/>
      </c>
      <c r="AI13" s="54"/>
      <c r="AJ13" s="54"/>
      <c r="AK13" s="54">
        <v>5</v>
      </c>
      <c r="AL13" s="54" t="s">
        <v>75</v>
      </c>
      <c r="AM13" s="54" t="s">
        <v>76</v>
      </c>
    </row>
    <row r="14" spans="1:39">
      <c r="A14" s="45" t="str" cm="1">
        <f t="array" ref="A14">IF(H14="PROJECT", CHAR(10) &amp; "- " &amp; _xlfn.TEXTJOIN(CHAR(10) &amp; "- ", TRUE, _xlfn._xlws.FILTER($I$9:$I$1000, ($B$9:$B$1000=B14) * ($H$9:$H$1000="Topic"))), "")</f>
        <v xml:space="preserve">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v>
      </c>
      <c r="B14" s="45">
        <f t="shared" si="1"/>
        <v>1</v>
      </c>
      <c r="C14" s="95" t="s">
        <v>861</v>
      </c>
      <c r="D14" s="57">
        <v>0</v>
      </c>
      <c r="E14" s="58" t="s">
        <v>723</v>
      </c>
      <c r="F14" s="59">
        <v>6</v>
      </c>
      <c r="G14" s="60" t="s">
        <v>47</v>
      </c>
      <c r="H14" s="60" t="s">
        <v>77</v>
      </c>
      <c r="I14" s="61" t="s">
        <v>795</v>
      </c>
      <c r="J14" s="62" t="s">
        <v>796</v>
      </c>
      <c r="K14" s="129" t="str">
        <f t="shared" si="2"/>
        <v>[TASK] Teach through a practical Python - HTTPX project following the micro-learning methodology, acting as a supportive tutor, creating a project about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 | Stage 1 | Python - HTTPX | 📊 Level: Beginner | 🌐 Coding5s.com
**Project:** Project 1: Simple API Data Fetcher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4"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simple API data fetcher using httpx that takes a public REST endpoint as input, processes basic GET requests to retrieve JSON data, and outputs formatted textual information to the user. Topics applied in this project: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Project objective: Project 1: Simple API Data Fetcher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 | Practice | Python - HTTPX | 📊 Level: Beginner
**Project:** Build a simple API data fetcher using httpx that takes a public REST endpoint as input, processes basic GET requests to retrieve JSON data, and outputs formatted textual information to the user
---
 | [FOOTER RULE - STRICT] End your response with: '--- ⚡ *Coding5s Mentor System — Eliminating Epistemic Debt*' | </v>
      </c>
      <c r="M14" s="52">
        <v>0</v>
      </c>
      <c r="N14" s="102" t="str">
        <f t="shared" si="4"/>
        <v>[ROLE] Careless Python Developer | [TASK] Generate debugging project in Python | [PROJECT]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[OUTPUT] Only header, dataset summary or statement (if any), email intro, objective, expected output, broken code, and footer | [HEADER RULE - STRICT] You MUST start your entire response EXACTLY with this markdown block (do not print anything before it):
### 🚀 Project #6 | Stage 2 | Python - HTTPX | 📊 Level: Beginner | 🌐 Coding5s.com
Project: Project 1: Simple API Data Fetcher
---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Mam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simple API data fetcher using httpx that takes a public REST endpoint as input, processes basic GET requests to retrieve JSON data, and outputs formatted textual information to the user. Topics involved: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Project objective: Project 1: Simple API Data Fetcher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 | Debug | Python - HTTPX | 📊 Level: Beginner
**Project:** Build a simple API data fetcher using httpx that takes a public REST endpoint as input, processes basic GET requests to retrieve JSON data, and outputs formatted textual information to the user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4" s="52">
        <v>0</v>
      </c>
      <c r="Q14" s="102" t="str">
        <f t="shared" si="6"/>
        <v>[ROLE] Tech Lead | [TASK] Assign incomplete project script | [PROJECT]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 | Stage 3 | Python - HTTPX | 📊 Level: Beginner | 🌐 Coding5s.com
**Project:** Project 1: Simple API Data Fetcher
---
 | [EXTERNAL_PACKAGE_PROTOCOL] Require standard pip tooling and requirements.txt for dependencies. | [CHALLENGE_CONSTRAINTS_POLICY] MUST be between 25–40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simple API data fetcher using httpx that takes a public REST endpoint as input, processes basic GET requests to retrieve JSON data, and outputs formatted textual information to the user. Topics involved: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Project objective: Project 1: Simple API Data Fetcher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 | Complete | Python - HTTPX | 📊 Level: Beginner
**Project:** Build a simple API data fetcher using httpx that takes a public REST endpoint as input, processes basic GET requests to retrieve JSON data, and outputs formatted textual information to the user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4" s="53">
        <v>0</v>
      </c>
      <c r="T14" s="102" t="str">
        <f t="shared" si="8"/>
        <v>[ROLE] Tech Lead | [TASK] Provide a messy but functional project for refactoring | [PROJECT]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[PERSONA RULE] Act as a Tech Lead. A junior wrote this working but messy code. Tone: professional but exhausted | [HEADER RULE - STRICT] You MUST start your entire response EXACTLY with this markdown block (do not print anything before it):
### 🚀 Project #6 | Stage 4 | Python - HTTPX | 📊 Level: Beginner | 🌐 Coding5s.com
**Project:** Project 1: Simple API Data Fetcher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simple API data fetcher using httpx that takes a public REST endpoint as input, processes basic GET requests to retrieve JSON data, and outputs formatted textual information to the user. Topics involved: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Project objective: Project 1: Simple API Data Fetcher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 | Refactor | Python - HTTPX | 📊 Level: Beginner
**Project:** Build a simple API data fetcher using httpx that takes a public REST endpoint as input, processes basic GET requests to retrieve JSON data, and outputs formatted textual information to the user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4" s="52">
        <v>0</v>
      </c>
      <c r="W14" s="87" t="str">
        <f t="shared" si="10"/>
        <v>[ROLE] Tech Product Manager assigning a Python Jira Ticket | [TASK] Provide a guided project implementation with full solution | [PROJECT]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[PERSONA RULE] Act as a professional Tech Product Manager defining a project ticket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#6 | Stage 5 | Python - HTTPX | 📊 Level: Beginner | 🌐 Coding5s.com
**Project:** Project 1: Simple API Data Fetcher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simple API data fetcher using httpx that takes a public REST endpoint as input, processes basic GET requests to retrieve JSON data, and outputs formatted textual information to the user. Topics integrated: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Business Goal: Project 1: Simple API Data Fetcher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 | Extend | Python - HTTPX | 📊 Level: Beginner
**Project:** Build a simple API data fetcher using httpx that takes a public REST endpoint as input, processes basic GET requests to retrieve JSON data, and outputs formatted textual information to the user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4" s="52">
        <v>0</v>
      </c>
      <c r="Z14" s="56" t="str">
        <f t="shared" si="12"/>
        <v>[TASK] Teach through a practical Python - HTTPX project following the micro-learning methodology, acting as a supportive tutor, creating a project about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 | Stage 1 | Python - HTTPX | 📊 Level: Beginner | 🌐 Coding5s.com
**Project:** Project 1: Simple API Data Fetcher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4" s="56" t="str">
        <f t="shared" si="13"/>
        <v>[ROLE] Careless Python Developer | [TASK] Generate debugging project in Python | [PROJECT]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[OUTPUT] Only header, dataset summary or statement (if any), email intro, objective, expected output, broken code, and footer | [HEADER RULE - STRICT] You MUST start your entire response EXACTLY with this markdown block (do not print anything before it):
### 🚀 Project #6 | Stage 2 | Python - HTTPX | 📊 Level: Beginner | 🌐 Coding5s.com
Project: Project 1: Simple API Data Fetcher
---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Mam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4" s="56" t="str">
        <f t="shared" si="14"/>
        <v>[ROLE] Tech Lead | [TASK] Assign incomplete project script | [PROJECT]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 | Stage 3 | Python - HTTPX | 📊 Level: Beginner | 🌐 Coding5s.com
**Project:** Project 1: Simple API Data Fetcher
---
 | [EXTERNAL_PACKAGE_PROTOCOL] Require standard pip tooling and requirements.txt for dependencies. | [CHALLENGE_CONSTRAINTS_POLICY] MUST be between 25–40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4" s="56" t="str">
        <f t="shared" si="15"/>
        <v>[ROLE] Tech Lead | [TASK] Provide a messy but functional project for refactoring | [PROJECT]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[PERSONA RULE] Act as a Tech Lead. A junior wrote this working but messy code. Tone: professional but exhausted | [HEADER RULE - STRICT] You MUST start your entire response EXACTLY with this markdown block (do not print anything before it):
### 🚀 Project #6 | Stage 4 | Python - HTTPX | 📊 Level: Beginner | 🌐 Coding5s.com
**Project:** Project 1: Simple API Data Fetcher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4" s="56" t="str">
        <f t="shared" si="16"/>
        <v>[ROLE] Tech Product Manager assigning a Python Jira Ticket | [TASK] Provide a guided project implementation with full solution | [PROJECT]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[PERSONA RULE] Act as a professional Tech Product Manager defining a project ticket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#6 | Stage 5 | Python - HTTPX | 📊 Level: Beginner | 🌐 Coding5s.com
**Project:** Project 1: Simple API Data Fetcher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4" s="40" t="s">
        <v>78</v>
      </c>
      <c r="AF14" s="40" t="s">
        <v>79</v>
      </c>
      <c r="AG14" s="40" t="s">
        <v>80</v>
      </c>
      <c r="AH14" s="56" t="str">
        <f t="shared" si="0"/>
        <v/>
      </c>
      <c r="AI14" s="54"/>
      <c r="AJ14" s="54"/>
      <c r="AK14" s="54">
        <v>6</v>
      </c>
      <c r="AL14" s="54" t="s">
        <v>81</v>
      </c>
      <c r="AM14" s="54" t="s">
        <v>82</v>
      </c>
    </row>
    <row r="15" spans="1:39">
      <c r="A15" s="45" t="str" cm="1">
        <f t="array" ref="A15">IF(H15="PROJECT", CHAR(10) &amp; "- " &amp; _xlfn.TEXTJOIN(CHAR(10) &amp; "- ", TRUE, _xlfn._xlws.FILTER($I$9:$I$1000, ($B$9:$B$1000=B15) * ($H$9:$H$1000="Topic"))), "")</f>
        <v/>
      </c>
      <c r="B15" s="45">
        <f t="shared" si="1"/>
        <v>2</v>
      </c>
      <c r="C15" s="95">
        <v>8</v>
      </c>
      <c r="D15" s="46">
        <v>3</v>
      </c>
      <c r="E15" s="58" t="s">
        <v>46</v>
      </c>
      <c r="F15" s="48">
        <v>7</v>
      </c>
      <c r="G15" s="49" t="s">
        <v>47</v>
      </c>
      <c r="H15" s="49" t="s">
        <v>48</v>
      </c>
      <c r="I15" s="50" t="s">
        <v>797</v>
      </c>
      <c r="J15" s="51" t="s">
        <v>798</v>
      </c>
      <c r="K15" s="129" t="str">
        <f t="shared" si="2"/>
        <v xml:space="preserve">[ROLE] Friendly tutor specializing in Python | [TOPIC] Load environment variables securely for httpx scripts by implementing python-dotenv functions like load_dotenv and os.getenv to protect sensitive API credentials | [LEVEL] Beginner | [COUNT] 3 examples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Python - HTTPX | 📊 Level: Beginner | 🌐 Coding5s.com
**Concept:** Introduction to python-dotenv (load_dotenv, os.getenv)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5"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Load environment variables securely for httpx scripts by implementing python-dotenv functions like load_dotenv and os.getenv to protect sensitive API credentials. Topic details: Introduction to python-dotenv (load_dotenv, os.getenv)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Python - HTTPX | 📊 Level: Beginner
**Topic:** Load environment variables securely for httpx scripts by implementing python-dotenv functions like load_dotenv and os.getenv to protect sensitive API credentials
---
 | [FOOTER RULE - STRICT] End your response with: '--- ⚡ *Coding5s Mentor System — Eliminating Epistemic Debt*' | </v>
      </c>
      <c r="M15" s="52">
        <v>0</v>
      </c>
      <c r="N15" s="102" t="str">
        <f t="shared" si="4"/>
        <v>[ROLE] Careless Python Developer | [TASK] Generate debugging challenges in Python | | [TOPIC] Load environment variables securely for httpx scripts by implementing python-dotenv functions like load_dotenv and os.getenv to protect sensitive API credentials | | [LEVEL] Beginner |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 | Stage 2 🐛 Debug | Python - HTTPX | 📊 Level: Beginner | 🌐 Coding5s.com
Concept: Introduction to python-dotenv (load_dotenv, os.getenv)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5"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Load environment variables securely for httpx scripts by implementing python-dotenv functions like load_dotenv and os.getenv to protect sensitive API credentials. Topic details: Introduction to python-dotenv (load_dotenv, os.getenv)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Python - HTTPX | 📊 Level: Beginner
**Topic:** Load environment variables securely for httpx scripts by implementing python-dotenv functions like load_dotenv and os.getenv to protect sensitive API credentials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5" s="53">
        <v>0</v>
      </c>
      <c r="Q15" s="102" t="str">
        <f t="shared" si="6"/>
        <v>[ROLE] Tech Lead | [TASK] Assign incomplete Python script challenges | [TOPIC] Load environment variables securely for httpx scripts by implementing python-dotenv functions like load_dotenv and os.getenv to protect sensitive API credentials | [LEVEL] Beginner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 | Stage 3 🧩 Complete | Python - HTTPX | 📊 Level: Beginner | 🌐 Coding5s.com
**Concept:** Introduction to python-dotenv (load_dotenv, os.getenv)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Load environment variables securely for httpx scripts by implementing python-dotenv functions like load_dotenv and os.getenv to protect sensitive API credentials.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5"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Load environment variables securely for httpx scripts by implementing python-dotenv functions like load_dotenv and os.getenv to protect sensitive API credentials. Topic details: Introduction to python-dotenv (load_dotenv, os.getenv)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Python - HTTPX | 📊 Level: Beginner
**Topic:** Load environment variables securely for httpx scripts by implementing python-dotenv functions like load_dotenv and os.getenv to protect sensitive API credentials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5" s="53">
        <v>0</v>
      </c>
      <c r="T15" s="102" t="str">
        <f t="shared" si="8"/>
        <v>[ROLE] Tech Lead | [TASK] Provide intentionally messy but functional code for learning debugging and improvement | [TOPIC] Load environment variables securely for httpx scripts by implementing python-dotenv functions like load_dotenv and os.getenv to protect sensitive API credentials | [LEVEL] Beginner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Python - HTTPX | 📊 Level: Beginner | 🌐 Coding5s.com
**Concept:** Introduction to python-dotenv (load_dotenv, os.getenv)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Load environment variables securely for httpx scripts by implementing python-dotenv functions like load_dotenv and os.getenv to protect sensitive API credentials. Topic details: Introduction to python-dotenv (load_dotenv, os.getenv)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Python - HTTPX | 📊 Level: Beginner
**Topic:** Load environment variables securely for httpx scripts by implementing python-dotenv functions like load_dotenv and os.getenv to protect sensitive API credentials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5" s="53">
        <v>0</v>
      </c>
      <c r="W15" s="87" t="str">
        <f t="shared" si="10"/>
        <v>[ROLE] Tech Product Manager assigning a Python Jira Ticket | [TASK] Provide a guided implementation exercise with full solution for learning purposes | [TOPIC] Load environment variables securely for httpx scripts by implementing python-dotenv functions like load_dotenv and os.getenv to protect sensitive API credentials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Python - HTTPX | 📊 Level: Beginner | 🌐 Coding5s.com
**Concept:** Introduction to python-dotenv (load_dotenv, os.getenv)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Load environment variables securely for httpx scripts by implementing python-dotenv functions like load_dotenv and os.getenv to protect sensitive API credentials. Goal: Introduction to python-dotenv (load_dotenv, os.getenv)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Python - HTTPX | 📊 Level: Beginner
**Topic:** Load environment variables securely for httpx scripts by implementing python-dotenv functions like load_dotenv and os.getenv to protect sensitive API credentials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5" s="53">
        <v>0</v>
      </c>
      <c r="Z15" s="56" t="str">
        <f t="shared" si="12"/>
        <v/>
      </c>
      <c r="AA15" s="56" t="str">
        <f t="shared" si="13"/>
        <v/>
      </c>
      <c r="AB15" s="56" t="str">
        <f t="shared" si="14"/>
        <v/>
      </c>
      <c r="AC15" s="56" t="str">
        <f t="shared" si="15"/>
        <v/>
      </c>
      <c r="AD15" s="56" t="str">
        <f t="shared" si="16"/>
        <v/>
      </c>
      <c r="AE15" s="40" t="s">
        <v>83</v>
      </c>
      <c r="AF15" s="40" t="s">
        <v>84</v>
      </c>
      <c r="AG15" s="40" t="s">
        <v>85</v>
      </c>
      <c r="AH15" s="56" t="str">
        <f t="shared" si="0"/>
        <v/>
      </c>
      <c r="AI15" s="54"/>
      <c r="AJ15" s="54"/>
      <c r="AK15" s="54">
        <v>7</v>
      </c>
      <c r="AL15" s="54" t="s">
        <v>86</v>
      </c>
      <c r="AM15" s="54" t="s">
        <v>87</v>
      </c>
    </row>
    <row r="16" spans="1:39">
      <c r="A16" s="45" t="str" cm="1">
        <f t="array" ref="A16">IF(H16="PROJECT", CHAR(10) &amp; "- " &amp; _xlfn.TEXTJOIN(CHAR(10) &amp; "- ", TRUE, _xlfn._xlws.FILTER($I$9:$I$1000, ($B$9:$B$1000=B16) * ($H$9:$H$1000="Topic"))), "")</f>
        <v/>
      </c>
      <c r="B16" s="45">
        <f t="shared" si="1"/>
        <v>2</v>
      </c>
      <c r="C16" s="95">
        <v>8</v>
      </c>
      <c r="D16" s="57">
        <v>4</v>
      </c>
      <c r="E16" s="58" t="s">
        <v>46</v>
      </c>
      <c r="F16" s="59">
        <v>8</v>
      </c>
      <c r="G16" s="60" t="s">
        <v>47</v>
      </c>
      <c r="H16" s="60" t="s">
        <v>48</v>
      </c>
      <c r="I16" s="61" t="s">
        <v>799</v>
      </c>
      <c r="J16" s="62" t="s">
        <v>800</v>
      </c>
      <c r="K16" s="129" t="str">
        <f t="shared" si="2"/>
        <v xml:space="preserve">[ROLE] Friendly tutor specializing in Python | [TOPIC] Customize HTTP request headers in httpx by passing a dictionary to the headers parameter to specify accepted content types or simulate specific browser user agents | [LEVEL] Beginner | [COUNT] 4 examples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 | Stage 1 📖 Practice | Python - HTTPX | 📊 Level: Beginner | 🌐 Coding5s.com
**Concept:** Customizing Request Headers (headers dictionary)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6"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Customize HTTP request headers in httpx by passing a dictionary to the headers parameter to specify accepted content types or simulate specific browser user agents. Topic details: Customizing Request Headers (headers dictionary)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 | Practice | Python - HTTPX | 📊 Level: Beginner
**Topic:** Customize HTTP request headers in httpx by passing a dictionary to the headers parameter to specify accepted content types or simulate specific browser user agents
---
 | [FOOTER RULE - STRICT] End your response with: '--- ⚡ *Coding5s Mentor System — Eliminating Epistemic Debt*' | </v>
      </c>
      <c r="M16" s="52">
        <v>0</v>
      </c>
      <c r="N16" s="102" t="str">
        <f t="shared" si="4"/>
        <v>[ROLE] Careless Python Developer | [TASK] Generate debugging challenges in Python | | [TOPIC] Customize HTTP request headers in httpx by passing a dictionary to the headers parameter to specify accepted content types or simulate specific browser user agents | | [LEVEL] Beginner |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 | Stage 2 🐛 Debug | Python - HTTPX | 📊 Level: Beginner | 🌐 Coding5s.com
Concept: Customizing Request Headers (headers dictionary)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6"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Customize HTTP request headers in httpx by passing a dictionary to the headers parameter to specify accepted content types or simulate specific browser user agents. Topic details: Customizing Request Headers (headers dictionary)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 | Debug | Python - HTTPX | 📊 Level: Beginner
**Topic:** Customize HTTP request headers in httpx by passing a dictionary to the headers parameter to specify accepted content types or simulate specific browser user agents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6" s="52">
        <v>0</v>
      </c>
      <c r="Q16" s="102" t="str">
        <f t="shared" si="6"/>
        <v>[ROLE] Tech Lead | [TASK] Assign incomplete Python script challenges | [TOPIC] Customize HTTP request headers in httpx by passing a dictionary to the headers parameter to specify accepted content types or simulate specific browser user agents | [LEVEL] Beginner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 | Stage 3 🧩 Complete | Python - HTTPX | 📊 Level: Beginner | 🌐 Coding5s.com
**Concept:** Customizing Request Headers (headers dictionary)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Customize HTTP request headers in httpx by passing a dictionary to the headers parameter to specify accepted content types or simulate specific browser user agents.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6"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Customize HTTP request headers in httpx by passing a dictionary to the headers parameter to specify accepted content types or simulate specific browser user agents. Topic details: Customizing Request Headers (headers dictionary)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 | Complete | Python - HTTPX | 📊 Level: Beginner
**Topic:** Customize HTTP request headers in httpx by passing a dictionary to the headers parameter to specify accepted content types or simulate specific browser user agents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6" s="52">
        <v>0</v>
      </c>
      <c r="T16" s="102" t="str">
        <f t="shared" si="8"/>
        <v>[ROLE] Tech Lead | [TASK] Provide intentionally messy but functional code for learning debugging and improvement | [TOPIC] Customize HTTP request headers in httpx by passing a dictionary to the headers parameter to specify accepted content types or simulate specific browser user agents | [LEVEL] Beginner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 | Stage 4 🧹 Refactor | Python - HTTPX | 📊 Level: Beginner | 🌐 Coding5s.com
**Concept:** Customizing Request Headers (headers dictionary)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Customize HTTP request headers in httpx by passing a dictionary to the headers parameter to specify accepted content types or simulate specific browser user agents. Topic details: Customizing Request Headers (headers dictionary)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 | Refactor | Python - HTTPX | 📊 Level: Beginner
**Topic:** Customize HTTP request headers in httpx by passing a dictionary to the headers parameter to specify accepted content types or simulate specific browser user agents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6" s="52">
        <v>0</v>
      </c>
      <c r="W16" s="87" t="str">
        <f t="shared" si="10"/>
        <v>[ROLE] Tech Product Manager assigning a Python Jira Ticket | [TASK] Provide a guided implementation exercise with full solution for learning purposes | [TOPIC] Customize HTTP request headers in httpx by passing a dictionary to the headers parameter to specify accepted content types or simulate specific browser user agents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 | Stage 5 | Python - HTTPX | 📊 Level: Beginner | 🌐 Coding5s.com
**Concept:** Customizing Request Headers (headers dictionary)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Customize HTTP request headers in httpx by passing a dictionary to the headers parameter to specify accepted content types or simulate specific browser user agents. Goal: Customizing Request Headers (headers dictionary)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 | Extend | Python - HTTPX | 📊 Level: Beginner
**Topic:** Customize HTTP request headers in httpx by passing a dictionary to the headers parameter to specify accepted content types or simulate specific browser user agents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6" s="52">
        <v>0</v>
      </c>
      <c r="Z16" s="56" t="str">
        <f t="shared" si="12"/>
        <v/>
      </c>
      <c r="AA16" s="56" t="str">
        <f t="shared" si="13"/>
        <v/>
      </c>
      <c r="AB16" s="56" t="str">
        <f t="shared" si="14"/>
        <v/>
      </c>
      <c r="AC16" s="56" t="str">
        <f t="shared" si="15"/>
        <v/>
      </c>
      <c r="AD16" s="56" t="str">
        <f t="shared" si="16"/>
        <v/>
      </c>
      <c r="AE16" s="40" t="s">
        <v>88</v>
      </c>
      <c r="AF16" s="40" t="s">
        <v>89</v>
      </c>
      <c r="AG16" s="40" t="s">
        <v>90</v>
      </c>
      <c r="AH16" s="56" t="str">
        <f t="shared" si="0"/>
        <v/>
      </c>
      <c r="AI16" s="54"/>
      <c r="AJ16" s="54"/>
      <c r="AK16" s="54">
        <v>8</v>
      </c>
      <c r="AL16" s="54" t="s">
        <v>91</v>
      </c>
      <c r="AM16" s="54" t="s">
        <v>92</v>
      </c>
    </row>
    <row r="17" spans="1:39">
      <c r="A17" s="45" t="str" cm="1">
        <f t="array" ref="A17">IF(H17="PROJECT", CHAR(10) &amp; "- " &amp; _xlfn.TEXTJOIN(CHAR(10) &amp; "- ", TRUE, _xlfn._xlws.FILTER($I$9:$I$1000, ($B$9:$B$1000=B17) * ($H$9:$H$1000="Topic"))), "")</f>
        <v/>
      </c>
      <c r="B17" s="45">
        <f t="shared" si="1"/>
        <v>2</v>
      </c>
      <c r="C17" s="95">
        <v>8</v>
      </c>
      <c r="D17" s="46">
        <v>3</v>
      </c>
      <c r="E17" s="58" t="s">
        <v>46</v>
      </c>
      <c r="F17" s="48">
        <v>9</v>
      </c>
      <c r="G17" s="49" t="s">
        <v>47</v>
      </c>
      <c r="H17" s="49" t="s">
        <v>48</v>
      </c>
      <c r="I17" s="50" t="s">
        <v>801</v>
      </c>
      <c r="J17" s="51" t="s">
        <v>802</v>
      </c>
      <c r="K17" s="129" t="str">
        <f t="shared" si="2"/>
        <v xml:space="preserve">[ROLE] Friendly tutor specializing in Python | [TOPIC] Implement Basic Authentication in httpx requests by supplying a secure username and password tuple to the auth parameter to access protected endpoints | [LEVEL] Beginner | [COUNT] 3 examples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Python - HTTPX | 📊 Level: Beginner | 🌐 Coding5s.com
**Concept:** Implementing Basic Authentication (auth tuple)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7"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Basic Authentication in httpx requests by supplying a secure username and password tuple to the auth parameter to access protected endpoints. Topic details: Implementing Basic Authentication (auth tuple)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Python - HTTPX | 📊 Level: Beginner
**Topic:** Implement Basic Authentication in httpx requests by supplying a secure username and password tuple to the auth parameter to access protected endpoints
---
 | [FOOTER RULE - STRICT] End your response with: '--- ⚡ *Coding5s Mentor System — Eliminating Epistemic Debt*' | </v>
      </c>
      <c r="M17" s="53">
        <v>0</v>
      </c>
      <c r="N17" s="102" t="str">
        <f t="shared" si="4"/>
        <v>[ROLE] Careless Python Developer | [TASK] Generate debugging challenges in Python | | [TOPIC] Implement Basic Authentication in httpx requests by supplying a secure username and password tuple to the auth parameter to access protected endpoints | | [LEVEL] Beginner |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 | Stage 2 🐛 Debug | Python - HTTPX | 📊 Level: Beginner | 🌐 Coding5s.com
Concept: Implementing Basic Authentication (auth tuple)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7"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Basic Authentication in httpx requests by supplying a secure username and password tuple to the auth parameter to access protected endpoints. Topic details: Implementing Basic Authentication (auth tuple)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Python - HTTPX | 📊 Level: Beginner
**Topic:** Implement Basic Authentication in httpx requests by supplying a secure username and password tuple to the auth parameter to access protected endpoints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7" s="53">
        <v>0</v>
      </c>
      <c r="Q17" s="102" t="str">
        <f t="shared" si="6"/>
        <v>[ROLE] Tech Lead | [TASK] Assign incomplete Python script challenges | [TOPIC] Implement Basic Authentication in httpx requests by supplying a secure username and password tuple to the auth parameter to access protected endpoints | [LEVEL] Beginner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 | Stage 3 🧩 Complete | Python - HTTPX | 📊 Level: Beginner | 🌐 Coding5s.com
**Concept:** Implementing Basic Authentication (auth tuple)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Basic Authentication in httpx requests by supplying a secure username and password tuple to the auth parameter to access protected endpoints.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7"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Basic Authentication in httpx requests by supplying a secure username and password tuple to the auth parameter to access protected endpoints. Topic details: Implementing Basic Authentication (auth tuple)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Python - HTTPX | 📊 Level: Beginner
**Topic:** Implement Basic Authentication in httpx requests by supplying a secure username and password tuple to the auth parameter to access protected endpoints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7" s="53">
        <v>0</v>
      </c>
      <c r="T17" s="102" t="str">
        <f t="shared" si="8"/>
        <v>[ROLE] Tech Lead | [TASK] Provide intentionally messy but functional code for learning debugging and improvement | [TOPIC] Implement Basic Authentication in httpx requests by supplying a secure username and password tuple to the auth parameter to access protected endpoints | [LEVEL] Beginner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Python - HTTPX | 📊 Level: Beginner | 🌐 Coding5s.com
**Concept:** Implementing Basic Authentication (auth tuple)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Basic Authentication in httpx requests by supplying a secure username and password tuple to the auth parameter to access protected endpoints. Topic details: Implementing Basic Authentication (auth tuple)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Python - HTTPX | 📊 Level: Beginner
**Topic:** Implement Basic Authentication in httpx requests by supplying a secure username and password tuple to the auth parameter to access protected endpoints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7" s="53">
        <v>0</v>
      </c>
      <c r="W17" s="87" t="str">
        <f t="shared" si="10"/>
        <v>[ROLE] Tech Product Manager assigning a Python Jira Ticket | [TASK] Provide a guided implementation exercise with full solution for learning purposes | [TOPIC] Implement Basic Authentication in httpx requests by supplying a secure username and password tuple to the auth parameter to access protected endpoints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Python - HTTPX | 📊 Level: Beginner | 🌐 Coding5s.com
**Concept:** Implementing Basic Authentication (auth tuple)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Basic Authentication in httpx requests by supplying a secure username and password tuple to the auth parameter to access protected endpoints. Goal: Implementing Basic Authentication (auth tuple)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Python - HTTPX | 📊 Level: Beginner
**Topic:** Implement Basic Authentication in httpx requests by supplying a secure username and password tuple to the auth parameter to access protected endpoints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7" s="53">
        <v>0</v>
      </c>
      <c r="Z17" s="56" t="str">
        <f t="shared" si="12"/>
        <v/>
      </c>
      <c r="AA17" s="56" t="str">
        <f t="shared" si="13"/>
        <v/>
      </c>
      <c r="AB17" s="56" t="str">
        <f t="shared" si="14"/>
        <v/>
      </c>
      <c r="AC17" s="56" t="str">
        <f t="shared" si="15"/>
        <v/>
      </c>
      <c r="AD17" s="56" t="str">
        <f t="shared" si="16"/>
        <v/>
      </c>
      <c r="AE17" s="40" t="s">
        <v>93</v>
      </c>
      <c r="AF17" s="40" t="s">
        <v>94</v>
      </c>
      <c r="AG17" s="40" t="s">
        <v>95</v>
      </c>
      <c r="AH17" s="56" t="str">
        <f t="shared" si="0"/>
        <v/>
      </c>
      <c r="AI17" s="54"/>
      <c r="AJ17" s="54"/>
      <c r="AK17" s="54">
        <v>9</v>
      </c>
      <c r="AL17" s="54" t="s">
        <v>96</v>
      </c>
      <c r="AM17" s="54" t="s">
        <v>97</v>
      </c>
    </row>
    <row r="18" spans="1:39">
      <c r="A18" s="45" t="str" cm="1">
        <f t="array" ref="A18">IF(H18="PROJECT", CHAR(10) &amp; "- " &amp; _xlfn.TEXTJOIN(CHAR(10) &amp; "- ", TRUE, _xlfn._xlws.FILTER($I$9:$I$1000, ($B$9:$B$1000=B18) * ($H$9:$H$1000="Topic"))), "")</f>
        <v/>
      </c>
      <c r="B18" s="45">
        <f t="shared" si="1"/>
        <v>2</v>
      </c>
      <c r="C18" s="95">
        <v>8</v>
      </c>
      <c r="D18" s="57">
        <v>4</v>
      </c>
      <c r="E18" s="58" t="s">
        <v>46</v>
      </c>
      <c r="F18" s="59">
        <v>10</v>
      </c>
      <c r="G18" s="60" t="s">
        <v>47</v>
      </c>
      <c r="H18" s="60" t="s">
        <v>48</v>
      </c>
      <c r="I18" s="61" t="s">
        <v>803</v>
      </c>
      <c r="J18" s="62" t="s">
        <v>804</v>
      </c>
      <c r="K18" s="129" t="str">
        <f t="shared" si="2"/>
        <v xml:space="preserve">[ROLE] Friendly tutor specializing in Python | [TOPIC] Authenticate API requests using Bearer Tokens by manually injecting the authorization string into the custom headers dictionary within an httpx request payload | [LEVEL] Beginner | [COUNT] 4 examples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Python - HTTPX | 📊 Level: Beginner | 🌐 Coding5s.com
**Concept:** Implementing Bearer Token Authentication (via custom headers)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8"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Authenticate API requests using Bearer Tokens by manually injecting the authorization string into the custom headers dictionary within an httpx request payload. Topic details: Implementing Bearer Token Authentication (via custom headers)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Python - HTTPX | 📊 Level: Beginner
**Topic:** Authenticate API requests using Bearer Tokens by manually injecting the authorization string into the custom headers dictionary within an httpx request payload
---
 | [FOOTER RULE - STRICT] End your response with: '--- ⚡ *Coding5s Mentor System — Eliminating Epistemic Debt*' | </v>
      </c>
      <c r="M18" s="52">
        <v>0</v>
      </c>
      <c r="N18" s="102" t="str">
        <f t="shared" si="4"/>
        <v>[ROLE] Careless Python Developer | [TASK] Generate debugging challenges in Python | | [TOPIC] Authenticate API requests using Bearer Tokens by manually injecting the authorization string into the custom headers dictionary within an httpx request payload | | [LEVEL] Beginner |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 | Stage 2 🐛 Debug | Python - HTTPX | 📊 Level: Beginner | 🌐 Coding5s.com
Concept: Implementing Bearer Token Authentication (via custom headers)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8"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Authenticate API requests using Bearer Tokens by manually injecting the authorization string into the custom headers dictionary within an httpx request payload. Topic details: Implementing Bearer Token Authentication (via custom headers)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Python - HTTPX | 📊 Level: Beginner
**Topic:** Authenticate API requests using Bearer Tokens by manually injecting the authorization string into the custom headers dictionary within an httpx request payload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8" s="52">
        <v>0</v>
      </c>
      <c r="Q18" s="102" t="str">
        <f t="shared" si="6"/>
        <v>[ROLE] Tech Lead | [TASK] Assign incomplete Python script challenges | [TOPIC] Authenticate API requests using Bearer Tokens by manually injecting the authorization string into the custom headers dictionary within an httpx request payload | [LEVEL] Beginner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 | Stage 3 🧩 Complete | Python - HTTPX | 📊 Level: Beginner | 🌐 Coding5s.com
**Concept:** Implementing Bearer Token Authentication (via custom headers)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Authenticate API requests using Bearer Tokens by manually injecting the authorization string into the custom headers dictionary within an httpx request payload.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8"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Authenticate API requests using Bearer Tokens by manually injecting the authorization string into the custom headers dictionary within an httpx request payload. Topic details: Implementing Bearer Token Authentication (via custom headers)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Python - HTTPX | 📊 Level: Beginner
**Topic:** Authenticate API requests using Bearer Tokens by manually injecting the authorization string into the custom headers dictionary within an httpx request payload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8" s="52">
        <v>0</v>
      </c>
      <c r="T18" s="102" t="str">
        <f t="shared" si="8"/>
        <v>[ROLE] Tech Lead | [TASK] Provide intentionally messy but functional code for learning debugging and improvement | [TOPIC] Authenticate API requests using Bearer Tokens by manually injecting the authorization string into the custom headers dictionary within an httpx request payload | [LEVEL] Beginner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Python - HTTPX | 📊 Level: Beginner | 🌐 Coding5s.com
**Concept:** Implementing Bearer Token Authentication (via custom headers)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Authenticate API requests using Bearer Tokens by manually injecting the authorization string into the custom headers dictionary within an httpx request payload. Topic details: Implementing Bearer Token Authentication (via custom headers)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Python - HTTPX | 📊 Level: Beginner
**Topic:** Authenticate API requests using Bearer Tokens by manually injecting the authorization string into the custom headers dictionary within an httpx request payload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8" s="52">
        <v>0</v>
      </c>
      <c r="W18" s="87" t="str">
        <f t="shared" si="10"/>
        <v>[ROLE] Tech Product Manager assigning a Python Jira Ticket | [TASK] Provide a guided implementation exercise with full solution for learning purposes | [TOPIC] Authenticate API requests using Bearer Tokens by manually injecting the authorization string into the custom headers dictionary within an httpx request payload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Python - HTTPX | 📊 Level: Beginner | 🌐 Coding5s.com
**Concept:** Implementing Bearer Token Authentication (via custom headers)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Authenticate API requests using Bearer Tokens by manually injecting the authorization string into the custom headers dictionary within an httpx request payload. Goal: Implementing Bearer Token Authentication (via custom headers)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Python - HTTPX | 📊 Level: Beginner
**Topic:** Authenticate API requests using Bearer Tokens by manually injecting the authorization string into the custom headers dictionary within an httpx request payload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8" s="52">
        <v>0</v>
      </c>
      <c r="Z18" s="56" t="str">
        <f t="shared" si="12"/>
        <v/>
      </c>
      <c r="AA18" s="56" t="str">
        <f t="shared" si="13"/>
        <v/>
      </c>
      <c r="AB18" s="56" t="str">
        <f t="shared" si="14"/>
        <v/>
      </c>
      <c r="AC18" s="56" t="str">
        <f t="shared" si="15"/>
        <v/>
      </c>
      <c r="AD18" s="56" t="str">
        <f t="shared" si="16"/>
        <v/>
      </c>
      <c r="AE18" s="40" t="s">
        <v>98</v>
      </c>
      <c r="AF18" s="40" t="s">
        <v>99</v>
      </c>
      <c r="AG18" s="40" t="s">
        <v>100</v>
      </c>
      <c r="AH18" s="56" t="str">
        <f t="shared" si="0"/>
        <v/>
      </c>
      <c r="AI18" s="54"/>
      <c r="AJ18" s="54"/>
      <c r="AK18" s="54">
        <v>10</v>
      </c>
      <c r="AL18" s="54" t="s">
        <v>101</v>
      </c>
      <c r="AM18" s="54" t="s">
        <v>102</v>
      </c>
    </row>
    <row r="19" spans="1:39">
      <c r="A19" s="45" t="str" cm="1">
        <f t="array" ref="A19">IF(H19="PROJECT", CHAR(10) &amp; "- " &amp; _xlfn.TEXTJOIN(CHAR(10) &amp; "- ", TRUE, _xlfn._xlws.FILTER($I$9:$I$1000, ($B$9:$B$1000=B19) * ($H$9:$H$1000="Topic"))), "")</f>
        <v/>
      </c>
      <c r="B19" s="45">
        <f t="shared" si="1"/>
        <v>2</v>
      </c>
      <c r="C19" s="95">
        <v>8</v>
      </c>
      <c r="D19" s="46">
        <v>4</v>
      </c>
      <c r="E19" s="58" t="s">
        <v>46</v>
      </c>
      <c r="F19" s="48">
        <v>11</v>
      </c>
      <c r="G19" s="49" t="s">
        <v>47</v>
      </c>
      <c r="H19" s="49" t="s">
        <v>48</v>
      </c>
      <c r="I19" s="50" t="s">
        <v>805</v>
      </c>
      <c r="J19" s="51" t="s">
        <v>806</v>
      </c>
      <c r="K19" s="129" t="str">
        <f t="shared" si="2"/>
        <v xml:space="preserve">[ROLE] Friendly tutor specializing in Python | [TOPIC] Handle HTTP error codes automatically by invoking the raise_for_status() method on an httpx response object to trigger Python exceptions for failed or rejected requests | [LEVEL] Beginner | [COUNT] 4 examples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Python - HTTPX | 📊 Level: Beginner | 🌐 Coding5s.com
**Concept:** Handling HTTP Errors Automatically (raise_for_status())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9"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Handle HTTP error codes automatically by invoking the raise_for_status() method on an httpx response object to trigger Python exceptions for failed or rejected requests. Topic details: Handling HTTP Errors Automatically (raise_for_status())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Python - HTTPX | 📊 Level: Beginner
**Topic:** Handle HTTP error codes automatically by invoking the raise_for_status() method on an httpx response object to trigger Python exceptions for failed or rejected requests
---
 | [FOOTER RULE - STRICT] End your response with: '--- ⚡ *Coding5s Mentor System — Eliminating Epistemic Debt*' | </v>
      </c>
      <c r="M19" s="53">
        <v>0</v>
      </c>
      <c r="N19" s="102" t="str">
        <f t="shared" si="4"/>
        <v>[ROLE] Careless Python Developer | [TASK] Generate debugging challenges in Python | | [TOPIC] Handle HTTP error codes automatically by invoking the raise_for_status() method on an httpx response object to trigger Python exceptions for failed or rejected requests | | [LEVEL] Beginner |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#11 | Stage 2 🐛 Debug | Python - HTTPX | 📊 Level: Beginner | 🌐 Coding5s.com
Concept: Handling HTTP Errors Automatically (raise_for_status())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9"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Handle HTTP error codes automatically by invoking the raise_for_status() method on an httpx response object to trigger Python exceptions for failed or rejected requests. Topic details: Handling HTTP Errors Automatically (raise_for_status())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Python - HTTPX | 📊 Level: Beginner
**Topic:** Handle HTTP error codes automatically by invoking the raise_for_status() method on an httpx response object to trigger Python exceptions for failed or rejected requests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9" s="53">
        <v>0</v>
      </c>
      <c r="Q19" s="102" t="str">
        <f t="shared" si="6"/>
        <v>[ROLE] Tech Lead | [TASK] Assign incomplete Python script challenges | [TOPIC] Handle HTTP error codes automatically by invoking the raise_for_status() method on an httpx response object to trigger Python exceptions for failed or rejected requests | [LEVEL] Beginner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#11 | Stage 3 🧩 Complete | Python - HTTPX | 📊 Level: Beginner | 🌐 Coding5s.com
**Concept:** Handling HTTP Errors Automatically (raise_for_status())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Handle HTTP error codes automatically by invoking the raise_for_status() method on an httpx response object to trigger Python exceptions for failed or rejected requests.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9"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Handle HTTP error codes automatically by invoking the raise_for_status() method on an httpx response object to trigger Python exceptions for failed or rejected requests. Topic details: Handling HTTP Errors Automatically (raise_for_status())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Python - HTTPX | 📊 Level: Beginner
**Topic:** Handle HTTP error codes automatically by invoking the raise_for_status() method on an httpx response object to trigger Python exceptions for failed or rejected requests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9" s="53">
        <v>0</v>
      </c>
      <c r="T19" s="102" t="str">
        <f t="shared" si="8"/>
        <v>[ROLE] Tech Lead | [TASK] Provide intentionally messy but functional code for learning debugging and improvement | [TOPIC] Handle HTTP error codes automatically by invoking the raise_for_status() method on an httpx response object to trigger Python exceptions for failed or rejected requests | [LEVEL] Beginner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Python - HTTPX | 📊 Level: Beginner | 🌐 Coding5s.com
**Concept:** Handling HTTP Errors Automatically (raise_for_status())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Handle HTTP error codes automatically by invoking the raise_for_status() method on an httpx response object to trigger Python exceptions for failed or rejected requests. Topic details: Handling HTTP Errors Automatically (raise_for_status())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Python - HTTPX | 📊 Level: Beginner
**Topic:** Handle HTTP error codes automatically by invoking the raise_for_status() method on an httpx response object to trigger Python exceptions for failed or rejected requests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9" s="53">
        <v>0</v>
      </c>
      <c r="W19" s="87" t="str">
        <f t="shared" si="10"/>
        <v>[ROLE] Tech Product Manager assigning a Python Jira Ticket | [TASK] Provide a guided implementation exercise with full solution for learning purposes | [TOPIC] Handle HTTP error codes automatically by invoking the raise_for_status() method on an httpx response object to trigger Python exceptions for failed or rejected requests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Python - HTTPX | 📊 Level: Beginner | 🌐 Coding5s.com
**Concept:** Handling HTTP Errors Automatically (raise_for_status())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Handle HTTP error codes automatically by invoking the raise_for_status() method on an httpx response object to trigger Python exceptions for failed or rejected requests. Goal: Handling HTTP Errors Automatically (raise_for_status())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Python - HTTPX | 📊 Level: Beginner
**Topic:** Handle HTTP error codes automatically by invoking the raise_for_status() method on an httpx response object to trigger Python exceptions for failed or rejected requests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9" s="53">
        <v>0</v>
      </c>
      <c r="Z19" s="56" t="str">
        <f t="shared" si="12"/>
        <v/>
      </c>
      <c r="AA19" s="56" t="str">
        <f t="shared" si="13"/>
        <v/>
      </c>
      <c r="AB19" s="56" t="str">
        <f t="shared" si="14"/>
        <v/>
      </c>
      <c r="AC19" s="56" t="str">
        <f t="shared" si="15"/>
        <v/>
      </c>
      <c r="AD19" s="56" t="str">
        <f t="shared" si="16"/>
        <v/>
      </c>
      <c r="AE19" s="40" t="s">
        <v>103</v>
      </c>
      <c r="AF19" s="40" t="s">
        <v>104</v>
      </c>
      <c r="AG19" s="40" t="s">
        <v>105</v>
      </c>
      <c r="AH19" s="56" t="str">
        <f t="shared" si="0"/>
        <v/>
      </c>
      <c r="AI19" s="54"/>
      <c r="AJ19" s="54"/>
      <c r="AK19" s="54">
        <v>11</v>
      </c>
      <c r="AL19" s="54" t="s">
        <v>106</v>
      </c>
      <c r="AM19" s="54" t="s">
        <v>107</v>
      </c>
    </row>
    <row r="20" spans="1:39">
      <c r="A20" s="45" t="str" cm="1">
        <f t="array" ref="A20">IF(H20="PROJECT", CHAR(10) &amp; "- " &amp; _xlfn.TEXTJOIN(CHAR(10) &amp; "- ", TRUE, _xlfn._xlws.FILTER($I$9:$I$1000, ($B$9:$B$1000=B20) * ($H$9:$H$1000="Topic"))), "")</f>
        <v xml:space="preserve">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v>
      </c>
      <c r="B20" s="45">
        <f t="shared" si="1"/>
        <v>2</v>
      </c>
      <c r="C20" s="95" t="s">
        <v>861</v>
      </c>
      <c r="D20" s="57">
        <v>0</v>
      </c>
      <c r="E20" s="58" t="s">
        <v>723</v>
      </c>
      <c r="F20" s="59">
        <v>12</v>
      </c>
      <c r="G20" s="60" t="s">
        <v>47</v>
      </c>
      <c r="H20" s="60" t="s">
        <v>77</v>
      </c>
      <c r="I20" s="61" t="s">
        <v>807</v>
      </c>
      <c r="J20" s="62" t="s">
        <v>808</v>
      </c>
      <c r="K20" s="129" t="str">
        <f t="shared" si="2"/>
        <v>[TASK] Teach through a practical Python - HTTPX project following the micro-learning methodology, acting as a supportive tutor, creating a project about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#12 | Stage 1 | Python - HTTPX | 📊 Level: Beginner | 🌐 Coding5s.com
**Project:** Project 2: Secure API Client (Dotenv, Auth, Headers)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0"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secure API client that takes hidden API keys loaded via dotenv as input, processes secure httpx requests using customized headers and authentication protocols, and outputs verified data from protected endpoints. Topics applied in this project: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Project objective: Project 2: Secure API Client (Dotenv, Auth, Headers)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#12 | Practice | Python - HTTPX | 📊 Level: Beginner
**Project:** Build a secure API client that takes hidden API keys loaded via dotenv as input, processes secure httpx requests using customized headers and authentication protocols, and outputs verified data from protected endpoints
---
 | [FOOTER RULE - STRICT] End your response with: '--- ⚡ *Coding5s Mentor System — Eliminating Epistemic Debt*' | </v>
      </c>
      <c r="M20" s="52">
        <v>0</v>
      </c>
      <c r="N20" s="102" t="str">
        <f t="shared" si="4"/>
        <v>[ROLE] Careless Python Developer | [TASK] Generate debugging project in Python | [PROJECT]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[OUTPUT] Only header, dataset summary or statement (if any), email intro, objective, expected output, broken code, and footer | [HEADER RULE - STRICT] You MUST start your entire response EXACTLY with this markdown block (do not print anything before it):
### 🚀 Project #12 | Stage 2 | Python - HTTPX | 📊 Level: Beginner | 🌐 Coding5s.com
Project: Project 2: Secure API Client (Dotenv, Auth, Headers)
---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Mapudungun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0"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secure API client that takes hidden API keys loaded via dotenv as input, processes secure httpx requests using customized headers and authentication protocols, and outputs verified data from protected endpoints. Topics involved: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Project objective: Project 2: Secure API Client (Dotenv, Auth, Headers)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#12 | Debug | Python - HTTPX | 📊 Level: Beginner
**Project:** Build a secure API client that takes hidden API keys loaded via dotenv as input, processes secure httpx requests using customized headers and authentication protocols, and outputs verified data from protected endpoints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0" s="52">
        <v>0</v>
      </c>
      <c r="Q20" s="102" t="str">
        <f t="shared" si="6"/>
        <v>[ROLE] Tech Lead | [TASK] Assign incomplete project script | [PROJECT]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#12 | Stage 3 | Python - HTTPX | 📊 Level: Beginner | 🌐 Coding5s.com
**Project:** Project 2: Secure API Client (Dotenv, Auth, Headers)
---
 | [EXTERNAL_PACKAGE_PROTOCOL] Require standard pip tooling and requirements.txt for dependencies. | [CHALLENGE_CONSTRAINTS_POLICY] MUST be between 25–40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0"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secure API client that takes hidden API keys loaded via dotenv as input, processes secure httpx requests using customized headers and authentication protocols, and outputs verified data from protected endpoints. Topics involved: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Project objective: Project 2: Secure API Client (Dotenv, Auth, Headers)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#12 | Complete | Python - HTTPX | 📊 Level: Beginner
**Project:** Build a secure API client that takes hidden API keys loaded via dotenv as input, processes secure httpx requests using customized headers and authentication protocols, and outputs verified data from protected endpoints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0" s="52">
        <v>0</v>
      </c>
      <c r="T20" s="102" t="str">
        <f t="shared" si="8"/>
        <v>[ROLE] Tech Lead | [TASK] Provide a messy but functional project for refactoring | [PROJECT]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[PERSONA RULE] Act as a Tech Lead. A junior wrote this working but messy code. Tone: professional but exhausted | [HEADER RULE - STRICT] You MUST start your entire response EXACTLY with this markdown block (do not print anything before it):
### 🚀 Project #12 | Stage 4 | Python - HTTPX | 📊 Level: Beginner | 🌐 Coding5s.com
**Project:** Project 2: Secure API Client (Dotenv, Auth, Headers)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secure API client that takes hidden API keys loaded via dotenv as input, processes secure httpx requests using customized headers and authentication protocols, and outputs verified data from protected endpoints. Topics involved: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Project objective: Project 2: Secure API Client (Dotenv, Auth, Headers)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#12 | Refactor | Python - HTTPX | 📊 Level: Beginner
**Project:** Build a secure API client that takes hidden API keys loaded via dotenv as input, processes secure httpx requests using customized headers and authentication protocols, and outputs verified data from protected endpoints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0" s="52">
        <v>0</v>
      </c>
      <c r="W20" s="87" t="str">
        <f t="shared" si="10"/>
        <v>[ROLE] Tech Product Manager assigning a Python Jira Ticket | [TASK] Provide a guided project implementation with full solution | [PROJECT]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[PERSONA RULE] Act as a professional Tech Product Manager defining a project ticket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#12 | Stage 5 | Python - HTTPX | 📊 Level: Beginner | 🌐 Coding5s.com
**Project:** Project 2: Secure API Client (Dotenv, Auth, Headers)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secure API client that takes hidden API keys loaded via dotenv as input, processes secure httpx requests using customized headers and authentication protocols, and outputs verified data from protected endpoints. Topics integrated: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Business Goal: Project 2: Secure API Client (Dotenv, Auth, Headers)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#12 | Extend | Python - HTTPX | 📊 Level: Beginner
**Project:** Build a secure API client that takes hidden API keys loaded via dotenv as input, processes secure httpx requests using customized headers and authentication protocols, and outputs verified data from protected endpoints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0" s="52">
        <v>0</v>
      </c>
      <c r="Z20" s="56" t="str">
        <f t="shared" si="12"/>
        <v>[TASK] Teach through a practical Python - HTTPX project following the micro-learning methodology, acting as a supportive tutor, creating a project about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#12 | Stage 1 | Python - HTTPX | 📊 Level: Beginner | 🌐 Coding5s.com
**Project:** Project 2: Secure API Client (Dotenv, Auth, Headers)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0" s="56" t="str">
        <f t="shared" si="13"/>
        <v>[ROLE] Careless Python Developer | [TASK] Generate debugging project in Python | [PROJECT]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[OUTPUT] Only header, dataset summary or statement (if any), email intro, objective, expected output, broken code, and footer | [HEADER RULE - STRICT] You MUST start your entire response EXACTLY with this markdown block (do not print anything before it):
### 🚀 Project #12 | Stage 2 | Python - HTTPX | 📊 Level: Beginner | 🌐 Coding5s.com
Project: Project 2: Secure API Client (Dotenv, Auth, Headers)
---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Mapudungun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0" s="56" t="str">
        <f t="shared" si="14"/>
        <v>[ROLE] Tech Lead | [TASK] Assign incomplete project script | [PROJECT]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#12 | Stage 3 | Python - HTTPX | 📊 Level: Beginner | 🌐 Coding5s.com
**Project:** Project 2: Secure API Client (Dotenv, Auth, Headers)
---
 | [EXTERNAL_PACKAGE_PROTOCOL] Require standard pip tooling and requirements.txt for dependencies. | [CHALLENGE_CONSTRAINTS_POLICY] MUST be between 25–40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0" s="56" t="str">
        <f t="shared" si="15"/>
        <v>[ROLE] Tech Lead | [TASK] Provide a messy but functional project for refactoring | [PROJECT]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[PERSONA RULE] Act as a Tech Lead. A junior wrote this working but messy code. Tone: professional but exhausted | [HEADER RULE - STRICT] You MUST start your entire response EXACTLY with this markdown block (do not print anything before it):
### 🚀 Project #12 | Stage 4 | Python - HTTPX | 📊 Level: Beginner | 🌐 Coding5s.com
**Project:** Project 2: Secure API Client (Dotenv, Auth, Headers)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0" s="56" t="str">
        <f t="shared" si="16"/>
        <v>[ROLE] Tech Product Manager assigning a Python Jira Ticket | [TASK] Provide a guided project implementation with full solution | [PROJECT]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[PERSONA RULE] Act as a professional Tech Product Manager defining a project ticket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#12 | Stage 5 | Python - HTTPX | 📊 Level: Beginner | 🌐 Coding5s.com
**Project:** Project 2: Secure API Client (Dotenv, Auth, Headers)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0" s="40" t="s">
        <v>108</v>
      </c>
      <c r="AF20" s="40" t="s">
        <v>109</v>
      </c>
      <c r="AG20" s="40" t="s">
        <v>110</v>
      </c>
      <c r="AH20" s="56" t="str">
        <f t="shared" si="0"/>
        <v/>
      </c>
      <c r="AI20" s="54"/>
      <c r="AJ20" s="54"/>
      <c r="AK20" s="54">
        <v>12</v>
      </c>
      <c r="AL20" s="54" t="s">
        <v>111</v>
      </c>
      <c r="AM20" s="54" t="s">
        <v>112</v>
      </c>
    </row>
    <row r="21" spans="1:39">
      <c r="A21" s="45" t="str" cm="1">
        <f t="array" ref="A21">IF(H21="PROJECT", CHAR(10) &amp; "- " &amp; _xlfn.TEXTJOIN(CHAR(10) &amp; "- ", TRUE, _xlfn._xlws.FILTER($I$9:$I$1000, ($B$9:$B$1000=B21) * ($H$9:$H$1000="Topic"))), "")</f>
        <v/>
      </c>
      <c r="B21" s="45">
        <f t="shared" si="1"/>
        <v>3</v>
      </c>
      <c r="C21" s="95">
        <v>10</v>
      </c>
      <c r="D21" s="46">
        <v>4</v>
      </c>
      <c r="E21" s="58" t="s">
        <v>46</v>
      </c>
      <c r="F21" s="48">
        <v>13</v>
      </c>
      <c r="G21" s="49" t="s">
        <v>158</v>
      </c>
      <c r="H21" s="49" t="s">
        <v>48</v>
      </c>
      <c r="I21" s="50" t="s">
        <v>809</v>
      </c>
      <c r="J21" s="51" t="s">
        <v>810</v>
      </c>
      <c r="K21" s="129" t="str">
        <f t="shared" si="2"/>
        <v xml:space="preserve">[ROLE] Friendly tutor specializing in Python | [TOPIC] Transmit form-encoded data to remote servers by executing POST requests with httpx.post and passing a formatted Python dictionary to the data parameter | [LEVEL] Intermediate | [COUNT] 4 examples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Python - HTTPX | 📊 Level: Intermediate | 🌐 Coding5s.com
**Concept:** Sending Form-Encoded Data with POST (data parameter)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1"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Transmit form-encoded data to remote servers by executing POST requests with httpx.post and passing a formatted Python dictionary to the data parameter. Topic details: Sending Form-Encoded Data with POST (data parameter)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Python - HTTPX | 📊 Level: Intermediate
**Topic:** Transmit form-encoded data to remote servers by executing POST requests with httpx.post and passing a formatted Python dictionary to the data parameter
---
 | [FOOTER RULE - STRICT] End your response with: '--- ⚡ *Coding5s Mentor System — Eliminating Epistemic Debt*' | </v>
      </c>
      <c r="M21" s="53">
        <v>0</v>
      </c>
      <c r="N21" s="102" t="str">
        <f t="shared" si="4"/>
        <v>[ROLE] Careless Python Developer | [TASK] Generate debugging challenges in Python | | [TOPIC] Transmit form-encoded data to remote servers by executing POST requests with httpx.post and passing a formatted Python dictionary to the data parameter | | [LEVEL] Intermediate |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#13 | Stage 2 🐛 Debug | Python - HTTPX | 📊 Level: Intermediate | 🌐 Coding5s.com
Concept: Sending Form-Encoded Data with POST (data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Transmit form-encoded data to remote servers by executing POST requests with httpx.post and passing a formatted Python dictionary to the data parameter. Topic details: Sending Form-Encoded Data with POST (data parameter)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Python - HTTPX | 📊 Level: Intermediate
**Topic:** Transmit form-encoded data to remote servers by executing POST requests with httpx.post and passing a formatted Python dictionary to the data parameter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1" s="53">
        <v>0</v>
      </c>
      <c r="Q21" s="102" t="str">
        <f t="shared" si="6"/>
        <v>[ROLE] Tech Lead | [TASK] Assign incomplete Python script challenges | [TOPIC] Transmit form-encoded data to remote servers by executing POST requests with httpx.post and passing a formatted Python dictionary to the data parameter | [LEVEL] Intermediate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#13 | Stage 3 🧩 Complete | Python - HTTPX | 📊 Level: Intermediate | 🌐 Coding5s.com
**Concept:** Sending Form-Encoded Data with POST (data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Transmit form-encoded data to remote servers by executing POST requests with httpx.post and passing a formatted Python dictionary to the data parameter.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Transmit form-encoded data to remote servers by executing POST requests with httpx.post and passing a formatted Python dictionary to the data parameter. Topic details: Sending Form-Encoded Data with POST (data parameter)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Python - HTTPX | 📊 Level: Intermediate
**Topic:** Transmit form-encoded data to remote servers by executing POST requests with httpx.post and passing a formatted Python dictionary to the data parameter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1" s="53">
        <v>0</v>
      </c>
      <c r="T21" s="102" t="str">
        <f t="shared" si="8"/>
        <v>[ROLE] Tech Lead | [TASK] Provide intentionally messy but functional code for learning debugging and improvement | [TOPIC] Transmit form-encoded data to remote servers by executing POST requests with httpx.post and passing a formatted Python dictionary to the data parameter | [LEVEL] Intermediate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Python - HTTPX | 📊 Level: Intermediate | 🌐 Coding5s.com
**Concept:** Sending Form-Encoded Data with POST (data parameter)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Transmit form-encoded data to remote servers by executing POST requests with httpx.post and passing a formatted Python dictionary to the data parameter. Topic details: Sending Form-Encoded Data with POST (data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Python - HTTPX | 📊 Level: Intermediate
**Topic:** Transmit form-encoded data to remote servers by executing POST requests with httpx.post and passing a formatted Python dictionary to the data parameter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1" s="53">
        <v>0</v>
      </c>
      <c r="W21" s="87" t="str">
        <f t="shared" si="10"/>
        <v>[ROLE] Tech Product Manager assigning a Python Jira Ticket | [TASK] Provide a guided implementation exercise with full solution for learning purposes | [TOPIC] Transmit form-encoded data to remote servers by executing POST requests with httpx.post and passing a formatted Python dictionary to the data parameter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Python - HTTPX | 📊 Level: Intermediate | 🌐 Coding5s.com
**Concept:** Sending Form-Encoded Data with POST (data parameter)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Transmit form-encoded data to remote servers by executing POST requests with httpx.post and passing a formatted Python dictionary to the data parameter. Goal: Sending Form-Encoded Data with POST (data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Python - HTTPX | 📊 Level: Intermediate
**Topic:** Transmit form-encoded data to remote servers by executing POST requests with httpx.post and passing a formatted Python dictionary to the data parameter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1" s="53">
        <v>0</v>
      </c>
      <c r="Z21" s="56" t="str">
        <f t="shared" si="12"/>
        <v/>
      </c>
      <c r="AA21" s="56" t="str">
        <f t="shared" si="13"/>
        <v/>
      </c>
      <c r="AB21" s="56" t="str">
        <f t="shared" si="14"/>
        <v/>
      </c>
      <c r="AC21" s="56" t="str">
        <f t="shared" si="15"/>
        <v/>
      </c>
      <c r="AD21" s="56" t="str">
        <f t="shared" si="16"/>
        <v/>
      </c>
      <c r="AE21" s="40" t="s">
        <v>113</v>
      </c>
      <c r="AF21" s="40" t="s">
        <v>114</v>
      </c>
      <c r="AG21" s="40" t="s">
        <v>115</v>
      </c>
      <c r="AH21" s="56" t="str">
        <f t="shared" si="0"/>
        <v/>
      </c>
      <c r="AI21" s="54"/>
      <c r="AJ21" s="54"/>
      <c r="AK21" s="54">
        <v>13</v>
      </c>
      <c r="AL21" s="54" t="s">
        <v>116</v>
      </c>
      <c r="AM21" s="54" t="s">
        <v>117</v>
      </c>
    </row>
    <row r="22" spans="1:39">
      <c r="A22" s="45" t="str" cm="1">
        <f t="array" ref="A22">IF(H22="PROJECT", CHAR(10) &amp; "- " &amp; _xlfn.TEXTJOIN(CHAR(10) &amp; "- ", TRUE, _xlfn._xlws.FILTER($I$9:$I$1000, ($B$9:$B$1000=B22) * ($H$9:$H$1000="Topic"))), "")</f>
        <v/>
      </c>
      <c r="B22" s="45">
        <f t="shared" si="1"/>
        <v>3</v>
      </c>
      <c r="C22" s="95">
        <v>10</v>
      </c>
      <c r="D22" s="57">
        <v>4</v>
      </c>
      <c r="E22" s="58" t="s">
        <v>46</v>
      </c>
      <c r="F22" s="59">
        <v>14</v>
      </c>
      <c r="G22" s="60" t="s">
        <v>158</v>
      </c>
      <c r="H22" s="60" t="s">
        <v>48</v>
      </c>
      <c r="I22" s="61" t="s">
        <v>811</v>
      </c>
      <c r="J22" s="62" t="s">
        <v>812</v>
      </c>
      <c r="K22" s="129" t="str">
        <f t="shared" si="2"/>
        <v xml:space="preserve">[ROLE] Friendly tutor specializing in Python | [TOPIC] Send structured JSON payloads to RESTful APIs by utilizing the json parameter in httpx.post requests to automatically serialize Python dictionaries and set correct headers | [LEVEL] Intermediate | [COUNT] 4 examples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Python - HTTPX | 📊 Level: Intermediate | 🌐 Coding5s.com
**Concept:** Sending JSON Data with POST (json parameter)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2"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Send structured JSON payloads to RESTful APIs by utilizing the json parameter in httpx.post requests to automatically serialize Python dictionaries and set correct headers. Topic details: Sending JSON Data with POST (json parameter)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Python - HTTPX | 📊 Level: Intermediate
**Topic:** Send structured JSON payloads to RESTful APIs by utilizing the json parameter in httpx.post requests to automatically serialize Python dictionaries and set correct headers
---
 | [FOOTER RULE - STRICT] End your response with: '--- ⚡ *Coding5s Mentor System — Eliminating Epistemic Debt*' | </v>
      </c>
      <c r="M22" s="52">
        <v>0</v>
      </c>
      <c r="N22" s="102" t="str">
        <f t="shared" si="4"/>
        <v>[ROLE] Careless Python Developer | [TASK] Generate debugging challenges in Python | | [TOPIC] Send structured JSON payloads to RESTful APIs by utilizing the json parameter in httpx.post requests to automatically serialize Python dictionaries and set correct headers | | [LEVEL] Intermediate |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#14 | Stage 2 🐛 Debug | Python - HTTPX | 📊 Level: Intermediate | 🌐 Coding5s.com
Concept: Sending JSON Data with POST (json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Send structured JSON payloads to RESTful APIs by utilizing the json parameter in httpx.post requests to automatically serialize Python dictionaries and set correct headers. Topic details: Sending JSON Data with POST (json parameter)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Python - HTTPX | 📊 Level: Intermediate
**Topic:** Send structured JSON payloads to RESTful APIs by utilizing the json parameter in httpx.post requests to automatically serialize Python dictionaries and set correct headers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2" s="52">
        <v>0</v>
      </c>
      <c r="Q22" s="102" t="str">
        <f t="shared" si="6"/>
        <v>[ROLE] Tech Lead | [TASK] Assign incomplete Python script challenges | [TOPIC] Send structured JSON payloads to RESTful APIs by utilizing the json parameter in httpx.post requests to automatically serialize Python dictionaries and set correct headers | [LEVEL] Intermediate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#14 | Stage 3 🧩 Complete | Python - HTTPX | 📊 Level: Intermediate | 🌐 Coding5s.com
**Concept:** Sending JSON Data with POST (json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Send structured JSON payloads to RESTful APIs by utilizing the json parameter in httpx.post requests to automatically serialize Python dictionaries and set correct headers.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Send structured JSON payloads to RESTful APIs by utilizing the json parameter in httpx.post requests to automatically serialize Python dictionaries and set correct headers. Topic details: Sending JSON Data with POST (json parameter)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Python - HTTPX | 📊 Level: Intermediate
**Topic:** Send structured JSON payloads to RESTful APIs by utilizing the json parameter in httpx.post requests to automatically serialize Python dictionaries and set correct headers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2" s="52">
        <v>0</v>
      </c>
      <c r="T22" s="102" t="str">
        <f t="shared" si="8"/>
        <v>[ROLE] Tech Lead | [TASK] Provide intentionally messy but functional code for learning debugging and improvement | [TOPIC] Send structured JSON payloads to RESTful APIs by utilizing the json parameter in httpx.post requests to automatically serialize Python dictionaries and set correct headers | [LEVEL] Intermediate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Python - HTTPX | 📊 Level: Intermediate | 🌐 Coding5s.com
**Concept:** Sending JSON Data with POST (json parameter)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Send structured JSON payloads to RESTful APIs by utilizing the json parameter in httpx.post requests to automatically serialize Python dictionaries and set correct headers. Topic details: Sending JSON Data with POST (json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Python - HTTPX | 📊 Level: Intermediate
**Topic:** Send structured JSON payloads to RESTful APIs by utilizing the json parameter in httpx.post requests to automatically serialize Python dictionaries and set correct headers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2" s="52">
        <v>0</v>
      </c>
      <c r="W22" s="87" t="str">
        <f t="shared" si="10"/>
        <v>[ROLE] Tech Product Manager assigning a Python Jira Ticket | [TASK] Provide a guided implementation exercise with full solution for learning purposes | [TOPIC] Send structured JSON payloads to RESTful APIs by utilizing the json parameter in httpx.post requests to automatically serialize Python dictionaries and set correct headers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Python - HTTPX | 📊 Level: Intermediate | 🌐 Coding5s.com
**Concept:** Sending JSON Data with POST (json parameter)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Send structured JSON payloads to RESTful APIs by utilizing the json parameter in httpx.post requests to automatically serialize Python dictionaries and set correct headers. Goal: Sending JSON Data with POST (json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Python - HTTPX | 📊 Level: Intermediate
**Topic:** Send structured JSON payloads to RESTful APIs by utilizing the json parameter in httpx.post requests to automatically serialize Python dictionaries and set correct headers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2" s="52">
        <v>0</v>
      </c>
      <c r="Z22" s="56" t="str">
        <f t="shared" si="12"/>
        <v/>
      </c>
      <c r="AA22" s="56" t="str">
        <f t="shared" si="13"/>
        <v/>
      </c>
      <c r="AB22" s="56" t="str">
        <f t="shared" si="14"/>
        <v/>
      </c>
      <c r="AC22" s="56" t="str">
        <f t="shared" si="15"/>
        <v/>
      </c>
      <c r="AD22" s="56" t="str">
        <f t="shared" si="16"/>
        <v/>
      </c>
      <c r="AE22" s="40" t="s">
        <v>118</v>
      </c>
      <c r="AF22" s="40" t="s">
        <v>119</v>
      </c>
      <c r="AG22" s="40" t="s">
        <v>120</v>
      </c>
      <c r="AH22" s="56" t="str">
        <f t="shared" si="0"/>
        <v/>
      </c>
      <c r="AI22" s="54"/>
      <c r="AJ22" s="54"/>
      <c r="AK22" s="54">
        <v>14</v>
      </c>
      <c r="AL22" s="54" t="s">
        <v>121</v>
      </c>
      <c r="AM22" s="54" t="s">
        <v>122</v>
      </c>
    </row>
    <row r="23" spans="1:39">
      <c r="A23" s="45" t="str" cm="1">
        <f t="array" ref="A23">IF(H23="PROJECT", CHAR(10) &amp; "- " &amp; _xlfn.TEXTJOIN(CHAR(10) &amp; "- ", TRUE, _xlfn._xlws.FILTER($I$9:$I$1000, ($B$9:$B$1000=B23) * ($H$9:$H$1000="Topic"))), "")</f>
        <v/>
      </c>
      <c r="B23" s="45">
        <f t="shared" si="1"/>
        <v>3</v>
      </c>
      <c r="C23" s="95">
        <v>12</v>
      </c>
      <c r="D23" s="46">
        <v>5</v>
      </c>
      <c r="E23" s="58" t="s">
        <v>46</v>
      </c>
      <c r="F23" s="48">
        <v>15</v>
      </c>
      <c r="G23" s="49" t="s">
        <v>158</v>
      </c>
      <c r="H23" s="49" t="s">
        <v>48</v>
      </c>
      <c r="I23" s="50" t="s">
        <v>813</v>
      </c>
      <c r="J23" s="51" t="s">
        <v>814</v>
      </c>
      <c r="K23" s="129" t="str">
        <f t="shared" si="2"/>
        <v xml:space="preserve">[ROLE] Friendly tutor specializing in Python | [TOPIC] Manipulate server-side resources by executing httpx.put, httpx.patch, and httpx.delete HTTP methods to update, modify, or permanently remove API data records | [LEVEL] Intermediate | [COUNT] 5 examples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Python - HTTPX | 📊 Level: Intermediate | 🌐 Coding5s.com
**Concept:** Modifying and Deleting Resources (requests.put, .patch, .delete)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3"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server-side resources by executing httpx.put, httpx.patch, and httpx.delete HTTP methods to update, modify, or permanently remove API data records. Topic details: Modifying and Deleting Resources (requests.put, .patch, .delete)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Python - HTTPX | 📊 Level: Intermediate
**Topic:** Manipulate server-side resources by executing httpx.put, httpx.patch, and httpx.delete HTTP methods to update, modify, or permanently remove API data records
---
 | [FOOTER RULE - STRICT] End your response with: '--- ⚡ *Coding5s Mentor System — Eliminating Epistemic Debt*' | </v>
      </c>
      <c r="M23" s="53">
        <v>0</v>
      </c>
      <c r="N23" s="102" t="str">
        <f t="shared" si="4"/>
        <v>[ROLE] Careless Python Developer | [TASK] Generate debugging challenges in Python | | [TOPIC] Manipulate server-side resources by executing httpx.put, httpx.patch, and httpx.delete HTTP methods to update, modify, or permanently remove API data records | | [LEVEL] Intermediate |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#15 | Stage 2 🐛 Debug | Python - HTTPX | 📊 Level: Intermediate | 🌐 Coding5s.com
Concept: Modifying and Deleting Resources (requests.put, .patch, .delete)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server-side resources by executing httpx.put, httpx.patch, and httpx.delete HTTP methods to update, modify, or permanently remove API data records. Topic details: Modifying and Deleting Resources (requests.put, .patch, .delete)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Python - HTTPX | 📊 Level: Intermediate
**Topic:** Manipulate server-side resources by executing httpx.put, httpx.patch, and httpx.delete HTTP methods to update, modify, or permanently remove API data records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3" s="53">
        <v>0</v>
      </c>
      <c r="Q23" s="102" t="str">
        <f t="shared" si="6"/>
        <v>[ROLE] Tech Lead | [TASK] Assign incomplete Python script challenges | [TOPIC] Manipulate server-side resources by executing httpx.put, httpx.patch, and httpx.delete HTTP methods to update, modify, or permanently remove API data records | [LEVEL] Intermediate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#15 | Stage 3 🧩 Complete | Python - HTTPX | 📊 Level: Intermediate | 🌐 Coding5s.com
**Concept:** Modifying and Deleting Resources (requests.put, .patch, .delete)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server-side resources by executing httpx.put, httpx.patch, and httpx.delete HTTP methods to update, modify, or permanently remove API data records.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server-side resources by executing httpx.put, httpx.patch, and httpx.delete HTTP methods to update, modify, or permanently remove API data records. Topic details: Modifying and Deleting Resources (requests.put, .patch, .delete)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Python - HTTPX | 📊 Level: Intermediate
**Topic:** Manipulate server-side resources by executing httpx.put, httpx.patch, and httpx.delete HTTP methods to update, modify, or permanently remove API data records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3" s="53">
        <v>0</v>
      </c>
      <c r="T23" s="102" t="str">
        <f t="shared" si="8"/>
        <v>[ROLE] Tech Lead | [TASK] Provide intentionally messy but functional code for learning debugging and improvement | [TOPIC] Manipulate server-side resources by executing httpx.put, httpx.patch, and httpx.delete HTTP methods to update, modify, or permanently remove API data records | [LEVEL] Intermediate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Python - HTTPX | 📊 Level: Intermediate | 🌐 Coding5s.com
**Concept:** Modifying and Deleting Resources (requests.put, .patch, .delete)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Manipulate server-side resources by executing httpx.put, httpx.patch, and httpx.delete HTTP methods to update, modify, or permanently remove API data records. Topic details: Modifying and Deleting Resources (requests.put, .patch, .delete)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Python - HTTPX | 📊 Level: Intermediate
**Topic:** Manipulate server-side resources by executing httpx.put, httpx.patch, and httpx.delete HTTP methods to update, modify, or permanently remove API data records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3" s="53">
        <v>0</v>
      </c>
      <c r="W23" s="87" t="str">
        <f t="shared" si="10"/>
        <v>[ROLE] Tech Product Manager assigning a Python Jira Ticket | [TASK] Provide a guided implementation exercise with full solution for learning purposes | [TOPIC] Manipulate server-side resources by executing httpx.put, httpx.patch, and httpx.delete HTTP methods to update, modify, or permanently remove API data records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Python - HTTPX | 📊 Level: Intermediate | 🌐 Coding5s.com
**Concept:** Modifying and Deleting Resources (requests.put, .patch, .delete)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server-side resources by executing httpx.put, httpx.patch, and httpx.delete HTTP methods to update, modify, or permanently remove API data records. Goal: Modifying and Deleting Resources (requests.put, .patch, .delete)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Python - HTTPX | 📊 Level: Intermediate
**Topic:** Manipulate server-side resources by executing httpx.put, httpx.patch, and httpx.delete HTTP methods to update, modify, or permanently remove API data records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3" s="53">
        <v>0</v>
      </c>
      <c r="Z23" s="56" t="str">
        <f t="shared" si="12"/>
        <v/>
      </c>
      <c r="AA23" s="56" t="str">
        <f t="shared" si="13"/>
        <v/>
      </c>
      <c r="AB23" s="56" t="str">
        <f t="shared" si="14"/>
        <v/>
      </c>
      <c r="AC23" s="56" t="str">
        <f t="shared" si="15"/>
        <v/>
      </c>
      <c r="AD23" s="56" t="str">
        <f t="shared" si="16"/>
        <v/>
      </c>
      <c r="AE23" s="40" t="s">
        <v>123</v>
      </c>
      <c r="AF23" s="40" t="s">
        <v>124</v>
      </c>
      <c r="AG23" s="40" t="s">
        <v>125</v>
      </c>
      <c r="AH23" s="56" t="str">
        <f t="shared" si="0"/>
        <v/>
      </c>
      <c r="AI23" s="54"/>
      <c r="AJ23" s="54"/>
      <c r="AK23" s="54">
        <v>15</v>
      </c>
      <c r="AL23" s="54" t="s">
        <v>126</v>
      </c>
      <c r="AM23" s="54" t="s">
        <v>127</v>
      </c>
    </row>
    <row r="24" spans="1:39">
      <c r="A24" s="45" t="str" cm="1">
        <f t="array" ref="A24">IF(H24="PROJECT", CHAR(10) &amp; "- " &amp; _xlfn.TEXTJOIN(CHAR(10) &amp; "- ", TRUE, _xlfn._xlws.FILTER($I$9:$I$1000, ($B$9:$B$1000=B24) * ($H$9:$H$1000="Topic"))), "")</f>
        <v/>
      </c>
      <c r="B24" s="45">
        <f t="shared" si="1"/>
        <v>3</v>
      </c>
      <c r="C24" s="95">
        <v>8</v>
      </c>
      <c r="D24" s="57">
        <v>4</v>
      </c>
      <c r="E24" s="58" t="s">
        <v>46</v>
      </c>
      <c r="F24" s="59">
        <v>16</v>
      </c>
      <c r="G24" s="60" t="s">
        <v>158</v>
      </c>
      <c r="H24" s="60" t="s">
        <v>48</v>
      </c>
      <c r="I24" s="61" t="s">
        <v>815</v>
      </c>
      <c r="J24" s="62" t="s">
        <v>816</v>
      </c>
      <c r="K24" s="129" t="str">
        <f t="shared" si="2"/>
        <v xml:space="preserve">[ROLE] Friendly tutor specializing in Python | [TOPIC] Debug outgoing HTTP traffic by inspecting the .request.headers and .request.content attributes of a completed httpx response to verify the exact payload transmitted to the server | [LEVEL] Intermediate | [COUNT] 4 examples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#16 | Stage 1 📖 Practice | Python - HTTPX | 📊 Level: Intermediate | 🌐 Coding5s.com
**Concept:** Inspecting the Prepared Request (response.request.headers, .body)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4"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Debug outgoing HTTP traffic by inspecting the .request.headers and .request.content attributes of a completed httpx response to verify the exact payload transmitted to the server. Topic details: Inspecting the Prepared Request (response.request.headers, .body)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Python - HTTPX | 📊 Level: Intermediate
**Topic:** Debug outgoing HTTP traffic by inspecting the .request.headers and .request.content attributes of a completed httpx response to verify the exact payload transmitted to the server
---
 | [FOOTER RULE - STRICT] End your response with: '--- ⚡ *Coding5s Mentor System — Eliminating Epistemic Debt*' | </v>
      </c>
      <c r="M24" s="52">
        <v>0</v>
      </c>
      <c r="N24" s="102" t="str">
        <f t="shared" si="4"/>
        <v>[ROLE] Careless Python Developer | [TASK] Generate debugging challenges in Python | | [TOPIC] Debug outgoing HTTP traffic by inspecting the .request.headers and .request.content attributes of a completed httpx response to verify the exact payload transmitted to the server | | [LEVEL] Intermediate |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#16 | Stage 2 🐛 Debug | Python - HTTPX | 📊 Level: Intermediate | 🌐 Coding5s.com
Concept: Inspecting the Prepared Request (response.request.headers, .body)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Debug outgoing HTTP traffic by inspecting the .request.headers and .request.content attributes of a completed httpx response to verify the exact payload transmitted to the server. Topic details: Inspecting the Prepared Request (response.request.headers, .body)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Python - HTTPX | 📊 Level: Intermediate
**Topic:** Debug outgoing HTTP traffic by inspecting the .request.headers and .request.content attributes of a completed httpx response to verify the exact payload transmitted to the server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4" s="52">
        <v>0</v>
      </c>
      <c r="Q24" s="102" t="str">
        <f t="shared" si="6"/>
        <v>[ROLE] Tech Lead | [TASK] Assign incomplete Python script challenges | [TOPIC] Debug outgoing HTTP traffic by inspecting the .request.headers and .request.content attributes of a completed httpx response to verify the exact payload transmitted to the server | [LEVEL] Intermediate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#16 | Stage 3 🧩 Complete | Python - HTTPX | 📊 Level: Intermediate | 🌐 Coding5s.com
**Concept:** Inspecting the Prepared Request (response.request.headers, .body)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Debug outgoing HTTP traffic by inspecting the .request.headers and .request.content attributes of a completed httpx response to verify the exact payload transmitted to the server.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Debug outgoing HTTP traffic by inspecting the .request.headers and .request.content attributes of a completed httpx response to verify the exact payload transmitted to the server. Topic details: Inspecting the Prepared Request (response.request.headers, .body)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Python - HTTPX | 📊 Level: Intermediate
**Topic:** Debug outgoing HTTP traffic by inspecting the .request.headers and .request.content attributes of a completed httpx response to verify the exact payload transmitted to the server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4" s="52">
        <v>0</v>
      </c>
      <c r="T24" s="102" t="str">
        <f t="shared" si="8"/>
        <v>[ROLE] Tech Lead | [TASK] Provide intentionally messy but functional code for learning debugging and improvement | [TOPIC] Debug outgoing HTTP traffic by inspecting the .request.headers and .request.content attributes of a completed httpx response to verify the exact payload transmitted to the server | [LEVEL] Intermediate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#16 | Stage 4 🧹 Refactor | Python - HTTPX | 📊 Level: Intermediate | 🌐 Coding5s.com
**Concept:** Inspecting the Prepared Request (response.request.headers, .body)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Debug outgoing HTTP traffic by inspecting the .request.headers and .request.content attributes of a completed httpx response to verify the exact payload transmitted to the server. Topic details: Inspecting the Prepared Request (response.request.headers, .body)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Python - HTTPX | 📊 Level: Intermediate
**Topic:** Debug outgoing HTTP traffic by inspecting the .request.headers and .request.content attributes of a completed httpx response to verify the exact payload transmitted to the server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4" s="52">
        <v>0</v>
      </c>
      <c r="W24" s="87" t="str">
        <f t="shared" si="10"/>
        <v>[ROLE] Tech Product Manager assigning a Python Jira Ticket | [TASK] Provide a guided implementation exercise with full solution for learning purposes | [TOPIC] Debug outgoing HTTP traffic by inspecting the .request.headers and .request.content attributes of a completed httpx response to verify the exact payload transmitted to the server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#16 | Stage 5 | Python - HTTPX | 📊 Level: Intermediate | 🌐 Coding5s.com
**Concept:** Inspecting the Prepared Request (response.request.headers, .body)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Debug outgoing HTTP traffic by inspecting the .request.headers and .request.content attributes of a completed httpx response to verify the exact payload transmitted to the server. Goal: Inspecting the Prepared Request (response.request.headers, .body)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Python - HTTPX | 📊 Level: Intermediate
**Topic:** Debug outgoing HTTP traffic by inspecting the .request.headers and .request.content attributes of a completed httpx response to verify the exact payload transmitted to the server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4" s="52">
        <v>0</v>
      </c>
      <c r="Z24" s="56" t="str">
        <f t="shared" si="12"/>
        <v/>
      </c>
      <c r="AA24" s="56" t="str">
        <f t="shared" si="13"/>
        <v/>
      </c>
      <c r="AB24" s="56" t="str">
        <f t="shared" si="14"/>
        <v/>
      </c>
      <c r="AC24" s="56" t="str">
        <f t="shared" si="15"/>
        <v/>
      </c>
      <c r="AD24" s="56" t="str">
        <f t="shared" si="16"/>
        <v/>
      </c>
      <c r="AE24" s="40" t="s">
        <v>128</v>
      </c>
      <c r="AF24" s="40" t="s">
        <v>129</v>
      </c>
      <c r="AG24" s="40" t="s">
        <v>130</v>
      </c>
      <c r="AH24" s="56" t="str">
        <f t="shared" si="0"/>
        <v/>
      </c>
      <c r="AI24" s="54"/>
      <c r="AJ24" s="54"/>
      <c r="AK24" s="54">
        <v>16</v>
      </c>
      <c r="AL24" s="54" t="s">
        <v>131</v>
      </c>
      <c r="AM24" s="54" t="s">
        <v>132</v>
      </c>
    </row>
    <row r="25" spans="1:39">
      <c r="A25" s="45" t="str" cm="1">
        <f t="array" ref="A25">IF(H25="PROJECT", CHAR(10) &amp; "- " &amp; _xlfn.TEXTJOIN(CHAR(10) &amp; "- ", TRUE, _xlfn._xlws.FILTER($I$9:$I$1000, ($B$9:$B$1000=B25) * ($H$9:$H$1000="Topic"))), "")</f>
        <v/>
      </c>
      <c r="B25" s="45">
        <f t="shared" si="1"/>
        <v>3</v>
      </c>
      <c r="C25" s="95">
        <v>10</v>
      </c>
      <c r="D25" s="46">
        <v>3</v>
      </c>
      <c r="E25" s="58" t="s">
        <v>46</v>
      </c>
      <c r="F25" s="48">
        <v>17</v>
      </c>
      <c r="G25" s="49" t="s">
        <v>158</v>
      </c>
      <c r="H25" s="49" t="s">
        <v>48</v>
      </c>
      <c r="I25" s="50" t="s">
        <v>817</v>
      </c>
      <c r="J25" s="51" t="s">
        <v>818</v>
      </c>
      <c r="K25" s="129" t="str">
        <f t="shared" si="2"/>
        <v xml:space="preserve">[ROLE] Friendly tutor specializing in Python | [TOPIC] Enforce strict network constraints by configuring the timeout parameter in httpx requests to prevent hanging connections and ensure predictable application execution times | [LEVEL] Intermediate | [COUNT] 3 examples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Python - HTTPX | 📊 Level: Intermediate | 🌐 Coding5s.com
**Concept:** Enforcing Request Timeouts (timeout parameter)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5"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strict network constraints by configuring the timeout parameter in httpx requests to prevent hanging connections and ensure predictable application execution times. Topic details: Enforcing Request Timeouts (timeout parameter)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Python - HTTPX | 📊 Level: Intermediate
**Topic:** Enforce strict network constraints by configuring the timeout parameter in httpx requests to prevent hanging connections and ensure predictable application execution times
---
 | [FOOTER RULE - STRICT] End your response with: '--- ⚡ *Coding5s Mentor System — Eliminating Epistemic Debt*' | </v>
      </c>
      <c r="M25" s="53">
        <v>0</v>
      </c>
      <c r="N25" s="102" t="str">
        <f t="shared" si="4"/>
        <v>[ROLE] Careless Python Developer | [TASK] Generate debugging challenges in Python | | [TOPIC] Enforce strict network constraints by configuring the timeout parameter in httpx requests to prevent hanging connections and ensure predictable application execution times | | [LEVEL] Intermediate |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#17 | Stage 2 🐛 Debug | Python - HTTPX | 📊 Level: Intermediate | 🌐 Coding5s.com
Concept: Enforcing Request Timeouts (timeout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5"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strict network constraints by configuring the timeout parameter in httpx requests to prevent hanging connections and ensure predictable application execution times. Topic details: Enforcing Request Timeouts (timeout parameter)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Python - HTTPX | 📊 Level: Intermediate
**Topic:** Enforce strict network constraints by configuring the timeout parameter in httpx requests to prevent hanging connections and ensure predictable application execution times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5" s="53">
        <v>0</v>
      </c>
      <c r="Q25" s="102" t="str">
        <f t="shared" si="6"/>
        <v>[ROLE] Tech Lead | [TASK] Assign incomplete Python script challenges | [TOPIC] Enforce strict network constraints by configuring the timeout parameter in httpx requests to prevent hanging connections and ensure predictable application execution times | [LEVEL] Intermediate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#17 | Stage 3 🧩 Complete | Python - HTTPX | 📊 Level: Intermediate | 🌐 Coding5s.com
**Concept:** Enforcing Request Timeouts (timeout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strict network constraints by configuring the timeout parameter in httpx requests to prevent hanging connections and ensure predictable application execution times.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5"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strict network constraints by configuring the timeout parameter in httpx requests to prevent hanging connections and ensure predictable application execution times. Topic details: Enforcing Request Timeouts (timeout parameter)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Python - HTTPX | 📊 Level: Intermediate
**Topic:** Enforce strict network constraints by configuring the timeout parameter in httpx requests to prevent hanging connections and ensure predictable application execution times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5" s="53">
        <v>0</v>
      </c>
      <c r="T25" s="102" t="str">
        <f t="shared" si="8"/>
        <v>[ROLE] Tech Lead | [TASK] Provide intentionally messy but functional code for learning debugging and improvement | [TOPIC] Enforce strict network constraints by configuring the timeout parameter in httpx requests to prevent hanging connections and ensure predictable application execution times | [LEVEL] Intermediate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Python - HTTPX | 📊 Level: Intermediate | 🌐 Coding5s.com
**Concept:** Enforcing Request Timeouts (timeout parameter)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Enforce strict network constraints by configuring the timeout parameter in httpx requests to prevent hanging connections and ensure predictable application execution times. Topic details: Enforcing Request Timeouts (timeout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Python - HTTPX | 📊 Level: Intermediate
**Topic:** Enforce strict network constraints by configuring the timeout parameter in httpx requests to prevent hanging connections and ensure predictable application execution times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5" s="53">
        <v>0</v>
      </c>
      <c r="W25" s="87" t="str">
        <f t="shared" si="10"/>
        <v>[ROLE] Tech Product Manager assigning a Python Jira Ticket | [TASK] Provide a guided implementation exercise with full solution for learning purposes | [TOPIC] Enforce strict network constraints by configuring the timeout parameter in httpx requests to prevent hanging connections and ensure predictable application execution times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Python - HTTPX | 📊 Level: Intermediate | 🌐 Coding5s.com
**Concept:** Enforcing Request Timeouts (timeout parameter)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strict network constraints by configuring the timeout parameter in httpx requests to prevent hanging connections and ensure predictable application execution times. Goal: Enforcing Request Timeouts (timeout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Python - HTTPX | 📊 Level: Intermediate
**Topic:** Enforce strict network constraints by configuring the timeout parameter in httpx requests to prevent hanging connections and ensure predictable application execution times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5" s="53">
        <v>0</v>
      </c>
      <c r="Z25" s="56" t="str">
        <f t="shared" si="12"/>
        <v/>
      </c>
      <c r="AA25" s="56" t="str">
        <f t="shared" si="13"/>
        <v/>
      </c>
      <c r="AB25" s="56" t="str">
        <f t="shared" si="14"/>
        <v/>
      </c>
      <c r="AC25" s="56" t="str">
        <f t="shared" si="15"/>
        <v/>
      </c>
      <c r="AD25" s="56" t="str">
        <f t="shared" si="16"/>
        <v/>
      </c>
      <c r="AE25" s="40" t="s">
        <v>133</v>
      </c>
      <c r="AF25" s="40" t="s">
        <v>134</v>
      </c>
      <c r="AG25" s="40" t="s">
        <v>135</v>
      </c>
      <c r="AH25" s="56" t="str">
        <f t="shared" si="0"/>
        <v/>
      </c>
      <c r="AI25" s="54"/>
      <c r="AJ25" s="54"/>
      <c r="AK25" s="54">
        <v>17</v>
      </c>
      <c r="AL25" s="54" t="s">
        <v>136</v>
      </c>
      <c r="AM25" s="54" t="s">
        <v>137</v>
      </c>
    </row>
    <row r="26" spans="1:39">
      <c r="A26" s="45" t="str" cm="1">
        <f t="array" ref="A26">IF(H26="PROJECT", CHAR(10) &amp; "- " &amp; _xlfn.TEXTJOIN(CHAR(10) &amp; "- ", TRUE, _xlfn._xlws.FILTER($I$9:$I$1000, ($B$9:$B$1000=B26) * ($H$9:$H$1000="Topic"))), "")</f>
        <v/>
      </c>
      <c r="B26" s="45">
        <f t="shared" si="1"/>
        <v>3</v>
      </c>
      <c r="C26" s="95">
        <v>8</v>
      </c>
      <c r="D26" s="57">
        <v>5</v>
      </c>
      <c r="E26" s="58" t="s">
        <v>46</v>
      </c>
      <c r="F26" s="59">
        <v>18</v>
      </c>
      <c r="G26" s="60" t="s">
        <v>158</v>
      </c>
      <c r="H26" s="60" t="s">
        <v>48</v>
      </c>
      <c r="I26" s="61" t="s">
        <v>819</v>
      </c>
      <c r="J26" s="62" t="s">
        <v>820</v>
      </c>
      <c r="K26" s="129" t="str">
        <f t="shared" si="2"/>
        <v xml:space="preserve">[ROLE] Friendly tutor specializing in Python | [TOPIC] Implement robust error handling by wrapping httpx client calls in try-except blocks to gracefully catch and log specific network exceptions such as httpx.TimeoutException and httpx.RequestError | [LEVEL] Intermediate | [COUNT] 5 examples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Python - HTTPX | 📊 Level: Intermediate | 🌐 Coding5s.com
**Concept:** Catching Network Exceptions (Timeout, ConnectionError, RequestException)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6"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robust error handling by wrapping httpx client calls in try-except blocks to gracefully catch and log specific network exceptions such as httpx.TimeoutException and httpx.RequestError. Topic details: Catching Network Exceptions (Timeout, ConnectionError, RequestException)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Python - HTTPX | 📊 Level: Intermediate
**Topic:** Implement robust error handling by wrapping httpx client calls in try-except blocks to gracefully catch and log specific network exceptions such as httpx.TimeoutException and httpx.RequestError
---
 | [FOOTER RULE - STRICT] End your response with: '--- ⚡ *Coding5s Mentor System — Eliminating Epistemic Debt*' | </v>
      </c>
      <c r="M26" s="52">
        <v>0</v>
      </c>
      <c r="N26" s="102" t="str">
        <f t="shared" si="4"/>
        <v>[ROLE] Careless Python Developer | [TASK] Generate debugging challenges in Python | | [TOPIC] Implement robust error handling by wrapping httpx client calls in try-except blocks to gracefully catch and log specific network exceptions such as httpx.TimeoutException and httpx.RequestError | | [LEVEL] Intermediate |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#18 | Stage 2 🐛 Debug | Python - HTTPX | 📊 Level: Intermediate | 🌐 Coding5s.com
Concept: Catching Network Exceptions (Timeout, ConnectionError, RequestException)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6"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robust error handling by wrapping httpx client calls in try-except blocks to gracefully catch and log specific network exceptions such as httpx.TimeoutException and httpx.RequestError. Topic details: Catching Network Exceptions (Timeout, ConnectionError, RequestException)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Python - HTTPX | 📊 Level: Intermediate
**Topic:** Implement robust error handling by wrapping httpx client calls in try-except blocks to gracefully catch and log specific network exceptions such as httpx.TimeoutException and httpx.RequestError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6" s="52">
        <v>0</v>
      </c>
      <c r="Q26" s="102" t="str">
        <f t="shared" si="6"/>
        <v>[ROLE] Tech Lead | [TASK] Assign incomplete Python script challenges | [TOPIC] Implement robust error handling by wrapping httpx client calls in try-except blocks to gracefully catch and log specific network exceptions such as httpx.TimeoutException and httpx.RequestError | [LEVEL] Intermediate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#18 | Stage 3 🧩 Complete | Python - HTTPX | 📊 Level: Intermediate | 🌐 Coding5s.com
**Concept:** Catching Network Exceptions (Timeout, ConnectionError, RequestException)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robust error handling by wrapping httpx client calls in try-except blocks to gracefully catch and log specific network exceptions such as httpx.TimeoutException and httpx.RequestError.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6"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robust error handling by wrapping httpx client calls in try-except blocks to gracefully catch and log specific network exceptions such as httpx.TimeoutException and httpx.RequestError. Topic details: Catching Network Exceptions (Timeout, ConnectionError, RequestException)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Python - HTTPX | 📊 Level: Intermediate
**Topic:** Implement robust error handling by wrapping httpx client calls in try-except blocks to gracefully catch and log specific network exceptions such as httpx.TimeoutException and httpx.RequestError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6" s="52">
        <v>0</v>
      </c>
      <c r="T26" s="102" t="str">
        <f t="shared" si="8"/>
        <v>[ROLE] Tech Lead | [TASK] Provide intentionally messy but functional code for learning debugging and improvement | [TOPIC] Implement robust error handling by wrapping httpx client calls in try-except blocks to gracefully catch and log specific network exceptions such as httpx.TimeoutException and httpx.RequestError | [LEVEL] Intermediate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Python - HTTPX | 📊 Level: Intermediate | 🌐 Coding5s.com
**Concept:** Catching Network Exceptions (Timeout, ConnectionError, RequestException)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robust error handling by wrapping httpx client calls in try-except blocks to gracefully catch and log specific network exceptions such as httpx.TimeoutException and httpx.RequestError. Topic details: Catching Network Exceptions (Timeout, ConnectionError, RequestException)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Python - HTTPX | 📊 Level: Intermediate
**Topic:** Implement robust error handling by wrapping httpx client calls in try-except blocks to gracefully catch and log specific network exceptions such as httpx.TimeoutException and httpx.RequestError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6" s="52">
        <v>0</v>
      </c>
      <c r="W26" s="87" t="str">
        <f t="shared" si="10"/>
        <v>[ROLE] Tech Product Manager assigning a Python Jira Ticket | [TASK] Provide a guided implementation exercise with full solution for learning purposes | [TOPIC] Implement robust error handling by wrapping httpx client calls in try-except blocks to gracefully catch and log specific network exceptions such as httpx.TimeoutException and httpx.RequestError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Python - HTTPX | 📊 Level: Intermediate | 🌐 Coding5s.com
**Concept:** Catching Network Exceptions (Timeout, ConnectionError, RequestException)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robust error handling by wrapping httpx client calls in try-except blocks to gracefully catch and log specific network exceptions such as httpx.TimeoutException and httpx.RequestError. Goal: Catching Network Exceptions (Timeout, ConnectionError, RequestException)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Python - HTTPX | 📊 Level: Intermediate
**Topic:** Implement robust error handling by wrapping httpx client calls in try-except blocks to gracefully catch and log specific network exceptions such as httpx.TimeoutException and httpx.RequestError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6" s="52">
        <v>0</v>
      </c>
      <c r="Z26" s="56" t="str">
        <f t="shared" si="12"/>
        <v/>
      </c>
      <c r="AA26" s="56" t="str">
        <f t="shared" si="13"/>
        <v/>
      </c>
      <c r="AB26" s="56" t="str">
        <f t="shared" si="14"/>
        <v/>
      </c>
      <c r="AC26" s="56" t="str">
        <f t="shared" si="15"/>
        <v/>
      </c>
      <c r="AD26" s="56" t="str">
        <f t="shared" si="16"/>
        <v/>
      </c>
      <c r="AE26" s="40" t="s">
        <v>138</v>
      </c>
      <c r="AF26" s="40" t="s">
        <v>139</v>
      </c>
      <c r="AG26" s="40" t="s">
        <v>140</v>
      </c>
      <c r="AH26" s="56" t="str">
        <f t="shared" si="0"/>
        <v/>
      </c>
      <c r="AI26" s="54"/>
      <c r="AJ26" s="54"/>
      <c r="AK26" s="54">
        <v>18</v>
      </c>
      <c r="AL26" s="54" t="s">
        <v>141</v>
      </c>
      <c r="AM26" s="54" t="s">
        <v>142</v>
      </c>
    </row>
    <row r="27" spans="1:39">
      <c r="A27" s="45" t="str" cm="1">
        <f t="array" ref="A27">IF(H27="PROJECT", CHAR(10) &amp; "- " &amp; _xlfn.TEXTJOIN(CHAR(10) &amp; "- ", TRUE, _xlfn._xlws.FILTER($I$9:$I$1000, ($B$9:$B$1000=B27) * ($H$9:$H$1000="Topic"))), "")</f>
        <v/>
      </c>
      <c r="B27" s="45">
        <f t="shared" si="1"/>
        <v>3</v>
      </c>
      <c r="C27" s="95">
        <v>10</v>
      </c>
      <c r="D27" s="46">
        <v>4</v>
      </c>
      <c r="E27" s="58" t="s">
        <v>723</v>
      </c>
      <c r="F27" s="48">
        <v>19</v>
      </c>
      <c r="G27" s="49" t="s">
        <v>158</v>
      </c>
      <c r="H27" s="49" t="s">
        <v>48</v>
      </c>
      <c r="I27" s="50" t="s">
        <v>821</v>
      </c>
      <c r="J27" s="51" t="s">
        <v>822</v>
      </c>
      <c r="K27" s="129" t="str">
        <f t="shared" si="2"/>
        <v xml:space="preserve">[ROLE] Friendly tutor specializing in Python | [TOPIC] Extract comprehensive datasets across multiple API pages by implementing while loops alongside httpx requests to systematically parse and follow pagination cursors or next-page link headers | [LEVEL] Intermediate | [COUNT] 4 examples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Python - HTTPX | 📊 Level: Intermediate | 🌐 Coding5s.com
**Concept:** Handling API Pagination (While loops, next cursors/links)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7"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comprehensive datasets across multiple API pages by implementing while loops alongside httpx requests to systematically parse and follow pagination cursors or next-page link headers. Topic details: Handling API Pagination (While loops, next cursors/links)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Python - HTTPX | 📊 Level: Intermediate
**Topic:** Extract comprehensive datasets across multiple API pages by implementing while loops alongside httpx requests to systematically parse and follow pagination cursors or next-page link headers
---
 | [FOOTER RULE - STRICT] End your response with: '--- ⚡ *Coding5s Mentor System — Eliminating Epistemic Debt*' | </v>
      </c>
      <c r="M27" s="53">
        <v>0</v>
      </c>
      <c r="N27" s="102" t="str">
        <f t="shared" si="4"/>
        <v>[ROLE] Careless Python Developer | [TASK] Generate debugging challenges in Python | | [TOPIC] Extract comprehensive datasets across multiple API pages by implementing while loops alongside httpx requests to systematically parse and follow pagination cursors or next-page link headers | | [LEVEL] Intermediate |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#19 | Stage 2 🐛 Debug | Python - HTTPX | 📊 Level: Intermediate | 🌐 Coding5s.com
Concept: Handling API Pagination (While loops, next cursors/links)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7"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comprehensive datasets across multiple API pages by implementing while loops alongside httpx requests to systematically parse and follow pagination cursors or next-page link headers. Topic details: Handling API Pagination (While loops, next cursors/links)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Python - HTTPX | 📊 Level: Intermediate
**Topic:** Extract comprehensive datasets across multiple API pages by implementing while loops alongside httpx requests to systematically parse and follow pagination cursors or next-page link headers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7" s="53">
        <v>0</v>
      </c>
      <c r="Q27" s="102" t="str">
        <f t="shared" si="6"/>
        <v>[ROLE] Tech Lead | [TASK] Assign incomplete Python script challenges | [TOPIC] Extract comprehensive datasets across multiple API pages by implementing while loops alongside httpx requests to systematically parse and follow pagination cursors or next-page link headers | [LEVEL] Intermediate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#19 | Stage 3 🧩 Complete | Python - HTTPX | 📊 Level: Intermediate | 🌐 Coding5s.com
**Concept:** Handling API Pagination (While loops, next cursors/links)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comprehensive datasets across multiple API pages by implementing while loops alongside httpx requests to systematically parse and follow pagination cursors or next-page link headers.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7"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comprehensive datasets across multiple API pages by implementing while loops alongside httpx requests to systematically parse and follow pagination cursors or next-page link headers. Topic details: Handling API Pagination (While loops, next cursors/links)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Python - HTTPX | 📊 Level: Intermediate
**Topic:** Extract comprehensive datasets across multiple API pages by implementing while loops alongside httpx requests to systematically parse and follow pagination cursors or next-page link headers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7" s="53">
        <v>0</v>
      </c>
      <c r="T27" s="102" t="str">
        <f t="shared" si="8"/>
        <v>[ROLE] Tech Lead | [TASK] Provide intentionally messy but functional code for learning debugging and improvement | [TOPIC] Extract comprehensive datasets across multiple API pages by implementing while loops alongside httpx requests to systematically parse and follow pagination cursors or next-page link headers | [LEVEL] Intermediate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Python - HTTPX | 📊 Level: Intermediate | 🌐 Coding5s.com
**Concept:** Handling API Pagination (While loops, next cursors/links)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comprehensive datasets across multiple API pages by implementing while loops alongside httpx requests to systematically parse and follow pagination cursors or next-page link headers. Topic details: Handling API Pagination (While loops, next cursors/links)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Python - HTTPX | 📊 Level: Intermediate
**Topic:** Extract comprehensive datasets across multiple API pages by implementing while loops alongside httpx requests to systematically parse and follow pagination cursors or next-page link headers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7" s="53">
        <v>0</v>
      </c>
      <c r="W27" s="87" t="str">
        <f t="shared" si="10"/>
        <v>[ROLE] Tech Product Manager assigning a Python Jira Ticket | [TASK] Provide a guided implementation exercise with full solution for learning purposes | [TOPIC] Extract comprehensive datasets across multiple API pages by implementing while loops alongside httpx requests to systematically parse and follow pagination cursors or next-page link headers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Python - HTTPX | 📊 Level: Intermediate | 🌐 Coding5s.com
**Concept:** Handling API Pagination (While loops, next cursors/links)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comprehensive datasets across multiple API pages by implementing while loops alongside httpx requests to systematically parse and follow pagination cursors or next-page link headers. Goal: Handling API Pagination (While loops, next cursors/links)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Python - HTTPX | 📊 Level: Intermediate
**Topic:** Extract comprehensive datasets across multiple API pages by implementing while loops alongside httpx requests to systematically parse and follow pagination cursors or next-page link headers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7" s="53">
        <v>0</v>
      </c>
      <c r="Z27" s="56" t="str">
        <f t="shared" si="12"/>
        <v/>
      </c>
      <c r="AA27" s="56" t="str">
        <f t="shared" si="13"/>
        <v/>
      </c>
      <c r="AB27" s="56" t="str">
        <f t="shared" si="14"/>
        <v/>
      </c>
      <c r="AC27" s="56" t="str">
        <f t="shared" si="15"/>
        <v/>
      </c>
      <c r="AD27" s="56" t="str">
        <f t="shared" si="16"/>
        <v/>
      </c>
      <c r="AE27" s="40" t="s">
        <v>143</v>
      </c>
      <c r="AF27" s="40" t="s">
        <v>144</v>
      </c>
      <c r="AG27" s="40" t="s">
        <v>145</v>
      </c>
      <c r="AH27" s="56" t="str">
        <f t="shared" si="0"/>
        <v/>
      </c>
      <c r="AI27" s="54"/>
      <c r="AJ27" s="54"/>
      <c r="AK27" s="54">
        <v>19</v>
      </c>
      <c r="AL27" s="54" t="s">
        <v>103</v>
      </c>
      <c r="AM27" s="54" t="s">
        <v>104</v>
      </c>
    </row>
    <row r="28" spans="1:39">
      <c r="A28" s="45" t="str" cm="1">
        <f t="array" ref="A28">IF(H28="PROJECT", CHAR(10) &amp; "- " &amp; _xlfn.TEXTJOIN(CHAR(10) &amp; "- ", TRUE, _xlfn._xlws.FILTER($I$9:$I$1000, ($B$9:$B$1000=B28) * ($H$9:$H$1000="Topic"))), "")</f>
        <v xml:space="preserve">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v>
      </c>
      <c r="B28" s="45">
        <f t="shared" si="1"/>
        <v>3</v>
      </c>
      <c r="C28" s="95" t="s">
        <v>861</v>
      </c>
      <c r="D28" s="57">
        <v>0</v>
      </c>
      <c r="E28" s="58" t="s">
        <v>723</v>
      </c>
      <c r="F28" s="59">
        <v>20</v>
      </c>
      <c r="G28" s="60" t="s">
        <v>158</v>
      </c>
      <c r="H28" s="60" t="s">
        <v>77</v>
      </c>
      <c r="I28" s="61" t="s">
        <v>823</v>
      </c>
      <c r="J28" s="62" t="s">
        <v>824</v>
      </c>
      <c r="K28" s="129" t="str">
        <f t="shared" si="2"/>
        <v>[TASK] Teach through a practical Python - HTTPX project following the micro-learning methodology, acting as a supportive tutor, creating a project about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#20 | Stage 1 | Python - HTTPX | 📊 Level: Intermediate | 🌐 Coding5s.com
**Project:** Project 3: Complete CRUD Manager with Pagination &amp; Timeouts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8"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complete CRUD manager application that takes user terminal commands as input, processes data modifications across paginated API endpoints using secure httpx methods with strict network timeouts, and outputs execution status confirmations for each operation. Topics applied in this project: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Project objective: Project 3: Complete CRUD Manager with Pagination &amp; Timeouts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#20 | Practice | Python - HTTPX | 📊 Level: Intermediate
**Project:** Build a complete CRUD manager application that takes user terminal commands as input, processes data modifications across paginated API endpoints using secure httpx methods with strict network timeouts, and outputs execution status confirmations for each operation
---
 | [FOOTER RULE - STRICT] End your response with: '--- ⚡ *Coding5s Mentor System — Eliminating Epistemic Debt*' | </v>
      </c>
      <c r="M28" s="52">
        <v>0</v>
      </c>
      <c r="N28" s="102" t="str">
        <f t="shared" si="4"/>
        <v>[ROLE] Careless Python Developer | [TASK] Generate debugging project in Python | [PROJECT]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[OUTPUT] Only header, dataset summary or statement (if any), email intro, objective, expected output, broken code, and footer | [HEADER RULE - STRICT] You MUST start your entire response EXACTLY with this markdown block (do not print anything before it):
### 🚀 Project #20 | Stage 2 | Python - HTTPX | 📊 Level: Intermediate | 🌐 Coding5s.com
Project: Project 3: Complete CRUD Manager with Pagination &amp; Timeouts
---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Amharic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8"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complete CRUD manager application that takes user terminal commands as input, processes data modifications across paginated API endpoints using secure httpx methods with strict network timeouts, and outputs execution status confirmations for each operation. Topics involved: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Project objective: Project 3: Complete CRUD Manager with Pagination &amp; Timeouts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#20 | Debug | Python - HTTPX | 📊 Level: Intermediate
**Project:** Build a complete CRUD manager application that takes user terminal commands as input, processes data modifications across paginated API endpoints using secure httpx methods with strict network timeouts, and outputs execution status confirmations for each operation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8" s="52">
        <v>0</v>
      </c>
      <c r="Q28" s="102" t="str">
        <f t="shared" si="6"/>
        <v>[ROLE] Tech Lead | [TASK] Assign incomplete project script | [PROJECT]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#20 | Stage 3 | Python - HTTPX | 📊 Level: Intermediate | 🌐 Coding5s.com
**Project:** Project 3: Complete CRUD Manager with Pagination &amp; Timeouts
---
 | [EXTERNAL_PACKAGE_PROTOCOL] Require standard pip tooling and requirements.txt for dependencies. | [CHALLENGE_CONSTRAINTS_POLICY] MUST be between 30–60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8"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complete CRUD manager application that takes user terminal commands as input, processes data modifications across paginated API endpoints using secure httpx methods with strict network timeouts, and outputs execution status confirmations for each operation. Topics involved: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Project objective: Project 3: Complete CRUD Manager with Pagination &amp; Timeouts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#20 | Complete | Python - HTTPX | 📊 Level: Intermediate
**Project:** Build a complete CRUD manager application that takes user terminal commands as input, processes data modifications across paginated API endpoints using secure httpx methods with strict network timeouts, and outputs execution status confirmations for each operation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8" s="52">
        <v>0</v>
      </c>
      <c r="T28" s="102" t="str">
        <f t="shared" si="8"/>
        <v>[ROLE] Tech Lead | [TASK] Provide a messy but functional project for refactoring | [PROJECT]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[PERSONA RULE] Act as a Tech Lead. A junior wrote this working but messy code. Tone: professional but exhausted | [HEADER RULE - STRICT] You MUST start your entire response EXACTLY with this markdown block (do not print anything before it):
### 🚀 Project #20 | Stage 4 | Python - HTTPX | 📊 Level: Intermediate | 🌐 Coding5s.com
**Project:** Project 3: Complete CRUD Manager with Pagination &amp; Timeouts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complete CRUD manager application that takes user terminal commands as input, processes data modifications across paginated API endpoints using secure httpx methods with strict network timeouts, and outputs execution status confirmations for each operation. Topics involved: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Project objective: Project 3: Complete CRUD Manager with Pagination &amp; Timeouts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#20 | Refactor | Python - HTTPX | 📊 Level: Intermediate
**Project:** Build a complete CRUD manager application that takes user terminal commands as input, processes data modifications across paginated API endpoints using secure httpx methods with strict network timeouts, and outputs execution status confirmations for each operation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8" s="52">
        <v>0</v>
      </c>
      <c r="W28" s="87" t="str">
        <f t="shared" si="10"/>
        <v>[ROLE] Tech Product Manager assigning a Python Jira Ticket | [TASK] Provide a guided project implementation with full solution | [PROJECT]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[PERSONA RULE] Act as a professional Tech Product Manager defining a project ticket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#20 | Stage 5 | Python - HTTPX | 📊 Level: Intermediate | 🌐 Coding5s.com
**Project:** Project 3: Complete CRUD Manager with Pagination &amp; Timeouts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complete CRUD manager application that takes user terminal commands as input, processes data modifications across paginated API endpoints using secure httpx methods with strict network timeouts, and outputs execution status confirmations for each operation. Topics integrated: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Business Goal: Project 3: Complete CRUD Manager with Pagination &amp; Timeouts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#20 | Extend | Python - HTTPX | 📊 Level: Intermediate
**Project:** Build a complete CRUD manager application that takes user terminal commands as input, processes data modifications across paginated API endpoints using secure httpx methods with strict network timeouts, and outputs execution status confirmations for each operation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8" s="52">
        <v>0</v>
      </c>
      <c r="Z28" s="56" t="str">
        <f t="shared" si="12"/>
        <v>[TASK] Teach through a practical Python - HTTPX project following the micro-learning methodology, acting as a supportive tutor, creating a project about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#20 | Stage 1 | Python - HTTPX | 📊 Level: Intermediate | 🌐 Coding5s.com
**Project:** Project 3: Complete CRUD Manager with Pagination &amp; Timeouts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8" s="56" t="str">
        <f t="shared" si="13"/>
        <v>[ROLE] Careless Python Developer | [TASK] Generate debugging project in Python | [PROJECT]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[OUTPUT] Only header, dataset summary or statement (if any), email intro, objective, expected output, broken code, and footer | [HEADER RULE - STRICT] You MUST start your entire response EXACTLY with this markdown block (do not print anything before it):
### 🚀 Project #20 | Stage 2 | Python - HTTPX | 📊 Level: Intermediate | 🌐 Coding5s.com
Project: Project 3: Complete CRUD Manager with Pagination &amp; Timeouts
---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Amharic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8" s="56" t="str">
        <f t="shared" si="14"/>
        <v>[ROLE] Tech Lead | [TASK] Assign incomplete project script | [PROJECT]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#20 | Stage 3 | Python - HTTPX | 📊 Level: Intermediate | 🌐 Coding5s.com
**Project:** Project 3: Complete CRUD Manager with Pagination &amp; Timeouts
---
 | [EXTERNAL_PACKAGE_PROTOCOL] Require standard pip tooling and requirements.txt for dependencies. | [CHALLENGE_CONSTRAINTS_POLICY] MUST be between 30–60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8" s="56" t="str">
        <f t="shared" si="15"/>
        <v>[ROLE] Tech Lead | [TASK] Provide a messy but functional project for refactoring | [PROJECT]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[PERSONA RULE] Act as a Tech Lead. A junior wrote this working but messy code. Tone: professional but exhausted | [HEADER RULE - STRICT] You MUST start your entire response EXACTLY with this markdown block (do not print anything before it):
### 🚀 Project #20 | Stage 4 | Python - HTTPX | 📊 Level: Intermediate | 🌐 Coding5s.com
**Project:** Project 3: Complete CRUD Manager with Pagination &amp; Timeouts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8" s="56" t="str">
        <f t="shared" si="16"/>
        <v>[ROLE] Tech Product Manager assigning a Python Jira Ticket | [TASK] Provide a guided project implementation with full solution | [PROJECT]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[PERSONA RULE] Act as a professional Tech Product Manager defining a project ticket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#20 | Stage 5 | Python - HTTPX | 📊 Level: Intermediate | 🌐 Coding5s.com
**Project:** Project 3: Complete CRUD Manager with Pagination &amp; Timeouts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8" s="40" t="s">
        <v>146</v>
      </c>
      <c r="AF28" s="40" t="s">
        <v>147</v>
      </c>
      <c r="AG28" s="40" t="s">
        <v>148</v>
      </c>
      <c r="AH28" s="56" t="str">
        <f t="shared" si="0"/>
        <v/>
      </c>
      <c r="AI28" s="54"/>
      <c r="AJ28" s="54"/>
      <c r="AK28" s="54">
        <v>20</v>
      </c>
      <c r="AL28" s="54" t="s">
        <v>108</v>
      </c>
      <c r="AM28" s="54" t="s">
        <v>109</v>
      </c>
    </row>
    <row r="29" spans="1:39">
      <c r="A29" s="45" t="str" cm="1">
        <f t="array" ref="A29">IF(H29="PROJECT", CHAR(10) &amp; "- " &amp; _xlfn.TEXTJOIN(CHAR(10) &amp; "- ", TRUE, _xlfn._xlws.FILTER($I$9:$I$1000, ($B$9:$B$1000=B29) * ($H$9:$H$1000="Topic"))), "")</f>
        <v/>
      </c>
      <c r="B29" s="45">
        <f t="shared" si="1"/>
        <v>4</v>
      </c>
      <c r="C29" s="95">
        <v>8</v>
      </c>
      <c r="D29" s="46">
        <v>4</v>
      </c>
      <c r="E29" s="58" t="s">
        <v>46</v>
      </c>
      <c r="F29" s="48">
        <v>21</v>
      </c>
      <c r="G29" s="49" t="s">
        <v>158</v>
      </c>
      <c r="H29" s="49" t="s">
        <v>48</v>
      </c>
      <c r="I29" s="50" t="s">
        <v>825</v>
      </c>
      <c r="J29" s="51" t="s">
        <v>826</v>
      </c>
      <c r="K29" s="129" t="str">
        <f t="shared" si="2"/>
        <v xml:space="preserve">[ROLE] Friendly tutor specializing in Python | [TOPIC] Control HTTP redirection behavior by toggling the follow_redirects parameter in httpx methods and logically tracing the routing sequence through the response.history list attribute | [LEVEL] Intermediate | [COUNT] 4 examples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Python - HTTPX | 📊 Level: Intermediate | 🌐 Coding5s.com
**Concept:** Managing HTTP Redirects (allow_redirects, response.history)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9"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HTTP redirection behavior by toggling the follow_redirects parameter in httpx methods and logically tracing the routing sequence through the response.history list attribute. Topic details: Managing HTTP Redirects (allow_redirects, response.history)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Python - HTTPX | 📊 Level: Intermediate
**Topic:** Control HTTP redirection behavior by toggling the follow_redirects parameter in httpx methods and logically tracing the routing sequence through the response.history list attribute
---
 | [FOOTER RULE - STRICT] End your response with: '--- ⚡ *Coding5s Mentor System — Eliminating Epistemic Debt*' | </v>
      </c>
      <c r="M29" s="53">
        <v>0</v>
      </c>
      <c r="N29" s="102" t="str">
        <f t="shared" si="4"/>
        <v>[ROLE] Careless Python Developer | [TASK] Generate debugging challenges in Python | | [TOPIC] Control HTTP redirection behavior by toggling the follow_redirects parameter in httpx methods and logically tracing the routing sequence through the response.history list attribute | | [LEVEL] Intermediate |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#21 | Stage 2 🐛 Debug | Python - HTTPX | 📊 Level: Intermediate | 🌐 Coding5s.com
Concept: Managing HTTP Redirects (allow_redirects, response.history)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9"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HTTP redirection behavior by toggling the follow_redirects parameter in httpx methods and logically tracing the routing sequence through the response.history list attribute. Topic details: Managing HTTP Redirects (allow_redirects, response.history)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Python - HTTPX | 📊 Level: Intermediate
**Topic:** Control HTTP redirection behavior by toggling the follow_redirects parameter in httpx methods and logically tracing the routing sequence through the response.history list attribute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9" s="53">
        <v>0</v>
      </c>
      <c r="Q29" s="102" t="str">
        <f t="shared" si="6"/>
        <v>[ROLE] Tech Lead | [TASK] Assign incomplete Python script challenges | [TOPIC] Control HTTP redirection behavior by toggling the follow_redirects parameter in httpx methods and logically tracing the routing sequence through the response.history list attribute | [LEVEL] Intermediate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#21 | Stage 3 🧩 Complete | Python - HTTPX | 📊 Level: Intermediate | 🌐 Coding5s.com
**Concept:** Managing HTTP Redirects (allow_redirects, response.history)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HTTP redirection behavior by toggling the follow_redirects parameter in httpx methods and logically tracing the routing sequence through the response.history list attribute.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9"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HTTP redirection behavior by toggling the follow_redirects parameter in httpx methods and logically tracing the routing sequence through the response.history list attribute. Topic details: Managing HTTP Redirects (allow_redirects, response.history)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Python - HTTPX | 📊 Level: Intermediate
**Topic:** Control HTTP redirection behavior by toggling the follow_redirects parameter in httpx methods and logically tracing the routing sequence through the response.history list attribute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9" s="53">
        <v>0</v>
      </c>
      <c r="T29" s="102" t="str">
        <f t="shared" si="8"/>
        <v>[ROLE] Tech Lead | [TASK] Provide intentionally messy but functional code for learning debugging and improvement | [TOPIC] Control HTTP redirection behavior by toggling the follow_redirects parameter in httpx methods and logically tracing the routing sequence through the response.history list attribute | [LEVEL] Intermediate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Python - HTTPX | 📊 Level: Intermediate | 🌐 Coding5s.com
**Concept:** Managing HTTP Redirects (allow_redirects, response.history)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Control HTTP redirection behavior by toggling the follow_redirects parameter in httpx methods and logically tracing the routing sequence through the response.history list attribute. Topic details: Managing HTTP Redirects (allow_redirects, response.history)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Python - HTTPX | 📊 Level: Intermediate
**Topic:** Control HTTP redirection behavior by toggling the follow_redirects parameter in httpx methods and logically tracing the routing sequence through the response.history list attribute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9" s="53">
        <v>0</v>
      </c>
      <c r="W29" s="87" t="str">
        <f t="shared" si="10"/>
        <v>[ROLE] Tech Product Manager assigning a Python Jira Ticket | [TASK] Provide a guided implementation exercise with full solution for learning purposes | [TOPIC] Control HTTP redirection behavior by toggling the follow_redirects parameter in httpx methods and logically tracing the routing sequence through the response.history list attribute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Python - HTTPX | 📊 Level: Intermediate | 🌐 Coding5s.com
**Concept:** Managing HTTP Redirects (allow_redirects, response.history)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HTTP redirection behavior by toggling the follow_redirects parameter in httpx methods and logically tracing the routing sequence through the response.history list attribute. Goal: Managing HTTP Redirects (allow_redirects, response.history)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Python - HTTPX | 📊 Level: Intermediate
**Topic:** Control HTTP redirection behavior by toggling the follow_redirects parameter in httpx methods and logically tracing the routing sequence through the response.history list attribute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9" s="53">
        <v>0</v>
      </c>
      <c r="Z29" s="56" t="str">
        <f t="shared" si="12"/>
        <v/>
      </c>
      <c r="AA29" s="56" t="str">
        <f t="shared" si="13"/>
        <v/>
      </c>
      <c r="AB29" s="56" t="str">
        <f t="shared" si="14"/>
        <v/>
      </c>
      <c r="AC29" s="56" t="str">
        <f t="shared" si="15"/>
        <v/>
      </c>
      <c r="AD29" s="56" t="str">
        <f t="shared" si="16"/>
        <v/>
      </c>
      <c r="AE29" s="40" t="s">
        <v>149</v>
      </c>
      <c r="AF29" s="40" t="s">
        <v>150</v>
      </c>
      <c r="AG29" s="40" t="s">
        <v>151</v>
      </c>
      <c r="AH29" s="56" t="str">
        <f t="shared" si="0"/>
        <v/>
      </c>
      <c r="AI29" s="54"/>
      <c r="AJ29" s="54"/>
      <c r="AK29" s="54">
        <v>21</v>
      </c>
      <c r="AL29" s="54" t="s">
        <v>113</v>
      </c>
      <c r="AM29" s="54" t="s">
        <v>114</v>
      </c>
    </row>
    <row r="30" spans="1:39">
      <c r="A30" s="45" t="str" cm="1">
        <f t="array" ref="A30">IF(H30="PROJECT", CHAR(10) &amp; "- " &amp; _xlfn.TEXTJOIN(CHAR(10) &amp; "- ", TRUE, _xlfn._xlws.FILTER($I$9:$I$1000, ($B$9:$B$1000=B30) * ($H$9:$H$1000="Topic"))), "")</f>
        <v/>
      </c>
      <c r="B30" s="45">
        <f t="shared" si="1"/>
        <v>4</v>
      </c>
      <c r="C30" s="95">
        <v>10</v>
      </c>
      <c r="D30" s="57">
        <v>5</v>
      </c>
      <c r="E30" s="58" t="s">
        <v>723</v>
      </c>
      <c r="F30" s="59">
        <v>22</v>
      </c>
      <c r="G30" s="60" t="s">
        <v>158</v>
      </c>
      <c r="H30" s="60" t="s">
        <v>48</v>
      </c>
      <c r="I30" s="61" t="s">
        <v>827</v>
      </c>
      <c r="J30" s="62" t="s">
        <v>828</v>
      </c>
      <c r="K30" s="129" t="str">
        <f t="shared" si="2"/>
        <v xml:space="preserve">[ROLE] Friendly tutor specializing in Python | [TOPIC] Download massive binary files efficiently by utilizing the httpx .iter_bytes() method to stream and write data to disk in manageable chunk sizes without exhausting system RAM | [LEVEL] Intermediate | [COUNT] 5 examples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Python - HTTPX | 📊 Level: Intermediate | 🌐 Coding5s.com
**Concept:** Downloading Large/Binary Files in Chunks (iter_content)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0"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Download massive binary files efficiently by utilizing the httpx .iter_bytes() method to stream and write data to disk in manageable chunk sizes without exhausting system RAM. Topic details: Downloading Large/Binary Files in Chunks (iter_content)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Python - HTTPX | 📊 Level: Intermediate
**Topic:** Download massive binary files efficiently by utilizing the httpx .iter_bytes() method to stream and write data to disk in manageable chunk sizes without exhausting system RAM
---
 | [FOOTER RULE - STRICT] End your response with: '--- ⚡ *Coding5s Mentor System — Eliminating Epistemic Debt*' | </v>
      </c>
      <c r="M30" s="52">
        <v>0</v>
      </c>
      <c r="N30" s="102" t="str">
        <f t="shared" si="4"/>
        <v>[ROLE] Careless Python Developer | [TASK] Generate debugging challenges in Python | | [TOPIC] Download massive binary files efficiently by utilizing the httpx .iter_bytes() method to stream and write data to disk in manageable chunk sizes without exhausting system RAM | | [LEVEL] Intermediate |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#22 | Stage 2 🐛 Debug | Python - HTTPX | 📊 Level: Intermediate | 🌐 Coding5s.com
Concept: Downloading Large/Binary Files in Chunks (iter_content)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0"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Download massive binary files efficiently by utilizing the httpx .iter_bytes() method to stream and write data to disk in manageable chunk sizes without exhausting system RAM. Topic details: Downloading Large/Binary Files in Chunks (iter_content)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Python - HTTPX | 📊 Level: Intermediate
**Topic:** Download massive binary files efficiently by utilizing the httpx .iter_bytes() method to stream and write data to disk in manageable chunk sizes without exhausting system RAM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0" s="52">
        <v>0</v>
      </c>
      <c r="Q30" s="102" t="str">
        <f t="shared" si="6"/>
        <v>[ROLE] Tech Lead | [TASK] Assign incomplete Python script challenges | [TOPIC] Download massive binary files efficiently by utilizing the httpx .iter_bytes() method to stream and write data to disk in manageable chunk sizes without exhausting system RAM | [LEVEL] Intermediate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#22 | Stage 3 🧩 Complete | Python - HTTPX | 📊 Level: Intermediate | 🌐 Coding5s.com
**Concept:** Downloading Large/Binary Files in Chunks (iter_content)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Download massive binary files efficiently by utilizing the httpx .iter_bytes() method to stream and write data to disk in manageable chunk sizes without exhausting system RAM.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0"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Download massive binary files efficiently by utilizing the httpx .iter_bytes() method to stream and write data to disk in manageable chunk sizes without exhausting system RAM. Topic details: Downloading Large/Binary Files in Chunks (iter_content)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Python - HTTPX | 📊 Level: Intermediate
**Topic:** Download massive binary files efficiently by utilizing the httpx .iter_bytes() method to stream and write data to disk in manageable chunk sizes without exhausting system RAM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0" s="52">
        <v>0</v>
      </c>
      <c r="T30" s="102" t="str">
        <f t="shared" si="8"/>
        <v>[ROLE] Tech Lead | [TASK] Provide intentionally messy but functional code for learning debugging and improvement | [TOPIC] Download massive binary files efficiently by utilizing the httpx .iter_bytes() method to stream and write data to disk in manageable chunk sizes without exhausting system RAM | [LEVEL] Intermediate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Python - HTTPX | 📊 Level: Intermediate | 🌐 Coding5s.com
**Concept:** Downloading Large/Binary Files in Chunks (iter_content)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Download massive binary files efficiently by utilizing the httpx .iter_bytes() method to stream and write data to disk in manageable chunk sizes without exhausting system RAM. Topic details: Downloading Large/Binary Files in Chunks (iter_content)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Python - HTTPX | 📊 Level: Intermediate
**Topic:** Download massive binary files efficiently by utilizing the httpx .iter_bytes() method to stream and write data to disk in manageable chunk sizes without exhausting system RAM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0" s="52">
        <v>0</v>
      </c>
      <c r="W30" s="87" t="str">
        <f t="shared" si="10"/>
        <v>[ROLE] Tech Product Manager assigning a Python Jira Ticket | [TASK] Provide a guided implementation exercise with full solution for learning purposes | [TOPIC] Download massive binary files efficiently by utilizing the httpx .iter_bytes() method to stream and write data to disk in manageable chunk sizes without exhausting system RAM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Python - HTTPX | 📊 Level: Intermediate | 🌐 Coding5s.com
**Concept:** Downloading Large/Binary Files in Chunks (iter_content)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Download massive binary files efficiently by utilizing the httpx .iter_bytes() method to stream and write data to disk in manageable chunk sizes without exhausting system RAM. Goal: Downloading Large/Binary Files in Chunks (iter_content)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Python - HTTPX | 📊 Level: Intermediate
**Topic:** Download massive binary files efficiently by utilizing the httpx .iter_bytes() method to stream and write data to disk in manageable chunk sizes without exhausting system RAM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0" s="52">
        <v>0</v>
      </c>
      <c r="Z30" s="56" t="str">
        <f t="shared" si="12"/>
        <v/>
      </c>
      <c r="AA30" s="56" t="str">
        <f t="shared" si="13"/>
        <v/>
      </c>
      <c r="AB30" s="56" t="str">
        <f t="shared" si="14"/>
        <v/>
      </c>
      <c r="AC30" s="56" t="str">
        <f t="shared" si="15"/>
        <v/>
      </c>
      <c r="AD30" s="56" t="str">
        <f t="shared" si="16"/>
        <v/>
      </c>
      <c r="AE30" s="40" t="s">
        <v>152</v>
      </c>
      <c r="AF30" s="40" t="s">
        <v>153</v>
      </c>
      <c r="AG30" s="40" t="s">
        <v>154</v>
      </c>
      <c r="AH30" s="56" t="str">
        <f t="shared" si="0"/>
        <v/>
      </c>
      <c r="AI30" s="54"/>
      <c r="AJ30" s="54"/>
      <c r="AK30" s="54">
        <v>22</v>
      </c>
      <c r="AL30" s="54" t="s">
        <v>118</v>
      </c>
      <c r="AM30" s="54" t="s">
        <v>119</v>
      </c>
    </row>
    <row r="31" spans="1:39">
      <c r="A31" s="45" t="str" cm="1">
        <f t="array" ref="A31">IF(H31="PROJECT", CHAR(10) &amp; "- " &amp; _xlfn.TEXTJOIN(CHAR(10) &amp; "- ", TRUE, _xlfn._xlws.FILTER($I$9:$I$1000, ($B$9:$B$1000=B31) * ($H$9:$H$1000="Topic"))), "")</f>
        <v/>
      </c>
      <c r="B31" s="45">
        <f t="shared" si="1"/>
        <v>4</v>
      </c>
      <c r="C31" s="95">
        <v>8</v>
      </c>
      <c r="D31" s="46">
        <v>5</v>
      </c>
      <c r="E31" s="58" t="s">
        <v>723</v>
      </c>
      <c r="F31" s="48">
        <v>23</v>
      </c>
      <c r="G31" s="49" t="s">
        <v>158</v>
      </c>
      <c r="H31" s="49" t="s">
        <v>48</v>
      </c>
      <c r="I31" s="50" t="s">
        <v>829</v>
      </c>
      <c r="J31" s="51" t="s">
        <v>830</v>
      </c>
      <c r="K31" s="129" t="str">
        <f t="shared" si="2"/>
        <v xml:space="preserve">[ROLE] Friendly tutor specializing in Python | [TOPIC] Upload individual files to remote servers by passing binary file objects created with open() to the files parameter within an httpx.post multipart form request | [LEVEL] Intermediate | [COUNT] 5 examples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Python - HTTPX | 📊 Level: Intermediate | 🌐 Coding5s.com
**Concept:** Uploading Single Files (files parameter with open())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1"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Upload individual files to remote servers by passing binary file objects created with open() to the files parameter within an httpx.post multipart form request. Topic details: Uploading Single Files (files parameter with open())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Python - HTTPX | 📊 Level: Intermediate
**Topic:** Upload individual files to remote servers by passing binary file objects created with open() to the files parameter within an httpx.post multipart form request
---
 | [FOOTER RULE - STRICT] End your response with: '--- ⚡ *Coding5s Mentor System — Eliminating Epistemic Debt*' | </v>
      </c>
      <c r="M31" s="53">
        <v>0</v>
      </c>
      <c r="N31" s="102" t="str">
        <f t="shared" si="4"/>
        <v>[ROLE] Careless Python Developer | [TASK] Generate debugging challenges in Python | | [TOPIC] Upload individual files to remote servers by passing binary file objects created with open() to the files parameter within an httpx.post multipart form request | | [LEVEL] Intermediate |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#23 | Stage 2 🐛 Debug | Python - HTTPX | 📊 Level: Intermediate | 🌐 Coding5s.com
Concept: Uploading Single Files (files parameter with open())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Upload individual files to remote servers by passing binary file objects created with open() to the files parameter within an httpx.post multipart form request. Topic details: Uploading Single Files (files parameter with open())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Python - HTTPX | 📊 Level: Intermediate
**Topic:** Upload individual files to remote servers by passing binary file objects created with open() to the files parameter within an httpx.post multipart form request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1" s="53">
        <v>0</v>
      </c>
      <c r="Q31" s="102" t="str">
        <f t="shared" si="6"/>
        <v>[ROLE] Tech Lead | [TASK] Assign incomplete Python script challenges | [TOPIC] Upload individual files to remote servers by passing binary file objects created with open() to the files parameter within an httpx.post multipart form request | [LEVEL] Intermediate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#23 | Stage 3 🧩 Complete | Python - HTTPX | 📊 Level: Intermediate | 🌐 Coding5s.com
**Concept:** Uploading Single Files (files parameter with open())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Upload individual files to remote servers by passing binary file objects created with open() to the files parameter within an httpx.post multipart form request.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Upload individual files to remote servers by passing binary file objects created with open() to the files parameter within an httpx.post multipart form request. Topic details: Uploading Single Files (files parameter with open())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Python - HTTPX | 📊 Level: Intermediate
**Topic:** Upload individual files to remote servers by passing binary file objects created with open() to the files parameter within an httpx.post multipart form request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1" s="53">
        <v>0</v>
      </c>
      <c r="T31" s="102" t="str">
        <f t="shared" si="8"/>
        <v>[ROLE] Tech Lead | [TASK] Provide intentionally messy but functional code for learning debugging and improvement | [TOPIC] Upload individual files to remote servers by passing binary file objects created with open() to the files parameter within an httpx.post multipart form request | [LEVEL] Intermediate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Python - HTTPX | 📊 Level: Intermediate | 🌐 Coding5s.com
**Concept:** Uploading Single Files (files parameter with open())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Upload individual files to remote servers by passing binary file objects created with open() to the files parameter within an httpx.post multipart form request. Topic details: Uploading Single Files (files parameter with open())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Python - HTTPX | 📊 Level: Intermediate
**Topic:** Upload individual files to remote servers by passing binary file objects created with open() to the files parameter within an httpx.post multipart form request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1" s="53">
        <v>0</v>
      </c>
      <c r="W31" s="87" t="str">
        <f t="shared" si="10"/>
        <v>[ROLE] Tech Product Manager assigning a Python Jira Ticket | [TASK] Provide a guided implementation exercise with full solution for learning purposes | [TOPIC] Upload individual files to remote servers by passing binary file objects created with open() to the files parameter within an httpx.post multipart form request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Python - HTTPX | 📊 Level: Intermediate | 🌐 Coding5s.com
**Concept:** Uploading Single Files (files parameter with open())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Upload individual files to remote servers by passing binary file objects created with open() to the files parameter within an httpx.post multipart form request. Goal: Uploading Single Files (files parameter with open())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Python - HTTPX | 📊 Level: Intermediate
**Topic:** Upload individual files to remote servers by passing binary file objects created with open() to the files parameter within an httpx.post multipart form request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1" s="53">
        <v>0</v>
      </c>
      <c r="Z31" s="56" t="str">
        <f t="shared" si="12"/>
        <v/>
      </c>
      <c r="AA31" s="56" t="str">
        <f t="shared" si="13"/>
        <v/>
      </c>
      <c r="AB31" s="56" t="str">
        <f t="shared" si="14"/>
        <v/>
      </c>
      <c r="AC31" s="56" t="str">
        <f t="shared" si="15"/>
        <v/>
      </c>
      <c r="AD31" s="56" t="str">
        <f t="shared" si="16"/>
        <v/>
      </c>
      <c r="AE31" s="40" t="s">
        <v>155</v>
      </c>
      <c r="AF31" s="40" t="s">
        <v>156</v>
      </c>
      <c r="AG31" s="40" t="s">
        <v>157</v>
      </c>
      <c r="AH31" s="56" t="str">
        <f t="shared" si="0"/>
        <v/>
      </c>
      <c r="AI31" s="54"/>
      <c r="AJ31" s="54"/>
      <c r="AK31" s="54">
        <v>23</v>
      </c>
      <c r="AL31" s="54" t="s">
        <v>123</v>
      </c>
      <c r="AM31" s="54" t="s">
        <v>124</v>
      </c>
    </row>
    <row r="32" spans="1:39">
      <c r="A32" s="45" t="str" cm="1">
        <f t="array" ref="A32">IF(H32="PROJECT", CHAR(10) &amp; "- " &amp; _xlfn.TEXTJOIN(CHAR(10) &amp; "- ", TRUE, _xlfn._xlws.FILTER($I$9:$I$1000, ($B$9:$B$1000=B32) * ($H$9:$H$1000="Topic"))), "")</f>
        <v/>
      </c>
      <c r="B32" s="45">
        <f t="shared" si="1"/>
        <v>4</v>
      </c>
      <c r="C32" s="95">
        <v>10</v>
      </c>
      <c r="D32" s="57">
        <v>5</v>
      </c>
      <c r="E32" s="58" t="s">
        <v>723</v>
      </c>
      <c r="F32" s="59">
        <v>24</v>
      </c>
      <c r="G32" s="60" t="s">
        <v>158</v>
      </c>
      <c r="H32" s="60" t="s">
        <v>48</v>
      </c>
      <c r="I32" s="61" t="s">
        <v>831</v>
      </c>
      <c r="J32" s="62" t="s">
        <v>832</v>
      </c>
      <c r="K32" s="129" t="str">
        <f t="shared" si="2"/>
        <v xml:space="preserve">[ROLE] Friendly tutor specializing in Python | [TOPIC] Construct complex multipart/form-data requests in httpx by transmitting multiple binary file objects alongside supplementary string-based form data dictionaries simultaneously in a single POST operation | [LEVEL] Intermediate | [COUNT] 5 examples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#24 | Stage 1 📖 Practice | Python - HTTPX | 📊 Level: Intermediate | 🌐 Coding5s.com
**Concept:** Uploading Multiple Files and Form Data Simultaneously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2"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complex multipart/form-data requests in httpx by transmitting multiple binary file objects alongside supplementary string-based form data dictionaries simultaneously in a single POST operation. Topic details: Uploading Multiple Files and Form Data Simultaneously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#24 | Practice | Python - HTTPX | 📊 Level: Intermediate
**Topic:** Construct complex multipart/form-data requests in httpx by transmitting multiple binary file objects alongside supplementary string-based form data dictionaries simultaneously in a single POST operation
---
 | [FOOTER RULE - STRICT] End your response with: '--- ⚡ *Coding5s Mentor System — Eliminating Epistemic Debt*' | </v>
      </c>
      <c r="M32" s="52">
        <v>0</v>
      </c>
      <c r="N32" s="102" t="str">
        <f t="shared" si="4"/>
        <v>[ROLE] Careless Python Developer | [TASK] Generate debugging challenges in Python | | [TOPIC] Construct complex multipart/form-data requests in httpx by transmitting multiple binary file objects alongside supplementary string-based form data dictionaries simultaneously in a single POST operation | | [LEVEL] Intermediate |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#24 | Stage 2 🐛 Debug | Python - HTTPX | 📊 Level: Intermediate | 🌐 Coding5s.com
Concept: Uploading Multiple Files and Form Data Simultaneously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complex multipart/form-data requests in httpx by transmitting multiple binary file objects alongside supplementary string-based form data dictionaries simultaneously in a single POST operation. Topic details: Uploading Multiple Files and Form Data Simultaneously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#24 | Debug | Python - HTTPX | 📊 Level: Intermediate
**Topic:** Construct complex multipart/form-data requests in httpx by transmitting multiple binary file objects alongside supplementary string-based form data dictionaries simultaneously in a single POST operation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2" s="52">
        <v>0</v>
      </c>
      <c r="Q32" s="102" t="str">
        <f t="shared" si="6"/>
        <v>[ROLE] Tech Lead | [TASK] Assign incomplete Python script challenges | [TOPIC] Construct complex multipart/form-data requests in httpx by transmitting multiple binary file objects alongside supplementary string-based form data dictionaries simultaneously in a single POST operation | [LEVEL] Intermediate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#24 | Stage 3 🧩 Complete | Python - HTTPX | 📊 Level: Intermediate | 🌐 Coding5s.com
**Concept:** Uploading Multiple Files and Form Data Simultaneously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complex multipart/form-data requests in httpx by transmitting multiple binary file objects alongside supplementary string-based form data dictionaries simultaneously in a single POST operation.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complex multipart/form-data requests in httpx by transmitting multiple binary file objects alongside supplementary string-based form data dictionaries simultaneously in a single POST operation. Topic details: Uploading Multiple Files and Form Data Simultaneously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#24 | Complete | Python - HTTPX | 📊 Level: Intermediate
**Topic:** Construct complex multipart/form-data requests in httpx by transmitting multiple binary file objects alongside supplementary string-based form data dictionaries simultaneously in a single POST operation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2" s="52">
        <v>0</v>
      </c>
      <c r="T32" s="102" t="str">
        <f t="shared" si="8"/>
        <v>[ROLE] Tech Lead | [TASK] Provide intentionally messy but functional code for learning debugging and improvement | [TOPIC] Construct complex multipart/form-data requests in httpx by transmitting multiple binary file objects alongside supplementary string-based form data dictionaries simultaneously in a single POST operation | [LEVEL] Intermediate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#24 | Stage 4 🧹 Refactor | Python - HTTPX | 📊 Level: Intermediate | 🌐 Coding5s.com
**Concept:** Uploading Multiple Files and Form Data Simultaneously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complex multipart/form-data requests in httpx by transmitting multiple binary file objects alongside supplementary string-based form data dictionaries simultaneously in a single POST operation. Topic details: Uploading Multiple Files and Form Data Simultaneously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#24 | Refactor | Python - HTTPX | 📊 Level: Intermediate
**Topic:** Construct complex multipart/form-data requests in httpx by transmitting multiple binary file objects alongside supplementary string-based form data dictionaries simultaneously in a single POST operation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2" s="52">
        <v>0</v>
      </c>
      <c r="W32" s="87" t="str">
        <f t="shared" si="10"/>
        <v>[ROLE] Tech Product Manager assigning a Python Jira Ticket | [TASK] Provide a guided implementation exercise with full solution for learning purposes | [TOPIC] Construct complex multipart/form-data requests in httpx by transmitting multiple binary file objects alongside supplementary string-based form data dictionaries simultaneously in a single POST operation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#24 | Stage 5 | Python - HTTPX | 📊 Level: Intermediate | 🌐 Coding5s.com
**Concept:** Uploading Multiple Files and Form Data Simultaneously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complex multipart/form-data requests in httpx by transmitting multiple binary file objects alongside supplementary string-based form data dictionaries simultaneously in a single POST operation. Goal: Uploading Multiple Files and Form Data Simultaneously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#24 | Extend | Python - HTTPX | 📊 Level: Intermediate
**Topic:** Construct complex multipart/form-data requests in httpx by transmitting multiple binary file objects alongside supplementary string-based form data dictionaries simultaneously in a single POST operation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2" s="52">
        <v>0</v>
      </c>
      <c r="Z32" s="56" t="str">
        <f t="shared" si="12"/>
        <v/>
      </c>
      <c r="AA32" s="56" t="str">
        <f t="shared" si="13"/>
        <v/>
      </c>
      <c r="AB32" s="56" t="str">
        <f t="shared" si="14"/>
        <v/>
      </c>
      <c r="AC32" s="56" t="str">
        <f t="shared" si="15"/>
        <v/>
      </c>
      <c r="AD32" s="56" t="str">
        <f t="shared" si="16"/>
        <v/>
      </c>
      <c r="AE32" s="40"/>
      <c r="AF32" s="40"/>
      <c r="AG32" s="40"/>
      <c r="AH32" s="56" t="str">
        <f t="shared" si="0"/>
        <v/>
      </c>
      <c r="AI32" s="54"/>
      <c r="AJ32" s="54"/>
      <c r="AK32" s="54">
        <v>24</v>
      </c>
      <c r="AL32" s="54" t="s">
        <v>128</v>
      </c>
      <c r="AM32" s="54" t="s">
        <v>129</v>
      </c>
    </row>
    <row r="33" spans="1:39">
      <c r="A33" s="45" t="str" cm="1">
        <f t="array" ref="A33">IF(H33="PROJECT", CHAR(10) &amp; "- " &amp; _xlfn.TEXTJOIN(CHAR(10) &amp; "- ", TRUE, _xlfn._xlws.FILTER($I$9:$I$1000, ($B$9:$B$1000=B33) * ($H$9:$H$1000="Topic"))), "")</f>
        <v xml:space="preserve">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v>
      </c>
      <c r="B33" s="45">
        <f t="shared" si="1"/>
        <v>4</v>
      </c>
      <c r="C33" s="95" t="s">
        <v>861</v>
      </c>
      <c r="D33" s="46">
        <v>0</v>
      </c>
      <c r="E33" s="58" t="s">
        <v>723</v>
      </c>
      <c r="F33" s="48">
        <v>25</v>
      </c>
      <c r="G33" s="49" t="s">
        <v>158</v>
      </c>
      <c r="H33" s="49" t="s">
        <v>77</v>
      </c>
      <c r="I33" s="50" t="s">
        <v>833</v>
      </c>
      <c r="J33" s="51" t="s">
        <v>834</v>
      </c>
      <c r="K33" s="129" t="str">
        <f t="shared" si="2"/>
        <v>[TASK] Teach through a practical Python - HTTPX project following the micro-learning methodology, acting as a supportive tutor, creating a project about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#25 | Stage 1 | Python - HTTPX | 📊 Level: Intermediate | 🌐 Coding5s.com
**Project:** Project 4: Robust File Transfer Utility (Chunked downloads, uploads)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3"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robust bidirectional file transfer utility that takes local file paths and remote destination URLs as input, processes chunked byte streams for both network downloads and uploads utilizing httpx, and outputs real-time visual progress indicators to the user. Topics applied in this project: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Project objective: Project 4: Robust File Transfer Utility (Chunked downloads, uploads)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#25 | Practice | Python - HTTPX | 📊 Level: Intermediate
**Project:** Build a robust bidirectional file transfer utility that takes local file paths and remote destination URLs as input, processes chunked byte streams for both network downloads and uploads utilizing httpx, and outputs real-time visual progress indicators to the user
---
 | [FOOTER RULE - STRICT] End your response with: '--- ⚡ *Coding5s Mentor System — Eliminating Epistemic Debt*' | </v>
      </c>
      <c r="M33" s="53">
        <v>0</v>
      </c>
      <c r="N33" s="102" t="str">
        <f t="shared" si="4"/>
        <v>[ROLE] Careless Python Developer | [TASK] Generate debugging project in Python | [PROJECT]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[OUTPUT] Only header, dataset summary or statement (if any), email intro, objective, expected output, broken code, and footer | [HEADER RULE - STRICT] You MUST start your entire response EXACTLY with this markdown block (do not print anything before it):
### 🚀 Project #25 | Stage 2 | Python - HTTPX | 📊 Level: Intermediate | 🌐 Coding5s.com
Project: Project 4: Robust File Transfer Utility (Chunked downloads, uploads)
---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Itzaʼ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robust bidirectional file transfer utility that takes local file paths and remote destination URLs as input, processes chunked byte streams for both network downloads and uploads utilizing httpx, and outputs real-time visual progress indicators to the user. Topics involved: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Project objective: Project 4: Robust File Transfer Utility (Chunked downloads, uploads)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#25 | Debug | Python - HTTPX | 📊 Level: Intermediate
**Project:** Build a robust bidirectional file transfer utility that takes local file paths and remote destination URLs as input, processes chunked byte streams for both network downloads and uploads utilizing httpx, and outputs real-time visual progress indicators to the user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3" s="53">
        <v>0</v>
      </c>
      <c r="Q33" s="102" t="str">
        <f t="shared" si="6"/>
        <v>[ROLE] Tech Lead | [TASK] Assign incomplete project script | [PROJECT]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#25 | Stage 3 | Python - HTTPX | 📊 Level: Intermediate | 🌐 Coding5s.com
**Project:** Project 4: Robust File Transfer Utility (Chunked downloads, uploads)
---
 | [EXTERNAL_PACKAGE_PROTOCOL] Require standard pip tooling and requirements.txt for dependencies. | [CHALLENGE_CONSTRAINTS_POLICY] MUST be between 30–60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robust bidirectional file transfer utility that takes local file paths and remote destination URLs as input, processes chunked byte streams for both network downloads and uploads utilizing httpx, and outputs real-time visual progress indicators to the user. Topics involved: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Project objective: Project 4: Robust File Transfer Utility (Chunked downloads, uploads)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#25 | Complete | Python - HTTPX | 📊 Level: Intermediate
**Project:** Build a robust bidirectional file transfer utility that takes local file paths and remote destination URLs as input, processes chunked byte streams for both network downloads and uploads utilizing httpx, and outputs real-time visual progress indicators to the user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3" s="53">
        <v>0</v>
      </c>
      <c r="T33" s="102" t="str">
        <f t="shared" si="8"/>
        <v>[ROLE] Tech Lead | [TASK] Provide a messy but functional project for refactoring | [PROJECT]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[PERSONA RULE] Act as a Tech Lead. A junior wrote this working but messy code. Tone: professional but exhausted | [HEADER RULE - STRICT] You MUST start your entire response EXACTLY with this markdown block (do not print anything before it):
### 🚀 Project #25 | Stage 4 | Python - HTTPX | 📊 Level: Intermediate | 🌐 Coding5s.com
**Project:** Project 4: Robust File Transfer Utility (Chunked downloads, uploads)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robust bidirectional file transfer utility that takes local file paths and remote destination URLs as input, processes chunked byte streams for both network downloads and uploads utilizing httpx, and outputs real-time visual progress indicators to the user. Topics involved: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Project objective: Project 4: Robust File Transfer Utility (Chunked downloads, uploads)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#25 | Refactor | Python - HTTPX | 📊 Level: Intermediate
**Project:** Build a robust bidirectional file transfer utility that takes local file paths and remote destination URLs as input, processes chunked byte streams for both network downloads and uploads utilizing httpx, and outputs real-time visual progress indicators to the user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3" s="53">
        <v>0</v>
      </c>
      <c r="W33" s="87" t="str">
        <f t="shared" si="10"/>
        <v>[ROLE] Tech Product Manager assigning a Python Jira Ticket | [TASK] Provide a guided project implementation with full solution | [PROJECT]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[PERSONA RULE] Act as a professional Tech Product Manager defining a project ticket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#25 | Stage 5 | Python - HTTPX | 📊 Level: Intermediate | 🌐 Coding5s.com
**Project:** Project 4: Robust File Transfer Utility (Chunked downloads, uploads)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robust bidirectional file transfer utility that takes local file paths and remote destination URLs as input, processes chunked byte streams for both network downloads and uploads utilizing httpx, and outputs real-time visual progress indicators to the user. Topics integrated: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Business Goal: Project 4: Robust File Transfer Utility (Chunked downloads, uploads)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#25 | Extend | Python - HTTPX | 📊 Level: Intermediate
**Project:** Build a robust bidirectional file transfer utility that takes local file paths and remote destination URLs as input, processes chunked byte streams for both network downloads and uploads utilizing httpx, and outputs real-time visual progress indicators to the user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3" s="53">
        <v>0</v>
      </c>
      <c r="Z33" s="56" t="str">
        <f t="shared" si="12"/>
        <v>[TASK] Teach through a practical Python - HTTPX project following the micro-learning methodology, acting as a supportive tutor, creating a project about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#25 | Stage 1 | Python - HTTPX | 📊 Level: Intermediate | 🌐 Coding5s.com
**Project:** Project 4: Robust File Transfer Utility (Chunked downloads, uploads)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3" s="56" t="str">
        <f t="shared" si="13"/>
        <v>[ROLE] Careless Python Developer | [TASK] Generate debugging project in Python | [PROJECT]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[OUTPUT] Only header, dataset summary or statement (if any), email intro, objective, expected output, broken code, and footer | [HEADER RULE - STRICT] You MUST start your entire response EXACTLY with this markdown block (do not print anything before it):
### 🚀 Project #25 | Stage 2 | Python - HTTPX | 📊 Level: Intermediate | 🌐 Coding5s.com
Project: Project 4: Robust File Transfer Utility (Chunked downloads, uploads)
---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Itzaʼ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3" s="56" t="str">
        <f t="shared" si="14"/>
        <v>[ROLE] Tech Lead | [TASK] Assign incomplete project script | [PROJECT]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#25 | Stage 3 | Python - HTTPX | 📊 Level: Intermediate | 🌐 Coding5s.com
**Project:** Project 4: Robust File Transfer Utility (Chunked downloads, uploads)
---
 | [EXTERNAL_PACKAGE_PROTOCOL] Require standard pip tooling and requirements.txt for dependencies. | [CHALLENGE_CONSTRAINTS_POLICY] MUST be between 30–60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3" s="56" t="str">
        <f t="shared" si="15"/>
        <v>[ROLE] Tech Lead | [TASK] Provide a messy but functional project for refactoring | [PROJECT]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[PERSONA RULE] Act as a Tech Lead. A junior wrote this working but messy code. Tone: professional but exhausted | [HEADER RULE - STRICT] You MUST start your entire response EXACTLY with this markdown block (do not print anything before it):
### 🚀 Project #25 | Stage 4 | Python - HTTPX | 📊 Level: Intermediate | 🌐 Coding5s.com
**Project:** Project 4: Robust File Transfer Utility (Chunked downloads, uploads)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3" s="56" t="str">
        <f t="shared" si="16"/>
        <v>[ROLE] Tech Product Manager assigning a Python Jira Ticket | [TASK] Provide a guided project implementation with full solution | [PROJECT]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[PERSONA RULE] Act as a professional Tech Product Manager defining a project ticket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#25 | Stage 5 | Python - HTTPX | 📊 Level: Intermediate | 🌐 Coding5s.com
**Project:** Project 4: Robust File Transfer Utility (Chunked downloads, uploads)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3" s="40"/>
      <c r="AF33" s="40"/>
      <c r="AG33" s="40"/>
      <c r="AH33" s="56" t="str">
        <f t="shared" si="0"/>
        <v/>
      </c>
      <c r="AI33" s="54"/>
      <c r="AJ33" s="54"/>
      <c r="AK33" s="54">
        <v>25</v>
      </c>
      <c r="AL33" s="54" t="s">
        <v>133</v>
      </c>
      <c r="AM33" s="54" t="s">
        <v>134</v>
      </c>
    </row>
    <row r="34" spans="1:39">
      <c r="A34" s="45" t="str" cm="1">
        <f t="array" ref="A34">IF(H34="PROJECT", CHAR(10) &amp; "- " &amp; _xlfn.TEXTJOIN(CHAR(10) &amp; "- ", TRUE, _xlfn._xlws.FILTER($I$9:$I$1000, ($B$9:$B$1000=B34) * ($H$9:$H$1000="Topic"))), "")</f>
        <v/>
      </c>
      <c r="B34" s="45">
        <f t="shared" si="1"/>
        <v>5</v>
      </c>
      <c r="C34" s="95">
        <v>8</v>
      </c>
      <c r="D34" s="57">
        <v>5</v>
      </c>
      <c r="E34" s="58" t="s">
        <v>46</v>
      </c>
      <c r="F34" s="59">
        <v>26</v>
      </c>
      <c r="G34" s="60" t="s">
        <v>159</v>
      </c>
      <c r="H34" s="60" t="s">
        <v>48</v>
      </c>
      <c r="I34" s="61" t="s">
        <v>835</v>
      </c>
      <c r="J34" s="62" t="s">
        <v>836</v>
      </c>
      <c r="K34" s="129" t="str">
        <f t="shared" si="2"/>
        <v xml:space="preserve">[ROLE] Friendly tutor specializing in Python | [TOPIC] Optimize HTTP performance and implement underlying connection pooling by initializing an httpx.Client() instance to persist TCP connections across multiple sequential network requests | [LEVEL] Advanced | [COUNT] 5 examples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Python - HTTPX | 📊 Level: Advanced | 🌐 Coding5s.com
**Concept:** Initializing Connection Pooling and State (requests.Session())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4"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HTTP performance and implement underlying connection pooling by initializing an httpx.Client() instance to persist TCP connections across multiple sequential network requests. Topic details: Initializing Connection Pooling and State (requests.Session())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Python - HTTPX | 📊 Level: Advanced
**Topic:** Optimize HTTP performance and implement underlying connection pooling by initializing an httpx.Client() instance to persist TCP connections across multiple sequential network requests
---
 | [FOOTER RULE - STRICT] End your response with: '--- ⚡ *Coding5s Mentor System — Eliminating Epistemic Debt*' | </v>
      </c>
      <c r="M34" s="52">
        <v>0</v>
      </c>
      <c r="N34" s="102" t="str">
        <f t="shared" si="4"/>
        <v>[ROLE] Careless Python Developer | [TASK] Generate debugging challenges in Python | | [TOPIC] Optimize HTTP performance and implement underlying connection pooling by initializing an httpx.Client() instance to persist TCP connections across multiple sequential network requests | | [LEVEL] Advanced |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#26 | Stage 2 🐛 Debug | Python - HTTPX | 📊 Level: Advanced | 🌐 Coding5s.com
Concept: Initializing Connection Pooling and State (requests.Session())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HTTP performance and implement underlying connection pooling by initializing an httpx.Client() instance to persist TCP connections across multiple sequential network requests. Topic details: Initializing Connection Pooling and State (requests.Session())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Python - HTTPX | 📊 Level: Advanced
**Topic:** Optimize HTTP performance and implement underlying connection pooling by initializing an httpx.Client() instance to persist TCP connections across multiple sequential network requests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4" s="52">
        <v>0</v>
      </c>
      <c r="Q34" s="102" t="str">
        <f t="shared" si="6"/>
        <v>[ROLE] Tech Lead | [TASK] Assign incomplete Python script challenges | [TOPIC] Optimize HTTP performance and implement underlying connection pooling by initializing an httpx.Client() instance to persist TCP connections across multiple sequential network requests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#26 | Stage 3 🧩 Complete | Python - HTTPX | 📊 Level: Advanced | 🌐 Coding5s.com
**Concept:** Initializing Connection Pooling and State (requests.Session())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HTTP performance and implement underlying connection pooling by initializing an httpx.Client() instance to persist TCP connections across multiple sequential network requests.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HTTP performance and implement underlying connection pooling by initializing an httpx.Client() instance to persist TCP connections across multiple sequential network requests. Topic details: Initializing Connection Pooling and State (requests.Session())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Python - HTTPX | 📊 Level: Advanced
**Topic:** Optimize HTTP performance and implement underlying connection pooling by initializing an httpx.Client() instance to persist TCP connections across multiple sequential network requests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4" s="52">
        <v>0</v>
      </c>
      <c r="T34" s="102" t="str">
        <f t="shared" si="8"/>
        <v>[ROLE] Tech Lead | [TASK] Provide intentionally messy but functional code for learning debugging and improvement | [TOPIC] Optimize HTTP performance and implement underlying connection pooling by initializing an httpx.Client() instance to persist TCP connections across multiple sequential network requests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Python - HTTPX | 📊 Level: Advanced | 🌐 Coding5s.com
**Concept:** Initializing Connection Pooling and State (requests.Session())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Optimize HTTP performance and implement underlying connection pooling by initializing an httpx.Client() instance to persist TCP connections across multiple sequential network requests. Topic details: Initializing Connection Pooling and State (requests.Session())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Python - HTTPX | 📊 Level: Advanced
**Topic:** Optimize HTTP performance and implement underlying connection pooling by initializing an httpx.Client() instance to persist TCP connections across multiple sequential network requests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4" s="52">
        <v>0</v>
      </c>
      <c r="W34" s="87" t="str">
        <f t="shared" si="10"/>
        <v>[ROLE] Tech Product Manager assigning a Python Jira Ticket | [TASK] Provide a guided implementation exercise with full solution for learning purposes | [TOPIC] Optimize HTTP performance and implement underlying connection pooling by initializing an httpx.Client() instance to persist TCP connections across multiple sequential network requests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Python - HTTPX | 📊 Level: Advanced | 🌐 Coding5s.com
**Concept:** Initializing Connection Pooling and State (requests.Session())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HTTP performance and implement underlying connection pooling by initializing an httpx.Client() instance to persist TCP connections across multiple sequential network requests. Goal: Initializing Connection Pooling and State (requests.Session())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Python - HTTPX | 📊 Level: Advanced
**Topic:** Optimize HTTP performance and implement underlying connection pooling by initializing an httpx.Client() instance to persist TCP connections across multiple sequential network requests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4" s="52">
        <v>0</v>
      </c>
      <c r="Z34" s="56" t="str">
        <f t="shared" si="12"/>
        <v/>
      </c>
      <c r="AA34" s="56" t="str">
        <f t="shared" si="13"/>
        <v/>
      </c>
      <c r="AB34" s="56" t="str">
        <f t="shared" si="14"/>
        <v/>
      </c>
      <c r="AC34" s="56" t="str">
        <f t="shared" si="15"/>
        <v/>
      </c>
      <c r="AD34" s="56" t="str">
        <f t="shared" si="16"/>
        <v/>
      </c>
      <c r="AE34" s="40"/>
      <c r="AF34" s="40"/>
      <c r="AG34" s="40"/>
      <c r="AH34" s="56" t="str">
        <f t="shared" si="0"/>
        <v/>
      </c>
      <c r="AI34" s="54"/>
      <c r="AJ34" s="54"/>
      <c r="AK34" s="54">
        <v>26</v>
      </c>
      <c r="AL34" s="54" t="s">
        <v>138</v>
      </c>
      <c r="AM34" s="54" t="s">
        <v>139</v>
      </c>
    </row>
    <row r="35" spans="1:39">
      <c r="A35" s="45" t="str" cm="1">
        <f t="array" ref="A35">IF(H35="PROJECT", CHAR(10) &amp; "- " &amp; _xlfn.TEXTJOIN(CHAR(10) &amp; "- ", TRUE, _xlfn._xlws.FILTER($I$9:$I$1000, ($B$9:$B$1000=B35) * ($H$9:$H$1000="Topic"))), "")</f>
        <v/>
      </c>
      <c r="B35" s="45">
        <f t="shared" si="1"/>
        <v>5</v>
      </c>
      <c r="C35" s="95">
        <v>10</v>
      </c>
      <c r="D35" s="46">
        <v>5</v>
      </c>
      <c r="E35" s="58" t="s">
        <v>46</v>
      </c>
      <c r="F35" s="48">
        <v>27</v>
      </c>
      <c r="G35" s="49" t="s">
        <v>159</v>
      </c>
      <c r="H35" s="49" t="s">
        <v>48</v>
      </c>
      <c r="I35" s="50" t="s">
        <v>837</v>
      </c>
      <c r="J35" s="51" t="s">
        <v>838</v>
      </c>
      <c r="K35" s="129" t="str">
        <f t="shared" si="2"/>
        <v xml:space="preserve">[ROLE] Friendly tutor specializing in Python | [TOPIC] Configure client-level network defaults by assigning base URLs, default authentication schemas, and universal headers to an httpx.Client() object to standardize parameters across all outbound application requests | [LEVEL] Advanced | [COUNT] 5 examples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Python - HTTPX | 📊 Level: Advanced | 🌐 Coding5s.com
**Concept:** Configuring Session-Level Defaults (Default headers, default auth)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5"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client-level network defaults by assigning base URLs, default authentication schemas, and universal headers to an httpx.Client() object to standardize parameters across all outbound application requests. Topic details: Configuring Session-Level Defaults (Default headers, default auth)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Python - HTTPX | 📊 Level: Advanced
**Topic:** Configure client-level network defaults by assigning base URLs, default authentication schemas, and universal headers to an httpx.Client() object to standardize parameters across all outbound application requests
---
 | [FOOTER RULE - STRICT] End your response with: '--- ⚡ *Coding5s Mentor System — Eliminating Epistemic Debt*' | </v>
      </c>
      <c r="M35" s="53">
        <v>0</v>
      </c>
      <c r="N35" s="102" t="str">
        <f t="shared" si="4"/>
        <v>[ROLE] Careless Python Developer | [TASK] Generate debugging challenges in Python | | [TOPIC] Configure client-level network defaults by assigning base URLs, default authentication schemas, and universal headers to an httpx.Client() object to standardize parameters across all outbound application requests | | [LEVEL] Advanced |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#27 | Stage 2 🐛 Debug | Python - HTTPX | 📊 Level: Advanced | 🌐 Coding5s.com
Concept: Configuring Session-Level Defaults (Default headers, default auth)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5"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client-level network defaults by assigning base URLs, default authentication schemas, and universal headers to an httpx.Client() object to standardize parameters across all outbound application requests. Topic details: Configuring Session-Level Defaults (Default headers, default auth)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Python - HTTPX | 📊 Level: Advanced
**Topic:** Configure client-level network defaults by assigning base URLs, default authentication schemas, and universal headers to an httpx.Client() object to standardize parameters across all outbound application requests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5" s="53">
        <v>0</v>
      </c>
      <c r="Q35" s="102" t="str">
        <f t="shared" si="6"/>
        <v>[ROLE] Tech Lead | [TASK] Assign incomplete Python script challenges | [TOPIC] Configure client-level network defaults by assigning base URLs, default authentication schemas, and universal headers to an httpx.Client() object to standardize parameters across all outbound application requests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#27 | Stage 3 🧩 Complete | Python - HTTPX | 📊 Level: Advanced | 🌐 Coding5s.com
**Concept:** Configuring Session-Level Defaults (Default headers, default auth)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client-level network defaults by assigning base URLs, default authentication schemas, and universal headers to an httpx.Client() object to standardize parameters across all outbound application requests.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5"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client-level network defaults by assigning base URLs, default authentication schemas, and universal headers to an httpx.Client() object to standardize parameters across all outbound application requests. Topic details: Configuring Session-Level Defaults (Default headers, default auth)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Python - HTTPX | 📊 Level: Advanced
**Topic:** Configure client-level network defaults by assigning base URLs, default authentication schemas, and universal headers to an httpx.Client() object to standardize parameters across all outbound application requests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5" s="53">
        <v>0</v>
      </c>
      <c r="T35" s="102" t="str">
        <f t="shared" si="8"/>
        <v>[ROLE] Tech Lead | [TASK] Provide intentionally messy but functional code for learning debugging and improvement | [TOPIC] Configure client-level network defaults by assigning base URLs, default authentication schemas, and universal headers to an httpx.Client() object to standardize parameters across all outbound application requests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Python - HTTPX | 📊 Level: Advanced | 🌐 Coding5s.com
**Concept:** Configuring Session-Level Defaults (Default headers, default auth)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Configure client-level network defaults by assigning base URLs, default authentication schemas, and universal headers to an httpx.Client() object to standardize parameters across all outbound application requests. Topic details: Configuring Session-Level Defaults (Default headers, default auth)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Python - HTTPX | 📊 Level: Advanced
**Topic:** Configure client-level network defaults by assigning base URLs, default authentication schemas, and universal headers to an httpx.Client() object to standardize parameters across all outbound application requests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5" s="53">
        <v>0</v>
      </c>
      <c r="W35" s="87" t="str">
        <f t="shared" si="10"/>
        <v>[ROLE] Tech Product Manager assigning a Python Jira Ticket | [TASK] Provide a guided implementation exercise with full solution for learning purposes | [TOPIC] Configure client-level network defaults by assigning base URLs, default authentication schemas, and universal headers to an httpx.Client() object to standardize parameters across all outbound application requests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Python - HTTPX | 📊 Level: Advanced | 🌐 Coding5s.com
**Concept:** Configuring Session-Level Defaults (Default headers, default auth)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client-level network defaults by assigning base URLs, default authentication schemas, and universal headers to an httpx.Client() object to standardize parameters across all outbound application requests. Goal: Configuring Session-Level Defaults (Default headers, default auth)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Python - HTTPX | 📊 Level: Advanced
**Topic:** Configure client-level network defaults by assigning base URLs, default authentication schemas, and universal headers to an httpx.Client() object to standardize parameters across all outbound application requests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5" s="53">
        <v>0</v>
      </c>
      <c r="Z35" s="56" t="str">
        <f t="shared" si="12"/>
        <v/>
      </c>
      <c r="AA35" s="56" t="str">
        <f t="shared" si="13"/>
        <v/>
      </c>
      <c r="AB35" s="56" t="str">
        <f t="shared" si="14"/>
        <v/>
      </c>
      <c r="AC35" s="56" t="str">
        <f t="shared" si="15"/>
        <v/>
      </c>
      <c r="AD35" s="56" t="str">
        <f t="shared" si="16"/>
        <v/>
      </c>
      <c r="AE35" s="40"/>
      <c r="AF35" s="40"/>
      <c r="AG35" s="40"/>
      <c r="AH35" s="56" t="str">
        <f t="shared" si="0"/>
        <v/>
      </c>
      <c r="AI35" s="54"/>
      <c r="AJ35" s="54"/>
      <c r="AK35" s="54">
        <v>27</v>
      </c>
      <c r="AL35" s="54" t="s">
        <v>143</v>
      </c>
      <c r="AM35" s="54" t="s">
        <v>144</v>
      </c>
    </row>
    <row r="36" spans="1:39">
      <c r="A36" s="45" t="str" cm="1">
        <f t="array" ref="A36">IF(H36="PROJECT", CHAR(10) &amp; "- " &amp; _xlfn.TEXTJOIN(CHAR(10) &amp; "- ", TRUE, _xlfn._xlws.FILTER($I$9:$I$1000, ($B$9:$B$1000=B36) * ($H$9:$H$1000="Topic"))), "")</f>
        <v/>
      </c>
      <c r="B36" s="45">
        <f t="shared" si="1"/>
        <v>5</v>
      </c>
      <c r="C36" s="95">
        <v>8</v>
      </c>
      <c r="D36" s="57">
        <v>5</v>
      </c>
      <c r="E36" s="58" t="s">
        <v>46</v>
      </c>
      <c r="F36" s="59">
        <v>28</v>
      </c>
      <c r="G36" s="60" t="s">
        <v>159</v>
      </c>
      <c r="H36" s="60" t="s">
        <v>48</v>
      </c>
      <c r="I36" s="61" t="s">
        <v>839</v>
      </c>
      <c r="J36" s="62" t="s">
        <v>840</v>
      </c>
      <c r="K36" s="129" t="str">
        <f t="shared" si="2"/>
        <v xml:space="preserve">[ROLE] Friendly tutor specializing in Python | [TOPIC] Manage persistent HTTP states by manipulating the cookies parameter, extracting response.cookies, and utilizing the httpx.Cookies class to dynamically handle and inject server-issued session identifiers | [LEVEL] Advanced | [COUNT] 5 examples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Python - HTTPX | 📊 Level: Advanced | 🌐 Coding5s.com
**Concept:** Managing Cookies (cookies param, response.cookies, RequestsCookieJar)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6"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persistent HTTP states by manipulating the cookies parameter, extracting response.cookies, and utilizing the httpx.Cookies class to dynamically handle and inject server-issued session identifiers. Topic details: Managing Cookies (cookies param, response.cookies, RequestsCookieJar)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Python - HTTPX | 📊 Level: Advanced
**Topic:** Manage persistent HTTP states by manipulating the cookies parameter, extracting response.cookies, and utilizing the httpx.Cookies class to dynamically handle and inject server-issued session identifiers
---
 | [FOOTER RULE - STRICT] End your response with: '--- ⚡ *Coding5s Mentor System — Eliminating Epistemic Debt*' | </v>
      </c>
      <c r="M36" s="52">
        <v>0</v>
      </c>
      <c r="N36" s="102" t="str">
        <f t="shared" si="4"/>
        <v>[ROLE] Careless Python Developer | [TASK] Generate debugging challenges in Python | | [TOPIC] Manage persistent HTTP states by manipulating the cookies parameter, extracting response.cookies, and utilizing the httpx.Cookies class to dynamically handle and inject server-issued session identifiers | | [LEVEL] Advanced |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#28 | Stage 2 🐛 Debug | Python - HTTPX | 📊 Level: Advanced | 🌐 Coding5s.com
Concept: Managing Cookies (cookies param, response.cookies, RequestsCookieJar)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6"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persistent HTTP states by manipulating the cookies parameter, extracting response.cookies, and utilizing the httpx.Cookies class to dynamically handle and inject server-issued session identifiers. Topic details: Managing Cookies (cookies param, response.cookies, RequestsCookieJar)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Python - HTTPX | 📊 Level: Advanced
**Topic:** Manage persistent HTTP states by manipulating the cookies parameter, extracting response.cookies, and utilizing the httpx.Cookies class to dynamically handle and inject server-issued session identifiers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6" s="52">
        <v>0</v>
      </c>
      <c r="Q36" s="102" t="str">
        <f t="shared" si="6"/>
        <v>[ROLE] Tech Lead | [TASK] Assign incomplete Python script challenges | [TOPIC] Manage persistent HTTP states by manipulating the cookies parameter, extracting response.cookies, and utilizing the httpx.Cookies class to dynamically handle and inject server-issued session identifiers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#28 | Stage 3 🧩 Complete | Python - HTTPX | 📊 Level: Advanced | 🌐 Coding5s.com
**Concept:** Managing Cookies (cookies param, response.cookies, RequestsCookieJar)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persistent HTTP states by manipulating the cookies parameter, extracting response.cookies, and utilizing the httpx.Cookies class to dynamically handle and inject server-issued session identifiers.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6"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persistent HTTP states by manipulating the cookies parameter, extracting response.cookies, and utilizing the httpx.Cookies class to dynamically handle and inject server-issued session identifiers. Topic details: Managing Cookies (cookies param, response.cookies, RequestsCookieJar)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Python - HTTPX | 📊 Level: Advanced
**Topic:** Manage persistent HTTP states by manipulating the cookies parameter, extracting response.cookies, and utilizing the httpx.Cookies class to dynamically handle and inject server-issued session identifiers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6" s="52">
        <v>0</v>
      </c>
      <c r="T36" s="102" t="str">
        <f t="shared" si="8"/>
        <v>[ROLE] Tech Lead | [TASK] Provide intentionally messy but functional code for learning debugging and improvement | [TOPIC] Manage persistent HTTP states by manipulating the cookies parameter, extracting response.cookies, and utilizing the httpx.Cookies class to dynamically handle and inject server-issued session identifiers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Python - HTTPX | 📊 Level: Advanced | 🌐 Coding5s.com
**Concept:** Managing Cookies (cookies param, response.cookies, RequestsCookieJar)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Manage persistent HTTP states by manipulating the cookies parameter, extracting response.cookies, and utilizing the httpx.Cookies class to dynamically handle and inject server-issued session identifiers. Topic details: Managing Cookies (cookies param, response.cookies, RequestsCookieJar)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Python - HTTPX | 📊 Level: Advanced
**Topic:** Manage persistent HTTP states by manipulating the cookies parameter, extracting response.cookies, and utilizing the httpx.Cookies class to dynamically handle and inject server-issued session identifiers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6" s="52">
        <v>0</v>
      </c>
      <c r="W36" s="87" t="str">
        <f t="shared" si="10"/>
        <v>[ROLE] Tech Product Manager assigning a Python Jira Ticket | [TASK] Provide a guided implementation exercise with full solution for learning purposes | [TOPIC] Manage persistent HTTP states by manipulating the cookies parameter, extracting response.cookies, and utilizing the httpx.Cookies class to dynamically handle and inject server-issued session identifiers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Python - HTTPX | 📊 Level: Advanced | 🌐 Coding5s.com
**Concept:** Managing Cookies (cookies param, response.cookies, RequestsCookieJar)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persistent HTTP states by manipulating the cookies parameter, extracting response.cookies, and utilizing the httpx.Cookies class to dynamically handle and inject server-issued session identifiers. Goal: Managing Cookies (cookies param, response.cookies, RequestsCookieJar)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Python - HTTPX | 📊 Level: Advanced
**Topic:** Manage persistent HTTP states by manipulating the cookies parameter, extracting response.cookies, and utilizing the httpx.Cookies class to dynamically handle and inject server-issued session identifiers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6" s="52">
        <v>0</v>
      </c>
      <c r="Z36" s="56" t="str">
        <f t="shared" si="12"/>
        <v/>
      </c>
      <c r="AA36" s="56" t="str">
        <f t="shared" si="13"/>
        <v/>
      </c>
      <c r="AB36" s="56" t="str">
        <f t="shared" si="14"/>
        <v/>
      </c>
      <c r="AC36" s="56" t="str">
        <f t="shared" si="15"/>
        <v/>
      </c>
      <c r="AD36" s="56" t="str">
        <f t="shared" si="16"/>
        <v/>
      </c>
      <c r="AE36" s="40"/>
      <c r="AF36" s="40"/>
      <c r="AG36" s="40"/>
      <c r="AH36" s="56" t="str">
        <f t="shared" si="0"/>
        <v/>
      </c>
      <c r="AI36" s="54"/>
      <c r="AJ36" s="54"/>
      <c r="AK36" s="54">
        <v>28</v>
      </c>
      <c r="AL36" s="54" t="s">
        <v>146</v>
      </c>
      <c r="AM36" s="54" t="s">
        <v>147</v>
      </c>
    </row>
    <row r="37" spans="1:39">
      <c r="A37" s="45" t="str" cm="1">
        <f t="array" ref="A37">IF(H37="PROJECT", CHAR(10) &amp; "- " &amp; _xlfn.TEXTJOIN(CHAR(10) &amp; "- ", TRUE, _xlfn._xlws.FILTER($I$9:$I$1000, ($B$9:$B$1000=B37) * ($H$9:$H$1000="Topic"))), "")</f>
        <v/>
      </c>
      <c r="B37" s="45">
        <f t="shared" si="1"/>
        <v>5</v>
      </c>
      <c r="C37" s="95">
        <v>10</v>
      </c>
      <c r="D37" s="46">
        <v>4</v>
      </c>
      <c r="E37" s="58" t="s">
        <v>46</v>
      </c>
      <c r="F37" s="48">
        <v>29</v>
      </c>
      <c r="G37" s="49" t="s">
        <v>159</v>
      </c>
      <c r="H37" s="49" t="s">
        <v>48</v>
      </c>
      <c r="I37" s="50" t="s">
        <v>841</v>
      </c>
      <c r="J37" s="51" t="s">
        <v>842</v>
      </c>
      <c r="K37" s="129" t="str">
        <f t="shared" si="2"/>
        <v xml:space="preserve">[ROLE] Friendly tutor specializing in Python | [TOPIC] Obfuscate origin IP addresses and securely route network traffic by configuring the proxy or proxies parameter in httpx clients to forward outgoing requests through designated HTTP/HTTPS proxy servers | [LEVEL] Advanced | [COUNT] 4 examples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Python - HTTPX | 📊 Level: Advanced | 🌐 Coding5s.com
**Concept:** Routing Traffic through Proxies (proxies dictionary)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7"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Obfuscate origin IP addresses and securely route network traffic by configuring the proxy or proxies parameter in httpx clients to forward outgoing requests through designated HTTP/HTTPS proxy servers. Topic details: Routing Traffic through Proxies (proxies dictionary)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Python - HTTPX | 📊 Level: Advanced
**Topic:** Obfuscate origin IP addresses and securely route network traffic by configuring the proxy or proxies parameter in httpx clients to forward outgoing requests through designated HTTP/HTTPS proxy servers
---
 | [FOOTER RULE - STRICT] End your response with: '--- ⚡ *Coding5s Mentor System — Eliminating Epistemic Debt*' | </v>
      </c>
      <c r="M37" s="53">
        <v>0</v>
      </c>
      <c r="N37" s="102" t="str">
        <f t="shared" si="4"/>
        <v>[ROLE] Careless Python Developer | [TASK] Generate debugging challenges in Python | | [TOPIC] Obfuscate origin IP addresses and securely route network traffic by configuring the proxy or proxies parameter in httpx clients to forward outgoing requests through designated HTTP/HTTPS proxy servers | | [LEVEL] Advanced |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#29 | Stage 2 🐛 Debug | Python - HTTPX | 📊 Level: Advanced | 🌐 Coding5s.com
Concept: Routing Traffic through Proxies (proxies dictionary)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7"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Obfuscate origin IP addresses and securely route network traffic by configuring the proxy or proxies parameter in httpx clients to forward outgoing requests through designated HTTP/HTTPS proxy servers. Topic details: Routing Traffic through Proxies (proxies dictionary)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Python - HTTPX | 📊 Level: Advanced
**Topic:** Obfuscate origin IP addresses and securely route network traffic by configuring the proxy or proxies parameter in httpx clients to forward outgoing requests through designated HTTP/HTTPS proxy servers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7" s="53">
        <v>0</v>
      </c>
      <c r="Q37" s="102" t="str">
        <f t="shared" si="6"/>
        <v>[ROLE] Tech Lead | [TASK] Assign incomplete Python script challenges | [TOPIC] Obfuscate origin IP addresses and securely route network traffic by configuring the proxy or proxies parameter in httpx clients to forward outgoing requests through designated HTTP/HTTPS proxy servers | [LEVEL] Advanced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#29 | Stage 3 🧩 Complete | Python - HTTPX | 📊 Level: Advanced | 🌐 Coding5s.com
**Concept:** Routing Traffic through Proxies (proxies dictionary)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Obfuscate origin IP addresses and securely route network traffic by configuring the proxy or proxies parameter in httpx clients to forward outgoing requests through designated HTTP/HTTPS proxy servers.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7"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Obfuscate origin IP addresses and securely route network traffic by configuring the proxy or proxies parameter in httpx clients to forward outgoing requests through designated HTTP/HTTPS proxy servers. Topic details: Routing Traffic through Proxies (proxies dictionary)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Python - HTTPX | 📊 Level: Advanced
**Topic:** Obfuscate origin IP addresses and securely route network traffic by configuring the proxy or proxies parameter in httpx clients to forward outgoing requests through designated HTTP/HTTPS proxy servers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7" s="53">
        <v>0</v>
      </c>
      <c r="T37" s="102" t="str">
        <f t="shared" si="8"/>
        <v>[ROLE] Tech Lead | [TASK] Provide intentionally messy but functional code for learning debugging and improvement | [TOPIC] Obfuscate origin IP addresses and securely route network traffic by configuring the proxy or proxies parameter in httpx clients to forward outgoing requests through designated HTTP/HTTPS proxy servers | [LEVEL] Advanced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Python - HTTPX | 📊 Level: Advanced | 🌐 Coding5s.com
**Concept:** Routing Traffic through Proxies (proxies dictionary)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Obfuscate origin IP addresses and securely route network traffic by configuring the proxy or proxies parameter in httpx clients to forward outgoing requests through designated HTTP/HTTPS proxy servers. Topic details: Routing Traffic through Proxies (proxies dictionary)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Python - HTTPX | 📊 Level: Advanced
**Topic:** Obfuscate origin IP addresses and securely route network traffic by configuring the proxy or proxies parameter in httpx clients to forward outgoing requests through designated HTTP/HTTPS proxy servers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7" s="53">
        <v>0</v>
      </c>
      <c r="W37" s="87" t="str">
        <f t="shared" si="10"/>
        <v>[ROLE] Tech Product Manager assigning a Python Jira Ticket | [TASK] Provide a guided implementation exercise with full solution for learning purposes | [TOPIC] Obfuscate origin IP addresses and securely route network traffic by configuring the proxy or proxies parameter in httpx clients to forward outgoing requests through designated HTTP/HTTPS proxy servers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Python - HTTPX | 📊 Level: Advanced | 🌐 Coding5s.com
**Concept:** Routing Traffic through Proxies (proxies dictionary)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Obfuscate origin IP addresses and securely route network traffic by configuring the proxy or proxies parameter in httpx clients to forward outgoing requests through designated HTTP/HTTPS proxy servers. Goal: Routing Traffic through Proxies (proxies dictionary)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Python - HTTPX | 📊 Level: Advanced
**Topic:** Obfuscate origin IP addresses and securely route network traffic by configuring the proxy or proxies parameter in httpx clients to forward outgoing requests through designated HTTP/HTTPS proxy servers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7" s="53">
        <v>0</v>
      </c>
      <c r="Z37" s="56" t="str">
        <f t="shared" si="12"/>
        <v/>
      </c>
      <c r="AA37" s="56" t="str">
        <f t="shared" si="13"/>
        <v/>
      </c>
      <c r="AB37" s="56" t="str">
        <f t="shared" si="14"/>
        <v/>
      </c>
      <c r="AC37" s="56" t="str">
        <f t="shared" si="15"/>
        <v/>
      </c>
      <c r="AD37" s="56" t="str">
        <f t="shared" si="16"/>
        <v/>
      </c>
      <c r="AE37" s="40"/>
      <c r="AF37" s="40"/>
      <c r="AG37" s="40"/>
      <c r="AH37" s="56" t="str">
        <f t="shared" si="0"/>
        <v/>
      </c>
      <c r="AI37" s="54"/>
      <c r="AJ37" s="54"/>
      <c r="AK37" s="54">
        <v>29</v>
      </c>
      <c r="AL37" s="54" t="s">
        <v>149</v>
      </c>
      <c r="AM37" s="54" t="s">
        <v>150</v>
      </c>
    </row>
    <row r="38" spans="1:39">
      <c r="A38" s="45" t="str" cm="1">
        <f t="array" ref="A38">IF(H38="PROJECT", CHAR(10) &amp; "- " &amp; _xlfn.TEXTJOIN(CHAR(10) &amp; "- ", TRUE, _xlfn._xlws.FILTER($I$9:$I$1000, ($B$9:$B$1000=B38) * ($H$9:$H$1000="Topic"))), "")</f>
        <v/>
      </c>
      <c r="B38" s="45">
        <f t="shared" si="1"/>
        <v>5</v>
      </c>
      <c r="C38" s="95">
        <v>8</v>
      </c>
      <c r="D38" s="57">
        <v>3</v>
      </c>
      <c r="E38" s="58" t="s">
        <v>46</v>
      </c>
      <c r="F38" s="59">
        <v>30</v>
      </c>
      <c r="G38" s="60" t="s">
        <v>159</v>
      </c>
      <c r="H38" s="60" t="s">
        <v>48</v>
      </c>
      <c r="I38" s="61" t="s">
        <v>843</v>
      </c>
      <c r="J38" s="62" t="s">
        <v>844</v>
      </c>
      <c r="K38" s="129" t="str">
        <f t="shared" si="2"/>
        <v xml:space="preserve">[ROLE] Friendly tutor specializing in Python | [TOPIC] Manage secure socket layer constraints by adjusting the verify parameter in httpx to either enforce strict SSL certificate validation or explicitly bypass security checks for custom internal network certificates | [LEVEL] Advanced | [COUNT] 3 examples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Python - HTTPX | 📊 Level: Advanced | 🌐 Coding5s.com
**Concept:** Managing SSL Certificate Verification (verify parameter)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8"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secure socket layer constraints by adjusting the verify parameter in httpx to either enforce strict SSL certificate validation or explicitly bypass security checks for custom internal network certificates. Topic details: Managing SSL Certificate Verification (verify parameter)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Python - HTTPX | 📊 Level: Advanced
**Topic:** Manage secure socket layer constraints by adjusting the verify parameter in httpx to either enforce strict SSL certificate validation or explicitly bypass security checks for custom internal network certificates
---
 | [FOOTER RULE - STRICT] End your response with: '--- ⚡ *Coding5s Mentor System — Eliminating Epistemic Debt*' | </v>
      </c>
      <c r="M38" s="52">
        <v>0</v>
      </c>
      <c r="N38" s="102" t="str">
        <f t="shared" si="4"/>
        <v>[ROLE] Careless Python Developer | [TASK] Generate debugging challenges in Python | | [TOPIC] Manage secure socket layer constraints by adjusting the verify parameter in httpx to either enforce strict SSL certificate validation or explicitly bypass security checks for custom internal network certificates | | [LEVEL] Advanced |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#30 | Stage 2 🐛 Debug | Python - HTTPX | 📊 Level: Advanced | 🌐 Coding5s.com
Concept: Managing SSL Certificate Verification (verify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8"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secure socket layer constraints by adjusting the verify parameter in httpx to either enforce strict SSL certificate validation or explicitly bypass security checks for custom internal network certificates. Topic details: Managing SSL Certificate Verification (verify parameter)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Python - HTTPX | 📊 Level: Advanced
**Topic:** Manage secure socket layer constraints by adjusting the verify parameter in httpx to either enforce strict SSL certificate validation or explicitly bypass security checks for custom internal network certificates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8" s="52">
        <v>0</v>
      </c>
      <c r="Q38" s="102" t="str">
        <f t="shared" si="6"/>
        <v>[ROLE] Tech Lead | [TASK] Assign incomplete Python script challenges | [TOPIC] Manage secure socket layer constraints by adjusting the verify parameter in httpx to either enforce strict SSL certificate validation or explicitly bypass security checks for custom internal network certificates | [LEVEL] Advanced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#30 | Stage 3 🧩 Complete | Python - HTTPX | 📊 Level: Advanced | 🌐 Coding5s.com
**Concept:** Managing SSL Certificate Verification (verify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secure socket layer constraints by adjusting the verify parameter in httpx to either enforce strict SSL certificate validation or explicitly bypass security checks for custom internal network certificates.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8"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secure socket layer constraints by adjusting the verify parameter in httpx to either enforce strict SSL certificate validation or explicitly bypass security checks for custom internal network certificates. Topic details: Managing SSL Certificate Verification (verify parameter)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Python - HTTPX | 📊 Level: Advanced
**Topic:** Manage secure socket layer constraints by adjusting the verify parameter in httpx to either enforce strict SSL certificate validation or explicitly bypass security checks for custom internal network certificates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8" s="52">
        <v>0</v>
      </c>
      <c r="T38" s="102" t="str">
        <f t="shared" si="8"/>
        <v>[ROLE] Tech Lead | [TASK] Provide intentionally messy but functional code for learning debugging and improvement | [TOPIC] Manage secure socket layer constraints by adjusting the verify parameter in httpx to either enforce strict SSL certificate validation or explicitly bypass security checks for custom internal network certificates | [LEVEL] Advanced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Python - HTTPX | 📊 Level: Advanced | 🌐 Coding5s.com
**Concept:** Managing SSL Certificate Verification (verify parameter)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Manage secure socket layer constraints by adjusting the verify parameter in httpx to either enforce strict SSL certificate validation or explicitly bypass security checks for custom internal network certificates. Topic details: Managing SSL Certificate Verification (verify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Python - HTTPX | 📊 Level: Advanced
**Topic:** Manage secure socket layer constraints by adjusting the verify parameter in httpx to either enforce strict SSL certificate validation or explicitly bypass security checks for custom internal network certificates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8" s="52">
        <v>0</v>
      </c>
      <c r="W38" s="87" t="str">
        <f t="shared" si="10"/>
        <v>[ROLE] Tech Product Manager assigning a Python Jira Ticket | [TASK] Provide a guided implementation exercise with full solution for learning purposes | [TOPIC] Manage secure socket layer constraints by adjusting the verify parameter in httpx to either enforce strict SSL certificate validation or explicitly bypass security checks for custom internal network certificates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Python - HTTPX | 📊 Level: Advanced | 🌐 Coding5s.com
**Concept:** Managing SSL Certificate Verification (verify parameter)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secure socket layer constraints by adjusting the verify parameter in httpx to either enforce strict SSL certificate validation or explicitly bypass security checks for custom internal network certificates. Goal: Managing SSL Certificate Verification (verify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Python - HTTPX | 📊 Level: Advanced
**Topic:** Manage secure socket layer constraints by adjusting the verify parameter in httpx to either enforce strict SSL certificate validation or explicitly bypass security checks for custom internal network certificates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8" s="52">
        <v>0</v>
      </c>
      <c r="Z38" s="56" t="str">
        <f t="shared" si="12"/>
        <v/>
      </c>
      <c r="AA38" s="56" t="str">
        <f t="shared" si="13"/>
        <v/>
      </c>
      <c r="AB38" s="56" t="str">
        <f t="shared" si="14"/>
        <v/>
      </c>
      <c r="AC38" s="56" t="str">
        <f t="shared" si="15"/>
        <v/>
      </c>
      <c r="AD38" s="56" t="str">
        <f t="shared" si="16"/>
        <v/>
      </c>
      <c r="AE38" s="40"/>
      <c r="AF38" s="40"/>
      <c r="AG38" s="40"/>
      <c r="AH38" s="56" t="str">
        <f t="shared" si="0"/>
        <v/>
      </c>
      <c r="AI38" s="54"/>
      <c r="AJ38" s="54"/>
      <c r="AK38" s="54">
        <v>30</v>
      </c>
      <c r="AL38" s="54" t="s">
        <v>152</v>
      </c>
      <c r="AM38" s="54" t="s">
        <v>153</v>
      </c>
    </row>
    <row r="39" spans="1:39">
      <c r="A39" s="45" t="str" cm="1">
        <f t="array" ref="A39">IF(H39="PROJECT", CHAR(10) &amp; "- " &amp; _xlfn.TEXTJOIN(CHAR(10) &amp; "- ", TRUE, _xlfn._xlws.FILTER($I$9:$I$1000, ($B$9:$B$1000=B39) * ($H$9:$H$1000="Topic"))), "")</f>
        <v xml:space="preserve">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v>
      </c>
      <c r="B39" s="45">
        <f t="shared" si="1"/>
        <v>5</v>
      </c>
      <c r="C39" s="95" t="s">
        <v>861</v>
      </c>
      <c r="D39" s="46">
        <v>0</v>
      </c>
      <c r="E39" s="58" t="s">
        <v>723</v>
      </c>
      <c r="F39" s="48">
        <v>31</v>
      </c>
      <c r="G39" s="49" t="s">
        <v>159</v>
      </c>
      <c r="H39" s="49" t="s">
        <v>77</v>
      </c>
      <c r="I39" s="50" t="s">
        <v>845</v>
      </c>
      <c r="J39" s="51" t="s">
        <v>846</v>
      </c>
      <c r="K39" s="129" t="str">
        <f t="shared" si="2"/>
        <v>[TASK] Teach through a practical Python - HTTPX project following the micro-learning methodology, acting as a supportive tutor, creating a project about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#31 | Stage 1 | Python - HTTPX | 📊 Level: Advanced | 🌐 Coding5s.com
**Project:** Project 5: Stateful API Crawler (Sessions, persistence, proxy rotation)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9"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Topics applied in this project: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Project objective: Project 5: Stateful API Crawler (Sessions, persistence, proxy rotation)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#31 | Practice | Python - HTTPX | 📊 Level: Advanced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 [FOOTER RULE - STRICT] End your response with: '--- ⚡ *Coding5s Mentor System — Eliminating Epistemic Debt*' | </v>
      </c>
      <c r="M39" s="53">
        <v>0</v>
      </c>
      <c r="N39" s="102" t="str">
        <f t="shared" si="4"/>
        <v>[ROLE] Careless Python Developer | [TASK] Generate debugging project in Python |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[OUTPUT] Only header, dataset summary or statement (if any), email intro, objective, expected output, broken code, and footer | [HEADER RULE - STRICT] You MUST start your entire response EXACTLY with this markdown block (do not print anything before it):
### 🚀 Project #31 | Stage 2 | Python - HTTPX | 📊 Level: Advanced | 🌐 Coding5s.com
Project: Project 5: Stateful API Crawler (Sessions, persistence, proxy rotation)
---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9"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Topics involved: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Project objective: Project 5: Stateful API Crawler (Sessions, persistence, proxy rotation)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#31 | Debug | Python - HTTPX | 📊 Level: Advanced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9" s="53">
        <v>0</v>
      </c>
      <c r="Q39" s="102" t="str">
        <f t="shared" si="6"/>
        <v>[ROLE] Tech Lead | [TASK] Assign incomplete project script |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#31 | Stage 3 | Python - HTTPX | 📊 Level: Advanced | 🌐 Coding5s.com
**Project:** Project 5: Stateful API Crawler (Sessions, persistence, proxy rotation)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9"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Topics involved: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Project objective: Project 5: Stateful API Crawler (Sessions, persistence, proxy rotation)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#31 | Complete | Python - HTTPX | 📊 Level: Advanced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9" s="53">
        <v>0</v>
      </c>
      <c r="T39" s="102" t="str">
        <f t="shared" si="8"/>
        <v>[ROLE] Tech Lead | [TASK] Provide a messy but functional project for refactoring |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[PERSONA RULE] Act as a Tech Lead. A junior wrote this working but messy code. Tone: professional but exhausted | [HEADER RULE - STRICT] You MUST start your entire response EXACTLY with this markdown block (do not print anything before it):
### 🚀 Project #31 | Stage 4 | Python - HTTPX | 📊 Level: Advanced | 🌐 Coding5s.com
**Project:** Project 5: Stateful API Crawler (Sessions, persistence, proxy rotation)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Topics involved: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Project objective: Project 5: Stateful API Crawler (Sessions, persistence, proxy rotation)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#31 | Refactor | Python - HTTPX | 📊 Level: Advanced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9" s="53">
        <v>0</v>
      </c>
      <c r="W39" s="87" t="str">
        <f t="shared" si="10"/>
        <v>[ROLE] Tech Product Manager assigning a Python Jira Ticket | [TASK] Provide a guided project implementation with full solution |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[PERSONA RULE] Act as a professional Tech Product Manager defining a project ticket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#31 | Stage 5 | Python - HTTPX | 📊 Level: Advanced | 🌐 Coding5s.com
**Project:** Project 5: Stateful API Crawler (Sessions, persistence, proxy rotation)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Topics integrated: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Business Goal: Project 5: Stateful API Crawler (Sessions, persistence, proxy rotation)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#31 | Extend | Python - HTTPX | 📊 Level: Advanced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9" s="53">
        <v>0</v>
      </c>
      <c r="Z39" s="56" t="str">
        <f t="shared" si="12"/>
        <v>[TASK] Teach through a practical Python - HTTPX project following the micro-learning methodology, acting as a supportive tutor, creating a project about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#31 | Stage 1 | Python - HTTPX | 📊 Level: Advanced | 🌐 Coding5s.com
**Project:** Project 5: Stateful API Crawler (Sessions, persistence, proxy rotation)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9" s="56" t="str">
        <f t="shared" si="13"/>
        <v>[ROLE] Careless Python Developer | [TASK] Generate debugging project in Python |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[OUTPUT] Only header, dataset summary or statement (if any), email intro, objective, expected output, broken code, and footer | [HEADER RULE - STRICT] You MUST start your entire response EXACTLY with this markdown block (do not print anything before it):
### 🚀 Project #31 | Stage 2 | Python - HTTPX | 📊 Level: Advanced | 🌐 Coding5s.com
Project: Project 5: Stateful API Crawler (Sessions, persistence, proxy rotation)
---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9" s="56" t="str">
        <f t="shared" si="14"/>
        <v>[ROLE] Tech Lead | [TASK] Assign incomplete project script |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#31 | Stage 3 | Python - HTTPX | 📊 Level: Advanced | 🌐 Coding5s.com
**Project:** Project 5: Stateful API Crawler (Sessions, persistence, proxy rotation)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9" s="56" t="str">
        <f t="shared" si="15"/>
        <v>[ROLE] Tech Lead | [TASK] Provide a messy but functional project for refactoring |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[PERSONA RULE] Act as a Tech Lead. A junior wrote this working but messy code. Tone: professional but exhausted | [HEADER RULE - STRICT] You MUST start your entire response EXACTLY with this markdown block (do not print anything before it):
### 🚀 Project #31 | Stage 4 | Python - HTTPX | 📊 Level: Advanced | 🌐 Coding5s.com
**Project:** Project 5: Stateful API Crawler (Sessions, persistence, proxy rotation)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9" s="56" t="str">
        <f t="shared" si="16"/>
        <v>[ROLE] Tech Product Manager assigning a Python Jira Ticket | [TASK] Provide a guided project implementation with full solution |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[PERSONA RULE] Act as a professional Tech Product Manager defining a project ticket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#31 | Stage 5 | Python - HTTPX | 📊 Level: Advanced | 🌐 Coding5s.com
**Project:** Project 5: Stateful API Crawler (Sessions, persistence, proxy rotation)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9" s="40"/>
      <c r="AF39" s="40"/>
      <c r="AG39" s="40"/>
      <c r="AH39" s="56" t="str">
        <f t="shared" si="0"/>
        <v/>
      </c>
      <c r="AI39" s="54"/>
      <c r="AJ39" s="54"/>
      <c r="AK39" s="54">
        <v>31</v>
      </c>
      <c r="AL39" s="54" t="s">
        <v>49</v>
      </c>
      <c r="AM39" s="54" t="s">
        <v>50</v>
      </c>
    </row>
    <row r="40" spans="1:39">
      <c r="A40" s="45" t="str" cm="1">
        <f t="array" ref="A40">IF(H40="PROJECT", CHAR(10) &amp; "- " &amp; _xlfn.TEXTJOIN(CHAR(10) &amp; "- ", TRUE, _xlfn._xlws.FILTER($I$9:$I$1000, ($B$9:$B$1000=B40) * ($H$9:$H$1000="Topic"))), "")</f>
        <v/>
      </c>
      <c r="B40" s="45">
        <f t="shared" si="1"/>
        <v>6</v>
      </c>
      <c r="C40" s="95">
        <v>10</v>
      </c>
      <c r="D40" s="57">
        <v>5</v>
      </c>
      <c r="E40" s="58" t="s">
        <v>723</v>
      </c>
      <c r="F40" s="59">
        <v>32</v>
      </c>
      <c r="G40" s="60" t="s">
        <v>159</v>
      </c>
      <c r="H40" s="60" t="s">
        <v>48</v>
      </c>
      <c r="I40" s="61" t="s">
        <v>847</v>
      </c>
      <c r="J40" s="62" t="s">
        <v>848</v>
      </c>
      <c r="K40" s="129" t="str">
        <f t="shared" si="2"/>
        <v xml:space="preserve">[ROLE] Friendly tutor specializing in Python | [TOPIC] Consume continuous Server-Sent Events (SSE) and live text streams by utilizing the httpx.stream() context manager and continuously iterating over the active response using the .iter_lines() generator method | [LEVEL] Advanced | [COUNT] 5 examples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#32 | Stage 1 📖 Practice | Python - HTTPX | 📊 Level: Advanced | 🌐 Coding5s.com
**Concept:** Streaming Text Lines and SSE (stream=True, .iter_lines())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0"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Consume continuous Server-Sent Events (SSE) and live text streams by utilizing the httpx.stream() context manager and continuously iterating over the active response using the .iter_lines() generator method. Topic details: Streaming Text Lines and SSE (stream=True, .iter_lines())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Python - HTTPX | 📊 Level: Advanced
**Topic:** Consume continuous Server-Sent Events (SSE) and live text streams by utilizing the httpx.stream() context manager and continuously iterating over the active response using the .iter_lines() generator method
---
 | [FOOTER RULE - STRICT] End your response with: '--- ⚡ *Coding5s Mentor System — Eliminating Epistemic Debt*' | </v>
      </c>
      <c r="M40" s="52">
        <v>0</v>
      </c>
      <c r="N40" s="102" t="str">
        <f t="shared" si="4"/>
        <v>[ROLE] Careless Python Developer | [TASK] Generate debugging challenges in Python | | [TOPIC] Consume continuous Server-Sent Events (SSE) and live text streams by utilizing the httpx.stream() context manager and continuously iterating over the active response using the .iter_lines() generator method | | [LEVEL] Advanced |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#32 | Stage 2 🐛 Debug | Python - HTTPX | 📊 Level: Advanced | 🌐 Coding5s.com
Concept: Streaming Text Lines and SSE (stream=True, .iter_lines())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0"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Consume continuous Server-Sent Events (SSE) and live text streams by utilizing the httpx.stream() context manager and continuously iterating over the active response using the .iter_lines() generator method. Topic details: Streaming Text Lines and SSE (stream=True, .iter_lines())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Python - HTTPX | 📊 Level: Advanced
**Topic:** Consume continuous Server-Sent Events (SSE) and live text streams by utilizing the httpx.stream() context manager and continuously iterating over the active response using the .iter_lines() generator method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0" s="52">
        <v>0</v>
      </c>
      <c r="Q40" s="102" t="str">
        <f t="shared" si="6"/>
        <v>[ROLE] Tech Lead | [TASK] Assign incomplete Python script challenges | [TOPIC] Consume continuous Server-Sent Events (SSE) and live text streams by utilizing the httpx.stream() context manager and continuously iterating over the active response using the .iter_lines() generator method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#32 | Stage 3 🧩 Complete | Python - HTTPX | 📊 Level: Advanced | 🌐 Coding5s.com
**Concept:** Streaming Text Lines and SSE (stream=True, .iter_lines())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Consume continuous Server-Sent Events (SSE) and live text streams by utilizing the httpx.stream() context manager and continuously iterating over the active response using the .iter_lines() generator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0"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Consume continuous Server-Sent Events (SSE) and live text streams by utilizing the httpx.stream() context manager and continuously iterating over the active response using the .iter_lines() generator method. Topic details: Streaming Text Lines and SSE (stream=True, .iter_lines())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Python - HTTPX | 📊 Level: Advanced
**Topic:** Consume continuous Server-Sent Events (SSE) and live text streams by utilizing the httpx.stream() context manager and continuously iterating over the active response using the .iter_lines() generator method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0" s="52">
        <v>0</v>
      </c>
      <c r="T40" s="102" t="str">
        <f t="shared" si="8"/>
        <v>[ROLE] Tech Lead | [TASK] Provide intentionally messy but functional code for learning debugging and improvement | [TOPIC] Consume continuous Server-Sent Events (SSE) and live text streams by utilizing the httpx.stream() context manager and continuously iterating over the active response using the .iter_lines() generator method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#32 | Stage 4 🧹 Refactor | Python - HTTPX | 📊 Level: Advanced | 🌐 Coding5s.com
**Concept:** Streaming Text Lines and SSE (stream=True, .iter_lines())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Consume continuous Server-Sent Events (SSE) and live text streams by utilizing the httpx.stream() context manager and continuously iterating over the active response using the .iter_lines() generator method. Topic details: Streaming Text Lines and SSE (stream=True, .iter_lines())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Python - HTTPX | 📊 Level: Advanced
**Topic:** Consume continuous Server-Sent Events (SSE) and live text streams by utilizing the httpx.stream() context manager and continuously iterating over the active response using the .iter_lines() generator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0" s="52">
        <v>0</v>
      </c>
      <c r="W40" s="87" t="str">
        <f t="shared" si="10"/>
        <v>[ROLE] Tech Product Manager assigning a Python Jira Ticket | [TASK] Provide a guided implementation exercise with full solution for learning purposes | [TOPIC] Consume continuous Server-Sent Events (SSE) and live text streams by utilizing the httpx.stream() context manager and continuously iterating over the active response using the .iter_lines() generator method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#32 | Stage 5 | Python - HTTPX | 📊 Level: Advanced | 🌐 Coding5s.com
**Concept:** Streaming Text Lines and SSE (stream=True, .iter_lines())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Consume continuous Server-Sent Events (SSE) and live text streams by utilizing the httpx.stream() context manager and continuously iterating over the active response using the .iter_lines() generator method. Goal: Streaming Text Lines and SSE (stream=True, .iter_lines())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Python - HTTPX | 📊 Level: Advanced
**Topic:** Consume continuous Server-Sent Events (SSE) and live text streams by utilizing the httpx.stream() context manager and continuously iterating over the active response using the .iter_lines() generator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0" s="52">
        <v>0</v>
      </c>
      <c r="Z40" s="56" t="str">
        <f t="shared" si="12"/>
        <v/>
      </c>
      <c r="AA40" s="56" t="str">
        <f t="shared" si="13"/>
        <v/>
      </c>
      <c r="AB40" s="56" t="str">
        <f t="shared" si="14"/>
        <v/>
      </c>
      <c r="AC40" s="56" t="str">
        <f t="shared" si="15"/>
        <v/>
      </c>
      <c r="AD40" s="56" t="str">
        <f t="shared" si="16"/>
        <v/>
      </c>
      <c r="AE40" s="40"/>
      <c r="AF40" s="40"/>
      <c r="AG40" s="40"/>
      <c r="AH40" s="56" t="str">
        <f t="shared" si="0"/>
        <v/>
      </c>
      <c r="AI40" s="54"/>
      <c r="AJ40" s="54"/>
      <c r="AK40" s="54">
        <v>32</v>
      </c>
      <c r="AL40" s="54" t="s">
        <v>55</v>
      </c>
      <c r="AM40" s="54" t="s">
        <v>56</v>
      </c>
    </row>
    <row r="41" spans="1:39">
      <c r="A41" s="45" t="str" cm="1">
        <f t="array" ref="A41">IF(H41="PROJECT", CHAR(10) &amp; "- " &amp; _xlfn.TEXTJOIN(CHAR(10) &amp; "- ", TRUE, _xlfn._xlws.FILTER($I$9:$I$1000, ($B$9:$B$1000=B41) * ($H$9:$H$1000="Topic"))), "")</f>
        <v/>
      </c>
      <c r="B41" s="45">
        <f t="shared" si="1"/>
        <v>6</v>
      </c>
      <c r="C41" s="95">
        <v>10</v>
      </c>
      <c r="D41" s="46">
        <v>5</v>
      </c>
      <c r="E41" s="58" t="s">
        <v>46</v>
      </c>
      <c r="F41" s="48">
        <v>33</v>
      </c>
      <c r="G41" s="49" t="s">
        <v>159</v>
      </c>
      <c r="H41" s="49" t="s">
        <v>48</v>
      </c>
      <c r="I41" s="50" t="s">
        <v>849</v>
      </c>
      <c r="J41" s="51" t="s">
        <v>850</v>
      </c>
      <c r="K41" s="129" t="str">
        <f t="shared" si="2"/>
        <v xml:space="preserve">[ROLE] Friendly tutor specializing in Python | [TOPIC] Instrument advanced network monitoring by attaching custom Python callback functions to the event_hooks dictionary in httpx clients to automatically log, measure, or inspect HTTP responses asynchronously immediately upon receipt | [LEVEL] Advanced | [COUNT] 5 examples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#33 | Stage 1 📖 Practice | Python - HTTPX | 📊 Level: Advanced | 🌐 Coding5s.com
**Concept:** Attaching Callbacks to Responses (hooks={'response': callback_function})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1"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Instrument advanced network monitoring by attaching custom Python callback functions to the event_hooks dictionary in httpx clients to automatically log, measure, or inspect HTTP responses asynchronously immediately upon receipt. Topic details: Attaching Callbacks to Responses (hooks={'response': callback_function})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#33 | Practice | Python - HTTPX | 📊 Level: Advanced
**Topic:** Instrument advanced network monitoring by attaching custom Python callback functions to the event_hooks dictionary in httpx clients to automatically log, measure, or inspect HTTP responses asynchronously immediately upon receipt
---
 | [FOOTER RULE - STRICT] End your response with: '--- ⚡ *Coding5s Mentor System — Eliminating Epistemic Debt*' | </v>
      </c>
      <c r="M41" s="53">
        <v>0</v>
      </c>
      <c r="N41" s="102" t="str">
        <f t="shared" si="4"/>
        <v>[ROLE] Careless Python Developer | [TASK] Generate debugging challenges in Python | | [TOPIC] Instrument advanced network monitoring by attaching custom Python callback functions to the event_hooks dictionary in httpx clients to automatically log, measure, or inspect HTTP responses asynchronously immediately upon receipt | | [LEVEL] Advanced |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#33 | Stage 2 🐛 Debug | Python - HTTPX | 📊 Level: Advanced | 🌐 Coding5s.com
Concept: Attaching Callbacks to Responses (hooks={'response': callback_function})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Instrument advanced network monitoring by attaching custom Python callback functions to the event_hooks dictionary in httpx clients to automatically log, measure, or inspect HTTP responses asynchronously immediately upon receipt. Topic details: Attaching Callbacks to Responses (hooks={'response': callback_function})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#33 | Debug | Python - HTTPX | 📊 Level: Advanced
**Topic:** Instrument advanced network monitoring by attaching custom Python callback functions to the event_hooks dictionary in httpx clients to automatically log, measure, or inspect HTTP responses asynchronously immediately upon receipt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1" s="53">
        <v>0</v>
      </c>
      <c r="Q41" s="102" t="str">
        <f t="shared" si="6"/>
        <v>[ROLE] Tech Lead | [TASK] Assign incomplete Python script challenges | [TOPIC] Instrument advanced network monitoring by attaching custom Python callback functions to the event_hooks dictionary in httpx clients to automatically log, measure, or inspect HTTP responses asynchronously immediately upon receipt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#33 | Stage 3 🧩 Complete | Python - HTTPX | 📊 Level: Advanced | 🌐 Coding5s.com
**Concept:** Attaching Callbacks to Responses (hooks={'response': callback_function})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Instrument advanced network monitoring by attaching custom Python callback functions to the event_hooks dictionary in httpx clients to automatically log, measure, or inspect HTTP responses asynchronously immediately upon receipt.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Instrument advanced network monitoring by attaching custom Python callback functions to the event_hooks dictionary in httpx clients to automatically log, measure, or inspect HTTP responses asynchronously immediately upon receipt. Topic details: Attaching Callbacks to Responses (hooks={'response': callback_function})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#33 | Complete | Python - HTTPX | 📊 Level: Advanced
**Topic:** Instrument advanced network monitoring by attaching custom Python callback functions to the event_hooks dictionary in httpx clients to automatically log, measure, or inspect HTTP responses asynchronously immediately upon receipt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1" s="53">
        <v>0</v>
      </c>
      <c r="T41" s="102" t="str">
        <f t="shared" si="8"/>
        <v>[ROLE] Tech Lead | [TASK] Provide intentionally messy but functional code for learning debugging and improvement | [TOPIC] Instrument advanced network monitoring by attaching custom Python callback functions to the event_hooks dictionary in httpx clients to automatically log, measure, or inspect HTTP responses asynchronously immediately upon receipt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#33 | Stage 4 🧹 Refactor | Python - HTTPX | 📊 Level: Advanced | 🌐 Coding5s.com
**Concept:** Attaching Callbacks to Responses (hooks={'response': callback_function})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Instrument advanced network monitoring by attaching custom Python callback functions to the event_hooks dictionary in httpx clients to automatically log, measure, or inspect HTTP responses asynchronously immediately upon receipt. Topic details: Attaching Callbacks to Responses (hooks={'response': callback_function})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#33 | Refactor | Python - HTTPX | 📊 Level: Advanced
**Topic:** Instrument advanced network monitoring by attaching custom Python callback functions to the event_hooks dictionary in httpx clients to automatically log, measure, or inspect HTTP responses asynchronously immediately upon receipt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1" s="53">
        <v>0</v>
      </c>
      <c r="W41" s="87" t="str">
        <f t="shared" si="10"/>
        <v>[ROLE] Tech Product Manager assigning a Python Jira Ticket | [TASK] Provide a guided implementation exercise with full solution for learning purposes | [TOPIC] Instrument advanced network monitoring by attaching custom Python callback functions to the event_hooks dictionary in httpx clients to automatically log, measure, or inspect HTTP responses asynchronously immediately upon receipt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#33 | Stage 5 | Python - HTTPX | 📊 Level: Advanced | 🌐 Coding5s.com
**Concept:** Attaching Callbacks to Responses (hooks={'response': callback_function})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Instrument advanced network monitoring by attaching custom Python callback functions to the event_hooks dictionary in httpx clients to automatically log, measure, or inspect HTTP responses asynchronously immediately upon receipt. Goal: Attaching Callbacks to Responses (hooks={'response': callback_function})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#33 | Extend | Python - HTTPX | 📊 Level: Advanced
**Topic:** Instrument advanced network monitoring by attaching custom Python callback functions to the event_hooks dictionary in httpx clients to automatically log, measure, or inspect HTTP responses asynchronously immediately upon receipt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1" s="53">
        <v>0</v>
      </c>
      <c r="Z41" s="56" t="str">
        <f t="shared" si="12"/>
        <v/>
      </c>
      <c r="AA41" s="56" t="str">
        <f t="shared" si="13"/>
        <v/>
      </c>
      <c r="AB41" s="56" t="str">
        <f t="shared" si="14"/>
        <v/>
      </c>
      <c r="AC41" s="56" t="str">
        <f t="shared" si="15"/>
        <v/>
      </c>
      <c r="AD41" s="56" t="str">
        <f t="shared" si="16"/>
        <v/>
      </c>
      <c r="AE41" s="40"/>
      <c r="AF41" s="40"/>
      <c r="AG41" s="40"/>
      <c r="AH41" s="56" t="str">
        <f t="shared" ref="AH41:AH72" si="17">IF(AE41=$B$6,AG41,"")</f>
        <v/>
      </c>
      <c r="AI41" s="54"/>
      <c r="AJ41" s="54"/>
      <c r="AK41" s="54">
        <v>33</v>
      </c>
      <c r="AL41" s="54" t="s">
        <v>60</v>
      </c>
      <c r="AM41" s="54" t="s">
        <v>61</v>
      </c>
    </row>
    <row r="42" spans="1:39">
      <c r="A42" s="45" t="str" cm="1">
        <f t="array" ref="A42">IF(H42="PROJECT", CHAR(10) &amp; "- " &amp; _xlfn.TEXTJOIN(CHAR(10) &amp; "- ", TRUE, _xlfn._xlws.FILTER($I$9:$I$1000, ($B$9:$B$1000=B42) * ($H$9:$H$1000="Topic"))), "")</f>
        <v/>
      </c>
      <c r="B42" s="45">
        <f t="shared" si="1"/>
        <v>6</v>
      </c>
      <c r="C42" s="95">
        <v>10</v>
      </c>
      <c r="D42" s="57">
        <v>5</v>
      </c>
      <c r="E42" s="58" t="s">
        <v>46</v>
      </c>
      <c r="F42" s="59">
        <v>34</v>
      </c>
      <c r="G42" s="60" t="s">
        <v>159</v>
      </c>
      <c r="H42" s="60" t="s">
        <v>48</v>
      </c>
      <c r="I42" s="61" t="s">
        <v>851</v>
      </c>
      <c r="J42" s="62" t="s">
        <v>852</v>
      </c>
      <c r="K42" s="129" t="str">
        <f t="shared" si="2"/>
        <v xml:space="preserve">[ROLE] Friendly tutor specializing in Python | [TOPIC] Craft and construct HTTP requests manually by instantiating raw httpx.Request objects and explicitly dispatching them using the client.send() method to achieve granular programmatic control over the entire network transmission lifecycle | [LEVEL] Advanced | [COUNT] 5 examples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#34 | Stage 1 📖 Practice | Python - HTTPX | 📊 Level: Advanced | 🌐 Coding5s.com
**Concept:** Manual Request Crafting (Request, Session.prepare_request, Session.send)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2"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Craft and construct HTTP requests manually by instantiating raw httpx.Request objects and explicitly dispatching them using the client.send() method to achieve granular programmatic control over the entire network transmission lifecycle. Topic details: Manual Request Crafting (Request, Session.prepare_request, Session.send)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#34 | Practice | Python - HTTPX | 📊 Level: Advanced
**Topic:** Craft and construct HTTP requests manually by instantiating raw httpx.Request objects and explicitly dispatching them using the client.send() method to achieve granular programmatic control over the entire network transmission lifecycle
---
 | [FOOTER RULE - STRICT] End your response with: '--- ⚡ *Coding5s Mentor System — Eliminating Epistemic Debt*' | </v>
      </c>
      <c r="M42" s="52">
        <v>0</v>
      </c>
      <c r="N42" s="102" t="str">
        <f t="shared" si="4"/>
        <v>[ROLE] Careless Python Developer | [TASK] Generate debugging challenges in Python | | [TOPIC] Craft and construct HTTP requests manually by instantiating raw httpx.Request objects and explicitly dispatching them using the client.send() method to achieve granular programmatic control over the entire network transmission lifecycle | | [LEVEL] Advanced |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#34 | Stage 2 🐛 Debug | Python - HTTPX | 📊 Level: Advanced | 🌐 Coding5s.com
Concept: Manual Request Crafting (Request, Session.prepare_request, Session.send)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Craft and construct HTTP requests manually by instantiating raw httpx.Request objects and explicitly dispatching them using the client.send() method to achieve granular programmatic control over the entire network transmission lifecycle. Topic details: Manual Request Crafting (Request, Session.prepare_request, Session.send)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#34 | Debug | Python - HTTPX | 📊 Level: Advanced
**Topic:** Craft and construct HTTP requests manually by instantiating raw httpx.Request objects and explicitly dispatching them using the client.send() method to achieve granular programmatic control over the entire network transmission lifecycle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2" s="52">
        <v>0</v>
      </c>
      <c r="Q42" s="102" t="str">
        <f t="shared" si="6"/>
        <v>[ROLE] Tech Lead | [TASK] Assign incomplete Python script challenges | [TOPIC] Craft and construct HTTP requests manually by instantiating raw httpx.Request objects and explicitly dispatching them using the client.send() method to achieve granular programmatic control over the entire network transmission lifecycle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#34 | Stage 3 🧩 Complete | Python - HTTPX | 📊 Level: Advanced | 🌐 Coding5s.com
**Concept:** Manual Request Crafting (Request, Session.prepare_request, Session.send)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Craft and construct HTTP requests manually by instantiating raw httpx.Request objects and explicitly dispatching them using the client.send() method to achieve granular programmatic control over the entire network transmission lifecycle.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Craft and construct HTTP requests manually by instantiating raw httpx.Request objects and explicitly dispatching them using the client.send() method to achieve granular programmatic control over the entire network transmission lifecycle. Topic details: Manual Request Crafting (Request, Session.prepare_request, Session.send)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#34 | Complete | Python - HTTPX | 📊 Level: Advanced
**Topic:** Craft and construct HTTP requests manually by instantiating raw httpx.Request objects and explicitly dispatching them using the client.send() method to achieve granular programmatic control over the entire network transmission lifecycle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2" s="52">
        <v>0</v>
      </c>
      <c r="T42" s="102" t="str">
        <f t="shared" si="8"/>
        <v>[ROLE] Tech Lead | [TASK] Provide intentionally messy but functional code for learning debugging and improvement | [TOPIC] Craft and construct HTTP requests manually by instantiating raw httpx.Request objects and explicitly dispatching them using the client.send() method to achieve granular programmatic control over the entire network transmission lifecycle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#34 | Stage 4 🧹 Refactor | Python - HTTPX | 📊 Level: Advanced | 🌐 Coding5s.com
**Concept:** Manual Request Crafting (Request, Session.prepare_request, Session.send)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Craft and construct HTTP requests manually by instantiating raw httpx.Request objects and explicitly dispatching them using the client.send() method to achieve granular programmatic control over the entire network transmission lifecycle. Topic details: Manual Request Crafting (Request, Session.prepare_request, Session.send)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#34 | Refactor | Python - HTTPX | 📊 Level: Advanced
**Topic:** Craft and construct HTTP requests manually by instantiating raw httpx.Request objects and explicitly dispatching them using the client.send() method to achieve granular programmatic control over the entire network transmission lifecycle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2" s="52">
        <v>0</v>
      </c>
      <c r="W42" s="87" t="str">
        <f t="shared" si="10"/>
        <v>[ROLE] Tech Product Manager assigning a Python Jira Ticket | [TASK] Provide a guided implementation exercise with full solution for learning purposes | [TOPIC] Craft and construct HTTP requests manually by instantiating raw httpx.Request objects and explicitly dispatching them using the client.send() method to achieve granular programmatic control over the entire network transmission lifecycle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#34 | Stage 5 | Python - HTTPX | 📊 Level: Advanced | 🌐 Coding5s.com
**Concept:** Manual Request Crafting (Request, Session.prepare_request, Session.send)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Craft and construct HTTP requests manually by instantiating raw httpx.Request objects and explicitly dispatching them using the client.send() method to achieve granular programmatic control over the entire network transmission lifecycle. Goal: Manual Request Crafting (Request, Session.prepare_request, Session.send)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#34 | Extend | Python - HTTPX | 📊 Level: Advanced
**Topic:** Craft and construct HTTP requests manually by instantiating raw httpx.Request objects and explicitly dispatching them using the client.send() method to achieve granular programmatic control over the entire network transmission lifecycle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2" s="52">
        <v>0</v>
      </c>
      <c r="Z42" s="56" t="str">
        <f t="shared" si="12"/>
        <v/>
      </c>
      <c r="AA42" s="56" t="str">
        <f t="shared" si="13"/>
        <v/>
      </c>
      <c r="AB42" s="56" t="str">
        <f t="shared" si="14"/>
        <v/>
      </c>
      <c r="AC42" s="56" t="str">
        <f t="shared" si="15"/>
        <v/>
      </c>
      <c r="AD42" s="56" t="str">
        <f t="shared" si="16"/>
        <v/>
      </c>
      <c r="AE42" s="40"/>
      <c r="AF42" s="40"/>
      <c r="AG42" s="40"/>
      <c r="AH42" s="56" t="str">
        <f t="shared" si="17"/>
        <v/>
      </c>
      <c r="AI42" s="54"/>
      <c r="AJ42" s="54"/>
      <c r="AK42" s="54">
        <v>34</v>
      </c>
      <c r="AL42" s="54" t="s">
        <v>66</v>
      </c>
      <c r="AM42" s="54" t="s">
        <v>67</v>
      </c>
    </row>
    <row r="43" spans="1:39">
      <c r="A43" s="45" t="str" cm="1">
        <f t="array" ref="A43">IF(H43="PROJECT", CHAR(10) &amp; "- " &amp; _xlfn.TEXTJOIN(CHAR(10) &amp; "- ", TRUE, _xlfn._xlws.FILTER($I$9:$I$1000, ($B$9:$B$1000=B43) * ($H$9:$H$1000="Topic"))), "")</f>
        <v/>
      </c>
      <c r="B43" s="45">
        <f t="shared" si="1"/>
        <v>6</v>
      </c>
      <c r="C43" s="95">
        <v>12</v>
      </c>
      <c r="D43" s="46">
        <v>5</v>
      </c>
      <c r="E43" s="58" t="s">
        <v>46</v>
      </c>
      <c r="F43" s="48">
        <v>35</v>
      </c>
      <c r="G43" s="49" t="s">
        <v>159</v>
      </c>
      <c r="H43" s="49" t="s">
        <v>48</v>
      </c>
      <c r="I43" s="50" t="s">
        <v>853</v>
      </c>
      <c r="J43" s="51" t="s">
        <v>854</v>
      </c>
      <c r="K43" s="129" t="str">
        <f t="shared" si="2"/>
        <v xml:space="preserve">[ROLE] Friendly tutor specializing in Python | [TOPIC] Enhance application resilience by configuring procedural network retries utilizing httpx.HTTPTransport parameters to automatically re-attempt failed connections based on specific HTTP status codes or unexpected TCP connection drops | [LEVEL] Advanced | [COUNT] 5 examples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Python - HTTPX | 📊 Level: Advanced | 🌐 Coding5s.com
**Concept:** Configuring Procedural Retries (urllib3.util.Retry, HTTPAdapter, mount)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3"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Enhance application resilience by configuring procedural network retries utilizing httpx.HTTPTransport parameters to automatically re-attempt failed connections based on specific HTTP status codes or unexpected TCP connection drops. Topic details: Configuring Procedural Retries (urllib3.util.Retry, HTTPAdapter, mount)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Python - HTTPX | 📊 Level: Advanced
**Topic:** Enhance application resilience by configuring procedural network retries utilizing httpx.HTTPTransport parameters to automatically re-attempt failed connections based on specific HTTP status codes or unexpected TCP connection drops
---
 | [FOOTER RULE - STRICT] End your response with: '--- ⚡ *Coding5s Mentor System — Eliminating Epistemic Debt*' | </v>
      </c>
      <c r="M43" s="53">
        <v>0</v>
      </c>
      <c r="N43" s="102" t="str">
        <f t="shared" si="4"/>
        <v>[ROLE] Careless Python Developer | [TASK] Generate debugging challenges in Python | | [TOPIC] Enhance application resilience by configuring procedural network retries utilizing httpx.HTTPTransport parameters to automatically re-attempt failed connections based on specific HTTP status codes or unexpected TCP connection drops | | [LEVEL] Advanced |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#35 | Stage 2 🐛 Debug | Python - HTTPX | 📊 Level: Advanced | 🌐 Coding5s.com
Concept: Configuring Procedural Retries (urllib3.util.Retry, HTTPAdapter, mount)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Enhance application resilience by configuring procedural network retries utilizing httpx.HTTPTransport parameters to automatically re-attempt failed connections based on specific HTTP status codes or unexpected TCP connection drops. Topic details: Configuring Procedural Retries (urllib3.util.Retry, HTTPAdapter, mount)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Python - HTTPX | 📊 Level: Advanced
**Topic:** Enhance application resilience by configuring procedural network retries utilizing httpx.HTTPTransport parameters to automatically re-attempt failed connections based on specific HTTP status codes or unexpected TCP connection drops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3" s="53">
        <v>0</v>
      </c>
      <c r="Q43" s="102" t="str">
        <f t="shared" si="6"/>
        <v>[ROLE] Tech Lead | [TASK] Assign incomplete Python script challenges | [TOPIC] Enhance application resilience by configuring procedural network retries utilizing httpx.HTTPTransport parameters to automatically re-attempt failed connections based on specific HTTP status codes or unexpected TCP connection drops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#35 | Stage 3 🧩 Complete | Python - HTTPX | 📊 Level: Advanced | 🌐 Coding5s.com
**Concept:** Configuring Procedural Retries (urllib3.util.Retry, HTTPAdapter, mount)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Enhance application resilience by configuring procedural network retries utilizing httpx.HTTPTransport parameters to automatically re-attempt failed connections based on specific HTTP status codes or unexpected TCP connection drops.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Enhance application resilience by configuring procedural network retries utilizing httpx.HTTPTransport parameters to automatically re-attempt failed connections based on specific HTTP status codes or unexpected TCP connection drops. Topic details: Configuring Procedural Retries (urllib3.util.Retry, HTTPAdapter, mount)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Python - HTTPX | 📊 Level: Advanced
**Topic:** Enhance application resilience by configuring procedural network retries utilizing httpx.HTTPTransport parameters to automatically re-attempt failed connections based on specific HTTP status codes or unexpected TCP connection drops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3" s="53">
        <v>0</v>
      </c>
      <c r="T43" s="102" t="str">
        <f t="shared" si="8"/>
        <v>[ROLE] Tech Lead | [TASK] Provide intentionally messy but functional code for learning debugging and improvement | [TOPIC] Enhance application resilience by configuring procedural network retries utilizing httpx.HTTPTransport parameters to automatically re-attempt failed connections based on specific HTTP status codes or unexpected TCP connection drops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Python - HTTPX | 📊 Level: Advanced | 🌐 Coding5s.com
**Concept:** Configuring Procedural Retries (urllib3.util.Retry, HTTPAdapter, mount)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Enhance application resilience by configuring procedural network retries utilizing httpx.HTTPTransport parameters to automatically re-attempt failed connections based on specific HTTP status codes or unexpected TCP connection drops. Topic details: Configuring Procedural Retries (urllib3.util.Retry, HTTPAdapter, mount)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Python - HTTPX | 📊 Level: Advanced
**Topic:** Enhance application resilience by configuring procedural network retries utilizing httpx.HTTPTransport parameters to automatically re-attempt failed connections based on specific HTTP status codes or unexpected TCP connection drops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3" s="53">
        <v>0</v>
      </c>
      <c r="W43" s="87" t="str">
        <f t="shared" si="10"/>
        <v>[ROLE] Tech Product Manager assigning a Python Jira Ticket | [TASK] Provide a guided implementation exercise with full solution for learning purposes | [TOPIC] Enhance application resilience by configuring procedural network retries utilizing httpx.HTTPTransport parameters to automatically re-attempt failed connections based on specific HTTP status codes or unexpected TCP connection drops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Python - HTTPX | 📊 Level: Advanced | 🌐 Coding5s.com
**Concept:** Configuring Procedural Retries (urllib3.util.Retry, HTTPAdapter, mount)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Enhance application resilience by configuring procedural network retries utilizing httpx.HTTPTransport parameters to automatically re-attempt failed connections based on specific HTTP status codes or unexpected TCP connection drops. Goal: Configuring Procedural Retries (urllib3.util.Retry, HTTPAdapter, mount)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Python - HTTPX | 📊 Level: Advanced
**Topic:** Enhance application resilience by configuring procedural network retries utilizing httpx.HTTPTransport parameters to automatically re-attempt failed connections based on specific HTTP status codes or unexpected TCP connection drops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3" s="53">
        <v>0</v>
      </c>
      <c r="Z43" s="56" t="str">
        <f t="shared" si="12"/>
        <v/>
      </c>
      <c r="AA43" s="56" t="str">
        <f t="shared" si="13"/>
        <v/>
      </c>
      <c r="AB43" s="56" t="str">
        <f t="shared" si="14"/>
        <v/>
      </c>
      <c r="AC43" s="56" t="str">
        <f t="shared" si="15"/>
        <v/>
      </c>
      <c r="AD43" s="56" t="str">
        <f t="shared" si="16"/>
        <v/>
      </c>
      <c r="AE43" s="40"/>
      <c r="AF43" s="40"/>
      <c r="AG43" s="40"/>
      <c r="AH43" s="56" t="str">
        <f t="shared" si="17"/>
        <v/>
      </c>
      <c r="AI43" s="54"/>
      <c r="AJ43" s="54"/>
      <c r="AK43" s="54">
        <v>35</v>
      </c>
      <c r="AL43" s="54" t="s">
        <v>72</v>
      </c>
      <c r="AM43" s="54" t="s">
        <v>73</v>
      </c>
    </row>
    <row r="44" spans="1:39">
      <c r="A44" s="45" t="str" cm="1">
        <f t="array" ref="A44">IF(H44="PROJECT", CHAR(10) &amp; "- " &amp; _xlfn.TEXTJOIN(CHAR(10) &amp; "- ", TRUE, _xlfn._xlws.FILTER($I$9:$I$1000, ($B$9:$B$1000=B44) * ($H$9:$H$1000="Topic"))), "")</f>
        <v/>
      </c>
      <c r="B44" s="45">
        <f t="shared" si="1"/>
        <v>6</v>
      </c>
      <c r="C44" s="95">
        <v>12</v>
      </c>
      <c r="D44" s="57">
        <v>5</v>
      </c>
      <c r="E44" s="58" t="s">
        <v>723</v>
      </c>
      <c r="F44" s="59">
        <v>36</v>
      </c>
      <c r="G44" s="60" t="s">
        <v>159</v>
      </c>
      <c r="H44" s="60" t="s">
        <v>48</v>
      </c>
      <c r="I44" s="61" t="s">
        <v>855</v>
      </c>
      <c r="J44" s="62" t="s">
        <v>856</v>
      </c>
      <c r="K44" s="129" t="str">
        <f t="shared" si="2"/>
        <v xml:space="preserve">[ROLE] Friendly tutor specializing in Python | [TOPIC] Access low-level network socket data by reading raw byte streams directly from an active httpx response stream to completely bypass standard library decoders and manipulate unaltered network payloads | [LEVEL] Advanced | [COUNT] 5 examples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#36 | Stage 1 📖 Practice | Python - HTTPX | 📊 Level: Advanced | 🌐 Coding5s.com
**Concept:** Accessing the Underlying Socket Response (response.raw, decode_content)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4"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Access low-level network socket data by reading raw byte streams directly from an active httpx response stream to completely bypass standard library decoders and manipulate unaltered network payloads. Topic details: Accessing the Underlying Socket Response (response.raw, decode_content)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Python - HTTPX | 📊 Level: Advanced
**Topic:** Access low-level network socket data by reading raw byte streams directly from an active httpx response stream to completely bypass standard library decoders and manipulate unaltered network payloads
---
 | [FOOTER RULE - STRICT] End your response with: '--- ⚡ *Coding5s Mentor System — Eliminating Epistemic Debt*' | </v>
      </c>
      <c r="M44" s="52">
        <v>0</v>
      </c>
      <c r="N44" s="102" t="str">
        <f t="shared" si="4"/>
        <v>[ROLE] Careless Python Developer | [TASK] Generate debugging challenges in Python | | [TOPIC] Access low-level network socket data by reading raw byte streams directly from an active httpx response stream to completely bypass standard library decoders and manipulate unaltered network payloads | | [LEVEL] Advanced |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#36 | Stage 2 🐛 Debug | Python - HTTPX | 📊 Level: Advanced | 🌐 Coding5s.com
Concept: Accessing the Underlying Socket Response (response.raw, decode_content)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Access low-level network socket data by reading raw byte streams directly from an active httpx response stream to completely bypass standard library decoders and manipulate unaltered network payloads. Topic details: Accessing the Underlying Socket Response (response.raw, decode_content)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Python - HTTPX | 📊 Level: Advanced
**Topic:** Access low-level network socket data by reading raw byte streams directly from an active httpx response stream to completely bypass standard library decoders and manipulate unaltered network payloads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4" s="52">
        <v>0</v>
      </c>
      <c r="Q44" s="102" t="str">
        <f t="shared" si="6"/>
        <v>[ROLE] Tech Lead | [TASK] Assign incomplete Python script challenges | [TOPIC] Access low-level network socket data by reading raw byte streams directly from an active httpx response stream to completely bypass standard library decoders and manipulate unaltered network payloads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#36 | Stage 3 🧩 Complete | Python - HTTPX | 📊 Level: Advanced | 🌐 Coding5s.com
**Concept:** Accessing the Underlying Socket Response (response.raw, decode_content)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Access low-level network socket data by reading raw byte streams directly from an active httpx response stream to completely bypass standard library decoders and manipulate unaltered network payloads.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Access low-level network socket data by reading raw byte streams directly from an active httpx response stream to completely bypass standard library decoders and manipulate unaltered network payloads. Topic details: Accessing the Underlying Socket Response (response.raw, decode_content)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Python - HTTPX | 📊 Level: Advanced
**Topic:** Access low-level network socket data by reading raw byte streams directly from an active httpx response stream to completely bypass standard library decoders and manipulate unaltered network payloads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4" s="52">
        <v>0</v>
      </c>
      <c r="T44" s="102" t="str">
        <f t="shared" si="8"/>
        <v>[ROLE] Tech Lead | [TASK] Provide intentionally messy but functional code for learning debugging and improvement | [TOPIC] Access low-level network socket data by reading raw byte streams directly from an active httpx response stream to completely bypass standard library decoders and manipulate unaltered network payloads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#36 | Stage 4 🧹 Refactor | Python - HTTPX | 📊 Level: Advanced | 🌐 Coding5s.com
**Concept:** Accessing the Underlying Socket Response (response.raw, decode_content)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Access low-level network socket data by reading raw byte streams directly from an active httpx response stream to completely bypass standard library decoders and manipulate unaltered network payloads. Topic details: Accessing the Underlying Socket Response (response.raw, decode_content)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Python - HTTPX | 📊 Level: Advanced
**Topic:** Access low-level network socket data by reading raw byte streams directly from an active httpx response stream to completely bypass standard library decoders and manipulate unaltered network payloads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4" s="52">
        <v>0</v>
      </c>
      <c r="W44" s="87" t="str">
        <f t="shared" si="10"/>
        <v>[ROLE] Tech Product Manager assigning a Python Jira Ticket | [TASK] Provide a guided implementation exercise with full solution for learning purposes | [TOPIC] Access low-level network socket data by reading raw byte streams directly from an active httpx response stream to completely bypass standard library decoders and manipulate unaltered network payloads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#36 | Stage 5 | Python - HTTPX | 📊 Level: Advanced | 🌐 Coding5s.com
**Concept:** Accessing the Underlying Socket Response (response.raw, decode_content)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Access low-level network socket data by reading raw byte streams directly from an active httpx response stream to completely bypass standard library decoders and manipulate unaltered network payloads. Goal: Accessing the Underlying Socket Response (response.raw, decode_content)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Python - HTTPX | 📊 Level: Advanced
**Topic:** Access low-level network socket data by reading raw byte streams directly from an active httpx response stream to completely bypass standard library decoders and manipulate unaltered network payloads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4" s="52">
        <v>0</v>
      </c>
      <c r="Z44" s="56" t="str">
        <f t="shared" si="12"/>
        <v/>
      </c>
      <c r="AA44" s="56" t="str">
        <f t="shared" si="13"/>
        <v/>
      </c>
      <c r="AB44" s="56" t="str">
        <f t="shared" si="14"/>
        <v/>
      </c>
      <c r="AC44" s="56" t="str">
        <f t="shared" si="15"/>
        <v/>
      </c>
      <c r="AD44" s="56" t="str">
        <f t="shared" si="16"/>
        <v/>
      </c>
      <c r="AE44" s="40"/>
      <c r="AF44" s="40"/>
      <c r="AG44" s="40"/>
      <c r="AH44" s="56" t="str">
        <f t="shared" si="17"/>
        <v/>
      </c>
      <c r="AI44" s="54"/>
      <c r="AJ44" s="54"/>
      <c r="AK44" s="54">
        <v>36</v>
      </c>
      <c r="AL44" s="54" t="s">
        <v>78</v>
      </c>
      <c r="AM44" s="54" t="s">
        <v>79</v>
      </c>
    </row>
    <row r="45" spans="1:39">
      <c r="A45" s="45" t="str" cm="1">
        <f t="array" ref="A45">IF(H45="PROJECT", CHAR(10) &amp; "- " &amp; _xlfn.TEXTJOIN(CHAR(10) &amp; "- ", TRUE, _xlfn._xlws.FILTER($I$9:$I$1000, ($B$9:$B$1000=B45) * ($H$9:$H$1000="Topic"))), "")</f>
        <v/>
      </c>
      <c r="B45" s="45">
        <f t="shared" si="1"/>
        <v>6</v>
      </c>
      <c r="C45" s="95">
        <v>12</v>
      </c>
      <c r="D45" s="46">
        <v>5</v>
      </c>
      <c r="E45" s="58" t="s">
        <v>723</v>
      </c>
      <c r="F45" s="48">
        <v>37</v>
      </c>
      <c r="G45" s="49" t="s">
        <v>159</v>
      </c>
      <c r="H45" s="49" t="s">
        <v>48</v>
      </c>
      <c r="I45" s="50" t="s">
        <v>857</v>
      </c>
      <c r="J45" s="51" t="s">
        <v>858</v>
      </c>
      <c r="K45" s="129" t="str">
        <f t="shared" si="2"/>
        <v xml:space="preserve">[ROLE] Friendly tutor specializing in Python | [TOPIC] Implement deterministic unit tests for network operations by utilizing mocking libraries like respx or pytest-httpx to intercept outgoing httpx requests and inject simulated JSON responses without hitting live endpoints | [LEVEL] Advanced | [COUNT] 5 examples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Python - HTTPX | 📊 Level: Advanced | 🌐 Coding5s.com
**Concept:** Testing and Mocking Requests (Using the responses library)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5"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deterministic unit tests for network operations by utilizing mocking libraries like respx or pytest-httpx to intercept outgoing httpx requests and inject simulated JSON responses without hitting live endpoints. Topic details: Testing and Mocking Requests (Using the responses library)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Python - HTTPX | 📊 Level: Advanced
**Topic:** Implement deterministic unit tests for network operations by utilizing mocking libraries like respx or pytest-httpx to intercept outgoing httpx requests and inject simulated JSON responses without hitting live endpoints
---
 | [FOOTER RULE - STRICT] End your response with: '--- ⚡ *Coding5s Mentor System — Eliminating Epistemic Debt*' | </v>
      </c>
      <c r="M45" s="53">
        <v>0</v>
      </c>
      <c r="N45" s="102" t="str">
        <f t="shared" si="4"/>
        <v>[ROLE] Careless Python Developer | [TASK] Generate debugging challenges in Python | | [TOPIC] Implement deterministic unit tests for network operations by utilizing mocking libraries like respx or pytest-httpx to intercept outgoing httpx requests and inject simulated JSON responses without hitting live endpoints | | [LEVEL] Advanced |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#37 | Stage 2 🐛 Debug | Python - HTTPX | 📊 Level: Advanced | 🌐 Coding5s.com
Concept: Testing and Mocking Requests (Using the responses library)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5"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deterministic unit tests for network operations by utilizing mocking libraries like respx or pytest-httpx to intercept outgoing httpx requests and inject simulated JSON responses without hitting live endpoints. Topic details: Testing and Mocking Requests (Using the responses library)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Python - HTTPX | 📊 Level: Advanced
**Topic:** Implement deterministic unit tests for network operations by utilizing mocking libraries like respx or pytest-httpx to intercept outgoing httpx requests and inject simulated JSON responses without hitting live endpoints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5" s="53">
        <v>0</v>
      </c>
      <c r="Q45" s="102" t="str">
        <f t="shared" si="6"/>
        <v>[ROLE] Tech Lead | [TASK] Assign incomplete Python script challenges | [TOPIC] Implement deterministic unit tests for network operations by utilizing mocking libraries like respx or pytest-httpx to intercept outgoing httpx requests and inject simulated JSON responses without hitting live endpoints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#37 | Stage 3 🧩 Complete | Python - HTTPX | 📊 Level: Advanced | 🌐 Coding5s.com
**Concept:** Testing and Mocking Requests (Using the responses library)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deterministic unit tests for network operations by utilizing mocking libraries like respx or pytest-httpx to intercept outgoing httpx requests and inject simulated JSON responses without hitting live endpoints.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5"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deterministic unit tests for network operations by utilizing mocking libraries like respx or pytest-httpx to intercept outgoing httpx requests and inject simulated JSON responses without hitting live endpoints. Topic details: Testing and Mocking Requests (Using the responses library)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Python - HTTPX | 📊 Level: Advanced
**Topic:** Implement deterministic unit tests for network operations by utilizing mocking libraries like respx or pytest-httpx to intercept outgoing httpx requests and inject simulated JSON responses without hitting live endpoints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5" s="53">
        <v>0</v>
      </c>
      <c r="T45" s="102" t="str">
        <f t="shared" si="8"/>
        <v>[ROLE] Tech Lead | [TASK] Provide intentionally messy but functional code for learning debugging and improvement | [TOPIC] Implement deterministic unit tests for network operations by utilizing mocking libraries like respx or pytest-httpx to intercept outgoing httpx requests and inject simulated JSON responses without hitting live endpoints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#37 | Stage 4 🧹 Refactor | Python - HTTPX | 📊 Level: Advanced | 🌐 Coding5s.com
**Concept:** Testing and Mocking Requests (Using the responses library)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deterministic unit tests for network operations by utilizing mocking libraries like respx or pytest-httpx to intercept outgoing httpx requests and inject simulated JSON responses without hitting live endpoints. Topic details: Testing and Mocking Requests (Using the responses library)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Python - HTTPX | 📊 Level: Advanced
**Topic:** Implement deterministic unit tests for network operations by utilizing mocking libraries like respx or pytest-httpx to intercept outgoing httpx requests and inject simulated JSON responses without hitting live endpoints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5" s="53">
        <v>0</v>
      </c>
      <c r="W45" s="87" t="str">
        <f t="shared" si="10"/>
        <v>[ROLE] Tech Product Manager assigning a Python Jira Ticket | [TASK] Provide a guided implementation exercise with full solution for learning purposes | [TOPIC] Implement deterministic unit tests for network operations by utilizing mocking libraries like respx or pytest-httpx to intercept outgoing httpx requests and inject simulated JSON responses without hitting live endpoints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#37 | Stage 5 | Python - HTTPX | 📊 Level: Advanced | 🌐 Coding5s.com
**Concept:** Testing and Mocking Requests (Using the responses library)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deterministic unit tests for network operations by utilizing mocking libraries like respx or pytest-httpx to intercept outgoing httpx requests and inject simulated JSON responses without hitting live endpoints. Goal: Testing and Mocking Requests (Using the responses library)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Python - HTTPX | 📊 Level: Advanced
**Topic:** Implement deterministic unit tests for network operations by utilizing mocking libraries like respx or pytest-httpx to intercept outgoing httpx requests and inject simulated JSON responses without hitting live endpoints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5" s="53">
        <v>0</v>
      </c>
      <c r="Z45" s="56" t="str">
        <f t="shared" si="12"/>
        <v/>
      </c>
      <c r="AA45" s="56" t="str">
        <f t="shared" si="13"/>
        <v/>
      </c>
      <c r="AB45" s="56" t="str">
        <f t="shared" si="14"/>
        <v/>
      </c>
      <c r="AC45" s="56" t="str">
        <f t="shared" si="15"/>
        <v/>
      </c>
      <c r="AD45" s="56" t="str">
        <f t="shared" si="16"/>
        <v/>
      </c>
      <c r="AE45" s="40"/>
      <c r="AF45" s="40"/>
      <c r="AG45" s="40"/>
      <c r="AH45" s="56" t="str">
        <f t="shared" si="17"/>
        <v/>
      </c>
      <c r="AI45" s="54"/>
      <c r="AJ45" s="54"/>
      <c r="AK45" s="54">
        <v>37</v>
      </c>
      <c r="AL45" s="54" t="s">
        <v>83</v>
      </c>
      <c r="AM45" s="54" t="s">
        <v>84</v>
      </c>
    </row>
    <row r="46" spans="1:39">
      <c r="A46" s="45" t="str" cm="1">
        <f t="array" ref="A46">IF(H46="PROJECT", CHAR(10) &amp; "- " &amp; _xlfn.TEXTJOIN(CHAR(10) &amp; "- ", TRUE, _xlfn._xlws.FILTER($I$9:$I$1000, ($B$9:$B$1000=B46) * ($H$9:$H$1000="Topic"))), "")</f>
        <v xml:space="preserve">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v>
      </c>
      <c r="B46" s="45">
        <f t="shared" si="1"/>
        <v>6</v>
      </c>
      <c r="C46" s="95" t="s">
        <v>861</v>
      </c>
      <c r="D46" s="57">
        <v>0</v>
      </c>
      <c r="E46" s="58" t="s">
        <v>723</v>
      </c>
      <c r="F46" s="59">
        <v>38</v>
      </c>
      <c r="G46" s="60" t="s">
        <v>159</v>
      </c>
      <c r="H46" s="60" t="s">
        <v>77</v>
      </c>
      <c r="I46" s="61" t="s">
        <v>859</v>
      </c>
      <c r="J46" s="62" t="s">
        <v>860</v>
      </c>
      <c r="K46" s="129" t="str">
        <f t="shared" si="2"/>
        <v>[TASK] Teach through a practical Python - HTTPX project following the micro-learning methodology, acting as a supportive tutor, creating a project about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#38 | Stage 1 | Python - HTTPX | 📊 Level: Advanced | 🌐 Coding5s.com
**Project:** Project 6: Resilient Data Pipeline (Prepared requests, hooks, retries, mocking)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6"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Topics applied in this project: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Project objective: Project 6: Resilient Data Pipeline (Prepared requests, hooks, retries, mocking)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#38 | Practice | Python - HTTPX | 📊 Level: Advanced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 [FOOTER RULE - STRICT] End your response with: '--- ⚡ *Coding5s Mentor System — Eliminating Epistemic Debt*' | </v>
      </c>
      <c r="M46" s="52">
        <v>0</v>
      </c>
      <c r="N46" s="102" t="str">
        <f t="shared" si="4"/>
        <v>[ROLE] Careless Python Developer | [TASK] Generate debugging project in Python |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[OUTPUT] Only header, dataset summary or statement (if any), email intro, objective, expected output, broken code, and footer | [HEADER RULE - STRICT] You MUST start your entire response EXACTLY with this markdown block (do not print anything before it):
### 🚀 Project #38 | Stage 2 | Python - HTTPX | 📊 Level: Advanced | 🌐 Coding5s.com
Project: Project 6: Resilient Data Pipeline (Prepared requests, hooks, retries, mocking)
---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6"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Topics involved: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Project objective: Project 6: Resilient Data Pipeline (Prepared requests, hooks, retries, mocking)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#38 | Debug | Python - HTTPX | 📊 Level: Advanced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6" s="52">
        <v>0</v>
      </c>
      <c r="Q46" s="102" t="str">
        <f t="shared" si="6"/>
        <v>[ROLE] Tech Lead | [TASK] Assign incomplete project script |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#38 | Stage 3 | Python - HTTPX | 📊 Level: Advanced | 🌐 Coding5s.com
**Project:** Project 6: Resilient Data Pipeline (Prepared requests, hooks, retries, mocking)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6"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Topics involved: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Project objective: Project 6: Resilient Data Pipeline (Prepared requests, hooks, retries, mocking)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#38 | Complete | Python - HTTPX | 📊 Level: Advanced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6" s="52">
        <v>0</v>
      </c>
      <c r="T46" s="102" t="str">
        <f t="shared" si="8"/>
        <v>[ROLE] Tech Lead | [TASK] Provide a messy but functional project for refactoring |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[PERSONA RULE] Act as a Tech Lead. A junior wrote this working but messy code. Tone: professional but exhausted | [HEADER RULE - STRICT] You MUST start your entire response EXACTLY with this markdown block (do not print anything before it):
### 🚀 Project #38 | Stage 4 | Python - HTTPX | 📊 Level: Advanced | 🌐 Coding5s.com
**Project:** Project 6: Resilient Data Pipeline (Prepared requests, hooks, retries, mocking)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Topics involved: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Project objective: Project 6: Resilient Data Pipeline (Prepared requests, hooks, retries, mocking)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#38 | Refactor | Python - HTTPX | 📊 Level: Advanced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6" s="52">
        <v>0</v>
      </c>
      <c r="W46" s="87" t="str">
        <f t="shared" si="10"/>
        <v>[ROLE] Tech Product Manager assigning a Python Jira Ticket | [TASK] Provide a guided project implementation with full solution |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[PERSONA RULE] Act as a professional Tech Product Manager defining a project ticket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#38 | Stage 5 | Python - HTTPX | 📊 Level: Advanced | 🌐 Coding5s.com
**Project:** Project 6: Resilient Data Pipeline (Prepared requests, hooks, retries, mocking)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Topics integrated: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Business Goal: Project 6: Resilient Data Pipeline (Prepared requests, hooks, retries, mocking)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#38 | Extend | Python - HTTPX | 📊 Level: Advanced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6" s="52">
        <v>0</v>
      </c>
      <c r="Z46" s="56" t="str">
        <f t="shared" si="12"/>
        <v>[TASK] Teach through a practical Python - HTTPX project following the micro-learning methodology, acting as a supportive tutor, creating a project about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#38 | Stage 1 | Python - HTTPX | 📊 Level: Advanced | 🌐 Coding5s.com
**Project:** Project 6: Resilient Data Pipeline (Prepared requests, hooks, retries, mocking)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6" s="56" t="str">
        <f t="shared" si="13"/>
        <v>[ROLE] Careless Python Developer | [TASK] Generate debugging project in Python |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[OUTPUT] Only header, dataset summary or statement (if any), email intro, objective, expected output, broken code, and footer | [HEADER RULE - STRICT] You MUST start your entire response EXACTLY with this markdown block (do not print anything before it):
### 🚀 Project #38 | Stage 2 | Python - HTTPX | 📊 Level: Advanced | 🌐 Coding5s.com
Project: Project 6: Resilient Data Pipeline (Prepared requests, hooks, retries, mocking)
---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6" s="56" t="str">
        <f t="shared" si="14"/>
        <v>[ROLE] Tech Lead | [TASK] Assign incomplete project script |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#38 | Stage 3 | Python - HTTPX | 📊 Level: Advanced | 🌐 Coding5s.com
**Project:** Project 6: Resilient Data Pipeline (Prepared requests, hooks, retries, mocking)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6" s="56" t="str">
        <f t="shared" si="15"/>
        <v>[ROLE] Tech Lead | [TASK] Provide a messy but functional project for refactoring |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[PERSONA RULE] Act as a Tech Lead. A junior wrote this working but messy code. Tone: professional but exhausted | [HEADER RULE - STRICT] You MUST start your entire response EXACTLY with this markdown block (do not print anything before it):
### 🚀 Project #38 | Stage 4 | Python - HTTPX | 📊 Level: Advanced | 🌐 Coding5s.com
**Project:** Project 6: Resilient Data Pipeline (Prepared requests, hooks, retries, mocking)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6" s="56" t="str">
        <f t="shared" si="16"/>
        <v>[ROLE] Tech Product Manager assigning a Python Jira Ticket | [TASK] Provide a guided project implementation with full solution |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[PERSONA RULE] Act as a professional Tech Product Manager defining a project ticket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#38 | Stage 5 | Python - HTTPX | 📊 Level: Advanced | 🌐 Coding5s.com
**Project:** Project 6: Resilient Data Pipeline (Prepared requests, hooks, retries, mocking)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6" s="40"/>
      <c r="AF46" s="40"/>
      <c r="AG46" s="40"/>
      <c r="AH46" s="56" t="str">
        <f t="shared" si="17"/>
        <v/>
      </c>
      <c r="AI46" s="54"/>
      <c r="AJ46" s="54"/>
      <c r="AK46" s="54">
        <v>38</v>
      </c>
      <c r="AL46" s="54" t="s">
        <v>88</v>
      </c>
      <c r="AM46" s="54" t="s">
        <v>89</v>
      </c>
    </row>
    <row r="47" spans="1:39">
      <c r="A47" s="45" t="str" cm="1">
        <f t="array" ref="A47">IF(H47="PROJECT", CHAR(10) &amp; "- " &amp; _xlfn.TEXTJOIN(CHAR(10) &amp; "- ", TRUE, _xlfn._xlws.FILTER($I$9:$I$1000, ($B$9:$B$1000=B47) * ($H$9:$H$1000="Topic"))), "")</f>
        <v/>
      </c>
      <c r="B47" s="45" t="str">
        <f t="shared" si="1"/>
        <v/>
      </c>
      <c r="C47" s="95"/>
      <c r="D47" s="46"/>
      <c r="E47" s="58"/>
      <c r="F47" s="48"/>
      <c r="G47" s="49"/>
      <c r="H47" s="49"/>
      <c r="I47" s="50"/>
      <c r="J47" s="51"/>
      <c r="K47" s="129" t="str">
        <f t="shared" si="2"/>
        <v/>
      </c>
      <c r="L47" s="103" t="str">
        <f t="shared" si="3"/>
        <v/>
      </c>
      <c r="M47" s="53">
        <v>0</v>
      </c>
      <c r="N47" s="102" t="str">
        <f t="shared" si="4"/>
        <v/>
      </c>
      <c r="O47" s="103" t="str">
        <f t="shared" si="5"/>
        <v/>
      </c>
      <c r="P47" s="53">
        <v>0</v>
      </c>
      <c r="Q47" s="102" t="str">
        <f t="shared" si="6"/>
        <v/>
      </c>
      <c r="R47" s="103" t="str">
        <f t="shared" si="7"/>
        <v/>
      </c>
      <c r="S47" s="53">
        <v>0</v>
      </c>
      <c r="T47" s="102" t="str">
        <f t="shared" si="8"/>
        <v/>
      </c>
      <c r="U47" s="103" t="str">
        <f t="shared" si="9"/>
        <v/>
      </c>
      <c r="V47" s="53">
        <v>0</v>
      </c>
      <c r="W47" s="87" t="str">
        <f t="shared" si="10"/>
        <v/>
      </c>
      <c r="X47" s="103" t="str">
        <f t="shared" si="11"/>
        <v/>
      </c>
      <c r="Y47" s="53">
        <v>0</v>
      </c>
      <c r="Z47" s="56" t="str">
        <f t="shared" si="12"/>
        <v/>
      </c>
      <c r="AA47" s="56" t="str">
        <f t="shared" si="13"/>
        <v/>
      </c>
      <c r="AB47" s="56" t="str">
        <f t="shared" si="14"/>
        <v/>
      </c>
      <c r="AC47" s="56" t="str">
        <f t="shared" si="15"/>
        <v/>
      </c>
      <c r="AD47" s="56" t="str">
        <f t="shared" si="16"/>
        <v/>
      </c>
      <c r="AE47" s="40"/>
      <c r="AF47" s="40"/>
      <c r="AG47" s="40"/>
      <c r="AH47" s="56" t="str">
        <f t="shared" si="17"/>
        <v/>
      </c>
      <c r="AI47" s="54"/>
      <c r="AJ47" s="54"/>
      <c r="AK47" s="54">
        <v>39</v>
      </c>
      <c r="AL47" s="54" t="s">
        <v>93</v>
      </c>
      <c r="AM47" s="54" t="s">
        <v>94</v>
      </c>
    </row>
    <row r="48" spans="1:39">
      <c r="A48" s="45" t="str" cm="1">
        <f t="array" ref="A48">IF(H48="PROJECT", CHAR(10) &amp; "- " &amp; _xlfn.TEXTJOIN(CHAR(10) &amp; "- ", TRUE, _xlfn._xlws.FILTER($I$9:$I$1000, ($B$9:$B$1000=B48) * ($H$9:$H$1000="Topic"))), "")</f>
        <v/>
      </c>
      <c r="B48" s="45" t="str">
        <f t="shared" si="1"/>
        <v/>
      </c>
      <c r="C48" s="95"/>
      <c r="D48" s="57"/>
      <c r="E48" s="58"/>
      <c r="F48" s="59"/>
      <c r="G48" s="60"/>
      <c r="H48" s="60"/>
      <c r="I48" s="61"/>
      <c r="J48" s="62"/>
      <c r="K48" s="129" t="str">
        <f t="shared" si="2"/>
        <v/>
      </c>
      <c r="L48" s="103" t="str">
        <f t="shared" si="3"/>
        <v/>
      </c>
      <c r="M48" s="52">
        <v>0</v>
      </c>
      <c r="N48" s="102" t="str">
        <f t="shared" si="4"/>
        <v/>
      </c>
      <c r="O48" s="103" t="str">
        <f t="shared" si="5"/>
        <v/>
      </c>
      <c r="P48" s="52">
        <v>0</v>
      </c>
      <c r="Q48" s="102" t="str">
        <f t="shared" si="6"/>
        <v/>
      </c>
      <c r="R48" s="103" t="str">
        <f t="shared" si="7"/>
        <v/>
      </c>
      <c r="S48" s="52">
        <v>0</v>
      </c>
      <c r="T48" s="102" t="str">
        <f t="shared" si="8"/>
        <v/>
      </c>
      <c r="U48" s="103" t="str">
        <f t="shared" si="9"/>
        <v/>
      </c>
      <c r="V48" s="52">
        <v>0</v>
      </c>
      <c r="W48" s="87" t="str">
        <f t="shared" si="10"/>
        <v/>
      </c>
      <c r="X48" s="103" t="str">
        <f t="shared" si="11"/>
        <v/>
      </c>
      <c r="Y48" s="52">
        <v>0</v>
      </c>
      <c r="Z48" s="56" t="str">
        <f t="shared" si="12"/>
        <v/>
      </c>
      <c r="AA48" s="56" t="str">
        <f t="shared" si="13"/>
        <v/>
      </c>
      <c r="AB48" s="56" t="str">
        <f t="shared" si="14"/>
        <v/>
      </c>
      <c r="AC48" s="56" t="str">
        <f t="shared" si="15"/>
        <v/>
      </c>
      <c r="AD48" s="56" t="str">
        <f t="shared" si="16"/>
        <v/>
      </c>
      <c r="AE48" s="40"/>
      <c r="AF48" s="40"/>
      <c r="AG48" s="40"/>
      <c r="AH48" s="56" t="str">
        <f t="shared" si="17"/>
        <v/>
      </c>
      <c r="AI48" s="54"/>
      <c r="AJ48" s="54"/>
      <c r="AK48" s="54">
        <v>40</v>
      </c>
      <c r="AL48" s="54" t="s">
        <v>98</v>
      </c>
      <c r="AM48" s="54" t="s">
        <v>99</v>
      </c>
    </row>
    <row r="49" spans="1:39">
      <c r="A49" s="45" t="str" cm="1">
        <f t="array" ref="A49">IF(H49="PROJECT", CHAR(10) &amp; "- " &amp; _xlfn.TEXTJOIN(CHAR(10) &amp; "- ", TRUE, _xlfn._xlws.FILTER($I$9:$I$1000, ($B$9:$B$1000=B49) * ($H$9:$H$1000="Topic"))), "")</f>
        <v/>
      </c>
      <c r="B49" s="45" t="str">
        <f t="shared" si="1"/>
        <v/>
      </c>
      <c r="C49" s="95"/>
      <c r="D49" s="46"/>
      <c r="E49" s="58"/>
      <c r="F49" s="48"/>
      <c r="G49" s="49"/>
      <c r="H49" s="49"/>
      <c r="I49" s="50"/>
      <c r="J49" s="51"/>
      <c r="K49" s="129" t="str">
        <f t="shared" si="2"/>
        <v/>
      </c>
      <c r="L49" s="103" t="str">
        <f t="shared" si="3"/>
        <v/>
      </c>
      <c r="M49" s="53">
        <v>0</v>
      </c>
      <c r="N49" s="102" t="str">
        <f t="shared" si="4"/>
        <v/>
      </c>
      <c r="O49" s="103" t="str">
        <f t="shared" si="5"/>
        <v/>
      </c>
      <c r="P49" s="53">
        <v>0</v>
      </c>
      <c r="Q49" s="102" t="str">
        <f t="shared" si="6"/>
        <v/>
      </c>
      <c r="R49" s="103" t="str">
        <f t="shared" si="7"/>
        <v/>
      </c>
      <c r="S49" s="53">
        <v>0</v>
      </c>
      <c r="T49" s="102" t="str">
        <f t="shared" si="8"/>
        <v/>
      </c>
      <c r="U49" s="103" t="str">
        <f t="shared" si="9"/>
        <v/>
      </c>
      <c r="V49" s="53">
        <v>0</v>
      </c>
      <c r="W49" s="87" t="str">
        <f t="shared" si="10"/>
        <v/>
      </c>
      <c r="X49" s="103" t="str">
        <f t="shared" si="11"/>
        <v/>
      </c>
      <c r="Y49" s="53">
        <v>0</v>
      </c>
      <c r="Z49" s="56" t="str">
        <f t="shared" si="12"/>
        <v/>
      </c>
      <c r="AA49" s="56" t="str">
        <f t="shared" si="13"/>
        <v/>
      </c>
      <c r="AB49" s="56" t="str">
        <f t="shared" si="14"/>
        <v/>
      </c>
      <c r="AC49" s="56" t="str">
        <f t="shared" si="15"/>
        <v/>
      </c>
      <c r="AD49" s="56" t="str">
        <f t="shared" si="16"/>
        <v/>
      </c>
      <c r="AE49" s="40"/>
      <c r="AF49" s="40"/>
      <c r="AG49" s="40"/>
      <c r="AH49" s="56" t="str">
        <f t="shared" si="17"/>
        <v/>
      </c>
      <c r="AI49" s="54"/>
      <c r="AJ49" s="54"/>
      <c r="AK49" s="54"/>
      <c r="AL49" s="54"/>
      <c r="AM49" s="54"/>
    </row>
    <row r="50" spans="1:39">
      <c r="A50" s="45" t="str" cm="1">
        <f t="array" ref="A50">IF(H50="PROJECT", CHAR(10) &amp; "- " &amp; _xlfn.TEXTJOIN(CHAR(10) &amp; "- ", TRUE, _xlfn._xlws.FILTER($I$9:$I$1000, ($B$9:$B$1000=B50) * ($H$9:$H$1000="Topic"))), "")</f>
        <v/>
      </c>
      <c r="B50" s="45" t="str">
        <f t="shared" si="1"/>
        <v/>
      </c>
      <c r="C50" s="95"/>
      <c r="D50" s="57"/>
      <c r="E50" s="58"/>
      <c r="F50" s="59"/>
      <c r="G50" s="60"/>
      <c r="H50" s="60"/>
      <c r="I50" s="61"/>
      <c r="J50" s="62"/>
      <c r="K50" s="129" t="str">
        <f t="shared" si="2"/>
        <v/>
      </c>
      <c r="L50" s="103" t="str">
        <f t="shared" si="3"/>
        <v/>
      </c>
      <c r="M50" s="52">
        <v>0</v>
      </c>
      <c r="N50" s="102" t="str">
        <f t="shared" si="4"/>
        <v/>
      </c>
      <c r="O50" s="103" t="str">
        <f t="shared" si="5"/>
        <v/>
      </c>
      <c r="P50" s="52">
        <v>0</v>
      </c>
      <c r="Q50" s="102" t="str">
        <f t="shared" si="6"/>
        <v/>
      </c>
      <c r="R50" s="103" t="str">
        <f t="shared" si="7"/>
        <v/>
      </c>
      <c r="S50" s="52">
        <v>0</v>
      </c>
      <c r="T50" s="102" t="str">
        <f t="shared" si="8"/>
        <v/>
      </c>
      <c r="U50" s="103" t="str">
        <f t="shared" si="9"/>
        <v/>
      </c>
      <c r="V50" s="52">
        <v>0</v>
      </c>
      <c r="W50" s="87" t="str">
        <f t="shared" si="10"/>
        <v/>
      </c>
      <c r="X50" s="103" t="str">
        <f t="shared" si="11"/>
        <v/>
      </c>
      <c r="Y50" s="52">
        <v>0</v>
      </c>
      <c r="Z50" s="56" t="str">
        <f t="shared" si="12"/>
        <v/>
      </c>
      <c r="AA50" s="56" t="str">
        <f t="shared" si="13"/>
        <v/>
      </c>
      <c r="AB50" s="56" t="str">
        <f t="shared" si="14"/>
        <v/>
      </c>
      <c r="AC50" s="56" t="str">
        <f t="shared" si="15"/>
        <v/>
      </c>
      <c r="AD50" s="56" t="str">
        <f t="shared" si="16"/>
        <v/>
      </c>
      <c r="AE50" s="40"/>
      <c r="AF50" s="40"/>
      <c r="AG50" s="40"/>
      <c r="AH50" s="56" t="str">
        <f t="shared" si="17"/>
        <v/>
      </c>
      <c r="AI50" s="54"/>
      <c r="AJ50" s="54"/>
      <c r="AK50" s="54"/>
      <c r="AL50" s="54"/>
      <c r="AM50" s="54"/>
    </row>
    <row r="51" spans="1:39">
      <c r="A51" s="45" t="str" cm="1">
        <f t="array" ref="A51">IF(H51="PROJECT", CHAR(10) &amp; "- " &amp; _xlfn.TEXTJOIN(CHAR(10) &amp; "- ", TRUE, _xlfn._xlws.FILTER($I$9:$I$1000, ($B$9:$B$1000=B51) * ($H$9:$H$1000="Topic"))), "")</f>
        <v/>
      </c>
      <c r="B51" s="45" t="str">
        <f t="shared" si="1"/>
        <v/>
      </c>
      <c r="C51" s="95"/>
      <c r="D51" s="46"/>
      <c r="E51" s="58"/>
      <c r="F51" s="48"/>
      <c r="G51" s="49"/>
      <c r="H51" s="49"/>
      <c r="I51" s="50"/>
      <c r="J51" s="51"/>
      <c r="K51" s="129" t="str">
        <f t="shared" si="2"/>
        <v/>
      </c>
      <c r="L51" s="103" t="str">
        <f t="shared" si="3"/>
        <v/>
      </c>
      <c r="M51" s="53">
        <v>0</v>
      </c>
      <c r="N51" s="102" t="str">
        <f t="shared" si="4"/>
        <v/>
      </c>
      <c r="O51" s="103" t="str">
        <f t="shared" si="5"/>
        <v/>
      </c>
      <c r="P51" s="53">
        <v>0</v>
      </c>
      <c r="Q51" s="102" t="str">
        <f t="shared" si="6"/>
        <v/>
      </c>
      <c r="R51" s="103" t="str">
        <f t="shared" si="7"/>
        <v/>
      </c>
      <c r="S51" s="53">
        <v>0</v>
      </c>
      <c r="T51" s="102" t="str">
        <f t="shared" si="8"/>
        <v/>
      </c>
      <c r="U51" s="103" t="str">
        <f t="shared" si="9"/>
        <v/>
      </c>
      <c r="V51" s="53">
        <v>0</v>
      </c>
      <c r="W51" s="87" t="str">
        <f t="shared" si="10"/>
        <v/>
      </c>
      <c r="X51" s="103" t="str">
        <f t="shared" si="11"/>
        <v/>
      </c>
      <c r="Y51" s="53">
        <v>0</v>
      </c>
      <c r="Z51" s="56" t="str">
        <f t="shared" si="12"/>
        <v/>
      </c>
      <c r="AA51" s="56" t="str">
        <f t="shared" si="13"/>
        <v/>
      </c>
      <c r="AB51" s="56" t="str">
        <f t="shared" si="14"/>
        <v/>
      </c>
      <c r="AC51" s="56" t="str">
        <f t="shared" si="15"/>
        <v/>
      </c>
      <c r="AD51" s="56" t="str">
        <f t="shared" si="16"/>
        <v/>
      </c>
      <c r="AE51" s="40"/>
      <c r="AF51" s="40"/>
      <c r="AG51" s="40"/>
      <c r="AH51" s="56" t="str">
        <f t="shared" si="17"/>
        <v/>
      </c>
      <c r="AI51" s="54"/>
      <c r="AJ51" s="54"/>
      <c r="AK51" s="54"/>
      <c r="AL51" s="54"/>
      <c r="AM51" s="54"/>
    </row>
    <row r="52" spans="1:39">
      <c r="A52" s="45" t="str" cm="1">
        <f t="array" ref="A52">IF(H52="PROJECT", CHAR(10) &amp; "- " &amp; _xlfn.TEXTJOIN(CHAR(10) &amp; "- ", TRUE, _xlfn._xlws.FILTER($I$9:$I$1000, ($B$9:$B$1000=B52) * ($H$9:$H$1000="Topic"))), "")</f>
        <v/>
      </c>
      <c r="B52" s="45" t="str">
        <f t="shared" si="1"/>
        <v/>
      </c>
      <c r="C52" s="95"/>
      <c r="D52" s="57"/>
      <c r="E52" s="58"/>
      <c r="F52" s="59"/>
      <c r="G52" s="60"/>
      <c r="H52" s="60"/>
      <c r="I52" s="61"/>
      <c r="J52" s="62"/>
      <c r="K52" s="129" t="str">
        <f t="shared" si="2"/>
        <v/>
      </c>
      <c r="L52" s="103" t="str">
        <f t="shared" si="3"/>
        <v/>
      </c>
      <c r="M52" s="52">
        <v>0</v>
      </c>
      <c r="N52" s="102" t="str">
        <f t="shared" si="4"/>
        <v/>
      </c>
      <c r="O52" s="103" t="str">
        <f t="shared" si="5"/>
        <v/>
      </c>
      <c r="P52" s="52">
        <v>0</v>
      </c>
      <c r="Q52" s="102" t="str">
        <f t="shared" si="6"/>
        <v/>
      </c>
      <c r="R52" s="103" t="str">
        <f t="shared" si="7"/>
        <v/>
      </c>
      <c r="S52" s="52">
        <v>0</v>
      </c>
      <c r="T52" s="102" t="str">
        <f t="shared" si="8"/>
        <v/>
      </c>
      <c r="U52" s="103" t="str">
        <f t="shared" si="9"/>
        <v/>
      </c>
      <c r="V52" s="52">
        <v>0</v>
      </c>
      <c r="W52" s="87" t="str">
        <f t="shared" si="10"/>
        <v/>
      </c>
      <c r="X52" s="103" t="str">
        <f t="shared" si="11"/>
        <v/>
      </c>
      <c r="Y52" s="52">
        <v>0</v>
      </c>
      <c r="Z52" s="56" t="str">
        <f t="shared" si="12"/>
        <v/>
      </c>
      <c r="AA52" s="56" t="str">
        <f t="shared" si="13"/>
        <v/>
      </c>
      <c r="AB52" s="56" t="str">
        <f t="shared" si="14"/>
        <v/>
      </c>
      <c r="AC52" s="56" t="str">
        <f t="shared" si="15"/>
        <v/>
      </c>
      <c r="AD52" s="56" t="str">
        <f t="shared" si="16"/>
        <v/>
      </c>
      <c r="AE52" s="40"/>
      <c r="AF52" s="40"/>
      <c r="AG52" s="40"/>
      <c r="AH52" s="56" t="str">
        <f t="shared" si="17"/>
        <v/>
      </c>
      <c r="AI52" s="54"/>
      <c r="AJ52" s="54"/>
      <c r="AK52" s="54"/>
      <c r="AL52" s="54"/>
      <c r="AM52" s="54"/>
    </row>
    <row r="53" spans="1:39">
      <c r="A53" s="45" t="str" cm="1">
        <f t="array" ref="A53">IF(H53="PROJECT", CHAR(10) &amp; "- " &amp; _xlfn.TEXTJOIN(CHAR(10) &amp; "- ", TRUE, _xlfn._xlws.FILTER($I$9:$I$1000, ($B$9:$B$1000=B53) * ($H$9:$H$1000="Topic"))), "")</f>
        <v/>
      </c>
      <c r="B53" s="45" t="str">
        <f t="shared" si="1"/>
        <v/>
      </c>
      <c r="C53" s="95"/>
      <c r="D53" s="46"/>
      <c r="E53" s="58"/>
      <c r="F53" s="48"/>
      <c r="G53" s="49"/>
      <c r="H53" s="49"/>
      <c r="I53" s="50"/>
      <c r="J53" s="51"/>
      <c r="K53" s="129" t="str">
        <f t="shared" si="2"/>
        <v/>
      </c>
      <c r="L53" s="103" t="str">
        <f t="shared" si="3"/>
        <v/>
      </c>
      <c r="M53" s="53">
        <v>0</v>
      </c>
      <c r="N53" s="102" t="str">
        <f t="shared" si="4"/>
        <v/>
      </c>
      <c r="O53" s="103" t="str">
        <f t="shared" si="5"/>
        <v/>
      </c>
      <c r="P53" s="53">
        <v>0</v>
      </c>
      <c r="Q53" s="102" t="str">
        <f t="shared" si="6"/>
        <v/>
      </c>
      <c r="R53" s="103" t="str">
        <f t="shared" si="7"/>
        <v/>
      </c>
      <c r="S53" s="53">
        <v>0</v>
      </c>
      <c r="T53" s="102" t="str">
        <f t="shared" si="8"/>
        <v/>
      </c>
      <c r="U53" s="103" t="str">
        <f t="shared" si="9"/>
        <v/>
      </c>
      <c r="V53" s="53">
        <v>0</v>
      </c>
      <c r="W53" s="87" t="str">
        <f t="shared" si="10"/>
        <v/>
      </c>
      <c r="X53" s="103" t="str">
        <f t="shared" si="11"/>
        <v/>
      </c>
      <c r="Y53" s="53">
        <v>0</v>
      </c>
      <c r="Z53" s="56" t="str">
        <f t="shared" si="12"/>
        <v/>
      </c>
      <c r="AA53" s="56" t="str">
        <f t="shared" si="13"/>
        <v/>
      </c>
      <c r="AB53" s="56" t="str">
        <f t="shared" si="14"/>
        <v/>
      </c>
      <c r="AC53" s="56" t="str">
        <f t="shared" si="15"/>
        <v/>
      </c>
      <c r="AD53" s="56" t="str">
        <f t="shared" si="16"/>
        <v/>
      </c>
      <c r="AE53" s="40"/>
      <c r="AF53" s="40"/>
      <c r="AG53" s="40"/>
      <c r="AH53" s="56" t="str">
        <f t="shared" si="17"/>
        <v/>
      </c>
      <c r="AI53" s="54"/>
      <c r="AJ53" s="54"/>
      <c r="AK53" s="54"/>
      <c r="AL53" s="54"/>
      <c r="AM53" s="54"/>
    </row>
    <row r="54" spans="1:39">
      <c r="A54" s="45" t="str" cm="1">
        <f t="array" ref="A54">IF(H54="PROJECT", CHAR(10) &amp; "- " &amp; _xlfn.TEXTJOIN(CHAR(10) &amp; "- ", TRUE, _xlfn._xlws.FILTER($I$9:$I$1000, ($B$9:$B$1000=B54) * ($H$9:$H$1000="Topic"))), "")</f>
        <v/>
      </c>
      <c r="B54" s="45" t="str">
        <f t="shared" si="1"/>
        <v/>
      </c>
      <c r="C54" s="95"/>
      <c r="D54" s="57"/>
      <c r="E54" s="58"/>
      <c r="F54" s="59"/>
      <c r="G54" s="60"/>
      <c r="H54" s="60"/>
      <c r="I54" s="61"/>
      <c r="J54" s="62"/>
      <c r="K54" s="129" t="str">
        <f t="shared" si="2"/>
        <v/>
      </c>
      <c r="L54" s="103" t="str">
        <f t="shared" si="3"/>
        <v/>
      </c>
      <c r="M54" s="52">
        <v>0</v>
      </c>
      <c r="N54" s="102" t="str">
        <f t="shared" si="4"/>
        <v/>
      </c>
      <c r="O54" s="103" t="str">
        <f t="shared" si="5"/>
        <v/>
      </c>
      <c r="P54" s="52">
        <v>0</v>
      </c>
      <c r="Q54" s="102" t="str">
        <f t="shared" si="6"/>
        <v/>
      </c>
      <c r="R54" s="103" t="str">
        <f t="shared" si="7"/>
        <v/>
      </c>
      <c r="S54" s="52">
        <v>0</v>
      </c>
      <c r="T54" s="102" t="str">
        <f t="shared" si="8"/>
        <v/>
      </c>
      <c r="U54" s="103" t="str">
        <f t="shared" si="9"/>
        <v/>
      </c>
      <c r="V54" s="52">
        <v>0</v>
      </c>
      <c r="W54" s="87" t="str">
        <f t="shared" si="10"/>
        <v/>
      </c>
      <c r="X54" s="103" t="str">
        <f t="shared" si="11"/>
        <v/>
      </c>
      <c r="Y54" s="52">
        <v>0</v>
      </c>
      <c r="Z54" s="56" t="str">
        <f t="shared" si="12"/>
        <v/>
      </c>
      <c r="AA54" s="56" t="str">
        <f t="shared" si="13"/>
        <v/>
      </c>
      <c r="AB54" s="56" t="str">
        <f t="shared" si="14"/>
        <v/>
      </c>
      <c r="AC54" s="56" t="str">
        <f t="shared" si="15"/>
        <v/>
      </c>
      <c r="AD54" s="56" t="str">
        <f t="shared" si="16"/>
        <v/>
      </c>
      <c r="AE54" s="40"/>
      <c r="AF54" s="40"/>
      <c r="AG54" s="40"/>
      <c r="AH54" s="56" t="str">
        <f t="shared" si="17"/>
        <v/>
      </c>
      <c r="AI54" s="54"/>
      <c r="AJ54" s="54"/>
      <c r="AK54" s="54"/>
      <c r="AL54" s="54"/>
      <c r="AM54" s="54"/>
    </row>
    <row r="55" spans="1:39">
      <c r="A55" s="45" t="str" cm="1">
        <f t="array" ref="A55">IF(H55="PROJECT", CHAR(10) &amp; "- " &amp; _xlfn.TEXTJOIN(CHAR(10) &amp; "- ", TRUE, _xlfn._xlws.FILTER($I$9:$I$1000, ($B$9:$B$1000=B55) * ($H$9:$H$1000="Topic"))), "")</f>
        <v/>
      </c>
      <c r="B55" s="45" t="str">
        <f t="shared" si="1"/>
        <v/>
      </c>
      <c r="C55" s="95"/>
      <c r="D55" s="46"/>
      <c r="E55" s="58"/>
      <c r="F55" s="48"/>
      <c r="G55" s="49"/>
      <c r="H55" s="49"/>
      <c r="I55" s="50"/>
      <c r="J55" s="51"/>
      <c r="K55" s="129" t="str">
        <f t="shared" si="2"/>
        <v/>
      </c>
      <c r="L55" s="103" t="str">
        <f t="shared" si="3"/>
        <v/>
      </c>
      <c r="M55" s="53">
        <v>0</v>
      </c>
      <c r="N55" s="102" t="str">
        <f t="shared" si="4"/>
        <v/>
      </c>
      <c r="O55" s="103" t="str">
        <f t="shared" si="5"/>
        <v/>
      </c>
      <c r="P55" s="53">
        <v>0</v>
      </c>
      <c r="Q55" s="102" t="str">
        <f t="shared" si="6"/>
        <v/>
      </c>
      <c r="R55" s="103" t="str">
        <f t="shared" si="7"/>
        <v/>
      </c>
      <c r="S55" s="53">
        <v>0</v>
      </c>
      <c r="T55" s="102" t="str">
        <f t="shared" si="8"/>
        <v/>
      </c>
      <c r="U55" s="103" t="str">
        <f t="shared" si="9"/>
        <v/>
      </c>
      <c r="V55" s="53">
        <v>0</v>
      </c>
      <c r="W55" s="87" t="str">
        <f t="shared" si="10"/>
        <v/>
      </c>
      <c r="X55" s="103" t="str">
        <f t="shared" si="11"/>
        <v/>
      </c>
      <c r="Y55" s="53">
        <v>0</v>
      </c>
      <c r="Z55" s="56" t="str">
        <f t="shared" si="12"/>
        <v/>
      </c>
      <c r="AA55" s="56" t="str">
        <f t="shared" si="13"/>
        <v/>
      </c>
      <c r="AB55" s="56" t="str">
        <f t="shared" si="14"/>
        <v/>
      </c>
      <c r="AC55" s="56" t="str">
        <f t="shared" si="15"/>
        <v/>
      </c>
      <c r="AD55" s="56" t="str">
        <f t="shared" si="16"/>
        <v/>
      </c>
      <c r="AE55" s="40"/>
      <c r="AF55" s="40"/>
      <c r="AG55" s="40"/>
      <c r="AH55" s="56" t="str">
        <f t="shared" si="17"/>
        <v/>
      </c>
      <c r="AI55" s="54"/>
      <c r="AJ55" s="54"/>
      <c r="AK55" s="54"/>
      <c r="AL55" s="54"/>
      <c r="AM55" s="54"/>
    </row>
    <row r="56" spans="1:39">
      <c r="A56" s="45" t="str" cm="1">
        <f t="array" ref="A56">IF(H56="PROJECT", CHAR(10) &amp; "- " &amp; _xlfn.TEXTJOIN(CHAR(10) &amp; "- ", TRUE, _xlfn._xlws.FILTER($I$9:$I$1000, ($B$9:$B$1000=B56) * ($H$9:$H$1000="Topic"))), "")</f>
        <v/>
      </c>
      <c r="B56" s="45" t="str">
        <f t="shared" si="1"/>
        <v/>
      </c>
      <c r="C56" s="95"/>
      <c r="D56" s="57"/>
      <c r="E56" s="58"/>
      <c r="F56" s="63"/>
      <c r="G56" s="60"/>
      <c r="H56" s="64"/>
      <c r="I56" s="61"/>
      <c r="J56" s="62"/>
      <c r="K56" s="129" t="str">
        <f t="shared" si="2"/>
        <v/>
      </c>
      <c r="L56" s="103" t="str">
        <f t="shared" si="3"/>
        <v/>
      </c>
      <c r="M56" s="52">
        <v>0</v>
      </c>
      <c r="N56" s="102" t="str">
        <f t="shared" si="4"/>
        <v/>
      </c>
      <c r="O56" s="103" t="str">
        <f t="shared" si="5"/>
        <v/>
      </c>
      <c r="P56" s="52">
        <v>0</v>
      </c>
      <c r="Q56" s="102" t="str">
        <f t="shared" si="6"/>
        <v/>
      </c>
      <c r="R56" s="103" t="str">
        <f t="shared" si="7"/>
        <v/>
      </c>
      <c r="S56" s="52">
        <v>0</v>
      </c>
      <c r="T56" s="102" t="str">
        <f t="shared" si="8"/>
        <v/>
      </c>
      <c r="U56" s="103" t="str">
        <f t="shared" si="9"/>
        <v/>
      </c>
      <c r="V56" s="52">
        <v>0</v>
      </c>
      <c r="W56" s="87" t="str">
        <f t="shared" si="10"/>
        <v/>
      </c>
      <c r="X56" s="103" t="str">
        <f t="shared" si="11"/>
        <v/>
      </c>
      <c r="Y56" s="52">
        <v>0</v>
      </c>
      <c r="Z56" s="56" t="str">
        <f t="shared" si="12"/>
        <v/>
      </c>
      <c r="AA56" s="56" t="str">
        <f t="shared" si="13"/>
        <v/>
      </c>
      <c r="AB56" s="56" t="str">
        <f t="shared" si="14"/>
        <v/>
      </c>
      <c r="AC56" s="56" t="str">
        <f t="shared" si="15"/>
        <v/>
      </c>
      <c r="AD56" s="56" t="str">
        <f t="shared" si="16"/>
        <v/>
      </c>
      <c r="AE56" s="40"/>
      <c r="AF56" s="40"/>
      <c r="AG56" s="40"/>
      <c r="AH56" s="56" t="str">
        <f t="shared" si="17"/>
        <v/>
      </c>
      <c r="AI56" s="54"/>
      <c r="AJ56" s="54"/>
      <c r="AK56" s="54"/>
      <c r="AL56" s="54"/>
      <c r="AM56" s="54"/>
    </row>
    <row r="57" spans="1:39">
      <c r="A57" s="45" t="str" cm="1">
        <f t="array" ref="A57">IF(H57="PROJECT", CHAR(10) &amp; "- " &amp; _xlfn.TEXTJOIN(CHAR(10) &amp; "- ", TRUE, _xlfn._xlws.FILTER($I$9:$I$1000, ($B$9:$B$1000=B57) * ($H$9:$H$1000="Topic"))), "")</f>
        <v/>
      </c>
      <c r="B57" s="45" t="str">
        <f t="shared" si="1"/>
        <v/>
      </c>
      <c r="C57" s="95"/>
      <c r="D57" s="46"/>
      <c r="E57" s="58"/>
      <c r="F57" s="65"/>
      <c r="G57" s="49"/>
      <c r="H57" s="66"/>
      <c r="I57" s="50"/>
      <c r="J57" s="51"/>
      <c r="K57" s="129" t="str">
        <f t="shared" si="2"/>
        <v/>
      </c>
      <c r="L57" s="103" t="str">
        <f t="shared" si="3"/>
        <v/>
      </c>
      <c r="M57" s="53">
        <v>0</v>
      </c>
      <c r="N57" s="102" t="str">
        <f t="shared" si="4"/>
        <v/>
      </c>
      <c r="O57" s="103" t="str">
        <f t="shared" si="5"/>
        <v/>
      </c>
      <c r="P57" s="53">
        <v>0</v>
      </c>
      <c r="Q57" s="102" t="str">
        <f t="shared" si="6"/>
        <v/>
      </c>
      <c r="R57" s="103" t="str">
        <f t="shared" si="7"/>
        <v/>
      </c>
      <c r="S57" s="53">
        <v>0</v>
      </c>
      <c r="T57" s="102" t="str">
        <f t="shared" si="8"/>
        <v/>
      </c>
      <c r="U57" s="103" t="str">
        <f t="shared" si="9"/>
        <v/>
      </c>
      <c r="V57" s="53">
        <v>0</v>
      </c>
      <c r="W57" s="87" t="str">
        <f t="shared" si="10"/>
        <v/>
      </c>
      <c r="X57" s="103" t="str">
        <f t="shared" si="11"/>
        <v/>
      </c>
      <c r="Y57" s="53">
        <v>0</v>
      </c>
      <c r="Z57" s="56" t="str">
        <f t="shared" si="12"/>
        <v/>
      </c>
      <c r="AA57" s="56" t="str">
        <f t="shared" si="13"/>
        <v/>
      </c>
      <c r="AB57" s="56" t="str">
        <f t="shared" si="14"/>
        <v/>
      </c>
      <c r="AC57" s="56" t="str">
        <f t="shared" si="15"/>
        <v/>
      </c>
      <c r="AD57" s="56" t="str">
        <f t="shared" si="16"/>
        <v/>
      </c>
      <c r="AE57" s="40"/>
      <c r="AF57" s="40"/>
      <c r="AG57" s="40"/>
      <c r="AH57" s="56" t="str">
        <f t="shared" si="17"/>
        <v/>
      </c>
      <c r="AI57" s="54"/>
      <c r="AJ57" s="54"/>
      <c r="AK57" s="54"/>
      <c r="AL57" s="54"/>
      <c r="AM57" s="54"/>
    </row>
    <row r="58" spans="1:39">
      <c r="A58" s="45" t="str" cm="1">
        <f t="array" ref="A58">IF(H58="PROJECT", CHAR(10) &amp; "- " &amp; _xlfn.TEXTJOIN(CHAR(10) &amp; "- ", TRUE, _xlfn._xlws.FILTER($I$9:$I$1000, ($B$9:$B$1000=B58) * ($H$9:$H$1000="Topic"))), "")</f>
        <v/>
      </c>
      <c r="B58" s="45" t="str">
        <f t="shared" si="1"/>
        <v/>
      </c>
      <c r="C58" s="95"/>
      <c r="D58" s="57"/>
      <c r="E58" s="58"/>
      <c r="F58" s="63"/>
      <c r="G58" s="60"/>
      <c r="H58" s="64"/>
      <c r="I58" s="61"/>
      <c r="J58" s="62"/>
      <c r="K58" s="129" t="str">
        <f t="shared" si="2"/>
        <v/>
      </c>
      <c r="L58" s="103" t="str">
        <f t="shared" si="3"/>
        <v/>
      </c>
      <c r="M58" s="52">
        <v>0</v>
      </c>
      <c r="N58" s="102" t="str">
        <f t="shared" si="4"/>
        <v/>
      </c>
      <c r="O58" s="103" t="str">
        <f t="shared" si="5"/>
        <v/>
      </c>
      <c r="P58" s="52">
        <v>0</v>
      </c>
      <c r="Q58" s="102" t="str">
        <f t="shared" si="6"/>
        <v/>
      </c>
      <c r="R58" s="103" t="str">
        <f t="shared" si="7"/>
        <v/>
      </c>
      <c r="S58" s="52">
        <v>0</v>
      </c>
      <c r="T58" s="102" t="str">
        <f t="shared" si="8"/>
        <v/>
      </c>
      <c r="U58" s="103" t="str">
        <f t="shared" si="9"/>
        <v/>
      </c>
      <c r="V58" s="52">
        <v>0</v>
      </c>
      <c r="W58" s="87" t="str">
        <f t="shared" si="10"/>
        <v/>
      </c>
      <c r="X58" s="103" t="str">
        <f t="shared" si="11"/>
        <v/>
      </c>
      <c r="Y58" s="52">
        <v>0</v>
      </c>
      <c r="Z58" s="56" t="str">
        <f t="shared" si="12"/>
        <v/>
      </c>
      <c r="AA58" s="56" t="str">
        <f t="shared" si="13"/>
        <v/>
      </c>
      <c r="AB58" s="56" t="str">
        <f t="shared" si="14"/>
        <v/>
      </c>
      <c r="AC58" s="56" t="str">
        <f t="shared" si="15"/>
        <v/>
      </c>
      <c r="AD58" s="56" t="str">
        <f t="shared" si="16"/>
        <v/>
      </c>
      <c r="AE58" s="40"/>
      <c r="AF58" s="40"/>
      <c r="AG58" s="40"/>
      <c r="AH58" s="56" t="str">
        <f t="shared" si="17"/>
        <v/>
      </c>
      <c r="AI58" s="54"/>
      <c r="AJ58" s="54"/>
      <c r="AK58" s="54"/>
      <c r="AL58" s="54"/>
      <c r="AM58" s="54"/>
    </row>
    <row r="59" spans="1:39">
      <c r="A59" s="45" t="str" cm="1">
        <f t="array" ref="A59">IF(H59="PROJECT", CHAR(10) &amp; "- " &amp; _xlfn.TEXTJOIN(CHAR(10) &amp; "- ", TRUE, _xlfn._xlws.FILTER($I$9:$I$1000, ($B$9:$B$1000=B59) * ($H$9:$H$1000="Topic"))), "")</f>
        <v/>
      </c>
      <c r="B59" s="45" t="str">
        <f t="shared" si="1"/>
        <v/>
      </c>
      <c r="C59" s="95"/>
      <c r="D59" s="46"/>
      <c r="E59" s="58"/>
      <c r="F59" s="65"/>
      <c r="G59" s="49"/>
      <c r="H59" s="66"/>
      <c r="I59" s="50"/>
      <c r="J59" s="51"/>
      <c r="K59" s="129" t="str">
        <f t="shared" si="2"/>
        <v/>
      </c>
      <c r="L59" s="103" t="str">
        <f t="shared" si="3"/>
        <v/>
      </c>
      <c r="M59" s="53">
        <v>0</v>
      </c>
      <c r="N59" s="102" t="str">
        <f t="shared" si="4"/>
        <v/>
      </c>
      <c r="O59" s="103" t="str">
        <f t="shared" si="5"/>
        <v/>
      </c>
      <c r="P59" s="53">
        <v>0</v>
      </c>
      <c r="Q59" s="102" t="str">
        <f t="shared" si="6"/>
        <v/>
      </c>
      <c r="R59" s="103" t="str">
        <f t="shared" si="7"/>
        <v/>
      </c>
      <c r="S59" s="53">
        <v>0</v>
      </c>
      <c r="T59" s="102" t="str">
        <f t="shared" si="8"/>
        <v/>
      </c>
      <c r="U59" s="103" t="str">
        <f t="shared" si="9"/>
        <v/>
      </c>
      <c r="V59" s="53">
        <v>0</v>
      </c>
      <c r="W59" s="87" t="str">
        <f t="shared" si="10"/>
        <v/>
      </c>
      <c r="X59" s="103" t="str">
        <f t="shared" si="11"/>
        <v/>
      </c>
      <c r="Y59" s="53">
        <v>0</v>
      </c>
      <c r="Z59" s="56" t="str">
        <f t="shared" si="12"/>
        <v/>
      </c>
      <c r="AA59" s="56" t="str">
        <f t="shared" si="13"/>
        <v/>
      </c>
      <c r="AB59" s="56" t="str">
        <f t="shared" si="14"/>
        <v/>
      </c>
      <c r="AC59" s="56" t="str">
        <f t="shared" si="15"/>
        <v/>
      </c>
      <c r="AD59" s="56" t="str">
        <f t="shared" si="16"/>
        <v/>
      </c>
      <c r="AE59" s="40"/>
      <c r="AF59" s="40"/>
      <c r="AG59" s="40"/>
      <c r="AH59" s="56" t="str">
        <f t="shared" si="17"/>
        <v/>
      </c>
      <c r="AI59" s="54"/>
      <c r="AJ59" s="54"/>
      <c r="AK59" s="54"/>
      <c r="AL59" s="54"/>
      <c r="AM59" s="54"/>
    </row>
    <row r="60" spans="1:39">
      <c r="A60" s="45" t="str" cm="1">
        <f t="array" ref="A60">IF(H60="PROJECT", CHAR(10) &amp; "- " &amp; _xlfn.TEXTJOIN(CHAR(10) &amp; "- ", TRUE, _xlfn._xlws.FILTER($I$9:$I$1000, ($B$9:$B$1000=B60) * ($H$9:$H$1000="Topic"))), "")</f>
        <v/>
      </c>
      <c r="B60" s="45" t="str">
        <f t="shared" si="1"/>
        <v/>
      </c>
      <c r="C60" s="95"/>
      <c r="D60" s="57"/>
      <c r="E60" s="58"/>
      <c r="F60" s="63"/>
      <c r="G60" s="60"/>
      <c r="H60" s="64"/>
      <c r="I60" s="61"/>
      <c r="J60" s="62"/>
      <c r="K60" s="129" t="str">
        <f t="shared" si="2"/>
        <v/>
      </c>
      <c r="L60" s="103" t="str">
        <f t="shared" si="3"/>
        <v/>
      </c>
      <c r="M60" s="52">
        <v>0</v>
      </c>
      <c r="N60" s="102" t="str">
        <f t="shared" si="4"/>
        <v/>
      </c>
      <c r="O60" s="103" t="str">
        <f t="shared" si="5"/>
        <v/>
      </c>
      <c r="P60" s="52">
        <v>0</v>
      </c>
      <c r="Q60" s="102" t="str">
        <f t="shared" si="6"/>
        <v/>
      </c>
      <c r="R60" s="103" t="str">
        <f t="shared" si="7"/>
        <v/>
      </c>
      <c r="S60" s="52">
        <v>0</v>
      </c>
      <c r="T60" s="102" t="str">
        <f t="shared" si="8"/>
        <v/>
      </c>
      <c r="U60" s="103" t="str">
        <f t="shared" si="9"/>
        <v/>
      </c>
      <c r="V60" s="52">
        <v>0</v>
      </c>
      <c r="W60" s="87" t="str">
        <f t="shared" si="10"/>
        <v/>
      </c>
      <c r="X60" s="103" t="str">
        <f t="shared" si="11"/>
        <v/>
      </c>
      <c r="Y60" s="52">
        <v>0</v>
      </c>
      <c r="Z60" s="56" t="str">
        <f t="shared" si="12"/>
        <v/>
      </c>
      <c r="AA60" s="56" t="str">
        <f t="shared" si="13"/>
        <v/>
      </c>
      <c r="AB60" s="56" t="str">
        <f t="shared" si="14"/>
        <v/>
      </c>
      <c r="AC60" s="56" t="str">
        <f t="shared" si="15"/>
        <v/>
      </c>
      <c r="AD60" s="56" t="str">
        <f t="shared" si="16"/>
        <v/>
      </c>
      <c r="AE60" s="40"/>
      <c r="AF60" s="40"/>
      <c r="AG60" s="40"/>
      <c r="AH60" s="56" t="str">
        <f t="shared" si="17"/>
        <v/>
      </c>
      <c r="AI60" s="54"/>
      <c r="AJ60" s="54"/>
      <c r="AK60" s="54"/>
      <c r="AL60" s="54"/>
      <c r="AM60" s="54"/>
    </row>
    <row r="61" spans="1:39">
      <c r="A61" s="45" t="str" cm="1">
        <f t="array" ref="A61">IF(H61="PROJECT", CHAR(10) &amp; "- " &amp; _xlfn.TEXTJOIN(CHAR(10) &amp; "- ", TRUE, _xlfn._xlws.FILTER($I$9:$I$1000, ($B$9:$B$1000=B61) * ($H$9:$H$1000="Topic"))), "")</f>
        <v/>
      </c>
      <c r="B61" s="45" t="str">
        <f t="shared" si="1"/>
        <v/>
      </c>
      <c r="C61" s="95"/>
      <c r="D61" s="46"/>
      <c r="E61" s="58"/>
      <c r="F61" s="65"/>
      <c r="G61" s="49"/>
      <c r="H61" s="66"/>
      <c r="I61" s="50"/>
      <c r="J61" s="51"/>
      <c r="K61" s="129" t="str">
        <f t="shared" si="2"/>
        <v/>
      </c>
      <c r="L61" s="103" t="str">
        <f t="shared" si="3"/>
        <v/>
      </c>
      <c r="M61" s="53">
        <v>0</v>
      </c>
      <c r="N61" s="102" t="str">
        <f t="shared" si="4"/>
        <v/>
      </c>
      <c r="O61" s="103" t="str">
        <f t="shared" si="5"/>
        <v/>
      </c>
      <c r="P61" s="53">
        <v>0</v>
      </c>
      <c r="Q61" s="102" t="str">
        <f t="shared" si="6"/>
        <v/>
      </c>
      <c r="R61" s="103" t="str">
        <f t="shared" si="7"/>
        <v/>
      </c>
      <c r="S61" s="53">
        <v>0</v>
      </c>
      <c r="T61" s="102" t="str">
        <f t="shared" si="8"/>
        <v/>
      </c>
      <c r="U61" s="103" t="str">
        <f t="shared" si="9"/>
        <v/>
      </c>
      <c r="V61" s="53">
        <v>0</v>
      </c>
      <c r="W61" s="87" t="str">
        <f t="shared" si="10"/>
        <v/>
      </c>
      <c r="X61" s="103" t="str">
        <f t="shared" si="11"/>
        <v/>
      </c>
      <c r="Y61" s="53">
        <v>0</v>
      </c>
      <c r="Z61" s="56" t="str">
        <f t="shared" si="12"/>
        <v/>
      </c>
      <c r="AA61" s="56" t="str">
        <f t="shared" si="13"/>
        <v/>
      </c>
      <c r="AB61" s="56" t="str">
        <f t="shared" si="14"/>
        <v/>
      </c>
      <c r="AC61" s="56" t="str">
        <f t="shared" si="15"/>
        <v/>
      </c>
      <c r="AD61" s="56" t="str">
        <f t="shared" si="16"/>
        <v/>
      </c>
      <c r="AE61" s="40"/>
      <c r="AF61" s="40"/>
      <c r="AG61" s="40"/>
      <c r="AH61" s="56" t="str">
        <f t="shared" si="17"/>
        <v/>
      </c>
      <c r="AI61" s="54"/>
      <c r="AJ61" s="54"/>
      <c r="AK61" s="54"/>
      <c r="AL61" s="54"/>
      <c r="AM61" s="54"/>
    </row>
    <row r="62" spans="1:39">
      <c r="A62" s="45" t="str" cm="1">
        <f t="array" ref="A62">IF(H62="PROJECT", CHAR(10) &amp; "- " &amp; _xlfn.TEXTJOIN(CHAR(10) &amp; "- ", TRUE, _xlfn._xlws.FILTER($I$9:$I$1000, ($B$9:$B$1000=B62) * ($H$9:$H$1000="Topic"))), "")</f>
        <v/>
      </c>
      <c r="B62" s="45" t="str">
        <f t="shared" si="1"/>
        <v/>
      </c>
      <c r="C62" s="95"/>
      <c r="D62" s="57"/>
      <c r="E62" s="58"/>
      <c r="F62" s="63"/>
      <c r="G62" s="60"/>
      <c r="H62" s="64"/>
      <c r="I62" s="61"/>
      <c r="J62" s="62"/>
      <c r="K62" s="129" t="str">
        <f t="shared" si="2"/>
        <v/>
      </c>
      <c r="L62" s="103" t="str">
        <f t="shared" si="3"/>
        <v/>
      </c>
      <c r="M62" s="52">
        <v>0</v>
      </c>
      <c r="N62" s="102" t="str">
        <f t="shared" si="4"/>
        <v/>
      </c>
      <c r="O62" s="103" t="str">
        <f t="shared" si="5"/>
        <v/>
      </c>
      <c r="P62" s="52">
        <v>0</v>
      </c>
      <c r="Q62" s="102" t="str">
        <f t="shared" si="6"/>
        <v/>
      </c>
      <c r="R62" s="103" t="str">
        <f t="shared" si="7"/>
        <v/>
      </c>
      <c r="S62" s="52">
        <v>0</v>
      </c>
      <c r="T62" s="102" t="str">
        <f t="shared" si="8"/>
        <v/>
      </c>
      <c r="U62" s="103" t="str">
        <f t="shared" si="9"/>
        <v/>
      </c>
      <c r="V62" s="52">
        <v>0</v>
      </c>
      <c r="W62" s="87" t="str">
        <f t="shared" si="10"/>
        <v/>
      </c>
      <c r="X62" s="103" t="str">
        <f t="shared" si="11"/>
        <v/>
      </c>
      <c r="Y62" s="52">
        <v>0</v>
      </c>
      <c r="Z62" s="56" t="str">
        <f t="shared" si="12"/>
        <v/>
      </c>
      <c r="AA62" s="56" t="str">
        <f t="shared" si="13"/>
        <v/>
      </c>
      <c r="AB62" s="56" t="str">
        <f t="shared" si="14"/>
        <v/>
      </c>
      <c r="AC62" s="56" t="str">
        <f t="shared" si="15"/>
        <v/>
      </c>
      <c r="AD62" s="56" t="str">
        <f t="shared" si="16"/>
        <v/>
      </c>
      <c r="AE62" s="40"/>
      <c r="AF62" s="40"/>
      <c r="AG62" s="40"/>
      <c r="AH62" s="56" t="str">
        <f t="shared" si="17"/>
        <v/>
      </c>
      <c r="AI62" s="54"/>
      <c r="AJ62" s="54"/>
      <c r="AK62" s="54"/>
      <c r="AL62" s="54"/>
      <c r="AM62" s="54"/>
    </row>
    <row r="63" spans="1:39">
      <c r="A63" s="45" t="str" cm="1">
        <f t="array" ref="A63">IF(H63="PROJECT", CHAR(10) &amp; "- " &amp; _xlfn.TEXTJOIN(CHAR(10) &amp; "- ", TRUE, _xlfn._xlws.FILTER($I$9:$I$1000, ($B$9:$B$1000=B63) * ($H$9:$H$1000="Topic"))), "")</f>
        <v/>
      </c>
      <c r="B63" s="45" t="str">
        <f t="shared" si="1"/>
        <v/>
      </c>
      <c r="C63" s="95"/>
      <c r="D63" s="46"/>
      <c r="E63" s="58"/>
      <c r="F63" s="65"/>
      <c r="G63" s="49"/>
      <c r="H63" s="66"/>
      <c r="I63" s="50"/>
      <c r="J63" s="51"/>
      <c r="K63" s="129" t="str">
        <f t="shared" si="2"/>
        <v/>
      </c>
      <c r="L63" s="103" t="str">
        <f t="shared" si="3"/>
        <v/>
      </c>
      <c r="M63" s="53">
        <v>0</v>
      </c>
      <c r="N63" s="102" t="str">
        <f t="shared" si="4"/>
        <v/>
      </c>
      <c r="O63" s="103" t="str">
        <f t="shared" si="5"/>
        <v/>
      </c>
      <c r="P63" s="53">
        <v>0</v>
      </c>
      <c r="Q63" s="102" t="str">
        <f t="shared" si="6"/>
        <v/>
      </c>
      <c r="R63" s="103" t="str">
        <f t="shared" si="7"/>
        <v/>
      </c>
      <c r="S63" s="53">
        <v>0</v>
      </c>
      <c r="T63" s="102" t="str">
        <f t="shared" si="8"/>
        <v/>
      </c>
      <c r="U63" s="103" t="str">
        <f t="shared" si="9"/>
        <v/>
      </c>
      <c r="V63" s="53">
        <v>0</v>
      </c>
      <c r="W63" s="87" t="str">
        <f t="shared" si="10"/>
        <v/>
      </c>
      <c r="X63" s="103" t="str">
        <f t="shared" si="11"/>
        <v/>
      </c>
      <c r="Y63" s="53">
        <v>0</v>
      </c>
      <c r="Z63" s="56" t="str">
        <f t="shared" si="12"/>
        <v/>
      </c>
      <c r="AA63" s="56" t="str">
        <f t="shared" si="13"/>
        <v/>
      </c>
      <c r="AB63" s="56" t="str">
        <f t="shared" si="14"/>
        <v/>
      </c>
      <c r="AC63" s="56" t="str">
        <f t="shared" si="15"/>
        <v/>
      </c>
      <c r="AD63" s="56" t="str">
        <f t="shared" si="16"/>
        <v/>
      </c>
      <c r="AE63" s="40"/>
      <c r="AF63" s="40"/>
      <c r="AG63" s="40"/>
      <c r="AH63" s="56" t="str">
        <f t="shared" si="17"/>
        <v/>
      </c>
      <c r="AI63" s="54"/>
      <c r="AJ63" s="54"/>
      <c r="AK63" s="54"/>
      <c r="AL63" s="54"/>
      <c r="AM63" s="54"/>
    </row>
    <row r="64" spans="1:39">
      <c r="A64" s="45" t="str" cm="1">
        <f t="array" ref="A64">IF(H64="PROJECT", CHAR(10) &amp; "- " &amp; _xlfn.TEXTJOIN(CHAR(10) &amp; "- ", TRUE, _xlfn._xlws.FILTER($I$9:$I$1000, ($B$9:$B$1000=B64) * ($H$9:$H$1000="Topic"))), "")</f>
        <v/>
      </c>
      <c r="B64" s="45" t="str">
        <f t="shared" si="1"/>
        <v/>
      </c>
      <c r="C64" s="95"/>
      <c r="D64" s="57"/>
      <c r="E64" s="58"/>
      <c r="F64" s="63"/>
      <c r="G64" s="60"/>
      <c r="H64" s="64"/>
      <c r="I64" s="61"/>
      <c r="J64" s="62"/>
      <c r="K64" s="129" t="str">
        <f t="shared" si="2"/>
        <v/>
      </c>
      <c r="L64" s="103" t="str">
        <f t="shared" si="3"/>
        <v/>
      </c>
      <c r="M64" s="52">
        <v>0</v>
      </c>
      <c r="N64" s="102" t="str">
        <f t="shared" si="4"/>
        <v/>
      </c>
      <c r="O64" s="103" t="str">
        <f t="shared" si="5"/>
        <v/>
      </c>
      <c r="P64" s="52">
        <v>0</v>
      </c>
      <c r="Q64" s="102" t="str">
        <f t="shared" si="6"/>
        <v/>
      </c>
      <c r="R64" s="103" t="str">
        <f t="shared" si="7"/>
        <v/>
      </c>
      <c r="S64" s="52">
        <v>0</v>
      </c>
      <c r="T64" s="102" t="str">
        <f t="shared" si="8"/>
        <v/>
      </c>
      <c r="U64" s="103" t="str">
        <f t="shared" si="9"/>
        <v/>
      </c>
      <c r="V64" s="52">
        <v>0</v>
      </c>
      <c r="W64" s="87" t="str">
        <f t="shared" si="10"/>
        <v/>
      </c>
      <c r="X64" s="103" t="str">
        <f t="shared" si="11"/>
        <v/>
      </c>
      <c r="Y64" s="52">
        <v>0</v>
      </c>
      <c r="Z64" s="56" t="str">
        <f t="shared" si="12"/>
        <v/>
      </c>
      <c r="AA64" s="56" t="str">
        <f t="shared" si="13"/>
        <v/>
      </c>
      <c r="AB64" s="56" t="str">
        <f t="shared" si="14"/>
        <v/>
      </c>
      <c r="AC64" s="56" t="str">
        <f t="shared" si="15"/>
        <v/>
      </c>
      <c r="AD64" s="56" t="str">
        <f t="shared" si="16"/>
        <v/>
      </c>
      <c r="AE64" s="40"/>
      <c r="AF64" s="40"/>
      <c r="AG64" s="40"/>
      <c r="AH64" s="56" t="str">
        <f t="shared" si="17"/>
        <v/>
      </c>
      <c r="AI64" s="54"/>
      <c r="AJ64" s="54"/>
      <c r="AK64" s="54"/>
      <c r="AL64" s="54"/>
      <c r="AM64" s="54"/>
    </row>
    <row r="65" spans="1:39">
      <c r="A65" s="45" t="str" cm="1">
        <f t="array" ref="A65">IF(H65="PROJECT", CHAR(10) &amp; "- " &amp; _xlfn.TEXTJOIN(CHAR(10) &amp; "- ", TRUE, _xlfn._xlws.FILTER($I$9:$I$1000, ($B$9:$B$1000=B65) * ($H$9:$H$1000="Topic"))), "")</f>
        <v/>
      </c>
      <c r="B65" s="45" t="str">
        <f t="shared" si="1"/>
        <v/>
      </c>
      <c r="C65" s="95"/>
      <c r="D65" s="46"/>
      <c r="E65" s="58"/>
      <c r="F65" s="65"/>
      <c r="G65" s="49"/>
      <c r="H65" s="66"/>
      <c r="I65" s="50"/>
      <c r="J65" s="51"/>
      <c r="K65" s="129" t="str">
        <f t="shared" si="2"/>
        <v/>
      </c>
      <c r="L65" s="103" t="str">
        <f t="shared" si="3"/>
        <v/>
      </c>
      <c r="M65" s="53">
        <v>0</v>
      </c>
      <c r="N65" s="102" t="str">
        <f t="shared" si="4"/>
        <v/>
      </c>
      <c r="O65" s="103" t="str">
        <f t="shared" si="5"/>
        <v/>
      </c>
      <c r="P65" s="53">
        <v>0</v>
      </c>
      <c r="Q65" s="102" t="str">
        <f t="shared" si="6"/>
        <v/>
      </c>
      <c r="R65" s="103" t="str">
        <f t="shared" si="7"/>
        <v/>
      </c>
      <c r="S65" s="53">
        <v>0</v>
      </c>
      <c r="T65" s="102" t="str">
        <f t="shared" si="8"/>
        <v/>
      </c>
      <c r="U65" s="103" t="str">
        <f t="shared" si="9"/>
        <v/>
      </c>
      <c r="V65" s="53">
        <v>0</v>
      </c>
      <c r="W65" s="87" t="str">
        <f t="shared" si="10"/>
        <v/>
      </c>
      <c r="X65" s="103" t="str">
        <f t="shared" si="11"/>
        <v/>
      </c>
      <c r="Y65" s="53">
        <v>0</v>
      </c>
      <c r="Z65" s="56" t="str">
        <f t="shared" si="12"/>
        <v/>
      </c>
      <c r="AA65" s="56" t="str">
        <f t="shared" si="13"/>
        <v/>
      </c>
      <c r="AB65" s="56" t="str">
        <f t="shared" si="14"/>
        <v/>
      </c>
      <c r="AC65" s="56" t="str">
        <f t="shared" si="15"/>
        <v/>
      </c>
      <c r="AD65" s="56" t="str">
        <f t="shared" si="16"/>
        <v/>
      </c>
      <c r="AE65" s="40"/>
      <c r="AF65" s="40"/>
      <c r="AG65" s="40"/>
      <c r="AH65" s="56" t="str">
        <f t="shared" si="17"/>
        <v/>
      </c>
      <c r="AI65" s="54"/>
      <c r="AJ65" s="54"/>
      <c r="AK65" s="54"/>
      <c r="AL65" s="54"/>
      <c r="AM65" s="54"/>
    </row>
    <row r="66" spans="1:39">
      <c r="A66" s="45" t="str" cm="1">
        <f t="array" ref="A66">IF(H66="PROJECT", CHAR(10) &amp; "- " &amp; _xlfn.TEXTJOIN(CHAR(10) &amp; "- ", TRUE, _xlfn._xlws.FILTER($I$9:$I$1000, ($B$9:$B$1000=B66) * ($H$9:$H$1000="Topic"))), "")</f>
        <v/>
      </c>
      <c r="B66" s="45" t="str">
        <f t="shared" si="1"/>
        <v/>
      </c>
      <c r="C66" s="95"/>
      <c r="D66" s="57"/>
      <c r="E66" s="58"/>
      <c r="F66" s="63"/>
      <c r="G66" s="60"/>
      <c r="H66" s="64"/>
      <c r="I66" s="61"/>
      <c r="J66" s="62"/>
      <c r="K66" s="129" t="str">
        <f t="shared" si="2"/>
        <v/>
      </c>
      <c r="L66" s="103" t="str">
        <f t="shared" si="3"/>
        <v/>
      </c>
      <c r="M66" s="52">
        <v>0</v>
      </c>
      <c r="N66" s="102" t="str">
        <f t="shared" si="4"/>
        <v/>
      </c>
      <c r="O66" s="103" t="str">
        <f t="shared" si="5"/>
        <v/>
      </c>
      <c r="P66" s="52">
        <v>0</v>
      </c>
      <c r="Q66" s="102" t="str">
        <f t="shared" si="6"/>
        <v/>
      </c>
      <c r="R66" s="103" t="str">
        <f t="shared" si="7"/>
        <v/>
      </c>
      <c r="S66" s="52">
        <v>0</v>
      </c>
      <c r="T66" s="102" t="str">
        <f t="shared" si="8"/>
        <v/>
      </c>
      <c r="U66" s="103" t="str">
        <f t="shared" si="9"/>
        <v/>
      </c>
      <c r="V66" s="52">
        <v>0</v>
      </c>
      <c r="W66" s="87" t="str">
        <f t="shared" si="10"/>
        <v/>
      </c>
      <c r="X66" s="103" t="str">
        <f t="shared" si="11"/>
        <v/>
      </c>
      <c r="Y66" s="52">
        <v>0</v>
      </c>
      <c r="Z66" s="56" t="str">
        <f t="shared" si="12"/>
        <v/>
      </c>
      <c r="AA66" s="56" t="str">
        <f t="shared" si="13"/>
        <v/>
      </c>
      <c r="AB66" s="56" t="str">
        <f t="shared" si="14"/>
        <v/>
      </c>
      <c r="AC66" s="56" t="str">
        <f t="shared" si="15"/>
        <v/>
      </c>
      <c r="AD66" s="56" t="str">
        <f t="shared" si="16"/>
        <v/>
      </c>
      <c r="AE66" s="40"/>
      <c r="AF66" s="40"/>
      <c r="AG66" s="40"/>
      <c r="AH66" s="56" t="str">
        <f t="shared" si="17"/>
        <v/>
      </c>
      <c r="AI66" s="54"/>
      <c r="AJ66" s="54"/>
      <c r="AK66" s="54"/>
      <c r="AL66" s="54"/>
      <c r="AM66" s="54"/>
    </row>
    <row r="67" spans="1:39">
      <c r="A67" s="45" t="str" cm="1">
        <f t="array" ref="A67">IF(H67="PROJECT", CHAR(10) &amp; "- " &amp; _xlfn.TEXTJOIN(CHAR(10) &amp; "- ", TRUE, _xlfn._xlws.FILTER($I$9:$I$1000, ($B$9:$B$1000=B67) * ($H$9:$H$1000="Topic"))), "")</f>
        <v/>
      </c>
      <c r="B67" s="45" t="str">
        <f t="shared" si="1"/>
        <v/>
      </c>
      <c r="C67" s="95"/>
      <c r="D67" s="46"/>
      <c r="E67" s="58"/>
      <c r="F67" s="65"/>
      <c r="G67" s="49"/>
      <c r="H67" s="66"/>
      <c r="I67" s="50"/>
      <c r="J67" s="51"/>
      <c r="K67" s="129" t="str">
        <f t="shared" si="2"/>
        <v/>
      </c>
      <c r="L67" s="103" t="str">
        <f t="shared" si="3"/>
        <v/>
      </c>
      <c r="M67" s="53">
        <v>0</v>
      </c>
      <c r="N67" s="102" t="str">
        <f t="shared" si="4"/>
        <v/>
      </c>
      <c r="O67" s="103" t="str">
        <f t="shared" si="5"/>
        <v/>
      </c>
      <c r="P67" s="53">
        <v>0</v>
      </c>
      <c r="Q67" s="102" t="str">
        <f t="shared" si="6"/>
        <v/>
      </c>
      <c r="R67" s="103" t="str">
        <f t="shared" si="7"/>
        <v/>
      </c>
      <c r="S67" s="53">
        <v>0</v>
      </c>
      <c r="T67" s="102" t="str">
        <f t="shared" si="8"/>
        <v/>
      </c>
      <c r="U67" s="103" t="str">
        <f t="shared" si="9"/>
        <v/>
      </c>
      <c r="V67" s="53">
        <v>0</v>
      </c>
      <c r="W67" s="87" t="str">
        <f t="shared" si="10"/>
        <v/>
      </c>
      <c r="X67" s="103" t="str">
        <f t="shared" si="11"/>
        <v/>
      </c>
      <c r="Y67" s="53">
        <v>0</v>
      </c>
      <c r="Z67" s="56" t="str">
        <f t="shared" si="12"/>
        <v/>
      </c>
      <c r="AA67" s="56" t="str">
        <f t="shared" si="13"/>
        <v/>
      </c>
      <c r="AB67" s="56" t="str">
        <f t="shared" si="14"/>
        <v/>
      </c>
      <c r="AC67" s="56" t="str">
        <f t="shared" si="15"/>
        <v/>
      </c>
      <c r="AD67" s="56" t="str">
        <f t="shared" si="16"/>
        <v/>
      </c>
      <c r="AE67" s="40"/>
      <c r="AF67" s="40"/>
      <c r="AG67" s="40"/>
      <c r="AH67" s="56" t="str">
        <f t="shared" si="17"/>
        <v/>
      </c>
      <c r="AI67" s="54"/>
      <c r="AJ67" s="54"/>
      <c r="AK67" s="54"/>
      <c r="AL67" s="54"/>
      <c r="AM67" s="54"/>
    </row>
    <row r="68" spans="1:39">
      <c r="A68" s="45" t="str" cm="1">
        <f t="array" ref="A68">IF(H68="PROJECT", CHAR(10) &amp; "- " &amp; _xlfn.TEXTJOIN(CHAR(10) &amp; "- ", TRUE, _xlfn._xlws.FILTER($I$9:$I$1000, ($B$9:$B$1000=B68) * ($H$9:$H$1000="Topic"))), "")</f>
        <v/>
      </c>
      <c r="B68" s="45" t="str">
        <f t="shared" si="1"/>
        <v/>
      </c>
      <c r="C68" s="95"/>
      <c r="D68" s="57"/>
      <c r="E68" s="58"/>
      <c r="F68" s="63"/>
      <c r="G68" s="60"/>
      <c r="H68" s="60"/>
      <c r="I68" s="61"/>
      <c r="J68" s="62"/>
      <c r="K68" s="129" t="str">
        <f t="shared" si="2"/>
        <v/>
      </c>
      <c r="L68" s="103" t="str">
        <f t="shared" si="3"/>
        <v/>
      </c>
      <c r="M68" s="52">
        <v>0</v>
      </c>
      <c r="N68" s="102" t="str">
        <f t="shared" si="4"/>
        <v/>
      </c>
      <c r="O68" s="103" t="str">
        <f t="shared" si="5"/>
        <v/>
      </c>
      <c r="P68" s="52">
        <v>0</v>
      </c>
      <c r="Q68" s="102" t="str">
        <f t="shared" si="6"/>
        <v/>
      </c>
      <c r="R68" s="103" t="str">
        <f t="shared" si="7"/>
        <v/>
      </c>
      <c r="S68" s="52">
        <v>0</v>
      </c>
      <c r="T68" s="102" t="str">
        <f t="shared" si="8"/>
        <v/>
      </c>
      <c r="U68" s="103" t="str">
        <f t="shared" si="9"/>
        <v/>
      </c>
      <c r="V68" s="52">
        <v>0</v>
      </c>
      <c r="W68" s="87" t="str">
        <f t="shared" si="10"/>
        <v/>
      </c>
      <c r="X68" s="103" t="str">
        <f t="shared" si="11"/>
        <v/>
      </c>
      <c r="Y68" s="52">
        <v>0</v>
      </c>
      <c r="Z68" s="56" t="str">
        <f t="shared" si="12"/>
        <v/>
      </c>
      <c r="AA68" s="56" t="str">
        <f t="shared" si="13"/>
        <v/>
      </c>
      <c r="AB68" s="56" t="str">
        <f t="shared" si="14"/>
        <v/>
      </c>
      <c r="AC68" s="56" t="str">
        <f t="shared" si="15"/>
        <v/>
      </c>
      <c r="AD68" s="56" t="str">
        <f t="shared" si="16"/>
        <v/>
      </c>
      <c r="AE68" s="40"/>
      <c r="AF68" s="40"/>
      <c r="AG68" s="40"/>
      <c r="AH68" s="56" t="str">
        <f t="shared" si="17"/>
        <v/>
      </c>
      <c r="AI68" s="54"/>
      <c r="AJ68" s="54"/>
      <c r="AK68" s="54"/>
      <c r="AL68" s="54"/>
      <c r="AM68" s="54"/>
    </row>
    <row r="69" spans="1:39">
      <c r="A69" s="45" t="str" cm="1">
        <f t="array" ref="A69">IF(H69="PROJECT", CHAR(10) &amp; "- " &amp; _xlfn.TEXTJOIN(CHAR(10) &amp; "- ", TRUE, _xlfn._xlws.FILTER($I$9:$I$1000, ($B$9:$B$1000=B69) * ($H$9:$H$1000="Topic"))), "")</f>
        <v/>
      </c>
      <c r="B69" s="45" t="str">
        <f t="shared" si="1"/>
        <v/>
      </c>
      <c r="C69" s="95"/>
      <c r="D69" s="46"/>
      <c r="E69" s="58"/>
      <c r="F69" s="65"/>
      <c r="G69" s="49"/>
      <c r="H69" s="66"/>
      <c r="I69" s="50"/>
      <c r="J69" s="51"/>
      <c r="K69" s="129" t="str">
        <f t="shared" si="2"/>
        <v/>
      </c>
      <c r="L69" s="103" t="str">
        <f t="shared" si="3"/>
        <v/>
      </c>
      <c r="M69" s="53">
        <v>0</v>
      </c>
      <c r="N69" s="102" t="str">
        <f t="shared" si="4"/>
        <v/>
      </c>
      <c r="O69" s="103" t="str">
        <f t="shared" si="5"/>
        <v/>
      </c>
      <c r="P69" s="53">
        <v>0</v>
      </c>
      <c r="Q69" s="102" t="str">
        <f t="shared" si="6"/>
        <v/>
      </c>
      <c r="R69" s="103" t="str">
        <f t="shared" si="7"/>
        <v/>
      </c>
      <c r="S69" s="53">
        <v>0</v>
      </c>
      <c r="T69" s="102" t="str">
        <f t="shared" si="8"/>
        <v/>
      </c>
      <c r="U69" s="103" t="str">
        <f t="shared" si="9"/>
        <v/>
      </c>
      <c r="V69" s="53">
        <v>0</v>
      </c>
      <c r="W69" s="87" t="str">
        <f t="shared" si="10"/>
        <v/>
      </c>
      <c r="X69" s="103" t="str">
        <f t="shared" si="11"/>
        <v/>
      </c>
      <c r="Y69" s="53">
        <v>0</v>
      </c>
      <c r="Z69" s="56" t="str">
        <f t="shared" si="12"/>
        <v/>
      </c>
      <c r="AA69" s="56" t="str">
        <f t="shared" si="13"/>
        <v/>
      </c>
      <c r="AB69" s="56" t="str">
        <f t="shared" si="14"/>
        <v/>
      </c>
      <c r="AC69" s="56" t="str">
        <f t="shared" si="15"/>
        <v/>
      </c>
      <c r="AD69" s="56" t="str">
        <f t="shared" si="16"/>
        <v/>
      </c>
      <c r="AE69" s="40"/>
      <c r="AF69" s="40"/>
      <c r="AG69" s="40"/>
      <c r="AH69" s="56" t="str">
        <f t="shared" si="17"/>
        <v/>
      </c>
      <c r="AI69" s="54"/>
      <c r="AJ69" s="54"/>
      <c r="AK69" s="54"/>
      <c r="AL69" s="54"/>
      <c r="AM69" s="54"/>
    </row>
    <row r="70" spans="1:39">
      <c r="A70" s="45" t="str" cm="1">
        <f t="array" ref="A70">IF(H70="PROJECT", CHAR(10) &amp; "- " &amp; _xlfn.TEXTJOIN(CHAR(10) &amp; "- ", TRUE, _xlfn._xlws.FILTER($I$9:$I$1000, ($B$9:$B$1000=B70) * ($H$9:$H$1000="Topic"))), "")</f>
        <v/>
      </c>
      <c r="B70" s="45" t="str">
        <f t="shared" si="1"/>
        <v/>
      </c>
      <c r="C70" s="95"/>
      <c r="D70" s="57"/>
      <c r="E70" s="58"/>
      <c r="F70" s="63"/>
      <c r="G70" s="60"/>
      <c r="H70" s="64"/>
      <c r="I70" s="61"/>
      <c r="J70" s="62"/>
      <c r="K70" s="129" t="str">
        <f t="shared" si="2"/>
        <v/>
      </c>
      <c r="L70" s="103" t="str">
        <f t="shared" si="3"/>
        <v/>
      </c>
      <c r="M70" s="52">
        <v>0</v>
      </c>
      <c r="N70" s="102" t="str">
        <f t="shared" si="4"/>
        <v/>
      </c>
      <c r="O70" s="103" t="str">
        <f t="shared" si="5"/>
        <v/>
      </c>
      <c r="P70" s="52">
        <v>0</v>
      </c>
      <c r="Q70" s="102" t="str">
        <f t="shared" si="6"/>
        <v/>
      </c>
      <c r="R70" s="103" t="str">
        <f t="shared" si="7"/>
        <v/>
      </c>
      <c r="S70" s="52">
        <v>0</v>
      </c>
      <c r="T70" s="102" t="str">
        <f t="shared" si="8"/>
        <v/>
      </c>
      <c r="U70" s="103" t="str">
        <f t="shared" si="9"/>
        <v/>
      </c>
      <c r="V70" s="52">
        <v>0</v>
      </c>
      <c r="W70" s="87" t="str">
        <f t="shared" si="10"/>
        <v/>
      </c>
      <c r="X70" s="103" t="str">
        <f t="shared" si="11"/>
        <v/>
      </c>
      <c r="Y70" s="52">
        <v>0</v>
      </c>
      <c r="Z70" s="56" t="str">
        <f t="shared" si="12"/>
        <v/>
      </c>
      <c r="AA70" s="56" t="str">
        <f t="shared" si="13"/>
        <v/>
      </c>
      <c r="AB70" s="56" t="str">
        <f t="shared" si="14"/>
        <v/>
      </c>
      <c r="AC70" s="56" t="str">
        <f t="shared" si="15"/>
        <v/>
      </c>
      <c r="AD70" s="56" t="str">
        <f t="shared" si="16"/>
        <v/>
      </c>
      <c r="AE70" s="40"/>
      <c r="AF70" s="40"/>
      <c r="AG70" s="40"/>
      <c r="AH70" s="56" t="str">
        <f t="shared" si="17"/>
        <v/>
      </c>
      <c r="AI70" s="54"/>
      <c r="AJ70" s="54"/>
      <c r="AK70" s="54"/>
      <c r="AL70" s="54"/>
      <c r="AM70" s="54"/>
    </row>
    <row r="71" spans="1:39">
      <c r="A71" s="45" t="str" cm="1">
        <f t="array" ref="A71">IF(H71="PROJECT", CHAR(10) &amp; "- " &amp; _xlfn.TEXTJOIN(CHAR(10) &amp; "- ", TRUE, _xlfn._xlws.FILTER($I$9:$I$1000, ($B$9:$B$1000=B71) * ($H$9:$H$1000="Topic"))), "")</f>
        <v/>
      </c>
      <c r="B71" s="45" t="str">
        <f t="shared" si="1"/>
        <v/>
      </c>
      <c r="C71" s="95"/>
      <c r="D71" s="46"/>
      <c r="E71" s="58"/>
      <c r="F71" s="65"/>
      <c r="G71" s="49"/>
      <c r="H71" s="66"/>
      <c r="I71" s="50"/>
      <c r="J71" s="51"/>
      <c r="K71" s="129" t="str">
        <f t="shared" si="2"/>
        <v/>
      </c>
      <c r="L71" s="103" t="str">
        <f t="shared" si="3"/>
        <v/>
      </c>
      <c r="M71" s="53">
        <v>0</v>
      </c>
      <c r="N71" s="102" t="str">
        <f t="shared" si="4"/>
        <v/>
      </c>
      <c r="O71" s="103" t="str">
        <f t="shared" si="5"/>
        <v/>
      </c>
      <c r="P71" s="53">
        <v>0</v>
      </c>
      <c r="Q71" s="102" t="str">
        <f t="shared" si="6"/>
        <v/>
      </c>
      <c r="R71" s="103" t="str">
        <f t="shared" si="7"/>
        <v/>
      </c>
      <c r="S71" s="53">
        <v>0</v>
      </c>
      <c r="T71" s="102" t="str">
        <f t="shared" si="8"/>
        <v/>
      </c>
      <c r="U71" s="103" t="str">
        <f t="shared" si="9"/>
        <v/>
      </c>
      <c r="V71" s="53">
        <v>0</v>
      </c>
      <c r="W71" s="87" t="str">
        <f t="shared" si="10"/>
        <v/>
      </c>
      <c r="X71" s="103" t="str">
        <f t="shared" si="11"/>
        <v/>
      </c>
      <c r="Y71" s="53">
        <v>0</v>
      </c>
      <c r="Z71" s="56" t="str">
        <f t="shared" si="12"/>
        <v/>
      </c>
      <c r="AA71" s="56" t="str">
        <f t="shared" si="13"/>
        <v/>
      </c>
      <c r="AB71" s="56" t="str">
        <f t="shared" si="14"/>
        <v/>
      </c>
      <c r="AC71" s="56" t="str">
        <f t="shared" si="15"/>
        <v/>
      </c>
      <c r="AD71" s="56" t="str">
        <f t="shared" si="16"/>
        <v/>
      </c>
      <c r="AE71" s="40"/>
      <c r="AF71" s="40"/>
      <c r="AG71" s="40"/>
      <c r="AH71" s="56" t="str">
        <f t="shared" si="17"/>
        <v/>
      </c>
      <c r="AI71" s="54"/>
      <c r="AJ71" s="54"/>
      <c r="AK71" s="54"/>
      <c r="AL71" s="54"/>
      <c r="AM71" s="54"/>
    </row>
    <row r="72" spans="1:39">
      <c r="A72" s="45" t="str" cm="1">
        <f t="array" ref="A72">IF(H72="PROJECT", CHAR(10) &amp; "- " &amp; _xlfn.TEXTJOIN(CHAR(10) &amp; "- ", TRUE, _xlfn._xlws.FILTER($I$9:$I$1000, ($B$9:$B$1000=B72) * ($H$9:$H$1000="Topic"))), "")</f>
        <v/>
      </c>
      <c r="B72" s="45" t="str">
        <f t="shared" si="1"/>
        <v/>
      </c>
      <c r="C72" s="95"/>
      <c r="D72" s="57"/>
      <c r="E72" s="58"/>
      <c r="F72" s="63"/>
      <c r="G72" s="60"/>
      <c r="H72" s="64"/>
      <c r="I72" s="61"/>
      <c r="J72" s="62"/>
      <c r="K72" s="129" t="str">
        <f t="shared" si="2"/>
        <v/>
      </c>
      <c r="L72" s="103" t="str">
        <f t="shared" si="3"/>
        <v/>
      </c>
      <c r="M72" s="52">
        <v>0</v>
      </c>
      <c r="N72" s="102" t="str">
        <f t="shared" si="4"/>
        <v/>
      </c>
      <c r="O72" s="103" t="str">
        <f t="shared" si="5"/>
        <v/>
      </c>
      <c r="P72" s="52">
        <v>0</v>
      </c>
      <c r="Q72" s="102" t="str">
        <f t="shared" si="6"/>
        <v/>
      </c>
      <c r="R72" s="103" t="str">
        <f t="shared" si="7"/>
        <v/>
      </c>
      <c r="S72" s="52">
        <v>0</v>
      </c>
      <c r="T72" s="102" t="str">
        <f t="shared" si="8"/>
        <v/>
      </c>
      <c r="U72" s="103" t="str">
        <f t="shared" si="9"/>
        <v/>
      </c>
      <c r="V72" s="52">
        <v>0</v>
      </c>
      <c r="W72" s="87" t="str">
        <f t="shared" si="10"/>
        <v/>
      </c>
      <c r="X72" s="103" t="str">
        <f t="shared" si="11"/>
        <v/>
      </c>
      <c r="Y72" s="52">
        <v>0</v>
      </c>
      <c r="Z72" s="56" t="str">
        <f t="shared" si="12"/>
        <v/>
      </c>
      <c r="AA72" s="56" t="str">
        <f t="shared" si="13"/>
        <v/>
      </c>
      <c r="AB72" s="56" t="str">
        <f t="shared" si="14"/>
        <v/>
      </c>
      <c r="AC72" s="56" t="str">
        <f t="shared" si="15"/>
        <v/>
      </c>
      <c r="AD72" s="56" t="str">
        <f t="shared" si="16"/>
        <v/>
      </c>
      <c r="AE72" s="40"/>
      <c r="AF72" s="40"/>
      <c r="AG72" s="40"/>
      <c r="AH72" s="56" t="str">
        <f t="shared" si="17"/>
        <v/>
      </c>
      <c r="AI72" s="54"/>
      <c r="AJ72" s="54"/>
      <c r="AK72" s="54"/>
      <c r="AL72" s="54"/>
      <c r="AM72" s="54"/>
    </row>
    <row r="73" spans="1:39">
      <c r="A73" s="45" t="str" cm="1">
        <f t="array" ref="A73">IF(H73="PROJECT", CHAR(10) &amp; "- " &amp; _xlfn.TEXTJOIN(CHAR(10) &amp; "- ", TRUE, _xlfn._xlws.FILTER($I$9:$I$1000, ($B$9:$B$1000=B73) * ($H$9:$H$1000="Topic"))), "")</f>
        <v/>
      </c>
      <c r="B73" s="45" t="str">
        <f t="shared" si="1"/>
        <v/>
      </c>
      <c r="C73" s="95"/>
      <c r="D73" s="46"/>
      <c r="E73" s="58"/>
      <c r="F73" s="67"/>
      <c r="G73" s="53"/>
      <c r="H73" s="49"/>
      <c r="I73" s="50"/>
      <c r="J73" s="51"/>
      <c r="K73" s="129" t="str">
        <f t="shared" si="2"/>
        <v/>
      </c>
      <c r="L73" s="103" t="str">
        <f t="shared" si="3"/>
        <v/>
      </c>
      <c r="M73" s="53">
        <v>0</v>
      </c>
      <c r="N73" s="102" t="str">
        <f t="shared" si="4"/>
        <v/>
      </c>
      <c r="O73" s="103" t="str">
        <f t="shared" si="5"/>
        <v/>
      </c>
      <c r="P73" s="53">
        <v>0</v>
      </c>
      <c r="Q73" s="102" t="str">
        <f t="shared" si="6"/>
        <v/>
      </c>
      <c r="R73" s="103" t="str">
        <f t="shared" si="7"/>
        <v/>
      </c>
      <c r="S73" s="53">
        <v>0</v>
      </c>
      <c r="T73" s="102" t="str">
        <f t="shared" si="8"/>
        <v/>
      </c>
      <c r="U73" s="103" t="str">
        <f t="shared" si="9"/>
        <v/>
      </c>
      <c r="V73" s="53">
        <v>0</v>
      </c>
      <c r="W73" s="87" t="str">
        <f t="shared" si="10"/>
        <v/>
      </c>
      <c r="X73" s="103" t="str">
        <f t="shared" si="11"/>
        <v/>
      </c>
      <c r="Y73" s="53">
        <v>0</v>
      </c>
      <c r="Z73" s="56" t="str">
        <f t="shared" si="12"/>
        <v/>
      </c>
      <c r="AA73" s="56" t="str">
        <f t="shared" si="13"/>
        <v/>
      </c>
      <c r="AB73" s="56" t="str">
        <f t="shared" si="14"/>
        <v/>
      </c>
      <c r="AC73" s="56" t="str">
        <f t="shared" si="15"/>
        <v/>
      </c>
      <c r="AD73" s="56" t="str">
        <f t="shared" si="16"/>
        <v/>
      </c>
      <c r="AE73" s="40"/>
      <c r="AF73" s="40"/>
      <c r="AG73" s="40"/>
      <c r="AH73" s="56" t="str">
        <f t="shared" ref="AH73:AH104" si="18">IF(AE73=$B$6,AG73,"")</f>
        <v/>
      </c>
      <c r="AI73" s="54"/>
      <c r="AJ73" s="54"/>
      <c r="AK73" s="54"/>
      <c r="AL73" s="54"/>
      <c r="AM73" s="54"/>
    </row>
    <row r="74" spans="1:39">
      <c r="A74" s="45" t="str" cm="1">
        <f t="array" ref="A74">IF(H74="PROJECT", CHAR(10) &amp; "- " &amp; _xlfn.TEXTJOIN(CHAR(10) &amp; "- ", TRUE, _xlfn._xlws.FILTER($I$9:$I$1000, ($B$9:$B$1000=B74) * ($H$9:$H$1000="Topic"))), "")</f>
        <v/>
      </c>
      <c r="B74" s="45" t="str">
        <f t="shared" ref="B74:B137" si="19">IF(H74="","",IF(AND(H74="Topic",H73="PROJECT"),B73+1,IF(H74="PROJECT",B73,IF(AND(H74="Topic",H73="Topic"),B73,B73+1))))</f>
        <v/>
      </c>
      <c r="C74" s="95"/>
      <c r="D74" s="57"/>
      <c r="E74" s="58"/>
      <c r="F74" s="54"/>
      <c r="G74" s="52"/>
      <c r="H74" s="52"/>
      <c r="I74" s="61"/>
      <c r="J74" s="62"/>
      <c r="K74" s="129" t="str">
        <f t="shared" ref="K74:K137" si="20">IF(H74="Topic",
"[ROLE] Friendly tutor specializing in " &amp; $I$2 &amp; " | " &amp;
"[TOPIC] " &amp; I74 &amp; " | " &amp;
"[LEVEL] " &amp; G74 &amp; " | " &amp;
"[COUNT] " &amp; D74 &amp; " examples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$C74 &amp; " lines of EXECUTABLE code (STRICT: Do NOT count comments or blank lines). - NEVER exceed this limit. | " &amp;
"[FUNCTION RULE] Rule: " &amp; IF(G74="Beginner","Focus: basic function definitions, return values, positional/keyword arguments, and list/dict comprehensions.", IF(G74="Intermediate", "Integrate generator functions using yield, closures, functools utilities (partial, lru_cache), and decorators.", "Dictionaries, Tuples, Namedtuples, or TypedDicts with strict type hints")) &amp; " | " &amp;
"[CODE_CONSTRAINTS_RULE] Each example MUST: - Use Dictionaries, Tuples, Namedtuples, or TypedDicts with strict type hints - Print steps &amp; result via print() or logging.info()/logging.error() inside functional scopes or error handlers - MAX " &amp; $C74 &amp; " executable lines (comments/blanks excluded) - NEVER exceed limit. | " &amp;
"[I_O_PARADIGM] Use pathlib.Path, open() with context managers, or sys.stdin/sys.stdout streams and gracefully handle Typed Tuples like Tuple[bool, str], Namedtuples, or Dict[str, Any] with type annotations when applicable. | " &amp;
"[INLINE_PACKAGE_MANAGER] If using external packages, use Standard requirements.txt file or inline pip install comments (# requirements: package_name&gt;=version) at the top of the code block. Assume no project configuration file exists. | " &amp;
_xlfn._LONGTEXT("[TESTING_FRAMEWORK_LIMITS]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F74 &amp; " | Stage 1 📖 Practice | " &amp; IF($I$3="", $I$2, $I$2&amp; " - " &amp;$I$3) &amp; " | 📊 Level: " &amp; G74 &amp; " | 🌐 Coding5s.com" &amp; CHAR(10) &amp; "**Concept:** " &amp; J74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D74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IF(AJ74&lt;&gt;"", AJ74,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IF(H74="PROJECT", Z74, ""))</f>
        <v/>
      </c>
      <c r="L74" s="103" t="str">
        <f t="shared" ref="L74:L137" si="21">IF(OR(H74="Topic", UPPER(H74)="PROJECT"),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IF(UPPER(H74)="PROJECT", "building a PROJECT: " &amp; I74 &amp; ". Topics applied in this project: " &amp; A74 &amp; ". Project objective: " &amp; J74, "learning: " &amp; I74 &amp; ". Topic details: " &amp; J74)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IF(G74="Beginner", "Evaluate based on basic functions, data structures, and conditional logic. Do NOT expect decorators, generators, or asyncio unless explicitly demanded.", IF(G74="Intermediate",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&amp; IF(AJ74&lt;&gt;"", "[MENTOR CONTEXT ALERT] Be aware of the following infrastructure limitation for this exercise: " &amp; AJ74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IF(UPPER(H74)="PROJECT",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IF(UPPER(H74)="PROJECT",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IF(UPPER(H74)="PROJECT", "Project #", "Topic #") &amp; F74 &amp; " | Practice | " &amp; IF($I$3="", $I$2, $I$2&amp; " - " &amp;$I$3) &amp; " | 📊 Level: " &amp; G74 &amp; CHAR(10) &amp; "**" &amp; IF(UPPER(H74)="PROJECT", "Project", "Topic") &amp; ":** " &amp; I74 &amp; CHAR(10) &amp; "---" &amp; CHAR(10) &amp; " | " &amp;
"[FOOTER RULE - STRICT] End your response with: '--- ⚡ *Coding5s Mentor System — Eliminating Epistemic Debt*' | ","")</f>
        <v/>
      </c>
      <c r="M74" s="52">
        <v>0</v>
      </c>
      <c r="N74" s="102" t="str">
        <f t="shared" ref="N74:N137" si="22">IF(H74="Topic",
"[ROLE] Careless " &amp; $I$2 &amp; " Developer | " &amp;
"[TASK] Generate debugging challenges in " &amp; $I$2 &amp; " | | " &amp;
"[TOPIC] " &amp; I74 &amp; " | | " &amp;
"[LEVEL] " &amp; G74 &amp; " | | " &amp;
"[COUNT] " &amp; D74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F74 &amp; " | Stage 2 🐛 Debug | " &amp; IF($I$3="", $I$2, $I$2&amp; " - " &amp;$I$3) &amp; " | 📊 Level: " &amp; G74 &amp; " | 🌐 Coding5s.com" &amp; CHAR(10) &amp; "Concept: " &amp; J74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 &amp;
"[EXUNIT RULE] Always use pytest or native test functions. You MUST use native assert statements or pytest.raises() for exception testing. Avoid defining TestClasses or methods. | " &amp;
"[HEX DEPENDENCIES RULE] Assume a standard Python runtime context. External PyPI dependencies MUST be specified strictly within a requirements.txt file. | " &amp;
"[CODE CONSTRAINTS] Each challenge MUST include: - At least 1 functional iterator/generator or comprehension - Explicit type annotations - At least 1 error handling try/except block - " &amp; IF(G74="Beginner", "5–15", IF(G74="Intermediate", "10–25", "15–35")) &amp; " lines of EXECUTABLE broken Python code per example (STRICT: Do NOT count blank lines). Enforce PEP 8, type hints, and NO OOP class structures. | All challenges MUST have similar functional abstraction depth and architectural complexity.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D74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IF(H74="PROJECT", AA74, ""))</f>
        <v/>
      </c>
      <c r="O74" s="103" t="str">
        <f t="shared" ref="O74:O137" si="23">IF(OR(H74="Topic", UPPER(H74)="PROJECT"),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IF(UPPER(H74)="PROJECT", "PROJECT: " &amp; I74 &amp; ". Topics involved: " &amp; A74 &amp; ". Project objective: " &amp; J74, "TOPIC: " &amp; I74 &amp; ". Topic details: " &amp; J74)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IF(UPPER(H74)="PROJECT", "Project #", "Topic #") &amp; F74 &amp; " | Debug | " &amp; IF($I$3="", $I$2, $I$2&amp; " - " &amp;$I$3) &amp; " | 📊 Level: " &amp; G74 &amp; CHAR(10) &amp; "**" &amp; IF(UPPER(H74)="PROJECT", "Project", "Topic") &amp; ":** " &amp; I74 &amp; CHAR(10) &amp; "---" &amp; CHAR(10) &amp; " | " &amp;
_xlfn._LONGTEXT("[PYTHON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74" s="52">
        <v>0</v>
      </c>
      <c r="Q74" s="102" t="str">
        <f t="shared" ref="Q74:Q137" si="24">IF(H74="Topic",
"[ROLE] Tech Lead | " &amp;
"[TASK] Assign incomplete " &amp; $I$2 &amp; " script challenges | " &amp;
"[TOPIC] " &amp; I74 &amp; " | " &amp;
"[LEVEL] " &amp; G74 &amp; " | " &amp;
"[COUNT] " &amp; D74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F74 &amp; " | Stage 3 🧩 Complete | " &amp; IF($I$3="", $I$2, $I$2&amp; " - " &amp;$I$3) &amp; " | 📊 Level: " &amp; G74 &amp; " | 🌐 Coding5s.com" &amp; CHAR(10) &amp; "**Concept:** " &amp; J74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PyPI packages MUST be specified inside a standard requirements.txt file. Do not use inline system pip commands. | " &amp;
"[TESTING_FRAMEWORK_PROTOCOL] Tests MUST isolate functional logic. NEVER mutate global state; use native assert statements or pytest fixtures to verify function outputs. | " &amp;
"[CHALLENGE_CONSTRAINTS_POLICY] Each challenge MUST include: - A functional module or script using closures, generators, or functools to manage continuous state with strict type hints. - " &amp; IF(G74="Beginner","5–15", IF(G74="Intermediate","10–25","15–35")) &amp; " lines of EXECUTABLE base Python code (STRICT: Do NOT count comments or TODOs). Length MUST vary. Enforce type hints, PEP 8, and NO classes.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D74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I74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IF(G74="Beginner", "Clear explicit hint (no code) | ", IF(G74="Intermediate",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IF(H74="PROJECT", AB74, ""))</f>
        <v/>
      </c>
      <c r="R74" s="103" t="str">
        <f t="shared" ref="R74:R137" si="25">IF(OR(H74="Topic", UPPER(H74)="PROJECT"),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IF(UPPER(H74)="PROJECT", "PROJECT: " &amp; I74 &amp; ". Topics involved: " &amp; A74 &amp; ". Project objective: " &amp; J74, "TOPIC: " &amp; I74 &amp; ". Topic details: " &amp; J74)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IF(UPPER(H74)="PROJECT", "Project #", "Topic #") &amp; F74 &amp; " | Complete | " &amp; IF($I$3="", $I$2, $I$2&amp; " - " &amp;$I$3) &amp; " | 📊 Level: " &amp; G74 &amp; CHAR(10) &amp; "**" &amp; IF(UPPER(H74)="PROJECT", "Project", "Topic") &amp; ":** " &amp; I74 &amp; CHAR(10) &amp; "---" &amp; CHAR(10) &amp; " | " &amp;
_xlfn._LONGTEXT("[PYTHON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74" s="52">
        <v>0</v>
      </c>
      <c r="T74" s="102" t="str">
        <f t="shared" ref="T74:T137" si="26">IF(H74="Topic",
"[ROLE] Tech Lead | " &amp;
"[TASK] Provide intentionally messy but functional code for learning debugging and improvement | " &amp;
"[TOPIC] " &amp; I74 &amp; " | " &amp;
"[LEVEL] " &amp; G74 &amp; " | " &amp;
"[COUNT] " &amp; D74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F74 &amp; " | Stage 4 🧹 Refactor | " &amp; IF($I$3="", $I$2, $I$2&amp; " - " &amp;$I$3) &amp; " | 📊 Level: " &amp; G74 &amp; " | 🌐 Coding5s.com" &amp; CHAR(10) &amp; "**Concept:** " &amp; J74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D74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IF(G74="Beginner", "5–15", IF(G74="Intermediate",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IF(H74="PROJECT", AC74, ""))</f>
        <v/>
      </c>
      <c r="U74" s="103" t="str">
        <f t="shared" ref="U74:U137" si="27">IF(OR(H74="Topic", UPPER(H74)="PROJECT"),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IF(UPPER(H74)="PROJECT", "PROJECT: " &amp; I74 &amp; ". Topics involved: " &amp; A74 &amp; ". Project objective: " &amp; J74, "TOPIC: " &amp; I74 &amp; ". Topic details: " &amp; J74)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IF(UPPER(H74)="PROJECT", "Project #", "Topic #") &amp; F74 &amp; " | Refactor | " &amp; IF($I$3="", $I$2, $I$2&amp; " - " &amp;$I$3) &amp; " | 📊 Level: " &amp; G74 &amp; CHAR(10) &amp; "**" &amp; IF(UPPER(H74)="PROJECT", "Project", "Topic") &amp; ":** " &amp; I74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74" s="52">
        <v>0</v>
      </c>
      <c r="W74" s="87" t="str">
        <f t="shared" ref="W74:W137" si="28">IF(H74="Topic",
"[ROLE] Tech Product Manager assigning a " &amp; $I$2 &amp; " Jira Ticket | " &amp;
"[TASK] Provide a guided implementation exercise with full solution for learning purposes | " &amp;
"[TOPIC] " &amp; I74 &amp; " | " &amp;
"[LEVEL] " &amp; G74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F74 &amp; " | Stage 5 | " &amp; IF($I$3="", $I$2, $I$2&amp; " - " &amp;$I$3) &amp; " | 📊 Level: " &amp; G74 &amp; " | 🌐 Coding5s.com" &amp; CHAR(10) &amp; "**Concept:** " &amp; J74 &amp; CHAR(10) &amp; "---" &amp; CHAR(10) &amp; " | " &amp;
"[FUNCTIONAL_STRUCTURE_POLICY] Rule: " &amp; IF(G74="Beginner", "Use simple scripts or minimal functions. ", IF(G74="Intermediate",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IF(G74="Beginner", "10–20", IF(G74="Intermediate", "15–30", "25–40")) &amp; " lines of EXECUTABLE code (STRICT) - V1.1 MUST be between " &amp; IF(G74="Beginner", "15–30", IF(G74="Intermediate",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IF(H74="PROJECT", AD74, ""))</f>
        <v/>
      </c>
      <c r="X74" s="103" t="str">
        <f t="shared" ref="X74:X137" si="29">IF(OR(H74="Topic", UPPER(H74)="PROJECT"),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IF(UPPER(H74)="PROJECT", "PROJECT: " &amp; I74 &amp; ". Topics integrated: " &amp; A74 &amp; ". Business Goal: " &amp; J74, "TOPIC: " &amp; I74 &amp; ". Goal: " &amp; J74)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IF(UPPER(H74)="PROJECT", "Project #", "Topic #") &amp; F74 &amp; " | Extend | " &amp; IF($I$3="", $I$2, $I$2&amp; " - " &amp;$I$3) &amp; " | 📊 Level: " &amp; G74 &amp; CHAR(10) &amp; "**" &amp; IF(UPPER(H74)="PROJECT", "Project", "Topic") &amp; ":** " &amp; I74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74" s="52">
        <v>0</v>
      </c>
      <c r="Z74" s="56" t="str">
        <f t="shared" ref="Z74:Z137" si="30">IF(H74&lt;&gt;"PROJECT","",
"[TASK] Teach through a practical " &amp; $I$2 &amp; " - " &amp; $I$3 &amp; " project following the micro-learning methodology, acting as a supportive tutor, creating a project about  " &amp; I74 &amp; " | " &amp;
"[TOPICS USED] " &amp; A74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requirements.txt file or inline pip install comments (# requirements: package_name&gt;=version) at the top. | " &amp;
"[SCOPE_ARCHITECTURE_RULE] Rule: Build scripts: async/await coroutines with asyncio, subprocess execution, signal trapping, and custom context managers. | " &amp;
_xlfn._LONGTEXT("[VISUAL_ARCHITECTURE_COMMENTS]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 &amp;
"[DATA ROBUSTNESS RULE] Handle real-world data safely | " &amp;
"[CODE CONSTRAINTS] MUST be between " &amp; IF(G74="Beginner", "25–40", IF(G74="Intermediate",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F74 &amp; " | Stage 1 | " &amp; IF($I$3="", $I$2, $I$2&amp; " - " &amp;$I$3) &amp; " | 📊 Level: " &amp; G74 &amp; " | 🌐 Coding5s.com" &amp; CHAR(10) &amp; "**Project:** " &amp; J74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74" s="56" t="str">
        <f t="shared" ref="AA74:AA137" si="31">IF(H74&lt;&gt;"PROJECT","",
"[ROLE] Careless " &amp; $I$2 &amp; " Developer | " &amp;
"[TASK] Generate debugging project in " &amp; $I$2 &amp; " | " &amp;
"[PROJECT] " &amp; I74 &amp; " | " &amp;
"[TOPICS USED] " &amp; A74 &amp; " | " &amp;
"[LEVEL] " &amp; G74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F74 &amp; " | Stage 2 | " &amp; IF($I$3="", $I$2, $I$2&amp; " - " &amp;$I$3) &amp; " | 📊 Level: " &amp; G74 &amp; " | 🌐 Coding5s.com" &amp; CHAR(10) &amp; "Project: " &amp; J74 &amp; CHAR(10) &amp; "---" &amp; CHAR(10)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AE72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IF(G74="Beginner", "25–40", IF(G74="Intermediate", "30–60", "40–100")) &amp; " lines of EXECUTABLE code (STRICT: Do NOT count blank lines towards this limit) - Multi-step flow - 2–4 functions ONLY - main() as entry point " &amp; IF(G74&lt;&gt;"Advanced",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74" s="56" t="str">
        <f t="shared" ref="AB74:AB137" si="32">IF(H74&lt;&gt;"PROJECT","",
"[ROLE] Tech Lead | " &amp;
"[TASK] Assign incomplete project script | " &amp;
"[PROJECT] " &amp; I74 &amp; " | " &amp;
"[TOPICS USED] " &amp; A74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F74 &amp; " | Stage 3 | " &amp; IF($I$3="", $I$2, $I$2&amp; " - " &amp;$I$3) &amp; " | 📊 Level: " &amp; G74 &amp; " | 🌐 Coding5s.com" &amp; CHAR(10) &amp; "**Project:** " &amp; J74 &amp; CHAR(10) &amp; "---" &amp; CHAR(10) &amp; " | " &amp;
"[EXTERNAL_PACKAGE_PROTOCOL] Require standard pip tooling and requirements.txt for dependencies. | " &amp;
"[CHALLENGE_CONSTRAINTS_POLICY] MUST be between " &amp; IF(G74="Beginner","25–40", IF(G74="Intermediate","30–60","40–100")) &amp; " lines of EXECUTABLE base Python code (STRICT: Do NOT count comments or TODOs). Must feature functional data pipelines or asynchronous asyncio flows.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74" s="56" t="str">
        <f t="shared" ref="AC74:AC137" si="33">IF(H74&lt;&gt;"PROJECT","",
"[ROLE] Tech Lead | " &amp;
"[TASK] Provide a messy but functional project for refactoring | " &amp;
"[PROJECT] " &amp; I74 &amp; " | " &amp;
"[TOPICS USED] " &amp; A74 &amp; " | " &amp;
"[LEVEL] " &amp; G74 &amp; " | " &amp;
"[PERSONA RULE] Act as a Tech Lead. A junior wrote this working but messy code. Tone: professional but exhausted | " &amp;
"[HEADER RULE - STRICT] You MUST start your entire response EXACTLY with this markdown block (do not print anything before it):" &amp; CHAR(10) &amp; "### 🚀 Project #" &amp; F74 &amp; " | Stage 4 | " &amp; IF($I$3="", $I$2, $I$2&amp; " - " &amp;$I$3) &amp; " | 📊 Level: " &amp; G74 &amp; " | 🌐 Coding5s.com" &amp; CHAR(10) &amp; "**Project:** " &amp; J74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IF(G74="Beginner", "25–40", IF(G74="Intermediate",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74" s="56" t="str">
        <f t="shared" ref="AD74:AD137" si="34">IF(H74&lt;&gt;"PROJECT","",
"[ROLE] Tech Product Manager assigning a " &amp; $I$2 &amp; " Jira Ticket | " &amp;
"[TASK] Provide a guided project implementation with full solution | " &amp;
"[PROJECT] " &amp; I74 &amp; " | " &amp;
"[TOPICS USED] " &amp; A74 &amp; " | " &amp;
"[LEVEL] " &amp; G74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F74 &amp; " | Stage 5 | " &amp; IF($I$3="", $I$2, $I$2&amp; " - " &amp;$I$3) &amp; " | 📊 Level: " &amp; G74 &amp; " | 🌐 Coding5s.com" &amp; CHAR(10) &amp; "**Project:** " &amp; J74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IF(G74="Beginner", "20–35", IF(G74="Intermediate", "30–50", "45–70")) &amp; " lines of EXECUTABLE code (STRICT) - V1.1 MUST be between " &amp; IF(G74="Beginner", "30–50", IF(G74="Intermediate",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IF(G74="Beginner", "Avoid complex structure. ", IF(G74="Intermediate",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74" s="40"/>
      <c r="AF74" s="40"/>
      <c r="AG74" s="40"/>
      <c r="AH74" s="56" t="str">
        <f t="shared" si="18"/>
        <v/>
      </c>
      <c r="AI74" s="54"/>
      <c r="AJ74" s="54"/>
      <c r="AK74" s="54"/>
      <c r="AL74" s="54"/>
      <c r="AM74" s="54"/>
    </row>
    <row r="75" spans="1:39">
      <c r="A75" s="45" t="str" cm="1">
        <f t="array" ref="A75">IF(H75="PROJECT", CHAR(10) &amp; "- " &amp; _xlfn.TEXTJOIN(CHAR(10) &amp; "- ", TRUE, _xlfn._xlws.FILTER($I$9:$I$1000, ($B$9:$B$1000=B75) * ($H$9:$H$1000="Topic"))), "")</f>
        <v/>
      </c>
      <c r="B75" s="45" t="str">
        <f t="shared" si="19"/>
        <v/>
      </c>
      <c r="C75" s="95"/>
      <c r="D75" s="46"/>
      <c r="E75" s="58"/>
      <c r="F75" s="67"/>
      <c r="G75" s="53"/>
      <c r="H75" s="53"/>
      <c r="I75" s="50"/>
      <c r="J75" s="51"/>
      <c r="K75" s="129" t="str">
        <f t="shared" si="20"/>
        <v/>
      </c>
      <c r="L75" s="103" t="str">
        <f t="shared" si="21"/>
        <v/>
      </c>
      <c r="M75" s="53">
        <v>0</v>
      </c>
      <c r="N75" s="102" t="str">
        <f t="shared" si="22"/>
        <v/>
      </c>
      <c r="O75" s="103" t="str">
        <f t="shared" si="23"/>
        <v/>
      </c>
      <c r="P75" s="53">
        <v>0</v>
      </c>
      <c r="Q75" s="102" t="str">
        <f t="shared" si="24"/>
        <v/>
      </c>
      <c r="R75" s="103" t="str">
        <f t="shared" si="25"/>
        <v/>
      </c>
      <c r="S75" s="53">
        <v>0</v>
      </c>
      <c r="T75" s="102" t="str">
        <f t="shared" si="26"/>
        <v/>
      </c>
      <c r="U75" s="103" t="str">
        <f t="shared" si="27"/>
        <v/>
      </c>
      <c r="V75" s="53">
        <v>0</v>
      </c>
      <c r="W75" s="87" t="str">
        <f t="shared" si="28"/>
        <v/>
      </c>
      <c r="X75" s="103" t="str">
        <f t="shared" si="29"/>
        <v/>
      </c>
      <c r="Y75" s="53">
        <v>0</v>
      </c>
      <c r="Z75" s="56" t="str">
        <f t="shared" si="30"/>
        <v/>
      </c>
      <c r="AA75" s="56" t="str">
        <f t="shared" si="31"/>
        <v/>
      </c>
      <c r="AB75" s="56" t="str">
        <f t="shared" si="32"/>
        <v/>
      </c>
      <c r="AC75" s="56" t="str">
        <f t="shared" si="33"/>
        <v/>
      </c>
      <c r="AD75" s="56" t="str">
        <f t="shared" si="34"/>
        <v/>
      </c>
      <c r="AE75" s="40"/>
      <c r="AF75" s="40"/>
      <c r="AG75" s="40"/>
      <c r="AH75" s="56" t="str">
        <f t="shared" si="18"/>
        <v/>
      </c>
      <c r="AI75" s="54"/>
      <c r="AJ75" s="54"/>
      <c r="AK75" s="54"/>
      <c r="AL75" s="54"/>
      <c r="AM75" s="54"/>
    </row>
    <row r="76" spans="1:39">
      <c r="A76" s="45" t="str" cm="1">
        <f t="array" ref="A76">IF(H76="PROJECT", CHAR(10) &amp; "- " &amp; _xlfn.TEXTJOIN(CHAR(10) &amp; "- ", TRUE, _xlfn._xlws.FILTER($I$9:$I$1000, ($B$9:$B$1000=B76) * ($H$9:$H$1000="Topic"))), "")</f>
        <v/>
      </c>
      <c r="B76" s="45" t="str">
        <f t="shared" si="19"/>
        <v/>
      </c>
      <c r="C76" s="95"/>
      <c r="D76" s="57"/>
      <c r="E76" s="58"/>
      <c r="F76" s="54"/>
      <c r="G76" s="52"/>
      <c r="H76" s="52"/>
      <c r="I76" s="61"/>
      <c r="J76" s="62"/>
      <c r="K76" s="129" t="str">
        <f t="shared" si="20"/>
        <v/>
      </c>
      <c r="L76" s="103" t="str">
        <f t="shared" si="21"/>
        <v/>
      </c>
      <c r="M76" s="52">
        <v>0</v>
      </c>
      <c r="N76" s="102" t="str">
        <f t="shared" si="22"/>
        <v/>
      </c>
      <c r="O76" s="103" t="str">
        <f t="shared" si="23"/>
        <v/>
      </c>
      <c r="P76" s="52">
        <v>0</v>
      </c>
      <c r="Q76" s="102" t="str">
        <f t="shared" si="24"/>
        <v/>
      </c>
      <c r="R76" s="103" t="str">
        <f t="shared" si="25"/>
        <v/>
      </c>
      <c r="S76" s="52">
        <v>0</v>
      </c>
      <c r="T76" s="102" t="str">
        <f t="shared" si="26"/>
        <v/>
      </c>
      <c r="U76" s="103" t="str">
        <f t="shared" si="27"/>
        <v/>
      </c>
      <c r="V76" s="52">
        <v>0</v>
      </c>
      <c r="W76" s="87" t="str">
        <f t="shared" si="28"/>
        <v/>
      </c>
      <c r="X76" s="103" t="str">
        <f t="shared" si="29"/>
        <v/>
      </c>
      <c r="Y76" s="52">
        <v>0</v>
      </c>
      <c r="Z76" s="56" t="str">
        <f t="shared" si="30"/>
        <v/>
      </c>
      <c r="AA76" s="56" t="str">
        <f t="shared" si="31"/>
        <v/>
      </c>
      <c r="AB76" s="56" t="str">
        <f t="shared" si="32"/>
        <v/>
      </c>
      <c r="AC76" s="56" t="str">
        <f t="shared" si="33"/>
        <v/>
      </c>
      <c r="AD76" s="56" t="str">
        <f t="shared" si="34"/>
        <v/>
      </c>
      <c r="AE76" s="40"/>
      <c r="AF76" s="40"/>
      <c r="AG76" s="40"/>
      <c r="AH76" s="56" t="str">
        <f t="shared" si="18"/>
        <v/>
      </c>
      <c r="AI76" s="54"/>
      <c r="AJ76" s="54"/>
      <c r="AK76" s="54"/>
      <c r="AL76" s="54"/>
      <c r="AM76" s="54"/>
    </row>
    <row r="77" spans="1:39">
      <c r="A77" s="45" t="str" cm="1">
        <f t="array" ref="A77">IF(H77="PROJECT", CHAR(10) &amp; "- " &amp; _xlfn.TEXTJOIN(CHAR(10) &amp; "- ", TRUE, _xlfn._xlws.FILTER($I$9:$I$1000, ($B$9:$B$1000=B77) * ($H$9:$H$1000="Topic"))), "")</f>
        <v/>
      </c>
      <c r="B77" s="45" t="str">
        <f t="shared" si="19"/>
        <v/>
      </c>
      <c r="C77" s="95"/>
      <c r="D77" s="46"/>
      <c r="E77" s="58"/>
      <c r="F77" s="67"/>
      <c r="G77" s="53"/>
      <c r="H77" s="53"/>
      <c r="I77" s="50"/>
      <c r="J77" s="51"/>
      <c r="K77" s="129" t="str">
        <f t="shared" si="20"/>
        <v/>
      </c>
      <c r="L77" s="103" t="str">
        <f t="shared" si="21"/>
        <v/>
      </c>
      <c r="M77" s="53">
        <v>0</v>
      </c>
      <c r="N77" s="102" t="str">
        <f t="shared" si="22"/>
        <v/>
      </c>
      <c r="O77" s="103" t="str">
        <f t="shared" si="23"/>
        <v/>
      </c>
      <c r="P77" s="53">
        <v>0</v>
      </c>
      <c r="Q77" s="102" t="str">
        <f t="shared" si="24"/>
        <v/>
      </c>
      <c r="R77" s="103" t="str">
        <f t="shared" si="25"/>
        <v/>
      </c>
      <c r="S77" s="53">
        <v>0</v>
      </c>
      <c r="T77" s="102" t="str">
        <f t="shared" si="26"/>
        <v/>
      </c>
      <c r="U77" s="103" t="str">
        <f t="shared" si="27"/>
        <v/>
      </c>
      <c r="V77" s="53">
        <v>0</v>
      </c>
      <c r="W77" s="87" t="str">
        <f t="shared" si="28"/>
        <v/>
      </c>
      <c r="X77" s="103" t="str">
        <f t="shared" si="29"/>
        <v/>
      </c>
      <c r="Y77" s="53">
        <v>0</v>
      </c>
      <c r="Z77" s="56" t="str">
        <f t="shared" si="30"/>
        <v/>
      </c>
      <c r="AA77" s="56" t="str">
        <f t="shared" si="31"/>
        <v/>
      </c>
      <c r="AB77" s="56" t="str">
        <f t="shared" si="32"/>
        <v/>
      </c>
      <c r="AC77" s="56" t="str">
        <f t="shared" si="33"/>
        <v/>
      </c>
      <c r="AD77" s="56" t="str">
        <f t="shared" si="34"/>
        <v/>
      </c>
      <c r="AE77" s="40"/>
      <c r="AF77" s="40"/>
      <c r="AG77" s="40"/>
      <c r="AH77" s="56" t="str">
        <f t="shared" si="18"/>
        <v/>
      </c>
      <c r="AI77" s="54"/>
      <c r="AJ77" s="54"/>
      <c r="AK77" s="54"/>
      <c r="AL77" s="54"/>
      <c r="AM77" s="54"/>
    </row>
    <row r="78" spans="1:39">
      <c r="A78" s="45" t="str" cm="1">
        <f t="array" ref="A78">IF(H78="PROJECT", CHAR(10) &amp; "- " &amp; _xlfn.TEXTJOIN(CHAR(10) &amp; "- ", TRUE, _xlfn._xlws.FILTER($I$9:$I$1000, ($B$9:$B$1000=B78) * ($H$9:$H$1000="Topic"))), "")</f>
        <v/>
      </c>
      <c r="B78" s="45" t="str">
        <f t="shared" si="19"/>
        <v/>
      </c>
      <c r="C78" s="95"/>
      <c r="D78" s="57"/>
      <c r="E78" s="58"/>
      <c r="F78" s="54"/>
      <c r="G78" s="52"/>
      <c r="H78" s="52"/>
      <c r="I78" s="61"/>
      <c r="J78" s="62"/>
      <c r="K78" s="129" t="str">
        <f t="shared" si="20"/>
        <v/>
      </c>
      <c r="L78" s="103" t="str">
        <f t="shared" si="21"/>
        <v/>
      </c>
      <c r="M78" s="52">
        <v>0</v>
      </c>
      <c r="N78" s="102" t="str">
        <f t="shared" si="22"/>
        <v/>
      </c>
      <c r="O78" s="103" t="str">
        <f t="shared" si="23"/>
        <v/>
      </c>
      <c r="P78" s="52">
        <v>0</v>
      </c>
      <c r="Q78" s="102" t="str">
        <f t="shared" si="24"/>
        <v/>
      </c>
      <c r="R78" s="103" t="str">
        <f t="shared" si="25"/>
        <v/>
      </c>
      <c r="S78" s="52">
        <v>0</v>
      </c>
      <c r="T78" s="102" t="str">
        <f t="shared" si="26"/>
        <v/>
      </c>
      <c r="U78" s="103" t="str">
        <f t="shared" si="27"/>
        <v/>
      </c>
      <c r="V78" s="52">
        <v>0</v>
      </c>
      <c r="W78" s="87" t="str">
        <f t="shared" si="28"/>
        <v/>
      </c>
      <c r="X78" s="103" t="str">
        <f t="shared" si="29"/>
        <v/>
      </c>
      <c r="Y78" s="52">
        <v>0</v>
      </c>
      <c r="Z78" s="56" t="str">
        <f t="shared" si="30"/>
        <v/>
      </c>
      <c r="AA78" s="56" t="str">
        <f t="shared" si="31"/>
        <v/>
      </c>
      <c r="AB78" s="56" t="str">
        <f t="shared" si="32"/>
        <v/>
      </c>
      <c r="AC78" s="56" t="str">
        <f t="shared" si="33"/>
        <v/>
      </c>
      <c r="AD78" s="56" t="str">
        <f t="shared" si="34"/>
        <v/>
      </c>
      <c r="AE78" s="40"/>
      <c r="AF78" s="40"/>
      <c r="AG78" s="40"/>
      <c r="AH78" s="56" t="str">
        <f t="shared" si="18"/>
        <v/>
      </c>
      <c r="AI78" s="54"/>
      <c r="AJ78" s="54"/>
      <c r="AK78" s="54"/>
      <c r="AL78" s="54"/>
      <c r="AM78" s="54"/>
    </row>
    <row r="79" spans="1:39">
      <c r="A79" s="45" t="str" cm="1">
        <f t="array" ref="A79">IF(H79="PROJECT", CHAR(10) &amp; "- " &amp; _xlfn.TEXTJOIN(CHAR(10) &amp; "- ", TRUE, _xlfn._xlws.FILTER($I$9:$I$1000, ($B$9:$B$1000=B79) * ($H$9:$H$1000="Topic"))), "")</f>
        <v/>
      </c>
      <c r="B79" s="45" t="str">
        <f t="shared" si="19"/>
        <v/>
      </c>
      <c r="C79" s="95"/>
      <c r="D79" s="46"/>
      <c r="E79" s="58"/>
      <c r="F79" s="67"/>
      <c r="G79" s="53"/>
      <c r="H79" s="53"/>
      <c r="I79" s="50"/>
      <c r="J79" s="51"/>
      <c r="K79" s="129" t="str">
        <f t="shared" si="20"/>
        <v/>
      </c>
      <c r="L79" s="103" t="str">
        <f t="shared" si="21"/>
        <v/>
      </c>
      <c r="M79" s="53">
        <v>0</v>
      </c>
      <c r="N79" s="102" t="str">
        <f t="shared" si="22"/>
        <v/>
      </c>
      <c r="O79" s="103" t="str">
        <f t="shared" si="23"/>
        <v/>
      </c>
      <c r="P79" s="53">
        <v>0</v>
      </c>
      <c r="Q79" s="102" t="str">
        <f t="shared" si="24"/>
        <v/>
      </c>
      <c r="R79" s="103" t="str">
        <f t="shared" si="25"/>
        <v/>
      </c>
      <c r="S79" s="53">
        <v>0</v>
      </c>
      <c r="T79" s="102" t="str">
        <f t="shared" si="26"/>
        <v/>
      </c>
      <c r="U79" s="103" t="str">
        <f t="shared" si="27"/>
        <v/>
      </c>
      <c r="V79" s="53">
        <v>0</v>
      </c>
      <c r="W79" s="87" t="str">
        <f t="shared" si="28"/>
        <v/>
      </c>
      <c r="X79" s="103" t="str">
        <f t="shared" si="29"/>
        <v/>
      </c>
      <c r="Y79" s="53">
        <v>0</v>
      </c>
      <c r="Z79" s="56" t="str">
        <f t="shared" si="30"/>
        <v/>
      </c>
      <c r="AA79" s="56" t="str">
        <f t="shared" si="31"/>
        <v/>
      </c>
      <c r="AB79" s="56" t="str">
        <f t="shared" si="32"/>
        <v/>
      </c>
      <c r="AC79" s="56" t="str">
        <f t="shared" si="33"/>
        <v/>
      </c>
      <c r="AD79" s="56" t="str">
        <f t="shared" si="34"/>
        <v/>
      </c>
      <c r="AE79" s="40"/>
      <c r="AF79" s="40"/>
      <c r="AG79" s="40"/>
      <c r="AH79" s="56" t="str">
        <f t="shared" si="18"/>
        <v/>
      </c>
      <c r="AI79" s="54"/>
      <c r="AJ79" s="54"/>
      <c r="AK79" s="54"/>
      <c r="AL79" s="54"/>
      <c r="AM79" s="54"/>
    </row>
    <row r="80" spans="1:39">
      <c r="A80" s="45" t="str" cm="1">
        <f t="array" ref="A80">IF(H80="PROJECT", CHAR(10) &amp; "- " &amp; _xlfn.TEXTJOIN(CHAR(10) &amp; "- ", TRUE, _xlfn._xlws.FILTER($I$9:$I$1000, ($B$9:$B$1000=B80) * ($H$9:$H$1000="Topic"))), "")</f>
        <v/>
      </c>
      <c r="B80" s="45" t="str">
        <f t="shared" si="19"/>
        <v/>
      </c>
      <c r="C80" s="95"/>
      <c r="D80" s="57"/>
      <c r="E80" s="58"/>
      <c r="F80" s="54"/>
      <c r="G80" s="52"/>
      <c r="H80" s="60"/>
      <c r="I80" s="61"/>
      <c r="J80" s="62"/>
      <c r="K80" s="129" t="str">
        <f t="shared" si="20"/>
        <v/>
      </c>
      <c r="L80" s="103" t="str">
        <f t="shared" si="21"/>
        <v/>
      </c>
      <c r="M80" s="52">
        <v>0</v>
      </c>
      <c r="N80" s="102" t="str">
        <f t="shared" si="22"/>
        <v/>
      </c>
      <c r="O80" s="103" t="str">
        <f t="shared" si="23"/>
        <v/>
      </c>
      <c r="P80" s="52">
        <v>0</v>
      </c>
      <c r="Q80" s="102" t="str">
        <f t="shared" si="24"/>
        <v/>
      </c>
      <c r="R80" s="103" t="str">
        <f t="shared" si="25"/>
        <v/>
      </c>
      <c r="S80" s="52">
        <v>0</v>
      </c>
      <c r="T80" s="102" t="str">
        <f t="shared" si="26"/>
        <v/>
      </c>
      <c r="U80" s="103" t="str">
        <f t="shared" si="27"/>
        <v/>
      </c>
      <c r="V80" s="52">
        <v>0</v>
      </c>
      <c r="W80" s="87" t="str">
        <f t="shared" si="28"/>
        <v/>
      </c>
      <c r="X80" s="103" t="str">
        <f t="shared" si="29"/>
        <v/>
      </c>
      <c r="Y80" s="52">
        <v>0</v>
      </c>
      <c r="Z80" s="56" t="str">
        <f t="shared" si="30"/>
        <v/>
      </c>
      <c r="AA80" s="56" t="str">
        <f t="shared" si="31"/>
        <v/>
      </c>
      <c r="AB80" s="56" t="str">
        <f t="shared" si="32"/>
        <v/>
      </c>
      <c r="AC80" s="56" t="str">
        <f t="shared" si="33"/>
        <v/>
      </c>
      <c r="AD80" s="56" t="str">
        <f t="shared" si="34"/>
        <v/>
      </c>
      <c r="AE80" s="40"/>
      <c r="AF80" s="40"/>
      <c r="AG80" s="40"/>
      <c r="AH80" s="56" t="str">
        <f t="shared" si="18"/>
        <v/>
      </c>
      <c r="AI80" s="54"/>
      <c r="AJ80" s="54"/>
      <c r="AK80" s="54"/>
      <c r="AL80" s="54"/>
      <c r="AM80" s="54"/>
    </row>
    <row r="81" spans="1:39">
      <c r="A81" s="45" t="str" cm="1">
        <f t="array" ref="A81">IF(H81="PROJECT", CHAR(10) &amp; "- " &amp; _xlfn.TEXTJOIN(CHAR(10) &amp; "- ", TRUE, _xlfn._xlws.FILTER($I$9:$I$1000, ($B$9:$B$1000=B81) * ($H$9:$H$1000="Topic"))), "")</f>
        <v/>
      </c>
      <c r="B81" s="45" t="str">
        <f t="shared" si="19"/>
        <v/>
      </c>
      <c r="C81" s="95"/>
      <c r="D81" s="46"/>
      <c r="E81" s="58"/>
      <c r="F81" s="67"/>
      <c r="G81" s="53"/>
      <c r="H81" s="53"/>
      <c r="I81" s="50"/>
      <c r="J81" s="51"/>
      <c r="K81" s="129" t="str">
        <f t="shared" si="20"/>
        <v/>
      </c>
      <c r="L81" s="103" t="str">
        <f t="shared" si="21"/>
        <v/>
      </c>
      <c r="M81" s="53">
        <v>0</v>
      </c>
      <c r="N81" s="102" t="str">
        <f t="shared" si="22"/>
        <v/>
      </c>
      <c r="O81" s="103" t="str">
        <f t="shared" si="23"/>
        <v/>
      </c>
      <c r="P81" s="53">
        <v>0</v>
      </c>
      <c r="Q81" s="102" t="str">
        <f t="shared" si="24"/>
        <v/>
      </c>
      <c r="R81" s="103" t="str">
        <f t="shared" si="25"/>
        <v/>
      </c>
      <c r="S81" s="53">
        <v>0</v>
      </c>
      <c r="T81" s="102" t="str">
        <f t="shared" si="26"/>
        <v/>
      </c>
      <c r="U81" s="103" t="str">
        <f t="shared" si="27"/>
        <v/>
      </c>
      <c r="V81" s="53">
        <v>0</v>
      </c>
      <c r="W81" s="87" t="str">
        <f t="shared" si="28"/>
        <v/>
      </c>
      <c r="X81" s="103" t="str">
        <f t="shared" si="29"/>
        <v/>
      </c>
      <c r="Y81" s="53">
        <v>0</v>
      </c>
      <c r="Z81" s="56" t="str">
        <f t="shared" si="30"/>
        <v/>
      </c>
      <c r="AA81" s="56" t="str">
        <f t="shared" si="31"/>
        <v/>
      </c>
      <c r="AB81" s="56" t="str">
        <f t="shared" si="32"/>
        <v/>
      </c>
      <c r="AC81" s="56" t="str">
        <f t="shared" si="33"/>
        <v/>
      </c>
      <c r="AD81" s="56" t="str">
        <f t="shared" si="34"/>
        <v/>
      </c>
      <c r="AE81" s="40"/>
      <c r="AF81" s="40"/>
      <c r="AG81" s="40"/>
      <c r="AH81" s="56" t="str">
        <f t="shared" si="18"/>
        <v/>
      </c>
      <c r="AI81" s="54"/>
      <c r="AJ81" s="54"/>
      <c r="AK81" s="54"/>
      <c r="AL81" s="54"/>
      <c r="AM81" s="54"/>
    </row>
    <row r="82" spans="1:39">
      <c r="A82" s="45" t="str" cm="1">
        <f t="array" ref="A82">IF(H82="PROJECT", CHAR(10) &amp; "- " &amp; _xlfn.TEXTJOIN(CHAR(10) &amp; "- ", TRUE, _xlfn._xlws.FILTER($I$9:$I$1000, ($B$9:$B$1000=B82) * ($H$9:$H$1000="Topic"))), "")</f>
        <v/>
      </c>
      <c r="B82" s="45" t="str">
        <f t="shared" si="19"/>
        <v/>
      </c>
      <c r="C82" s="95"/>
      <c r="D82" s="57"/>
      <c r="E82" s="58"/>
      <c r="F82" s="54"/>
      <c r="G82" s="52"/>
      <c r="H82" s="52"/>
      <c r="I82" s="61"/>
      <c r="J82" s="62"/>
      <c r="K82" s="129" t="str">
        <f t="shared" si="20"/>
        <v/>
      </c>
      <c r="L82" s="103" t="str">
        <f t="shared" si="21"/>
        <v/>
      </c>
      <c r="M82" s="52">
        <v>0</v>
      </c>
      <c r="N82" s="102" t="str">
        <f t="shared" si="22"/>
        <v/>
      </c>
      <c r="O82" s="103" t="str">
        <f t="shared" si="23"/>
        <v/>
      </c>
      <c r="P82" s="52">
        <v>0</v>
      </c>
      <c r="Q82" s="102" t="str">
        <f t="shared" si="24"/>
        <v/>
      </c>
      <c r="R82" s="103" t="str">
        <f t="shared" si="25"/>
        <v/>
      </c>
      <c r="S82" s="52">
        <v>0</v>
      </c>
      <c r="T82" s="102" t="str">
        <f t="shared" si="26"/>
        <v/>
      </c>
      <c r="U82" s="103" t="str">
        <f t="shared" si="27"/>
        <v/>
      </c>
      <c r="V82" s="52">
        <v>0</v>
      </c>
      <c r="W82" s="87" t="str">
        <f t="shared" si="28"/>
        <v/>
      </c>
      <c r="X82" s="103" t="str">
        <f t="shared" si="29"/>
        <v/>
      </c>
      <c r="Y82" s="52">
        <v>0</v>
      </c>
      <c r="Z82" s="56" t="str">
        <f t="shared" si="30"/>
        <v/>
      </c>
      <c r="AA82" s="56" t="str">
        <f t="shared" si="31"/>
        <v/>
      </c>
      <c r="AB82" s="56" t="str">
        <f t="shared" si="32"/>
        <v/>
      </c>
      <c r="AC82" s="56" t="str">
        <f t="shared" si="33"/>
        <v/>
      </c>
      <c r="AD82" s="56" t="str">
        <f t="shared" si="34"/>
        <v/>
      </c>
      <c r="AE82" s="40"/>
      <c r="AF82" s="40"/>
      <c r="AG82" s="40"/>
      <c r="AH82" s="56" t="str">
        <f t="shared" si="18"/>
        <v/>
      </c>
      <c r="AI82" s="54"/>
      <c r="AJ82" s="54"/>
      <c r="AK82" s="54"/>
      <c r="AL82" s="54"/>
      <c r="AM82" s="54"/>
    </row>
    <row r="83" spans="1:39">
      <c r="A83" s="45" t="str" cm="1">
        <f t="array" ref="A83">IF(H83="PROJECT", CHAR(10) &amp; "- " &amp; _xlfn.TEXTJOIN(CHAR(10) &amp; "- ", TRUE, _xlfn._xlws.FILTER($I$9:$I$1000, ($B$9:$B$1000=B83) * ($H$9:$H$1000="Topic"))), "")</f>
        <v/>
      </c>
      <c r="B83" s="45" t="str">
        <f t="shared" si="19"/>
        <v/>
      </c>
      <c r="C83" s="95"/>
      <c r="D83" s="46"/>
      <c r="E83" s="58"/>
      <c r="F83" s="67"/>
      <c r="G83" s="53"/>
      <c r="H83" s="53"/>
      <c r="I83" s="50"/>
      <c r="J83" s="51"/>
      <c r="K83" s="129" t="str">
        <f t="shared" si="20"/>
        <v/>
      </c>
      <c r="L83" s="103" t="str">
        <f t="shared" si="21"/>
        <v/>
      </c>
      <c r="M83" s="53">
        <v>0</v>
      </c>
      <c r="N83" s="102" t="str">
        <f t="shared" si="22"/>
        <v/>
      </c>
      <c r="O83" s="103" t="str">
        <f t="shared" si="23"/>
        <v/>
      </c>
      <c r="P83" s="53">
        <v>0</v>
      </c>
      <c r="Q83" s="102" t="str">
        <f t="shared" si="24"/>
        <v/>
      </c>
      <c r="R83" s="103" t="str">
        <f t="shared" si="25"/>
        <v/>
      </c>
      <c r="S83" s="53">
        <v>0</v>
      </c>
      <c r="T83" s="102" t="str">
        <f t="shared" si="26"/>
        <v/>
      </c>
      <c r="U83" s="103" t="str">
        <f t="shared" si="27"/>
        <v/>
      </c>
      <c r="V83" s="53">
        <v>0</v>
      </c>
      <c r="W83" s="87" t="str">
        <f t="shared" si="28"/>
        <v/>
      </c>
      <c r="X83" s="103" t="str">
        <f t="shared" si="29"/>
        <v/>
      </c>
      <c r="Y83" s="53">
        <v>0</v>
      </c>
      <c r="Z83" s="56" t="str">
        <f t="shared" si="30"/>
        <v/>
      </c>
      <c r="AA83" s="56" t="str">
        <f t="shared" si="31"/>
        <v/>
      </c>
      <c r="AB83" s="56" t="str">
        <f t="shared" si="32"/>
        <v/>
      </c>
      <c r="AC83" s="56" t="str">
        <f t="shared" si="33"/>
        <v/>
      </c>
      <c r="AD83" s="56" t="str">
        <f t="shared" si="34"/>
        <v/>
      </c>
      <c r="AE83" s="40"/>
      <c r="AF83" s="40"/>
      <c r="AG83" s="40"/>
      <c r="AH83" s="56" t="str">
        <f t="shared" si="18"/>
        <v/>
      </c>
      <c r="AI83" s="54"/>
      <c r="AJ83" s="54"/>
      <c r="AK83" s="54"/>
      <c r="AL83" s="54"/>
      <c r="AM83" s="54"/>
    </row>
    <row r="84" spans="1:39">
      <c r="A84" s="45" t="str" cm="1">
        <f t="array" ref="A84">IF(H84="PROJECT", CHAR(10) &amp; "- " &amp; _xlfn.TEXTJOIN(CHAR(10) &amp; "- ", TRUE, _xlfn._xlws.FILTER($I$9:$I$1000, ($B$9:$B$1000=B84) * ($H$9:$H$1000="Topic"))), "")</f>
        <v/>
      </c>
      <c r="B84" s="45" t="str">
        <f t="shared" si="19"/>
        <v/>
      </c>
      <c r="C84" s="95"/>
      <c r="D84" s="57"/>
      <c r="E84" s="58"/>
      <c r="F84" s="54"/>
      <c r="G84" s="52"/>
      <c r="H84" s="52"/>
      <c r="I84" s="61"/>
      <c r="J84" s="62"/>
      <c r="K84" s="129" t="str">
        <f t="shared" si="20"/>
        <v/>
      </c>
      <c r="L84" s="103" t="str">
        <f t="shared" si="21"/>
        <v/>
      </c>
      <c r="M84" s="52">
        <v>0</v>
      </c>
      <c r="N84" s="102" t="str">
        <f t="shared" si="22"/>
        <v/>
      </c>
      <c r="O84" s="103" t="str">
        <f t="shared" si="23"/>
        <v/>
      </c>
      <c r="P84" s="52">
        <v>0</v>
      </c>
      <c r="Q84" s="102" t="str">
        <f t="shared" si="24"/>
        <v/>
      </c>
      <c r="R84" s="103" t="str">
        <f t="shared" si="25"/>
        <v/>
      </c>
      <c r="S84" s="52">
        <v>0</v>
      </c>
      <c r="T84" s="102" t="str">
        <f t="shared" si="26"/>
        <v/>
      </c>
      <c r="U84" s="103" t="str">
        <f t="shared" si="27"/>
        <v/>
      </c>
      <c r="V84" s="52">
        <v>0</v>
      </c>
      <c r="W84" s="87" t="str">
        <f t="shared" si="28"/>
        <v/>
      </c>
      <c r="X84" s="103" t="str">
        <f t="shared" si="29"/>
        <v/>
      </c>
      <c r="Y84" s="52">
        <v>0</v>
      </c>
      <c r="Z84" s="56" t="str">
        <f t="shared" si="30"/>
        <v/>
      </c>
      <c r="AA84" s="56" t="str">
        <f t="shared" si="31"/>
        <v/>
      </c>
      <c r="AB84" s="56" t="str">
        <f t="shared" si="32"/>
        <v/>
      </c>
      <c r="AC84" s="56" t="str">
        <f t="shared" si="33"/>
        <v/>
      </c>
      <c r="AD84" s="56" t="str">
        <f t="shared" si="34"/>
        <v/>
      </c>
      <c r="AE84" s="40"/>
      <c r="AF84" s="40"/>
      <c r="AG84" s="40"/>
      <c r="AH84" s="56" t="str">
        <f t="shared" si="18"/>
        <v/>
      </c>
      <c r="AI84" s="54"/>
      <c r="AJ84" s="54"/>
      <c r="AK84" s="54"/>
      <c r="AL84" s="54"/>
      <c r="AM84" s="54"/>
    </row>
    <row r="85" spans="1:39">
      <c r="A85" s="45" t="str" cm="1">
        <f t="array" ref="A85">IF(H85="PROJECT", CHAR(10) &amp; "- " &amp; _xlfn.TEXTJOIN(CHAR(10) &amp; "- ", TRUE, _xlfn._xlws.FILTER($I$9:$I$1000, ($B$9:$B$1000=B85) * ($H$9:$H$1000="Topic"))), "")</f>
        <v/>
      </c>
      <c r="B85" s="45" t="str">
        <f t="shared" si="19"/>
        <v/>
      </c>
      <c r="C85" s="95"/>
      <c r="D85" s="46"/>
      <c r="E85" s="58"/>
      <c r="F85" s="67"/>
      <c r="G85" s="53"/>
      <c r="H85" s="53"/>
      <c r="I85" s="50"/>
      <c r="J85" s="51"/>
      <c r="K85" s="129" t="str">
        <f t="shared" si="20"/>
        <v/>
      </c>
      <c r="L85" s="103" t="str">
        <f t="shared" si="21"/>
        <v/>
      </c>
      <c r="M85" s="53">
        <v>0</v>
      </c>
      <c r="N85" s="102" t="str">
        <f t="shared" si="22"/>
        <v/>
      </c>
      <c r="O85" s="103" t="str">
        <f t="shared" si="23"/>
        <v/>
      </c>
      <c r="P85" s="53">
        <v>0</v>
      </c>
      <c r="Q85" s="102" t="str">
        <f t="shared" si="24"/>
        <v/>
      </c>
      <c r="R85" s="103" t="str">
        <f t="shared" si="25"/>
        <v/>
      </c>
      <c r="S85" s="53">
        <v>0</v>
      </c>
      <c r="T85" s="102" t="str">
        <f t="shared" si="26"/>
        <v/>
      </c>
      <c r="U85" s="103" t="str">
        <f t="shared" si="27"/>
        <v/>
      </c>
      <c r="V85" s="53">
        <v>0</v>
      </c>
      <c r="W85" s="87" t="str">
        <f t="shared" si="28"/>
        <v/>
      </c>
      <c r="X85" s="103" t="str">
        <f t="shared" si="29"/>
        <v/>
      </c>
      <c r="Y85" s="53">
        <v>0</v>
      </c>
      <c r="Z85" s="56" t="str">
        <f t="shared" si="30"/>
        <v/>
      </c>
      <c r="AA85" s="56" t="str">
        <f t="shared" si="31"/>
        <v/>
      </c>
      <c r="AB85" s="56" t="str">
        <f t="shared" si="32"/>
        <v/>
      </c>
      <c r="AC85" s="56" t="str">
        <f t="shared" si="33"/>
        <v/>
      </c>
      <c r="AD85" s="56" t="str">
        <f t="shared" si="34"/>
        <v/>
      </c>
      <c r="AE85" s="40"/>
      <c r="AF85" s="40"/>
      <c r="AG85" s="40"/>
      <c r="AH85" s="56" t="str">
        <f t="shared" si="18"/>
        <v/>
      </c>
      <c r="AI85" s="54"/>
      <c r="AJ85" s="54"/>
      <c r="AK85" s="54"/>
      <c r="AL85" s="54"/>
      <c r="AM85" s="54"/>
    </row>
    <row r="86" spans="1:39">
      <c r="A86" s="45" t="str" cm="1">
        <f t="array" ref="A86">IF(H86="PROJECT", CHAR(10) &amp; "- " &amp; _xlfn.TEXTJOIN(CHAR(10) &amp; "- ", TRUE, _xlfn._xlws.FILTER($I$9:$I$1000, ($B$9:$B$1000=B86) * ($H$9:$H$1000="Topic"))), "")</f>
        <v/>
      </c>
      <c r="B86" s="45" t="str">
        <f t="shared" si="19"/>
        <v/>
      </c>
      <c r="C86" s="95"/>
      <c r="D86" s="57"/>
      <c r="E86" s="58"/>
      <c r="F86" s="54"/>
      <c r="G86" s="52"/>
      <c r="H86" s="52"/>
      <c r="I86" s="61"/>
      <c r="J86" s="62"/>
      <c r="K86" s="129" t="str">
        <f t="shared" si="20"/>
        <v/>
      </c>
      <c r="L86" s="103" t="str">
        <f t="shared" si="21"/>
        <v/>
      </c>
      <c r="M86" s="52">
        <v>0</v>
      </c>
      <c r="N86" s="102" t="str">
        <f t="shared" si="22"/>
        <v/>
      </c>
      <c r="O86" s="103" t="str">
        <f t="shared" si="23"/>
        <v/>
      </c>
      <c r="P86" s="52">
        <v>0</v>
      </c>
      <c r="Q86" s="102" t="str">
        <f t="shared" si="24"/>
        <v/>
      </c>
      <c r="R86" s="103" t="str">
        <f t="shared" si="25"/>
        <v/>
      </c>
      <c r="S86" s="52">
        <v>0</v>
      </c>
      <c r="T86" s="102" t="str">
        <f t="shared" si="26"/>
        <v/>
      </c>
      <c r="U86" s="103" t="str">
        <f t="shared" si="27"/>
        <v/>
      </c>
      <c r="V86" s="52">
        <v>0</v>
      </c>
      <c r="W86" s="87" t="str">
        <f t="shared" si="28"/>
        <v/>
      </c>
      <c r="X86" s="103" t="str">
        <f t="shared" si="29"/>
        <v/>
      </c>
      <c r="Y86" s="52">
        <v>0</v>
      </c>
      <c r="Z86" s="56" t="str">
        <f t="shared" si="30"/>
        <v/>
      </c>
      <c r="AA86" s="56" t="str">
        <f t="shared" si="31"/>
        <v/>
      </c>
      <c r="AB86" s="56" t="str">
        <f t="shared" si="32"/>
        <v/>
      </c>
      <c r="AC86" s="56" t="str">
        <f t="shared" si="33"/>
        <v/>
      </c>
      <c r="AD86" s="56" t="str">
        <f t="shared" si="34"/>
        <v/>
      </c>
      <c r="AE86" s="40"/>
      <c r="AF86" s="40"/>
      <c r="AG86" s="40"/>
      <c r="AH86" s="56" t="str">
        <f t="shared" si="18"/>
        <v/>
      </c>
      <c r="AI86" s="54"/>
      <c r="AJ86" s="54"/>
      <c r="AK86" s="54"/>
      <c r="AL86" s="54"/>
      <c r="AM86" s="54"/>
    </row>
    <row r="87" spans="1:39">
      <c r="A87" s="45" t="str" cm="1">
        <f t="array" ref="A87">IF(H87="PROJECT", CHAR(10) &amp; "- " &amp; _xlfn.TEXTJOIN(CHAR(10) &amp; "- ", TRUE, _xlfn._xlws.FILTER($I$9:$I$1000, ($B$9:$B$1000=B87) * ($H$9:$H$1000="Topic"))), "")</f>
        <v/>
      </c>
      <c r="B87" s="45" t="str">
        <f t="shared" si="19"/>
        <v/>
      </c>
      <c r="C87" s="95"/>
      <c r="D87" s="46"/>
      <c r="E87" s="58"/>
      <c r="F87" s="67"/>
      <c r="G87" s="53"/>
      <c r="H87" s="53"/>
      <c r="I87" s="50"/>
      <c r="J87" s="51"/>
      <c r="K87" s="129" t="str">
        <f t="shared" si="20"/>
        <v/>
      </c>
      <c r="L87" s="103" t="str">
        <f t="shared" si="21"/>
        <v/>
      </c>
      <c r="M87" s="53">
        <v>0</v>
      </c>
      <c r="N87" s="102" t="str">
        <f t="shared" si="22"/>
        <v/>
      </c>
      <c r="O87" s="103" t="str">
        <f t="shared" si="23"/>
        <v/>
      </c>
      <c r="P87" s="53">
        <v>0</v>
      </c>
      <c r="Q87" s="102" t="str">
        <f t="shared" si="24"/>
        <v/>
      </c>
      <c r="R87" s="103" t="str">
        <f t="shared" si="25"/>
        <v/>
      </c>
      <c r="S87" s="53">
        <v>0</v>
      </c>
      <c r="T87" s="102" t="str">
        <f t="shared" si="26"/>
        <v/>
      </c>
      <c r="U87" s="103" t="str">
        <f t="shared" si="27"/>
        <v/>
      </c>
      <c r="V87" s="53">
        <v>0</v>
      </c>
      <c r="W87" s="87" t="str">
        <f t="shared" si="28"/>
        <v/>
      </c>
      <c r="X87" s="103" t="str">
        <f t="shared" si="29"/>
        <v/>
      </c>
      <c r="Y87" s="53">
        <v>0</v>
      </c>
      <c r="Z87" s="56" t="str">
        <f t="shared" si="30"/>
        <v/>
      </c>
      <c r="AA87" s="56" t="str">
        <f t="shared" si="31"/>
        <v/>
      </c>
      <c r="AB87" s="56" t="str">
        <f t="shared" si="32"/>
        <v/>
      </c>
      <c r="AC87" s="56" t="str">
        <f t="shared" si="33"/>
        <v/>
      </c>
      <c r="AD87" s="56" t="str">
        <f t="shared" si="34"/>
        <v/>
      </c>
      <c r="AE87" s="40"/>
      <c r="AF87" s="40"/>
      <c r="AG87" s="40"/>
      <c r="AH87" s="56" t="str">
        <f t="shared" si="18"/>
        <v/>
      </c>
      <c r="AI87" s="54"/>
      <c r="AJ87" s="54"/>
      <c r="AK87" s="54"/>
      <c r="AL87" s="54"/>
      <c r="AM87" s="54"/>
    </row>
    <row r="88" spans="1:39">
      <c r="A88" s="45" t="str" cm="1">
        <f t="array" ref="A88">IF(H88="PROJECT", CHAR(10) &amp; "- " &amp; _xlfn.TEXTJOIN(CHAR(10) &amp; "- ", TRUE, _xlfn._xlws.FILTER($I$9:$I$1000, ($B$9:$B$1000=B88) * ($H$9:$H$1000="Topic"))), "")</f>
        <v/>
      </c>
      <c r="B88" s="45" t="str">
        <f t="shared" si="19"/>
        <v/>
      </c>
      <c r="C88" s="95"/>
      <c r="D88" s="57"/>
      <c r="E88" s="58"/>
      <c r="F88" s="54"/>
      <c r="G88" s="52"/>
      <c r="H88" s="52"/>
      <c r="I88" s="61"/>
      <c r="J88" s="62"/>
      <c r="K88" s="129" t="str">
        <f t="shared" si="20"/>
        <v/>
      </c>
      <c r="L88" s="103" t="str">
        <f t="shared" si="21"/>
        <v/>
      </c>
      <c r="M88" s="52">
        <v>0</v>
      </c>
      <c r="N88" s="102" t="str">
        <f t="shared" si="22"/>
        <v/>
      </c>
      <c r="O88" s="103" t="str">
        <f t="shared" si="23"/>
        <v/>
      </c>
      <c r="P88" s="52">
        <v>0</v>
      </c>
      <c r="Q88" s="102" t="str">
        <f t="shared" si="24"/>
        <v/>
      </c>
      <c r="R88" s="103" t="str">
        <f t="shared" si="25"/>
        <v/>
      </c>
      <c r="S88" s="52">
        <v>0</v>
      </c>
      <c r="T88" s="102" t="str">
        <f t="shared" si="26"/>
        <v/>
      </c>
      <c r="U88" s="103" t="str">
        <f t="shared" si="27"/>
        <v/>
      </c>
      <c r="V88" s="52">
        <v>0</v>
      </c>
      <c r="W88" s="87" t="str">
        <f t="shared" si="28"/>
        <v/>
      </c>
      <c r="X88" s="103" t="str">
        <f t="shared" si="29"/>
        <v/>
      </c>
      <c r="Y88" s="52">
        <v>0</v>
      </c>
      <c r="Z88" s="56" t="str">
        <f t="shared" si="30"/>
        <v/>
      </c>
      <c r="AA88" s="56" t="str">
        <f t="shared" si="31"/>
        <v/>
      </c>
      <c r="AB88" s="56" t="str">
        <f t="shared" si="32"/>
        <v/>
      </c>
      <c r="AC88" s="56" t="str">
        <f t="shared" si="33"/>
        <v/>
      </c>
      <c r="AD88" s="56" t="str">
        <f t="shared" si="34"/>
        <v/>
      </c>
      <c r="AE88" s="40"/>
      <c r="AF88" s="40"/>
      <c r="AG88" s="40"/>
      <c r="AH88" s="56" t="str">
        <f t="shared" si="18"/>
        <v/>
      </c>
      <c r="AI88" s="54"/>
      <c r="AJ88" s="54"/>
      <c r="AK88" s="54"/>
      <c r="AL88" s="54"/>
      <c r="AM88" s="54"/>
    </row>
    <row r="89" spans="1:39">
      <c r="A89" s="45" t="str" cm="1">
        <f t="array" ref="A89">IF(H89="PROJECT", CHAR(10) &amp; "- " &amp; _xlfn.TEXTJOIN(CHAR(10) &amp; "- ", TRUE, _xlfn._xlws.FILTER($I$9:$I$1000, ($B$9:$B$1000=B89) * ($H$9:$H$1000="Topic"))), "")</f>
        <v/>
      </c>
      <c r="B89" s="45" t="str">
        <f t="shared" si="19"/>
        <v/>
      </c>
      <c r="C89" s="95"/>
      <c r="D89" s="46"/>
      <c r="E89" s="58"/>
      <c r="F89" s="67"/>
      <c r="G89" s="53"/>
      <c r="H89" s="53"/>
      <c r="I89" s="50"/>
      <c r="J89" s="51"/>
      <c r="K89" s="129" t="str">
        <f t="shared" si="20"/>
        <v/>
      </c>
      <c r="L89" s="103" t="str">
        <f t="shared" si="21"/>
        <v/>
      </c>
      <c r="M89" s="53">
        <v>0</v>
      </c>
      <c r="N89" s="102" t="str">
        <f t="shared" si="22"/>
        <v/>
      </c>
      <c r="O89" s="103" t="str">
        <f t="shared" si="23"/>
        <v/>
      </c>
      <c r="P89" s="53">
        <v>0</v>
      </c>
      <c r="Q89" s="102" t="str">
        <f t="shared" si="24"/>
        <v/>
      </c>
      <c r="R89" s="103" t="str">
        <f t="shared" si="25"/>
        <v/>
      </c>
      <c r="S89" s="53">
        <v>0</v>
      </c>
      <c r="T89" s="102" t="str">
        <f t="shared" si="26"/>
        <v/>
      </c>
      <c r="U89" s="103" t="str">
        <f t="shared" si="27"/>
        <v/>
      </c>
      <c r="V89" s="53">
        <v>0</v>
      </c>
      <c r="W89" s="87" t="str">
        <f t="shared" si="28"/>
        <v/>
      </c>
      <c r="X89" s="103" t="str">
        <f t="shared" si="29"/>
        <v/>
      </c>
      <c r="Y89" s="53">
        <v>0</v>
      </c>
      <c r="Z89" s="56" t="str">
        <f t="shared" si="30"/>
        <v/>
      </c>
      <c r="AA89" s="56" t="str">
        <f t="shared" si="31"/>
        <v/>
      </c>
      <c r="AB89" s="56" t="str">
        <f t="shared" si="32"/>
        <v/>
      </c>
      <c r="AC89" s="56" t="str">
        <f t="shared" si="33"/>
        <v/>
      </c>
      <c r="AD89" s="56" t="str">
        <f t="shared" si="34"/>
        <v/>
      </c>
      <c r="AE89" s="40"/>
      <c r="AF89" s="40"/>
      <c r="AG89" s="40"/>
      <c r="AH89" s="56" t="str">
        <f t="shared" si="18"/>
        <v/>
      </c>
      <c r="AI89" s="54"/>
      <c r="AJ89" s="54"/>
      <c r="AK89" s="54"/>
      <c r="AL89" s="54"/>
      <c r="AM89" s="54"/>
    </row>
    <row r="90" spans="1:39">
      <c r="A90" s="45" t="str" cm="1">
        <f t="array" ref="A90">IF(H90="PROJECT", CHAR(10) &amp; "- " &amp; _xlfn.TEXTJOIN(CHAR(10) &amp; "- ", TRUE, _xlfn._xlws.FILTER($I$9:$I$1000, ($B$9:$B$1000=B90) * ($H$9:$H$1000="Topic"))), "")</f>
        <v/>
      </c>
      <c r="B90" s="45" t="str">
        <f t="shared" si="19"/>
        <v/>
      </c>
      <c r="C90" s="95"/>
      <c r="D90" s="57"/>
      <c r="E90" s="58"/>
      <c r="F90" s="54"/>
      <c r="G90" s="52"/>
      <c r="H90" s="52"/>
      <c r="I90" s="61"/>
      <c r="J90" s="62"/>
      <c r="K90" s="129" t="str">
        <f t="shared" si="20"/>
        <v/>
      </c>
      <c r="L90" s="103" t="str">
        <f t="shared" si="21"/>
        <v/>
      </c>
      <c r="M90" s="52">
        <v>0</v>
      </c>
      <c r="N90" s="102" t="str">
        <f t="shared" si="22"/>
        <v/>
      </c>
      <c r="O90" s="103" t="str">
        <f t="shared" si="23"/>
        <v/>
      </c>
      <c r="P90" s="52">
        <v>0</v>
      </c>
      <c r="Q90" s="102" t="str">
        <f t="shared" si="24"/>
        <v/>
      </c>
      <c r="R90" s="103" t="str">
        <f t="shared" si="25"/>
        <v/>
      </c>
      <c r="S90" s="52">
        <v>0</v>
      </c>
      <c r="T90" s="102" t="str">
        <f t="shared" si="26"/>
        <v/>
      </c>
      <c r="U90" s="103" t="str">
        <f t="shared" si="27"/>
        <v/>
      </c>
      <c r="V90" s="52">
        <v>0</v>
      </c>
      <c r="W90" s="87" t="str">
        <f t="shared" si="28"/>
        <v/>
      </c>
      <c r="X90" s="103" t="str">
        <f t="shared" si="29"/>
        <v/>
      </c>
      <c r="Y90" s="52">
        <v>0</v>
      </c>
      <c r="Z90" s="56" t="str">
        <f t="shared" si="30"/>
        <v/>
      </c>
      <c r="AA90" s="56" t="str">
        <f t="shared" si="31"/>
        <v/>
      </c>
      <c r="AB90" s="56" t="str">
        <f t="shared" si="32"/>
        <v/>
      </c>
      <c r="AC90" s="56" t="str">
        <f t="shared" si="33"/>
        <v/>
      </c>
      <c r="AD90" s="56" t="str">
        <f t="shared" si="34"/>
        <v/>
      </c>
      <c r="AE90" s="40"/>
      <c r="AF90" s="40"/>
      <c r="AG90" s="40"/>
      <c r="AH90" s="56" t="str">
        <f t="shared" si="18"/>
        <v/>
      </c>
      <c r="AI90" s="54"/>
      <c r="AJ90" s="54"/>
      <c r="AK90" s="54"/>
      <c r="AL90" s="54"/>
      <c r="AM90" s="54"/>
    </row>
    <row r="91" spans="1:39">
      <c r="A91" s="45" t="str" cm="1">
        <f t="array" ref="A91">IF(H91="PROJECT", CHAR(10) &amp; "- " &amp; _xlfn.TEXTJOIN(CHAR(10) &amp; "- ", TRUE, _xlfn._xlws.FILTER($I$9:$I$1000, ($B$9:$B$1000=B91) * ($H$9:$H$1000="Topic"))), "")</f>
        <v/>
      </c>
      <c r="B91" s="45" t="str">
        <f t="shared" si="19"/>
        <v/>
      </c>
      <c r="C91" s="95"/>
      <c r="D91" s="46"/>
      <c r="E91" s="58"/>
      <c r="F91" s="67"/>
      <c r="G91" s="53"/>
      <c r="H91" s="53"/>
      <c r="I91" s="50"/>
      <c r="J91" s="51"/>
      <c r="K91" s="129" t="str">
        <f t="shared" si="20"/>
        <v/>
      </c>
      <c r="L91" s="103" t="str">
        <f t="shared" si="21"/>
        <v/>
      </c>
      <c r="M91" s="53">
        <v>0</v>
      </c>
      <c r="N91" s="102" t="str">
        <f t="shared" si="22"/>
        <v/>
      </c>
      <c r="O91" s="103" t="str">
        <f t="shared" si="23"/>
        <v/>
      </c>
      <c r="P91" s="53">
        <v>0</v>
      </c>
      <c r="Q91" s="102" t="str">
        <f t="shared" si="24"/>
        <v/>
      </c>
      <c r="R91" s="103" t="str">
        <f t="shared" si="25"/>
        <v/>
      </c>
      <c r="S91" s="53">
        <v>0</v>
      </c>
      <c r="T91" s="102" t="str">
        <f t="shared" si="26"/>
        <v/>
      </c>
      <c r="U91" s="103" t="str">
        <f t="shared" si="27"/>
        <v/>
      </c>
      <c r="V91" s="53">
        <v>0</v>
      </c>
      <c r="W91" s="87" t="str">
        <f t="shared" si="28"/>
        <v/>
      </c>
      <c r="X91" s="103" t="str">
        <f t="shared" si="29"/>
        <v/>
      </c>
      <c r="Y91" s="53">
        <v>0</v>
      </c>
      <c r="Z91" s="56" t="str">
        <f t="shared" si="30"/>
        <v/>
      </c>
      <c r="AA91" s="56" t="str">
        <f t="shared" si="31"/>
        <v/>
      </c>
      <c r="AB91" s="56" t="str">
        <f t="shared" si="32"/>
        <v/>
      </c>
      <c r="AC91" s="56" t="str">
        <f t="shared" si="33"/>
        <v/>
      </c>
      <c r="AD91" s="56" t="str">
        <f t="shared" si="34"/>
        <v/>
      </c>
      <c r="AE91" s="40"/>
      <c r="AF91" s="40"/>
      <c r="AG91" s="40"/>
      <c r="AH91" s="56" t="str">
        <f t="shared" si="18"/>
        <v/>
      </c>
      <c r="AI91" s="54"/>
      <c r="AJ91" s="54"/>
      <c r="AK91" s="54"/>
      <c r="AL91" s="54"/>
      <c r="AM91" s="54"/>
    </row>
    <row r="92" spans="1:39">
      <c r="A92" s="45" t="str" cm="1">
        <f t="array" ref="A92">IF(H92="PROJECT", CHAR(10) &amp; "- " &amp; _xlfn.TEXTJOIN(CHAR(10) &amp; "- ", TRUE, _xlfn._xlws.FILTER($I$9:$I$1000, ($B$9:$B$1000=B92) * ($H$9:$H$1000="Topic"))), "")</f>
        <v/>
      </c>
      <c r="B92" s="45" t="str">
        <f t="shared" si="19"/>
        <v/>
      </c>
      <c r="C92" s="95"/>
      <c r="D92" s="57"/>
      <c r="E92" s="58"/>
      <c r="F92" s="54"/>
      <c r="G92" s="52"/>
      <c r="H92" s="52"/>
      <c r="I92" s="61"/>
      <c r="J92" s="62"/>
      <c r="K92" s="129" t="str">
        <f t="shared" si="20"/>
        <v/>
      </c>
      <c r="L92" s="103" t="str">
        <f t="shared" si="21"/>
        <v/>
      </c>
      <c r="M92" s="52">
        <v>0</v>
      </c>
      <c r="N92" s="102" t="str">
        <f t="shared" si="22"/>
        <v/>
      </c>
      <c r="O92" s="103" t="str">
        <f t="shared" si="23"/>
        <v/>
      </c>
      <c r="P92" s="52">
        <v>0</v>
      </c>
      <c r="Q92" s="102" t="str">
        <f t="shared" si="24"/>
        <v/>
      </c>
      <c r="R92" s="103" t="str">
        <f t="shared" si="25"/>
        <v/>
      </c>
      <c r="S92" s="52">
        <v>0</v>
      </c>
      <c r="T92" s="102" t="str">
        <f t="shared" si="26"/>
        <v/>
      </c>
      <c r="U92" s="103" t="str">
        <f t="shared" si="27"/>
        <v/>
      </c>
      <c r="V92" s="52">
        <v>0</v>
      </c>
      <c r="W92" s="87" t="str">
        <f t="shared" si="28"/>
        <v/>
      </c>
      <c r="X92" s="103" t="str">
        <f t="shared" si="29"/>
        <v/>
      </c>
      <c r="Y92" s="52">
        <v>0</v>
      </c>
      <c r="Z92" s="56" t="str">
        <f t="shared" si="30"/>
        <v/>
      </c>
      <c r="AA92" s="56" t="str">
        <f t="shared" si="31"/>
        <v/>
      </c>
      <c r="AB92" s="56" t="str">
        <f t="shared" si="32"/>
        <v/>
      </c>
      <c r="AC92" s="56" t="str">
        <f t="shared" si="33"/>
        <v/>
      </c>
      <c r="AD92" s="56" t="str">
        <f t="shared" si="34"/>
        <v/>
      </c>
      <c r="AE92" s="40"/>
      <c r="AF92" s="40"/>
      <c r="AG92" s="40"/>
      <c r="AH92" s="56" t="str">
        <f t="shared" si="18"/>
        <v/>
      </c>
      <c r="AI92" s="54"/>
      <c r="AJ92" s="54"/>
      <c r="AK92" s="54"/>
      <c r="AL92" s="54"/>
      <c r="AM92" s="54"/>
    </row>
    <row r="93" spans="1:39">
      <c r="A93" s="45" t="str" cm="1">
        <f t="array" ref="A93">IF(H93="PROJECT", CHAR(10) &amp; "- " &amp; _xlfn.TEXTJOIN(CHAR(10) &amp; "- ", TRUE, _xlfn._xlws.FILTER($I$9:$I$1000, ($B$9:$B$1000=B93) * ($H$9:$H$1000="Topic"))), "")</f>
        <v/>
      </c>
      <c r="B93" s="45" t="str">
        <f t="shared" si="19"/>
        <v/>
      </c>
      <c r="C93" s="95"/>
      <c r="D93" s="46"/>
      <c r="E93" s="58"/>
      <c r="F93" s="67"/>
      <c r="G93" s="53"/>
      <c r="H93" s="53"/>
      <c r="I93" s="50"/>
      <c r="J93" s="51"/>
      <c r="K93" s="129" t="str">
        <f t="shared" si="20"/>
        <v/>
      </c>
      <c r="L93" s="103" t="str">
        <f t="shared" si="21"/>
        <v/>
      </c>
      <c r="M93" s="53">
        <v>0</v>
      </c>
      <c r="N93" s="102" t="str">
        <f t="shared" si="22"/>
        <v/>
      </c>
      <c r="O93" s="103" t="str">
        <f t="shared" si="23"/>
        <v/>
      </c>
      <c r="P93" s="53">
        <v>0</v>
      </c>
      <c r="Q93" s="102" t="str">
        <f t="shared" si="24"/>
        <v/>
      </c>
      <c r="R93" s="103" t="str">
        <f t="shared" si="25"/>
        <v/>
      </c>
      <c r="S93" s="53">
        <v>0</v>
      </c>
      <c r="T93" s="102" t="str">
        <f t="shared" si="26"/>
        <v/>
      </c>
      <c r="U93" s="103" t="str">
        <f t="shared" si="27"/>
        <v/>
      </c>
      <c r="V93" s="53">
        <v>0</v>
      </c>
      <c r="W93" s="87" t="str">
        <f t="shared" si="28"/>
        <v/>
      </c>
      <c r="X93" s="103" t="str">
        <f t="shared" si="29"/>
        <v/>
      </c>
      <c r="Y93" s="53">
        <v>0</v>
      </c>
      <c r="Z93" s="56" t="str">
        <f t="shared" si="30"/>
        <v/>
      </c>
      <c r="AA93" s="56" t="str">
        <f t="shared" si="31"/>
        <v/>
      </c>
      <c r="AB93" s="56" t="str">
        <f t="shared" si="32"/>
        <v/>
      </c>
      <c r="AC93" s="56" t="str">
        <f t="shared" si="33"/>
        <v/>
      </c>
      <c r="AD93" s="56" t="str">
        <f t="shared" si="34"/>
        <v/>
      </c>
      <c r="AE93" s="40"/>
      <c r="AF93" s="40"/>
      <c r="AG93" s="40"/>
      <c r="AH93" s="56" t="str">
        <f t="shared" si="18"/>
        <v/>
      </c>
      <c r="AI93" s="54"/>
      <c r="AJ93" s="54"/>
      <c r="AK93" s="54"/>
      <c r="AL93" s="54"/>
      <c r="AM93" s="54"/>
    </row>
    <row r="94" spans="1:39">
      <c r="A94" s="45" t="str" cm="1">
        <f t="array" ref="A94">IF(H94="PROJECT", CHAR(10) &amp; "- " &amp; _xlfn.TEXTJOIN(CHAR(10) &amp; "- ", TRUE, _xlfn._xlws.FILTER($I$9:$I$1000, ($B$9:$B$1000=B94) * ($H$9:$H$1000="Topic"))), "")</f>
        <v/>
      </c>
      <c r="B94" s="45" t="str">
        <f t="shared" si="19"/>
        <v/>
      </c>
      <c r="C94" s="95"/>
      <c r="D94" s="57"/>
      <c r="E94" s="58"/>
      <c r="F94" s="54"/>
      <c r="G94" s="52"/>
      <c r="H94" s="52"/>
      <c r="I94" s="61"/>
      <c r="J94" s="62"/>
      <c r="K94" s="129" t="str">
        <f t="shared" si="20"/>
        <v/>
      </c>
      <c r="L94" s="103" t="str">
        <f t="shared" si="21"/>
        <v/>
      </c>
      <c r="M94" s="52">
        <v>0</v>
      </c>
      <c r="N94" s="102" t="str">
        <f t="shared" si="22"/>
        <v/>
      </c>
      <c r="O94" s="103" t="str">
        <f t="shared" si="23"/>
        <v/>
      </c>
      <c r="P94" s="52">
        <v>0</v>
      </c>
      <c r="Q94" s="102" t="str">
        <f t="shared" si="24"/>
        <v/>
      </c>
      <c r="R94" s="103" t="str">
        <f t="shared" si="25"/>
        <v/>
      </c>
      <c r="S94" s="52">
        <v>0</v>
      </c>
      <c r="T94" s="102" t="str">
        <f t="shared" si="26"/>
        <v/>
      </c>
      <c r="U94" s="103" t="str">
        <f t="shared" si="27"/>
        <v/>
      </c>
      <c r="V94" s="52">
        <v>0</v>
      </c>
      <c r="W94" s="87" t="str">
        <f t="shared" si="28"/>
        <v/>
      </c>
      <c r="X94" s="103" t="str">
        <f t="shared" si="29"/>
        <v/>
      </c>
      <c r="Y94" s="52">
        <v>0</v>
      </c>
      <c r="Z94" s="56" t="str">
        <f t="shared" si="30"/>
        <v/>
      </c>
      <c r="AA94" s="56" t="str">
        <f t="shared" si="31"/>
        <v/>
      </c>
      <c r="AB94" s="56" t="str">
        <f t="shared" si="32"/>
        <v/>
      </c>
      <c r="AC94" s="56" t="str">
        <f t="shared" si="33"/>
        <v/>
      </c>
      <c r="AD94" s="56" t="str">
        <f t="shared" si="34"/>
        <v/>
      </c>
      <c r="AE94" s="40"/>
      <c r="AF94" s="40"/>
      <c r="AG94" s="40"/>
      <c r="AH94" s="56" t="str">
        <f t="shared" si="18"/>
        <v/>
      </c>
      <c r="AI94" s="54"/>
      <c r="AJ94" s="54"/>
      <c r="AK94" s="54"/>
      <c r="AL94" s="54"/>
      <c r="AM94" s="54"/>
    </row>
    <row r="95" spans="1:39">
      <c r="A95" s="45" t="str" cm="1">
        <f t="array" ref="A95">IF(H95="PROJECT", CHAR(10) &amp; "- " &amp; _xlfn.TEXTJOIN(CHAR(10) &amp; "- ", TRUE, _xlfn._xlws.FILTER($I$9:$I$1000, ($B$9:$B$1000=B95) * ($H$9:$H$1000="Topic"))), "")</f>
        <v/>
      </c>
      <c r="B95" s="45" t="str">
        <f t="shared" si="19"/>
        <v/>
      </c>
      <c r="C95" s="95"/>
      <c r="D95" s="46"/>
      <c r="E95" s="58"/>
      <c r="F95" s="67"/>
      <c r="G95" s="53"/>
      <c r="H95" s="53"/>
      <c r="I95" s="50"/>
      <c r="J95" s="51"/>
      <c r="K95" s="129" t="str">
        <f t="shared" si="20"/>
        <v/>
      </c>
      <c r="L95" s="103" t="str">
        <f t="shared" si="21"/>
        <v/>
      </c>
      <c r="M95" s="53">
        <v>0</v>
      </c>
      <c r="N95" s="102" t="str">
        <f t="shared" si="22"/>
        <v/>
      </c>
      <c r="O95" s="103" t="str">
        <f t="shared" si="23"/>
        <v/>
      </c>
      <c r="P95" s="53">
        <v>0</v>
      </c>
      <c r="Q95" s="102" t="str">
        <f t="shared" si="24"/>
        <v/>
      </c>
      <c r="R95" s="103" t="str">
        <f t="shared" si="25"/>
        <v/>
      </c>
      <c r="S95" s="53">
        <v>0</v>
      </c>
      <c r="T95" s="102" t="str">
        <f t="shared" si="26"/>
        <v/>
      </c>
      <c r="U95" s="103" t="str">
        <f t="shared" si="27"/>
        <v/>
      </c>
      <c r="V95" s="53">
        <v>0</v>
      </c>
      <c r="W95" s="87" t="str">
        <f t="shared" si="28"/>
        <v/>
      </c>
      <c r="X95" s="103" t="str">
        <f t="shared" si="29"/>
        <v/>
      </c>
      <c r="Y95" s="53">
        <v>0</v>
      </c>
      <c r="Z95" s="56" t="str">
        <f t="shared" si="30"/>
        <v/>
      </c>
      <c r="AA95" s="56" t="str">
        <f t="shared" si="31"/>
        <v/>
      </c>
      <c r="AB95" s="56" t="str">
        <f t="shared" si="32"/>
        <v/>
      </c>
      <c r="AC95" s="56" t="str">
        <f t="shared" si="33"/>
        <v/>
      </c>
      <c r="AD95" s="56" t="str">
        <f t="shared" si="34"/>
        <v/>
      </c>
      <c r="AE95" s="40"/>
      <c r="AF95" s="40"/>
      <c r="AG95" s="40"/>
      <c r="AH95" s="56" t="str">
        <f t="shared" si="18"/>
        <v/>
      </c>
      <c r="AI95" s="54"/>
      <c r="AJ95" s="54"/>
      <c r="AK95" s="54"/>
      <c r="AL95" s="54"/>
      <c r="AM95" s="54"/>
    </row>
    <row r="96" spans="1:39">
      <c r="A96" s="45" t="str" cm="1">
        <f t="array" ref="A96">IF(H96="PROJECT", CHAR(10) &amp; "- " &amp; _xlfn.TEXTJOIN(CHAR(10) &amp; "- ", TRUE, _xlfn._xlws.FILTER($I$9:$I$1000, ($B$9:$B$1000=B96) * ($H$9:$H$1000="Topic"))), "")</f>
        <v/>
      </c>
      <c r="B96" s="45" t="str">
        <f t="shared" si="19"/>
        <v/>
      </c>
      <c r="C96" s="95"/>
      <c r="D96" s="57"/>
      <c r="E96" s="58"/>
      <c r="F96" s="54"/>
      <c r="G96" s="52"/>
      <c r="H96" s="52"/>
      <c r="I96" s="61"/>
      <c r="J96" s="62"/>
      <c r="K96" s="129" t="str">
        <f t="shared" si="20"/>
        <v/>
      </c>
      <c r="L96" s="103" t="str">
        <f t="shared" si="21"/>
        <v/>
      </c>
      <c r="M96" s="52">
        <v>0</v>
      </c>
      <c r="N96" s="102" t="str">
        <f t="shared" si="22"/>
        <v/>
      </c>
      <c r="O96" s="103" t="str">
        <f t="shared" si="23"/>
        <v/>
      </c>
      <c r="P96" s="52">
        <v>0</v>
      </c>
      <c r="Q96" s="102" t="str">
        <f t="shared" si="24"/>
        <v/>
      </c>
      <c r="R96" s="103" t="str">
        <f t="shared" si="25"/>
        <v/>
      </c>
      <c r="S96" s="52">
        <v>0</v>
      </c>
      <c r="T96" s="102" t="str">
        <f t="shared" si="26"/>
        <v/>
      </c>
      <c r="U96" s="103" t="str">
        <f t="shared" si="27"/>
        <v/>
      </c>
      <c r="V96" s="52">
        <v>0</v>
      </c>
      <c r="W96" s="87" t="str">
        <f t="shared" si="28"/>
        <v/>
      </c>
      <c r="X96" s="103" t="str">
        <f t="shared" si="29"/>
        <v/>
      </c>
      <c r="Y96" s="52">
        <v>0</v>
      </c>
      <c r="Z96" s="56" t="str">
        <f t="shared" si="30"/>
        <v/>
      </c>
      <c r="AA96" s="56" t="str">
        <f t="shared" si="31"/>
        <v/>
      </c>
      <c r="AB96" s="56" t="str">
        <f t="shared" si="32"/>
        <v/>
      </c>
      <c r="AC96" s="56" t="str">
        <f t="shared" si="33"/>
        <v/>
      </c>
      <c r="AD96" s="56" t="str">
        <f t="shared" si="34"/>
        <v/>
      </c>
      <c r="AE96" s="40"/>
      <c r="AF96" s="40"/>
      <c r="AG96" s="40"/>
      <c r="AH96" s="56" t="str">
        <f t="shared" si="18"/>
        <v/>
      </c>
      <c r="AI96" s="54"/>
      <c r="AJ96" s="54"/>
      <c r="AK96" s="54"/>
      <c r="AL96" s="54"/>
      <c r="AM96" s="54"/>
    </row>
    <row r="97" spans="1:39">
      <c r="A97" s="45" t="str" cm="1">
        <f t="array" ref="A97">IF(H97="PROJECT", CHAR(10) &amp; "- " &amp; _xlfn.TEXTJOIN(CHAR(10) &amp; "- ", TRUE, _xlfn._xlws.FILTER($I$9:$I$1000, ($B$9:$B$1000=B97) * ($H$9:$H$1000="Topic"))), "")</f>
        <v/>
      </c>
      <c r="B97" s="45" t="str">
        <f t="shared" si="19"/>
        <v/>
      </c>
      <c r="C97" s="95"/>
      <c r="D97" s="46"/>
      <c r="E97" s="58"/>
      <c r="F97" s="67"/>
      <c r="G97" s="53"/>
      <c r="H97" s="53"/>
      <c r="I97" s="50"/>
      <c r="J97" s="51"/>
      <c r="K97" s="129" t="str">
        <f t="shared" si="20"/>
        <v/>
      </c>
      <c r="L97" s="103" t="str">
        <f t="shared" si="21"/>
        <v/>
      </c>
      <c r="M97" s="53">
        <v>0</v>
      </c>
      <c r="N97" s="102" t="str">
        <f t="shared" si="22"/>
        <v/>
      </c>
      <c r="O97" s="103" t="str">
        <f t="shared" si="23"/>
        <v/>
      </c>
      <c r="P97" s="53">
        <v>0</v>
      </c>
      <c r="Q97" s="102" t="str">
        <f t="shared" si="24"/>
        <v/>
      </c>
      <c r="R97" s="103" t="str">
        <f t="shared" si="25"/>
        <v/>
      </c>
      <c r="S97" s="53">
        <v>0</v>
      </c>
      <c r="T97" s="102" t="str">
        <f t="shared" si="26"/>
        <v/>
      </c>
      <c r="U97" s="103" t="str">
        <f t="shared" si="27"/>
        <v/>
      </c>
      <c r="V97" s="53">
        <v>0</v>
      </c>
      <c r="W97" s="87" t="str">
        <f t="shared" si="28"/>
        <v/>
      </c>
      <c r="X97" s="103" t="str">
        <f t="shared" si="29"/>
        <v/>
      </c>
      <c r="Y97" s="53">
        <v>0</v>
      </c>
      <c r="Z97" s="56" t="str">
        <f t="shared" si="30"/>
        <v/>
      </c>
      <c r="AA97" s="56" t="str">
        <f t="shared" si="31"/>
        <v/>
      </c>
      <c r="AB97" s="56" t="str">
        <f t="shared" si="32"/>
        <v/>
      </c>
      <c r="AC97" s="56" t="str">
        <f t="shared" si="33"/>
        <v/>
      </c>
      <c r="AD97" s="56" t="str">
        <f t="shared" si="34"/>
        <v/>
      </c>
      <c r="AE97" s="40"/>
      <c r="AF97" s="40"/>
      <c r="AG97" s="40"/>
      <c r="AH97" s="56" t="str">
        <f t="shared" si="18"/>
        <v/>
      </c>
      <c r="AI97" s="54"/>
      <c r="AJ97" s="54"/>
      <c r="AK97" s="54"/>
      <c r="AL97" s="54"/>
      <c r="AM97" s="54"/>
    </row>
    <row r="98" spans="1:39">
      <c r="A98" s="45" t="str" cm="1">
        <f t="array" ref="A98">IF(H98="PROJECT", CHAR(10) &amp; "- " &amp; _xlfn.TEXTJOIN(CHAR(10) &amp; "- ", TRUE, _xlfn._xlws.FILTER($I$9:$I$1000, ($B$9:$B$1000=B98) * ($H$9:$H$1000="Topic"))), "")</f>
        <v/>
      </c>
      <c r="B98" s="45" t="str">
        <f t="shared" si="19"/>
        <v/>
      </c>
      <c r="C98" s="95"/>
      <c r="D98" s="57"/>
      <c r="E98" s="58"/>
      <c r="F98" s="54"/>
      <c r="G98" s="52"/>
      <c r="H98" s="52"/>
      <c r="I98" s="61"/>
      <c r="J98" s="62"/>
      <c r="K98" s="129" t="str">
        <f t="shared" si="20"/>
        <v/>
      </c>
      <c r="L98" s="103" t="str">
        <f t="shared" si="21"/>
        <v/>
      </c>
      <c r="M98" s="52">
        <v>0</v>
      </c>
      <c r="N98" s="102" t="str">
        <f t="shared" si="22"/>
        <v/>
      </c>
      <c r="O98" s="103" t="str">
        <f t="shared" si="23"/>
        <v/>
      </c>
      <c r="P98" s="52">
        <v>0</v>
      </c>
      <c r="Q98" s="102" t="str">
        <f t="shared" si="24"/>
        <v/>
      </c>
      <c r="R98" s="103" t="str">
        <f t="shared" si="25"/>
        <v/>
      </c>
      <c r="S98" s="52">
        <v>0</v>
      </c>
      <c r="T98" s="102" t="str">
        <f t="shared" si="26"/>
        <v/>
      </c>
      <c r="U98" s="103" t="str">
        <f t="shared" si="27"/>
        <v/>
      </c>
      <c r="V98" s="52">
        <v>0</v>
      </c>
      <c r="W98" s="87" t="str">
        <f t="shared" si="28"/>
        <v/>
      </c>
      <c r="X98" s="103" t="str">
        <f t="shared" si="29"/>
        <v/>
      </c>
      <c r="Y98" s="52">
        <v>0</v>
      </c>
      <c r="Z98" s="56" t="str">
        <f t="shared" si="30"/>
        <v/>
      </c>
      <c r="AA98" s="56" t="str">
        <f t="shared" si="31"/>
        <v/>
      </c>
      <c r="AB98" s="56" t="str">
        <f t="shared" si="32"/>
        <v/>
      </c>
      <c r="AC98" s="56" t="str">
        <f t="shared" si="33"/>
        <v/>
      </c>
      <c r="AD98" s="56" t="str">
        <f t="shared" si="34"/>
        <v/>
      </c>
      <c r="AE98" s="40"/>
      <c r="AF98" s="40"/>
      <c r="AG98" s="40"/>
      <c r="AH98" s="56" t="str">
        <f t="shared" si="18"/>
        <v/>
      </c>
      <c r="AI98" s="54"/>
      <c r="AJ98" s="54"/>
      <c r="AK98" s="54"/>
      <c r="AL98" s="54"/>
      <c r="AM98" s="54"/>
    </row>
    <row r="99" spans="1:39">
      <c r="A99" s="45" t="str" cm="1">
        <f t="array" ref="A99">IF(H99="PROJECT", CHAR(10) &amp; "- " &amp; _xlfn.TEXTJOIN(CHAR(10) &amp; "- ", TRUE, _xlfn._xlws.FILTER($I$9:$I$1000, ($B$9:$B$1000=B99) * ($H$9:$H$1000="Topic"))), "")</f>
        <v/>
      </c>
      <c r="B99" s="45" t="str">
        <f t="shared" si="19"/>
        <v/>
      </c>
      <c r="C99" s="95"/>
      <c r="D99" s="46"/>
      <c r="E99" s="58"/>
      <c r="F99" s="67"/>
      <c r="G99" s="53"/>
      <c r="H99" s="53"/>
      <c r="I99" s="50"/>
      <c r="J99" s="51"/>
      <c r="K99" s="129" t="str">
        <f t="shared" si="20"/>
        <v/>
      </c>
      <c r="L99" s="103" t="str">
        <f t="shared" si="21"/>
        <v/>
      </c>
      <c r="M99" s="53">
        <v>0</v>
      </c>
      <c r="N99" s="102" t="str">
        <f t="shared" si="22"/>
        <v/>
      </c>
      <c r="O99" s="103" t="str">
        <f t="shared" si="23"/>
        <v/>
      </c>
      <c r="P99" s="53">
        <v>0</v>
      </c>
      <c r="Q99" s="102" t="str">
        <f t="shared" si="24"/>
        <v/>
      </c>
      <c r="R99" s="103" t="str">
        <f t="shared" si="25"/>
        <v/>
      </c>
      <c r="S99" s="53">
        <v>0</v>
      </c>
      <c r="T99" s="102" t="str">
        <f t="shared" si="26"/>
        <v/>
      </c>
      <c r="U99" s="103" t="str">
        <f t="shared" si="27"/>
        <v/>
      </c>
      <c r="V99" s="53">
        <v>0</v>
      </c>
      <c r="W99" s="87" t="str">
        <f t="shared" si="28"/>
        <v/>
      </c>
      <c r="X99" s="103" t="str">
        <f t="shared" si="29"/>
        <v/>
      </c>
      <c r="Y99" s="53">
        <v>0</v>
      </c>
      <c r="Z99" s="56" t="str">
        <f t="shared" si="30"/>
        <v/>
      </c>
      <c r="AA99" s="56" t="str">
        <f t="shared" si="31"/>
        <v/>
      </c>
      <c r="AB99" s="56" t="str">
        <f t="shared" si="32"/>
        <v/>
      </c>
      <c r="AC99" s="56" t="str">
        <f t="shared" si="33"/>
        <v/>
      </c>
      <c r="AD99" s="56" t="str">
        <f t="shared" si="34"/>
        <v/>
      </c>
      <c r="AE99" s="40"/>
      <c r="AF99" s="40"/>
      <c r="AG99" s="40"/>
      <c r="AH99" s="56" t="str">
        <f t="shared" si="18"/>
        <v/>
      </c>
      <c r="AI99" s="54"/>
      <c r="AJ99" s="54"/>
      <c r="AK99" s="54"/>
      <c r="AL99" s="54"/>
      <c r="AM99" s="54"/>
    </row>
    <row r="100" spans="1:39">
      <c r="A100" s="45" t="str" cm="1">
        <f t="array" ref="A100">IF(H100="PROJECT", CHAR(10) &amp; "- " &amp; _xlfn.TEXTJOIN(CHAR(10) &amp; "- ", TRUE, _xlfn._xlws.FILTER($I$9:$I$1000, ($B$9:$B$1000=B100) * ($H$9:$H$1000="Topic"))), "")</f>
        <v/>
      </c>
      <c r="B100" s="45" t="str">
        <f t="shared" si="19"/>
        <v/>
      </c>
      <c r="C100" s="95"/>
      <c r="D100" s="57"/>
      <c r="E100" s="58"/>
      <c r="F100" s="54"/>
      <c r="G100" s="52"/>
      <c r="H100" s="52"/>
      <c r="I100" s="61"/>
      <c r="J100" s="62"/>
      <c r="K100" s="129" t="str">
        <f t="shared" si="20"/>
        <v/>
      </c>
      <c r="L100" s="103" t="str">
        <f t="shared" si="21"/>
        <v/>
      </c>
      <c r="M100" s="52">
        <v>0</v>
      </c>
      <c r="N100" s="102" t="str">
        <f t="shared" si="22"/>
        <v/>
      </c>
      <c r="O100" s="103" t="str">
        <f t="shared" si="23"/>
        <v/>
      </c>
      <c r="P100" s="52">
        <v>0</v>
      </c>
      <c r="Q100" s="102" t="str">
        <f t="shared" si="24"/>
        <v/>
      </c>
      <c r="R100" s="103" t="str">
        <f t="shared" si="25"/>
        <v/>
      </c>
      <c r="S100" s="52">
        <v>0</v>
      </c>
      <c r="T100" s="102" t="str">
        <f t="shared" si="26"/>
        <v/>
      </c>
      <c r="U100" s="103" t="str">
        <f t="shared" si="27"/>
        <v/>
      </c>
      <c r="V100" s="52">
        <v>0</v>
      </c>
      <c r="W100" s="87" t="str">
        <f t="shared" si="28"/>
        <v/>
      </c>
      <c r="X100" s="103" t="str">
        <f t="shared" si="29"/>
        <v/>
      </c>
      <c r="Y100" s="52">
        <v>0</v>
      </c>
      <c r="Z100" s="56" t="str">
        <f t="shared" si="30"/>
        <v/>
      </c>
      <c r="AA100" s="56" t="str">
        <f t="shared" si="31"/>
        <v/>
      </c>
      <c r="AB100" s="56" t="str">
        <f t="shared" si="32"/>
        <v/>
      </c>
      <c r="AC100" s="56" t="str">
        <f t="shared" si="33"/>
        <v/>
      </c>
      <c r="AD100" s="56" t="str">
        <f t="shared" si="34"/>
        <v/>
      </c>
      <c r="AE100" s="40"/>
      <c r="AF100" s="40"/>
      <c r="AG100" s="40"/>
      <c r="AH100" s="56" t="str">
        <f t="shared" si="18"/>
        <v/>
      </c>
      <c r="AI100" s="54"/>
      <c r="AJ100" s="54"/>
      <c r="AK100" s="54"/>
      <c r="AL100" s="54"/>
      <c r="AM100" s="54"/>
    </row>
    <row r="101" spans="1:39">
      <c r="A101" s="45" t="str" cm="1">
        <f t="array" ref="A101">IF(H101="PROJECT", CHAR(10) &amp; "- " &amp; _xlfn.TEXTJOIN(CHAR(10) &amp; "- ", TRUE, _xlfn._xlws.FILTER($I$9:$I$1000, ($B$9:$B$1000=B101) * ($H$9:$H$1000="Topic"))), "")</f>
        <v/>
      </c>
      <c r="B101" s="45" t="str">
        <f t="shared" si="19"/>
        <v/>
      </c>
      <c r="C101" s="95"/>
      <c r="D101" s="46"/>
      <c r="E101" s="58"/>
      <c r="F101" s="67"/>
      <c r="G101" s="53"/>
      <c r="H101" s="53"/>
      <c r="I101" s="50"/>
      <c r="J101" s="51"/>
      <c r="K101" s="129" t="str">
        <f t="shared" si="20"/>
        <v/>
      </c>
      <c r="L101" s="103" t="str">
        <f t="shared" si="21"/>
        <v/>
      </c>
      <c r="M101" s="53">
        <v>0</v>
      </c>
      <c r="N101" s="102" t="str">
        <f t="shared" si="22"/>
        <v/>
      </c>
      <c r="O101" s="103" t="str">
        <f t="shared" si="23"/>
        <v/>
      </c>
      <c r="P101" s="53">
        <v>0</v>
      </c>
      <c r="Q101" s="102" t="str">
        <f t="shared" si="24"/>
        <v/>
      </c>
      <c r="R101" s="103" t="str">
        <f t="shared" si="25"/>
        <v/>
      </c>
      <c r="S101" s="53">
        <v>0</v>
      </c>
      <c r="T101" s="102" t="str">
        <f t="shared" si="26"/>
        <v/>
      </c>
      <c r="U101" s="103" t="str">
        <f t="shared" si="27"/>
        <v/>
      </c>
      <c r="V101" s="53">
        <v>0</v>
      </c>
      <c r="W101" s="87" t="str">
        <f t="shared" si="28"/>
        <v/>
      </c>
      <c r="X101" s="103" t="str">
        <f t="shared" si="29"/>
        <v/>
      </c>
      <c r="Y101" s="53">
        <v>0</v>
      </c>
      <c r="Z101" s="56" t="str">
        <f t="shared" si="30"/>
        <v/>
      </c>
      <c r="AA101" s="56" t="str">
        <f t="shared" si="31"/>
        <v/>
      </c>
      <c r="AB101" s="56" t="str">
        <f t="shared" si="32"/>
        <v/>
      </c>
      <c r="AC101" s="56" t="str">
        <f t="shared" si="33"/>
        <v/>
      </c>
      <c r="AD101" s="56" t="str">
        <f t="shared" si="34"/>
        <v/>
      </c>
      <c r="AE101" s="40"/>
      <c r="AF101" s="40"/>
      <c r="AG101" s="40"/>
      <c r="AH101" s="56" t="str">
        <f t="shared" si="18"/>
        <v/>
      </c>
      <c r="AI101" s="54"/>
      <c r="AJ101" s="54"/>
      <c r="AK101" s="54"/>
      <c r="AL101" s="54"/>
      <c r="AM101" s="54"/>
    </row>
    <row r="102" spans="1:39">
      <c r="A102" s="45" t="str" cm="1">
        <f t="array" ref="A102">IF(H102="PROJECT", CHAR(10) &amp; "- " &amp; _xlfn.TEXTJOIN(CHAR(10) &amp; "- ", TRUE, _xlfn._xlws.FILTER($I$9:$I$1000, ($B$9:$B$1000=B102) * ($H$9:$H$1000="Topic"))), "")</f>
        <v/>
      </c>
      <c r="B102" s="45" t="str">
        <f t="shared" si="19"/>
        <v/>
      </c>
      <c r="C102" s="95"/>
      <c r="D102" s="57"/>
      <c r="E102" s="58"/>
      <c r="F102" s="54"/>
      <c r="G102" s="52"/>
      <c r="H102" s="52"/>
      <c r="I102" s="61"/>
      <c r="J102" s="62"/>
      <c r="K102" s="129" t="str">
        <f t="shared" si="20"/>
        <v/>
      </c>
      <c r="L102" s="103" t="str">
        <f t="shared" si="21"/>
        <v/>
      </c>
      <c r="M102" s="52">
        <v>0</v>
      </c>
      <c r="N102" s="102" t="str">
        <f t="shared" si="22"/>
        <v/>
      </c>
      <c r="O102" s="103" t="str">
        <f t="shared" si="23"/>
        <v/>
      </c>
      <c r="P102" s="52">
        <v>0</v>
      </c>
      <c r="Q102" s="102" t="str">
        <f t="shared" si="24"/>
        <v/>
      </c>
      <c r="R102" s="103" t="str">
        <f t="shared" si="25"/>
        <v/>
      </c>
      <c r="S102" s="52">
        <v>0</v>
      </c>
      <c r="T102" s="102" t="str">
        <f t="shared" si="26"/>
        <v/>
      </c>
      <c r="U102" s="103" t="str">
        <f t="shared" si="27"/>
        <v/>
      </c>
      <c r="V102" s="52">
        <v>0</v>
      </c>
      <c r="W102" s="87" t="str">
        <f t="shared" si="28"/>
        <v/>
      </c>
      <c r="X102" s="103" t="str">
        <f t="shared" si="29"/>
        <v/>
      </c>
      <c r="Y102" s="52">
        <v>0</v>
      </c>
      <c r="Z102" s="56" t="str">
        <f t="shared" si="30"/>
        <v/>
      </c>
      <c r="AA102" s="56" t="str">
        <f t="shared" si="31"/>
        <v/>
      </c>
      <c r="AB102" s="56" t="str">
        <f t="shared" si="32"/>
        <v/>
      </c>
      <c r="AC102" s="56" t="str">
        <f t="shared" si="33"/>
        <v/>
      </c>
      <c r="AD102" s="56" t="str">
        <f t="shared" si="34"/>
        <v/>
      </c>
      <c r="AE102" s="40"/>
      <c r="AF102" s="40"/>
      <c r="AG102" s="40"/>
      <c r="AH102" s="56" t="str">
        <f t="shared" si="18"/>
        <v/>
      </c>
      <c r="AI102" s="54"/>
      <c r="AJ102" s="54"/>
      <c r="AK102" s="54"/>
      <c r="AL102" s="54"/>
      <c r="AM102" s="54"/>
    </row>
    <row r="103" spans="1:39">
      <c r="A103" s="45" t="str" cm="1">
        <f t="array" ref="A103">IF(H103="PROJECT", CHAR(10) &amp; "- " &amp; _xlfn.TEXTJOIN(CHAR(10) &amp; "- ", TRUE, _xlfn._xlws.FILTER($I$9:$I$1000, ($B$9:$B$1000=B103) * ($H$9:$H$1000="Topic"))), "")</f>
        <v/>
      </c>
      <c r="B103" s="45" t="str">
        <f t="shared" si="19"/>
        <v/>
      </c>
      <c r="C103" s="95"/>
      <c r="D103" s="46"/>
      <c r="E103" s="58"/>
      <c r="F103" s="67"/>
      <c r="G103" s="53"/>
      <c r="H103" s="53"/>
      <c r="I103" s="50"/>
      <c r="J103" s="51"/>
      <c r="K103" s="129" t="str">
        <f t="shared" si="20"/>
        <v/>
      </c>
      <c r="L103" s="103" t="str">
        <f t="shared" si="21"/>
        <v/>
      </c>
      <c r="M103" s="53">
        <v>0</v>
      </c>
      <c r="N103" s="102" t="str">
        <f t="shared" si="22"/>
        <v/>
      </c>
      <c r="O103" s="103" t="str">
        <f t="shared" si="23"/>
        <v/>
      </c>
      <c r="P103" s="53">
        <v>0</v>
      </c>
      <c r="Q103" s="102" t="str">
        <f t="shared" si="24"/>
        <v/>
      </c>
      <c r="R103" s="103" t="str">
        <f t="shared" si="25"/>
        <v/>
      </c>
      <c r="S103" s="53">
        <v>0</v>
      </c>
      <c r="T103" s="102" t="str">
        <f t="shared" si="26"/>
        <v/>
      </c>
      <c r="U103" s="103" t="str">
        <f t="shared" si="27"/>
        <v/>
      </c>
      <c r="V103" s="53">
        <v>0</v>
      </c>
      <c r="W103" s="87" t="str">
        <f t="shared" si="28"/>
        <v/>
      </c>
      <c r="X103" s="103" t="str">
        <f t="shared" si="29"/>
        <v/>
      </c>
      <c r="Y103" s="53">
        <v>0</v>
      </c>
      <c r="Z103" s="56" t="str">
        <f t="shared" si="30"/>
        <v/>
      </c>
      <c r="AA103" s="56" t="str">
        <f t="shared" si="31"/>
        <v/>
      </c>
      <c r="AB103" s="56" t="str">
        <f t="shared" si="32"/>
        <v/>
      </c>
      <c r="AC103" s="56" t="str">
        <f t="shared" si="33"/>
        <v/>
      </c>
      <c r="AD103" s="56" t="str">
        <f t="shared" si="34"/>
        <v/>
      </c>
      <c r="AE103" s="40"/>
      <c r="AF103" s="40"/>
      <c r="AG103" s="40"/>
      <c r="AH103" s="56" t="str">
        <f t="shared" si="18"/>
        <v/>
      </c>
      <c r="AI103" s="54"/>
      <c r="AJ103" s="54"/>
      <c r="AK103" s="54"/>
      <c r="AL103" s="54"/>
      <c r="AM103" s="54"/>
    </row>
    <row r="104" spans="1:39">
      <c r="A104" s="45" t="str" cm="1">
        <f t="array" ref="A104">IF(H104="PROJECT", CHAR(10) &amp; "- " &amp; _xlfn.TEXTJOIN(CHAR(10) &amp; "- ", TRUE, _xlfn._xlws.FILTER($I$9:$I$1000, ($B$9:$B$1000=B104) * ($H$9:$H$1000="Topic"))), "")</f>
        <v/>
      </c>
      <c r="B104" s="45" t="str">
        <f t="shared" si="19"/>
        <v/>
      </c>
      <c r="C104" s="95"/>
      <c r="D104" s="57"/>
      <c r="E104" s="58"/>
      <c r="F104" s="54"/>
      <c r="G104" s="52"/>
      <c r="H104" s="52"/>
      <c r="I104" s="61"/>
      <c r="J104" s="62"/>
      <c r="K104" s="129" t="str">
        <f t="shared" si="20"/>
        <v/>
      </c>
      <c r="L104" s="103" t="str">
        <f t="shared" si="21"/>
        <v/>
      </c>
      <c r="M104" s="52">
        <v>0</v>
      </c>
      <c r="N104" s="102" t="str">
        <f t="shared" si="22"/>
        <v/>
      </c>
      <c r="O104" s="103" t="str">
        <f t="shared" si="23"/>
        <v/>
      </c>
      <c r="P104" s="52">
        <v>0</v>
      </c>
      <c r="Q104" s="102" t="str">
        <f t="shared" si="24"/>
        <v/>
      </c>
      <c r="R104" s="103" t="str">
        <f t="shared" si="25"/>
        <v/>
      </c>
      <c r="S104" s="52">
        <v>0</v>
      </c>
      <c r="T104" s="102" t="str">
        <f t="shared" si="26"/>
        <v/>
      </c>
      <c r="U104" s="103" t="str">
        <f t="shared" si="27"/>
        <v/>
      </c>
      <c r="V104" s="52">
        <v>0</v>
      </c>
      <c r="W104" s="87" t="str">
        <f t="shared" si="28"/>
        <v/>
      </c>
      <c r="X104" s="103" t="str">
        <f t="shared" si="29"/>
        <v/>
      </c>
      <c r="Y104" s="52">
        <v>0</v>
      </c>
      <c r="Z104" s="56" t="str">
        <f t="shared" si="30"/>
        <v/>
      </c>
      <c r="AA104" s="56" t="str">
        <f t="shared" si="31"/>
        <v/>
      </c>
      <c r="AB104" s="56" t="str">
        <f t="shared" si="32"/>
        <v/>
      </c>
      <c r="AC104" s="56" t="str">
        <f t="shared" si="33"/>
        <v/>
      </c>
      <c r="AD104" s="56" t="str">
        <f t="shared" si="34"/>
        <v/>
      </c>
      <c r="AE104" s="40"/>
      <c r="AF104" s="40"/>
      <c r="AG104" s="40"/>
      <c r="AH104" s="56" t="str">
        <f t="shared" si="18"/>
        <v/>
      </c>
      <c r="AI104" s="54"/>
      <c r="AJ104" s="54"/>
      <c r="AK104" s="54"/>
      <c r="AL104" s="54"/>
      <c r="AM104" s="54"/>
    </row>
    <row r="105" spans="1:39">
      <c r="A105" s="45" t="str" cm="1">
        <f t="array" ref="A105">IF(H105="PROJECT", CHAR(10) &amp; "- " &amp; _xlfn.TEXTJOIN(CHAR(10) &amp; "- ", TRUE, _xlfn._xlws.FILTER($I$9:$I$1000, ($B$9:$B$1000=B105) * ($H$9:$H$1000="Topic"))), "")</f>
        <v/>
      </c>
      <c r="B105" s="45" t="str">
        <f t="shared" si="19"/>
        <v/>
      </c>
      <c r="C105" s="95"/>
      <c r="D105" s="46"/>
      <c r="E105" s="58"/>
      <c r="F105" s="67"/>
      <c r="G105" s="53"/>
      <c r="H105" s="53"/>
      <c r="I105" s="50"/>
      <c r="J105" s="51"/>
      <c r="K105" s="129" t="str">
        <f t="shared" si="20"/>
        <v/>
      </c>
      <c r="L105" s="103" t="str">
        <f t="shared" si="21"/>
        <v/>
      </c>
      <c r="M105" s="53">
        <v>0</v>
      </c>
      <c r="N105" s="102" t="str">
        <f t="shared" si="22"/>
        <v/>
      </c>
      <c r="O105" s="103" t="str">
        <f t="shared" si="23"/>
        <v/>
      </c>
      <c r="P105" s="53">
        <v>0</v>
      </c>
      <c r="Q105" s="102" t="str">
        <f t="shared" si="24"/>
        <v/>
      </c>
      <c r="R105" s="103" t="str">
        <f t="shared" si="25"/>
        <v/>
      </c>
      <c r="S105" s="53">
        <v>0</v>
      </c>
      <c r="T105" s="102" t="str">
        <f t="shared" si="26"/>
        <v/>
      </c>
      <c r="U105" s="103" t="str">
        <f t="shared" si="27"/>
        <v/>
      </c>
      <c r="V105" s="53">
        <v>0</v>
      </c>
      <c r="W105" s="87" t="str">
        <f t="shared" si="28"/>
        <v/>
      </c>
      <c r="X105" s="103" t="str">
        <f t="shared" si="29"/>
        <v/>
      </c>
      <c r="Y105" s="53">
        <v>0</v>
      </c>
      <c r="Z105" s="56" t="str">
        <f t="shared" si="30"/>
        <v/>
      </c>
      <c r="AA105" s="56" t="str">
        <f t="shared" si="31"/>
        <v/>
      </c>
      <c r="AB105" s="56" t="str">
        <f t="shared" si="32"/>
        <v/>
      </c>
      <c r="AC105" s="56" t="str">
        <f t="shared" si="33"/>
        <v/>
      </c>
      <c r="AD105" s="56" t="str">
        <f t="shared" si="34"/>
        <v/>
      </c>
      <c r="AE105" s="40"/>
      <c r="AF105" s="40"/>
      <c r="AG105" s="40"/>
      <c r="AH105" s="56" t="str">
        <f t="shared" ref="AH105:AH136" si="35">IF(AE105=$B$6,AG105,"")</f>
        <v/>
      </c>
      <c r="AI105" s="54"/>
      <c r="AJ105" s="54"/>
      <c r="AK105" s="54"/>
      <c r="AL105" s="54"/>
      <c r="AM105" s="54"/>
    </row>
    <row r="106" spans="1:39">
      <c r="A106" s="45" t="str" cm="1">
        <f t="array" ref="A106">IF(H106="PROJECT", CHAR(10) &amp; "- " &amp; _xlfn.TEXTJOIN(CHAR(10) &amp; "- ", TRUE, _xlfn._xlws.FILTER($I$9:$I$1000, ($B$9:$B$1000=B106) * ($H$9:$H$1000="Topic"))), "")</f>
        <v/>
      </c>
      <c r="B106" s="45" t="str">
        <f t="shared" si="19"/>
        <v/>
      </c>
      <c r="C106" s="95"/>
      <c r="D106" s="57"/>
      <c r="E106" s="58"/>
      <c r="F106" s="54"/>
      <c r="G106" s="52"/>
      <c r="H106" s="52"/>
      <c r="I106" s="61"/>
      <c r="J106" s="62"/>
      <c r="K106" s="129" t="str">
        <f t="shared" si="20"/>
        <v/>
      </c>
      <c r="L106" s="103" t="str">
        <f t="shared" si="21"/>
        <v/>
      </c>
      <c r="M106" s="52">
        <v>0</v>
      </c>
      <c r="N106" s="102" t="str">
        <f t="shared" si="22"/>
        <v/>
      </c>
      <c r="O106" s="103" t="str">
        <f t="shared" si="23"/>
        <v/>
      </c>
      <c r="P106" s="52">
        <v>0</v>
      </c>
      <c r="Q106" s="102" t="str">
        <f t="shared" si="24"/>
        <v/>
      </c>
      <c r="R106" s="103" t="str">
        <f t="shared" si="25"/>
        <v/>
      </c>
      <c r="S106" s="52">
        <v>0</v>
      </c>
      <c r="T106" s="102" t="str">
        <f t="shared" si="26"/>
        <v/>
      </c>
      <c r="U106" s="103" t="str">
        <f t="shared" si="27"/>
        <v/>
      </c>
      <c r="V106" s="52">
        <v>0</v>
      </c>
      <c r="W106" s="87" t="str">
        <f t="shared" si="28"/>
        <v/>
      </c>
      <c r="X106" s="103" t="str">
        <f t="shared" si="29"/>
        <v/>
      </c>
      <c r="Y106" s="52">
        <v>0</v>
      </c>
      <c r="Z106" s="56" t="str">
        <f t="shared" si="30"/>
        <v/>
      </c>
      <c r="AA106" s="56" t="str">
        <f t="shared" si="31"/>
        <v/>
      </c>
      <c r="AB106" s="56" t="str">
        <f t="shared" si="32"/>
        <v/>
      </c>
      <c r="AC106" s="56" t="str">
        <f t="shared" si="33"/>
        <v/>
      </c>
      <c r="AD106" s="56" t="str">
        <f t="shared" si="34"/>
        <v/>
      </c>
      <c r="AE106" s="40"/>
      <c r="AF106" s="40"/>
      <c r="AG106" s="40"/>
      <c r="AH106" s="56" t="str">
        <f t="shared" si="35"/>
        <v/>
      </c>
      <c r="AI106" s="54"/>
      <c r="AJ106" s="54"/>
      <c r="AK106" s="54"/>
      <c r="AL106" s="54"/>
      <c r="AM106" s="54"/>
    </row>
    <row r="107" spans="1:39">
      <c r="A107" s="45" t="str" cm="1">
        <f t="array" ref="A107">IF(H107="PROJECT", CHAR(10) &amp; "- " &amp; _xlfn.TEXTJOIN(CHAR(10) &amp; "- ", TRUE, _xlfn._xlws.FILTER($I$9:$I$1000, ($B$9:$B$1000=B107) * ($H$9:$H$1000="Topic"))), "")</f>
        <v/>
      </c>
      <c r="B107" s="45" t="str">
        <f t="shared" si="19"/>
        <v/>
      </c>
      <c r="C107" s="95"/>
      <c r="D107" s="46"/>
      <c r="E107" s="58"/>
      <c r="F107" s="67"/>
      <c r="G107" s="53"/>
      <c r="H107" s="53"/>
      <c r="I107" s="50"/>
      <c r="J107" s="51"/>
      <c r="K107" s="129" t="str">
        <f t="shared" si="20"/>
        <v/>
      </c>
      <c r="L107" s="103" t="str">
        <f t="shared" si="21"/>
        <v/>
      </c>
      <c r="M107" s="53">
        <v>0</v>
      </c>
      <c r="N107" s="102" t="str">
        <f t="shared" si="22"/>
        <v/>
      </c>
      <c r="O107" s="103" t="str">
        <f t="shared" si="23"/>
        <v/>
      </c>
      <c r="P107" s="53">
        <v>0</v>
      </c>
      <c r="Q107" s="102" t="str">
        <f t="shared" si="24"/>
        <v/>
      </c>
      <c r="R107" s="103" t="str">
        <f t="shared" si="25"/>
        <v/>
      </c>
      <c r="S107" s="53">
        <v>0</v>
      </c>
      <c r="T107" s="102" t="str">
        <f t="shared" si="26"/>
        <v/>
      </c>
      <c r="U107" s="103" t="str">
        <f t="shared" si="27"/>
        <v/>
      </c>
      <c r="V107" s="53">
        <v>0</v>
      </c>
      <c r="W107" s="87" t="str">
        <f t="shared" si="28"/>
        <v/>
      </c>
      <c r="X107" s="103" t="str">
        <f t="shared" si="29"/>
        <v/>
      </c>
      <c r="Y107" s="53">
        <v>0</v>
      </c>
      <c r="Z107" s="56" t="str">
        <f t="shared" si="30"/>
        <v/>
      </c>
      <c r="AA107" s="56" t="str">
        <f t="shared" si="31"/>
        <v/>
      </c>
      <c r="AB107" s="56" t="str">
        <f t="shared" si="32"/>
        <v/>
      </c>
      <c r="AC107" s="56" t="str">
        <f t="shared" si="33"/>
        <v/>
      </c>
      <c r="AD107" s="56" t="str">
        <f t="shared" si="34"/>
        <v/>
      </c>
      <c r="AE107" s="40"/>
      <c r="AF107" s="40"/>
      <c r="AG107" s="40"/>
      <c r="AH107" s="56" t="str">
        <f t="shared" si="35"/>
        <v/>
      </c>
      <c r="AI107" s="54"/>
      <c r="AJ107" s="54"/>
      <c r="AK107" s="54"/>
      <c r="AL107" s="54"/>
      <c r="AM107" s="54"/>
    </row>
    <row r="108" spans="1:39">
      <c r="A108" s="45" t="str" cm="1">
        <f t="array" ref="A108">IF(H108="PROJECT", CHAR(10) &amp; "- " &amp; _xlfn.TEXTJOIN(CHAR(10) &amp; "- ", TRUE, _xlfn._xlws.FILTER($I$9:$I$1000, ($B$9:$B$1000=B108) * ($H$9:$H$1000="Topic"))), "")</f>
        <v/>
      </c>
      <c r="B108" s="45" t="str">
        <f t="shared" si="19"/>
        <v/>
      </c>
      <c r="C108" s="95"/>
      <c r="D108" s="57"/>
      <c r="E108" s="58"/>
      <c r="F108" s="54"/>
      <c r="G108" s="52"/>
      <c r="H108" s="52"/>
      <c r="I108" s="61"/>
      <c r="J108" s="62"/>
      <c r="K108" s="129" t="str">
        <f t="shared" si="20"/>
        <v/>
      </c>
      <c r="L108" s="103" t="str">
        <f t="shared" si="21"/>
        <v/>
      </c>
      <c r="M108" s="52">
        <v>0</v>
      </c>
      <c r="N108" s="102" t="str">
        <f t="shared" si="22"/>
        <v/>
      </c>
      <c r="O108" s="103" t="str">
        <f t="shared" si="23"/>
        <v/>
      </c>
      <c r="P108" s="52">
        <v>0</v>
      </c>
      <c r="Q108" s="102" t="str">
        <f t="shared" si="24"/>
        <v/>
      </c>
      <c r="R108" s="103" t="str">
        <f t="shared" si="25"/>
        <v/>
      </c>
      <c r="S108" s="52">
        <v>0</v>
      </c>
      <c r="T108" s="102" t="str">
        <f t="shared" si="26"/>
        <v/>
      </c>
      <c r="U108" s="103" t="str">
        <f t="shared" si="27"/>
        <v/>
      </c>
      <c r="V108" s="52">
        <v>0</v>
      </c>
      <c r="W108" s="87" t="str">
        <f t="shared" si="28"/>
        <v/>
      </c>
      <c r="X108" s="103" t="str">
        <f t="shared" si="29"/>
        <v/>
      </c>
      <c r="Y108" s="52">
        <v>0</v>
      </c>
      <c r="Z108" s="56" t="str">
        <f t="shared" si="30"/>
        <v/>
      </c>
      <c r="AA108" s="56" t="str">
        <f t="shared" si="31"/>
        <v/>
      </c>
      <c r="AB108" s="56" t="str">
        <f t="shared" si="32"/>
        <v/>
      </c>
      <c r="AC108" s="56" t="str">
        <f t="shared" si="33"/>
        <v/>
      </c>
      <c r="AD108" s="56" t="str">
        <f t="shared" si="34"/>
        <v/>
      </c>
      <c r="AE108" s="40"/>
      <c r="AF108" s="40"/>
      <c r="AG108" s="40"/>
      <c r="AH108" s="56" t="str">
        <f t="shared" si="35"/>
        <v/>
      </c>
      <c r="AI108" s="54"/>
      <c r="AJ108" s="54"/>
      <c r="AK108" s="54"/>
      <c r="AL108" s="54"/>
      <c r="AM108" s="54"/>
    </row>
    <row r="109" spans="1:39">
      <c r="A109" s="45" t="str" cm="1">
        <f t="array" ref="A109">IF(H109="PROJECT", CHAR(10) &amp; "- " &amp; _xlfn.TEXTJOIN(CHAR(10) &amp; "- ", TRUE, _xlfn._xlws.FILTER($I$9:$I$1000, ($B$9:$B$1000=B109) * ($H$9:$H$1000="Topic"))), "")</f>
        <v/>
      </c>
      <c r="B109" s="45" t="str">
        <f t="shared" si="19"/>
        <v/>
      </c>
      <c r="C109" s="95"/>
      <c r="D109" s="46"/>
      <c r="E109" s="58"/>
      <c r="F109" s="67"/>
      <c r="G109" s="53"/>
      <c r="H109" s="53"/>
      <c r="I109" s="50"/>
      <c r="J109" s="51"/>
      <c r="K109" s="129" t="str">
        <f t="shared" si="20"/>
        <v/>
      </c>
      <c r="L109" s="103" t="str">
        <f t="shared" si="21"/>
        <v/>
      </c>
      <c r="M109" s="53">
        <v>0</v>
      </c>
      <c r="N109" s="102" t="str">
        <f t="shared" si="22"/>
        <v/>
      </c>
      <c r="O109" s="103" t="str">
        <f t="shared" si="23"/>
        <v/>
      </c>
      <c r="P109" s="53">
        <v>0</v>
      </c>
      <c r="Q109" s="102" t="str">
        <f t="shared" si="24"/>
        <v/>
      </c>
      <c r="R109" s="103" t="str">
        <f t="shared" si="25"/>
        <v/>
      </c>
      <c r="S109" s="53">
        <v>0</v>
      </c>
      <c r="T109" s="102" t="str">
        <f t="shared" si="26"/>
        <v/>
      </c>
      <c r="U109" s="103" t="str">
        <f t="shared" si="27"/>
        <v/>
      </c>
      <c r="V109" s="53">
        <v>0</v>
      </c>
      <c r="W109" s="87" t="str">
        <f t="shared" si="28"/>
        <v/>
      </c>
      <c r="X109" s="103" t="str">
        <f t="shared" si="29"/>
        <v/>
      </c>
      <c r="Y109" s="53">
        <v>0</v>
      </c>
      <c r="Z109" s="56" t="str">
        <f t="shared" si="30"/>
        <v/>
      </c>
      <c r="AA109" s="56" t="str">
        <f t="shared" si="31"/>
        <v/>
      </c>
      <c r="AB109" s="56" t="str">
        <f t="shared" si="32"/>
        <v/>
      </c>
      <c r="AC109" s="56" t="str">
        <f t="shared" si="33"/>
        <v/>
      </c>
      <c r="AD109" s="56" t="str">
        <f t="shared" si="34"/>
        <v/>
      </c>
      <c r="AE109" s="40"/>
      <c r="AF109" s="40"/>
      <c r="AG109" s="40"/>
      <c r="AH109" s="56" t="str">
        <f t="shared" si="35"/>
        <v/>
      </c>
      <c r="AI109" s="54"/>
      <c r="AJ109" s="54"/>
      <c r="AK109" s="54"/>
      <c r="AL109" s="54"/>
      <c r="AM109" s="54"/>
    </row>
    <row r="110" spans="1:39">
      <c r="A110" s="45" t="str" cm="1">
        <f t="array" ref="A110">IF(H110="PROJECT", CHAR(10) &amp; "- " &amp; _xlfn.TEXTJOIN(CHAR(10) &amp; "- ", TRUE, _xlfn._xlws.FILTER($I$9:$I$1000, ($B$9:$B$1000=B110) * ($H$9:$H$1000="Topic"))), "")</f>
        <v/>
      </c>
      <c r="B110" s="45" t="str">
        <f t="shared" si="19"/>
        <v/>
      </c>
      <c r="C110" s="95"/>
      <c r="D110" s="57"/>
      <c r="E110" s="58"/>
      <c r="F110" s="54"/>
      <c r="G110" s="52"/>
      <c r="H110" s="52"/>
      <c r="I110" s="61"/>
      <c r="J110" s="62"/>
      <c r="K110" s="129" t="str">
        <f t="shared" si="20"/>
        <v/>
      </c>
      <c r="L110" s="103" t="str">
        <f t="shared" si="21"/>
        <v/>
      </c>
      <c r="M110" s="52">
        <v>0</v>
      </c>
      <c r="N110" s="102" t="str">
        <f t="shared" si="22"/>
        <v/>
      </c>
      <c r="O110" s="103" t="str">
        <f t="shared" si="23"/>
        <v/>
      </c>
      <c r="P110" s="52">
        <v>0</v>
      </c>
      <c r="Q110" s="102" t="str">
        <f t="shared" si="24"/>
        <v/>
      </c>
      <c r="R110" s="103" t="str">
        <f t="shared" si="25"/>
        <v/>
      </c>
      <c r="S110" s="52">
        <v>0</v>
      </c>
      <c r="T110" s="102" t="str">
        <f t="shared" si="26"/>
        <v/>
      </c>
      <c r="U110" s="103" t="str">
        <f t="shared" si="27"/>
        <v/>
      </c>
      <c r="V110" s="52">
        <v>0</v>
      </c>
      <c r="W110" s="87" t="str">
        <f t="shared" si="28"/>
        <v/>
      </c>
      <c r="X110" s="103" t="str">
        <f t="shared" si="29"/>
        <v/>
      </c>
      <c r="Y110" s="52">
        <v>0</v>
      </c>
      <c r="Z110" s="56" t="str">
        <f t="shared" si="30"/>
        <v/>
      </c>
      <c r="AA110" s="56" t="str">
        <f t="shared" si="31"/>
        <v/>
      </c>
      <c r="AB110" s="56" t="str">
        <f t="shared" si="32"/>
        <v/>
      </c>
      <c r="AC110" s="56" t="str">
        <f t="shared" si="33"/>
        <v/>
      </c>
      <c r="AD110" s="56" t="str">
        <f t="shared" si="34"/>
        <v/>
      </c>
      <c r="AE110" s="40"/>
      <c r="AF110" s="40"/>
      <c r="AG110" s="40"/>
      <c r="AH110" s="56" t="str">
        <f t="shared" si="35"/>
        <v/>
      </c>
      <c r="AI110" s="54"/>
      <c r="AJ110" s="54"/>
      <c r="AK110" s="54"/>
      <c r="AL110" s="54"/>
      <c r="AM110" s="54"/>
    </row>
    <row r="111" spans="1:39">
      <c r="A111" s="45" t="str" cm="1">
        <f t="array" ref="A111">IF(H111="PROJECT", CHAR(10) &amp; "- " &amp; _xlfn.TEXTJOIN(CHAR(10) &amp; "- ", TRUE, _xlfn._xlws.FILTER($I$9:$I$1000, ($B$9:$B$1000=B111) * ($H$9:$H$1000="Topic"))), "")</f>
        <v/>
      </c>
      <c r="B111" s="45" t="str">
        <f t="shared" si="19"/>
        <v/>
      </c>
      <c r="C111" s="95"/>
      <c r="D111" s="46"/>
      <c r="E111" s="58"/>
      <c r="F111" s="67"/>
      <c r="G111" s="53"/>
      <c r="H111" s="53"/>
      <c r="I111" s="50"/>
      <c r="J111" s="51"/>
      <c r="K111" s="129" t="str">
        <f t="shared" si="20"/>
        <v/>
      </c>
      <c r="L111" s="103" t="str">
        <f t="shared" si="21"/>
        <v/>
      </c>
      <c r="M111" s="53">
        <v>0</v>
      </c>
      <c r="N111" s="102" t="str">
        <f t="shared" si="22"/>
        <v/>
      </c>
      <c r="O111" s="103" t="str">
        <f t="shared" si="23"/>
        <v/>
      </c>
      <c r="P111" s="53">
        <v>0</v>
      </c>
      <c r="Q111" s="102" t="str">
        <f t="shared" si="24"/>
        <v/>
      </c>
      <c r="R111" s="103" t="str">
        <f t="shared" si="25"/>
        <v/>
      </c>
      <c r="S111" s="53">
        <v>0</v>
      </c>
      <c r="T111" s="102" t="str">
        <f t="shared" si="26"/>
        <v/>
      </c>
      <c r="U111" s="103" t="str">
        <f t="shared" si="27"/>
        <v/>
      </c>
      <c r="V111" s="53">
        <v>0</v>
      </c>
      <c r="W111" s="87" t="str">
        <f t="shared" si="28"/>
        <v/>
      </c>
      <c r="X111" s="103" t="str">
        <f t="shared" si="29"/>
        <v/>
      </c>
      <c r="Y111" s="53">
        <v>0</v>
      </c>
      <c r="Z111" s="56" t="str">
        <f t="shared" si="30"/>
        <v/>
      </c>
      <c r="AA111" s="56" t="str">
        <f t="shared" si="31"/>
        <v/>
      </c>
      <c r="AB111" s="56" t="str">
        <f t="shared" si="32"/>
        <v/>
      </c>
      <c r="AC111" s="56" t="str">
        <f t="shared" si="33"/>
        <v/>
      </c>
      <c r="AD111" s="56" t="str">
        <f t="shared" si="34"/>
        <v/>
      </c>
      <c r="AE111" s="40"/>
      <c r="AF111" s="40"/>
      <c r="AG111" s="40"/>
      <c r="AH111" s="56" t="str">
        <f t="shared" si="35"/>
        <v/>
      </c>
      <c r="AI111" s="54"/>
      <c r="AJ111" s="54"/>
      <c r="AK111" s="54"/>
      <c r="AL111" s="54"/>
      <c r="AM111" s="54"/>
    </row>
    <row r="112" spans="1:39">
      <c r="A112" s="45" t="str" cm="1">
        <f t="array" ref="A112">IF(H112="PROJECT", CHAR(10) &amp; "- " &amp; _xlfn.TEXTJOIN(CHAR(10) &amp; "- ", TRUE, _xlfn._xlws.FILTER($I$9:$I$1000, ($B$9:$B$1000=B112) * ($H$9:$H$1000="Topic"))), "")</f>
        <v/>
      </c>
      <c r="B112" s="45" t="str">
        <f t="shared" si="19"/>
        <v/>
      </c>
      <c r="C112" s="95"/>
      <c r="D112" s="57"/>
      <c r="E112" s="58"/>
      <c r="F112" s="54"/>
      <c r="G112" s="52"/>
      <c r="H112" s="52"/>
      <c r="I112" s="61"/>
      <c r="J112" s="62"/>
      <c r="K112" s="129" t="str">
        <f t="shared" si="20"/>
        <v/>
      </c>
      <c r="L112" s="103" t="str">
        <f t="shared" si="21"/>
        <v/>
      </c>
      <c r="M112" s="52">
        <v>0</v>
      </c>
      <c r="N112" s="102" t="str">
        <f t="shared" si="22"/>
        <v/>
      </c>
      <c r="O112" s="103" t="str">
        <f t="shared" si="23"/>
        <v/>
      </c>
      <c r="P112" s="52">
        <v>0</v>
      </c>
      <c r="Q112" s="102" t="str">
        <f t="shared" si="24"/>
        <v/>
      </c>
      <c r="R112" s="103" t="str">
        <f t="shared" si="25"/>
        <v/>
      </c>
      <c r="S112" s="52">
        <v>0</v>
      </c>
      <c r="T112" s="102" t="str">
        <f t="shared" si="26"/>
        <v/>
      </c>
      <c r="U112" s="103" t="str">
        <f t="shared" si="27"/>
        <v/>
      </c>
      <c r="V112" s="52">
        <v>0</v>
      </c>
      <c r="W112" s="87" t="str">
        <f t="shared" si="28"/>
        <v/>
      </c>
      <c r="X112" s="103" t="str">
        <f t="shared" si="29"/>
        <v/>
      </c>
      <c r="Y112" s="52">
        <v>0</v>
      </c>
      <c r="Z112" s="56" t="str">
        <f t="shared" si="30"/>
        <v/>
      </c>
      <c r="AA112" s="56" t="str">
        <f t="shared" si="31"/>
        <v/>
      </c>
      <c r="AB112" s="56" t="str">
        <f t="shared" si="32"/>
        <v/>
      </c>
      <c r="AC112" s="56" t="str">
        <f t="shared" si="33"/>
        <v/>
      </c>
      <c r="AD112" s="56" t="str">
        <f t="shared" si="34"/>
        <v/>
      </c>
      <c r="AE112" s="40"/>
      <c r="AF112" s="40"/>
      <c r="AG112" s="40"/>
      <c r="AH112" s="56" t="str">
        <f t="shared" si="35"/>
        <v/>
      </c>
      <c r="AI112" s="54"/>
      <c r="AJ112" s="54"/>
      <c r="AK112" s="54"/>
      <c r="AL112" s="54"/>
      <c r="AM112" s="54"/>
    </row>
    <row r="113" spans="1:39">
      <c r="A113" s="45" t="str" cm="1">
        <f t="array" ref="A113">IF(H113="PROJECT", CHAR(10) &amp; "- " &amp; _xlfn.TEXTJOIN(CHAR(10) &amp; "- ", TRUE, _xlfn._xlws.FILTER($I$9:$I$1000, ($B$9:$B$1000=B113) * ($H$9:$H$1000="Topic"))), "")</f>
        <v/>
      </c>
      <c r="B113" s="45" t="str">
        <f t="shared" si="19"/>
        <v/>
      </c>
      <c r="C113" s="95"/>
      <c r="D113" s="46"/>
      <c r="E113" s="58"/>
      <c r="F113" s="67"/>
      <c r="G113" s="53"/>
      <c r="H113" s="53"/>
      <c r="I113" s="50"/>
      <c r="J113" s="51"/>
      <c r="K113" s="129" t="str">
        <f t="shared" si="20"/>
        <v/>
      </c>
      <c r="L113" s="103" t="str">
        <f t="shared" si="21"/>
        <v/>
      </c>
      <c r="M113" s="53">
        <v>0</v>
      </c>
      <c r="N113" s="102" t="str">
        <f t="shared" si="22"/>
        <v/>
      </c>
      <c r="O113" s="103" t="str">
        <f t="shared" si="23"/>
        <v/>
      </c>
      <c r="P113" s="53">
        <v>0</v>
      </c>
      <c r="Q113" s="102" t="str">
        <f t="shared" si="24"/>
        <v/>
      </c>
      <c r="R113" s="103" t="str">
        <f t="shared" si="25"/>
        <v/>
      </c>
      <c r="S113" s="53">
        <v>0</v>
      </c>
      <c r="T113" s="102" t="str">
        <f t="shared" si="26"/>
        <v/>
      </c>
      <c r="U113" s="103" t="str">
        <f t="shared" si="27"/>
        <v/>
      </c>
      <c r="V113" s="53">
        <v>0</v>
      </c>
      <c r="W113" s="87" t="str">
        <f t="shared" si="28"/>
        <v/>
      </c>
      <c r="X113" s="103" t="str">
        <f t="shared" si="29"/>
        <v/>
      </c>
      <c r="Y113" s="53">
        <v>0</v>
      </c>
      <c r="Z113" s="56" t="str">
        <f t="shared" si="30"/>
        <v/>
      </c>
      <c r="AA113" s="56" t="str">
        <f t="shared" si="31"/>
        <v/>
      </c>
      <c r="AB113" s="56" t="str">
        <f t="shared" si="32"/>
        <v/>
      </c>
      <c r="AC113" s="56" t="str">
        <f t="shared" si="33"/>
        <v/>
      </c>
      <c r="AD113" s="56" t="str">
        <f t="shared" si="34"/>
        <v/>
      </c>
      <c r="AE113" s="40"/>
      <c r="AF113" s="40"/>
      <c r="AG113" s="40"/>
      <c r="AH113" s="56" t="str">
        <f t="shared" si="35"/>
        <v/>
      </c>
      <c r="AI113" s="54"/>
      <c r="AJ113" s="54"/>
      <c r="AK113" s="54"/>
      <c r="AL113" s="54"/>
      <c r="AM113" s="54"/>
    </row>
    <row r="114" spans="1:39">
      <c r="A114" s="45" t="str" cm="1">
        <f t="array" ref="A114">IF(H114="PROJECT", CHAR(10) &amp; "- " &amp; _xlfn.TEXTJOIN(CHAR(10) &amp; "- ", TRUE, _xlfn._xlws.FILTER($I$9:$I$1000, ($B$9:$B$1000=B114) * ($H$9:$H$1000="Topic"))), "")</f>
        <v/>
      </c>
      <c r="B114" s="45" t="str">
        <f t="shared" si="19"/>
        <v/>
      </c>
      <c r="C114" s="95"/>
      <c r="D114" s="57"/>
      <c r="E114" s="58"/>
      <c r="F114" s="54"/>
      <c r="G114" s="52"/>
      <c r="H114" s="52"/>
      <c r="I114" s="61"/>
      <c r="J114" s="62"/>
      <c r="K114" s="129" t="str">
        <f t="shared" si="20"/>
        <v/>
      </c>
      <c r="L114" s="103" t="str">
        <f t="shared" si="21"/>
        <v/>
      </c>
      <c r="M114" s="52">
        <v>0</v>
      </c>
      <c r="N114" s="102" t="str">
        <f t="shared" si="22"/>
        <v/>
      </c>
      <c r="O114" s="103" t="str">
        <f t="shared" si="23"/>
        <v/>
      </c>
      <c r="P114" s="52">
        <v>0</v>
      </c>
      <c r="Q114" s="102" t="str">
        <f t="shared" si="24"/>
        <v/>
      </c>
      <c r="R114" s="103" t="str">
        <f t="shared" si="25"/>
        <v/>
      </c>
      <c r="S114" s="52">
        <v>0</v>
      </c>
      <c r="T114" s="102" t="str">
        <f t="shared" si="26"/>
        <v/>
      </c>
      <c r="U114" s="103" t="str">
        <f t="shared" si="27"/>
        <v/>
      </c>
      <c r="V114" s="52">
        <v>0</v>
      </c>
      <c r="W114" s="87" t="str">
        <f t="shared" si="28"/>
        <v/>
      </c>
      <c r="X114" s="103" t="str">
        <f t="shared" si="29"/>
        <v/>
      </c>
      <c r="Y114" s="52">
        <v>0</v>
      </c>
      <c r="Z114" s="56" t="str">
        <f t="shared" si="30"/>
        <v/>
      </c>
      <c r="AA114" s="56" t="str">
        <f t="shared" si="31"/>
        <v/>
      </c>
      <c r="AB114" s="56" t="str">
        <f t="shared" si="32"/>
        <v/>
      </c>
      <c r="AC114" s="56" t="str">
        <f t="shared" si="33"/>
        <v/>
      </c>
      <c r="AD114" s="56" t="str">
        <f t="shared" si="34"/>
        <v/>
      </c>
      <c r="AE114" s="40"/>
      <c r="AF114" s="40"/>
      <c r="AG114" s="40"/>
      <c r="AH114" s="56" t="str">
        <f t="shared" si="35"/>
        <v/>
      </c>
      <c r="AI114" s="54"/>
      <c r="AJ114" s="54"/>
      <c r="AK114" s="54"/>
      <c r="AL114" s="54"/>
      <c r="AM114" s="54"/>
    </row>
    <row r="115" spans="1:39">
      <c r="A115" s="45" t="str" cm="1">
        <f t="array" ref="A115">IF(H115="PROJECT", CHAR(10) &amp; "- " &amp; _xlfn.TEXTJOIN(CHAR(10) &amp; "- ", TRUE, _xlfn._xlws.FILTER($I$9:$I$1000, ($B$9:$B$1000=B115) * ($H$9:$H$1000="Topic"))), "")</f>
        <v/>
      </c>
      <c r="B115" s="45" t="str">
        <f t="shared" si="19"/>
        <v/>
      </c>
      <c r="C115" s="95"/>
      <c r="D115" s="46"/>
      <c r="E115" s="58"/>
      <c r="F115" s="67"/>
      <c r="G115" s="53"/>
      <c r="H115" s="53"/>
      <c r="I115" s="50"/>
      <c r="J115" s="51"/>
      <c r="K115" s="129" t="str">
        <f t="shared" si="20"/>
        <v/>
      </c>
      <c r="L115" s="103" t="str">
        <f t="shared" si="21"/>
        <v/>
      </c>
      <c r="M115" s="53">
        <v>0</v>
      </c>
      <c r="N115" s="102" t="str">
        <f t="shared" si="22"/>
        <v/>
      </c>
      <c r="O115" s="103" t="str">
        <f t="shared" si="23"/>
        <v/>
      </c>
      <c r="P115" s="53">
        <v>0</v>
      </c>
      <c r="Q115" s="102" t="str">
        <f t="shared" si="24"/>
        <v/>
      </c>
      <c r="R115" s="103" t="str">
        <f t="shared" si="25"/>
        <v/>
      </c>
      <c r="S115" s="53">
        <v>0</v>
      </c>
      <c r="T115" s="102" t="str">
        <f t="shared" si="26"/>
        <v/>
      </c>
      <c r="U115" s="103" t="str">
        <f t="shared" si="27"/>
        <v/>
      </c>
      <c r="V115" s="53">
        <v>0</v>
      </c>
      <c r="W115" s="87" t="str">
        <f t="shared" si="28"/>
        <v/>
      </c>
      <c r="X115" s="103" t="str">
        <f t="shared" si="29"/>
        <v/>
      </c>
      <c r="Y115" s="53">
        <v>0</v>
      </c>
      <c r="Z115" s="56" t="str">
        <f t="shared" si="30"/>
        <v/>
      </c>
      <c r="AA115" s="56" t="str">
        <f t="shared" si="31"/>
        <v/>
      </c>
      <c r="AB115" s="56" t="str">
        <f t="shared" si="32"/>
        <v/>
      </c>
      <c r="AC115" s="56" t="str">
        <f t="shared" si="33"/>
        <v/>
      </c>
      <c r="AD115" s="56" t="str">
        <f t="shared" si="34"/>
        <v/>
      </c>
      <c r="AE115" s="40"/>
      <c r="AF115" s="40"/>
      <c r="AG115" s="40"/>
      <c r="AH115" s="56" t="str">
        <f t="shared" si="35"/>
        <v/>
      </c>
      <c r="AI115" s="54"/>
      <c r="AJ115" s="54"/>
      <c r="AK115" s="54"/>
      <c r="AL115" s="54"/>
      <c r="AM115" s="54"/>
    </row>
    <row r="116" spans="1:39">
      <c r="A116" s="45" t="str" cm="1">
        <f t="array" ref="A116">IF(H116="PROJECT", CHAR(10) &amp; "- " &amp; _xlfn.TEXTJOIN(CHAR(10) &amp; "- ", TRUE, _xlfn._xlws.FILTER($I$9:$I$1000, ($B$9:$B$1000=B116) * ($H$9:$H$1000="Topic"))), "")</f>
        <v/>
      </c>
      <c r="B116" s="45" t="str">
        <f t="shared" si="19"/>
        <v/>
      </c>
      <c r="C116" s="95"/>
      <c r="D116" s="57"/>
      <c r="E116" s="58"/>
      <c r="F116" s="54"/>
      <c r="G116" s="52"/>
      <c r="H116" s="52"/>
      <c r="I116" s="61"/>
      <c r="J116" s="62"/>
      <c r="K116" s="129" t="str">
        <f t="shared" si="20"/>
        <v/>
      </c>
      <c r="L116" s="103" t="str">
        <f t="shared" si="21"/>
        <v/>
      </c>
      <c r="M116" s="52">
        <v>0</v>
      </c>
      <c r="N116" s="102" t="str">
        <f t="shared" si="22"/>
        <v/>
      </c>
      <c r="O116" s="103" t="str">
        <f t="shared" si="23"/>
        <v/>
      </c>
      <c r="P116" s="52">
        <v>0</v>
      </c>
      <c r="Q116" s="102" t="str">
        <f t="shared" si="24"/>
        <v/>
      </c>
      <c r="R116" s="103" t="str">
        <f t="shared" si="25"/>
        <v/>
      </c>
      <c r="S116" s="52">
        <v>0</v>
      </c>
      <c r="T116" s="102" t="str">
        <f t="shared" si="26"/>
        <v/>
      </c>
      <c r="U116" s="103" t="str">
        <f t="shared" si="27"/>
        <v/>
      </c>
      <c r="V116" s="52">
        <v>0</v>
      </c>
      <c r="W116" s="87" t="str">
        <f t="shared" si="28"/>
        <v/>
      </c>
      <c r="X116" s="103" t="str">
        <f t="shared" si="29"/>
        <v/>
      </c>
      <c r="Y116" s="52">
        <v>0</v>
      </c>
      <c r="Z116" s="56" t="str">
        <f t="shared" si="30"/>
        <v/>
      </c>
      <c r="AA116" s="56" t="str">
        <f t="shared" si="31"/>
        <v/>
      </c>
      <c r="AB116" s="56" t="str">
        <f t="shared" si="32"/>
        <v/>
      </c>
      <c r="AC116" s="56" t="str">
        <f t="shared" si="33"/>
        <v/>
      </c>
      <c r="AD116" s="56" t="str">
        <f t="shared" si="34"/>
        <v/>
      </c>
      <c r="AE116" s="40"/>
      <c r="AF116" s="40"/>
      <c r="AG116" s="40"/>
      <c r="AH116" s="56" t="str">
        <f t="shared" si="35"/>
        <v/>
      </c>
      <c r="AI116" s="54"/>
      <c r="AJ116" s="54"/>
      <c r="AK116" s="54"/>
      <c r="AL116" s="54"/>
      <c r="AM116" s="54"/>
    </row>
    <row r="117" spans="1:39">
      <c r="A117" s="45" t="str" cm="1">
        <f t="array" ref="A117">IF(H117="PROJECT", CHAR(10) &amp; "- " &amp; _xlfn.TEXTJOIN(CHAR(10) &amp; "- ", TRUE, _xlfn._xlws.FILTER($I$9:$I$1000, ($B$9:$B$1000=B117) * ($H$9:$H$1000="Topic"))), "")</f>
        <v/>
      </c>
      <c r="B117" s="45" t="str">
        <f t="shared" si="19"/>
        <v/>
      </c>
      <c r="C117" s="95"/>
      <c r="D117" s="46"/>
      <c r="E117" s="58"/>
      <c r="F117" s="67"/>
      <c r="G117" s="53"/>
      <c r="H117" s="53"/>
      <c r="I117" s="50"/>
      <c r="J117" s="51"/>
      <c r="K117" s="129" t="str">
        <f t="shared" si="20"/>
        <v/>
      </c>
      <c r="L117" s="103" t="str">
        <f t="shared" si="21"/>
        <v/>
      </c>
      <c r="M117" s="53">
        <v>0</v>
      </c>
      <c r="N117" s="102" t="str">
        <f t="shared" si="22"/>
        <v/>
      </c>
      <c r="O117" s="103" t="str">
        <f t="shared" si="23"/>
        <v/>
      </c>
      <c r="P117" s="53">
        <v>0</v>
      </c>
      <c r="Q117" s="102" t="str">
        <f t="shared" si="24"/>
        <v/>
      </c>
      <c r="R117" s="103" t="str">
        <f t="shared" si="25"/>
        <v/>
      </c>
      <c r="S117" s="53">
        <v>0</v>
      </c>
      <c r="T117" s="102" t="str">
        <f t="shared" si="26"/>
        <v/>
      </c>
      <c r="U117" s="103" t="str">
        <f t="shared" si="27"/>
        <v/>
      </c>
      <c r="V117" s="53">
        <v>0</v>
      </c>
      <c r="W117" s="87" t="str">
        <f t="shared" si="28"/>
        <v/>
      </c>
      <c r="X117" s="103" t="str">
        <f t="shared" si="29"/>
        <v/>
      </c>
      <c r="Y117" s="53">
        <v>0</v>
      </c>
      <c r="Z117" s="56" t="str">
        <f t="shared" si="30"/>
        <v/>
      </c>
      <c r="AA117" s="56" t="str">
        <f t="shared" si="31"/>
        <v/>
      </c>
      <c r="AB117" s="56" t="str">
        <f t="shared" si="32"/>
        <v/>
      </c>
      <c r="AC117" s="56" t="str">
        <f t="shared" si="33"/>
        <v/>
      </c>
      <c r="AD117" s="56" t="str">
        <f t="shared" si="34"/>
        <v/>
      </c>
      <c r="AE117" s="40"/>
      <c r="AF117" s="40"/>
      <c r="AG117" s="40"/>
      <c r="AH117" s="56" t="str">
        <f t="shared" si="35"/>
        <v/>
      </c>
      <c r="AI117" s="54"/>
      <c r="AJ117" s="54"/>
      <c r="AK117" s="54"/>
      <c r="AL117" s="54"/>
      <c r="AM117" s="54"/>
    </row>
    <row r="118" spans="1:39">
      <c r="A118" s="45" t="str" cm="1">
        <f t="array" ref="A118">IF(H118="PROJECT", CHAR(10) &amp; "- " &amp; _xlfn.TEXTJOIN(CHAR(10) &amp; "- ", TRUE, _xlfn._xlws.FILTER($I$9:$I$1000, ($B$9:$B$1000=B118) * ($H$9:$H$1000="Topic"))), "")</f>
        <v/>
      </c>
      <c r="B118" s="45" t="str">
        <f t="shared" si="19"/>
        <v/>
      </c>
      <c r="C118" s="95"/>
      <c r="D118" s="57"/>
      <c r="E118" s="58"/>
      <c r="F118" s="54"/>
      <c r="G118" s="52"/>
      <c r="H118" s="52"/>
      <c r="I118" s="61"/>
      <c r="J118" s="62"/>
      <c r="K118" s="129" t="str">
        <f t="shared" si="20"/>
        <v/>
      </c>
      <c r="L118" s="103" t="str">
        <f t="shared" si="21"/>
        <v/>
      </c>
      <c r="M118" s="52">
        <v>0</v>
      </c>
      <c r="N118" s="102" t="str">
        <f t="shared" si="22"/>
        <v/>
      </c>
      <c r="O118" s="103" t="str">
        <f t="shared" si="23"/>
        <v/>
      </c>
      <c r="P118" s="52">
        <v>0</v>
      </c>
      <c r="Q118" s="102" t="str">
        <f t="shared" si="24"/>
        <v/>
      </c>
      <c r="R118" s="103" t="str">
        <f t="shared" si="25"/>
        <v/>
      </c>
      <c r="S118" s="52">
        <v>0</v>
      </c>
      <c r="T118" s="102" t="str">
        <f t="shared" si="26"/>
        <v/>
      </c>
      <c r="U118" s="103" t="str">
        <f t="shared" si="27"/>
        <v/>
      </c>
      <c r="V118" s="52">
        <v>0</v>
      </c>
      <c r="W118" s="87" t="str">
        <f t="shared" si="28"/>
        <v/>
      </c>
      <c r="X118" s="103" t="str">
        <f t="shared" si="29"/>
        <v/>
      </c>
      <c r="Y118" s="52">
        <v>0</v>
      </c>
      <c r="Z118" s="56" t="str">
        <f t="shared" si="30"/>
        <v/>
      </c>
      <c r="AA118" s="56" t="str">
        <f t="shared" si="31"/>
        <v/>
      </c>
      <c r="AB118" s="56" t="str">
        <f t="shared" si="32"/>
        <v/>
      </c>
      <c r="AC118" s="56" t="str">
        <f t="shared" si="33"/>
        <v/>
      </c>
      <c r="AD118" s="56" t="str">
        <f t="shared" si="34"/>
        <v/>
      </c>
      <c r="AE118" s="40"/>
      <c r="AF118" s="40"/>
      <c r="AG118" s="40"/>
      <c r="AH118" s="56" t="str">
        <f t="shared" si="35"/>
        <v/>
      </c>
      <c r="AI118" s="54"/>
      <c r="AJ118" s="54"/>
      <c r="AK118" s="54"/>
      <c r="AL118" s="54"/>
      <c r="AM118" s="54"/>
    </row>
    <row r="119" spans="1:39">
      <c r="A119" s="45" t="str" cm="1">
        <f t="array" ref="A119">IF(H119="PROJECT", CHAR(10) &amp; "- " &amp; _xlfn.TEXTJOIN(CHAR(10) &amp; "- ", TRUE, _xlfn._xlws.FILTER($I$9:$I$1000, ($B$9:$B$1000=B119) * ($H$9:$H$1000="Topic"))), "")</f>
        <v/>
      </c>
      <c r="B119" s="45" t="str">
        <f t="shared" si="19"/>
        <v/>
      </c>
      <c r="C119" s="95"/>
      <c r="D119" s="46"/>
      <c r="E119" s="58"/>
      <c r="F119" s="67"/>
      <c r="G119" s="53"/>
      <c r="H119" s="53"/>
      <c r="I119" s="50"/>
      <c r="J119" s="51"/>
      <c r="K119" s="129" t="str">
        <f t="shared" si="20"/>
        <v/>
      </c>
      <c r="L119" s="103" t="str">
        <f t="shared" si="21"/>
        <v/>
      </c>
      <c r="M119" s="53">
        <v>0</v>
      </c>
      <c r="N119" s="102" t="str">
        <f t="shared" si="22"/>
        <v/>
      </c>
      <c r="O119" s="103" t="str">
        <f t="shared" si="23"/>
        <v/>
      </c>
      <c r="P119" s="53">
        <v>0</v>
      </c>
      <c r="Q119" s="102" t="str">
        <f t="shared" si="24"/>
        <v/>
      </c>
      <c r="R119" s="103" t="str">
        <f t="shared" si="25"/>
        <v/>
      </c>
      <c r="S119" s="53">
        <v>0</v>
      </c>
      <c r="T119" s="102" t="str">
        <f t="shared" si="26"/>
        <v/>
      </c>
      <c r="U119" s="103" t="str">
        <f t="shared" si="27"/>
        <v/>
      </c>
      <c r="V119" s="53">
        <v>0</v>
      </c>
      <c r="W119" s="87" t="str">
        <f t="shared" si="28"/>
        <v/>
      </c>
      <c r="X119" s="103" t="str">
        <f t="shared" si="29"/>
        <v/>
      </c>
      <c r="Y119" s="53">
        <v>0</v>
      </c>
      <c r="Z119" s="56" t="str">
        <f t="shared" si="30"/>
        <v/>
      </c>
      <c r="AA119" s="56" t="str">
        <f t="shared" si="31"/>
        <v/>
      </c>
      <c r="AB119" s="56" t="str">
        <f t="shared" si="32"/>
        <v/>
      </c>
      <c r="AC119" s="56" t="str">
        <f t="shared" si="33"/>
        <v/>
      </c>
      <c r="AD119" s="56" t="str">
        <f t="shared" si="34"/>
        <v/>
      </c>
      <c r="AE119" s="40"/>
      <c r="AF119" s="40"/>
      <c r="AG119" s="40"/>
      <c r="AH119" s="56" t="str">
        <f t="shared" si="35"/>
        <v/>
      </c>
      <c r="AI119" s="54"/>
      <c r="AJ119" s="54"/>
      <c r="AK119" s="54"/>
      <c r="AL119" s="54"/>
      <c r="AM119" s="54"/>
    </row>
    <row r="120" spans="1:39">
      <c r="A120" s="45" t="str" cm="1">
        <f t="array" ref="A120">IF(H120="PROJECT", CHAR(10) &amp; "- " &amp; _xlfn.TEXTJOIN(CHAR(10) &amp; "- ", TRUE, _xlfn._xlws.FILTER($I$9:$I$1000, ($B$9:$B$1000=B120) * ($H$9:$H$1000="Topic"))), "")</f>
        <v/>
      </c>
      <c r="B120" s="45" t="str">
        <f t="shared" si="19"/>
        <v/>
      </c>
      <c r="C120" s="95"/>
      <c r="D120" s="57"/>
      <c r="E120" s="58"/>
      <c r="F120" s="54"/>
      <c r="G120" s="52"/>
      <c r="H120" s="52"/>
      <c r="I120" s="61"/>
      <c r="J120" s="62"/>
      <c r="K120" s="129" t="str">
        <f t="shared" si="20"/>
        <v/>
      </c>
      <c r="L120" s="103" t="str">
        <f t="shared" si="21"/>
        <v/>
      </c>
      <c r="M120" s="52">
        <v>0</v>
      </c>
      <c r="N120" s="102" t="str">
        <f t="shared" si="22"/>
        <v/>
      </c>
      <c r="O120" s="103" t="str">
        <f t="shared" si="23"/>
        <v/>
      </c>
      <c r="P120" s="52">
        <v>0</v>
      </c>
      <c r="Q120" s="102" t="str">
        <f t="shared" si="24"/>
        <v/>
      </c>
      <c r="R120" s="103" t="str">
        <f t="shared" si="25"/>
        <v/>
      </c>
      <c r="S120" s="52">
        <v>0</v>
      </c>
      <c r="T120" s="102" t="str">
        <f t="shared" si="26"/>
        <v/>
      </c>
      <c r="U120" s="103" t="str">
        <f t="shared" si="27"/>
        <v/>
      </c>
      <c r="V120" s="52">
        <v>0</v>
      </c>
      <c r="W120" s="87" t="str">
        <f t="shared" si="28"/>
        <v/>
      </c>
      <c r="X120" s="103" t="str">
        <f t="shared" si="29"/>
        <v/>
      </c>
      <c r="Y120" s="52">
        <v>0</v>
      </c>
      <c r="Z120" s="56" t="str">
        <f t="shared" si="30"/>
        <v/>
      </c>
      <c r="AA120" s="56" t="str">
        <f t="shared" si="31"/>
        <v/>
      </c>
      <c r="AB120" s="56" t="str">
        <f t="shared" si="32"/>
        <v/>
      </c>
      <c r="AC120" s="56" t="str">
        <f t="shared" si="33"/>
        <v/>
      </c>
      <c r="AD120" s="56" t="str">
        <f t="shared" si="34"/>
        <v/>
      </c>
      <c r="AE120" s="40"/>
      <c r="AF120" s="40"/>
      <c r="AG120" s="40"/>
      <c r="AH120" s="56" t="str">
        <f t="shared" si="35"/>
        <v/>
      </c>
      <c r="AI120" s="54"/>
      <c r="AJ120" s="54"/>
      <c r="AK120" s="54"/>
      <c r="AL120" s="54"/>
      <c r="AM120" s="54"/>
    </row>
    <row r="121" spans="1:39">
      <c r="A121" s="45" t="str" cm="1">
        <f t="array" ref="A121">IF(H121="PROJECT", CHAR(10) &amp; "- " &amp; _xlfn.TEXTJOIN(CHAR(10) &amp; "- ", TRUE, _xlfn._xlws.FILTER($I$9:$I$1000, ($B$9:$B$1000=B121) * ($H$9:$H$1000="Topic"))), "")</f>
        <v/>
      </c>
      <c r="B121" s="45" t="str">
        <f t="shared" si="19"/>
        <v/>
      </c>
      <c r="C121" s="95"/>
      <c r="D121" s="46"/>
      <c r="E121" s="58"/>
      <c r="F121" s="67"/>
      <c r="G121" s="53"/>
      <c r="H121" s="53"/>
      <c r="I121" s="50"/>
      <c r="J121" s="51"/>
      <c r="K121" s="129" t="str">
        <f t="shared" si="20"/>
        <v/>
      </c>
      <c r="L121" s="103" t="str">
        <f t="shared" si="21"/>
        <v/>
      </c>
      <c r="M121" s="53">
        <v>0</v>
      </c>
      <c r="N121" s="102" t="str">
        <f t="shared" si="22"/>
        <v/>
      </c>
      <c r="O121" s="103" t="str">
        <f t="shared" si="23"/>
        <v/>
      </c>
      <c r="P121" s="53">
        <v>0</v>
      </c>
      <c r="Q121" s="102" t="str">
        <f t="shared" si="24"/>
        <v/>
      </c>
      <c r="R121" s="103" t="str">
        <f t="shared" si="25"/>
        <v/>
      </c>
      <c r="S121" s="53">
        <v>0</v>
      </c>
      <c r="T121" s="102" t="str">
        <f t="shared" si="26"/>
        <v/>
      </c>
      <c r="U121" s="103" t="str">
        <f t="shared" si="27"/>
        <v/>
      </c>
      <c r="V121" s="53">
        <v>0</v>
      </c>
      <c r="W121" s="87" t="str">
        <f t="shared" si="28"/>
        <v/>
      </c>
      <c r="X121" s="103" t="str">
        <f t="shared" si="29"/>
        <v/>
      </c>
      <c r="Y121" s="53">
        <v>0</v>
      </c>
      <c r="Z121" s="56" t="str">
        <f t="shared" si="30"/>
        <v/>
      </c>
      <c r="AA121" s="56" t="str">
        <f t="shared" si="31"/>
        <v/>
      </c>
      <c r="AB121" s="56" t="str">
        <f t="shared" si="32"/>
        <v/>
      </c>
      <c r="AC121" s="56" t="str">
        <f t="shared" si="33"/>
        <v/>
      </c>
      <c r="AD121" s="56" t="str">
        <f t="shared" si="34"/>
        <v/>
      </c>
      <c r="AE121" s="40"/>
      <c r="AF121" s="40"/>
      <c r="AG121" s="40"/>
      <c r="AH121" s="56" t="str">
        <f t="shared" si="35"/>
        <v/>
      </c>
      <c r="AI121" s="54"/>
      <c r="AJ121" s="54"/>
      <c r="AK121" s="54"/>
      <c r="AL121" s="54"/>
      <c r="AM121" s="54"/>
    </row>
    <row r="122" spans="1:39">
      <c r="A122" s="45" t="str" cm="1">
        <f t="array" ref="A122">IF(H122="PROJECT", CHAR(10) &amp; "- " &amp; _xlfn.TEXTJOIN(CHAR(10) &amp; "- ", TRUE, _xlfn._xlws.FILTER($I$9:$I$1000, ($B$9:$B$1000=B122) * ($H$9:$H$1000="Topic"))), "")</f>
        <v/>
      </c>
      <c r="B122" s="45" t="str">
        <f t="shared" si="19"/>
        <v/>
      </c>
      <c r="C122" s="95"/>
      <c r="D122" s="57"/>
      <c r="E122" s="58"/>
      <c r="F122" s="54"/>
      <c r="G122" s="52"/>
      <c r="H122" s="52"/>
      <c r="I122" s="61"/>
      <c r="J122" s="62"/>
      <c r="K122" s="129" t="str">
        <f t="shared" si="20"/>
        <v/>
      </c>
      <c r="L122" s="103" t="str">
        <f t="shared" si="21"/>
        <v/>
      </c>
      <c r="M122" s="52">
        <v>0</v>
      </c>
      <c r="N122" s="102" t="str">
        <f t="shared" si="22"/>
        <v/>
      </c>
      <c r="O122" s="103" t="str">
        <f t="shared" si="23"/>
        <v/>
      </c>
      <c r="P122" s="52">
        <v>0</v>
      </c>
      <c r="Q122" s="102" t="str">
        <f t="shared" si="24"/>
        <v/>
      </c>
      <c r="R122" s="103" t="str">
        <f t="shared" si="25"/>
        <v/>
      </c>
      <c r="S122" s="52">
        <v>0</v>
      </c>
      <c r="T122" s="102" t="str">
        <f t="shared" si="26"/>
        <v/>
      </c>
      <c r="U122" s="103" t="str">
        <f t="shared" si="27"/>
        <v/>
      </c>
      <c r="V122" s="52">
        <v>0</v>
      </c>
      <c r="W122" s="87" t="str">
        <f t="shared" si="28"/>
        <v/>
      </c>
      <c r="X122" s="103" t="str">
        <f t="shared" si="29"/>
        <v/>
      </c>
      <c r="Y122" s="52">
        <v>0</v>
      </c>
      <c r="Z122" s="56" t="str">
        <f t="shared" si="30"/>
        <v/>
      </c>
      <c r="AA122" s="56" t="str">
        <f t="shared" si="31"/>
        <v/>
      </c>
      <c r="AB122" s="56" t="str">
        <f t="shared" si="32"/>
        <v/>
      </c>
      <c r="AC122" s="56" t="str">
        <f t="shared" si="33"/>
        <v/>
      </c>
      <c r="AD122" s="56" t="str">
        <f t="shared" si="34"/>
        <v/>
      </c>
      <c r="AE122" s="40"/>
      <c r="AF122" s="40"/>
      <c r="AG122" s="40"/>
      <c r="AH122" s="56" t="str">
        <f t="shared" si="35"/>
        <v/>
      </c>
      <c r="AI122" s="54"/>
      <c r="AJ122" s="54"/>
      <c r="AK122" s="54"/>
      <c r="AL122" s="54"/>
      <c r="AM122" s="54"/>
    </row>
    <row r="123" spans="1:39">
      <c r="A123" s="45" t="str" cm="1">
        <f t="array" ref="A123">IF(H123="PROJECT", CHAR(10) &amp; "- " &amp; _xlfn.TEXTJOIN(CHAR(10) &amp; "- ", TRUE, _xlfn._xlws.FILTER($I$9:$I$1000, ($B$9:$B$1000=B123) * ($H$9:$H$1000="Topic"))), "")</f>
        <v/>
      </c>
      <c r="B123" s="45" t="str">
        <f t="shared" si="19"/>
        <v/>
      </c>
      <c r="C123" s="95"/>
      <c r="D123" s="46"/>
      <c r="E123" s="58"/>
      <c r="F123" s="67"/>
      <c r="G123" s="53"/>
      <c r="H123" s="53"/>
      <c r="I123" s="50"/>
      <c r="J123" s="51"/>
      <c r="K123" s="129" t="str">
        <f t="shared" si="20"/>
        <v/>
      </c>
      <c r="L123" s="103" t="str">
        <f t="shared" si="21"/>
        <v/>
      </c>
      <c r="M123" s="53">
        <v>0</v>
      </c>
      <c r="N123" s="102" t="str">
        <f t="shared" si="22"/>
        <v/>
      </c>
      <c r="O123" s="103" t="str">
        <f t="shared" si="23"/>
        <v/>
      </c>
      <c r="P123" s="53">
        <v>0</v>
      </c>
      <c r="Q123" s="102" t="str">
        <f t="shared" si="24"/>
        <v/>
      </c>
      <c r="R123" s="103" t="str">
        <f t="shared" si="25"/>
        <v/>
      </c>
      <c r="S123" s="53">
        <v>0</v>
      </c>
      <c r="T123" s="102" t="str">
        <f t="shared" si="26"/>
        <v/>
      </c>
      <c r="U123" s="103" t="str">
        <f t="shared" si="27"/>
        <v/>
      </c>
      <c r="V123" s="53">
        <v>0</v>
      </c>
      <c r="W123" s="87" t="str">
        <f t="shared" si="28"/>
        <v/>
      </c>
      <c r="X123" s="103" t="str">
        <f t="shared" si="29"/>
        <v/>
      </c>
      <c r="Y123" s="53">
        <v>0</v>
      </c>
      <c r="Z123" s="56" t="str">
        <f t="shared" si="30"/>
        <v/>
      </c>
      <c r="AA123" s="56" t="str">
        <f t="shared" si="31"/>
        <v/>
      </c>
      <c r="AB123" s="56" t="str">
        <f t="shared" si="32"/>
        <v/>
      </c>
      <c r="AC123" s="56" t="str">
        <f t="shared" si="33"/>
        <v/>
      </c>
      <c r="AD123" s="56" t="str">
        <f t="shared" si="34"/>
        <v/>
      </c>
      <c r="AE123" s="40"/>
      <c r="AF123" s="40"/>
      <c r="AG123" s="40"/>
      <c r="AH123" s="56" t="str">
        <f t="shared" si="35"/>
        <v/>
      </c>
      <c r="AI123" s="54"/>
      <c r="AJ123" s="54"/>
      <c r="AK123" s="54"/>
      <c r="AL123" s="54"/>
      <c r="AM123" s="54"/>
    </row>
    <row r="124" spans="1:39">
      <c r="A124" s="45" t="str" cm="1">
        <f t="array" ref="A124">IF(H124="PROJECT", CHAR(10) &amp; "- " &amp; _xlfn.TEXTJOIN(CHAR(10) &amp; "- ", TRUE, _xlfn._xlws.FILTER($I$9:$I$1000, ($B$9:$B$1000=B124) * ($H$9:$H$1000="Topic"))), "")</f>
        <v/>
      </c>
      <c r="B124" s="45" t="str">
        <f t="shared" si="19"/>
        <v/>
      </c>
      <c r="C124" s="95"/>
      <c r="D124" s="57"/>
      <c r="E124" s="58"/>
      <c r="F124" s="54"/>
      <c r="G124" s="52"/>
      <c r="H124" s="52"/>
      <c r="I124" s="61"/>
      <c r="J124" s="62"/>
      <c r="K124" s="129" t="str">
        <f t="shared" si="20"/>
        <v/>
      </c>
      <c r="L124" s="103" t="str">
        <f t="shared" si="21"/>
        <v/>
      </c>
      <c r="M124" s="52">
        <v>0</v>
      </c>
      <c r="N124" s="102" t="str">
        <f t="shared" si="22"/>
        <v/>
      </c>
      <c r="O124" s="103" t="str">
        <f t="shared" si="23"/>
        <v/>
      </c>
      <c r="P124" s="52">
        <v>0</v>
      </c>
      <c r="Q124" s="102" t="str">
        <f t="shared" si="24"/>
        <v/>
      </c>
      <c r="R124" s="103" t="str">
        <f t="shared" si="25"/>
        <v/>
      </c>
      <c r="S124" s="52">
        <v>0</v>
      </c>
      <c r="T124" s="102" t="str">
        <f t="shared" si="26"/>
        <v/>
      </c>
      <c r="U124" s="103" t="str">
        <f t="shared" si="27"/>
        <v/>
      </c>
      <c r="V124" s="52">
        <v>0</v>
      </c>
      <c r="W124" s="87" t="str">
        <f t="shared" si="28"/>
        <v/>
      </c>
      <c r="X124" s="103" t="str">
        <f t="shared" si="29"/>
        <v/>
      </c>
      <c r="Y124" s="52">
        <v>0</v>
      </c>
      <c r="Z124" s="56" t="str">
        <f t="shared" si="30"/>
        <v/>
      </c>
      <c r="AA124" s="56" t="str">
        <f t="shared" si="31"/>
        <v/>
      </c>
      <c r="AB124" s="56" t="str">
        <f t="shared" si="32"/>
        <v/>
      </c>
      <c r="AC124" s="56" t="str">
        <f t="shared" si="33"/>
        <v/>
      </c>
      <c r="AD124" s="56" t="str">
        <f t="shared" si="34"/>
        <v/>
      </c>
      <c r="AE124" s="40"/>
      <c r="AF124" s="40"/>
      <c r="AG124" s="40"/>
      <c r="AH124" s="56" t="str">
        <f t="shared" si="35"/>
        <v/>
      </c>
      <c r="AI124" s="54"/>
      <c r="AJ124" s="54"/>
      <c r="AK124" s="54"/>
      <c r="AL124" s="54"/>
      <c r="AM124" s="54"/>
    </row>
    <row r="125" spans="1:39">
      <c r="A125" s="45" t="str" cm="1">
        <f t="array" ref="A125">IF(H125="PROJECT", CHAR(10) &amp; "- " &amp; _xlfn.TEXTJOIN(CHAR(10) &amp; "- ", TRUE, _xlfn._xlws.FILTER($I$9:$I$1000, ($B$9:$B$1000=B125) * ($H$9:$H$1000="Topic"))), "")</f>
        <v/>
      </c>
      <c r="B125" s="45" t="str">
        <f t="shared" si="19"/>
        <v/>
      </c>
      <c r="C125" s="95"/>
      <c r="D125" s="46"/>
      <c r="E125" s="58"/>
      <c r="F125" s="67"/>
      <c r="G125" s="53"/>
      <c r="H125" s="53"/>
      <c r="I125" s="50"/>
      <c r="J125" s="51"/>
      <c r="K125" s="129" t="str">
        <f t="shared" si="20"/>
        <v/>
      </c>
      <c r="L125" s="103" t="str">
        <f t="shared" si="21"/>
        <v/>
      </c>
      <c r="M125" s="53">
        <v>0</v>
      </c>
      <c r="N125" s="102" t="str">
        <f t="shared" si="22"/>
        <v/>
      </c>
      <c r="O125" s="103" t="str">
        <f t="shared" si="23"/>
        <v/>
      </c>
      <c r="P125" s="53">
        <v>0</v>
      </c>
      <c r="Q125" s="102" t="str">
        <f t="shared" si="24"/>
        <v/>
      </c>
      <c r="R125" s="103" t="str">
        <f t="shared" si="25"/>
        <v/>
      </c>
      <c r="S125" s="53">
        <v>0</v>
      </c>
      <c r="T125" s="102" t="str">
        <f t="shared" si="26"/>
        <v/>
      </c>
      <c r="U125" s="103" t="str">
        <f t="shared" si="27"/>
        <v/>
      </c>
      <c r="V125" s="53">
        <v>0</v>
      </c>
      <c r="W125" s="87" t="str">
        <f t="shared" si="28"/>
        <v/>
      </c>
      <c r="X125" s="103" t="str">
        <f t="shared" si="29"/>
        <v/>
      </c>
      <c r="Y125" s="53">
        <v>0</v>
      </c>
      <c r="Z125" s="56" t="str">
        <f t="shared" si="30"/>
        <v/>
      </c>
      <c r="AA125" s="56" t="str">
        <f t="shared" si="31"/>
        <v/>
      </c>
      <c r="AB125" s="56" t="str">
        <f t="shared" si="32"/>
        <v/>
      </c>
      <c r="AC125" s="56" t="str">
        <f t="shared" si="33"/>
        <v/>
      </c>
      <c r="AD125" s="56" t="str">
        <f t="shared" si="34"/>
        <v/>
      </c>
      <c r="AE125" s="40"/>
      <c r="AF125" s="40"/>
      <c r="AG125" s="40"/>
      <c r="AH125" s="56" t="str">
        <f t="shared" si="35"/>
        <v/>
      </c>
      <c r="AI125" s="54"/>
      <c r="AJ125" s="54"/>
      <c r="AK125" s="54"/>
      <c r="AL125" s="54"/>
      <c r="AM125" s="54"/>
    </row>
    <row r="126" spans="1:39">
      <c r="A126" s="45" t="str" cm="1">
        <f t="array" ref="A126">IF(H126="PROJECT", CHAR(10) &amp; "- " &amp; _xlfn.TEXTJOIN(CHAR(10) &amp; "- ", TRUE, _xlfn._xlws.FILTER($I$9:$I$1000, ($B$9:$B$1000=B126) * ($H$9:$H$1000="Topic"))), "")</f>
        <v/>
      </c>
      <c r="B126" s="45" t="str">
        <f t="shared" si="19"/>
        <v/>
      </c>
      <c r="C126" s="95"/>
      <c r="D126" s="57"/>
      <c r="E126" s="58"/>
      <c r="F126" s="54"/>
      <c r="G126" s="52"/>
      <c r="H126" s="52"/>
      <c r="I126" s="61"/>
      <c r="J126" s="62"/>
      <c r="K126" s="129" t="str">
        <f t="shared" si="20"/>
        <v/>
      </c>
      <c r="L126" s="103" t="str">
        <f t="shared" si="21"/>
        <v/>
      </c>
      <c r="M126" s="52">
        <v>0</v>
      </c>
      <c r="N126" s="102" t="str">
        <f t="shared" si="22"/>
        <v/>
      </c>
      <c r="O126" s="103" t="str">
        <f t="shared" si="23"/>
        <v/>
      </c>
      <c r="P126" s="52">
        <v>0</v>
      </c>
      <c r="Q126" s="102" t="str">
        <f t="shared" si="24"/>
        <v/>
      </c>
      <c r="R126" s="103" t="str">
        <f t="shared" si="25"/>
        <v/>
      </c>
      <c r="S126" s="52">
        <v>0</v>
      </c>
      <c r="T126" s="102" t="str">
        <f t="shared" si="26"/>
        <v/>
      </c>
      <c r="U126" s="103" t="str">
        <f t="shared" si="27"/>
        <v/>
      </c>
      <c r="V126" s="52">
        <v>0</v>
      </c>
      <c r="W126" s="87" t="str">
        <f t="shared" si="28"/>
        <v/>
      </c>
      <c r="X126" s="103" t="str">
        <f t="shared" si="29"/>
        <v/>
      </c>
      <c r="Y126" s="52">
        <v>0</v>
      </c>
      <c r="Z126" s="56" t="str">
        <f t="shared" si="30"/>
        <v/>
      </c>
      <c r="AA126" s="56" t="str">
        <f t="shared" si="31"/>
        <v/>
      </c>
      <c r="AB126" s="56" t="str">
        <f t="shared" si="32"/>
        <v/>
      </c>
      <c r="AC126" s="56" t="str">
        <f t="shared" si="33"/>
        <v/>
      </c>
      <c r="AD126" s="56" t="str">
        <f t="shared" si="34"/>
        <v/>
      </c>
      <c r="AE126" s="40"/>
      <c r="AF126" s="40"/>
      <c r="AG126" s="40"/>
      <c r="AH126" s="56" t="str">
        <f t="shared" si="35"/>
        <v/>
      </c>
      <c r="AI126" s="54"/>
      <c r="AJ126" s="54"/>
      <c r="AK126" s="54"/>
      <c r="AL126" s="54"/>
      <c r="AM126" s="54"/>
    </row>
    <row r="127" spans="1:39">
      <c r="A127" s="45" t="str" cm="1">
        <f t="array" ref="A127">IF(H127="PROJECT", CHAR(10) &amp; "- " &amp; _xlfn.TEXTJOIN(CHAR(10) &amp; "- ", TRUE, _xlfn._xlws.FILTER($I$9:$I$1000, ($B$9:$B$1000=B127) * ($H$9:$H$1000="Topic"))), "")</f>
        <v/>
      </c>
      <c r="B127" s="45" t="str">
        <f t="shared" si="19"/>
        <v/>
      </c>
      <c r="C127" s="95"/>
      <c r="D127" s="46"/>
      <c r="E127" s="58"/>
      <c r="F127" s="67"/>
      <c r="G127" s="53"/>
      <c r="H127" s="53"/>
      <c r="I127" s="50"/>
      <c r="J127" s="51"/>
      <c r="K127" s="129" t="str">
        <f t="shared" si="20"/>
        <v/>
      </c>
      <c r="L127" s="103" t="str">
        <f t="shared" si="21"/>
        <v/>
      </c>
      <c r="M127" s="53">
        <v>0</v>
      </c>
      <c r="N127" s="102" t="str">
        <f t="shared" si="22"/>
        <v/>
      </c>
      <c r="O127" s="103" t="str">
        <f t="shared" si="23"/>
        <v/>
      </c>
      <c r="P127" s="53">
        <v>0</v>
      </c>
      <c r="Q127" s="102" t="str">
        <f t="shared" si="24"/>
        <v/>
      </c>
      <c r="R127" s="103" t="str">
        <f t="shared" si="25"/>
        <v/>
      </c>
      <c r="S127" s="53">
        <v>0</v>
      </c>
      <c r="T127" s="102" t="str">
        <f t="shared" si="26"/>
        <v/>
      </c>
      <c r="U127" s="103" t="str">
        <f t="shared" si="27"/>
        <v/>
      </c>
      <c r="V127" s="53">
        <v>0</v>
      </c>
      <c r="W127" s="87" t="str">
        <f t="shared" si="28"/>
        <v/>
      </c>
      <c r="X127" s="103" t="str">
        <f t="shared" si="29"/>
        <v/>
      </c>
      <c r="Y127" s="53">
        <v>0</v>
      </c>
      <c r="Z127" s="56" t="str">
        <f t="shared" si="30"/>
        <v/>
      </c>
      <c r="AA127" s="56" t="str">
        <f t="shared" si="31"/>
        <v/>
      </c>
      <c r="AB127" s="56" t="str">
        <f t="shared" si="32"/>
        <v/>
      </c>
      <c r="AC127" s="56" t="str">
        <f t="shared" si="33"/>
        <v/>
      </c>
      <c r="AD127" s="56" t="str">
        <f t="shared" si="34"/>
        <v/>
      </c>
      <c r="AE127" s="40"/>
      <c r="AF127" s="40"/>
      <c r="AG127" s="40"/>
      <c r="AH127" s="56" t="str">
        <f t="shared" si="35"/>
        <v/>
      </c>
      <c r="AI127" s="54"/>
      <c r="AJ127" s="54"/>
      <c r="AK127" s="54"/>
      <c r="AL127" s="54"/>
      <c r="AM127" s="54"/>
    </row>
    <row r="128" spans="1:39">
      <c r="A128" s="45" t="str" cm="1">
        <f t="array" ref="A128">IF(H128="PROJECT", CHAR(10) &amp; "- " &amp; _xlfn.TEXTJOIN(CHAR(10) &amp; "- ", TRUE, _xlfn._xlws.FILTER($I$9:$I$1000, ($B$9:$B$1000=B128) * ($H$9:$H$1000="Topic"))), "")</f>
        <v/>
      </c>
      <c r="B128" s="45" t="str">
        <f t="shared" si="19"/>
        <v/>
      </c>
      <c r="C128" s="95"/>
      <c r="D128" s="57"/>
      <c r="E128" s="58"/>
      <c r="F128" s="54"/>
      <c r="G128" s="52"/>
      <c r="H128" s="52"/>
      <c r="I128" s="61"/>
      <c r="J128" s="62"/>
      <c r="K128" s="129" t="str">
        <f t="shared" si="20"/>
        <v/>
      </c>
      <c r="L128" s="103" t="str">
        <f t="shared" si="21"/>
        <v/>
      </c>
      <c r="M128" s="52">
        <v>0</v>
      </c>
      <c r="N128" s="102" t="str">
        <f t="shared" si="22"/>
        <v/>
      </c>
      <c r="O128" s="103" t="str">
        <f t="shared" si="23"/>
        <v/>
      </c>
      <c r="P128" s="52">
        <v>0</v>
      </c>
      <c r="Q128" s="102" t="str">
        <f t="shared" si="24"/>
        <v/>
      </c>
      <c r="R128" s="103" t="str">
        <f t="shared" si="25"/>
        <v/>
      </c>
      <c r="S128" s="52">
        <v>0</v>
      </c>
      <c r="T128" s="102" t="str">
        <f t="shared" si="26"/>
        <v/>
      </c>
      <c r="U128" s="103" t="str">
        <f t="shared" si="27"/>
        <v/>
      </c>
      <c r="V128" s="52">
        <v>0</v>
      </c>
      <c r="W128" s="87" t="str">
        <f t="shared" si="28"/>
        <v/>
      </c>
      <c r="X128" s="103" t="str">
        <f t="shared" si="29"/>
        <v/>
      </c>
      <c r="Y128" s="52">
        <v>0</v>
      </c>
      <c r="Z128" s="56" t="str">
        <f t="shared" si="30"/>
        <v/>
      </c>
      <c r="AA128" s="56" t="str">
        <f t="shared" si="31"/>
        <v/>
      </c>
      <c r="AB128" s="56" t="str">
        <f t="shared" si="32"/>
        <v/>
      </c>
      <c r="AC128" s="56" t="str">
        <f t="shared" si="33"/>
        <v/>
      </c>
      <c r="AD128" s="56" t="str">
        <f t="shared" si="34"/>
        <v/>
      </c>
      <c r="AE128" s="40"/>
      <c r="AF128" s="40"/>
      <c r="AG128" s="40"/>
      <c r="AH128" s="56" t="str">
        <f t="shared" si="35"/>
        <v/>
      </c>
      <c r="AI128" s="54"/>
      <c r="AJ128" s="54"/>
      <c r="AK128" s="54"/>
      <c r="AL128" s="54"/>
      <c r="AM128" s="54"/>
    </row>
    <row r="129" spans="1:39">
      <c r="A129" s="45" t="str" cm="1">
        <f t="array" ref="A129">IF(H129="PROJECT", CHAR(10) &amp; "- " &amp; _xlfn.TEXTJOIN(CHAR(10) &amp; "- ", TRUE, _xlfn._xlws.FILTER($I$9:$I$1000, ($B$9:$B$1000=B129) * ($H$9:$H$1000="Topic"))), "")</f>
        <v/>
      </c>
      <c r="B129" s="45" t="str">
        <f t="shared" si="19"/>
        <v/>
      </c>
      <c r="C129" s="95"/>
      <c r="D129" s="46"/>
      <c r="E129" s="58"/>
      <c r="F129" s="67"/>
      <c r="G129" s="53"/>
      <c r="H129" s="53"/>
      <c r="I129" s="50"/>
      <c r="J129" s="51"/>
      <c r="K129" s="129" t="str">
        <f t="shared" si="20"/>
        <v/>
      </c>
      <c r="L129" s="103" t="str">
        <f t="shared" si="21"/>
        <v/>
      </c>
      <c r="M129" s="53">
        <v>0</v>
      </c>
      <c r="N129" s="102" t="str">
        <f t="shared" si="22"/>
        <v/>
      </c>
      <c r="O129" s="103" t="str">
        <f t="shared" si="23"/>
        <v/>
      </c>
      <c r="P129" s="53">
        <v>0</v>
      </c>
      <c r="Q129" s="102" t="str">
        <f t="shared" si="24"/>
        <v/>
      </c>
      <c r="R129" s="103" t="str">
        <f t="shared" si="25"/>
        <v/>
      </c>
      <c r="S129" s="53">
        <v>0</v>
      </c>
      <c r="T129" s="102" t="str">
        <f t="shared" si="26"/>
        <v/>
      </c>
      <c r="U129" s="103" t="str">
        <f t="shared" si="27"/>
        <v/>
      </c>
      <c r="V129" s="53">
        <v>0</v>
      </c>
      <c r="W129" s="87" t="str">
        <f t="shared" si="28"/>
        <v/>
      </c>
      <c r="X129" s="103" t="str">
        <f t="shared" si="29"/>
        <v/>
      </c>
      <c r="Y129" s="53">
        <v>0</v>
      </c>
      <c r="Z129" s="56" t="str">
        <f t="shared" si="30"/>
        <v/>
      </c>
      <c r="AA129" s="56" t="str">
        <f t="shared" si="31"/>
        <v/>
      </c>
      <c r="AB129" s="56" t="str">
        <f t="shared" si="32"/>
        <v/>
      </c>
      <c r="AC129" s="56" t="str">
        <f t="shared" si="33"/>
        <v/>
      </c>
      <c r="AD129" s="56" t="str">
        <f t="shared" si="34"/>
        <v/>
      </c>
      <c r="AE129" s="40"/>
      <c r="AF129" s="40"/>
      <c r="AG129" s="40"/>
      <c r="AH129" s="56" t="str">
        <f t="shared" si="35"/>
        <v/>
      </c>
      <c r="AI129" s="54"/>
      <c r="AJ129" s="54"/>
      <c r="AK129" s="54"/>
      <c r="AL129" s="54"/>
      <c r="AM129" s="54"/>
    </row>
    <row r="130" spans="1:39">
      <c r="A130" s="45" t="str" cm="1">
        <f t="array" ref="A130">IF(H130="PROJECT", CHAR(10) &amp; "- " &amp; _xlfn.TEXTJOIN(CHAR(10) &amp; "- ", TRUE, _xlfn._xlws.FILTER($I$9:$I$1000, ($B$9:$B$1000=B130) * ($H$9:$H$1000="Topic"))), "")</f>
        <v/>
      </c>
      <c r="B130" s="45" t="str">
        <f t="shared" si="19"/>
        <v/>
      </c>
      <c r="C130" s="95"/>
      <c r="D130" s="57"/>
      <c r="E130" s="58"/>
      <c r="F130" s="54"/>
      <c r="G130" s="52"/>
      <c r="H130" s="52"/>
      <c r="I130" s="61"/>
      <c r="J130" s="62"/>
      <c r="K130" s="129" t="str">
        <f t="shared" si="20"/>
        <v/>
      </c>
      <c r="L130" s="103" t="str">
        <f t="shared" si="21"/>
        <v/>
      </c>
      <c r="M130" s="52">
        <v>0</v>
      </c>
      <c r="N130" s="102" t="str">
        <f t="shared" si="22"/>
        <v/>
      </c>
      <c r="O130" s="103" t="str">
        <f t="shared" si="23"/>
        <v/>
      </c>
      <c r="P130" s="52">
        <v>0</v>
      </c>
      <c r="Q130" s="102" t="str">
        <f t="shared" si="24"/>
        <v/>
      </c>
      <c r="R130" s="103" t="str">
        <f t="shared" si="25"/>
        <v/>
      </c>
      <c r="S130" s="52">
        <v>0</v>
      </c>
      <c r="T130" s="102" t="str">
        <f t="shared" si="26"/>
        <v/>
      </c>
      <c r="U130" s="103" t="str">
        <f t="shared" si="27"/>
        <v/>
      </c>
      <c r="V130" s="52">
        <v>0</v>
      </c>
      <c r="W130" s="87" t="str">
        <f t="shared" si="28"/>
        <v/>
      </c>
      <c r="X130" s="103" t="str">
        <f t="shared" si="29"/>
        <v/>
      </c>
      <c r="Y130" s="52">
        <v>0</v>
      </c>
      <c r="Z130" s="56" t="str">
        <f t="shared" si="30"/>
        <v/>
      </c>
      <c r="AA130" s="56" t="str">
        <f t="shared" si="31"/>
        <v/>
      </c>
      <c r="AB130" s="56" t="str">
        <f t="shared" si="32"/>
        <v/>
      </c>
      <c r="AC130" s="56" t="str">
        <f t="shared" si="33"/>
        <v/>
      </c>
      <c r="AD130" s="56" t="str">
        <f t="shared" si="34"/>
        <v/>
      </c>
      <c r="AE130" s="40"/>
      <c r="AF130" s="40"/>
      <c r="AG130" s="40"/>
      <c r="AH130" s="56" t="str">
        <f t="shared" si="35"/>
        <v/>
      </c>
      <c r="AI130" s="54"/>
      <c r="AJ130" s="54"/>
      <c r="AK130" s="54"/>
      <c r="AL130" s="54"/>
      <c r="AM130" s="54"/>
    </row>
    <row r="131" spans="1:39">
      <c r="A131" s="45" t="str" cm="1">
        <f t="array" ref="A131">IF(H131="PROJECT", CHAR(10) &amp; "- " &amp; _xlfn.TEXTJOIN(CHAR(10) &amp; "- ", TRUE, _xlfn._xlws.FILTER($I$9:$I$1000, ($B$9:$B$1000=B131) * ($H$9:$H$1000="Topic"))), "")</f>
        <v/>
      </c>
      <c r="B131" s="45" t="str">
        <f t="shared" si="19"/>
        <v/>
      </c>
      <c r="C131" s="95"/>
      <c r="D131" s="46"/>
      <c r="E131" s="58"/>
      <c r="F131" s="67"/>
      <c r="G131" s="53"/>
      <c r="H131" s="53"/>
      <c r="I131" s="50"/>
      <c r="J131" s="51"/>
      <c r="K131" s="129" t="str">
        <f t="shared" si="20"/>
        <v/>
      </c>
      <c r="L131" s="103" t="str">
        <f t="shared" si="21"/>
        <v/>
      </c>
      <c r="M131" s="53">
        <v>0</v>
      </c>
      <c r="N131" s="102" t="str">
        <f t="shared" si="22"/>
        <v/>
      </c>
      <c r="O131" s="103" t="str">
        <f t="shared" si="23"/>
        <v/>
      </c>
      <c r="P131" s="53">
        <v>0</v>
      </c>
      <c r="Q131" s="102" t="str">
        <f t="shared" si="24"/>
        <v/>
      </c>
      <c r="R131" s="103" t="str">
        <f t="shared" si="25"/>
        <v/>
      </c>
      <c r="S131" s="53">
        <v>0</v>
      </c>
      <c r="T131" s="102" t="str">
        <f t="shared" si="26"/>
        <v/>
      </c>
      <c r="U131" s="103" t="str">
        <f t="shared" si="27"/>
        <v/>
      </c>
      <c r="V131" s="53">
        <v>0</v>
      </c>
      <c r="W131" s="87" t="str">
        <f t="shared" si="28"/>
        <v/>
      </c>
      <c r="X131" s="103" t="str">
        <f t="shared" si="29"/>
        <v/>
      </c>
      <c r="Y131" s="53">
        <v>0</v>
      </c>
      <c r="Z131" s="56" t="str">
        <f t="shared" si="30"/>
        <v/>
      </c>
      <c r="AA131" s="56" t="str">
        <f t="shared" si="31"/>
        <v/>
      </c>
      <c r="AB131" s="56" t="str">
        <f t="shared" si="32"/>
        <v/>
      </c>
      <c r="AC131" s="56" t="str">
        <f t="shared" si="33"/>
        <v/>
      </c>
      <c r="AD131" s="56" t="str">
        <f t="shared" si="34"/>
        <v/>
      </c>
      <c r="AE131" s="40"/>
      <c r="AF131" s="40"/>
      <c r="AG131" s="40"/>
      <c r="AH131" s="56" t="str">
        <f t="shared" si="35"/>
        <v/>
      </c>
      <c r="AI131" s="54"/>
      <c r="AJ131" s="54"/>
      <c r="AK131" s="54"/>
      <c r="AL131" s="54"/>
      <c r="AM131" s="54"/>
    </row>
    <row r="132" spans="1:39">
      <c r="A132" s="45" t="str" cm="1">
        <f t="array" ref="A132">IF(H132="PROJECT", CHAR(10) &amp; "- " &amp; _xlfn.TEXTJOIN(CHAR(10) &amp; "- ", TRUE, _xlfn._xlws.FILTER($I$9:$I$1000, ($B$9:$B$1000=B132) * ($H$9:$H$1000="Topic"))), "")</f>
        <v/>
      </c>
      <c r="B132" s="45" t="str">
        <f t="shared" si="19"/>
        <v/>
      </c>
      <c r="C132" s="95"/>
      <c r="D132" s="57"/>
      <c r="E132" s="58"/>
      <c r="F132" s="54"/>
      <c r="G132" s="52"/>
      <c r="H132" s="52"/>
      <c r="I132" s="61"/>
      <c r="J132" s="62"/>
      <c r="K132" s="129" t="str">
        <f t="shared" si="20"/>
        <v/>
      </c>
      <c r="L132" s="103" t="str">
        <f t="shared" si="21"/>
        <v/>
      </c>
      <c r="M132" s="52">
        <v>0</v>
      </c>
      <c r="N132" s="102" t="str">
        <f t="shared" si="22"/>
        <v/>
      </c>
      <c r="O132" s="103" t="str">
        <f t="shared" si="23"/>
        <v/>
      </c>
      <c r="P132" s="52">
        <v>0</v>
      </c>
      <c r="Q132" s="102" t="str">
        <f t="shared" si="24"/>
        <v/>
      </c>
      <c r="R132" s="103" t="str">
        <f t="shared" si="25"/>
        <v/>
      </c>
      <c r="S132" s="52">
        <v>0</v>
      </c>
      <c r="T132" s="102" t="str">
        <f t="shared" si="26"/>
        <v/>
      </c>
      <c r="U132" s="103" t="str">
        <f t="shared" si="27"/>
        <v/>
      </c>
      <c r="V132" s="52">
        <v>0</v>
      </c>
      <c r="W132" s="87" t="str">
        <f t="shared" si="28"/>
        <v/>
      </c>
      <c r="X132" s="103" t="str">
        <f t="shared" si="29"/>
        <v/>
      </c>
      <c r="Y132" s="52">
        <v>0</v>
      </c>
      <c r="Z132" s="56" t="str">
        <f t="shared" si="30"/>
        <v/>
      </c>
      <c r="AA132" s="56" t="str">
        <f t="shared" si="31"/>
        <v/>
      </c>
      <c r="AB132" s="56" t="str">
        <f t="shared" si="32"/>
        <v/>
      </c>
      <c r="AC132" s="56" t="str">
        <f t="shared" si="33"/>
        <v/>
      </c>
      <c r="AD132" s="56" t="str">
        <f t="shared" si="34"/>
        <v/>
      </c>
      <c r="AE132" s="40"/>
      <c r="AF132" s="40"/>
      <c r="AG132" s="40"/>
      <c r="AH132" s="56" t="str">
        <f t="shared" si="35"/>
        <v/>
      </c>
      <c r="AI132" s="54"/>
      <c r="AJ132" s="54"/>
      <c r="AK132" s="54"/>
      <c r="AL132" s="54"/>
      <c r="AM132" s="54"/>
    </row>
    <row r="133" spans="1:39">
      <c r="A133" s="45" t="str" cm="1">
        <f t="array" ref="A133">IF(H133="PROJECT", CHAR(10) &amp; "- " &amp; _xlfn.TEXTJOIN(CHAR(10) &amp; "- ", TRUE, _xlfn._xlws.FILTER($I$9:$I$1000, ($B$9:$B$1000=B133) * ($H$9:$H$1000="Topic"))), "")</f>
        <v/>
      </c>
      <c r="B133" s="45" t="str">
        <f t="shared" si="19"/>
        <v/>
      </c>
      <c r="C133" s="95"/>
      <c r="D133" s="46"/>
      <c r="E133" s="58"/>
      <c r="F133" s="67"/>
      <c r="G133" s="53"/>
      <c r="H133" s="53"/>
      <c r="I133" s="50"/>
      <c r="J133" s="51"/>
      <c r="K133" s="129" t="str">
        <f t="shared" si="20"/>
        <v/>
      </c>
      <c r="L133" s="103" t="str">
        <f t="shared" si="21"/>
        <v/>
      </c>
      <c r="M133" s="53">
        <v>0</v>
      </c>
      <c r="N133" s="102" t="str">
        <f t="shared" si="22"/>
        <v/>
      </c>
      <c r="O133" s="103" t="str">
        <f t="shared" si="23"/>
        <v/>
      </c>
      <c r="P133" s="53">
        <v>0</v>
      </c>
      <c r="Q133" s="102" t="str">
        <f t="shared" si="24"/>
        <v/>
      </c>
      <c r="R133" s="103" t="str">
        <f t="shared" si="25"/>
        <v/>
      </c>
      <c r="S133" s="53">
        <v>0</v>
      </c>
      <c r="T133" s="102" t="str">
        <f t="shared" si="26"/>
        <v/>
      </c>
      <c r="U133" s="103" t="str">
        <f t="shared" si="27"/>
        <v/>
      </c>
      <c r="V133" s="53">
        <v>0</v>
      </c>
      <c r="W133" s="87" t="str">
        <f t="shared" si="28"/>
        <v/>
      </c>
      <c r="X133" s="103" t="str">
        <f t="shared" si="29"/>
        <v/>
      </c>
      <c r="Y133" s="53">
        <v>0</v>
      </c>
      <c r="Z133" s="56" t="str">
        <f t="shared" si="30"/>
        <v/>
      </c>
      <c r="AA133" s="56" t="str">
        <f t="shared" si="31"/>
        <v/>
      </c>
      <c r="AB133" s="56" t="str">
        <f t="shared" si="32"/>
        <v/>
      </c>
      <c r="AC133" s="56" t="str">
        <f t="shared" si="33"/>
        <v/>
      </c>
      <c r="AD133" s="56" t="str">
        <f t="shared" si="34"/>
        <v/>
      </c>
      <c r="AE133" s="40"/>
      <c r="AF133" s="40"/>
      <c r="AG133" s="40"/>
      <c r="AH133" s="56" t="str">
        <f t="shared" si="35"/>
        <v/>
      </c>
      <c r="AI133" s="54"/>
      <c r="AJ133" s="54"/>
      <c r="AK133" s="54"/>
      <c r="AL133" s="54"/>
      <c r="AM133" s="54"/>
    </row>
    <row r="134" spans="1:39">
      <c r="A134" s="45" t="str" cm="1">
        <f t="array" ref="A134">IF(H134="PROJECT", CHAR(10) &amp; "- " &amp; _xlfn.TEXTJOIN(CHAR(10) &amp; "- ", TRUE, _xlfn._xlws.FILTER($I$9:$I$1000, ($B$9:$B$1000=B134) * ($H$9:$H$1000="Topic"))), "")</f>
        <v/>
      </c>
      <c r="B134" s="45" t="str">
        <f t="shared" si="19"/>
        <v/>
      </c>
      <c r="C134" s="95"/>
      <c r="D134" s="57"/>
      <c r="E134" s="58"/>
      <c r="F134" s="54"/>
      <c r="G134" s="52"/>
      <c r="H134" s="52"/>
      <c r="I134" s="61"/>
      <c r="J134" s="62"/>
      <c r="K134" s="129" t="str">
        <f t="shared" si="20"/>
        <v/>
      </c>
      <c r="L134" s="103" t="str">
        <f t="shared" si="21"/>
        <v/>
      </c>
      <c r="M134" s="52">
        <v>0</v>
      </c>
      <c r="N134" s="102" t="str">
        <f t="shared" si="22"/>
        <v/>
      </c>
      <c r="O134" s="103" t="str">
        <f t="shared" si="23"/>
        <v/>
      </c>
      <c r="P134" s="52">
        <v>0</v>
      </c>
      <c r="Q134" s="102" t="str">
        <f t="shared" si="24"/>
        <v/>
      </c>
      <c r="R134" s="103" t="str">
        <f t="shared" si="25"/>
        <v/>
      </c>
      <c r="S134" s="52">
        <v>0</v>
      </c>
      <c r="T134" s="102" t="str">
        <f t="shared" si="26"/>
        <v/>
      </c>
      <c r="U134" s="103" t="str">
        <f t="shared" si="27"/>
        <v/>
      </c>
      <c r="V134" s="52">
        <v>0</v>
      </c>
      <c r="W134" s="87" t="str">
        <f t="shared" si="28"/>
        <v/>
      </c>
      <c r="X134" s="103" t="str">
        <f t="shared" si="29"/>
        <v/>
      </c>
      <c r="Y134" s="52">
        <v>0</v>
      </c>
      <c r="Z134" s="56" t="str">
        <f t="shared" si="30"/>
        <v/>
      </c>
      <c r="AA134" s="56" t="str">
        <f t="shared" si="31"/>
        <v/>
      </c>
      <c r="AB134" s="56" t="str">
        <f t="shared" si="32"/>
        <v/>
      </c>
      <c r="AC134" s="56" t="str">
        <f t="shared" si="33"/>
        <v/>
      </c>
      <c r="AD134" s="56" t="str">
        <f t="shared" si="34"/>
        <v/>
      </c>
      <c r="AE134" s="40"/>
      <c r="AF134" s="40"/>
      <c r="AG134" s="40"/>
      <c r="AH134" s="56" t="str">
        <f t="shared" si="35"/>
        <v/>
      </c>
      <c r="AI134" s="54"/>
      <c r="AJ134" s="54"/>
      <c r="AK134" s="54"/>
      <c r="AL134" s="54"/>
      <c r="AM134" s="54"/>
    </row>
    <row r="135" spans="1:39">
      <c r="A135" s="45" t="str" cm="1">
        <f t="array" ref="A135">IF(H135="PROJECT", CHAR(10) &amp; "- " &amp; _xlfn.TEXTJOIN(CHAR(10) &amp; "- ", TRUE, _xlfn._xlws.FILTER($I$9:$I$1000, ($B$9:$B$1000=B135) * ($H$9:$H$1000="Topic"))), "")</f>
        <v/>
      </c>
      <c r="B135" s="45" t="str">
        <f t="shared" si="19"/>
        <v/>
      </c>
      <c r="C135" s="95"/>
      <c r="D135" s="46"/>
      <c r="E135" s="58"/>
      <c r="F135" s="67"/>
      <c r="G135" s="53"/>
      <c r="H135" s="53"/>
      <c r="I135" s="50"/>
      <c r="J135" s="51"/>
      <c r="K135" s="129" t="str">
        <f t="shared" si="20"/>
        <v/>
      </c>
      <c r="L135" s="103" t="str">
        <f t="shared" si="21"/>
        <v/>
      </c>
      <c r="M135" s="53">
        <v>0</v>
      </c>
      <c r="N135" s="102" t="str">
        <f t="shared" si="22"/>
        <v/>
      </c>
      <c r="O135" s="103" t="str">
        <f t="shared" si="23"/>
        <v/>
      </c>
      <c r="P135" s="53">
        <v>0</v>
      </c>
      <c r="Q135" s="102" t="str">
        <f t="shared" si="24"/>
        <v/>
      </c>
      <c r="R135" s="103" t="str">
        <f t="shared" si="25"/>
        <v/>
      </c>
      <c r="S135" s="53">
        <v>0</v>
      </c>
      <c r="T135" s="102" t="str">
        <f t="shared" si="26"/>
        <v/>
      </c>
      <c r="U135" s="103" t="str">
        <f t="shared" si="27"/>
        <v/>
      </c>
      <c r="V135" s="53">
        <v>0</v>
      </c>
      <c r="W135" s="87" t="str">
        <f t="shared" si="28"/>
        <v/>
      </c>
      <c r="X135" s="103" t="str">
        <f t="shared" si="29"/>
        <v/>
      </c>
      <c r="Y135" s="53">
        <v>0</v>
      </c>
      <c r="Z135" s="56" t="str">
        <f t="shared" si="30"/>
        <v/>
      </c>
      <c r="AA135" s="56" t="str">
        <f t="shared" si="31"/>
        <v/>
      </c>
      <c r="AB135" s="56" t="str">
        <f t="shared" si="32"/>
        <v/>
      </c>
      <c r="AC135" s="56" t="str">
        <f t="shared" si="33"/>
        <v/>
      </c>
      <c r="AD135" s="56" t="str">
        <f t="shared" si="34"/>
        <v/>
      </c>
      <c r="AE135" s="40"/>
      <c r="AF135" s="40"/>
      <c r="AG135" s="40"/>
      <c r="AH135" s="56" t="str">
        <f t="shared" si="35"/>
        <v/>
      </c>
      <c r="AI135" s="54"/>
      <c r="AJ135" s="54"/>
      <c r="AK135" s="54"/>
      <c r="AL135" s="54"/>
      <c r="AM135" s="54"/>
    </row>
    <row r="136" spans="1:39">
      <c r="A136" s="45" t="str" cm="1">
        <f t="array" ref="A136">IF(H136="PROJECT", CHAR(10) &amp; "- " &amp; _xlfn.TEXTJOIN(CHAR(10) &amp; "- ", TRUE, _xlfn._xlws.FILTER($I$9:$I$1000, ($B$9:$B$1000=B136) * ($H$9:$H$1000="Topic"))), "")</f>
        <v/>
      </c>
      <c r="B136" s="45" t="str">
        <f t="shared" si="19"/>
        <v/>
      </c>
      <c r="C136" s="95"/>
      <c r="D136" s="57"/>
      <c r="E136" s="58"/>
      <c r="F136" s="54"/>
      <c r="G136" s="52"/>
      <c r="H136" s="52"/>
      <c r="I136" s="61"/>
      <c r="J136" s="62"/>
      <c r="K136" s="129" t="str">
        <f t="shared" si="20"/>
        <v/>
      </c>
      <c r="L136" s="103" t="str">
        <f t="shared" si="21"/>
        <v/>
      </c>
      <c r="M136" s="52">
        <v>0</v>
      </c>
      <c r="N136" s="102" t="str">
        <f t="shared" si="22"/>
        <v/>
      </c>
      <c r="O136" s="103" t="str">
        <f t="shared" si="23"/>
        <v/>
      </c>
      <c r="P136" s="52">
        <v>0</v>
      </c>
      <c r="Q136" s="102" t="str">
        <f t="shared" si="24"/>
        <v/>
      </c>
      <c r="R136" s="103" t="str">
        <f t="shared" si="25"/>
        <v/>
      </c>
      <c r="S136" s="52">
        <v>0</v>
      </c>
      <c r="T136" s="102" t="str">
        <f t="shared" si="26"/>
        <v/>
      </c>
      <c r="U136" s="103" t="str">
        <f t="shared" si="27"/>
        <v/>
      </c>
      <c r="V136" s="52">
        <v>0</v>
      </c>
      <c r="W136" s="87" t="str">
        <f t="shared" si="28"/>
        <v/>
      </c>
      <c r="X136" s="103" t="str">
        <f t="shared" si="29"/>
        <v/>
      </c>
      <c r="Y136" s="52">
        <v>0</v>
      </c>
      <c r="Z136" s="56" t="str">
        <f t="shared" si="30"/>
        <v/>
      </c>
      <c r="AA136" s="56" t="str">
        <f t="shared" si="31"/>
        <v/>
      </c>
      <c r="AB136" s="56" t="str">
        <f t="shared" si="32"/>
        <v/>
      </c>
      <c r="AC136" s="56" t="str">
        <f t="shared" si="33"/>
        <v/>
      </c>
      <c r="AD136" s="56" t="str">
        <f t="shared" si="34"/>
        <v/>
      </c>
      <c r="AE136" s="40"/>
      <c r="AF136" s="40"/>
      <c r="AG136" s="40"/>
      <c r="AH136" s="56" t="str">
        <f t="shared" si="35"/>
        <v/>
      </c>
      <c r="AI136" s="54"/>
      <c r="AJ136" s="54"/>
      <c r="AK136" s="54"/>
      <c r="AL136" s="54"/>
      <c r="AM136" s="54"/>
    </row>
    <row r="137" spans="1:39">
      <c r="A137" s="45" t="str" cm="1">
        <f t="array" ref="A137">IF(H137="PROJECT", CHAR(10) &amp; "- " &amp; _xlfn.TEXTJOIN(CHAR(10) &amp; "- ", TRUE, _xlfn._xlws.FILTER($I$9:$I$1000, ($B$9:$B$1000=B137) * ($H$9:$H$1000="Topic"))), "")</f>
        <v/>
      </c>
      <c r="B137" s="45" t="str">
        <f t="shared" si="19"/>
        <v/>
      </c>
      <c r="C137" s="95"/>
      <c r="D137" s="46"/>
      <c r="E137" s="58"/>
      <c r="F137" s="67"/>
      <c r="G137" s="53"/>
      <c r="H137" s="53"/>
      <c r="I137" s="50"/>
      <c r="J137" s="51"/>
      <c r="K137" s="129" t="str">
        <f t="shared" si="20"/>
        <v/>
      </c>
      <c r="L137" s="103" t="str">
        <f t="shared" si="21"/>
        <v/>
      </c>
      <c r="M137" s="53">
        <v>0</v>
      </c>
      <c r="N137" s="102" t="str">
        <f t="shared" si="22"/>
        <v/>
      </c>
      <c r="O137" s="103" t="str">
        <f t="shared" si="23"/>
        <v/>
      </c>
      <c r="P137" s="53">
        <v>0</v>
      </c>
      <c r="Q137" s="102" t="str">
        <f t="shared" si="24"/>
        <v/>
      </c>
      <c r="R137" s="103" t="str">
        <f t="shared" si="25"/>
        <v/>
      </c>
      <c r="S137" s="53">
        <v>0</v>
      </c>
      <c r="T137" s="102" t="str">
        <f t="shared" si="26"/>
        <v/>
      </c>
      <c r="U137" s="103" t="str">
        <f t="shared" si="27"/>
        <v/>
      </c>
      <c r="V137" s="53">
        <v>0</v>
      </c>
      <c r="W137" s="87" t="str">
        <f t="shared" si="28"/>
        <v/>
      </c>
      <c r="X137" s="103" t="str">
        <f t="shared" si="29"/>
        <v/>
      </c>
      <c r="Y137" s="53">
        <v>0</v>
      </c>
      <c r="Z137" s="56" t="str">
        <f t="shared" si="30"/>
        <v/>
      </c>
      <c r="AA137" s="56" t="str">
        <f t="shared" si="31"/>
        <v/>
      </c>
      <c r="AB137" s="56" t="str">
        <f t="shared" si="32"/>
        <v/>
      </c>
      <c r="AC137" s="56" t="str">
        <f t="shared" si="33"/>
        <v/>
      </c>
      <c r="AD137" s="56" t="str">
        <f t="shared" si="34"/>
        <v/>
      </c>
      <c r="AE137" s="40"/>
      <c r="AF137" s="40"/>
      <c r="AG137" s="40"/>
      <c r="AH137" s="56" t="str">
        <f t="shared" ref="AH137:AH168" si="36">IF(AE137=$B$6,AG137,"")</f>
        <v/>
      </c>
      <c r="AI137" s="54"/>
      <c r="AJ137" s="54"/>
      <c r="AK137" s="54"/>
      <c r="AL137" s="54"/>
      <c r="AM137" s="54"/>
    </row>
    <row r="138" spans="1:39">
      <c r="A138" s="45" t="str" cm="1">
        <f t="array" ref="A138">IF(H138="PROJECT", CHAR(10) &amp; "- " &amp; _xlfn.TEXTJOIN(CHAR(10) &amp; "- ", TRUE, _xlfn._xlws.FILTER($I$9:$I$1000, ($B$9:$B$1000=B138) * ($H$9:$H$1000="Topic"))), "")</f>
        <v/>
      </c>
      <c r="B138" s="45" t="str">
        <f t="shared" ref="B138:B200" si="37">IF(H138="","",IF(AND(H138="Topic",H137="PROJECT"),B137+1,IF(H138="PROJECT",B137,IF(AND(H138="Topic",H137="Topic"),B137,B137+1))))</f>
        <v/>
      </c>
      <c r="C138" s="95"/>
      <c r="D138" s="57"/>
      <c r="E138" s="58"/>
      <c r="F138" s="54"/>
      <c r="G138" s="52"/>
      <c r="H138" s="52"/>
      <c r="I138" s="61"/>
      <c r="J138" s="62"/>
      <c r="K138" s="129" t="str">
        <f t="shared" ref="K138:K200" si="38">IF(H138="Topic",
"[ROLE] Friendly tutor specializing in " &amp; $I$2 &amp; " | " &amp;
"[TOPIC] " &amp; I138 &amp; " | " &amp;
"[LEVEL] " &amp; G138 &amp; " | " &amp;
"[COUNT] " &amp; D138 &amp; " examples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$C138 &amp; " lines of EXECUTABLE code (STRICT: Do NOT count comments or blank lines). - NEVER exceed this limit. | " &amp;
"[FUNCTION RULE] Rule: " &amp; IF(G138="Beginner","Focus: basic function definitions, return values, positional/keyword arguments, and list/dict comprehensions.", IF(G138="Intermediate", "Integrate generator functions using yield, closures, functools utilities (partial, lru_cache), and decorators.", "Dictionaries, Tuples, Namedtuples, or TypedDicts with strict type hints")) &amp; " | " &amp;
"[CODE_CONSTRAINTS_RULE] Each example MUST: - Use Dictionaries, Tuples, Namedtuples, or TypedDicts with strict type hints - Print steps &amp; result via print() or logging.info()/logging.error() inside functional scopes or error handlers - MAX " &amp; $C138 &amp; " executable lines (comments/blanks excluded) - NEVER exceed limit. | " &amp;
"[I_O_PARADIGM] Use pathlib.Path, open() with context managers, or sys.stdin/sys.stdout streams and gracefully handle Typed Tuples like Tuple[bool, str], Namedtuples, or Dict[str, Any] with type annotations when applicable. | " &amp;
"[INLINE_PACKAGE_MANAGER] If using external packages, use Standard requirements.txt file or inline pip install comments (# requirements: package_name&gt;=version) at the top of the code block. Assume no project configuration file exists. | " &amp;
_xlfn._LONGTEXT("[TESTING_FRAMEWORK_LIMITS]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F138 &amp; " | Stage 1 📖 Practice | " &amp; IF($I$3="", $I$2, $I$2&amp; " - " &amp;$I$3) &amp; " | 📊 Level: " &amp; G138 &amp; " | 🌐 Coding5s.com" &amp; CHAR(10) &amp; "**Concept:** " &amp; J138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D138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IF(AJ138&lt;&gt;"", AJ138,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IF(H138="PROJECT", Z138, ""))</f>
        <v/>
      </c>
      <c r="L138" s="103" t="str">
        <f t="shared" ref="L138:L200" si="39">IF(OR(H138="Topic", UPPER(H138)="PROJECT"),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IF(UPPER(H138)="PROJECT", "building a PROJECT: " &amp; I138 &amp; ". Topics applied in this project: " &amp; A138 &amp; ". Project objective: " &amp; J138, "learning: " &amp; I138 &amp; ". Topic details: " &amp; J138)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IF(G138="Beginner", "Evaluate based on basic functions, data structures, and conditional logic. Do NOT expect decorators, generators, or asyncio unless explicitly demanded.", IF(G138="Intermediate",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&amp; IF(AJ138&lt;&gt;"", "[MENTOR CONTEXT ALERT] Be aware of the following infrastructure limitation for this exercise: " &amp; AJ138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IF(UPPER(H138)="PROJECT",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IF(UPPER(H138)="PROJECT",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IF(UPPER(H138)="PROJECT", "Project #", "Topic #") &amp; F138 &amp; " | Practice | " &amp; IF($I$3="", $I$2, $I$2&amp; " - " &amp;$I$3) &amp; " | 📊 Level: " &amp; G138 &amp; CHAR(10) &amp; "**" &amp; IF(UPPER(H138)="PROJECT", "Project", "Topic") &amp; ":** " &amp; I138 &amp; CHAR(10) &amp; "---" &amp; CHAR(10) &amp; " | " &amp;
"[FOOTER RULE - STRICT] End your response with: '--- ⚡ *Coding5s Mentor System — Eliminating Epistemic Debt*' | ","")</f>
        <v/>
      </c>
      <c r="M138" s="52">
        <v>0</v>
      </c>
      <c r="N138" s="102" t="str">
        <f t="shared" ref="N138:N200" si="40">IF(H138="Topic",
"[ROLE] Careless " &amp; $I$2 &amp; " Developer | " &amp;
"[TASK] Generate debugging challenges in " &amp; $I$2 &amp; " | | " &amp;
"[TOPIC] " &amp; I138 &amp; " | | " &amp;
"[LEVEL] " &amp; G138 &amp; " | | " &amp;
"[COUNT] " &amp; D138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F138 &amp; " | Stage 2 🐛 Debug | " &amp; IF($I$3="", $I$2, $I$2&amp; " - " &amp;$I$3) &amp; " | 📊 Level: " &amp; G138 &amp; " | 🌐 Coding5s.com" &amp; CHAR(10) &amp; "Concept: " &amp; J138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 &amp;
"[EXUNIT RULE] Always use pytest or native test functions. You MUST use native assert statements or pytest.raises() for exception testing. Avoid defining TestClasses or methods. | " &amp;
"[HEX DEPENDENCIES RULE] Assume a standard Python runtime context. External PyPI dependencies MUST be specified strictly within a requirements.txt file. | " &amp;
"[CODE CONSTRAINTS] Each challenge MUST include: - At least 1 functional iterator/generator or comprehension - Explicit type annotations - At least 1 error handling try/except block - " &amp; IF(G138="Beginner", "5–15", IF(G138="Intermediate", "10–25", "15–35")) &amp; " lines of EXECUTABLE broken Python code per example (STRICT: Do NOT count blank lines). Enforce PEP 8, type hints, and NO OOP class structures. | All challenges MUST have similar functional abstraction depth and architectural complexity.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D138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IF(H138="PROJECT", AA138, ""))</f>
        <v/>
      </c>
      <c r="O138" s="103" t="str">
        <f t="shared" ref="O138:O200" si="41">IF(OR(H138="Topic", UPPER(H138)="PROJECT"),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IF(UPPER(H138)="PROJECT", "PROJECT: " &amp; I138 &amp; ". Topics involved: " &amp; A138 &amp; ". Project objective: " &amp; J138, "TOPIC: " &amp; I138 &amp; ". Topic details: " &amp; J138)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IF(UPPER(H138)="PROJECT", "Project #", "Topic #") &amp; F138 &amp; " | Debug | " &amp; IF($I$3="", $I$2, $I$2&amp; " - " &amp;$I$3) &amp; " | 📊 Level: " &amp; G138 &amp; CHAR(10) &amp; "**" &amp; IF(UPPER(H138)="PROJECT", "Project", "Topic") &amp; ":** " &amp; I138 &amp; CHAR(10) &amp; "---" &amp; CHAR(10) &amp; " | " &amp;
_xlfn._LONGTEXT("[PYTHON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38" s="52">
        <v>0</v>
      </c>
      <c r="Q138" s="102" t="str">
        <f t="shared" ref="Q138:Q200" si="42">IF(H138="Topic",
"[ROLE] Tech Lead | " &amp;
"[TASK] Assign incomplete " &amp; $I$2 &amp; " script challenges | " &amp;
"[TOPIC] " &amp; I138 &amp; " | " &amp;
"[LEVEL] " &amp; G138 &amp; " | " &amp;
"[COUNT] " &amp; D138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F138 &amp; " | Stage 3 🧩 Complete | " &amp; IF($I$3="", $I$2, $I$2&amp; " - " &amp;$I$3) &amp; " | 📊 Level: " &amp; G138 &amp; " | 🌐 Coding5s.com" &amp; CHAR(10) &amp; "**Concept:** " &amp; J138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PyPI packages MUST be specified inside a standard requirements.txt file. Do not use inline system pip commands. | " &amp;
"[TESTING_FRAMEWORK_PROTOCOL] Tests MUST isolate functional logic. NEVER mutate global state; use native assert statements or pytest fixtures to verify function outputs. | " &amp;
"[CHALLENGE_CONSTRAINTS_POLICY] Each challenge MUST include: - A functional module or script using closures, generators, or functools to manage continuous state with strict type hints. - " &amp; IF(G138="Beginner","5–15", IF(G138="Intermediate","10–25","15–35")) &amp; " lines of EXECUTABLE base Python code (STRICT: Do NOT count comments or TODOs). Length MUST vary. Enforce type hints, PEP 8, and NO classes.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D138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I138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IF(G138="Beginner", "Clear explicit hint (no code) | ", IF(G138="Intermediate",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IF(H138="PROJECT", AB138, ""))</f>
        <v/>
      </c>
      <c r="R138" s="103" t="str">
        <f t="shared" ref="R138:R200" si="43">IF(OR(H138="Topic", UPPER(H138)="PROJECT"),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IF(UPPER(H138)="PROJECT", "PROJECT: " &amp; I138 &amp; ". Topics involved: " &amp; A138 &amp; ". Project objective: " &amp; J138, "TOPIC: " &amp; I138 &amp; ". Topic details: " &amp; J138)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IF(UPPER(H138)="PROJECT", "Project #", "Topic #") &amp; F138 &amp; " | Complete | " &amp; IF($I$3="", $I$2, $I$2&amp; " - " &amp;$I$3) &amp; " | 📊 Level: " &amp; G138 &amp; CHAR(10) &amp; "**" &amp; IF(UPPER(H138)="PROJECT", "Project", "Topic") &amp; ":** " &amp; I138 &amp; CHAR(10) &amp; "---" &amp; CHAR(10) &amp; " | " &amp;
_xlfn._LONGTEXT("[PYTHON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38" s="52">
        <v>0</v>
      </c>
      <c r="T138" s="102" t="str">
        <f t="shared" ref="T138:T200" si="44">IF(H138="Topic",
"[ROLE] Tech Lead | " &amp;
"[TASK] Provide intentionally messy but functional code for learning debugging and improvement | " &amp;
"[TOPIC] " &amp; I138 &amp; " | " &amp;
"[LEVEL] " &amp; G138 &amp; " | " &amp;
"[COUNT] " &amp; D138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F138 &amp; " | Stage 4 🧹 Refactor | " &amp; IF($I$3="", $I$2, $I$2&amp; " - " &amp;$I$3) &amp; " | 📊 Level: " &amp; G138 &amp; " | 🌐 Coding5s.com" &amp; CHAR(10) &amp; "**Concept:** " &amp; J138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D138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IF(G138="Beginner", "5–15", IF(G138="Intermediate",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IF(H138="PROJECT", AC138, ""))</f>
        <v/>
      </c>
      <c r="U138" s="103" t="str">
        <f t="shared" ref="U138:U200" si="45">IF(OR(H138="Topic", UPPER(H138)="PROJECT"),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IF(UPPER(H138)="PROJECT", "PROJECT: " &amp; I138 &amp; ". Topics involved: " &amp; A138 &amp; ". Project objective: " &amp; J138, "TOPIC: " &amp; I138 &amp; ". Topic details: " &amp; J138)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IF(UPPER(H138)="PROJECT", "Project #", "Topic #") &amp; F138 &amp; " | Refactor | " &amp; IF($I$3="", $I$2, $I$2&amp; " - " &amp;$I$3) &amp; " | 📊 Level: " &amp; G138 &amp; CHAR(10) &amp; "**" &amp; IF(UPPER(H138)="PROJECT", "Project", "Topic") &amp; ":** " &amp; I138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38" s="52">
        <v>0</v>
      </c>
      <c r="W138" s="87" t="str">
        <f t="shared" ref="W138:W200" si="46">IF(H138="Topic",
"[ROLE] Tech Product Manager assigning a " &amp; $I$2 &amp; " Jira Ticket | " &amp;
"[TASK] Provide a guided implementation exercise with full solution for learning purposes | " &amp;
"[TOPIC] " &amp; I138 &amp; " | " &amp;
"[LEVEL] " &amp; G138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F138 &amp; " | Stage 5 | " &amp; IF($I$3="", $I$2, $I$2&amp; " - " &amp;$I$3) &amp; " | 📊 Level: " &amp; G138 &amp; " | 🌐 Coding5s.com" &amp; CHAR(10) &amp; "**Concept:** " &amp; J138 &amp; CHAR(10) &amp; "---" &amp; CHAR(10) &amp; " | " &amp;
"[FUNCTIONAL_STRUCTURE_POLICY] Rule: " &amp; IF(G138="Beginner", "Use simple scripts or minimal functions. ", IF(G138="Intermediate",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IF(G138="Beginner", "10–20", IF(G138="Intermediate", "15–30", "25–40")) &amp; " lines of EXECUTABLE code (STRICT) - V1.1 MUST be between " &amp; IF(G138="Beginner", "15–30", IF(G138="Intermediate",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IF(H138="PROJECT", AD138, ""))</f>
        <v/>
      </c>
      <c r="X138" s="103" t="str">
        <f t="shared" ref="X138:X200" si="47">IF(OR(H138="Topic", UPPER(H138)="PROJECT"),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IF(UPPER(H138)="PROJECT", "PROJECT: " &amp; I138 &amp; ". Topics integrated: " &amp; A138 &amp; ". Business Goal: " &amp; J138, "TOPIC: " &amp; I138 &amp; ". Goal: " &amp; J138)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IF(UPPER(H138)="PROJECT", "Project #", "Topic #") &amp; F138 &amp; " | Extend | " &amp; IF($I$3="", $I$2, $I$2&amp; " - " &amp;$I$3) &amp; " | 📊 Level: " &amp; G138 &amp; CHAR(10) &amp; "**" &amp; IF(UPPER(H138)="PROJECT", "Project", "Topic") &amp; ":** " &amp; I138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38" s="52">
        <v>0</v>
      </c>
      <c r="Z138" s="56" t="str">
        <f t="shared" ref="Z138:Z200" si="48">IF(H138&lt;&gt;"PROJECT","",
"[TASK] Teach through a practical " &amp; $I$2 &amp; " - " &amp; $I$3 &amp; " project following the micro-learning methodology, acting as a supportive tutor, creating a project about  " &amp; I138 &amp; " | " &amp;
"[TOPICS USED] " &amp; A138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requirements.txt file or inline pip install comments (# requirements: package_name&gt;=version) at the top. | " &amp;
"[SCOPE_ARCHITECTURE_RULE] Rule: Build scripts: async/await coroutines with asyncio, subprocess execution, signal trapping, and custom context managers. | " &amp;
_xlfn._LONGTEXT("[VISUAL_ARCHITECTURE_COMMENTS]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 &amp;
"[DATA ROBUSTNESS RULE] Handle real-world data safely | " &amp;
"[CODE CONSTRAINTS] MUST be between " &amp; IF(G138="Beginner", "25–40", IF(G138="Intermediate",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F138 &amp; " | Stage 1 | " &amp; IF($I$3="", $I$2, $I$2&amp; " - " &amp;$I$3) &amp; " | 📊 Level: " &amp; G138 &amp; " | 🌐 Coding5s.com" &amp; CHAR(10) &amp; "**Project:** " &amp; J138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38" s="56" t="str">
        <f t="shared" ref="AA138:AA200" si="49">IF(H138&lt;&gt;"PROJECT","",
"[ROLE] Careless " &amp; $I$2 &amp; " Developer | " &amp;
"[TASK] Generate debugging project in " &amp; $I$2 &amp; " | " &amp;
"[PROJECT] " &amp; I138 &amp; " | " &amp;
"[TOPICS USED] " &amp; A138 &amp; " | " &amp;
"[LEVEL] " &amp; G138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F138 &amp; " | Stage 2 | " &amp; IF($I$3="", $I$2, $I$2&amp; " - " &amp;$I$3) &amp; " | 📊 Level: " &amp; G138 &amp; " | 🌐 Coding5s.com" &amp; CHAR(10) &amp; "Project: " &amp; J138 &amp; CHAR(10) &amp; "---" &amp; CHAR(10)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AE136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IF(G138="Beginner", "25–40", IF(G138="Intermediate", "30–60", "40–100")) &amp; " lines of EXECUTABLE code (STRICT: Do NOT count blank lines towards this limit) - Multi-step flow - 2–4 functions ONLY - main() as entry point " &amp; IF(G138&lt;&gt;"Advanced",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38" s="56" t="str">
        <f t="shared" ref="AB138:AB200" si="50">IF(H138&lt;&gt;"PROJECT","",
"[ROLE] Tech Lead | " &amp;
"[TASK] Assign incomplete project script | " &amp;
"[PROJECT] " &amp; I138 &amp; " | " &amp;
"[TOPICS USED] " &amp; A138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F138 &amp; " | Stage 3 | " &amp; IF($I$3="", $I$2, $I$2&amp; " - " &amp;$I$3) &amp; " | 📊 Level: " &amp; G138 &amp; " | 🌐 Coding5s.com" &amp; CHAR(10) &amp; "**Project:** " &amp; J138 &amp; CHAR(10) &amp; "---" &amp; CHAR(10) &amp; " | " &amp;
"[EXTERNAL_PACKAGE_PROTOCOL] Require standard pip tooling and requirements.txt for dependencies. | " &amp;
"[CHALLENGE_CONSTRAINTS_POLICY] MUST be between " &amp; IF(G138="Beginner","25–40", IF(G138="Intermediate","30–60","40–100")) &amp; " lines of EXECUTABLE base Python code (STRICT: Do NOT count comments or TODOs). Must feature functional data pipelines or asynchronous asyncio flows.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38" s="56" t="str">
        <f t="shared" ref="AC138:AC200" si="51">IF(H138&lt;&gt;"PROJECT","",
"[ROLE] Tech Lead | " &amp;
"[TASK] Provide a messy but functional project for refactoring | " &amp;
"[PROJECT] " &amp; I138 &amp; " | " &amp;
"[TOPICS USED] " &amp; A138 &amp; " | " &amp;
"[LEVEL] " &amp; G138 &amp; " | " &amp;
"[PERSONA RULE] Act as a Tech Lead. A junior wrote this working but messy code. Tone: professional but exhausted | " &amp;
"[HEADER RULE - STRICT] You MUST start your entire response EXACTLY with this markdown block (do not print anything before it):" &amp; CHAR(10) &amp; "### 🚀 Project #" &amp; F138 &amp; " | Stage 4 | " &amp; IF($I$3="", $I$2, $I$2&amp; " - " &amp;$I$3) &amp; " | 📊 Level: " &amp; G138 &amp; " | 🌐 Coding5s.com" &amp; CHAR(10) &amp; "**Project:** " &amp; J138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IF(G138="Beginner", "25–40", IF(G138="Intermediate",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38" s="56" t="str">
        <f t="shared" ref="AD138:AD200" si="52">IF(H138&lt;&gt;"PROJECT","",
"[ROLE] Tech Product Manager assigning a " &amp; $I$2 &amp; " Jira Ticket | " &amp;
"[TASK] Provide a guided project implementation with full solution | " &amp;
"[PROJECT] " &amp; I138 &amp; " | " &amp;
"[TOPICS USED] " &amp; A138 &amp; " | " &amp;
"[LEVEL] " &amp; G138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F138 &amp; " | Stage 5 | " &amp; IF($I$3="", $I$2, $I$2&amp; " - " &amp;$I$3) &amp; " | 📊 Level: " &amp; G138 &amp; " | 🌐 Coding5s.com" &amp; CHAR(10) &amp; "**Project:** " &amp; J138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IF(G138="Beginner", "20–35", IF(G138="Intermediate", "30–50", "45–70")) &amp; " lines of EXECUTABLE code (STRICT) - V1.1 MUST be between " &amp; IF(G138="Beginner", "30–50", IF(G138="Intermediate",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IF(G138="Beginner", "Avoid complex structure. ", IF(G138="Intermediate",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38" s="40"/>
      <c r="AF138" s="40"/>
      <c r="AG138" s="40"/>
      <c r="AH138" s="56" t="str">
        <f t="shared" si="36"/>
        <v/>
      </c>
      <c r="AI138" s="54"/>
      <c r="AJ138" s="54"/>
      <c r="AK138" s="54"/>
      <c r="AL138" s="54"/>
      <c r="AM138" s="54"/>
    </row>
    <row r="139" spans="1:39">
      <c r="A139" s="45" t="str" cm="1">
        <f t="array" ref="A139">IF(H139="PROJECT", CHAR(10) &amp; "- " &amp; _xlfn.TEXTJOIN(CHAR(10) &amp; "- ", TRUE, _xlfn._xlws.FILTER($I$9:$I$1000, ($B$9:$B$1000=B139) * ($H$9:$H$1000="Topic"))), "")</f>
        <v/>
      </c>
      <c r="B139" s="45" t="str">
        <f t="shared" si="37"/>
        <v/>
      </c>
      <c r="C139" s="95"/>
      <c r="D139" s="46"/>
      <c r="E139" s="58"/>
      <c r="F139" s="67"/>
      <c r="G139" s="53"/>
      <c r="H139" s="53"/>
      <c r="I139" s="50"/>
      <c r="J139" s="51"/>
      <c r="K139" s="129" t="str">
        <f t="shared" si="38"/>
        <v/>
      </c>
      <c r="L139" s="103" t="str">
        <f t="shared" si="39"/>
        <v/>
      </c>
      <c r="M139" s="53">
        <v>0</v>
      </c>
      <c r="N139" s="102" t="str">
        <f t="shared" si="40"/>
        <v/>
      </c>
      <c r="O139" s="103" t="str">
        <f t="shared" si="41"/>
        <v/>
      </c>
      <c r="P139" s="53">
        <v>0</v>
      </c>
      <c r="Q139" s="102" t="str">
        <f t="shared" si="42"/>
        <v/>
      </c>
      <c r="R139" s="103" t="str">
        <f t="shared" si="43"/>
        <v/>
      </c>
      <c r="S139" s="53">
        <v>0</v>
      </c>
      <c r="T139" s="102" t="str">
        <f t="shared" si="44"/>
        <v/>
      </c>
      <c r="U139" s="103" t="str">
        <f t="shared" si="45"/>
        <v/>
      </c>
      <c r="V139" s="53">
        <v>0</v>
      </c>
      <c r="W139" s="87" t="str">
        <f t="shared" si="46"/>
        <v/>
      </c>
      <c r="X139" s="103" t="str">
        <f t="shared" si="47"/>
        <v/>
      </c>
      <c r="Y139" s="53">
        <v>0</v>
      </c>
      <c r="Z139" s="56" t="str">
        <f t="shared" si="48"/>
        <v/>
      </c>
      <c r="AA139" s="56" t="str">
        <f t="shared" si="49"/>
        <v/>
      </c>
      <c r="AB139" s="56" t="str">
        <f t="shared" si="50"/>
        <v/>
      </c>
      <c r="AC139" s="56" t="str">
        <f t="shared" si="51"/>
        <v/>
      </c>
      <c r="AD139" s="56" t="str">
        <f t="shared" si="52"/>
        <v/>
      </c>
      <c r="AE139" s="40"/>
      <c r="AF139" s="40"/>
      <c r="AG139" s="40"/>
      <c r="AH139" s="56" t="str">
        <f t="shared" si="36"/>
        <v/>
      </c>
      <c r="AI139" s="54"/>
      <c r="AJ139" s="54"/>
      <c r="AK139" s="54"/>
      <c r="AL139" s="54"/>
      <c r="AM139" s="54"/>
    </row>
    <row r="140" spans="1:39">
      <c r="A140" s="45" t="str" cm="1">
        <f t="array" ref="A140">IF(H140="PROJECT", CHAR(10) &amp; "- " &amp; _xlfn.TEXTJOIN(CHAR(10) &amp; "- ", TRUE, _xlfn._xlws.FILTER($I$9:$I$1000, ($B$9:$B$1000=B140) * ($H$9:$H$1000="Topic"))), "")</f>
        <v/>
      </c>
      <c r="B140" s="45" t="str">
        <f t="shared" si="37"/>
        <v/>
      </c>
      <c r="C140" s="95"/>
      <c r="D140" s="57"/>
      <c r="E140" s="58"/>
      <c r="F140" s="54"/>
      <c r="G140" s="52"/>
      <c r="H140" s="52"/>
      <c r="I140" s="61"/>
      <c r="J140" s="62"/>
      <c r="K140" s="129" t="str">
        <f t="shared" si="38"/>
        <v/>
      </c>
      <c r="L140" s="103" t="str">
        <f t="shared" si="39"/>
        <v/>
      </c>
      <c r="M140" s="52">
        <v>0</v>
      </c>
      <c r="N140" s="102" t="str">
        <f t="shared" si="40"/>
        <v/>
      </c>
      <c r="O140" s="103" t="str">
        <f t="shared" si="41"/>
        <v/>
      </c>
      <c r="P140" s="52">
        <v>0</v>
      </c>
      <c r="Q140" s="102" t="str">
        <f t="shared" si="42"/>
        <v/>
      </c>
      <c r="R140" s="103" t="str">
        <f t="shared" si="43"/>
        <v/>
      </c>
      <c r="S140" s="52">
        <v>0</v>
      </c>
      <c r="T140" s="102" t="str">
        <f t="shared" si="44"/>
        <v/>
      </c>
      <c r="U140" s="103" t="str">
        <f t="shared" si="45"/>
        <v/>
      </c>
      <c r="V140" s="52">
        <v>0</v>
      </c>
      <c r="W140" s="87" t="str">
        <f t="shared" si="46"/>
        <v/>
      </c>
      <c r="X140" s="103" t="str">
        <f t="shared" si="47"/>
        <v/>
      </c>
      <c r="Y140" s="52">
        <v>0</v>
      </c>
      <c r="Z140" s="56" t="str">
        <f t="shared" si="48"/>
        <v/>
      </c>
      <c r="AA140" s="56" t="str">
        <f t="shared" si="49"/>
        <v/>
      </c>
      <c r="AB140" s="56" t="str">
        <f t="shared" si="50"/>
        <v/>
      </c>
      <c r="AC140" s="56" t="str">
        <f t="shared" si="51"/>
        <v/>
      </c>
      <c r="AD140" s="56" t="str">
        <f t="shared" si="52"/>
        <v/>
      </c>
      <c r="AE140" s="40"/>
      <c r="AF140" s="40"/>
      <c r="AG140" s="40"/>
      <c r="AH140" s="56" t="str">
        <f t="shared" si="36"/>
        <v/>
      </c>
      <c r="AI140" s="54"/>
      <c r="AJ140" s="54"/>
      <c r="AK140" s="54"/>
      <c r="AL140" s="54"/>
      <c r="AM140" s="54"/>
    </row>
    <row r="141" spans="1:39">
      <c r="A141" s="45" t="str" cm="1">
        <f t="array" ref="A141">IF(H141="PROJECT", CHAR(10) &amp; "- " &amp; _xlfn.TEXTJOIN(CHAR(10) &amp; "- ", TRUE, _xlfn._xlws.FILTER($I$9:$I$1000, ($B$9:$B$1000=B141) * ($H$9:$H$1000="Topic"))), "")</f>
        <v/>
      </c>
      <c r="B141" s="45" t="str">
        <f t="shared" si="37"/>
        <v/>
      </c>
      <c r="C141" s="95"/>
      <c r="D141" s="46"/>
      <c r="E141" s="58"/>
      <c r="F141" s="67"/>
      <c r="G141" s="53"/>
      <c r="H141" s="53"/>
      <c r="I141" s="50"/>
      <c r="J141" s="51"/>
      <c r="K141" s="129" t="str">
        <f t="shared" si="38"/>
        <v/>
      </c>
      <c r="L141" s="103" t="str">
        <f t="shared" si="39"/>
        <v/>
      </c>
      <c r="M141" s="53">
        <v>0</v>
      </c>
      <c r="N141" s="102" t="str">
        <f t="shared" si="40"/>
        <v/>
      </c>
      <c r="O141" s="103" t="str">
        <f t="shared" si="41"/>
        <v/>
      </c>
      <c r="P141" s="53">
        <v>0</v>
      </c>
      <c r="Q141" s="102" t="str">
        <f t="shared" si="42"/>
        <v/>
      </c>
      <c r="R141" s="103" t="str">
        <f t="shared" si="43"/>
        <v/>
      </c>
      <c r="S141" s="53">
        <v>0</v>
      </c>
      <c r="T141" s="102" t="str">
        <f t="shared" si="44"/>
        <v/>
      </c>
      <c r="U141" s="103" t="str">
        <f t="shared" si="45"/>
        <v/>
      </c>
      <c r="V141" s="53">
        <v>0</v>
      </c>
      <c r="W141" s="87" t="str">
        <f t="shared" si="46"/>
        <v/>
      </c>
      <c r="X141" s="103" t="str">
        <f t="shared" si="47"/>
        <v/>
      </c>
      <c r="Y141" s="53">
        <v>0</v>
      </c>
      <c r="Z141" s="56" t="str">
        <f t="shared" si="48"/>
        <v/>
      </c>
      <c r="AA141" s="56" t="str">
        <f t="shared" si="49"/>
        <v/>
      </c>
      <c r="AB141" s="56" t="str">
        <f t="shared" si="50"/>
        <v/>
      </c>
      <c r="AC141" s="56" t="str">
        <f t="shared" si="51"/>
        <v/>
      </c>
      <c r="AD141" s="56" t="str">
        <f t="shared" si="52"/>
        <v/>
      </c>
      <c r="AE141" s="40"/>
      <c r="AF141" s="40"/>
      <c r="AG141" s="40"/>
      <c r="AH141" s="56" t="str">
        <f t="shared" si="36"/>
        <v/>
      </c>
      <c r="AI141" s="54"/>
      <c r="AJ141" s="54"/>
      <c r="AK141" s="54"/>
      <c r="AL141" s="54"/>
      <c r="AM141" s="54"/>
    </row>
    <row r="142" spans="1:39">
      <c r="A142" s="45" t="str" cm="1">
        <f t="array" ref="A142">IF(H142="PROJECT", CHAR(10) &amp; "- " &amp; _xlfn.TEXTJOIN(CHAR(10) &amp; "- ", TRUE, _xlfn._xlws.FILTER($I$9:$I$1000, ($B$9:$B$1000=B142) * ($H$9:$H$1000="Topic"))), "")</f>
        <v/>
      </c>
      <c r="B142" s="45" t="str">
        <f t="shared" si="37"/>
        <v/>
      </c>
      <c r="C142" s="95"/>
      <c r="D142" s="57"/>
      <c r="E142" s="58"/>
      <c r="F142" s="54"/>
      <c r="G142" s="52"/>
      <c r="H142" s="52"/>
      <c r="I142" s="61"/>
      <c r="J142" s="62"/>
      <c r="K142" s="129" t="str">
        <f t="shared" si="38"/>
        <v/>
      </c>
      <c r="L142" s="103" t="str">
        <f t="shared" si="39"/>
        <v/>
      </c>
      <c r="M142" s="52">
        <v>0</v>
      </c>
      <c r="N142" s="102" t="str">
        <f t="shared" si="40"/>
        <v/>
      </c>
      <c r="O142" s="103" t="str">
        <f t="shared" si="41"/>
        <v/>
      </c>
      <c r="P142" s="52">
        <v>0</v>
      </c>
      <c r="Q142" s="102" t="str">
        <f t="shared" si="42"/>
        <v/>
      </c>
      <c r="R142" s="103" t="str">
        <f t="shared" si="43"/>
        <v/>
      </c>
      <c r="S142" s="52">
        <v>0</v>
      </c>
      <c r="T142" s="102" t="str">
        <f t="shared" si="44"/>
        <v/>
      </c>
      <c r="U142" s="103" t="str">
        <f t="shared" si="45"/>
        <v/>
      </c>
      <c r="V142" s="52">
        <v>0</v>
      </c>
      <c r="W142" s="87" t="str">
        <f t="shared" si="46"/>
        <v/>
      </c>
      <c r="X142" s="103" t="str">
        <f t="shared" si="47"/>
        <v/>
      </c>
      <c r="Y142" s="52">
        <v>0</v>
      </c>
      <c r="Z142" s="56" t="str">
        <f t="shared" si="48"/>
        <v/>
      </c>
      <c r="AA142" s="56" t="str">
        <f t="shared" si="49"/>
        <v/>
      </c>
      <c r="AB142" s="56" t="str">
        <f t="shared" si="50"/>
        <v/>
      </c>
      <c r="AC142" s="56" t="str">
        <f t="shared" si="51"/>
        <v/>
      </c>
      <c r="AD142" s="56" t="str">
        <f t="shared" si="52"/>
        <v/>
      </c>
      <c r="AE142" s="40"/>
      <c r="AF142" s="40"/>
      <c r="AG142" s="40"/>
      <c r="AH142" s="56" t="str">
        <f t="shared" si="36"/>
        <v/>
      </c>
      <c r="AI142" s="54"/>
      <c r="AJ142" s="54"/>
      <c r="AK142" s="54"/>
      <c r="AL142" s="54"/>
      <c r="AM142" s="54"/>
    </row>
    <row r="143" spans="1:39">
      <c r="A143" s="45" t="str" cm="1">
        <f t="array" ref="A143">IF(H143="PROJECT", CHAR(10) &amp; "- " &amp; _xlfn.TEXTJOIN(CHAR(10) &amp; "- ", TRUE, _xlfn._xlws.FILTER($I$9:$I$1000, ($B$9:$B$1000=B143) * ($H$9:$H$1000="Topic"))), "")</f>
        <v/>
      </c>
      <c r="B143" s="45" t="str">
        <f t="shared" si="37"/>
        <v/>
      </c>
      <c r="C143" s="95"/>
      <c r="D143" s="46"/>
      <c r="E143" s="58"/>
      <c r="F143" s="67"/>
      <c r="G143" s="53"/>
      <c r="H143" s="53"/>
      <c r="I143" s="50"/>
      <c r="J143" s="51"/>
      <c r="K143" s="129" t="str">
        <f t="shared" si="38"/>
        <v/>
      </c>
      <c r="L143" s="103" t="str">
        <f t="shared" si="39"/>
        <v/>
      </c>
      <c r="M143" s="53">
        <v>0</v>
      </c>
      <c r="N143" s="102" t="str">
        <f t="shared" si="40"/>
        <v/>
      </c>
      <c r="O143" s="103" t="str">
        <f t="shared" si="41"/>
        <v/>
      </c>
      <c r="P143" s="53">
        <v>0</v>
      </c>
      <c r="Q143" s="102" t="str">
        <f t="shared" si="42"/>
        <v/>
      </c>
      <c r="R143" s="103" t="str">
        <f t="shared" si="43"/>
        <v/>
      </c>
      <c r="S143" s="53">
        <v>0</v>
      </c>
      <c r="T143" s="102" t="str">
        <f t="shared" si="44"/>
        <v/>
      </c>
      <c r="U143" s="103" t="str">
        <f t="shared" si="45"/>
        <v/>
      </c>
      <c r="V143" s="53">
        <v>0</v>
      </c>
      <c r="W143" s="87" t="str">
        <f t="shared" si="46"/>
        <v/>
      </c>
      <c r="X143" s="103" t="str">
        <f t="shared" si="47"/>
        <v/>
      </c>
      <c r="Y143" s="53">
        <v>0</v>
      </c>
      <c r="Z143" s="56" t="str">
        <f t="shared" si="48"/>
        <v/>
      </c>
      <c r="AA143" s="56" t="str">
        <f t="shared" si="49"/>
        <v/>
      </c>
      <c r="AB143" s="56" t="str">
        <f t="shared" si="50"/>
        <v/>
      </c>
      <c r="AC143" s="56" t="str">
        <f t="shared" si="51"/>
        <v/>
      </c>
      <c r="AD143" s="56" t="str">
        <f t="shared" si="52"/>
        <v/>
      </c>
      <c r="AE143" s="40"/>
      <c r="AF143" s="40"/>
      <c r="AG143" s="40"/>
      <c r="AH143" s="56" t="str">
        <f t="shared" si="36"/>
        <v/>
      </c>
      <c r="AI143" s="54"/>
      <c r="AJ143" s="54"/>
      <c r="AK143" s="54"/>
      <c r="AL143" s="54"/>
      <c r="AM143" s="54"/>
    </row>
    <row r="144" spans="1:39">
      <c r="A144" s="45" t="str" cm="1">
        <f t="array" ref="A144">IF(H144="PROJECT", CHAR(10) &amp; "- " &amp; _xlfn.TEXTJOIN(CHAR(10) &amp; "- ", TRUE, _xlfn._xlws.FILTER($I$9:$I$1000, ($B$9:$B$1000=B144) * ($H$9:$H$1000="Topic"))), "")</f>
        <v/>
      </c>
      <c r="B144" s="45" t="str">
        <f t="shared" si="37"/>
        <v/>
      </c>
      <c r="C144" s="95"/>
      <c r="D144" s="57"/>
      <c r="E144" s="58"/>
      <c r="F144" s="54"/>
      <c r="G144" s="52"/>
      <c r="H144" s="52"/>
      <c r="I144" s="61"/>
      <c r="J144" s="62"/>
      <c r="K144" s="129" t="str">
        <f t="shared" si="38"/>
        <v/>
      </c>
      <c r="L144" s="103" t="str">
        <f t="shared" si="39"/>
        <v/>
      </c>
      <c r="M144" s="52">
        <v>0</v>
      </c>
      <c r="N144" s="102" t="str">
        <f t="shared" si="40"/>
        <v/>
      </c>
      <c r="O144" s="103" t="str">
        <f t="shared" si="41"/>
        <v/>
      </c>
      <c r="P144" s="52">
        <v>0</v>
      </c>
      <c r="Q144" s="102" t="str">
        <f t="shared" si="42"/>
        <v/>
      </c>
      <c r="R144" s="103" t="str">
        <f t="shared" si="43"/>
        <v/>
      </c>
      <c r="S144" s="52">
        <v>0</v>
      </c>
      <c r="T144" s="102" t="str">
        <f t="shared" si="44"/>
        <v/>
      </c>
      <c r="U144" s="103" t="str">
        <f t="shared" si="45"/>
        <v/>
      </c>
      <c r="V144" s="52">
        <v>0</v>
      </c>
      <c r="W144" s="87" t="str">
        <f t="shared" si="46"/>
        <v/>
      </c>
      <c r="X144" s="103" t="str">
        <f t="shared" si="47"/>
        <v/>
      </c>
      <c r="Y144" s="52">
        <v>0</v>
      </c>
      <c r="Z144" s="56" t="str">
        <f t="shared" si="48"/>
        <v/>
      </c>
      <c r="AA144" s="56" t="str">
        <f t="shared" si="49"/>
        <v/>
      </c>
      <c r="AB144" s="56" t="str">
        <f t="shared" si="50"/>
        <v/>
      </c>
      <c r="AC144" s="56" t="str">
        <f t="shared" si="51"/>
        <v/>
      </c>
      <c r="AD144" s="56" t="str">
        <f t="shared" si="52"/>
        <v/>
      </c>
      <c r="AE144" s="40"/>
      <c r="AF144" s="40"/>
      <c r="AG144" s="40"/>
      <c r="AH144" s="56" t="str">
        <f t="shared" si="36"/>
        <v/>
      </c>
      <c r="AI144" s="54"/>
      <c r="AJ144" s="54"/>
      <c r="AK144" s="54"/>
      <c r="AL144" s="54"/>
      <c r="AM144" s="54"/>
    </row>
    <row r="145" spans="1:39">
      <c r="A145" s="45" t="str" cm="1">
        <f t="array" ref="A145">IF(H145="PROJECT", CHAR(10) &amp; "- " &amp; _xlfn.TEXTJOIN(CHAR(10) &amp; "- ", TRUE, _xlfn._xlws.FILTER($I$9:$I$1000, ($B$9:$B$1000=B145) * ($H$9:$H$1000="Topic"))), "")</f>
        <v/>
      </c>
      <c r="B145" s="45" t="str">
        <f t="shared" si="37"/>
        <v/>
      </c>
      <c r="C145" s="95"/>
      <c r="D145" s="46"/>
      <c r="E145" s="58"/>
      <c r="F145" s="67"/>
      <c r="G145" s="53"/>
      <c r="H145" s="53"/>
      <c r="I145" s="50"/>
      <c r="J145" s="51"/>
      <c r="K145" s="129" t="str">
        <f t="shared" si="38"/>
        <v/>
      </c>
      <c r="L145" s="103" t="str">
        <f t="shared" si="39"/>
        <v/>
      </c>
      <c r="M145" s="53">
        <v>0</v>
      </c>
      <c r="N145" s="102" t="str">
        <f t="shared" si="40"/>
        <v/>
      </c>
      <c r="O145" s="103" t="str">
        <f t="shared" si="41"/>
        <v/>
      </c>
      <c r="P145" s="53">
        <v>0</v>
      </c>
      <c r="Q145" s="102" t="str">
        <f t="shared" si="42"/>
        <v/>
      </c>
      <c r="R145" s="103" t="str">
        <f t="shared" si="43"/>
        <v/>
      </c>
      <c r="S145" s="53">
        <v>0</v>
      </c>
      <c r="T145" s="102" t="str">
        <f t="shared" si="44"/>
        <v/>
      </c>
      <c r="U145" s="103" t="str">
        <f t="shared" si="45"/>
        <v/>
      </c>
      <c r="V145" s="53">
        <v>0</v>
      </c>
      <c r="W145" s="87" t="str">
        <f t="shared" si="46"/>
        <v/>
      </c>
      <c r="X145" s="103" t="str">
        <f t="shared" si="47"/>
        <v/>
      </c>
      <c r="Y145" s="53">
        <v>0</v>
      </c>
      <c r="Z145" s="56" t="str">
        <f t="shared" si="48"/>
        <v/>
      </c>
      <c r="AA145" s="56" t="str">
        <f t="shared" si="49"/>
        <v/>
      </c>
      <c r="AB145" s="56" t="str">
        <f t="shared" si="50"/>
        <v/>
      </c>
      <c r="AC145" s="56" t="str">
        <f t="shared" si="51"/>
        <v/>
      </c>
      <c r="AD145" s="56" t="str">
        <f t="shared" si="52"/>
        <v/>
      </c>
      <c r="AE145" s="40"/>
      <c r="AF145" s="40"/>
      <c r="AG145" s="40"/>
      <c r="AH145" s="56" t="str">
        <f t="shared" si="36"/>
        <v/>
      </c>
      <c r="AI145" s="54"/>
      <c r="AJ145" s="54"/>
      <c r="AK145" s="54"/>
      <c r="AL145" s="54"/>
      <c r="AM145" s="54"/>
    </row>
    <row r="146" spans="1:39">
      <c r="A146" s="45" t="str" cm="1">
        <f t="array" ref="A146">IF(H146="PROJECT", CHAR(10) &amp; "- " &amp; _xlfn.TEXTJOIN(CHAR(10) &amp; "- ", TRUE, _xlfn._xlws.FILTER($I$9:$I$1000, ($B$9:$B$1000=B146) * ($H$9:$H$1000="Topic"))), "")</f>
        <v/>
      </c>
      <c r="B146" s="45" t="str">
        <f t="shared" si="37"/>
        <v/>
      </c>
      <c r="C146" s="95"/>
      <c r="D146" s="57"/>
      <c r="E146" s="58"/>
      <c r="F146" s="54"/>
      <c r="G146" s="52"/>
      <c r="H146" s="52"/>
      <c r="I146" s="61"/>
      <c r="J146" s="62"/>
      <c r="K146" s="129" t="str">
        <f t="shared" si="38"/>
        <v/>
      </c>
      <c r="L146" s="103" t="str">
        <f t="shared" si="39"/>
        <v/>
      </c>
      <c r="M146" s="52">
        <v>0</v>
      </c>
      <c r="N146" s="102" t="str">
        <f t="shared" si="40"/>
        <v/>
      </c>
      <c r="O146" s="103" t="str">
        <f t="shared" si="41"/>
        <v/>
      </c>
      <c r="P146" s="52">
        <v>0</v>
      </c>
      <c r="Q146" s="102" t="str">
        <f t="shared" si="42"/>
        <v/>
      </c>
      <c r="R146" s="103" t="str">
        <f t="shared" si="43"/>
        <v/>
      </c>
      <c r="S146" s="52">
        <v>0</v>
      </c>
      <c r="T146" s="102" t="str">
        <f t="shared" si="44"/>
        <v/>
      </c>
      <c r="U146" s="103" t="str">
        <f t="shared" si="45"/>
        <v/>
      </c>
      <c r="V146" s="52">
        <v>0</v>
      </c>
      <c r="W146" s="87" t="str">
        <f t="shared" si="46"/>
        <v/>
      </c>
      <c r="X146" s="103" t="str">
        <f t="shared" si="47"/>
        <v/>
      </c>
      <c r="Y146" s="52">
        <v>0</v>
      </c>
      <c r="Z146" s="56" t="str">
        <f t="shared" si="48"/>
        <v/>
      </c>
      <c r="AA146" s="56" t="str">
        <f t="shared" si="49"/>
        <v/>
      </c>
      <c r="AB146" s="56" t="str">
        <f t="shared" si="50"/>
        <v/>
      </c>
      <c r="AC146" s="56" t="str">
        <f t="shared" si="51"/>
        <v/>
      </c>
      <c r="AD146" s="56" t="str">
        <f t="shared" si="52"/>
        <v/>
      </c>
      <c r="AE146" s="40"/>
      <c r="AF146" s="40"/>
      <c r="AG146" s="40"/>
      <c r="AH146" s="56" t="str">
        <f t="shared" si="36"/>
        <v/>
      </c>
      <c r="AI146" s="54"/>
      <c r="AJ146" s="54"/>
      <c r="AK146" s="54"/>
      <c r="AL146" s="54"/>
      <c r="AM146" s="54"/>
    </row>
    <row r="147" spans="1:39">
      <c r="A147" s="45" t="str" cm="1">
        <f t="array" ref="A147">IF(H147="PROJECT", CHAR(10) &amp; "- " &amp; _xlfn.TEXTJOIN(CHAR(10) &amp; "- ", TRUE, _xlfn._xlws.FILTER($I$9:$I$1000, ($B$9:$B$1000=B147) * ($H$9:$H$1000="Topic"))), "")</f>
        <v/>
      </c>
      <c r="B147" s="45" t="str">
        <f t="shared" si="37"/>
        <v/>
      </c>
      <c r="C147" s="95"/>
      <c r="D147" s="46"/>
      <c r="E147" s="58"/>
      <c r="F147" s="67"/>
      <c r="G147" s="53"/>
      <c r="H147" s="53"/>
      <c r="I147" s="50"/>
      <c r="J147" s="51"/>
      <c r="K147" s="129" t="str">
        <f t="shared" si="38"/>
        <v/>
      </c>
      <c r="L147" s="103" t="str">
        <f t="shared" si="39"/>
        <v/>
      </c>
      <c r="M147" s="53">
        <v>0</v>
      </c>
      <c r="N147" s="102" t="str">
        <f t="shared" si="40"/>
        <v/>
      </c>
      <c r="O147" s="103" t="str">
        <f t="shared" si="41"/>
        <v/>
      </c>
      <c r="P147" s="53">
        <v>0</v>
      </c>
      <c r="Q147" s="102" t="str">
        <f t="shared" si="42"/>
        <v/>
      </c>
      <c r="R147" s="103" t="str">
        <f t="shared" si="43"/>
        <v/>
      </c>
      <c r="S147" s="53">
        <v>0</v>
      </c>
      <c r="T147" s="102" t="str">
        <f t="shared" si="44"/>
        <v/>
      </c>
      <c r="U147" s="103" t="str">
        <f t="shared" si="45"/>
        <v/>
      </c>
      <c r="V147" s="53">
        <v>0</v>
      </c>
      <c r="W147" s="87" t="str">
        <f t="shared" si="46"/>
        <v/>
      </c>
      <c r="X147" s="103" t="str">
        <f t="shared" si="47"/>
        <v/>
      </c>
      <c r="Y147" s="53">
        <v>0</v>
      </c>
      <c r="Z147" s="56" t="str">
        <f t="shared" si="48"/>
        <v/>
      </c>
      <c r="AA147" s="56" t="str">
        <f t="shared" si="49"/>
        <v/>
      </c>
      <c r="AB147" s="56" t="str">
        <f t="shared" si="50"/>
        <v/>
      </c>
      <c r="AC147" s="56" t="str">
        <f t="shared" si="51"/>
        <v/>
      </c>
      <c r="AD147" s="56" t="str">
        <f t="shared" si="52"/>
        <v/>
      </c>
      <c r="AE147" s="40"/>
      <c r="AF147" s="40"/>
      <c r="AG147" s="40"/>
      <c r="AH147" s="56" t="str">
        <f t="shared" si="36"/>
        <v/>
      </c>
      <c r="AI147" s="54"/>
      <c r="AJ147" s="54"/>
      <c r="AK147" s="54"/>
      <c r="AL147" s="54"/>
      <c r="AM147" s="54"/>
    </row>
    <row r="148" spans="1:39">
      <c r="A148" s="45" t="str" cm="1">
        <f t="array" ref="A148">IF(H148="PROJECT", CHAR(10) &amp; "- " &amp; _xlfn.TEXTJOIN(CHAR(10) &amp; "- ", TRUE, _xlfn._xlws.FILTER($I$9:$I$1000, ($B$9:$B$1000=B148) * ($H$9:$H$1000="Topic"))), "")</f>
        <v/>
      </c>
      <c r="B148" s="45" t="str">
        <f t="shared" si="37"/>
        <v/>
      </c>
      <c r="C148" s="95"/>
      <c r="D148" s="57"/>
      <c r="E148" s="58"/>
      <c r="F148" s="54"/>
      <c r="G148" s="52"/>
      <c r="H148" s="52"/>
      <c r="I148" s="61"/>
      <c r="J148" s="62"/>
      <c r="K148" s="129" t="str">
        <f t="shared" si="38"/>
        <v/>
      </c>
      <c r="L148" s="103" t="str">
        <f t="shared" si="39"/>
        <v/>
      </c>
      <c r="M148" s="52">
        <v>0</v>
      </c>
      <c r="N148" s="102" t="str">
        <f t="shared" si="40"/>
        <v/>
      </c>
      <c r="O148" s="103" t="str">
        <f t="shared" si="41"/>
        <v/>
      </c>
      <c r="P148" s="52">
        <v>0</v>
      </c>
      <c r="Q148" s="102" t="str">
        <f t="shared" si="42"/>
        <v/>
      </c>
      <c r="R148" s="103" t="str">
        <f t="shared" si="43"/>
        <v/>
      </c>
      <c r="S148" s="52">
        <v>0</v>
      </c>
      <c r="T148" s="102" t="str">
        <f t="shared" si="44"/>
        <v/>
      </c>
      <c r="U148" s="103" t="str">
        <f t="shared" si="45"/>
        <v/>
      </c>
      <c r="V148" s="52">
        <v>0</v>
      </c>
      <c r="W148" s="87" t="str">
        <f t="shared" si="46"/>
        <v/>
      </c>
      <c r="X148" s="103" t="str">
        <f t="shared" si="47"/>
        <v/>
      </c>
      <c r="Y148" s="52">
        <v>0</v>
      </c>
      <c r="Z148" s="56" t="str">
        <f t="shared" si="48"/>
        <v/>
      </c>
      <c r="AA148" s="56" t="str">
        <f t="shared" si="49"/>
        <v/>
      </c>
      <c r="AB148" s="56" t="str">
        <f t="shared" si="50"/>
        <v/>
      </c>
      <c r="AC148" s="56" t="str">
        <f t="shared" si="51"/>
        <v/>
      </c>
      <c r="AD148" s="56" t="str">
        <f t="shared" si="52"/>
        <v/>
      </c>
      <c r="AE148" s="40"/>
      <c r="AF148" s="40"/>
      <c r="AG148" s="40"/>
      <c r="AH148" s="56" t="str">
        <f t="shared" si="36"/>
        <v/>
      </c>
      <c r="AI148" s="54"/>
      <c r="AJ148" s="54"/>
      <c r="AK148" s="54"/>
      <c r="AL148" s="54"/>
      <c r="AM148" s="54"/>
    </row>
    <row r="149" spans="1:39">
      <c r="A149" s="45" t="str" cm="1">
        <f t="array" ref="A149">IF(H149="PROJECT", CHAR(10) &amp; "- " &amp; _xlfn.TEXTJOIN(CHAR(10) &amp; "- ", TRUE, _xlfn._xlws.FILTER($I$9:$I$1000, ($B$9:$B$1000=B149) * ($H$9:$H$1000="Topic"))), "")</f>
        <v/>
      </c>
      <c r="B149" s="45" t="str">
        <f t="shared" si="37"/>
        <v/>
      </c>
      <c r="C149" s="95"/>
      <c r="D149" s="46"/>
      <c r="E149" s="58"/>
      <c r="F149" s="67"/>
      <c r="G149" s="53"/>
      <c r="H149" s="53"/>
      <c r="I149" s="50"/>
      <c r="J149" s="51"/>
      <c r="K149" s="129" t="str">
        <f t="shared" si="38"/>
        <v/>
      </c>
      <c r="L149" s="103" t="str">
        <f t="shared" si="39"/>
        <v/>
      </c>
      <c r="M149" s="53">
        <v>0</v>
      </c>
      <c r="N149" s="102" t="str">
        <f t="shared" si="40"/>
        <v/>
      </c>
      <c r="O149" s="103" t="str">
        <f t="shared" si="41"/>
        <v/>
      </c>
      <c r="P149" s="53">
        <v>0</v>
      </c>
      <c r="Q149" s="102" t="str">
        <f t="shared" si="42"/>
        <v/>
      </c>
      <c r="R149" s="103" t="str">
        <f t="shared" si="43"/>
        <v/>
      </c>
      <c r="S149" s="53">
        <v>0</v>
      </c>
      <c r="T149" s="102" t="str">
        <f t="shared" si="44"/>
        <v/>
      </c>
      <c r="U149" s="103" t="str">
        <f t="shared" si="45"/>
        <v/>
      </c>
      <c r="V149" s="53">
        <v>0</v>
      </c>
      <c r="W149" s="87" t="str">
        <f t="shared" si="46"/>
        <v/>
      </c>
      <c r="X149" s="103" t="str">
        <f t="shared" si="47"/>
        <v/>
      </c>
      <c r="Y149" s="53">
        <v>0</v>
      </c>
      <c r="Z149" s="56" t="str">
        <f t="shared" si="48"/>
        <v/>
      </c>
      <c r="AA149" s="56" t="str">
        <f t="shared" si="49"/>
        <v/>
      </c>
      <c r="AB149" s="56" t="str">
        <f t="shared" si="50"/>
        <v/>
      </c>
      <c r="AC149" s="56" t="str">
        <f t="shared" si="51"/>
        <v/>
      </c>
      <c r="AD149" s="56" t="str">
        <f t="shared" si="52"/>
        <v/>
      </c>
      <c r="AE149" s="40"/>
      <c r="AF149" s="40"/>
      <c r="AG149" s="40"/>
      <c r="AH149" s="56" t="str">
        <f t="shared" si="36"/>
        <v/>
      </c>
      <c r="AI149" s="54"/>
      <c r="AJ149" s="54"/>
      <c r="AK149" s="54"/>
      <c r="AL149" s="54"/>
      <c r="AM149" s="54"/>
    </row>
    <row r="150" spans="1:39">
      <c r="A150" s="45" t="str" cm="1">
        <f t="array" ref="A150">IF(H150="PROJECT", CHAR(10) &amp; "- " &amp; _xlfn.TEXTJOIN(CHAR(10) &amp; "- ", TRUE, _xlfn._xlws.FILTER($I$9:$I$1000, ($B$9:$B$1000=B150) * ($H$9:$H$1000="Topic"))), "")</f>
        <v/>
      </c>
      <c r="B150" s="45" t="str">
        <f t="shared" si="37"/>
        <v/>
      </c>
      <c r="C150" s="95"/>
      <c r="D150" s="57"/>
      <c r="E150" s="58"/>
      <c r="F150" s="54"/>
      <c r="G150" s="52"/>
      <c r="H150" s="52"/>
      <c r="I150" s="61"/>
      <c r="J150" s="62"/>
      <c r="K150" s="129" t="str">
        <f t="shared" si="38"/>
        <v/>
      </c>
      <c r="L150" s="103" t="str">
        <f t="shared" si="39"/>
        <v/>
      </c>
      <c r="M150" s="52">
        <v>0</v>
      </c>
      <c r="N150" s="102" t="str">
        <f t="shared" si="40"/>
        <v/>
      </c>
      <c r="O150" s="103" t="str">
        <f t="shared" si="41"/>
        <v/>
      </c>
      <c r="P150" s="52">
        <v>0</v>
      </c>
      <c r="Q150" s="102" t="str">
        <f t="shared" si="42"/>
        <v/>
      </c>
      <c r="R150" s="103" t="str">
        <f t="shared" si="43"/>
        <v/>
      </c>
      <c r="S150" s="52">
        <v>0</v>
      </c>
      <c r="T150" s="102" t="str">
        <f t="shared" si="44"/>
        <v/>
      </c>
      <c r="U150" s="103" t="str">
        <f t="shared" si="45"/>
        <v/>
      </c>
      <c r="V150" s="52">
        <v>0</v>
      </c>
      <c r="W150" s="87" t="str">
        <f t="shared" si="46"/>
        <v/>
      </c>
      <c r="X150" s="103" t="str">
        <f t="shared" si="47"/>
        <v/>
      </c>
      <c r="Y150" s="52">
        <v>0</v>
      </c>
      <c r="Z150" s="56" t="str">
        <f t="shared" si="48"/>
        <v/>
      </c>
      <c r="AA150" s="56" t="str">
        <f t="shared" si="49"/>
        <v/>
      </c>
      <c r="AB150" s="56" t="str">
        <f t="shared" si="50"/>
        <v/>
      </c>
      <c r="AC150" s="56" t="str">
        <f t="shared" si="51"/>
        <v/>
      </c>
      <c r="AD150" s="56" t="str">
        <f t="shared" si="52"/>
        <v/>
      </c>
      <c r="AE150" s="40"/>
      <c r="AF150" s="40"/>
      <c r="AG150" s="40"/>
      <c r="AH150" s="56" t="str">
        <f t="shared" si="36"/>
        <v/>
      </c>
      <c r="AI150" s="54"/>
      <c r="AJ150" s="54"/>
      <c r="AK150" s="54"/>
      <c r="AL150" s="54"/>
      <c r="AM150" s="54"/>
    </row>
    <row r="151" spans="1:39">
      <c r="A151" s="45" t="str" cm="1">
        <f t="array" ref="A151">IF(H151="PROJECT", CHAR(10) &amp; "- " &amp; _xlfn.TEXTJOIN(CHAR(10) &amp; "- ", TRUE, _xlfn._xlws.FILTER($I$9:$I$1000, ($B$9:$B$1000=B151) * ($H$9:$H$1000="Topic"))), "")</f>
        <v/>
      </c>
      <c r="B151" s="45" t="str">
        <f t="shared" si="37"/>
        <v/>
      </c>
      <c r="C151" s="95"/>
      <c r="D151" s="46"/>
      <c r="E151" s="58"/>
      <c r="F151" s="67"/>
      <c r="G151" s="53"/>
      <c r="H151" s="53"/>
      <c r="I151" s="50"/>
      <c r="J151" s="51"/>
      <c r="K151" s="129" t="str">
        <f t="shared" si="38"/>
        <v/>
      </c>
      <c r="L151" s="103" t="str">
        <f t="shared" si="39"/>
        <v/>
      </c>
      <c r="M151" s="53">
        <v>0</v>
      </c>
      <c r="N151" s="102" t="str">
        <f t="shared" si="40"/>
        <v/>
      </c>
      <c r="O151" s="103" t="str">
        <f t="shared" si="41"/>
        <v/>
      </c>
      <c r="P151" s="53">
        <v>0</v>
      </c>
      <c r="Q151" s="102" t="str">
        <f t="shared" si="42"/>
        <v/>
      </c>
      <c r="R151" s="103" t="str">
        <f t="shared" si="43"/>
        <v/>
      </c>
      <c r="S151" s="53">
        <v>0</v>
      </c>
      <c r="T151" s="102" t="str">
        <f t="shared" si="44"/>
        <v/>
      </c>
      <c r="U151" s="103" t="str">
        <f t="shared" si="45"/>
        <v/>
      </c>
      <c r="V151" s="53">
        <v>0</v>
      </c>
      <c r="W151" s="87" t="str">
        <f t="shared" si="46"/>
        <v/>
      </c>
      <c r="X151" s="103" t="str">
        <f t="shared" si="47"/>
        <v/>
      </c>
      <c r="Y151" s="53">
        <v>0</v>
      </c>
      <c r="Z151" s="56" t="str">
        <f t="shared" si="48"/>
        <v/>
      </c>
      <c r="AA151" s="56" t="str">
        <f t="shared" si="49"/>
        <v/>
      </c>
      <c r="AB151" s="56" t="str">
        <f t="shared" si="50"/>
        <v/>
      </c>
      <c r="AC151" s="56" t="str">
        <f t="shared" si="51"/>
        <v/>
      </c>
      <c r="AD151" s="56" t="str">
        <f t="shared" si="52"/>
        <v/>
      </c>
      <c r="AE151" s="40"/>
      <c r="AF151" s="40"/>
      <c r="AG151" s="40"/>
      <c r="AH151" s="56" t="str">
        <f t="shared" si="36"/>
        <v/>
      </c>
      <c r="AI151" s="54"/>
      <c r="AJ151" s="54"/>
      <c r="AK151" s="54"/>
      <c r="AL151" s="54"/>
      <c r="AM151" s="54"/>
    </row>
    <row r="152" spans="1:39">
      <c r="A152" s="45" t="str" cm="1">
        <f t="array" ref="A152">IF(H152="PROJECT", CHAR(10) &amp; "- " &amp; _xlfn.TEXTJOIN(CHAR(10) &amp; "- ", TRUE, _xlfn._xlws.FILTER($I$9:$I$1000, ($B$9:$B$1000=B152) * ($H$9:$H$1000="Topic"))), "")</f>
        <v/>
      </c>
      <c r="B152" s="45" t="str">
        <f t="shared" si="37"/>
        <v/>
      </c>
      <c r="C152" s="95"/>
      <c r="D152" s="57"/>
      <c r="E152" s="58"/>
      <c r="F152" s="54"/>
      <c r="G152" s="52"/>
      <c r="H152" s="52"/>
      <c r="I152" s="61"/>
      <c r="J152" s="62"/>
      <c r="K152" s="129" t="str">
        <f t="shared" si="38"/>
        <v/>
      </c>
      <c r="L152" s="103" t="str">
        <f t="shared" si="39"/>
        <v/>
      </c>
      <c r="M152" s="52">
        <v>0</v>
      </c>
      <c r="N152" s="102" t="str">
        <f t="shared" si="40"/>
        <v/>
      </c>
      <c r="O152" s="103" t="str">
        <f t="shared" si="41"/>
        <v/>
      </c>
      <c r="P152" s="52">
        <v>0</v>
      </c>
      <c r="Q152" s="102" t="str">
        <f t="shared" si="42"/>
        <v/>
      </c>
      <c r="R152" s="103" t="str">
        <f t="shared" si="43"/>
        <v/>
      </c>
      <c r="S152" s="52">
        <v>0</v>
      </c>
      <c r="T152" s="102" t="str">
        <f t="shared" si="44"/>
        <v/>
      </c>
      <c r="U152" s="103" t="str">
        <f t="shared" si="45"/>
        <v/>
      </c>
      <c r="V152" s="52">
        <v>0</v>
      </c>
      <c r="W152" s="87" t="str">
        <f t="shared" si="46"/>
        <v/>
      </c>
      <c r="X152" s="103" t="str">
        <f t="shared" si="47"/>
        <v/>
      </c>
      <c r="Y152" s="52">
        <v>0</v>
      </c>
      <c r="Z152" s="56" t="str">
        <f t="shared" si="48"/>
        <v/>
      </c>
      <c r="AA152" s="56" t="str">
        <f t="shared" si="49"/>
        <v/>
      </c>
      <c r="AB152" s="56" t="str">
        <f t="shared" si="50"/>
        <v/>
      </c>
      <c r="AC152" s="56" t="str">
        <f t="shared" si="51"/>
        <v/>
      </c>
      <c r="AD152" s="56" t="str">
        <f t="shared" si="52"/>
        <v/>
      </c>
      <c r="AE152" s="40"/>
      <c r="AF152" s="40"/>
      <c r="AG152" s="40"/>
      <c r="AH152" s="56" t="str">
        <f t="shared" si="36"/>
        <v/>
      </c>
      <c r="AI152" s="54"/>
      <c r="AJ152" s="54"/>
      <c r="AK152" s="54"/>
      <c r="AL152" s="54"/>
      <c r="AM152" s="54"/>
    </row>
    <row r="153" spans="1:39">
      <c r="A153" s="45" t="str" cm="1">
        <f t="array" ref="A153">IF(H153="PROJECT", CHAR(10) &amp; "- " &amp; _xlfn.TEXTJOIN(CHAR(10) &amp; "- ", TRUE, _xlfn._xlws.FILTER($I$9:$I$1000, ($B$9:$B$1000=B153) * ($H$9:$H$1000="Topic"))), "")</f>
        <v/>
      </c>
      <c r="B153" s="45" t="str">
        <f t="shared" si="37"/>
        <v/>
      </c>
      <c r="C153" s="95"/>
      <c r="D153" s="46"/>
      <c r="E153" s="58"/>
      <c r="F153" s="67"/>
      <c r="G153" s="53"/>
      <c r="H153" s="53"/>
      <c r="I153" s="50"/>
      <c r="J153" s="51"/>
      <c r="K153" s="129" t="str">
        <f t="shared" si="38"/>
        <v/>
      </c>
      <c r="L153" s="103" t="str">
        <f t="shared" si="39"/>
        <v/>
      </c>
      <c r="M153" s="53">
        <v>0</v>
      </c>
      <c r="N153" s="102" t="str">
        <f t="shared" si="40"/>
        <v/>
      </c>
      <c r="O153" s="103" t="str">
        <f t="shared" si="41"/>
        <v/>
      </c>
      <c r="P153" s="53">
        <v>0</v>
      </c>
      <c r="Q153" s="102" t="str">
        <f t="shared" si="42"/>
        <v/>
      </c>
      <c r="R153" s="103" t="str">
        <f t="shared" si="43"/>
        <v/>
      </c>
      <c r="S153" s="53">
        <v>0</v>
      </c>
      <c r="T153" s="102" t="str">
        <f t="shared" si="44"/>
        <v/>
      </c>
      <c r="U153" s="103" t="str">
        <f t="shared" si="45"/>
        <v/>
      </c>
      <c r="V153" s="53">
        <v>0</v>
      </c>
      <c r="W153" s="87" t="str">
        <f t="shared" si="46"/>
        <v/>
      </c>
      <c r="X153" s="103" t="str">
        <f t="shared" si="47"/>
        <v/>
      </c>
      <c r="Y153" s="53">
        <v>0</v>
      </c>
      <c r="Z153" s="56" t="str">
        <f t="shared" si="48"/>
        <v/>
      </c>
      <c r="AA153" s="56" t="str">
        <f t="shared" si="49"/>
        <v/>
      </c>
      <c r="AB153" s="56" t="str">
        <f t="shared" si="50"/>
        <v/>
      </c>
      <c r="AC153" s="56" t="str">
        <f t="shared" si="51"/>
        <v/>
      </c>
      <c r="AD153" s="56" t="str">
        <f t="shared" si="52"/>
        <v/>
      </c>
      <c r="AE153" s="40"/>
      <c r="AF153" s="40"/>
      <c r="AG153" s="40"/>
      <c r="AH153" s="56" t="str">
        <f t="shared" si="36"/>
        <v/>
      </c>
      <c r="AI153" s="54"/>
      <c r="AJ153" s="54"/>
      <c r="AK153" s="54"/>
      <c r="AL153" s="54"/>
      <c r="AM153" s="54"/>
    </row>
    <row r="154" spans="1:39">
      <c r="A154" s="45" t="str" cm="1">
        <f t="array" ref="A154">IF(H154="PROJECT", CHAR(10) &amp; "- " &amp; _xlfn.TEXTJOIN(CHAR(10) &amp; "- ", TRUE, _xlfn._xlws.FILTER($I$9:$I$1000, ($B$9:$B$1000=B154) * ($H$9:$H$1000="Topic"))), "")</f>
        <v/>
      </c>
      <c r="B154" s="45" t="str">
        <f t="shared" si="37"/>
        <v/>
      </c>
      <c r="C154" s="95"/>
      <c r="D154" s="57"/>
      <c r="E154" s="58"/>
      <c r="F154" s="54"/>
      <c r="G154" s="52"/>
      <c r="H154" s="52"/>
      <c r="I154" s="61"/>
      <c r="J154" s="62"/>
      <c r="K154" s="129" t="str">
        <f t="shared" si="38"/>
        <v/>
      </c>
      <c r="L154" s="103" t="str">
        <f t="shared" si="39"/>
        <v/>
      </c>
      <c r="M154" s="52">
        <v>0</v>
      </c>
      <c r="N154" s="102" t="str">
        <f t="shared" si="40"/>
        <v/>
      </c>
      <c r="O154" s="103" t="str">
        <f t="shared" si="41"/>
        <v/>
      </c>
      <c r="P154" s="52">
        <v>0</v>
      </c>
      <c r="Q154" s="102" t="str">
        <f t="shared" si="42"/>
        <v/>
      </c>
      <c r="R154" s="103" t="str">
        <f t="shared" si="43"/>
        <v/>
      </c>
      <c r="S154" s="52">
        <v>0</v>
      </c>
      <c r="T154" s="102" t="str">
        <f t="shared" si="44"/>
        <v/>
      </c>
      <c r="U154" s="103" t="str">
        <f t="shared" si="45"/>
        <v/>
      </c>
      <c r="V154" s="52">
        <v>0</v>
      </c>
      <c r="W154" s="87" t="str">
        <f t="shared" si="46"/>
        <v/>
      </c>
      <c r="X154" s="103" t="str">
        <f t="shared" si="47"/>
        <v/>
      </c>
      <c r="Y154" s="52">
        <v>0</v>
      </c>
      <c r="Z154" s="56" t="str">
        <f t="shared" si="48"/>
        <v/>
      </c>
      <c r="AA154" s="56" t="str">
        <f t="shared" si="49"/>
        <v/>
      </c>
      <c r="AB154" s="56" t="str">
        <f t="shared" si="50"/>
        <v/>
      </c>
      <c r="AC154" s="56" t="str">
        <f t="shared" si="51"/>
        <v/>
      </c>
      <c r="AD154" s="56" t="str">
        <f t="shared" si="52"/>
        <v/>
      </c>
      <c r="AE154" s="40"/>
      <c r="AF154" s="40"/>
      <c r="AG154" s="40"/>
      <c r="AH154" s="56" t="str">
        <f t="shared" si="36"/>
        <v/>
      </c>
      <c r="AI154" s="54"/>
      <c r="AJ154" s="54"/>
      <c r="AK154" s="54"/>
      <c r="AL154" s="54"/>
      <c r="AM154" s="54"/>
    </row>
    <row r="155" spans="1:39">
      <c r="A155" s="45" t="str" cm="1">
        <f t="array" ref="A155">IF(H155="PROJECT", CHAR(10) &amp; "- " &amp; _xlfn.TEXTJOIN(CHAR(10) &amp; "- ", TRUE, _xlfn._xlws.FILTER($I$9:$I$1000, ($B$9:$B$1000=B155) * ($H$9:$H$1000="Topic"))), "")</f>
        <v/>
      </c>
      <c r="B155" s="45" t="str">
        <f t="shared" si="37"/>
        <v/>
      </c>
      <c r="C155" s="95"/>
      <c r="D155" s="46"/>
      <c r="E155" s="58"/>
      <c r="F155" s="67"/>
      <c r="G155" s="53"/>
      <c r="H155" s="53"/>
      <c r="I155" s="50"/>
      <c r="J155" s="51"/>
      <c r="K155" s="129" t="str">
        <f t="shared" si="38"/>
        <v/>
      </c>
      <c r="L155" s="103" t="str">
        <f t="shared" si="39"/>
        <v/>
      </c>
      <c r="M155" s="53">
        <v>0</v>
      </c>
      <c r="N155" s="102" t="str">
        <f t="shared" si="40"/>
        <v/>
      </c>
      <c r="O155" s="103" t="str">
        <f t="shared" si="41"/>
        <v/>
      </c>
      <c r="P155" s="53">
        <v>0</v>
      </c>
      <c r="Q155" s="102" t="str">
        <f t="shared" si="42"/>
        <v/>
      </c>
      <c r="R155" s="103" t="str">
        <f t="shared" si="43"/>
        <v/>
      </c>
      <c r="S155" s="53">
        <v>0</v>
      </c>
      <c r="T155" s="102" t="str">
        <f t="shared" si="44"/>
        <v/>
      </c>
      <c r="U155" s="103" t="str">
        <f t="shared" si="45"/>
        <v/>
      </c>
      <c r="V155" s="53">
        <v>0</v>
      </c>
      <c r="W155" s="87" t="str">
        <f t="shared" si="46"/>
        <v/>
      </c>
      <c r="X155" s="103" t="str">
        <f t="shared" si="47"/>
        <v/>
      </c>
      <c r="Y155" s="53">
        <v>0</v>
      </c>
      <c r="Z155" s="56" t="str">
        <f t="shared" si="48"/>
        <v/>
      </c>
      <c r="AA155" s="56" t="str">
        <f t="shared" si="49"/>
        <v/>
      </c>
      <c r="AB155" s="56" t="str">
        <f t="shared" si="50"/>
        <v/>
      </c>
      <c r="AC155" s="56" t="str">
        <f t="shared" si="51"/>
        <v/>
      </c>
      <c r="AD155" s="56" t="str">
        <f t="shared" si="52"/>
        <v/>
      </c>
      <c r="AE155" s="40"/>
      <c r="AF155" s="40"/>
      <c r="AG155" s="40"/>
      <c r="AH155" s="56" t="str">
        <f t="shared" si="36"/>
        <v/>
      </c>
      <c r="AI155" s="54"/>
      <c r="AJ155" s="54"/>
      <c r="AK155" s="54"/>
      <c r="AL155" s="54"/>
      <c r="AM155" s="54"/>
    </row>
    <row r="156" spans="1:39">
      <c r="A156" s="45" t="str" cm="1">
        <f t="array" ref="A156">IF(H156="PROJECT", CHAR(10) &amp; "- " &amp; _xlfn.TEXTJOIN(CHAR(10) &amp; "- ", TRUE, _xlfn._xlws.FILTER($I$9:$I$1000, ($B$9:$B$1000=B156) * ($H$9:$H$1000="Topic"))), "")</f>
        <v/>
      </c>
      <c r="B156" s="45" t="str">
        <f t="shared" si="37"/>
        <v/>
      </c>
      <c r="C156" s="95"/>
      <c r="D156" s="57"/>
      <c r="E156" s="58"/>
      <c r="F156" s="54"/>
      <c r="G156" s="52"/>
      <c r="H156" s="52"/>
      <c r="I156" s="61"/>
      <c r="J156" s="62"/>
      <c r="K156" s="129" t="str">
        <f t="shared" si="38"/>
        <v/>
      </c>
      <c r="L156" s="103" t="str">
        <f t="shared" si="39"/>
        <v/>
      </c>
      <c r="M156" s="52">
        <v>0</v>
      </c>
      <c r="N156" s="102" t="str">
        <f t="shared" si="40"/>
        <v/>
      </c>
      <c r="O156" s="103" t="str">
        <f t="shared" si="41"/>
        <v/>
      </c>
      <c r="P156" s="52">
        <v>0</v>
      </c>
      <c r="Q156" s="102" t="str">
        <f t="shared" si="42"/>
        <v/>
      </c>
      <c r="R156" s="103" t="str">
        <f t="shared" si="43"/>
        <v/>
      </c>
      <c r="S156" s="52">
        <v>0</v>
      </c>
      <c r="T156" s="102" t="str">
        <f t="shared" si="44"/>
        <v/>
      </c>
      <c r="U156" s="103" t="str">
        <f t="shared" si="45"/>
        <v/>
      </c>
      <c r="V156" s="52">
        <v>0</v>
      </c>
      <c r="W156" s="87" t="str">
        <f t="shared" si="46"/>
        <v/>
      </c>
      <c r="X156" s="103" t="str">
        <f t="shared" si="47"/>
        <v/>
      </c>
      <c r="Y156" s="52">
        <v>0</v>
      </c>
      <c r="Z156" s="56" t="str">
        <f t="shared" si="48"/>
        <v/>
      </c>
      <c r="AA156" s="56" t="str">
        <f t="shared" si="49"/>
        <v/>
      </c>
      <c r="AB156" s="56" t="str">
        <f t="shared" si="50"/>
        <v/>
      </c>
      <c r="AC156" s="56" t="str">
        <f t="shared" si="51"/>
        <v/>
      </c>
      <c r="AD156" s="56" t="str">
        <f t="shared" si="52"/>
        <v/>
      </c>
      <c r="AE156" s="40"/>
      <c r="AF156" s="40"/>
      <c r="AG156" s="40"/>
      <c r="AH156" s="56" t="str">
        <f t="shared" si="36"/>
        <v/>
      </c>
      <c r="AI156" s="54"/>
      <c r="AJ156" s="54"/>
      <c r="AK156" s="54"/>
      <c r="AL156" s="54"/>
      <c r="AM156" s="54"/>
    </row>
    <row r="157" spans="1:39">
      <c r="A157" s="45" t="str" cm="1">
        <f t="array" ref="A157">IF(H157="PROJECT", CHAR(10) &amp; "- " &amp; _xlfn.TEXTJOIN(CHAR(10) &amp; "- ", TRUE, _xlfn._xlws.FILTER($I$9:$I$1000, ($B$9:$B$1000=B157) * ($H$9:$H$1000="Topic"))), "")</f>
        <v/>
      </c>
      <c r="B157" s="45" t="str">
        <f t="shared" si="37"/>
        <v/>
      </c>
      <c r="C157" s="95"/>
      <c r="D157" s="46"/>
      <c r="E157" s="58"/>
      <c r="F157" s="67"/>
      <c r="G157" s="53"/>
      <c r="H157" s="53"/>
      <c r="I157" s="50"/>
      <c r="J157" s="51"/>
      <c r="K157" s="129" t="str">
        <f t="shared" si="38"/>
        <v/>
      </c>
      <c r="L157" s="103" t="str">
        <f t="shared" si="39"/>
        <v/>
      </c>
      <c r="M157" s="53">
        <v>0</v>
      </c>
      <c r="N157" s="102" t="str">
        <f t="shared" si="40"/>
        <v/>
      </c>
      <c r="O157" s="103" t="str">
        <f t="shared" si="41"/>
        <v/>
      </c>
      <c r="P157" s="53">
        <v>0</v>
      </c>
      <c r="Q157" s="102" t="str">
        <f t="shared" si="42"/>
        <v/>
      </c>
      <c r="R157" s="103" t="str">
        <f t="shared" si="43"/>
        <v/>
      </c>
      <c r="S157" s="53">
        <v>0</v>
      </c>
      <c r="T157" s="102" t="str">
        <f t="shared" si="44"/>
        <v/>
      </c>
      <c r="U157" s="103" t="str">
        <f t="shared" si="45"/>
        <v/>
      </c>
      <c r="V157" s="53">
        <v>0</v>
      </c>
      <c r="W157" s="87" t="str">
        <f t="shared" si="46"/>
        <v/>
      </c>
      <c r="X157" s="103" t="str">
        <f t="shared" si="47"/>
        <v/>
      </c>
      <c r="Y157" s="53">
        <v>0</v>
      </c>
      <c r="Z157" s="56" t="str">
        <f t="shared" si="48"/>
        <v/>
      </c>
      <c r="AA157" s="56" t="str">
        <f t="shared" si="49"/>
        <v/>
      </c>
      <c r="AB157" s="56" t="str">
        <f t="shared" si="50"/>
        <v/>
      </c>
      <c r="AC157" s="56" t="str">
        <f t="shared" si="51"/>
        <v/>
      </c>
      <c r="AD157" s="56" t="str">
        <f t="shared" si="52"/>
        <v/>
      </c>
      <c r="AE157" s="40"/>
      <c r="AF157" s="40"/>
      <c r="AG157" s="40"/>
      <c r="AH157" s="56" t="str">
        <f t="shared" si="36"/>
        <v/>
      </c>
      <c r="AI157" s="54"/>
      <c r="AJ157" s="54"/>
      <c r="AK157" s="54"/>
      <c r="AL157" s="54"/>
      <c r="AM157" s="54"/>
    </row>
    <row r="158" spans="1:39">
      <c r="A158" s="45" t="str" cm="1">
        <f t="array" ref="A158">IF(H158="PROJECT", CHAR(10) &amp; "- " &amp; _xlfn.TEXTJOIN(CHAR(10) &amp; "- ", TRUE, _xlfn._xlws.FILTER($I$9:$I$1000, ($B$9:$B$1000=B158) * ($H$9:$H$1000="Topic"))), "")</f>
        <v/>
      </c>
      <c r="B158" s="45" t="str">
        <f t="shared" si="37"/>
        <v/>
      </c>
      <c r="C158" s="95"/>
      <c r="D158" s="57"/>
      <c r="E158" s="58"/>
      <c r="F158" s="54"/>
      <c r="G158" s="52"/>
      <c r="H158" s="52"/>
      <c r="I158" s="61"/>
      <c r="J158" s="62"/>
      <c r="K158" s="129" t="str">
        <f t="shared" si="38"/>
        <v/>
      </c>
      <c r="L158" s="103" t="str">
        <f t="shared" si="39"/>
        <v/>
      </c>
      <c r="M158" s="52">
        <v>0</v>
      </c>
      <c r="N158" s="102" t="str">
        <f t="shared" si="40"/>
        <v/>
      </c>
      <c r="O158" s="103" t="str">
        <f t="shared" si="41"/>
        <v/>
      </c>
      <c r="P158" s="52">
        <v>0</v>
      </c>
      <c r="Q158" s="102" t="str">
        <f t="shared" si="42"/>
        <v/>
      </c>
      <c r="R158" s="103" t="str">
        <f t="shared" si="43"/>
        <v/>
      </c>
      <c r="S158" s="52">
        <v>0</v>
      </c>
      <c r="T158" s="102" t="str">
        <f t="shared" si="44"/>
        <v/>
      </c>
      <c r="U158" s="103" t="str">
        <f t="shared" si="45"/>
        <v/>
      </c>
      <c r="V158" s="52">
        <v>0</v>
      </c>
      <c r="W158" s="87" t="str">
        <f t="shared" si="46"/>
        <v/>
      </c>
      <c r="X158" s="103" t="str">
        <f t="shared" si="47"/>
        <v/>
      </c>
      <c r="Y158" s="52">
        <v>0</v>
      </c>
      <c r="Z158" s="56" t="str">
        <f t="shared" si="48"/>
        <v/>
      </c>
      <c r="AA158" s="56" t="str">
        <f t="shared" si="49"/>
        <v/>
      </c>
      <c r="AB158" s="56" t="str">
        <f t="shared" si="50"/>
        <v/>
      </c>
      <c r="AC158" s="56" t="str">
        <f t="shared" si="51"/>
        <v/>
      </c>
      <c r="AD158" s="56" t="str">
        <f t="shared" si="52"/>
        <v/>
      </c>
      <c r="AE158" s="40"/>
      <c r="AF158" s="40"/>
      <c r="AG158" s="40"/>
      <c r="AH158" s="56" t="str">
        <f t="shared" si="36"/>
        <v/>
      </c>
      <c r="AI158" s="54"/>
      <c r="AJ158" s="54"/>
      <c r="AK158" s="54"/>
      <c r="AL158" s="54"/>
      <c r="AM158" s="54"/>
    </row>
    <row r="159" spans="1:39">
      <c r="A159" s="45" t="str" cm="1">
        <f t="array" ref="A159">IF(H159="PROJECT", CHAR(10) &amp; "- " &amp; _xlfn.TEXTJOIN(CHAR(10) &amp; "- ", TRUE, _xlfn._xlws.FILTER($I$9:$I$1000, ($B$9:$B$1000=B159) * ($H$9:$H$1000="Topic"))), "")</f>
        <v/>
      </c>
      <c r="B159" s="45" t="str">
        <f t="shared" si="37"/>
        <v/>
      </c>
      <c r="C159" s="95"/>
      <c r="D159" s="46"/>
      <c r="E159" s="58"/>
      <c r="F159" s="67"/>
      <c r="G159" s="53"/>
      <c r="H159" s="53"/>
      <c r="I159" s="50"/>
      <c r="J159" s="51"/>
      <c r="K159" s="129" t="str">
        <f t="shared" si="38"/>
        <v/>
      </c>
      <c r="L159" s="103" t="str">
        <f t="shared" si="39"/>
        <v/>
      </c>
      <c r="M159" s="53">
        <v>0</v>
      </c>
      <c r="N159" s="102" t="str">
        <f t="shared" si="40"/>
        <v/>
      </c>
      <c r="O159" s="103" t="str">
        <f t="shared" si="41"/>
        <v/>
      </c>
      <c r="P159" s="53">
        <v>0</v>
      </c>
      <c r="Q159" s="102" t="str">
        <f t="shared" si="42"/>
        <v/>
      </c>
      <c r="R159" s="103" t="str">
        <f t="shared" si="43"/>
        <v/>
      </c>
      <c r="S159" s="53">
        <v>0</v>
      </c>
      <c r="T159" s="102" t="str">
        <f t="shared" si="44"/>
        <v/>
      </c>
      <c r="U159" s="103" t="str">
        <f t="shared" si="45"/>
        <v/>
      </c>
      <c r="V159" s="53">
        <v>0</v>
      </c>
      <c r="W159" s="87" t="str">
        <f t="shared" si="46"/>
        <v/>
      </c>
      <c r="X159" s="103" t="str">
        <f t="shared" si="47"/>
        <v/>
      </c>
      <c r="Y159" s="53">
        <v>0</v>
      </c>
      <c r="Z159" s="56" t="str">
        <f t="shared" si="48"/>
        <v/>
      </c>
      <c r="AA159" s="56" t="str">
        <f t="shared" si="49"/>
        <v/>
      </c>
      <c r="AB159" s="56" t="str">
        <f t="shared" si="50"/>
        <v/>
      </c>
      <c r="AC159" s="56" t="str">
        <f t="shared" si="51"/>
        <v/>
      </c>
      <c r="AD159" s="56" t="str">
        <f t="shared" si="52"/>
        <v/>
      </c>
      <c r="AE159" s="40"/>
      <c r="AF159" s="40"/>
      <c r="AG159" s="40"/>
      <c r="AH159" s="56" t="str">
        <f t="shared" si="36"/>
        <v/>
      </c>
      <c r="AI159" s="54"/>
      <c r="AJ159" s="54"/>
      <c r="AK159" s="54"/>
      <c r="AL159" s="54"/>
      <c r="AM159" s="54"/>
    </row>
    <row r="160" spans="1:39">
      <c r="A160" s="45" t="str" cm="1">
        <f t="array" ref="A160">IF(H160="PROJECT", CHAR(10) &amp; "- " &amp; _xlfn.TEXTJOIN(CHAR(10) &amp; "- ", TRUE, _xlfn._xlws.FILTER($I$9:$I$1000, ($B$9:$B$1000=B160) * ($H$9:$H$1000="Topic"))), "")</f>
        <v/>
      </c>
      <c r="B160" s="45" t="str">
        <f t="shared" si="37"/>
        <v/>
      </c>
      <c r="C160" s="95"/>
      <c r="D160" s="57"/>
      <c r="E160" s="58"/>
      <c r="F160" s="54"/>
      <c r="G160" s="52"/>
      <c r="H160" s="52"/>
      <c r="I160" s="61"/>
      <c r="J160" s="62"/>
      <c r="K160" s="129" t="str">
        <f t="shared" si="38"/>
        <v/>
      </c>
      <c r="L160" s="103" t="str">
        <f t="shared" si="39"/>
        <v/>
      </c>
      <c r="M160" s="52">
        <v>0</v>
      </c>
      <c r="N160" s="102" t="str">
        <f t="shared" si="40"/>
        <v/>
      </c>
      <c r="O160" s="103" t="str">
        <f t="shared" si="41"/>
        <v/>
      </c>
      <c r="P160" s="52">
        <v>0</v>
      </c>
      <c r="Q160" s="102" t="str">
        <f t="shared" si="42"/>
        <v/>
      </c>
      <c r="R160" s="103" t="str">
        <f t="shared" si="43"/>
        <v/>
      </c>
      <c r="S160" s="52">
        <v>0</v>
      </c>
      <c r="T160" s="102" t="str">
        <f t="shared" si="44"/>
        <v/>
      </c>
      <c r="U160" s="103" t="str">
        <f t="shared" si="45"/>
        <v/>
      </c>
      <c r="V160" s="52">
        <v>0</v>
      </c>
      <c r="W160" s="87" t="str">
        <f t="shared" si="46"/>
        <v/>
      </c>
      <c r="X160" s="103" t="str">
        <f t="shared" si="47"/>
        <v/>
      </c>
      <c r="Y160" s="52">
        <v>0</v>
      </c>
      <c r="Z160" s="56" t="str">
        <f t="shared" si="48"/>
        <v/>
      </c>
      <c r="AA160" s="56" t="str">
        <f t="shared" si="49"/>
        <v/>
      </c>
      <c r="AB160" s="56" t="str">
        <f t="shared" si="50"/>
        <v/>
      </c>
      <c r="AC160" s="56" t="str">
        <f t="shared" si="51"/>
        <v/>
      </c>
      <c r="AD160" s="56" t="str">
        <f t="shared" si="52"/>
        <v/>
      </c>
      <c r="AE160" s="40"/>
      <c r="AF160" s="40"/>
      <c r="AG160" s="40"/>
      <c r="AH160" s="56" t="str">
        <f t="shared" si="36"/>
        <v/>
      </c>
      <c r="AI160" s="54"/>
      <c r="AJ160" s="54"/>
      <c r="AK160" s="54"/>
      <c r="AL160" s="54"/>
      <c r="AM160" s="54"/>
    </row>
    <row r="161" spans="1:39">
      <c r="A161" s="45" t="str" cm="1">
        <f t="array" ref="A161">IF(H161="PROJECT", CHAR(10) &amp; "- " &amp; _xlfn.TEXTJOIN(CHAR(10) &amp; "- ", TRUE, _xlfn._xlws.FILTER($I$9:$I$1000, ($B$9:$B$1000=B161) * ($H$9:$H$1000="Topic"))), "")</f>
        <v/>
      </c>
      <c r="B161" s="45" t="str">
        <f t="shared" si="37"/>
        <v/>
      </c>
      <c r="C161" s="95"/>
      <c r="D161" s="46"/>
      <c r="E161" s="58"/>
      <c r="F161" s="67"/>
      <c r="G161" s="53"/>
      <c r="H161" s="53"/>
      <c r="I161" s="50"/>
      <c r="J161" s="51"/>
      <c r="K161" s="129" t="str">
        <f t="shared" si="38"/>
        <v/>
      </c>
      <c r="L161" s="103" t="str">
        <f t="shared" si="39"/>
        <v/>
      </c>
      <c r="M161" s="53">
        <v>0</v>
      </c>
      <c r="N161" s="102" t="str">
        <f t="shared" si="40"/>
        <v/>
      </c>
      <c r="O161" s="103" t="str">
        <f t="shared" si="41"/>
        <v/>
      </c>
      <c r="P161" s="53">
        <v>0</v>
      </c>
      <c r="Q161" s="102" t="str">
        <f t="shared" si="42"/>
        <v/>
      </c>
      <c r="R161" s="103" t="str">
        <f t="shared" si="43"/>
        <v/>
      </c>
      <c r="S161" s="53">
        <v>0</v>
      </c>
      <c r="T161" s="102" t="str">
        <f t="shared" si="44"/>
        <v/>
      </c>
      <c r="U161" s="103" t="str">
        <f t="shared" si="45"/>
        <v/>
      </c>
      <c r="V161" s="53">
        <v>0</v>
      </c>
      <c r="W161" s="87" t="str">
        <f t="shared" si="46"/>
        <v/>
      </c>
      <c r="X161" s="103" t="str">
        <f t="shared" si="47"/>
        <v/>
      </c>
      <c r="Y161" s="53">
        <v>0</v>
      </c>
      <c r="Z161" s="56" t="str">
        <f t="shared" si="48"/>
        <v/>
      </c>
      <c r="AA161" s="56" t="str">
        <f t="shared" si="49"/>
        <v/>
      </c>
      <c r="AB161" s="56" t="str">
        <f t="shared" si="50"/>
        <v/>
      </c>
      <c r="AC161" s="56" t="str">
        <f t="shared" si="51"/>
        <v/>
      </c>
      <c r="AD161" s="56" t="str">
        <f t="shared" si="52"/>
        <v/>
      </c>
      <c r="AE161" s="40"/>
      <c r="AF161" s="40"/>
      <c r="AG161" s="40"/>
      <c r="AH161" s="56" t="str">
        <f t="shared" si="36"/>
        <v/>
      </c>
      <c r="AI161" s="54"/>
      <c r="AJ161" s="54"/>
      <c r="AK161" s="54"/>
      <c r="AL161" s="54"/>
      <c r="AM161" s="54"/>
    </row>
    <row r="162" spans="1:39">
      <c r="A162" s="45" t="str" cm="1">
        <f t="array" ref="A162">IF(H162="PROJECT", CHAR(10) &amp; "- " &amp; _xlfn.TEXTJOIN(CHAR(10) &amp; "- ", TRUE, _xlfn._xlws.FILTER($I$9:$I$1000, ($B$9:$B$1000=B162) * ($H$9:$H$1000="Topic"))), "")</f>
        <v/>
      </c>
      <c r="B162" s="45" t="str">
        <f t="shared" si="37"/>
        <v/>
      </c>
      <c r="C162" s="95"/>
      <c r="D162" s="57"/>
      <c r="E162" s="58"/>
      <c r="F162" s="54"/>
      <c r="G162" s="52"/>
      <c r="H162" s="52"/>
      <c r="I162" s="61"/>
      <c r="J162" s="62"/>
      <c r="K162" s="129" t="str">
        <f t="shared" si="38"/>
        <v/>
      </c>
      <c r="L162" s="103" t="str">
        <f t="shared" si="39"/>
        <v/>
      </c>
      <c r="M162" s="52">
        <v>0</v>
      </c>
      <c r="N162" s="102" t="str">
        <f t="shared" si="40"/>
        <v/>
      </c>
      <c r="O162" s="103" t="str">
        <f t="shared" si="41"/>
        <v/>
      </c>
      <c r="P162" s="52">
        <v>0</v>
      </c>
      <c r="Q162" s="102" t="str">
        <f t="shared" si="42"/>
        <v/>
      </c>
      <c r="R162" s="103" t="str">
        <f t="shared" si="43"/>
        <v/>
      </c>
      <c r="S162" s="52">
        <v>0</v>
      </c>
      <c r="T162" s="102" t="str">
        <f t="shared" si="44"/>
        <v/>
      </c>
      <c r="U162" s="103" t="str">
        <f t="shared" si="45"/>
        <v/>
      </c>
      <c r="V162" s="52">
        <v>0</v>
      </c>
      <c r="W162" s="87" t="str">
        <f t="shared" si="46"/>
        <v/>
      </c>
      <c r="X162" s="103" t="str">
        <f t="shared" si="47"/>
        <v/>
      </c>
      <c r="Y162" s="52">
        <v>0</v>
      </c>
      <c r="Z162" s="56" t="str">
        <f t="shared" si="48"/>
        <v/>
      </c>
      <c r="AA162" s="56" t="str">
        <f t="shared" si="49"/>
        <v/>
      </c>
      <c r="AB162" s="56" t="str">
        <f t="shared" si="50"/>
        <v/>
      </c>
      <c r="AC162" s="56" t="str">
        <f t="shared" si="51"/>
        <v/>
      </c>
      <c r="AD162" s="56" t="str">
        <f t="shared" si="52"/>
        <v/>
      </c>
      <c r="AE162" s="40"/>
      <c r="AF162" s="40"/>
      <c r="AG162" s="40"/>
      <c r="AH162" s="56" t="str">
        <f t="shared" si="36"/>
        <v/>
      </c>
      <c r="AI162" s="54"/>
      <c r="AJ162" s="54"/>
      <c r="AK162" s="54"/>
      <c r="AL162" s="54"/>
      <c r="AM162" s="54"/>
    </row>
    <row r="163" spans="1:39">
      <c r="A163" s="45" t="str" cm="1">
        <f t="array" ref="A163">IF(H163="PROJECT", CHAR(10) &amp; "- " &amp; _xlfn.TEXTJOIN(CHAR(10) &amp; "- ", TRUE, _xlfn._xlws.FILTER($I$9:$I$1000, ($B$9:$B$1000=B163) * ($H$9:$H$1000="Topic"))), "")</f>
        <v/>
      </c>
      <c r="B163" s="45" t="str">
        <f t="shared" si="37"/>
        <v/>
      </c>
      <c r="C163" s="95"/>
      <c r="D163" s="46"/>
      <c r="E163" s="58"/>
      <c r="F163" s="67"/>
      <c r="G163" s="53"/>
      <c r="H163" s="53"/>
      <c r="I163" s="50"/>
      <c r="J163" s="51"/>
      <c r="K163" s="129" t="str">
        <f t="shared" si="38"/>
        <v/>
      </c>
      <c r="L163" s="103" t="str">
        <f t="shared" si="39"/>
        <v/>
      </c>
      <c r="M163" s="53">
        <v>0</v>
      </c>
      <c r="N163" s="102" t="str">
        <f t="shared" si="40"/>
        <v/>
      </c>
      <c r="O163" s="103" t="str">
        <f t="shared" si="41"/>
        <v/>
      </c>
      <c r="P163" s="53">
        <v>0</v>
      </c>
      <c r="Q163" s="102" t="str">
        <f t="shared" si="42"/>
        <v/>
      </c>
      <c r="R163" s="103" t="str">
        <f t="shared" si="43"/>
        <v/>
      </c>
      <c r="S163" s="53">
        <v>0</v>
      </c>
      <c r="T163" s="102" t="str">
        <f t="shared" si="44"/>
        <v/>
      </c>
      <c r="U163" s="103" t="str">
        <f t="shared" si="45"/>
        <v/>
      </c>
      <c r="V163" s="53">
        <v>0</v>
      </c>
      <c r="W163" s="87" t="str">
        <f t="shared" si="46"/>
        <v/>
      </c>
      <c r="X163" s="103" t="str">
        <f t="shared" si="47"/>
        <v/>
      </c>
      <c r="Y163" s="53">
        <v>0</v>
      </c>
      <c r="Z163" s="56" t="str">
        <f t="shared" si="48"/>
        <v/>
      </c>
      <c r="AA163" s="56" t="str">
        <f t="shared" si="49"/>
        <v/>
      </c>
      <c r="AB163" s="56" t="str">
        <f t="shared" si="50"/>
        <v/>
      </c>
      <c r="AC163" s="56" t="str">
        <f t="shared" si="51"/>
        <v/>
      </c>
      <c r="AD163" s="56" t="str">
        <f t="shared" si="52"/>
        <v/>
      </c>
      <c r="AE163" s="40"/>
      <c r="AF163" s="40"/>
      <c r="AG163" s="40"/>
      <c r="AH163" s="56" t="str">
        <f t="shared" si="36"/>
        <v/>
      </c>
      <c r="AI163" s="54"/>
      <c r="AJ163" s="54"/>
      <c r="AK163" s="54"/>
      <c r="AL163" s="54"/>
      <c r="AM163" s="54"/>
    </row>
    <row r="164" spans="1:39">
      <c r="A164" s="45" t="str" cm="1">
        <f t="array" ref="A164">IF(H164="PROJECT", CHAR(10) &amp; "- " &amp; _xlfn.TEXTJOIN(CHAR(10) &amp; "- ", TRUE, _xlfn._xlws.FILTER($I$9:$I$1000, ($B$9:$B$1000=B164) * ($H$9:$H$1000="Topic"))), "")</f>
        <v/>
      </c>
      <c r="B164" s="45" t="str">
        <f t="shared" si="37"/>
        <v/>
      </c>
      <c r="C164" s="95"/>
      <c r="D164" s="57"/>
      <c r="E164" s="58"/>
      <c r="F164" s="54"/>
      <c r="G164" s="52"/>
      <c r="H164" s="52"/>
      <c r="I164" s="61"/>
      <c r="J164" s="62"/>
      <c r="K164" s="129" t="str">
        <f t="shared" si="38"/>
        <v/>
      </c>
      <c r="L164" s="103" t="str">
        <f t="shared" si="39"/>
        <v/>
      </c>
      <c r="M164" s="52">
        <v>0</v>
      </c>
      <c r="N164" s="102" t="str">
        <f t="shared" si="40"/>
        <v/>
      </c>
      <c r="O164" s="103" t="str">
        <f t="shared" si="41"/>
        <v/>
      </c>
      <c r="P164" s="52">
        <v>0</v>
      </c>
      <c r="Q164" s="102" t="str">
        <f t="shared" si="42"/>
        <v/>
      </c>
      <c r="R164" s="103" t="str">
        <f t="shared" si="43"/>
        <v/>
      </c>
      <c r="S164" s="52">
        <v>0</v>
      </c>
      <c r="T164" s="102" t="str">
        <f t="shared" si="44"/>
        <v/>
      </c>
      <c r="U164" s="103" t="str">
        <f t="shared" si="45"/>
        <v/>
      </c>
      <c r="V164" s="52">
        <v>0</v>
      </c>
      <c r="W164" s="87" t="str">
        <f t="shared" si="46"/>
        <v/>
      </c>
      <c r="X164" s="103" t="str">
        <f t="shared" si="47"/>
        <v/>
      </c>
      <c r="Y164" s="52">
        <v>0</v>
      </c>
      <c r="Z164" s="56" t="str">
        <f t="shared" si="48"/>
        <v/>
      </c>
      <c r="AA164" s="56" t="str">
        <f t="shared" si="49"/>
        <v/>
      </c>
      <c r="AB164" s="56" t="str">
        <f t="shared" si="50"/>
        <v/>
      </c>
      <c r="AC164" s="56" t="str">
        <f t="shared" si="51"/>
        <v/>
      </c>
      <c r="AD164" s="56" t="str">
        <f t="shared" si="52"/>
        <v/>
      </c>
      <c r="AE164" s="40"/>
      <c r="AF164" s="40"/>
      <c r="AG164" s="40"/>
      <c r="AH164" s="56" t="str">
        <f t="shared" si="36"/>
        <v/>
      </c>
      <c r="AI164" s="54"/>
      <c r="AJ164" s="54"/>
      <c r="AK164" s="54"/>
      <c r="AL164" s="54"/>
      <c r="AM164" s="54"/>
    </row>
    <row r="165" spans="1:39">
      <c r="A165" s="45" t="str" cm="1">
        <f t="array" ref="A165">IF(H165="PROJECT", CHAR(10) &amp; "- " &amp; _xlfn.TEXTJOIN(CHAR(10) &amp; "- ", TRUE, _xlfn._xlws.FILTER($I$9:$I$1000, ($B$9:$B$1000=B165) * ($H$9:$H$1000="Topic"))), "")</f>
        <v/>
      </c>
      <c r="B165" s="45" t="str">
        <f t="shared" si="37"/>
        <v/>
      </c>
      <c r="C165" s="95"/>
      <c r="D165" s="46"/>
      <c r="E165" s="58"/>
      <c r="F165" s="67"/>
      <c r="G165" s="53"/>
      <c r="H165" s="53"/>
      <c r="I165" s="50"/>
      <c r="J165" s="51"/>
      <c r="K165" s="129" t="str">
        <f t="shared" si="38"/>
        <v/>
      </c>
      <c r="L165" s="103" t="str">
        <f t="shared" si="39"/>
        <v/>
      </c>
      <c r="M165" s="53">
        <v>0</v>
      </c>
      <c r="N165" s="102" t="str">
        <f t="shared" si="40"/>
        <v/>
      </c>
      <c r="O165" s="103" t="str">
        <f t="shared" si="41"/>
        <v/>
      </c>
      <c r="P165" s="53">
        <v>0</v>
      </c>
      <c r="Q165" s="102" t="str">
        <f t="shared" si="42"/>
        <v/>
      </c>
      <c r="R165" s="103" t="str">
        <f t="shared" si="43"/>
        <v/>
      </c>
      <c r="S165" s="53">
        <v>0</v>
      </c>
      <c r="T165" s="102" t="str">
        <f t="shared" si="44"/>
        <v/>
      </c>
      <c r="U165" s="103" t="str">
        <f t="shared" si="45"/>
        <v/>
      </c>
      <c r="V165" s="53">
        <v>0</v>
      </c>
      <c r="W165" s="87" t="str">
        <f t="shared" si="46"/>
        <v/>
      </c>
      <c r="X165" s="103" t="str">
        <f t="shared" si="47"/>
        <v/>
      </c>
      <c r="Y165" s="53">
        <v>0</v>
      </c>
      <c r="Z165" s="56" t="str">
        <f t="shared" si="48"/>
        <v/>
      </c>
      <c r="AA165" s="56" t="str">
        <f t="shared" si="49"/>
        <v/>
      </c>
      <c r="AB165" s="56" t="str">
        <f t="shared" si="50"/>
        <v/>
      </c>
      <c r="AC165" s="56" t="str">
        <f t="shared" si="51"/>
        <v/>
      </c>
      <c r="AD165" s="56" t="str">
        <f t="shared" si="52"/>
        <v/>
      </c>
      <c r="AE165" s="40"/>
      <c r="AF165" s="40"/>
      <c r="AG165" s="40"/>
      <c r="AH165" s="56" t="str">
        <f t="shared" si="36"/>
        <v/>
      </c>
      <c r="AI165" s="54"/>
      <c r="AJ165" s="54"/>
      <c r="AK165" s="54"/>
      <c r="AL165" s="54"/>
      <c r="AM165" s="54"/>
    </row>
    <row r="166" spans="1:39">
      <c r="A166" s="45" t="str" cm="1">
        <f t="array" ref="A166">IF(H166="PROJECT", CHAR(10) &amp; "- " &amp; _xlfn.TEXTJOIN(CHAR(10) &amp; "- ", TRUE, _xlfn._xlws.FILTER($I$9:$I$1000, ($B$9:$B$1000=B166) * ($H$9:$H$1000="Topic"))), "")</f>
        <v/>
      </c>
      <c r="B166" s="45" t="str">
        <f t="shared" si="37"/>
        <v/>
      </c>
      <c r="C166" s="95"/>
      <c r="D166" s="57"/>
      <c r="E166" s="58"/>
      <c r="F166" s="54"/>
      <c r="G166" s="52"/>
      <c r="H166" s="52"/>
      <c r="I166" s="61"/>
      <c r="J166" s="62"/>
      <c r="K166" s="129" t="str">
        <f t="shared" si="38"/>
        <v/>
      </c>
      <c r="L166" s="103" t="str">
        <f t="shared" si="39"/>
        <v/>
      </c>
      <c r="M166" s="52">
        <v>0</v>
      </c>
      <c r="N166" s="102" t="str">
        <f t="shared" si="40"/>
        <v/>
      </c>
      <c r="O166" s="103" t="str">
        <f t="shared" si="41"/>
        <v/>
      </c>
      <c r="P166" s="52">
        <v>0</v>
      </c>
      <c r="Q166" s="102" t="str">
        <f t="shared" si="42"/>
        <v/>
      </c>
      <c r="R166" s="103" t="str">
        <f t="shared" si="43"/>
        <v/>
      </c>
      <c r="S166" s="52">
        <v>0</v>
      </c>
      <c r="T166" s="102" t="str">
        <f t="shared" si="44"/>
        <v/>
      </c>
      <c r="U166" s="103" t="str">
        <f t="shared" si="45"/>
        <v/>
      </c>
      <c r="V166" s="52">
        <v>0</v>
      </c>
      <c r="W166" s="87" t="str">
        <f t="shared" si="46"/>
        <v/>
      </c>
      <c r="X166" s="103" t="str">
        <f t="shared" si="47"/>
        <v/>
      </c>
      <c r="Y166" s="52">
        <v>0</v>
      </c>
      <c r="Z166" s="56" t="str">
        <f t="shared" si="48"/>
        <v/>
      </c>
      <c r="AA166" s="56" t="str">
        <f t="shared" si="49"/>
        <v/>
      </c>
      <c r="AB166" s="56" t="str">
        <f t="shared" si="50"/>
        <v/>
      </c>
      <c r="AC166" s="56" t="str">
        <f t="shared" si="51"/>
        <v/>
      </c>
      <c r="AD166" s="56" t="str">
        <f t="shared" si="52"/>
        <v/>
      </c>
      <c r="AE166" s="40"/>
      <c r="AF166" s="40"/>
      <c r="AG166" s="40"/>
      <c r="AH166" s="56" t="str">
        <f t="shared" si="36"/>
        <v/>
      </c>
      <c r="AI166" s="54"/>
      <c r="AJ166" s="54"/>
      <c r="AK166" s="54"/>
      <c r="AL166" s="54"/>
      <c r="AM166" s="54"/>
    </row>
    <row r="167" spans="1:39">
      <c r="A167" s="45" t="str" cm="1">
        <f t="array" ref="A167">IF(H167="PROJECT", CHAR(10) &amp; "- " &amp; _xlfn.TEXTJOIN(CHAR(10) &amp; "- ", TRUE, _xlfn._xlws.FILTER($I$9:$I$1000, ($B$9:$B$1000=B167) * ($H$9:$H$1000="Topic"))), "")</f>
        <v/>
      </c>
      <c r="B167" s="45" t="str">
        <f t="shared" si="37"/>
        <v/>
      </c>
      <c r="C167" s="95"/>
      <c r="D167" s="46"/>
      <c r="E167" s="58"/>
      <c r="F167" s="67"/>
      <c r="G167" s="53"/>
      <c r="H167" s="53"/>
      <c r="I167" s="50"/>
      <c r="J167" s="51"/>
      <c r="K167" s="129" t="str">
        <f t="shared" si="38"/>
        <v/>
      </c>
      <c r="L167" s="103" t="str">
        <f t="shared" si="39"/>
        <v/>
      </c>
      <c r="M167" s="53">
        <v>0</v>
      </c>
      <c r="N167" s="102" t="str">
        <f t="shared" si="40"/>
        <v/>
      </c>
      <c r="O167" s="103" t="str">
        <f t="shared" si="41"/>
        <v/>
      </c>
      <c r="P167" s="53">
        <v>0</v>
      </c>
      <c r="Q167" s="102" t="str">
        <f t="shared" si="42"/>
        <v/>
      </c>
      <c r="R167" s="103" t="str">
        <f t="shared" si="43"/>
        <v/>
      </c>
      <c r="S167" s="53">
        <v>0</v>
      </c>
      <c r="T167" s="102" t="str">
        <f t="shared" si="44"/>
        <v/>
      </c>
      <c r="U167" s="103" t="str">
        <f t="shared" si="45"/>
        <v/>
      </c>
      <c r="V167" s="53">
        <v>0</v>
      </c>
      <c r="W167" s="87" t="str">
        <f t="shared" si="46"/>
        <v/>
      </c>
      <c r="X167" s="103" t="str">
        <f t="shared" si="47"/>
        <v/>
      </c>
      <c r="Y167" s="53">
        <v>0</v>
      </c>
      <c r="Z167" s="56" t="str">
        <f t="shared" si="48"/>
        <v/>
      </c>
      <c r="AA167" s="56" t="str">
        <f t="shared" si="49"/>
        <v/>
      </c>
      <c r="AB167" s="56" t="str">
        <f t="shared" si="50"/>
        <v/>
      </c>
      <c r="AC167" s="56" t="str">
        <f t="shared" si="51"/>
        <v/>
      </c>
      <c r="AD167" s="56" t="str">
        <f t="shared" si="52"/>
        <v/>
      </c>
      <c r="AE167" s="40"/>
      <c r="AF167" s="40"/>
      <c r="AG167" s="40"/>
      <c r="AH167" s="56" t="str">
        <f t="shared" si="36"/>
        <v/>
      </c>
      <c r="AI167" s="54"/>
      <c r="AJ167" s="54"/>
      <c r="AK167" s="54"/>
      <c r="AL167" s="54"/>
      <c r="AM167" s="54"/>
    </row>
    <row r="168" spans="1:39">
      <c r="A168" s="45" t="str" cm="1">
        <f t="array" ref="A168">IF(H168="PROJECT", CHAR(10) &amp; "- " &amp; _xlfn.TEXTJOIN(CHAR(10) &amp; "- ", TRUE, _xlfn._xlws.FILTER($I$9:$I$1000, ($B$9:$B$1000=B168) * ($H$9:$H$1000="Topic"))), "")</f>
        <v/>
      </c>
      <c r="B168" s="45" t="str">
        <f t="shared" si="37"/>
        <v/>
      </c>
      <c r="C168" s="95"/>
      <c r="D168" s="57"/>
      <c r="E168" s="58"/>
      <c r="F168" s="54"/>
      <c r="G168" s="52"/>
      <c r="H168" s="52"/>
      <c r="I168" s="61"/>
      <c r="J168" s="62"/>
      <c r="K168" s="129" t="str">
        <f t="shared" si="38"/>
        <v/>
      </c>
      <c r="L168" s="103" t="str">
        <f t="shared" si="39"/>
        <v/>
      </c>
      <c r="M168" s="52">
        <v>0</v>
      </c>
      <c r="N168" s="102" t="str">
        <f t="shared" si="40"/>
        <v/>
      </c>
      <c r="O168" s="103" t="str">
        <f t="shared" si="41"/>
        <v/>
      </c>
      <c r="P168" s="52">
        <v>0</v>
      </c>
      <c r="Q168" s="102" t="str">
        <f t="shared" si="42"/>
        <v/>
      </c>
      <c r="R168" s="103" t="str">
        <f t="shared" si="43"/>
        <v/>
      </c>
      <c r="S168" s="52">
        <v>0</v>
      </c>
      <c r="T168" s="102" t="str">
        <f t="shared" si="44"/>
        <v/>
      </c>
      <c r="U168" s="103" t="str">
        <f t="shared" si="45"/>
        <v/>
      </c>
      <c r="V168" s="52">
        <v>0</v>
      </c>
      <c r="W168" s="87" t="str">
        <f t="shared" si="46"/>
        <v/>
      </c>
      <c r="X168" s="103" t="str">
        <f t="shared" si="47"/>
        <v/>
      </c>
      <c r="Y168" s="52">
        <v>0</v>
      </c>
      <c r="Z168" s="56" t="str">
        <f t="shared" si="48"/>
        <v/>
      </c>
      <c r="AA168" s="56" t="str">
        <f t="shared" si="49"/>
        <v/>
      </c>
      <c r="AB168" s="56" t="str">
        <f t="shared" si="50"/>
        <v/>
      </c>
      <c r="AC168" s="56" t="str">
        <f t="shared" si="51"/>
        <v/>
      </c>
      <c r="AD168" s="56" t="str">
        <f t="shared" si="52"/>
        <v/>
      </c>
      <c r="AE168" s="40"/>
      <c r="AF168" s="40"/>
      <c r="AG168" s="40"/>
      <c r="AH168" s="56" t="str">
        <f t="shared" si="36"/>
        <v/>
      </c>
      <c r="AI168" s="54"/>
      <c r="AJ168" s="54"/>
      <c r="AK168" s="54"/>
      <c r="AL168" s="54"/>
      <c r="AM168" s="54"/>
    </row>
    <row r="169" spans="1:39">
      <c r="A169" s="45" t="str" cm="1">
        <f t="array" ref="A169">IF(H169="PROJECT", CHAR(10) &amp; "- " &amp; _xlfn.TEXTJOIN(CHAR(10) &amp; "- ", TRUE, _xlfn._xlws.FILTER($I$9:$I$1000, ($B$9:$B$1000=B169) * ($H$9:$H$1000="Topic"))), "")</f>
        <v/>
      </c>
      <c r="B169" s="45" t="str">
        <f t="shared" si="37"/>
        <v/>
      </c>
      <c r="C169" s="95"/>
      <c r="D169" s="46"/>
      <c r="E169" s="58"/>
      <c r="F169" s="67"/>
      <c r="G169" s="53"/>
      <c r="H169" s="53"/>
      <c r="I169" s="50"/>
      <c r="J169" s="51"/>
      <c r="K169" s="129" t="str">
        <f t="shared" si="38"/>
        <v/>
      </c>
      <c r="L169" s="103" t="str">
        <f t="shared" si="39"/>
        <v/>
      </c>
      <c r="M169" s="53">
        <v>0</v>
      </c>
      <c r="N169" s="102" t="str">
        <f t="shared" si="40"/>
        <v/>
      </c>
      <c r="O169" s="103" t="str">
        <f t="shared" si="41"/>
        <v/>
      </c>
      <c r="P169" s="53">
        <v>0</v>
      </c>
      <c r="Q169" s="102" t="str">
        <f t="shared" si="42"/>
        <v/>
      </c>
      <c r="R169" s="103" t="str">
        <f t="shared" si="43"/>
        <v/>
      </c>
      <c r="S169" s="53">
        <v>0</v>
      </c>
      <c r="T169" s="102" t="str">
        <f t="shared" si="44"/>
        <v/>
      </c>
      <c r="U169" s="103" t="str">
        <f t="shared" si="45"/>
        <v/>
      </c>
      <c r="V169" s="53">
        <v>0</v>
      </c>
      <c r="W169" s="87" t="str">
        <f t="shared" si="46"/>
        <v/>
      </c>
      <c r="X169" s="103" t="str">
        <f t="shared" si="47"/>
        <v/>
      </c>
      <c r="Y169" s="53">
        <v>0</v>
      </c>
      <c r="Z169" s="56" t="str">
        <f t="shared" si="48"/>
        <v/>
      </c>
      <c r="AA169" s="56" t="str">
        <f t="shared" si="49"/>
        <v/>
      </c>
      <c r="AB169" s="56" t="str">
        <f t="shared" si="50"/>
        <v/>
      </c>
      <c r="AC169" s="56" t="str">
        <f t="shared" si="51"/>
        <v/>
      </c>
      <c r="AD169" s="56" t="str">
        <f t="shared" si="52"/>
        <v/>
      </c>
      <c r="AE169" s="40"/>
      <c r="AF169" s="40"/>
      <c r="AG169" s="40"/>
      <c r="AH169" s="56" t="str">
        <f t="shared" ref="AH169:AH200" si="53">IF(AE169=$B$6,AG169,"")</f>
        <v/>
      </c>
      <c r="AI169" s="54"/>
      <c r="AJ169" s="54"/>
      <c r="AK169" s="54"/>
      <c r="AL169" s="54"/>
      <c r="AM169" s="54"/>
    </row>
    <row r="170" spans="1:39">
      <c r="A170" s="45" t="str" cm="1">
        <f t="array" ref="A170">IF(H170="PROJECT", CHAR(10) &amp; "- " &amp; _xlfn.TEXTJOIN(CHAR(10) &amp; "- ", TRUE, _xlfn._xlws.FILTER($I$9:$I$1000, ($B$9:$B$1000=B170) * ($H$9:$H$1000="Topic"))), "")</f>
        <v/>
      </c>
      <c r="B170" s="45" t="str">
        <f t="shared" si="37"/>
        <v/>
      </c>
      <c r="C170" s="95"/>
      <c r="D170" s="57"/>
      <c r="E170" s="58"/>
      <c r="F170" s="54"/>
      <c r="G170" s="52"/>
      <c r="H170" s="52"/>
      <c r="I170" s="61"/>
      <c r="J170" s="62"/>
      <c r="K170" s="129" t="str">
        <f t="shared" si="38"/>
        <v/>
      </c>
      <c r="L170" s="103" t="str">
        <f t="shared" si="39"/>
        <v/>
      </c>
      <c r="M170" s="52">
        <v>0</v>
      </c>
      <c r="N170" s="102" t="str">
        <f t="shared" si="40"/>
        <v/>
      </c>
      <c r="O170" s="103" t="str">
        <f t="shared" si="41"/>
        <v/>
      </c>
      <c r="P170" s="52">
        <v>0</v>
      </c>
      <c r="Q170" s="102" t="str">
        <f t="shared" si="42"/>
        <v/>
      </c>
      <c r="R170" s="103" t="str">
        <f t="shared" si="43"/>
        <v/>
      </c>
      <c r="S170" s="52">
        <v>0</v>
      </c>
      <c r="T170" s="102" t="str">
        <f t="shared" si="44"/>
        <v/>
      </c>
      <c r="U170" s="103" t="str">
        <f t="shared" si="45"/>
        <v/>
      </c>
      <c r="V170" s="52">
        <v>0</v>
      </c>
      <c r="W170" s="87" t="str">
        <f t="shared" si="46"/>
        <v/>
      </c>
      <c r="X170" s="103" t="str">
        <f t="shared" si="47"/>
        <v/>
      </c>
      <c r="Y170" s="52">
        <v>0</v>
      </c>
      <c r="Z170" s="56" t="str">
        <f t="shared" si="48"/>
        <v/>
      </c>
      <c r="AA170" s="56" t="str">
        <f t="shared" si="49"/>
        <v/>
      </c>
      <c r="AB170" s="56" t="str">
        <f t="shared" si="50"/>
        <v/>
      </c>
      <c r="AC170" s="56" t="str">
        <f t="shared" si="51"/>
        <v/>
      </c>
      <c r="AD170" s="56" t="str">
        <f t="shared" si="52"/>
        <v/>
      </c>
      <c r="AE170" s="40"/>
      <c r="AF170" s="40"/>
      <c r="AG170" s="40"/>
      <c r="AH170" s="56" t="str">
        <f t="shared" si="53"/>
        <v/>
      </c>
      <c r="AI170" s="54"/>
      <c r="AJ170" s="54"/>
      <c r="AK170" s="54"/>
      <c r="AL170" s="54"/>
      <c r="AM170" s="54"/>
    </row>
    <row r="171" spans="1:39">
      <c r="A171" s="45" t="str" cm="1">
        <f t="array" ref="A171">IF(H171="PROJECT", CHAR(10) &amp; "- " &amp; _xlfn.TEXTJOIN(CHAR(10) &amp; "- ", TRUE, _xlfn._xlws.FILTER($I$9:$I$1000, ($B$9:$B$1000=B171) * ($H$9:$H$1000="Topic"))), "")</f>
        <v/>
      </c>
      <c r="B171" s="45" t="str">
        <f t="shared" si="37"/>
        <v/>
      </c>
      <c r="C171" s="95"/>
      <c r="D171" s="46"/>
      <c r="E171" s="58"/>
      <c r="F171" s="67"/>
      <c r="G171" s="53"/>
      <c r="H171" s="53"/>
      <c r="I171" s="50"/>
      <c r="J171" s="51"/>
      <c r="K171" s="129" t="str">
        <f t="shared" si="38"/>
        <v/>
      </c>
      <c r="L171" s="103" t="str">
        <f t="shared" si="39"/>
        <v/>
      </c>
      <c r="M171" s="53">
        <v>0</v>
      </c>
      <c r="N171" s="102" t="str">
        <f t="shared" si="40"/>
        <v/>
      </c>
      <c r="O171" s="103" t="str">
        <f t="shared" si="41"/>
        <v/>
      </c>
      <c r="P171" s="53">
        <v>0</v>
      </c>
      <c r="Q171" s="102" t="str">
        <f t="shared" si="42"/>
        <v/>
      </c>
      <c r="R171" s="103" t="str">
        <f t="shared" si="43"/>
        <v/>
      </c>
      <c r="S171" s="53">
        <v>0</v>
      </c>
      <c r="T171" s="102" t="str">
        <f t="shared" si="44"/>
        <v/>
      </c>
      <c r="U171" s="103" t="str">
        <f t="shared" si="45"/>
        <v/>
      </c>
      <c r="V171" s="53">
        <v>0</v>
      </c>
      <c r="W171" s="87" t="str">
        <f t="shared" si="46"/>
        <v/>
      </c>
      <c r="X171" s="103" t="str">
        <f t="shared" si="47"/>
        <v/>
      </c>
      <c r="Y171" s="53">
        <v>0</v>
      </c>
      <c r="Z171" s="56" t="str">
        <f t="shared" si="48"/>
        <v/>
      </c>
      <c r="AA171" s="56" t="str">
        <f t="shared" si="49"/>
        <v/>
      </c>
      <c r="AB171" s="56" t="str">
        <f t="shared" si="50"/>
        <v/>
      </c>
      <c r="AC171" s="56" t="str">
        <f t="shared" si="51"/>
        <v/>
      </c>
      <c r="AD171" s="56" t="str">
        <f t="shared" si="52"/>
        <v/>
      </c>
      <c r="AE171" s="40"/>
      <c r="AF171" s="40"/>
      <c r="AG171" s="40"/>
      <c r="AH171" s="56" t="str">
        <f t="shared" si="53"/>
        <v/>
      </c>
      <c r="AI171" s="54"/>
      <c r="AJ171" s="54"/>
      <c r="AK171" s="54"/>
      <c r="AL171" s="54"/>
      <c r="AM171" s="54"/>
    </row>
    <row r="172" spans="1:39">
      <c r="A172" s="45" t="str" cm="1">
        <f t="array" ref="A172">IF(H172="PROJECT", CHAR(10) &amp; "- " &amp; _xlfn.TEXTJOIN(CHAR(10) &amp; "- ", TRUE, _xlfn._xlws.FILTER($I$9:$I$1000, ($B$9:$B$1000=B172) * ($H$9:$H$1000="Topic"))), "")</f>
        <v/>
      </c>
      <c r="B172" s="45" t="str">
        <f t="shared" si="37"/>
        <v/>
      </c>
      <c r="C172" s="95"/>
      <c r="D172" s="57"/>
      <c r="E172" s="58"/>
      <c r="F172" s="54"/>
      <c r="G172" s="52"/>
      <c r="H172" s="52"/>
      <c r="I172" s="61"/>
      <c r="J172" s="62"/>
      <c r="K172" s="129" t="str">
        <f t="shared" si="38"/>
        <v/>
      </c>
      <c r="L172" s="103" t="str">
        <f t="shared" si="39"/>
        <v/>
      </c>
      <c r="M172" s="52">
        <v>0</v>
      </c>
      <c r="N172" s="102" t="str">
        <f t="shared" si="40"/>
        <v/>
      </c>
      <c r="O172" s="103" t="str">
        <f t="shared" si="41"/>
        <v/>
      </c>
      <c r="P172" s="52">
        <v>0</v>
      </c>
      <c r="Q172" s="102" t="str">
        <f t="shared" si="42"/>
        <v/>
      </c>
      <c r="R172" s="103" t="str">
        <f t="shared" si="43"/>
        <v/>
      </c>
      <c r="S172" s="52">
        <v>0</v>
      </c>
      <c r="T172" s="102" t="str">
        <f t="shared" si="44"/>
        <v/>
      </c>
      <c r="U172" s="103" t="str">
        <f t="shared" si="45"/>
        <v/>
      </c>
      <c r="V172" s="52">
        <v>0</v>
      </c>
      <c r="W172" s="87" t="str">
        <f t="shared" si="46"/>
        <v/>
      </c>
      <c r="X172" s="103" t="str">
        <f t="shared" si="47"/>
        <v/>
      </c>
      <c r="Y172" s="52">
        <v>0</v>
      </c>
      <c r="Z172" s="56" t="str">
        <f t="shared" si="48"/>
        <v/>
      </c>
      <c r="AA172" s="56" t="str">
        <f t="shared" si="49"/>
        <v/>
      </c>
      <c r="AB172" s="56" t="str">
        <f t="shared" si="50"/>
        <v/>
      </c>
      <c r="AC172" s="56" t="str">
        <f t="shared" si="51"/>
        <v/>
      </c>
      <c r="AD172" s="56" t="str">
        <f t="shared" si="52"/>
        <v/>
      </c>
      <c r="AE172" s="40"/>
      <c r="AF172" s="40"/>
      <c r="AG172" s="40"/>
      <c r="AH172" s="56" t="str">
        <f t="shared" si="53"/>
        <v/>
      </c>
      <c r="AI172" s="54"/>
      <c r="AJ172" s="54"/>
      <c r="AK172" s="54"/>
      <c r="AL172" s="54"/>
      <c r="AM172" s="54"/>
    </row>
    <row r="173" spans="1:39">
      <c r="A173" s="45" t="str" cm="1">
        <f t="array" ref="A173">IF(H173="PROJECT", CHAR(10) &amp; "- " &amp; _xlfn.TEXTJOIN(CHAR(10) &amp; "- ", TRUE, _xlfn._xlws.FILTER($I$9:$I$1000, ($B$9:$B$1000=B173) * ($H$9:$H$1000="Topic"))), "")</f>
        <v/>
      </c>
      <c r="B173" s="45" t="str">
        <f t="shared" si="37"/>
        <v/>
      </c>
      <c r="C173" s="95"/>
      <c r="D173" s="46"/>
      <c r="E173" s="58"/>
      <c r="F173" s="67"/>
      <c r="G173" s="53"/>
      <c r="H173" s="53"/>
      <c r="I173" s="50"/>
      <c r="J173" s="51"/>
      <c r="K173" s="129" t="str">
        <f t="shared" si="38"/>
        <v/>
      </c>
      <c r="L173" s="103" t="str">
        <f t="shared" si="39"/>
        <v/>
      </c>
      <c r="M173" s="53">
        <v>0</v>
      </c>
      <c r="N173" s="102" t="str">
        <f t="shared" si="40"/>
        <v/>
      </c>
      <c r="O173" s="103" t="str">
        <f t="shared" si="41"/>
        <v/>
      </c>
      <c r="P173" s="53">
        <v>0</v>
      </c>
      <c r="Q173" s="102" t="str">
        <f t="shared" si="42"/>
        <v/>
      </c>
      <c r="R173" s="103" t="str">
        <f t="shared" si="43"/>
        <v/>
      </c>
      <c r="S173" s="53">
        <v>0</v>
      </c>
      <c r="T173" s="102" t="str">
        <f t="shared" si="44"/>
        <v/>
      </c>
      <c r="U173" s="103" t="str">
        <f t="shared" si="45"/>
        <v/>
      </c>
      <c r="V173" s="53">
        <v>0</v>
      </c>
      <c r="W173" s="87" t="str">
        <f t="shared" si="46"/>
        <v/>
      </c>
      <c r="X173" s="103" t="str">
        <f t="shared" si="47"/>
        <v/>
      </c>
      <c r="Y173" s="53">
        <v>0</v>
      </c>
      <c r="Z173" s="56" t="str">
        <f t="shared" si="48"/>
        <v/>
      </c>
      <c r="AA173" s="56" t="str">
        <f t="shared" si="49"/>
        <v/>
      </c>
      <c r="AB173" s="56" t="str">
        <f t="shared" si="50"/>
        <v/>
      </c>
      <c r="AC173" s="56" t="str">
        <f t="shared" si="51"/>
        <v/>
      </c>
      <c r="AD173" s="56" t="str">
        <f t="shared" si="52"/>
        <v/>
      </c>
      <c r="AE173" s="40"/>
      <c r="AF173" s="40"/>
      <c r="AG173" s="40"/>
      <c r="AH173" s="56" t="str">
        <f t="shared" si="53"/>
        <v/>
      </c>
      <c r="AI173" s="54"/>
      <c r="AJ173" s="54"/>
      <c r="AK173" s="54"/>
      <c r="AL173" s="54"/>
      <c r="AM173" s="54"/>
    </row>
    <row r="174" spans="1:39">
      <c r="A174" s="45" t="str" cm="1">
        <f t="array" ref="A174">IF(H174="PROJECT", CHAR(10) &amp; "- " &amp; _xlfn.TEXTJOIN(CHAR(10) &amp; "- ", TRUE, _xlfn._xlws.FILTER($I$9:$I$1000, ($B$9:$B$1000=B174) * ($H$9:$H$1000="Topic"))), "")</f>
        <v/>
      </c>
      <c r="B174" s="45" t="str">
        <f t="shared" si="37"/>
        <v/>
      </c>
      <c r="C174" s="95"/>
      <c r="D174" s="57"/>
      <c r="E174" s="58"/>
      <c r="F174" s="54"/>
      <c r="G174" s="52"/>
      <c r="H174" s="52"/>
      <c r="I174" s="61"/>
      <c r="J174" s="62"/>
      <c r="K174" s="129" t="str">
        <f t="shared" si="38"/>
        <v/>
      </c>
      <c r="L174" s="103" t="str">
        <f t="shared" si="39"/>
        <v/>
      </c>
      <c r="M174" s="52">
        <v>0</v>
      </c>
      <c r="N174" s="102" t="str">
        <f t="shared" si="40"/>
        <v/>
      </c>
      <c r="O174" s="103" t="str">
        <f t="shared" si="41"/>
        <v/>
      </c>
      <c r="P174" s="52">
        <v>0</v>
      </c>
      <c r="Q174" s="102" t="str">
        <f t="shared" si="42"/>
        <v/>
      </c>
      <c r="R174" s="103" t="str">
        <f t="shared" si="43"/>
        <v/>
      </c>
      <c r="S174" s="52">
        <v>0</v>
      </c>
      <c r="T174" s="102" t="str">
        <f t="shared" si="44"/>
        <v/>
      </c>
      <c r="U174" s="103" t="str">
        <f t="shared" si="45"/>
        <v/>
      </c>
      <c r="V174" s="52">
        <v>0</v>
      </c>
      <c r="W174" s="87" t="str">
        <f t="shared" si="46"/>
        <v/>
      </c>
      <c r="X174" s="103" t="str">
        <f t="shared" si="47"/>
        <v/>
      </c>
      <c r="Y174" s="52">
        <v>0</v>
      </c>
      <c r="Z174" s="56" t="str">
        <f t="shared" si="48"/>
        <v/>
      </c>
      <c r="AA174" s="56" t="str">
        <f t="shared" si="49"/>
        <v/>
      </c>
      <c r="AB174" s="56" t="str">
        <f t="shared" si="50"/>
        <v/>
      </c>
      <c r="AC174" s="56" t="str">
        <f t="shared" si="51"/>
        <v/>
      </c>
      <c r="AD174" s="56" t="str">
        <f t="shared" si="52"/>
        <v/>
      </c>
      <c r="AE174" s="40"/>
      <c r="AF174" s="40"/>
      <c r="AG174" s="40"/>
      <c r="AH174" s="56" t="str">
        <f t="shared" si="53"/>
        <v/>
      </c>
      <c r="AI174" s="54"/>
      <c r="AJ174" s="54"/>
      <c r="AK174" s="54"/>
      <c r="AL174" s="54"/>
      <c r="AM174" s="54"/>
    </row>
    <row r="175" spans="1:39">
      <c r="A175" s="45" t="str" cm="1">
        <f t="array" ref="A175">IF(H175="PROJECT", CHAR(10) &amp; "- " &amp; _xlfn.TEXTJOIN(CHAR(10) &amp; "- ", TRUE, _xlfn._xlws.FILTER($I$9:$I$1000, ($B$9:$B$1000=B175) * ($H$9:$H$1000="Topic"))), "")</f>
        <v/>
      </c>
      <c r="B175" s="45" t="str">
        <f t="shared" si="37"/>
        <v/>
      </c>
      <c r="C175" s="95"/>
      <c r="D175" s="46"/>
      <c r="E175" s="58"/>
      <c r="F175" s="67"/>
      <c r="G175" s="53"/>
      <c r="H175" s="53"/>
      <c r="I175" s="50"/>
      <c r="J175" s="51"/>
      <c r="K175" s="129" t="str">
        <f t="shared" si="38"/>
        <v/>
      </c>
      <c r="L175" s="103" t="str">
        <f t="shared" si="39"/>
        <v/>
      </c>
      <c r="M175" s="53">
        <v>0</v>
      </c>
      <c r="N175" s="102" t="str">
        <f t="shared" si="40"/>
        <v/>
      </c>
      <c r="O175" s="103" t="str">
        <f t="shared" si="41"/>
        <v/>
      </c>
      <c r="P175" s="53">
        <v>0</v>
      </c>
      <c r="Q175" s="102" t="str">
        <f t="shared" si="42"/>
        <v/>
      </c>
      <c r="R175" s="103" t="str">
        <f t="shared" si="43"/>
        <v/>
      </c>
      <c r="S175" s="53">
        <v>0</v>
      </c>
      <c r="T175" s="102" t="str">
        <f t="shared" si="44"/>
        <v/>
      </c>
      <c r="U175" s="103" t="str">
        <f t="shared" si="45"/>
        <v/>
      </c>
      <c r="V175" s="53">
        <v>0</v>
      </c>
      <c r="W175" s="87" t="str">
        <f t="shared" si="46"/>
        <v/>
      </c>
      <c r="X175" s="103" t="str">
        <f t="shared" si="47"/>
        <v/>
      </c>
      <c r="Y175" s="53">
        <v>0</v>
      </c>
      <c r="Z175" s="56" t="str">
        <f t="shared" si="48"/>
        <v/>
      </c>
      <c r="AA175" s="56" t="str">
        <f t="shared" si="49"/>
        <v/>
      </c>
      <c r="AB175" s="56" t="str">
        <f t="shared" si="50"/>
        <v/>
      </c>
      <c r="AC175" s="56" t="str">
        <f t="shared" si="51"/>
        <v/>
      </c>
      <c r="AD175" s="56" t="str">
        <f t="shared" si="52"/>
        <v/>
      </c>
      <c r="AE175" s="40"/>
      <c r="AF175" s="40"/>
      <c r="AG175" s="40"/>
      <c r="AH175" s="56" t="str">
        <f t="shared" si="53"/>
        <v/>
      </c>
      <c r="AI175" s="54"/>
      <c r="AJ175" s="54"/>
      <c r="AK175" s="54"/>
      <c r="AL175" s="54"/>
      <c r="AM175" s="54"/>
    </row>
    <row r="176" spans="1:39">
      <c r="A176" s="45" t="str" cm="1">
        <f t="array" ref="A176">IF(H176="PROJECT", CHAR(10) &amp; "- " &amp; _xlfn.TEXTJOIN(CHAR(10) &amp; "- ", TRUE, _xlfn._xlws.FILTER($I$9:$I$1000, ($B$9:$B$1000=B176) * ($H$9:$H$1000="Topic"))), "")</f>
        <v/>
      </c>
      <c r="B176" s="45" t="str">
        <f t="shared" si="37"/>
        <v/>
      </c>
      <c r="C176" s="95"/>
      <c r="D176" s="57"/>
      <c r="E176" s="58"/>
      <c r="F176" s="54"/>
      <c r="G176" s="52"/>
      <c r="H176" s="52"/>
      <c r="I176" s="61"/>
      <c r="J176" s="62"/>
      <c r="K176" s="129" t="str">
        <f t="shared" si="38"/>
        <v/>
      </c>
      <c r="L176" s="103" t="str">
        <f t="shared" si="39"/>
        <v/>
      </c>
      <c r="M176" s="52">
        <v>0</v>
      </c>
      <c r="N176" s="102" t="str">
        <f t="shared" si="40"/>
        <v/>
      </c>
      <c r="O176" s="103" t="str">
        <f t="shared" si="41"/>
        <v/>
      </c>
      <c r="P176" s="52">
        <v>0</v>
      </c>
      <c r="Q176" s="102" t="str">
        <f t="shared" si="42"/>
        <v/>
      </c>
      <c r="R176" s="103" t="str">
        <f t="shared" si="43"/>
        <v/>
      </c>
      <c r="S176" s="52">
        <v>0</v>
      </c>
      <c r="T176" s="102" t="str">
        <f t="shared" si="44"/>
        <v/>
      </c>
      <c r="U176" s="103" t="str">
        <f t="shared" si="45"/>
        <v/>
      </c>
      <c r="V176" s="52">
        <v>0</v>
      </c>
      <c r="W176" s="87" t="str">
        <f t="shared" si="46"/>
        <v/>
      </c>
      <c r="X176" s="103" t="str">
        <f t="shared" si="47"/>
        <v/>
      </c>
      <c r="Y176" s="52">
        <v>0</v>
      </c>
      <c r="Z176" s="56" t="str">
        <f t="shared" si="48"/>
        <v/>
      </c>
      <c r="AA176" s="56" t="str">
        <f t="shared" si="49"/>
        <v/>
      </c>
      <c r="AB176" s="56" t="str">
        <f t="shared" si="50"/>
        <v/>
      </c>
      <c r="AC176" s="56" t="str">
        <f t="shared" si="51"/>
        <v/>
      </c>
      <c r="AD176" s="56" t="str">
        <f t="shared" si="52"/>
        <v/>
      </c>
      <c r="AE176" s="40"/>
      <c r="AF176" s="40"/>
      <c r="AG176" s="40"/>
      <c r="AH176" s="56" t="str">
        <f t="shared" si="53"/>
        <v/>
      </c>
      <c r="AI176" s="54"/>
      <c r="AJ176" s="54"/>
      <c r="AK176" s="54"/>
      <c r="AL176" s="54"/>
      <c r="AM176" s="54"/>
    </row>
    <row r="177" spans="1:39">
      <c r="A177" s="45" t="str" cm="1">
        <f t="array" ref="A177">IF(H177="PROJECT", CHAR(10) &amp; "- " &amp; _xlfn.TEXTJOIN(CHAR(10) &amp; "- ", TRUE, _xlfn._xlws.FILTER($I$9:$I$1000, ($B$9:$B$1000=B177) * ($H$9:$H$1000="Topic"))), "")</f>
        <v/>
      </c>
      <c r="B177" s="45" t="str">
        <f t="shared" si="37"/>
        <v/>
      </c>
      <c r="C177" s="95"/>
      <c r="D177" s="46"/>
      <c r="E177" s="58"/>
      <c r="F177" s="67"/>
      <c r="G177" s="53"/>
      <c r="H177" s="53"/>
      <c r="I177" s="50"/>
      <c r="J177" s="51"/>
      <c r="K177" s="129" t="str">
        <f t="shared" si="38"/>
        <v/>
      </c>
      <c r="L177" s="103" t="str">
        <f t="shared" si="39"/>
        <v/>
      </c>
      <c r="M177" s="53">
        <v>0</v>
      </c>
      <c r="N177" s="102" t="str">
        <f t="shared" si="40"/>
        <v/>
      </c>
      <c r="O177" s="103" t="str">
        <f t="shared" si="41"/>
        <v/>
      </c>
      <c r="P177" s="53">
        <v>0</v>
      </c>
      <c r="Q177" s="102" t="str">
        <f t="shared" si="42"/>
        <v/>
      </c>
      <c r="R177" s="103" t="str">
        <f t="shared" si="43"/>
        <v/>
      </c>
      <c r="S177" s="53">
        <v>0</v>
      </c>
      <c r="T177" s="102" t="str">
        <f t="shared" si="44"/>
        <v/>
      </c>
      <c r="U177" s="103" t="str">
        <f t="shared" si="45"/>
        <v/>
      </c>
      <c r="V177" s="53">
        <v>0</v>
      </c>
      <c r="W177" s="87" t="str">
        <f t="shared" si="46"/>
        <v/>
      </c>
      <c r="X177" s="103" t="str">
        <f t="shared" si="47"/>
        <v/>
      </c>
      <c r="Y177" s="53">
        <v>0</v>
      </c>
      <c r="Z177" s="56" t="str">
        <f t="shared" si="48"/>
        <v/>
      </c>
      <c r="AA177" s="56" t="str">
        <f t="shared" si="49"/>
        <v/>
      </c>
      <c r="AB177" s="56" t="str">
        <f t="shared" si="50"/>
        <v/>
      </c>
      <c r="AC177" s="56" t="str">
        <f t="shared" si="51"/>
        <v/>
      </c>
      <c r="AD177" s="56" t="str">
        <f t="shared" si="52"/>
        <v/>
      </c>
      <c r="AE177" s="40"/>
      <c r="AF177" s="40"/>
      <c r="AG177" s="40"/>
      <c r="AH177" s="56" t="str">
        <f t="shared" si="53"/>
        <v/>
      </c>
      <c r="AI177" s="54"/>
      <c r="AJ177" s="54"/>
      <c r="AK177" s="54"/>
      <c r="AL177" s="54"/>
      <c r="AM177" s="54"/>
    </row>
    <row r="178" spans="1:39">
      <c r="A178" s="45" t="str" cm="1">
        <f t="array" ref="A178">IF(H178="PROJECT", CHAR(10) &amp; "- " &amp; _xlfn.TEXTJOIN(CHAR(10) &amp; "- ", TRUE, _xlfn._xlws.FILTER($I$9:$I$1000, ($B$9:$B$1000=B178) * ($H$9:$H$1000="Topic"))), "")</f>
        <v/>
      </c>
      <c r="B178" s="45" t="str">
        <f t="shared" si="37"/>
        <v/>
      </c>
      <c r="C178" s="95"/>
      <c r="D178" s="57"/>
      <c r="E178" s="58"/>
      <c r="F178" s="54"/>
      <c r="G178" s="52"/>
      <c r="H178" s="52"/>
      <c r="I178" s="61"/>
      <c r="J178" s="62"/>
      <c r="K178" s="129" t="str">
        <f t="shared" si="38"/>
        <v/>
      </c>
      <c r="L178" s="103" t="str">
        <f t="shared" si="39"/>
        <v/>
      </c>
      <c r="M178" s="52">
        <v>0</v>
      </c>
      <c r="N178" s="102" t="str">
        <f t="shared" si="40"/>
        <v/>
      </c>
      <c r="O178" s="103" t="str">
        <f t="shared" si="41"/>
        <v/>
      </c>
      <c r="P178" s="52">
        <v>0</v>
      </c>
      <c r="Q178" s="102" t="str">
        <f t="shared" si="42"/>
        <v/>
      </c>
      <c r="R178" s="103" t="str">
        <f t="shared" si="43"/>
        <v/>
      </c>
      <c r="S178" s="52">
        <v>0</v>
      </c>
      <c r="T178" s="102" t="str">
        <f t="shared" si="44"/>
        <v/>
      </c>
      <c r="U178" s="103" t="str">
        <f t="shared" si="45"/>
        <v/>
      </c>
      <c r="V178" s="52">
        <v>0</v>
      </c>
      <c r="W178" s="87" t="str">
        <f t="shared" si="46"/>
        <v/>
      </c>
      <c r="X178" s="103" t="str">
        <f t="shared" si="47"/>
        <v/>
      </c>
      <c r="Y178" s="52">
        <v>0</v>
      </c>
      <c r="Z178" s="56" t="str">
        <f t="shared" si="48"/>
        <v/>
      </c>
      <c r="AA178" s="56" t="str">
        <f t="shared" si="49"/>
        <v/>
      </c>
      <c r="AB178" s="56" t="str">
        <f t="shared" si="50"/>
        <v/>
      </c>
      <c r="AC178" s="56" t="str">
        <f t="shared" si="51"/>
        <v/>
      </c>
      <c r="AD178" s="56" t="str">
        <f t="shared" si="52"/>
        <v/>
      </c>
      <c r="AE178" s="40"/>
      <c r="AF178" s="40"/>
      <c r="AG178" s="40"/>
      <c r="AH178" s="56" t="str">
        <f t="shared" si="53"/>
        <v/>
      </c>
      <c r="AI178" s="54"/>
      <c r="AJ178" s="54"/>
      <c r="AK178" s="54"/>
      <c r="AL178" s="54"/>
      <c r="AM178" s="54"/>
    </row>
    <row r="179" spans="1:39">
      <c r="A179" s="45" t="str" cm="1">
        <f t="array" ref="A179">IF(H179="PROJECT", CHAR(10) &amp; "- " &amp; _xlfn.TEXTJOIN(CHAR(10) &amp; "- ", TRUE, _xlfn._xlws.FILTER($I$9:$I$1000, ($B$9:$B$1000=B179) * ($H$9:$H$1000="Topic"))), "")</f>
        <v/>
      </c>
      <c r="B179" s="45" t="str">
        <f t="shared" si="37"/>
        <v/>
      </c>
      <c r="C179" s="95"/>
      <c r="D179" s="46"/>
      <c r="E179" s="58"/>
      <c r="F179" s="67"/>
      <c r="G179" s="53"/>
      <c r="H179" s="53"/>
      <c r="I179" s="50"/>
      <c r="J179" s="51"/>
      <c r="K179" s="129" t="str">
        <f t="shared" si="38"/>
        <v/>
      </c>
      <c r="L179" s="103" t="str">
        <f t="shared" si="39"/>
        <v/>
      </c>
      <c r="M179" s="53">
        <v>0</v>
      </c>
      <c r="N179" s="102" t="str">
        <f t="shared" si="40"/>
        <v/>
      </c>
      <c r="O179" s="103" t="str">
        <f t="shared" si="41"/>
        <v/>
      </c>
      <c r="P179" s="53">
        <v>0</v>
      </c>
      <c r="Q179" s="102" t="str">
        <f t="shared" si="42"/>
        <v/>
      </c>
      <c r="R179" s="103" t="str">
        <f t="shared" si="43"/>
        <v/>
      </c>
      <c r="S179" s="53">
        <v>0</v>
      </c>
      <c r="T179" s="102" t="str">
        <f t="shared" si="44"/>
        <v/>
      </c>
      <c r="U179" s="103" t="str">
        <f t="shared" si="45"/>
        <v/>
      </c>
      <c r="V179" s="53">
        <v>0</v>
      </c>
      <c r="W179" s="87" t="str">
        <f t="shared" si="46"/>
        <v/>
      </c>
      <c r="X179" s="103" t="str">
        <f t="shared" si="47"/>
        <v/>
      </c>
      <c r="Y179" s="53">
        <v>0</v>
      </c>
      <c r="Z179" s="56" t="str">
        <f t="shared" si="48"/>
        <v/>
      </c>
      <c r="AA179" s="56" t="str">
        <f t="shared" si="49"/>
        <v/>
      </c>
      <c r="AB179" s="56" t="str">
        <f t="shared" si="50"/>
        <v/>
      </c>
      <c r="AC179" s="56" t="str">
        <f t="shared" si="51"/>
        <v/>
      </c>
      <c r="AD179" s="56" t="str">
        <f t="shared" si="52"/>
        <v/>
      </c>
      <c r="AE179" s="40"/>
      <c r="AF179" s="40"/>
      <c r="AG179" s="40"/>
      <c r="AH179" s="56" t="str">
        <f t="shared" si="53"/>
        <v/>
      </c>
      <c r="AI179" s="54"/>
      <c r="AJ179" s="54"/>
      <c r="AK179" s="54"/>
      <c r="AL179" s="54"/>
      <c r="AM179" s="54"/>
    </row>
    <row r="180" spans="1:39">
      <c r="A180" s="45" t="str" cm="1">
        <f t="array" ref="A180">IF(H180="PROJECT", CHAR(10) &amp; "- " &amp; _xlfn.TEXTJOIN(CHAR(10) &amp; "- ", TRUE, _xlfn._xlws.FILTER($I$9:$I$1000, ($B$9:$B$1000=B180) * ($H$9:$H$1000="Topic"))), "")</f>
        <v/>
      </c>
      <c r="B180" s="45" t="str">
        <f t="shared" si="37"/>
        <v/>
      </c>
      <c r="C180" s="95"/>
      <c r="D180" s="57"/>
      <c r="E180" s="58"/>
      <c r="F180" s="54"/>
      <c r="G180" s="52"/>
      <c r="H180" s="52"/>
      <c r="I180" s="61"/>
      <c r="J180" s="62"/>
      <c r="K180" s="129" t="str">
        <f t="shared" si="38"/>
        <v/>
      </c>
      <c r="L180" s="103" t="str">
        <f t="shared" si="39"/>
        <v/>
      </c>
      <c r="M180" s="52">
        <v>0</v>
      </c>
      <c r="N180" s="102" t="str">
        <f t="shared" si="40"/>
        <v/>
      </c>
      <c r="O180" s="103" t="str">
        <f t="shared" si="41"/>
        <v/>
      </c>
      <c r="P180" s="52">
        <v>0</v>
      </c>
      <c r="Q180" s="102" t="str">
        <f t="shared" si="42"/>
        <v/>
      </c>
      <c r="R180" s="103" t="str">
        <f t="shared" si="43"/>
        <v/>
      </c>
      <c r="S180" s="52">
        <v>0</v>
      </c>
      <c r="T180" s="102" t="str">
        <f t="shared" si="44"/>
        <v/>
      </c>
      <c r="U180" s="103" t="str">
        <f t="shared" si="45"/>
        <v/>
      </c>
      <c r="V180" s="52">
        <v>0</v>
      </c>
      <c r="W180" s="87" t="str">
        <f t="shared" si="46"/>
        <v/>
      </c>
      <c r="X180" s="103" t="str">
        <f t="shared" si="47"/>
        <v/>
      </c>
      <c r="Y180" s="52">
        <v>0</v>
      </c>
      <c r="Z180" s="56" t="str">
        <f t="shared" si="48"/>
        <v/>
      </c>
      <c r="AA180" s="56" t="str">
        <f t="shared" si="49"/>
        <v/>
      </c>
      <c r="AB180" s="56" t="str">
        <f t="shared" si="50"/>
        <v/>
      </c>
      <c r="AC180" s="56" t="str">
        <f t="shared" si="51"/>
        <v/>
      </c>
      <c r="AD180" s="56" t="str">
        <f t="shared" si="52"/>
        <v/>
      </c>
      <c r="AE180" s="40"/>
      <c r="AF180" s="40"/>
      <c r="AG180" s="40"/>
      <c r="AH180" s="56" t="str">
        <f t="shared" si="53"/>
        <v/>
      </c>
      <c r="AI180" s="54"/>
      <c r="AJ180" s="54"/>
      <c r="AK180" s="54"/>
      <c r="AL180" s="54"/>
      <c r="AM180" s="54"/>
    </row>
    <row r="181" spans="1:39">
      <c r="A181" s="45" t="str" cm="1">
        <f t="array" ref="A181">IF(H181="PROJECT", CHAR(10) &amp; "- " &amp; _xlfn.TEXTJOIN(CHAR(10) &amp; "- ", TRUE, _xlfn._xlws.FILTER($I$9:$I$1000, ($B$9:$B$1000=B181) * ($H$9:$H$1000="Topic"))), "")</f>
        <v/>
      </c>
      <c r="B181" s="45" t="str">
        <f t="shared" si="37"/>
        <v/>
      </c>
      <c r="C181" s="95"/>
      <c r="D181" s="46"/>
      <c r="E181" s="58"/>
      <c r="F181" s="67"/>
      <c r="G181" s="53"/>
      <c r="H181" s="53"/>
      <c r="I181" s="50"/>
      <c r="J181" s="51"/>
      <c r="K181" s="129" t="str">
        <f t="shared" si="38"/>
        <v/>
      </c>
      <c r="L181" s="103" t="str">
        <f t="shared" si="39"/>
        <v/>
      </c>
      <c r="M181" s="53">
        <v>0</v>
      </c>
      <c r="N181" s="102" t="str">
        <f t="shared" si="40"/>
        <v/>
      </c>
      <c r="O181" s="103" t="str">
        <f t="shared" si="41"/>
        <v/>
      </c>
      <c r="P181" s="53">
        <v>0</v>
      </c>
      <c r="Q181" s="102" t="str">
        <f t="shared" si="42"/>
        <v/>
      </c>
      <c r="R181" s="103" t="str">
        <f t="shared" si="43"/>
        <v/>
      </c>
      <c r="S181" s="53">
        <v>0</v>
      </c>
      <c r="T181" s="102" t="str">
        <f t="shared" si="44"/>
        <v/>
      </c>
      <c r="U181" s="103" t="str">
        <f t="shared" si="45"/>
        <v/>
      </c>
      <c r="V181" s="53">
        <v>0</v>
      </c>
      <c r="W181" s="87" t="str">
        <f t="shared" si="46"/>
        <v/>
      </c>
      <c r="X181" s="103" t="str">
        <f t="shared" si="47"/>
        <v/>
      </c>
      <c r="Y181" s="53">
        <v>0</v>
      </c>
      <c r="Z181" s="56" t="str">
        <f t="shared" si="48"/>
        <v/>
      </c>
      <c r="AA181" s="56" t="str">
        <f t="shared" si="49"/>
        <v/>
      </c>
      <c r="AB181" s="56" t="str">
        <f t="shared" si="50"/>
        <v/>
      </c>
      <c r="AC181" s="56" t="str">
        <f t="shared" si="51"/>
        <v/>
      </c>
      <c r="AD181" s="56" t="str">
        <f t="shared" si="52"/>
        <v/>
      </c>
      <c r="AE181" s="40"/>
      <c r="AF181" s="40"/>
      <c r="AG181" s="40"/>
      <c r="AH181" s="56" t="str">
        <f t="shared" si="53"/>
        <v/>
      </c>
      <c r="AI181" s="54"/>
      <c r="AJ181" s="54"/>
      <c r="AK181" s="54"/>
      <c r="AL181" s="54"/>
      <c r="AM181" s="54"/>
    </row>
    <row r="182" spans="1:39">
      <c r="A182" s="45" t="str" cm="1">
        <f t="array" ref="A182">IF(H182="PROJECT", CHAR(10) &amp; "- " &amp; _xlfn.TEXTJOIN(CHAR(10) &amp; "- ", TRUE, _xlfn._xlws.FILTER($I$9:$I$1000, ($B$9:$B$1000=B182) * ($H$9:$H$1000="Topic"))), "")</f>
        <v/>
      </c>
      <c r="B182" s="45" t="str">
        <f t="shared" si="37"/>
        <v/>
      </c>
      <c r="C182" s="95"/>
      <c r="D182" s="57"/>
      <c r="E182" s="58"/>
      <c r="F182" s="54"/>
      <c r="G182" s="52"/>
      <c r="H182" s="52"/>
      <c r="I182" s="61"/>
      <c r="J182" s="62"/>
      <c r="K182" s="129" t="str">
        <f t="shared" si="38"/>
        <v/>
      </c>
      <c r="L182" s="103" t="str">
        <f t="shared" si="39"/>
        <v/>
      </c>
      <c r="M182" s="52">
        <v>0</v>
      </c>
      <c r="N182" s="102" t="str">
        <f t="shared" si="40"/>
        <v/>
      </c>
      <c r="O182" s="103" t="str">
        <f t="shared" si="41"/>
        <v/>
      </c>
      <c r="P182" s="52">
        <v>0</v>
      </c>
      <c r="Q182" s="102" t="str">
        <f t="shared" si="42"/>
        <v/>
      </c>
      <c r="R182" s="103" t="str">
        <f t="shared" si="43"/>
        <v/>
      </c>
      <c r="S182" s="52">
        <v>0</v>
      </c>
      <c r="T182" s="102" t="str">
        <f t="shared" si="44"/>
        <v/>
      </c>
      <c r="U182" s="103" t="str">
        <f t="shared" si="45"/>
        <v/>
      </c>
      <c r="V182" s="52">
        <v>0</v>
      </c>
      <c r="W182" s="87" t="str">
        <f t="shared" si="46"/>
        <v/>
      </c>
      <c r="X182" s="103" t="str">
        <f t="shared" si="47"/>
        <v/>
      </c>
      <c r="Y182" s="52">
        <v>0</v>
      </c>
      <c r="Z182" s="56" t="str">
        <f t="shared" si="48"/>
        <v/>
      </c>
      <c r="AA182" s="56" t="str">
        <f t="shared" si="49"/>
        <v/>
      </c>
      <c r="AB182" s="56" t="str">
        <f t="shared" si="50"/>
        <v/>
      </c>
      <c r="AC182" s="56" t="str">
        <f t="shared" si="51"/>
        <v/>
      </c>
      <c r="AD182" s="56" t="str">
        <f t="shared" si="52"/>
        <v/>
      </c>
      <c r="AE182" s="40"/>
      <c r="AF182" s="40"/>
      <c r="AG182" s="40"/>
      <c r="AH182" s="56" t="str">
        <f t="shared" si="53"/>
        <v/>
      </c>
      <c r="AI182" s="54"/>
      <c r="AJ182" s="54"/>
      <c r="AK182" s="54"/>
      <c r="AL182" s="54"/>
      <c r="AM182" s="54"/>
    </row>
    <row r="183" spans="1:39">
      <c r="A183" s="45" t="str" cm="1">
        <f t="array" ref="A183">IF(H183="PROJECT", CHAR(10) &amp; "- " &amp; _xlfn.TEXTJOIN(CHAR(10) &amp; "- ", TRUE, _xlfn._xlws.FILTER($I$9:$I$1000, ($B$9:$B$1000=B183) * ($H$9:$H$1000="Topic"))), "")</f>
        <v/>
      </c>
      <c r="B183" s="45" t="str">
        <f t="shared" si="37"/>
        <v/>
      </c>
      <c r="C183" s="95"/>
      <c r="D183" s="46"/>
      <c r="E183" s="58"/>
      <c r="F183" s="67"/>
      <c r="G183" s="53"/>
      <c r="H183" s="53"/>
      <c r="I183" s="50"/>
      <c r="J183" s="51"/>
      <c r="K183" s="129" t="str">
        <f t="shared" si="38"/>
        <v/>
      </c>
      <c r="L183" s="103" t="str">
        <f t="shared" si="39"/>
        <v/>
      </c>
      <c r="M183" s="53">
        <v>0</v>
      </c>
      <c r="N183" s="102" t="str">
        <f t="shared" si="40"/>
        <v/>
      </c>
      <c r="O183" s="103" t="str">
        <f t="shared" si="41"/>
        <v/>
      </c>
      <c r="P183" s="53">
        <v>0</v>
      </c>
      <c r="Q183" s="102" t="str">
        <f t="shared" si="42"/>
        <v/>
      </c>
      <c r="R183" s="103" t="str">
        <f t="shared" si="43"/>
        <v/>
      </c>
      <c r="S183" s="53">
        <v>0</v>
      </c>
      <c r="T183" s="102" t="str">
        <f t="shared" si="44"/>
        <v/>
      </c>
      <c r="U183" s="103" t="str">
        <f t="shared" si="45"/>
        <v/>
      </c>
      <c r="V183" s="53">
        <v>0</v>
      </c>
      <c r="W183" s="87" t="str">
        <f t="shared" si="46"/>
        <v/>
      </c>
      <c r="X183" s="103" t="str">
        <f t="shared" si="47"/>
        <v/>
      </c>
      <c r="Y183" s="53">
        <v>0</v>
      </c>
      <c r="Z183" s="56" t="str">
        <f t="shared" si="48"/>
        <v/>
      </c>
      <c r="AA183" s="56" t="str">
        <f t="shared" si="49"/>
        <v/>
      </c>
      <c r="AB183" s="56" t="str">
        <f t="shared" si="50"/>
        <v/>
      </c>
      <c r="AC183" s="56" t="str">
        <f t="shared" si="51"/>
        <v/>
      </c>
      <c r="AD183" s="56" t="str">
        <f t="shared" si="52"/>
        <v/>
      </c>
      <c r="AE183" s="40"/>
      <c r="AF183" s="40"/>
      <c r="AG183" s="40"/>
      <c r="AH183" s="56" t="str">
        <f t="shared" si="53"/>
        <v/>
      </c>
      <c r="AI183" s="54"/>
      <c r="AJ183" s="54"/>
      <c r="AK183" s="54"/>
      <c r="AL183" s="54"/>
      <c r="AM183" s="54"/>
    </row>
    <row r="184" spans="1:39">
      <c r="A184" s="45" t="str" cm="1">
        <f t="array" ref="A184">IF(H184="PROJECT", CHAR(10) &amp; "- " &amp; _xlfn.TEXTJOIN(CHAR(10) &amp; "- ", TRUE, _xlfn._xlws.FILTER($I$9:$I$1000, ($B$9:$B$1000=B184) * ($H$9:$H$1000="Topic"))), "")</f>
        <v/>
      </c>
      <c r="B184" s="45" t="str">
        <f t="shared" si="37"/>
        <v/>
      </c>
      <c r="C184" s="95"/>
      <c r="D184" s="57"/>
      <c r="E184" s="58"/>
      <c r="F184" s="54"/>
      <c r="G184" s="52"/>
      <c r="H184" s="52"/>
      <c r="I184" s="61"/>
      <c r="J184" s="62"/>
      <c r="K184" s="129" t="str">
        <f t="shared" si="38"/>
        <v/>
      </c>
      <c r="L184" s="103" t="str">
        <f t="shared" si="39"/>
        <v/>
      </c>
      <c r="M184" s="52">
        <v>0</v>
      </c>
      <c r="N184" s="102" t="str">
        <f t="shared" si="40"/>
        <v/>
      </c>
      <c r="O184" s="103" t="str">
        <f t="shared" si="41"/>
        <v/>
      </c>
      <c r="P184" s="52">
        <v>0</v>
      </c>
      <c r="Q184" s="102" t="str">
        <f t="shared" si="42"/>
        <v/>
      </c>
      <c r="R184" s="103" t="str">
        <f t="shared" si="43"/>
        <v/>
      </c>
      <c r="S184" s="52">
        <v>0</v>
      </c>
      <c r="T184" s="102" t="str">
        <f t="shared" si="44"/>
        <v/>
      </c>
      <c r="U184" s="103" t="str">
        <f t="shared" si="45"/>
        <v/>
      </c>
      <c r="V184" s="52">
        <v>0</v>
      </c>
      <c r="W184" s="87" t="str">
        <f t="shared" si="46"/>
        <v/>
      </c>
      <c r="X184" s="103" t="str">
        <f t="shared" si="47"/>
        <v/>
      </c>
      <c r="Y184" s="52">
        <v>0</v>
      </c>
      <c r="Z184" s="56" t="str">
        <f t="shared" si="48"/>
        <v/>
      </c>
      <c r="AA184" s="56" t="str">
        <f t="shared" si="49"/>
        <v/>
      </c>
      <c r="AB184" s="56" t="str">
        <f t="shared" si="50"/>
        <v/>
      </c>
      <c r="AC184" s="56" t="str">
        <f t="shared" si="51"/>
        <v/>
      </c>
      <c r="AD184" s="56" t="str">
        <f t="shared" si="52"/>
        <v/>
      </c>
      <c r="AE184" s="40"/>
      <c r="AF184" s="40"/>
      <c r="AG184" s="40"/>
      <c r="AH184" s="56" t="str">
        <f t="shared" si="53"/>
        <v/>
      </c>
      <c r="AI184" s="54"/>
      <c r="AJ184" s="54"/>
      <c r="AK184" s="54"/>
      <c r="AL184" s="54"/>
      <c r="AM184" s="54"/>
    </row>
    <row r="185" spans="1:39">
      <c r="A185" s="45" t="str" cm="1">
        <f t="array" ref="A185">IF(H185="PROJECT", CHAR(10) &amp; "- " &amp; _xlfn.TEXTJOIN(CHAR(10) &amp; "- ", TRUE, _xlfn._xlws.FILTER($I$9:$I$1000, ($B$9:$B$1000=B185) * ($H$9:$H$1000="Topic"))), "")</f>
        <v/>
      </c>
      <c r="B185" s="45" t="str">
        <f t="shared" si="37"/>
        <v/>
      </c>
      <c r="C185" s="95"/>
      <c r="D185" s="46"/>
      <c r="E185" s="58"/>
      <c r="F185" s="67"/>
      <c r="G185" s="53"/>
      <c r="H185" s="53"/>
      <c r="I185" s="50"/>
      <c r="J185" s="51"/>
      <c r="K185" s="129" t="str">
        <f t="shared" si="38"/>
        <v/>
      </c>
      <c r="L185" s="103" t="str">
        <f t="shared" si="39"/>
        <v/>
      </c>
      <c r="M185" s="53">
        <v>0</v>
      </c>
      <c r="N185" s="102" t="str">
        <f t="shared" si="40"/>
        <v/>
      </c>
      <c r="O185" s="103" t="str">
        <f t="shared" si="41"/>
        <v/>
      </c>
      <c r="P185" s="53">
        <v>0</v>
      </c>
      <c r="Q185" s="102" t="str">
        <f t="shared" si="42"/>
        <v/>
      </c>
      <c r="R185" s="103" t="str">
        <f t="shared" si="43"/>
        <v/>
      </c>
      <c r="S185" s="53">
        <v>0</v>
      </c>
      <c r="T185" s="102" t="str">
        <f t="shared" si="44"/>
        <v/>
      </c>
      <c r="U185" s="103" t="str">
        <f t="shared" si="45"/>
        <v/>
      </c>
      <c r="V185" s="53">
        <v>0</v>
      </c>
      <c r="W185" s="87" t="str">
        <f t="shared" si="46"/>
        <v/>
      </c>
      <c r="X185" s="103" t="str">
        <f t="shared" si="47"/>
        <v/>
      </c>
      <c r="Y185" s="53">
        <v>0</v>
      </c>
      <c r="Z185" s="56" t="str">
        <f t="shared" si="48"/>
        <v/>
      </c>
      <c r="AA185" s="56" t="str">
        <f t="shared" si="49"/>
        <v/>
      </c>
      <c r="AB185" s="56" t="str">
        <f t="shared" si="50"/>
        <v/>
      </c>
      <c r="AC185" s="56" t="str">
        <f t="shared" si="51"/>
        <v/>
      </c>
      <c r="AD185" s="56" t="str">
        <f t="shared" si="52"/>
        <v/>
      </c>
      <c r="AE185" s="40"/>
      <c r="AF185" s="40"/>
      <c r="AG185" s="40"/>
      <c r="AH185" s="56" t="str">
        <f t="shared" si="53"/>
        <v/>
      </c>
      <c r="AI185" s="54"/>
      <c r="AJ185" s="54"/>
      <c r="AK185" s="54"/>
      <c r="AL185" s="54"/>
      <c r="AM185" s="54"/>
    </row>
    <row r="186" spans="1:39">
      <c r="A186" s="45" t="str" cm="1">
        <f t="array" ref="A186">IF(H186="PROJECT", CHAR(10) &amp; "- " &amp; _xlfn.TEXTJOIN(CHAR(10) &amp; "- ", TRUE, _xlfn._xlws.FILTER($I$9:$I$1000, ($B$9:$B$1000=B186) * ($H$9:$H$1000="Topic"))), "")</f>
        <v/>
      </c>
      <c r="B186" s="45" t="str">
        <f t="shared" si="37"/>
        <v/>
      </c>
      <c r="C186" s="95"/>
      <c r="D186" s="57"/>
      <c r="E186" s="58"/>
      <c r="F186" s="54"/>
      <c r="G186" s="52"/>
      <c r="H186" s="52"/>
      <c r="I186" s="61"/>
      <c r="J186" s="62"/>
      <c r="K186" s="129" t="str">
        <f t="shared" si="38"/>
        <v/>
      </c>
      <c r="L186" s="103" t="str">
        <f t="shared" si="39"/>
        <v/>
      </c>
      <c r="M186" s="52">
        <v>0</v>
      </c>
      <c r="N186" s="102" t="str">
        <f t="shared" si="40"/>
        <v/>
      </c>
      <c r="O186" s="103" t="str">
        <f t="shared" si="41"/>
        <v/>
      </c>
      <c r="P186" s="52">
        <v>0</v>
      </c>
      <c r="Q186" s="102" t="str">
        <f t="shared" si="42"/>
        <v/>
      </c>
      <c r="R186" s="103" t="str">
        <f t="shared" si="43"/>
        <v/>
      </c>
      <c r="S186" s="52">
        <v>0</v>
      </c>
      <c r="T186" s="102" t="str">
        <f t="shared" si="44"/>
        <v/>
      </c>
      <c r="U186" s="103" t="str">
        <f t="shared" si="45"/>
        <v/>
      </c>
      <c r="V186" s="52">
        <v>0</v>
      </c>
      <c r="W186" s="87" t="str">
        <f t="shared" si="46"/>
        <v/>
      </c>
      <c r="X186" s="103" t="str">
        <f t="shared" si="47"/>
        <v/>
      </c>
      <c r="Y186" s="52">
        <v>0</v>
      </c>
      <c r="Z186" s="56" t="str">
        <f t="shared" si="48"/>
        <v/>
      </c>
      <c r="AA186" s="56" t="str">
        <f t="shared" si="49"/>
        <v/>
      </c>
      <c r="AB186" s="56" t="str">
        <f t="shared" si="50"/>
        <v/>
      </c>
      <c r="AC186" s="56" t="str">
        <f t="shared" si="51"/>
        <v/>
      </c>
      <c r="AD186" s="56" t="str">
        <f t="shared" si="52"/>
        <v/>
      </c>
      <c r="AE186" s="40"/>
      <c r="AF186" s="40"/>
      <c r="AG186" s="40"/>
      <c r="AH186" s="56" t="str">
        <f t="shared" si="53"/>
        <v/>
      </c>
      <c r="AI186" s="54"/>
      <c r="AJ186" s="54"/>
      <c r="AK186" s="54"/>
      <c r="AL186" s="54"/>
      <c r="AM186" s="54"/>
    </row>
    <row r="187" spans="1:39">
      <c r="A187" s="45" t="str" cm="1">
        <f t="array" ref="A187">IF(H187="PROJECT", CHAR(10) &amp; "- " &amp; _xlfn.TEXTJOIN(CHAR(10) &amp; "- ", TRUE, _xlfn._xlws.FILTER($I$9:$I$1000, ($B$9:$B$1000=B187) * ($H$9:$H$1000="Topic"))), "")</f>
        <v/>
      </c>
      <c r="B187" s="45" t="str">
        <f t="shared" si="37"/>
        <v/>
      </c>
      <c r="C187" s="95"/>
      <c r="D187" s="46"/>
      <c r="E187" s="58"/>
      <c r="F187" s="67"/>
      <c r="G187" s="53"/>
      <c r="H187" s="53"/>
      <c r="I187" s="50"/>
      <c r="J187" s="51"/>
      <c r="K187" s="129" t="str">
        <f t="shared" si="38"/>
        <v/>
      </c>
      <c r="L187" s="103" t="str">
        <f t="shared" si="39"/>
        <v/>
      </c>
      <c r="M187" s="53">
        <v>0</v>
      </c>
      <c r="N187" s="102" t="str">
        <f t="shared" si="40"/>
        <v/>
      </c>
      <c r="O187" s="103" t="str">
        <f t="shared" si="41"/>
        <v/>
      </c>
      <c r="P187" s="53">
        <v>0</v>
      </c>
      <c r="Q187" s="102" t="str">
        <f t="shared" si="42"/>
        <v/>
      </c>
      <c r="R187" s="103" t="str">
        <f t="shared" si="43"/>
        <v/>
      </c>
      <c r="S187" s="53">
        <v>0</v>
      </c>
      <c r="T187" s="102" t="str">
        <f t="shared" si="44"/>
        <v/>
      </c>
      <c r="U187" s="103" t="str">
        <f t="shared" si="45"/>
        <v/>
      </c>
      <c r="V187" s="53">
        <v>0</v>
      </c>
      <c r="W187" s="87" t="str">
        <f t="shared" si="46"/>
        <v/>
      </c>
      <c r="X187" s="103" t="str">
        <f t="shared" si="47"/>
        <v/>
      </c>
      <c r="Y187" s="53">
        <v>0</v>
      </c>
      <c r="Z187" s="56" t="str">
        <f t="shared" si="48"/>
        <v/>
      </c>
      <c r="AA187" s="56" t="str">
        <f t="shared" si="49"/>
        <v/>
      </c>
      <c r="AB187" s="56" t="str">
        <f t="shared" si="50"/>
        <v/>
      </c>
      <c r="AC187" s="56" t="str">
        <f t="shared" si="51"/>
        <v/>
      </c>
      <c r="AD187" s="56" t="str">
        <f t="shared" si="52"/>
        <v/>
      </c>
      <c r="AE187" s="40"/>
      <c r="AF187" s="40"/>
      <c r="AG187" s="40"/>
      <c r="AH187" s="56" t="str">
        <f t="shared" si="53"/>
        <v/>
      </c>
      <c r="AI187" s="54"/>
      <c r="AJ187" s="54"/>
      <c r="AK187" s="54"/>
      <c r="AL187" s="54"/>
      <c r="AM187" s="54"/>
    </row>
    <row r="188" spans="1:39">
      <c r="A188" s="45" t="str" cm="1">
        <f t="array" ref="A188">IF(H188="PROJECT", CHAR(10) &amp; "- " &amp; _xlfn.TEXTJOIN(CHAR(10) &amp; "- ", TRUE, _xlfn._xlws.FILTER($I$9:$I$1000, ($B$9:$B$1000=B188) * ($H$9:$H$1000="Topic"))), "")</f>
        <v/>
      </c>
      <c r="B188" s="45" t="str">
        <f t="shared" si="37"/>
        <v/>
      </c>
      <c r="C188" s="95"/>
      <c r="D188" s="57"/>
      <c r="E188" s="58"/>
      <c r="F188" s="54"/>
      <c r="G188" s="52"/>
      <c r="H188" s="52"/>
      <c r="I188" s="61"/>
      <c r="J188" s="62"/>
      <c r="K188" s="129" t="str">
        <f t="shared" si="38"/>
        <v/>
      </c>
      <c r="L188" s="103" t="str">
        <f t="shared" si="39"/>
        <v/>
      </c>
      <c r="M188" s="52">
        <v>0</v>
      </c>
      <c r="N188" s="102" t="str">
        <f t="shared" si="40"/>
        <v/>
      </c>
      <c r="O188" s="103" t="str">
        <f t="shared" si="41"/>
        <v/>
      </c>
      <c r="P188" s="52">
        <v>0</v>
      </c>
      <c r="Q188" s="102" t="str">
        <f t="shared" si="42"/>
        <v/>
      </c>
      <c r="R188" s="103" t="str">
        <f t="shared" si="43"/>
        <v/>
      </c>
      <c r="S188" s="52">
        <v>0</v>
      </c>
      <c r="T188" s="102" t="str">
        <f t="shared" si="44"/>
        <v/>
      </c>
      <c r="U188" s="103" t="str">
        <f t="shared" si="45"/>
        <v/>
      </c>
      <c r="V188" s="52">
        <v>0</v>
      </c>
      <c r="W188" s="87" t="str">
        <f t="shared" si="46"/>
        <v/>
      </c>
      <c r="X188" s="103" t="str">
        <f t="shared" si="47"/>
        <v/>
      </c>
      <c r="Y188" s="52">
        <v>0</v>
      </c>
      <c r="Z188" s="56" t="str">
        <f t="shared" si="48"/>
        <v/>
      </c>
      <c r="AA188" s="56" t="str">
        <f t="shared" si="49"/>
        <v/>
      </c>
      <c r="AB188" s="56" t="str">
        <f t="shared" si="50"/>
        <v/>
      </c>
      <c r="AC188" s="56" t="str">
        <f t="shared" si="51"/>
        <v/>
      </c>
      <c r="AD188" s="56" t="str">
        <f t="shared" si="52"/>
        <v/>
      </c>
      <c r="AE188" s="40"/>
      <c r="AF188" s="40"/>
      <c r="AG188" s="40"/>
      <c r="AH188" s="56" t="str">
        <f t="shared" si="53"/>
        <v/>
      </c>
      <c r="AI188" s="54"/>
      <c r="AJ188" s="54"/>
      <c r="AK188" s="54"/>
      <c r="AL188" s="54"/>
      <c r="AM188" s="54"/>
    </row>
    <row r="189" spans="1:39">
      <c r="A189" s="45" t="str" cm="1">
        <f t="array" ref="A189">IF(H189="PROJECT", CHAR(10) &amp; "- " &amp; _xlfn.TEXTJOIN(CHAR(10) &amp; "- ", TRUE, _xlfn._xlws.FILTER($I$9:$I$1000, ($B$9:$B$1000=B189) * ($H$9:$H$1000="Topic"))), "")</f>
        <v/>
      </c>
      <c r="B189" s="45" t="str">
        <f t="shared" si="37"/>
        <v/>
      </c>
      <c r="C189" s="95"/>
      <c r="D189" s="46"/>
      <c r="E189" s="58"/>
      <c r="F189" s="67"/>
      <c r="G189" s="53"/>
      <c r="H189" s="53"/>
      <c r="I189" s="50"/>
      <c r="J189" s="51"/>
      <c r="K189" s="129" t="str">
        <f t="shared" si="38"/>
        <v/>
      </c>
      <c r="L189" s="103" t="str">
        <f t="shared" si="39"/>
        <v/>
      </c>
      <c r="M189" s="53">
        <v>0</v>
      </c>
      <c r="N189" s="102" t="str">
        <f t="shared" si="40"/>
        <v/>
      </c>
      <c r="O189" s="103" t="str">
        <f t="shared" si="41"/>
        <v/>
      </c>
      <c r="P189" s="53">
        <v>0</v>
      </c>
      <c r="Q189" s="102" t="str">
        <f t="shared" si="42"/>
        <v/>
      </c>
      <c r="R189" s="103" t="str">
        <f t="shared" si="43"/>
        <v/>
      </c>
      <c r="S189" s="53">
        <v>0</v>
      </c>
      <c r="T189" s="102" t="str">
        <f t="shared" si="44"/>
        <v/>
      </c>
      <c r="U189" s="103" t="str">
        <f t="shared" si="45"/>
        <v/>
      </c>
      <c r="V189" s="53">
        <v>0</v>
      </c>
      <c r="W189" s="87" t="str">
        <f t="shared" si="46"/>
        <v/>
      </c>
      <c r="X189" s="103" t="str">
        <f t="shared" si="47"/>
        <v/>
      </c>
      <c r="Y189" s="53">
        <v>0</v>
      </c>
      <c r="Z189" s="56" t="str">
        <f t="shared" si="48"/>
        <v/>
      </c>
      <c r="AA189" s="56" t="str">
        <f t="shared" si="49"/>
        <v/>
      </c>
      <c r="AB189" s="56" t="str">
        <f t="shared" si="50"/>
        <v/>
      </c>
      <c r="AC189" s="56" t="str">
        <f t="shared" si="51"/>
        <v/>
      </c>
      <c r="AD189" s="56" t="str">
        <f t="shared" si="52"/>
        <v/>
      </c>
      <c r="AE189" s="40"/>
      <c r="AF189" s="40"/>
      <c r="AG189" s="40"/>
      <c r="AH189" s="56" t="str">
        <f t="shared" si="53"/>
        <v/>
      </c>
      <c r="AI189" s="54"/>
      <c r="AJ189" s="54"/>
      <c r="AK189" s="54"/>
      <c r="AL189" s="54"/>
      <c r="AM189" s="54"/>
    </row>
    <row r="190" spans="1:39">
      <c r="A190" s="45" t="str" cm="1">
        <f t="array" ref="A190">IF(H190="PROJECT", CHAR(10) &amp; "- " &amp; _xlfn.TEXTJOIN(CHAR(10) &amp; "- ", TRUE, _xlfn._xlws.FILTER($I$9:$I$1000, ($B$9:$B$1000=B190) * ($H$9:$H$1000="Topic"))), "")</f>
        <v/>
      </c>
      <c r="B190" s="45" t="str">
        <f t="shared" si="37"/>
        <v/>
      </c>
      <c r="C190" s="95"/>
      <c r="D190" s="57"/>
      <c r="E190" s="58"/>
      <c r="F190" s="54"/>
      <c r="G190" s="52"/>
      <c r="H190" s="52"/>
      <c r="I190" s="61"/>
      <c r="J190" s="62"/>
      <c r="K190" s="129" t="str">
        <f t="shared" si="38"/>
        <v/>
      </c>
      <c r="L190" s="103" t="str">
        <f t="shared" si="39"/>
        <v/>
      </c>
      <c r="M190" s="52">
        <v>0</v>
      </c>
      <c r="N190" s="102" t="str">
        <f t="shared" si="40"/>
        <v/>
      </c>
      <c r="O190" s="103" t="str">
        <f t="shared" si="41"/>
        <v/>
      </c>
      <c r="P190" s="52">
        <v>0</v>
      </c>
      <c r="Q190" s="102" t="str">
        <f t="shared" si="42"/>
        <v/>
      </c>
      <c r="R190" s="103" t="str">
        <f t="shared" si="43"/>
        <v/>
      </c>
      <c r="S190" s="52">
        <v>0</v>
      </c>
      <c r="T190" s="102" t="str">
        <f t="shared" si="44"/>
        <v/>
      </c>
      <c r="U190" s="103" t="str">
        <f t="shared" si="45"/>
        <v/>
      </c>
      <c r="V190" s="52">
        <v>0</v>
      </c>
      <c r="W190" s="87" t="str">
        <f t="shared" si="46"/>
        <v/>
      </c>
      <c r="X190" s="103" t="str">
        <f t="shared" si="47"/>
        <v/>
      </c>
      <c r="Y190" s="52">
        <v>0</v>
      </c>
      <c r="Z190" s="56" t="str">
        <f t="shared" si="48"/>
        <v/>
      </c>
      <c r="AA190" s="56" t="str">
        <f t="shared" si="49"/>
        <v/>
      </c>
      <c r="AB190" s="56" t="str">
        <f t="shared" si="50"/>
        <v/>
      </c>
      <c r="AC190" s="56" t="str">
        <f t="shared" si="51"/>
        <v/>
      </c>
      <c r="AD190" s="56" t="str">
        <f t="shared" si="52"/>
        <v/>
      </c>
      <c r="AE190" s="40"/>
      <c r="AF190" s="40"/>
      <c r="AG190" s="40"/>
      <c r="AH190" s="56" t="str">
        <f t="shared" si="53"/>
        <v/>
      </c>
      <c r="AI190" s="54"/>
      <c r="AJ190" s="54"/>
      <c r="AK190" s="54"/>
      <c r="AL190" s="54"/>
      <c r="AM190" s="54"/>
    </row>
    <row r="191" spans="1:39">
      <c r="A191" s="45" t="str" cm="1">
        <f t="array" ref="A191">IF(H191="PROJECT", CHAR(10) &amp; "- " &amp; _xlfn.TEXTJOIN(CHAR(10) &amp; "- ", TRUE, _xlfn._xlws.FILTER($I$9:$I$1000, ($B$9:$B$1000=B191) * ($H$9:$H$1000="Topic"))), "")</f>
        <v/>
      </c>
      <c r="B191" s="45" t="str">
        <f t="shared" si="37"/>
        <v/>
      </c>
      <c r="C191" s="95"/>
      <c r="D191" s="46"/>
      <c r="E191" s="58"/>
      <c r="F191" s="67"/>
      <c r="G191" s="53"/>
      <c r="H191" s="53"/>
      <c r="I191" s="50"/>
      <c r="J191" s="51"/>
      <c r="K191" s="129" t="str">
        <f t="shared" si="38"/>
        <v/>
      </c>
      <c r="L191" s="103" t="str">
        <f t="shared" si="39"/>
        <v/>
      </c>
      <c r="M191" s="53">
        <v>0</v>
      </c>
      <c r="N191" s="102" t="str">
        <f t="shared" si="40"/>
        <v/>
      </c>
      <c r="O191" s="103" t="str">
        <f t="shared" si="41"/>
        <v/>
      </c>
      <c r="P191" s="53">
        <v>0</v>
      </c>
      <c r="Q191" s="102" t="str">
        <f t="shared" si="42"/>
        <v/>
      </c>
      <c r="R191" s="103" t="str">
        <f t="shared" si="43"/>
        <v/>
      </c>
      <c r="S191" s="53">
        <v>0</v>
      </c>
      <c r="T191" s="102" t="str">
        <f t="shared" si="44"/>
        <v/>
      </c>
      <c r="U191" s="103" t="str">
        <f t="shared" si="45"/>
        <v/>
      </c>
      <c r="V191" s="53">
        <v>0</v>
      </c>
      <c r="W191" s="87" t="str">
        <f t="shared" si="46"/>
        <v/>
      </c>
      <c r="X191" s="103" t="str">
        <f t="shared" si="47"/>
        <v/>
      </c>
      <c r="Y191" s="53">
        <v>0</v>
      </c>
      <c r="Z191" s="56" t="str">
        <f t="shared" si="48"/>
        <v/>
      </c>
      <c r="AA191" s="56" t="str">
        <f t="shared" si="49"/>
        <v/>
      </c>
      <c r="AB191" s="56" t="str">
        <f t="shared" si="50"/>
        <v/>
      </c>
      <c r="AC191" s="56" t="str">
        <f t="shared" si="51"/>
        <v/>
      </c>
      <c r="AD191" s="56" t="str">
        <f t="shared" si="52"/>
        <v/>
      </c>
      <c r="AE191" s="40"/>
      <c r="AF191" s="40"/>
      <c r="AG191" s="40"/>
      <c r="AH191" s="56" t="str">
        <f t="shared" si="53"/>
        <v/>
      </c>
      <c r="AI191" s="54"/>
      <c r="AJ191" s="54"/>
      <c r="AK191" s="54"/>
      <c r="AL191" s="54"/>
      <c r="AM191" s="54"/>
    </row>
    <row r="192" spans="1:39">
      <c r="A192" s="45" t="str" cm="1">
        <f t="array" ref="A192">IF(H192="PROJECT", CHAR(10) &amp; "- " &amp; _xlfn.TEXTJOIN(CHAR(10) &amp; "- ", TRUE, _xlfn._xlws.FILTER($I$9:$I$1000, ($B$9:$B$1000=B192) * ($H$9:$H$1000="Topic"))), "")</f>
        <v/>
      </c>
      <c r="B192" s="45" t="str">
        <f t="shared" si="37"/>
        <v/>
      </c>
      <c r="C192" s="95"/>
      <c r="D192" s="57"/>
      <c r="E192" s="58"/>
      <c r="F192" s="54"/>
      <c r="G192" s="52"/>
      <c r="H192" s="52"/>
      <c r="I192" s="61"/>
      <c r="J192" s="62"/>
      <c r="K192" s="129" t="str">
        <f t="shared" si="38"/>
        <v/>
      </c>
      <c r="L192" s="103" t="str">
        <f t="shared" si="39"/>
        <v/>
      </c>
      <c r="M192" s="52">
        <v>0</v>
      </c>
      <c r="N192" s="102" t="str">
        <f t="shared" si="40"/>
        <v/>
      </c>
      <c r="O192" s="103" t="str">
        <f t="shared" si="41"/>
        <v/>
      </c>
      <c r="P192" s="52">
        <v>0</v>
      </c>
      <c r="Q192" s="102" t="str">
        <f t="shared" si="42"/>
        <v/>
      </c>
      <c r="R192" s="103" t="str">
        <f t="shared" si="43"/>
        <v/>
      </c>
      <c r="S192" s="52">
        <v>0</v>
      </c>
      <c r="T192" s="102" t="str">
        <f t="shared" si="44"/>
        <v/>
      </c>
      <c r="U192" s="103" t="str">
        <f t="shared" si="45"/>
        <v/>
      </c>
      <c r="V192" s="52">
        <v>0</v>
      </c>
      <c r="W192" s="87" t="str">
        <f t="shared" si="46"/>
        <v/>
      </c>
      <c r="X192" s="103" t="str">
        <f t="shared" si="47"/>
        <v/>
      </c>
      <c r="Y192" s="52">
        <v>0</v>
      </c>
      <c r="Z192" s="56" t="str">
        <f t="shared" si="48"/>
        <v/>
      </c>
      <c r="AA192" s="56" t="str">
        <f t="shared" si="49"/>
        <v/>
      </c>
      <c r="AB192" s="56" t="str">
        <f t="shared" si="50"/>
        <v/>
      </c>
      <c r="AC192" s="56" t="str">
        <f t="shared" si="51"/>
        <v/>
      </c>
      <c r="AD192" s="56" t="str">
        <f t="shared" si="52"/>
        <v/>
      </c>
      <c r="AE192" s="40"/>
      <c r="AF192" s="40"/>
      <c r="AG192" s="40"/>
      <c r="AH192" s="56" t="str">
        <f t="shared" si="53"/>
        <v/>
      </c>
      <c r="AI192" s="54"/>
      <c r="AJ192" s="54"/>
      <c r="AK192" s="54"/>
      <c r="AL192" s="54"/>
      <c r="AM192" s="54"/>
    </row>
    <row r="193" spans="1:39">
      <c r="A193" s="45" t="str" cm="1">
        <f t="array" ref="A193">IF(H193="PROJECT", CHAR(10) &amp; "- " &amp; _xlfn.TEXTJOIN(CHAR(10) &amp; "- ", TRUE, _xlfn._xlws.FILTER($I$9:$I$1000, ($B$9:$B$1000=B193) * ($H$9:$H$1000="Topic"))), "")</f>
        <v/>
      </c>
      <c r="B193" s="45" t="str">
        <f t="shared" si="37"/>
        <v/>
      </c>
      <c r="C193" s="95"/>
      <c r="D193" s="46"/>
      <c r="E193" s="58"/>
      <c r="F193" s="67"/>
      <c r="G193" s="53"/>
      <c r="H193" s="53"/>
      <c r="I193" s="50"/>
      <c r="J193" s="51"/>
      <c r="K193" s="129" t="str">
        <f t="shared" si="38"/>
        <v/>
      </c>
      <c r="L193" s="103" t="str">
        <f t="shared" si="39"/>
        <v/>
      </c>
      <c r="M193" s="53">
        <v>0</v>
      </c>
      <c r="N193" s="102" t="str">
        <f t="shared" si="40"/>
        <v/>
      </c>
      <c r="O193" s="103" t="str">
        <f t="shared" si="41"/>
        <v/>
      </c>
      <c r="P193" s="53">
        <v>0</v>
      </c>
      <c r="Q193" s="102" t="str">
        <f t="shared" si="42"/>
        <v/>
      </c>
      <c r="R193" s="103" t="str">
        <f t="shared" si="43"/>
        <v/>
      </c>
      <c r="S193" s="53">
        <v>0</v>
      </c>
      <c r="T193" s="102" t="str">
        <f t="shared" si="44"/>
        <v/>
      </c>
      <c r="U193" s="103" t="str">
        <f t="shared" si="45"/>
        <v/>
      </c>
      <c r="V193" s="53">
        <v>0</v>
      </c>
      <c r="W193" s="87" t="str">
        <f t="shared" si="46"/>
        <v/>
      </c>
      <c r="X193" s="103" t="str">
        <f t="shared" si="47"/>
        <v/>
      </c>
      <c r="Y193" s="53">
        <v>0</v>
      </c>
      <c r="Z193" s="56" t="str">
        <f t="shared" si="48"/>
        <v/>
      </c>
      <c r="AA193" s="56" t="str">
        <f t="shared" si="49"/>
        <v/>
      </c>
      <c r="AB193" s="56" t="str">
        <f t="shared" si="50"/>
        <v/>
      </c>
      <c r="AC193" s="56" t="str">
        <f t="shared" si="51"/>
        <v/>
      </c>
      <c r="AD193" s="56" t="str">
        <f t="shared" si="52"/>
        <v/>
      </c>
      <c r="AE193" s="40"/>
      <c r="AF193" s="40"/>
      <c r="AG193" s="40"/>
      <c r="AH193" s="56" t="str">
        <f t="shared" si="53"/>
        <v/>
      </c>
      <c r="AI193" s="54"/>
      <c r="AJ193" s="54"/>
      <c r="AK193" s="54"/>
      <c r="AL193" s="54"/>
      <c r="AM193" s="54"/>
    </row>
    <row r="194" spans="1:39">
      <c r="A194" s="45" t="str" cm="1">
        <f t="array" ref="A194">IF(H194="PROJECT", CHAR(10) &amp; "- " &amp; _xlfn.TEXTJOIN(CHAR(10) &amp; "- ", TRUE, _xlfn._xlws.FILTER($I$9:$I$1000, ($B$9:$B$1000=B194) * ($H$9:$H$1000="Topic"))), "")</f>
        <v/>
      </c>
      <c r="B194" s="45" t="str">
        <f t="shared" si="37"/>
        <v/>
      </c>
      <c r="C194" s="95"/>
      <c r="D194" s="57"/>
      <c r="E194" s="58"/>
      <c r="F194" s="54"/>
      <c r="G194" s="52"/>
      <c r="H194" s="52"/>
      <c r="I194" s="61"/>
      <c r="J194" s="62"/>
      <c r="K194" s="129" t="str">
        <f t="shared" si="38"/>
        <v/>
      </c>
      <c r="L194" s="103" t="str">
        <f t="shared" si="39"/>
        <v/>
      </c>
      <c r="M194" s="52">
        <v>0</v>
      </c>
      <c r="N194" s="102" t="str">
        <f t="shared" si="40"/>
        <v/>
      </c>
      <c r="O194" s="103" t="str">
        <f t="shared" si="41"/>
        <v/>
      </c>
      <c r="P194" s="52">
        <v>0</v>
      </c>
      <c r="Q194" s="102" t="str">
        <f t="shared" si="42"/>
        <v/>
      </c>
      <c r="R194" s="103" t="str">
        <f t="shared" si="43"/>
        <v/>
      </c>
      <c r="S194" s="52">
        <v>0</v>
      </c>
      <c r="T194" s="102" t="str">
        <f t="shared" si="44"/>
        <v/>
      </c>
      <c r="U194" s="103" t="str">
        <f t="shared" si="45"/>
        <v/>
      </c>
      <c r="V194" s="52">
        <v>0</v>
      </c>
      <c r="W194" s="87" t="str">
        <f t="shared" si="46"/>
        <v/>
      </c>
      <c r="X194" s="103" t="str">
        <f t="shared" si="47"/>
        <v/>
      </c>
      <c r="Y194" s="52">
        <v>0</v>
      </c>
      <c r="Z194" s="56" t="str">
        <f t="shared" si="48"/>
        <v/>
      </c>
      <c r="AA194" s="56" t="str">
        <f t="shared" si="49"/>
        <v/>
      </c>
      <c r="AB194" s="56" t="str">
        <f t="shared" si="50"/>
        <v/>
      </c>
      <c r="AC194" s="56" t="str">
        <f t="shared" si="51"/>
        <v/>
      </c>
      <c r="AD194" s="56" t="str">
        <f t="shared" si="52"/>
        <v/>
      </c>
      <c r="AE194" s="40"/>
      <c r="AF194" s="40"/>
      <c r="AG194" s="40"/>
      <c r="AH194" s="56" t="str">
        <f t="shared" si="53"/>
        <v/>
      </c>
      <c r="AI194" s="54"/>
      <c r="AJ194" s="54"/>
      <c r="AK194" s="54"/>
      <c r="AL194" s="54"/>
      <c r="AM194" s="54"/>
    </row>
    <row r="195" spans="1:39">
      <c r="A195" s="45" t="str" cm="1">
        <f t="array" ref="A195">IF(H195="PROJECT", CHAR(10) &amp; "- " &amp; _xlfn.TEXTJOIN(CHAR(10) &amp; "- ", TRUE, _xlfn._xlws.FILTER($I$9:$I$1000, ($B$9:$B$1000=B195) * ($H$9:$H$1000="Topic"))), "")</f>
        <v/>
      </c>
      <c r="B195" s="45" t="str">
        <f t="shared" si="37"/>
        <v/>
      </c>
      <c r="C195" s="95"/>
      <c r="D195" s="46"/>
      <c r="E195" s="58"/>
      <c r="F195" s="67"/>
      <c r="G195" s="53"/>
      <c r="H195" s="53"/>
      <c r="I195" s="50"/>
      <c r="J195" s="51"/>
      <c r="K195" s="129" t="str">
        <f t="shared" si="38"/>
        <v/>
      </c>
      <c r="L195" s="103" t="str">
        <f t="shared" si="39"/>
        <v/>
      </c>
      <c r="M195" s="53">
        <v>0</v>
      </c>
      <c r="N195" s="102" t="str">
        <f t="shared" si="40"/>
        <v/>
      </c>
      <c r="O195" s="103" t="str">
        <f t="shared" si="41"/>
        <v/>
      </c>
      <c r="P195" s="53">
        <v>0</v>
      </c>
      <c r="Q195" s="102" t="str">
        <f t="shared" si="42"/>
        <v/>
      </c>
      <c r="R195" s="103" t="str">
        <f t="shared" si="43"/>
        <v/>
      </c>
      <c r="S195" s="53">
        <v>0</v>
      </c>
      <c r="T195" s="102" t="str">
        <f t="shared" si="44"/>
        <v/>
      </c>
      <c r="U195" s="103" t="str">
        <f t="shared" si="45"/>
        <v/>
      </c>
      <c r="V195" s="53">
        <v>0</v>
      </c>
      <c r="W195" s="87" t="str">
        <f t="shared" si="46"/>
        <v/>
      </c>
      <c r="X195" s="103" t="str">
        <f t="shared" si="47"/>
        <v/>
      </c>
      <c r="Y195" s="53">
        <v>0</v>
      </c>
      <c r="Z195" s="56" t="str">
        <f t="shared" si="48"/>
        <v/>
      </c>
      <c r="AA195" s="56" t="str">
        <f t="shared" si="49"/>
        <v/>
      </c>
      <c r="AB195" s="56" t="str">
        <f t="shared" si="50"/>
        <v/>
      </c>
      <c r="AC195" s="56" t="str">
        <f t="shared" si="51"/>
        <v/>
      </c>
      <c r="AD195" s="56" t="str">
        <f t="shared" si="52"/>
        <v/>
      </c>
      <c r="AE195" s="40"/>
      <c r="AF195" s="40"/>
      <c r="AG195" s="40"/>
      <c r="AH195" s="56" t="str">
        <f t="shared" si="53"/>
        <v/>
      </c>
      <c r="AI195" s="54"/>
      <c r="AJ195" s="54"/>
      <c r="AK195" s="54"/>
      <c r="AL195" s="54"/>
      <c r="AM195" s="54"/>
    </row>
    <row r="196" spans="1:39">
      <c r="A196" s="45" t="str" cm="1">
        <f t="array" ref="A196">IF(H196="PROJECT", CHAR(10) &amp; "- " &amp; _xlfn.TEXTJOIN(CHAR(10) &amp; "- ", TRUE, _xlfn._xlws.FILTER($I$9:$I$1000, ($B$9:$B$1000=B196) * ($H$9:$H$1000="Topic"))), "")</f>
        <v/>
      </c>
      <c r="B196" s="45" t="str">
        <f t="shared" si="37"/>
        <v/>
      </c>
      <c r="C196" s="95"/>
      <c r="D196" s="57"/>
      <c r="E196" s="58"/>
      <c r="F196" s="54"/>
      <c r="G196" s="52"/>
      <c r="H196" s="52"/>
      <c r="I196" s="61"/>
      <c r="J196" s="62"/>
      <c r="K196" s="129" t="str">
        <f t="shared" si="38"/>
        <v/>
      </c>
      <c r="L196" s="103" t="str">
        <f t="shared" si="39"/>
        <v/>
      </c>
      <c r="M196" s="52">
        <v>0</v>
      </c>
      <c r="N196" s="102" t="str">
        <f t="shared" si="40"/>
        <v/>
      </c>
      <c r="O196" s="103" t="str">
        <f t="shared" si="41"/>
        <v/>
      </c>
      <c r="P196" s="52">
        <v>0</v>
      </c>
      <c r="Q196" s="102" t="str">
        <f t="shared" si="42"/>
        <v/>
      </c>
      <c r="R196" s="103" t="str">
        <f t="shared" si="43"/>
        <v/>
      </c>
      <c r="S196" s="52">
        <v>0</v>
      </c>
      <c r="T196" s="102" t="str">
        <f t="shared" si="44"/>
        <v/>
      </c>
      <c r="U196" s="103" t="str">
        <f t="shared" si="45"/>
        <v/>
      </c>
      <c r="V196" s="52">
        <v>0</v>
      </c>
      <c r="W196" s="87" t="str">
        <f t="shared" si="46"/>
        <v/>
      </c>
      <c r="X196" s="103" t="str">
        <f t="shared" si="47"/>
        <v/>
      </c>
      <c r="Y196" s="52">
        <v>0</v>
      </c>
      <c r="Z196" s="56" t="str">
        <f t="shared" si="48"/>
        <v/>
      </c>
      <c r="AA196" s="56" t="str">
        <f t="shared" si="49"/>
        <v/>
      </c>
      <c r="AB196" s="56" t="str">
        <f t="shared" si="50"/>
        <v/>
      </c>
      <c r="AC196" s="56" t="str">
        <f t="shared" si="51"/>
        <v/>
      </c>
      <c r="AD196" s="56" t="str">
        <f t="shared" si="52"/>
        <v/>
      </c>
      <c r="AE196" s="40"/>
      <c r="AF196" s="40"/>
      <c r="AG196" s="40"/>
      <c r="AH196" s="56" t="str">
        <f t="shared" si="53"/>
        <v/>
      </c>
      <c r="AI196" s="54"/>
      <c r="AJ196" s="54"/>
      <c r="AK196" s="54"/>
      <c r="AL196" s="54"/>
      <c r="AM196" s="54"/>
    </row>
    <row r="197" spans="1:39">
      <c r="A197" s="45" t="str" cm="1">
        <f t="array" ref="A197">IF(H197="PROJECT", CHAR(10) &amp; "- " &amp; _xlfn.TEXTJOIN(CHAR(10) &amp; "- ", TRUE, _xlfn._xlws.FILTER($I$9:$I$1000, ($B$9:$B$1000=B197) * ($H$9:$H$1000="Topic"))), "")</f>
        <v/>
      </c>
      <c r="B197" s="45" t="str">
        <f t="shared" si="37"/>
        <v/>
      </c>
      <c r="C197" s="95"/>
      <c r="D197" s="46"/>
      <c r="E197" s="58"/>
      <c r="F197" s="67"/>
      <c r="G197" s="53"/>
      <c r="H197" s="53"/>
      <c r="I197" s="50"/>
      <c r="J197" s="51"/>
      <c r="K197" s="129" t="str">
        <f t="shared" si="38"/>
        <v/>
      </c>
      <c r="L197" s="103" t="str">
        <f t="shared" si="39"/>
        <v/>
      </c>
      <c r="M197" s="53">
        <v>0</v>
      </c>
      <c r="N197" s="102" t="str">
        <f t="shared" si="40"/>
        <v/>
      </c>
      <c r="O197" s="103" t="str">
        <f t="shared" si="41"/>
        <v/>
      </c>
      <c r="P197" s="53">
        <v>0</v>
      </c>
      <c r="Q197" s="102" t="str">
        <f t="shared" si="42"/>
        <v/>
      </c>
      <c r="R197" s="103" t="str">
        <f t="shared" si="43"/>
        <v/>
      </c>
      <c r="S197" s="53">
        <v>0</v>
      </c>
      <c r="T197" s="102" t="str">
        <f t="shared" si="44"/>
        <v/>
      </c>
      <c r="U197" s="103" t="str">
        <f t="shared" si="45"/>
        <v/>
      </c>
      <c r="V197" s="53">
        <v>0</v>
      </c>
      <c r="W197" s="87" t="str">
        <f t="shared" si="46"/>
        <v/>
      </c>
      <c r="X197" s="103" t="str">
        <f t="shared" si="47"/>
        <v/>
      </c>
      <c r="Y197" s="53">
        <v>0</v>
      </c>
      <c r="Z197" s="56" t="str">
        <f t="shared" si="48"/>
        <v/>
      </c>
      <c r="AA197" s="56" t="str">
        <f t="shared" si="49"/>
        <v/>
      </c>
      <c r="AB197" s="56" t="str">
        <f t="shared" si="50"/>
        <v/>
      </c>
      <c r="AC197" s="56" t="str">
        <f t="shared" si="51"/>
        <v/>
      </c>
      <c r="AD197" s="56" t="str">
        <f t="shared" si="52"/>
        <v/>
      </c>
      <c r="AE197" s="40"/>
      <c r="AF197" s="40"/>
      <c r="AG197" s="40"/>
      <c r="AH197" s="56" t="str">
        <f t="shared" si="53"/>
        <v/>
      </c>
      <c r="AI197" s="54"/>
      <c r="AJ197" s="54"/>
      <c r="AK197" s="54"/>
      <c r="AL197" s="54"/>
      <c r="AM197" s="54"/>
    </row>
    <row r="198" spans="1:39">
      <c r="A198" s="45" t="str" cm="1">
        <f t="array" ref="A198">IF(H198="PROJECT", CHAR(10) &amp; "- " &amp; _xlfn.TEXTJOIN(CHAR(10) &amp; "- ", TRUE, _xlfn._xlws.FILTER($I$9:$I$1000, ($B$9:$B$1000=B198) * ($H$9:$H$1000="Topic"))), "")</f>
        <v/>
      </c>
      <c r="B198" s="45" t="str">
        <f t="shared" si="37"/>
        <v/>
      </c>
      <c r="C198" s="95"/>
      <c r="D198" s="57"/>
      <c r="E198" s="58"/>
      <c r="F198" s="54"/>
      <c r="G198" s="52"/>
      <c r="H198" s="52"/>
      <c r="I198" s="61"/>
      <c r="J198" s="62"/>
      <c r="K198" s="129" t="str">
        <f t="shared" si="38"/>
        <v/>
      </c>
      <c r="L198" s="103" t="str">
        <f t="shared" si="39"/>
        <v/>
      </c>
      <c r="M198" s="52">
        <v>0</v>
      </c>
      <c r="N198" s="102" t="str">
        <f t="shared" si="40"/>
        <v/>
      </c>
      <c r="O198" s="103" t="str">
        <f t="shared" si="41"/>
        <v/>
      </c>
      <c r="P198" s="52">
        <v>0</v>
      </c>
      <c r="Q198" s="102" t="str">
        <f t="shared" si="42"/>
        <v/>
      </c>
      <c r="R198" s="103" t="str">
        <f t="shared" si="43"/>
        <v/>
      </c>
      <c r="S198" s="52">
        <v>0</v>
      </c>
      <c r="T198" s="102" t="str">
        <f t="shared" si="44"/>
        <v/>
      </c>
      <c r="U198" s="103" t="str">
        <f t="shared" si="45"/>
        <v/>
      </c>
      <c r="V198" s="52">
        <v>0</v>
      </c>
      <c r="W198" s="87" t="str">
        <f t="shared" si="46"/>
        <v/>
      </c>
      <c r="X198" s="103" t="str">
        <f t="shared" si="47"/>
        <v/>
      </c>
      <c r="Y198" s="52">
        <v>0</v>
      </c>
      <c r="Z198" s="56" t="str">
        <f t="shared" si="48"/>
        <v/>
      </c>
      <c r="AA198" s="56" t="str">
        <f t="shared" si="49"/>
        <v/>
      </c>
      <c r="AB198" s="56" t="str">
        <f t="shared" si="50"/>
        <v/>
      </c>
      <c r="AC198" s="56" t="str">
        <f t="shared" si="51"/>
        <v/>
      </c>
      <c r="AD198" s="56" t="str">
        <f t="shared" si="52"/>
        <v/>
      </c>
      <c r="AE198" s="40"/>
      <c r="AF198" s="40"/>
      <c r="AG198" s="40"/>
      <c r="AH198" s="56" t="str">
        <f t="shared" si="53"/>
        <v/>
      </c>
      <c r="AI198" s="54"/>
      <c r="AJ198" s="54"/>
      <c r="AK198" s="54"/>
      <c r="AL198" s="54"/>
      <c r="AM198" s="54"/>
    </row>
    <row r="199" spans="1:39">
      <c r="A199" s="45" t="str" cm="1">
        <f t="array" ref="A199">IF(H199="PROJECT", CHAR(10) &amp; "- " &amp; _xlfn.TEXTJOIN(CHAR(10) &amp; "- ", TRUE, _xlfn._xlws.FILTER($I$9:$I$1000, ($B$9:$B$1000=B199) * ($H$9:$H$1000="Topic"))), "")</f>
        <v/>
      </c>
      <c r="B199" s="45" t="str">
        <f t="shared" si="37"/>
        <v/>
      </c>
      <c r="C199" s="95"/>
      <c r="D199" s="46"/>
      <c r="E199" s="58"/>
      <c r="F199" s="67"/>
      <c r="G199" s="53"/>
      <c r="H199" s="53"/>
      <c r="I199" s="50"/>
      <c r="J199" s="51"/>
      <c r="K199" s="129" t="str">
        <f t="shared" si="38"/>
        <v/>
      </c>
      <c r="L199" s="103" t="str">
        <f t="shared" si="39"/>
        <v/>
      </c>
      <c r="M199" s="53">
        <v>0</v>
      </c>
      <c r="N199" s="102" t="str">
        <f t="shared" si="40"/>
        <v/>
      </c>
      <c r="O199" s="103" t="str">
        <f t="shared" si="41"/>
        <v/>
      </c>
      <c r="P199" s="53">
        <v>0</v>
      </c>
      <c r="Q199" s="102" t="str">
        <f t="shared" si="42"/>
        <v/>
      </c>
      <c r="R199" s="103" t="str">
        <f t="shared" si="43"/>
        <v/>
      </c>
      <c r="S199" s="53">
        <v>0</v>
      </c>
      <c r="T199" s="102" t="str">
        <f t="shared" si="44"/>
        <v/>
      </c>
      <c r="U199" s="103" t="str">
        <f t="shared" si="45"/>
        <v/>
      </c>
      <c r="V199" s="53">
        <v>0</v>
      </c>
      <c r="W199" s="87" t="str">
        <f t="shared" si="46"/>
        <v/>
      </c>
      <c r="X199" s="103" t="str">
        <f t="shared" si="47"/>
        <v/>
      </c>
      <c r="Y199" s="53">
        <v>0</v>
      </c>
      <c r="Z199" s="56" t="str">
        <f t="shared" si="48"/>
        <v/>
      </c>
      <c r="AA199" s="56" t="str">
        <f t="shared" si="49"/>
        <v/>
      </c>
      <c r="AB199" s="56" t="str">
        <f t="shared" si="50"/>
        <v/>
      </c>
      <c r="AC199" s="56" t="str">
        <f t="shared" si="51"/>
        <v/>
      </c>
      <c r="AD199" s="56" t="str">
        <f t="shared" si="52"/>
        <v/>
      </c>
      <c r="AE199" s="40"/>
      <c r="AF199" s="40"/>
      <c r="AG199" s="40"/>
      <c r="AH199" s="56" t="str">
        <f t="shared" si="53"/>
        <v/>
      </c>
      <c r="AI199" s="54"/>
      <c r="AJ199" s="54"/>
      <c r="AK199" s="54"/>
      <c r="AL199" s="54"/>
      <c r="AM199" s="54"/>
    </row>
    <row r="200" spans="1:39">
      <c r="A200" s="45" t="str" cm="1">
        <f t="array" ref="A200">IF(H200="PROJECT", CHAR(10) &amp; "- " &amp; _xlfn.TEXTJOIN(CHAR(10) &amp; "- ", TRUE, _xlfn._xlws.FILTER($I$9:$I$1000, ($B$9:$B$1000=B200) * ($H$9:$H$1000="Topic"))), "")</f>
        <v/>
      </c>
      <c r="B200" s="45" t="str">
        <f t="shared" si="37"/>
        <v/>
      </c>
      <c r="C200" s="95"/>
      <c r="D200" s="68"/>
      <c r="E200" s="58"/>
      <c r="F200" s="54"/>
      <c r="G200" s="69"/>
      <c r="H200" s="69"/>
      <c r="I200" s="70"/>
      <c r="J200" s="71"/>
      <c r="K200" s="129" t="str">
        <f t="shared" si="38"/>
        <v/>
      </c>
      <c r="L200" s="103" t="str">
        <f t="shared" si="39"/>
        <v/>
      </c>
      <c r="M200" s="69">
        <v>0</v>
      </c>
      <c r="N200" s="102" t="str">
        <f t="shared" si="40"/>
        <v/>
      </c>
      <c r="O200" s="103" t="str">
        <f t="shared" si="41"/>
        <v/>
      </c>
      <c r="P200" s="69">
        <v>0</v>
      </c>
      <c r="Q200" s="102" t="str">
        <f t="shared" si="42"/>
        <v/>
      </c>
      <c r="R200" s="103" t="str">
        <f t="shared" si="43"/>
        <v/>
      </c>
      <c r="S200" s="69">
        <v>0</v>
      </c>
      <c r="T200" s="102" t="str">
        <f t="shared" si="44"/>
        <v/>
      </c>
      <c r="U200" s="103" t="str">
        <f t="shared" si="45"/>
        <v/>
      </c>
      <c r="V200" s="69">
        <v>0</v>
      </c>
      <c r="W200" s="87" t="str">
        <f t="shared" si="46"/>
        <v/>
      </c>
      <c r="X200" s="103" t="str">
        <f t="shared" si="47"/>
        <v/>
      </c>
      <c r="Y200" s="69">
        <v>0</v>
      </c>
      <c r="Z200" s="56" t="str">
        <f t="shared" si="48"/>
        <v/>
      </c>
      <c r="AA200" s="56" t="str">
        <f t="shared" si="49"/>
        <v/>
      </c>
      <c r="AB200" s="56" t="str">
        <f t="shared" si="50"/>
        <v/>
      </c>
      <c r="AC200" s="56" t="str">
        <f t="shared" si="51"/>
        <v/>
      </c>
      <c r="AD200" s="56" t="str">
        <f t="shared" si="52"/>
        <v/>
      </c>
      <c r="AE200" s="40"/>
      <c r="AF200" s="40"/>
      <c r="AG200" s="40"/>
      <c r="AH200" s="56" t="str">
        <f t="shared" si="53"/>
        <v/>
      </c>
      <c r="AI200" s="54"/>
      <c r="AJ200" s="54"/>
      <c r="AK200" s="54"/>
      <c r="AL200" s="54"/>
      <c r="AM200" s="54"/>
    </row>
    <row r="201" spans="1:39">
      <c r="D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row>
    <row r="202" spans="1:39">
      <c r="D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row>
    <row r="203" spans="1:39">
      <c r="D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row>
    <row r="204" spans="1:39">
      <c r="D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row>
    <row r="205" spans="1:39">
      <c r="D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row>
    <row r="206" spans="1:39">
      <c r="D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row>
    <row r="207" spans="1:39">
      <c r="D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row>
    <row r="208" spans="1:39">
      <c r="D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row>
    <row r="209" spans="4:33">
      <c r="D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row>
  </sheetData>
  <mergeCells count="6">
    <mergeCell ref="AK7:AM7"/>
    <mergeCell ref="K2:M2"/>
    <mergeCell ref="N2:P2"/>
    <mergeCell ref="Q2:S2"/>
    <mergeCell ref="T2:V2"/>
    <mergeCell ref="W2:Y2"/>
  </mergeCells>
  <conditionalFormatting sqref="D1:D2 D3:E4 D5:D6 D7:E1048576">
    <cfRule type="cellIs" dxfId="82" priority="17" operator="equal">
      <formula>"No"</formula>
    </cfRule>
  </conditionalFormatting>
  <conditionalFormatting sqref="D9:D200 I9:L200">
    <cfRule type="expression" dxfId="81" priority="18">
      <formula>$H9="PROJECT"</formula>
    </cfRule>
  </conditionalFormatting>
  <conditionalFormatting sqref="G9:G200">
    <cfRule type="cellIs" dxfId="80" priority="24" operator="equal">
      <formula>"Beginner"</formula>
    </cfRule>
    <cfRule type="cellIs" dxfId="79" priority="25" operator="equal">
      <formula>"Intermediate"</formula>
    </cfRule>
    <cfRule type="cellIs" dxfId="78" priority="26" operator="equal">
      <formula>"Advanced"</formula>
    </cfRule>
  </conditionalFormatting>
  <conditionalFormatting sqref="H9:H200">
    <cfRule type="cellIs" dxfId="77" priority="23" operator="equal">
      <formula>"PROJECT"</formula>
    </cfRule>
  </conditionalFormatting>
  <conditionalFormatting sqref="K9:L200">
    <cfRule type="expression" dxfId="76" priority="27">
      <formula>M9=1</formula>
    </cfRule>
    <cfRule type="expression" dxfId="75" priority="28">
      <formula>M9=-1</formula>
    </cfRule>
  </conditionalFormatting>
  <conditionalFormatting sqref="N9:O200">
    <cfRule type="expression" dxfId="74" priority="14">
      <formula>$H9="PROJECT"</formula>
    </cfRule>
    <cfRule type="expression" dxfId="73" priority="15">
      <formula>P9=1</formula>
    </cfRule>
    <cfRule type="expression" dxfId="72" priority="16">
      <formula>P9=-1</formula>
    </cfRule>
  </conditionalFormatting>
  <conditionalFormatting sqref="O41:O200">
    <cfRule type="expression" dxfId="71" priority="30">
      <formula>Q41=1</formula>
    </cfRule>
    <cfRule type="expression" dxfId="70" priority="31">
      <formula>Q41=-1</formula>
    </cfRule>
  </conditionalFormatting>
  <conditionalFormatting sqref="Q9:R200">
    <cfRule type="expression" dxfId="69" priority="11">
      <formula>$H9="PROJECT"</formula>
    </cfRule>
    <cfRule type="expression" dxfId="68" priority="12">
      <formula>S9=1</formula>
    </cfRule>
    <cfRule type="expression" dxfId="67" priority="13">
      <formula>S9=-1</formula>
    </cfRule>
  </conditionalFormatting>
  <conditionalFormatting sqref="T9:U200">
    <cfRule type="expression" dxfId="66" priority="6">
      <formula>$H9="PROJECT"</formula>
    </cfRule>
    <cfRule type="expression" dxfId="65" priority="7">
      <formula>V9=1</formula>
    </cfRule>
    <cfRule type="expression" dxfId="64" priority="8">
      <formula>V9=-1</formula>
    </cfRule>
  </conditionalFormatting>
  <conditionalFormatting sqref="U10:U200">
    <cfRule type="expression" dxfId="63" priority="9">
      <formula>W10=1</formula>
    </cfRule>
    <cfRule type="expression" dxfId="62" priority="10">
      <formula>W10=-1</formula>
    </cfRule>
  </conditionalFormatting>
  <conditionalFormatting sqref="W9:X200">
    <cfRule type="expression" dxfId="61" priority="1">
      <formula>$H9="PROJECT"</formula>
    </cfRule>
    <cfRule type="expression" dxfId="60" priority="2">
      <formula>Y9=1</formula>
    </cfRule>
    <cfRule type="expression" dxfId="59" priority="3">
      <formula>Y9=-1</formula>
    </cfRule>
  </conditionalFormatting>
  <conditionalFormatting sqref="X10:X200">
    <cfRule type="expression" dxfId="58" priority="4">
      <formula>Z10=1</formula>
    </cfRule>
    <cfRule type="expression" dxfId="57" priority="5">
      <formula>Z10=-1</formula>
    </cfRule>
  </conditionalFormatting>
  <pageMargins left="0.7" right="0.7" top="0.75" bottom="0.75" header="0.3" footer="0.3"/>
  <pageSetup orientation="portrait" horizontalDpi="4294967292" verticalDpi="0" r:id="rId1"/>
  <extLst>
    <ext xmlns:x14="http://schemas.microsoft.com/office/spreadsheetml/2009/9/main" uri="{78C0D931-6437-407d-A8EE-F0AAD7539E65}">
      <x14:conditionalFormattings>
        <x14:conditionalFormatting xmlns:xm="http://schemas.microsoft.com/office/excel/2006/main">
          <x14:cfRule type="iconSet" priority="29" id="{2FEE3AD7-75A2-4C8C-AD82-90792546F0BA}">
            <x14:iconSet iconSet="3Symbols" custom="1">
              <x14:cfvo type="percent">
                <xm:f>0</xm:f>
              </x14:cfvo>
              <x14:cfvo type="num">
                <xm:f>0</xm:f>
              </x14:cfvo>
              <x14:cfvo type="num">
                <xm:f>1</xm:f>
              </x14:cfvo>
              <x14:cfIcon iconSet="3Symbols" iconId="1"/>
              <x14:cfIcon iconSet="3Symbols" iconId="0"/>
              <x14:cfIcon iconSet="3Symbols" iconId="2"/>
            </x14:iconSet>
          </x14:cfRule>
          <xm:sqref>M9:M200</xm:sqref>
        </x14:conditionalFormatting>
        <x14:conditionalFormatting xmlns:xm="http://schemas.microsoft.com/office/excel/2006/main">
          <x14:cfRule type="iconSet" priority="22" id="{B7488BBE-D70E-4F1D-85BE-6C9D08F208F3}">
            <x14:iconSet iconSet="3Symbols" custom="1">
              <x14:cfvo type="percent">
                <xm:f>0</xm:f>
              </x14:cfvo>
              <x14:cfvo type="num">
                <xm:f>0</xm:f>
              </x14:cfvo>
              <x14:cfvo type="num">
                <xm:f>1</xm:f>
              </x14:cfvo>
              <x14:cfIcon iconSet="3Symbols" iconId="1"/>
              <x14:cfIcon iconSet="3Symbols" iconId="0"/>
              <x14:cfIcon iconSet="3Symbols" iconId="2"/>
            </x14:iconSet>
          </x14:cfRule>
          <xm:sqref>P9:P200</xm:sqref>
        </x14:conditionalFormatting>
        <x14:conditionalFormatting xmlns:xm="http://schemas.microsoft.com/office/excel/2006/main">
          <x14:cfRule type="iconSet" priority="21" id="{4BFCED17-17B1-4960-9B24-2860EF943BE1}">
            <x14:iconSet iconSet="3Symbols" custom="1">
              <x14:cfvo type="percent">
                <xm:f>0</xm:f>
              </x14:cfvo>
              <x14:cfvo type="num">
                <xm:f>0</xm:f>
              </x14:cfvo>
              <x14:cfvo type="num">
                <xm:f>1</xm:f>
              </x14:cfvo>
              <x14:cfIcon iconSet="3Symbols" iconId="1"/>
              <x14:cfIcon iconSet="3Symbols" iconId="0"/>
              <x14:cfIcon iconSet="3Symbols" iconId="2"/>
            </x14:iconSet>
          </x14:cfRule>
          <xm:sqref>S9:S200</xm:sqref>
        </x14:conditionalFormatting>
        <x14:conditionalFormatting xmlns:xm="http://schemas.microsoft.com/office/excel/2006/main">
          <x14:cfRule type="iconSet" priority="20" id="{315FC449-DBE3-44EA-8770-3733BE24B105}">
            <x14:iconSet iconSet="3Symbols" custom="1">
              <x14:cfvo type="percent">
                <xm:f>0</xm:f>
              </x14:cfvo>
              <x14:cfvo type="num">
                <xm:f>0</xm:f>
              </x14:cfvo>
              <x14:cfvo type="num">
                <xm:f>1</xm:f>
              </x14:cfvo>
              <x14:cfIcon iconSet="3Symbols" iconId="1"/>
              <x14:cfIcon iconSet="3Symbols" iconId="0"/>
              <x14:cfIcon iconSet="3Symbols" iconId="2"/>
            </x14:iconSet>
          </x14:cfRule>
          <xm:sqref>V9:V200</xm:sqref>
        </x14:conditionalFormatting>
        <x14:conditionalFormatting xmlns:xm="http://schemas.microsoft.com/office/excel/2006/main">
          <x14:cfRule type="iconSet" priority="19" id="{ACD46CE9-0FEE-4DE3-8069-ACD4BD26B0E3}">
            <x14:iconSet iconSet="3Symbols" custom="1">
              <x14:cfvo type="percent">
                <xm:f>0</xm:f>
              </x14:cfvo>
              <x14:cfvo type="num">
                <xm:f>0</xm:f>
              </x14:cfvo>
              <x14:cfvo type="num">
                <xm:f>1</xm:f>
              </x14:cfvo>
              <x14:cfIcon iconSet="3Symbols" iconId="1"/>
              <x14:cfIcon iconSet="3Symbols" iconId="0"/>
              <x14:cfIcon iconSet="3Symbols" iconId="2"/>
            </x14:iconSet>
          </x14:cfRule>
          <xm:sqref>Y9:Y200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531A8-3589-45B0-96FB-9083488683FC}">
  <dimension ref="A1:A47"/>
  <sheetViews>
    <sheetView showGridLines="0" workbookViewId="0">
      <selection activeCell="A9" sqref="A9"/>
    </sheetView>
  </sheetViews>
  <sheetFormatPr defaultRowHeight="15"/>
  <sheetData>
    <row r="1" spans="1:1" ht="31.5">
      <c r="A1" s="131" t="s">
        <v>688</v>
      </c>
    </row>
    <row r="3" spans="1:1">
      <c r="A3" t="s">
        <v>689</v>
      </c>
    </row>
    <row r="5" spans="1:1" ht="18">
      <c r="A5" s="115" t="s">
        <v>690</v>
      </c>
    </row>
    <row r="7" spans="1:1" ht="21">
      <c r="A7" s="132" t="s">
        <v>691</v>
      </c>
    </row>
    <row r="8" spans="1:1">
      <c r="A8" s="116"/>
    </row>
    <row r="9" spans="1:1">
      <c r="A9" s="116" t="s">
        <v>692</v>
      </c>
    </row>
    <row r="10" spans="1:1">
      <c r="A10" s="116" t="s">
        <v>693</v>
      </c>
    </row>
    <row r="11" spans="1:1">
      <c r="A11" s="116" t="s">
        <v>694</v>
      </c>
    </row>
    <row r="12" spans="1:1">
      <c r="A12" s="116" t="s">
        <v>695</v>
      </c>
    </row>
    <row r="13" spans="1:1">
      <c r="A13" s="116" t="s">
        <v>696</v>
      </c>
    </row>
    <row r="15" spans="1:1" ht="21">
      <c r="A15" s="132" t="s">
        <v>697</v>
      </c>
    </row>
    <row r="17" spans="1:1">
      <c r="A17" t="s">
        <v>698</v>
      </c>
    </row>
    <row r="18" spans="1:1">
      <c r="A18" s="116"/>
    </row>
    <row r="19" spans="1:1">
      <c r="A19" s="117" t="s">
        <v>699</v>
      </c>
    </row>
    <row r="20" spans="1:1">
      <c r="A20" s="118" t="s">
        <v>700</v>
      </c>
    </row>
    <row r="21" spans="1:1">
      <c r="A21" s="118" t="s">
        <v>701</v>
      </c>
    </row>
    <row r="22" spans="1:1">
      <c r="A22" s="118" t="s">
        <v>702</v>
      </c>
    </row>
    <row r="23" spans="1:1">
      <c r="A23" s="118" t="s">
        <v>703</v>
      </c>
    </row>
    <row r="24" spans="1:1">
      <c r="A24" s="116"/>
    </row>
    <row r="25" spans="1:1">
      <c r="A25" s="117" t="s">
        <v>704</v>
      </c>
    </row>
    <row r="29" spans="1:1">
      <c r="A29" s="133"/>
    </row>
    <row r="30" spans="1:1">
      <c r="A30" s="134"/>
    </row>
    <row r="31" spans="1:1">
      <c r="A31" s="133"/>
    </row>
    <row r="32" spans="1:1">
      <c r="A32" s="133"/>
    </row>
    <row r="33" spans="1:1">
      <c r="A33" s="134"/>
    </row>
    <row r="34" spans="1:1">
      <c r="A34" s="133"/>
    </row>
    <row r="35" spans="1:1">
      <c r="A35" s="133"/>
    </row>
    <row r="36" spans="1:1" ht="21">
      <c r="A36" s="132" t="s">
        <v>705</v>
      </c>
    </row>
    <row r="38" spans="1:1">
      <c r="A38" t="s">
        <v>706</v>
      </c>
    </row>
    <row r="39" spans="1:1">
      <c r="A39" s="116"/>
    </row>
    <row r="40" spans="1:1">
      <c r="A40" s="116" t="s">
        <v>707</v>
      </c>
    </row>
    <row r="41" spans="1:1">
      <c r="A41" s="116" t="s">
        <v>708</v>
      </c>
    </row>
    <row r="42" spans="1:1">
      <c r="A42" s="116" t="s">
        <v>709</v>
      </c>
    </row>
    <row r="44" spans="1:1" ht="18">
      <c r="A44" s="115" t="s">
        <v>710</v>
      </c>
    </row>
    <row r="45" spans="1:1">
      <c r="A45" s="116"/>
    </row>
    <row r="46" spans="1:1">
      <c r="A46" s="116" t="s">
        <v>711</v>
      </c>
    </row>
    <row r="47" spans="1:1">
      <c r="A47" s="116" t="s">
        <v>712</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426C-0703-4CCF-9307-A257CA10E54B}">
  <sheetPr>
    <tabColor theme="9" tint="-0.499984740745262"/>
  </sheetPr>
  <dimension ref="A1:E59"/>
  <sheetViews>
    <sheetView workbookViewId="0">
      <selection activeCell="A6" sqref="A6:E59"/>
    </sheetView>
  </sheetViews>
  <sheetFormatPr defaultRowHeight="15"/>
  <cols>
    <col min="3" max="3" width="34.7109375" bestFit="1" customWidth="1"/>
    <col min="4" max="4" width="33.42578125" bestFit="1" customWidth="1"/>
    <col min="5" max="5" width="66.7109375" bestFit="1" customWidth="1"/>
  </cols>
  <sheetData>
    <row r="1" spans="1:5" ht="26.25">
      <c r="C1" s="122" t="s">
        <v>8</v>
      </c>
      <c r="D1" s="123" t="str">
        <f>PromptGenerator!I2</f>
        <v>Python</v>
      </c>
    </row>
    <row r="2" spans="1:5" ht="26.25">
      <c r="C2" s="122" t="s">
        <v>266</v>
      </c>
      <c r="D2" s="123" t="str">
        <f>IF(PromptGenerator!I3="","",PromptGenerator!I3)</f>
        <v>HTTPX</v>
      </c>
    </row>
    <row r="5" spans="1:5">
      <c r="A5" s="124" t="s">
        <v>647</v>
      </c>
      <c r="B5" s="124" t="s">
        <v>23</v>
      </c>
      <c r="C5" s="124" t="s">
        <v>579</v>
      </c>
      <c r="D5" s="124" t="s">
        <v>622</v>
      </c>
      <c r="E5" s="124" t="s">
        <v>621</v>
      </c>
    </row>
    <row r="6" spans="1:5">
      <c r="A6" s="125" t="s">
        <v>0</v>
      </c>
      <c r="B6" t="s">
        <v>48</v>
      </c>
      <c r="C6" t="s">
        <v>225</v>
      </c>
      <c r="D6" t="s">
        <v>606</v>
      </c>
      <c r="E6" s="120" t="s">
        <v>724</v>
      </c>
    </row>
    <row r="7" spans="1:5">
      <c r="A7" s="125" t="s">
        <v>0</v>
      </c>
      <c r="B7" t="s">
        <v>48</v>
      </c>
      <c r="C7" t="s">
        <v>225</v>
      </c>
      <c r="D7" t="s">
        <v>229</v>
      </c>
      <c r="E7" s="121" t="s">
        <v>725</v>
      </c>
    </row>
    <row r="8" spans="1:5">
      <c r="A8" s="125" t="s">
        <v>0</v>
      </c>
      <c r="B8" t="s">
        <v>48</v>
      </c>
      <c r="C8" t="s">
        <v>225</v>
      </c>
      <c r="D8" t="s">
        <v>607</v>
      </c>
      <c r="E8" t="s">
        <v>726</v>
      </c>
    </row>
    <row r="9" spans="1:5">
      <c r="A9" s="125" t="s">
        <v>0</v>
      </c>
      <c r="B9" t="s">
        <v>48</v>
      </c>
      <c r="C9" t="s">
        <v>225</v>
      </c>
      <c r="D9" t="s">
        <v>608</v>
      </c>
      <c r="E9" t="s">
        <v>727</v>
      </c>
    </row>
    <row r="10" spans="1:5">
      <c r="A10" s="125" t="s">
        <v>0</v>
      </c>
      <c r="B10" t="s">
        <v>48</v>
      </c>
      <c r="C10" t="s">
        <v>179</v>
      </c>
      <c r="D10" t="s">
        <v>609</v>
      </c>
      <c r="E10" s="120" t="s">
        <v>728</v>
      </c>
    </row>
    <row r="11" spans="1:5">
      <c r="A11" s="125" t="s">
        <v>0</v>
      </c>
      <c r="B11" t="s">
        <v>48</v>
      </c>
      <c r="C11" t="s">
        <v>179</v>
      </c>
      <c r="D11" t="s">
        <v>610</v>
      </c>
      <c r="E11" t="s">
        <v>729</v>
      </c>
    </row>
    <row r="12" spans="1:5">
      <c r="A12" s="125" t="s">
        <v>0</v>
      </c>
      <c r="B12" t="s">
        <v>48</v>
      </c>
      <c r="C12" t="s">
        <v>179</v>
      </c>
      <c r="D12" t="s">
        <v>611</v>
      </c>
      <c r="E12" s="120" t="s">
        <v>730</v>
      </c>
    </row>
    <row r="13" spans="1:5">
      <c r="A13" s="125" t="s">
        <v>0</v>
      </c>
      <c r="B13" t="s">
        <v>48</v>
      </c>
      <c r="C13" t="s">
        <v>612</v>
      </c>
      <c r="D13" t="s">
        <v>613</v>
      </c>
      <c r="E13" t="s">
        <v>731</v>
      </c>
    </row>
    <row r="14" spans="1:5">
      <c r="A14" s="125" t="s">
        <v>0</v>
      </c>
      <c r="B14" t="s">
        <v>48</v>
      </c>
      <c r="C14" t="s">
        <v>612</v>
      </c>
      <c r="D14" t="s">
        <v>614</v>
      </c>
      <c r="E14" t="s">
        <v>732</v>
      </c>
    </row>
    <row r="15" spans="1:5">
      <c r="A15" s="125" t="s">
        <v>0</v>
      </c>
      <c r="B15" t="s">
        <v>48</v>
      </c>
      <c r="C15" t="s">
        <v>602</v>
      </c>
      <c r="D15" t="s">
        <v>615</v>
      </c>
      <c r="E15" t="s">
        <v>733</v>
      </c>
    </row>
    <row r="16" spans="1:5">
      <c r="A16" s="125" t="s">
        <v>0</v>
      </c>
      <c r="B16" t="s">
        <v>48</v>
      </c>
      <c r="C16" t="s">
        <v>602</v>
      </c>
      <c r="D16" t="s">
        <v>616</v>
      </c>
      <c r="E16" t="s">
        <v>734</v>
      </c>
    </row>
    <row r="17" spans="1:5">
      <c r="A17" s="125" t="s">
        <v>0</v>
      </c>
      <c r="B17" t="s">
        <v>48</v>
      </c>
      <c r="C17" t="s">
        <v>603</v>
      </c>
      <c r="D17" t="s">
        <v>617</v>
      </c>
      <c r="E17" t="s">
        <v>735</v>
      </c>
    </row>
    <row r="18" spans="1:5">
      <c r="A18" s="125" t="s">
        <v>0</v>
      </c>
      <c r="B18" t="s">
        <v>48</v>
      </c>
      <c r="C18" t="s">
        <v>604</v>
      </c>
      <c r="D18" t="s">
        <v>618</v>
      </c>
      <c r="E18" t="s">
        <v>736</v>
      </c>
    </row>
    <row r="19" spans="1:5">
      <c r="A19" s="125" t="s">
        <v>0</v>
      </c>
      <c r="B19" t="s">
        <v>48</v>
      </c>
      <c r="C19" t="s">
        <v>604</v>
      </c>
      <c r="D19" t="s">
        <v>619</v>
      </c>
      <c r="E19" t="s">
        <v>737</v>
      </c>
    </row>
    <row r="20" spans="1:5">
      <c r="A20" s="125" t="s">
        <v>0</v>
      </c>
      <c r="B20" t="s">
        <v>48</v>
      </c>
      <c r="C20" t="s">
        <v>604</v>
      </c>
      <c r="D20" t="s">
        <v>620</v>
      </c>
      <c r="E20" t="s">
        <v>738</v>
      </c>
    </row>
    <row r="21" spans="1:5">
      <c r="A21" s="125" t="s">
        <v>0</v>
      </c>
      <c r="B21" t="s">
        <v>623</v>
      </c>
      <c r="C21" t="s">
        <v>625</v>
      </c>
      <c r="D21" t="s">
        <v>626</v>
      </c>
      <c r="E21" t="s">
        <v>739</v>
      </c>
    </row>
    <row r="22" spans="1:5">
      <c r="A22" s="125" t="s">
        <v>0</v>
      </c>
      <c r="B22" t="s">
        <v>623</v>
      </c>
      <c r="C22" t="s">
        <v>625</v>
      </c>
      <c r="D22" t="s">
        <v>627</v>
      </c>
      <c r="E22" t="s">
        <v>740</v>
      </c>
    </row>
    <row r="23" spans="1:5">
      <c r="A23" s="125" t="s">
        <v>0</v>
      </c>
      <c r="B23" t="s">
        <v>623</v>
      </c>
      <c r="C23" t="s">
        <v>625</v>
      </c>
      <c r="D23" t="s">
        <v>628</v>
      </c>
      <c r="E23" t="s">
        <v>741</v>
      </c>
    </row>
    <row r="24" spans="1:5">
      <c r="A24" s="125" t="s">
        <v>0</v>
      </c>
      <c r="B24" t="s">
        <v>605</v>
      </c>
      <c r="C24" t="s">
        <v>629</v>
      </c>
      <c r="D24" t="s">
        <v>47</v>
      </c>
      <c r="E24" t="s">
        <v>742</v>
      </c>
    </row>
    <row r="25" spans="1:5">
      <c r="A25" s="125" t="s">
        <v>0</v>
      </c>
      <c r="B25" t="s">
        <v>605</v>
      </c>
      <c r="C25" t="s">
        <v>629</v>
      </c>
      <c r="D25" t="s">
        <v>158</v>
      </c>
      <c r="E25" t="s">
        <v>743</v>
      </c>
    </row>
    <row r="26" spans="1:5">
      <c r="A26" s="125" t="s">
        <v>0</v>
      </c>
      <c r="B26" t="s">
        <v>605</v>
      </c>
      <c r="C26" t="s">
        <v>629</v>
      </c>
      <c r="D26" t="s">
        <v>159</v>
      </c>
      <c r="E26" t="s">
        <v>744</v>
      </c>
    </row>
    <row r="27" spans="1:5">
      <c r="A27" s="125" t="s">
        <v>0</v>
      </c>
      <c r="B27" t="s">
        <v>605</v>
      </c>
      <c r="C27" t="s">
        <v>630</v>
      </c>
      <c r="D27" t="s">
        <v>631</v>
      </c>
      <c r="E27" t="s">
        <v>745</v>
      </c>
    </row>
    <row r="28" spans="1:5">
      <c r="A28" s="125" t="s">
        <v>0</v>
      </c>
      <c r="B28" t="s">
        <v>605</v>
      </c>
      <c r="C28" t="s">
        <v>630</v>
      </c>
      <c r="D28" t="s">
        <v>632</v>
      </c>
      <c r="E28" t="s">
        <v>746</v>
      </c>
    </row>
    <row r="29" spans="1:5">
      <c r="A29" s="125" t="s">
        <v>0</v>
      </c>
      <c r="B29" t="s">
        <v>605</v>
      </c>
      <c r="C29" t="s">
        <v>630</v>
      </c>
      <c r="D29" t="s">
        <v>633</v>
      </c>
      <c r="E29" t="s">
        <v>747</v>
      </c>
    </row>
    <row r="30" spans="1:5">
      <c r="A30" s="125" t="s">
        <v>0</v>
      </c>
      <c r="B30" t="s">
        <v>605</v>
      </c>
      <c r="C30" t="s">
        <v>630</v>
      </c>
      <c r="D30" t="s">
        <v>634</v>
      </c>
      <c r="E30" t="s">
        <v>748</v>
      </c>
    </row>
    <row r="31" spans="1:5">
      <c r="A31" s="126" t="s">
        <v>270</v>
      </c>
      <c r="B31" t="s">
        <v>48</v>
      </c>
      <c r="C31" t="s">
        <v>635</v>
      </c>
      <c r="D31" t="s">
        <v>636</v>
      </c>
      <c r="E31" t="s">
        <v>749</v>
      </c>
    </row>
    <row r="32" spans="1:5">
      <c r="A32" s="126" t="s">
        <v>270</v>
      </c>
      <c r="B32" t="s">
        <v>48</v>
      </c>
      <c r="C32" t="s">
        <v>635</v>
      </c>
      <c r="D32" t="s">
        <v>637</v>
      </c>
      <c r="E32" t="s">
        <v>750</v>
      </c>
    </row>
    <row r="33" spans="1:5">
      <c r="A33" s="126" t="s">
        <v>270</v>
      </c>
      <c r="B33" t="s">
        <v>48</v>
      </c>
      <c r="C33" t="s">
        <v>635</v>
      </c>
      <c r="D33" t="s">
        <v>638</v>
      </c>
      <c r="E33" t="s">
        <v>751</v>
      </c>
    </row>
    <row r="34" spans="1:5">
      <c r="A34" s="126" t="s">
        <v>270</v>
      </c>
      <c r="B34" t="s">
        <v>48</v>
      </c>
      <c r="C34" t="s">
        <v>639</v>
      </c>
      <c r="D34" t="s">
        <v>640</v>
      </c>
      <c r="E34" t="s">
        <v>752</v>
      </c>
    </row>
    <row r="35" spans="1:5">
      <c r="A35" s="126" t="s">
        <v>270</v>
      </c>
      <c r="B35" t="s">
        <v>48</v>
      </c>
      <c r="C35" t="s">
        <v>641</v>
      </c>
      <c r="D35" t="s">
        <v>642</v>
      </c>
      <c r="E35" t="s">
        <v>753</v>
      </c>
    </row>
    <row r="36" spans="1:5">
      <c r="A36" s="126" t="s">
        <v>270</v>
      </c>
      <c r="B36" t="s">
        <v>48</v>
      </c>
      <c r="C36" t="s">
        <v>643</v>
      </c>
      <c r="D36" t="s">
        <v>644</v>
      </c>
      <c r="E36" t="s">
        <v>754</v>
      </c>
    </row>
    <row r="37" spans="1:5">
      <c r="A37" s="126" t="s">
        <v>270</v>
      </c>
      <c r="B37" t="s">
        <v>48</v>
      </c>
      <c r="C37" t="s">
        <v>643</v>
      </c>
      <c r="D37" t="s">
        <v>645</v>
      </c>
      <c r="E37" t="s">
        <v>755</v>
      </c>
    </row>
    <row r="38" spans="1:5">
      <c r="A38" s="126" t="s">
        <v>270</v>
      </c>
      <c r="B38" t="s">
        <v>48</v>
      </c>
      <c r="C38" t="s">
        <v>643</v>
      </c>
      <c r="D38" t="s">
        <v>646</v>
      </c>
      <c r="E38" t="s">
        <v>756</v>
      </c>
    </row>
    <row r="39" spans="1:5">
      <c r="A39" s="126" t="s">
        <v>270</v>
      </c>
      <c r="B39" t="s">
        <v>623</v>
      </c>
      <c r="C39" t="s">
        <v>648</v>
      </c>
      <c r="D39" t="s">
        <v>649</v>
      </c>
      <c r="E39" t="s">
        <v>757</v>
      </c>
    </row>
    <row r="40" spans="1:5">
      <c r="A40" s="126" t="s">
        <v>270</v>
      </c>
      <c r="B40" t="s">
        <v>623</v>
      </c>
      <c r="C40" t="s">
        <v>648</v>
      </c>
      <c r="D40" t="s">
        <v>650</v>
      </c>
      <c r="E40" t="s">
        <v>758</v>
      </c>
    </row>
    <row r="41" spans="1:5">
      <c r="A41" s="126" t="s">
        <v>270</v>
      </c>
      <c r="B41" t="s">
        <v>623</v>
      </c>
      <c r="C41" t="s">
        <v>648</v>
      </c>
      <c r="D41" t="s">
        <v>651</v>
      </c>
      <c r="E41" t="s">
        <v>759</v>
      </c>
    </row>
    <row r="42" spans="1:5">
      <c r="A42" s="126" t="s">
        <v>270</v>
      </c>
      <c r="B42" t="s">
        <v>623</v>
      </c>
      <c r="C42" t="s">
        <v>648</v>
      </c>
      <c r="D42" t="s">
        <v>652</v>
      </c>
      <c r="E42" t="s">
        <v>760</v>
      </c>
    </row>
    <row r="43" spans="1:5">
      <c r="A43" s="126" t="s">
        <v>270</v>
      </c>
      <c r="B43" t="s">
        <v>605</v>
      </c>
      <c r="C43" t="s">
        <v>653</v>
      </c>
      <c r="D43" t="s">
        <v>654</v>
      </c>
      <c r="E43" t="s">
        <v>761</v>
      </c>
    </row>
    <row r="44" spans="1:5">
      <c r="A44" s="126" t="s">
        <v>270</v>
      </c>
      <c r="B44" t="s">
        <v>605</v>
      </c>
      <c r="C44" t="s">
        <v>653</v>
      </c>
      <c r="D44" t="s">
        <v>655</v>
      </c>
      <c r="E44" t="s">
        <v>762</v>
      </c>
    </row>
    <row r="45" spans="1:5">
      <c r="A45" s="126" t="s">
        <v>270</v>
      </c>
      <c r="B45" t="s">
        <v>605</v>
      </c>
      <c r="C45" t="s">
        <v>653</v>
      </c>
      <c r="D45" t="s">
        <v>656</v>
      </c>
      <c r="E45" t="s">
        <v>763</v>
      </c>
    </row>
    <row r="46" spans="1:5">
      <c r="A46" s="126" t="s">
        <v>270</v>
      </c>
      <c r="B46" t="s">
        <v>605</v>
      </c>
      <c r="C46" t="s">
        <v>653</v>
      </c>
      <c r="D46" t="s">
        <v>657</v>
      </c>
      <c r="E46" t="s">
        <v>764</v>
      </c>
    </row>
    <row r="47" spans="1:5">
      <c r="A47" s="127" t="s">
        <v>337</v>
      </c>
      <c r="B47" t="s">
        <v>48</v>
      </c>
      <c r="C47" t="s">
        <v>641</v>
      </c>
      <c r="D47" t="s">
        <v>659</v>
      </c>
      <c r="E47" t="s">
        <v>765</v>
      </c>
    </row>
    <row r="48" spans="1:5">
      <c r="A48" s="127" t="s">
        <v>337</v>
      </c>
      <c r="B48" t="s">
        <v>48</v>
      </c>
      <c r="C48" t="s">
        <v>639</v>
      </c>
      <c r="D48" t="s">
        <v>660</v>
      </c>
      <c r="E48" t="s">
        <v>766</v>
      </c>
    </row>
    <row r="49" spans="1:5">
      <c r="A49" s="127" t="s">
        <v>337</v>
      </c>
      <c r="B49" t="s">
        <v>48</v>
      </c>
      <c r="C49" t="s">
        <v>643</v>
      </c>
      <c r="D49" t="s">
        <v>661</v>
      </c>
      <c r="E49" t="s">
        <v>767</v>
      </c>
    </row>
    <row r="50" spans="1:5">
      <c r="A50" s="127" t="s">
        <v>337</v>
      </c>
      <c r="B50" t="s">
        <v>48</v>
      </c>
      <c r="C50" t="s">
        <v>643</v>
      </c>
      <c r="D50" t="s">
        <v>662</v>
      </c>
      <c r="E50" t="s">
        <v>768</v>
      </c>
    </row>
    <row r="51" spans="1:5">
      <c r="A51" s="127" t="s">
        <v>337</v>
      </c>
      <c r="B51" t="s">
        <v>623</v>
      </c>
      <c r="C51" t="s">
        <v>663</v>
      </c>
      <c r="D51" t="s">
        <v>666</v>
      </c>
      <c r="E51" t="s">
        <v>769</v>
      </c>
    </row>
    <row r="52" spans="1:5">
      <c r="A52" s="127" t="s">
        <v>337</v>
      </c>
      <c r="B52" t="s">
        <v>623</v>
      </c>
      <c r="C52" t="s">
        <v>665</v>
      </c>
      <c r="D52" t="s">
        <v>667</v>
      </c>
      <c r="E52" t="s">
        <v>668</v>
      </c>
    </row>
    <row r="53" spans="1:5">
      <c r="A53" s="127" t="s">
        <v>337</v>
      </c>
      <c r="B53" t="s">
        <v>623</v>
      </c>
      <c r="C53" t="s">
        <v>665</v>
      </c>
      <c r="D53" t="s">
        <v>669</v>
      </c>
      <c r="E53" t="s">
        <v>770</v>
      </c>
    </row>
    <row r="54" spans="1:5">
      <c r="A54" s="127" t="s">
        <v>337</v>
      </c>
      <c r="B54" t="s">
        <v>605</v>
      </c>
      <c r="C54" t="s">
        <v>653</v>
      </c>
      <c r="D54" t="s">
        <v>670</v>
      </c>
      <c r="E54" t="s">
        <v>771</v>
      </c>
    </row>
    <row r="55" spans="1:5">
      <c r="A55" s="127" t="s">
        <v>337</v>
      </c>
      <c r="B55" t="s">
        <v>605</v>
      </c>
      <c r="C55" t="s">
        <v>653</v>
      </c>
      <c r="D55" t="s">
        <v>655</v>
      </c>
      <c r="E55" t="s">
        <v>762</v>
      </c>
    </row>
    <row r="56" spans="1:5">
      <c r="A56" s="127" t="s">
        <v>337</v>
      </c>
      <c r="B56" t="s">
        <v>605</v>
      </c>
      <c r="C56" t="s">
        <v>653</v>
      </c>
      <c r="D56" t="s">
        <v>671</v>
      </c>
      <c r="E56" t="s">
        <v>772</v>
      </c>
    </row>
    <row r="57" spans="1:5">
      <c r="A57" s="127" t="s">
        <v>337</v>
      </c>
      <c r="B57" t="s">
        <v>605</v>
      </c>
      <c r="C57" t="s">
        <v>653</v>
      </c>
      <c r="D57" t="s">
        <v>672</v>
      </c>
      <c r="E57" t="s">
        <v>773</v>
      </c>
    </row>
    <row r="58" spans="1:5">
      <c r="A58" s="121" t="s">
        <v>413</v>
      </c>
      <c r="B58" t="s">
        <v>605</v>
      </c>
      <c r="C58" t="s">
        <v>676</v>
      </c>
      <c r="D58" t="s">
        <v>677</v>
      </c>
      <c r="E58" t="s">
        <v>774</v>
      </c>
    </row>
    <row r="59" spans="1:5">
      <c r="A59" s="128" t="s">
        <v>450</v>
      </c>
      <c r="B59" t="s">
        <v>605</v>
      </c>
      <c r="C59" t="s">
        <v>676</v>
      </c>
      <c r="D59" t="s">
        <v>677</v>
      </c>
      <c r="E59" t="s">
        <v>775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F202-B91A-4FEA-8AA4-3D417A27FC7B}">
  <sheetPr>
    <tabColor theme="2" tint="-0.249977111117893"/>
  </sheetPr>
  <dimension ref="A2:AD104"/>
  <sheetViews>
    <sheetView showGridLines="0" topLeftCell="A95" zoomScaleNormal="100" workbookViewId="0">
      <selection activeCell="F83" sqref="F83:F104"/>
    </sheetView>
  </sheetViews>
  <sheetFormatPr defaultRowHeight="15"/>
  <cols>
    <col min="1" max="1" width="5.42578125" customWidth="1"/>
    <col min="2" max="2" width="35.85546875" customWidth="1"/>
    <col min="3" max="3" width="33" customWidth="1"/>
    <col min="4" max="4" width="85.28515625" customWidth="1"/>
    <col min="5" max="5" width="26.28515625" customWidth="1"/>
    <col min="6" max="6" width="39.5703125" style="85" customWidth="1"/>
    <col min="7" max="7" width="4" customWidth="1"/>
  </cols>
  <sheetData>
    <row r="2" spans="1:30" ht="36">
      <c r="B2" s="78" t="s">
        <v>448</v>
      </c>
      <c r="D2" s="81" t="s">
        <v>0</v>
      </c>
      <c r="E2" s="81"/>
      <c r="I2" s="82"/>
      <c r="U2" s="82"/>
    </row>
    <row r="3" spans="1:30">
      <c r="B3" s="76" t="s">
        <v>221</v>
      </c>
      <c r="C3" s="76" t="s">
        <v>579</v>
      </c>
      <c r="D3" s="76" t="s">
        <v>580</v>
      </c>
      <c r="E3" s="76"/>
      <c r="F3" s="88" t="s">
        <v>228</v>
      </c>
      <c r="G3" s="4" t="s">
        <v>224</v>
      </c>
      <c r="AD3" t="s">
        <v>224</v>
      </c>
    </row>
    <row r="4" spans="1:30">
      <c r="A4">
        <f>LEN(D4)</f>
        <v>49</v>
      </c>
      <c r="B4" s="75" t="s">
        <v>222</v>
      </c>
      <c r="C4" s="54" t="s">
        <v>160</v>
      </c>
      <c r="D4" s="94" t="s">
        <v>161</v>
      </c>
      <c r="E4" s="94"/>
      <c r="F4" s="77" t="str">
        <f t="shared" ref="F4:F48" si="0">IF(D4="","",""""&amp;C4&amp;" "&amp;IF(C4="[FOOTER RULE - STRICT]",D4,IF(RIGHT(D4,6)=" | "&amp;CHAR(34)&amp;" &amp;",D4,D4&amp;" | "&amp;CHAR(34)&amp;" &amp;")))</f>
        <v>"[ROLE] Friendly tutor specializing in " &amp; $I$2 &amp; " | " &amp;</v>
      </c>
      <c r="G4" s="54" t="s">
        <v>224</v>
      </c>
    </row>
    <row r="5" spans="1:30">
      <c r="A5">
        <f t="shared" ref="A5:A49" si="1">LEN(D5)</f>
        <v>16</v>
      </c>
      <c r="B5" s="75" t="s">
        <v>222</v>
      </c>
      <c r="C5" s="54" t="s">
        <v>164</v>
      </c>
      <c r="D5" s="94" t="s">
        <v>165</v>
      </c>
      <c r="E5" s="94"/>
      <c r="F5" s="77" t="str">
        <f t="shared" si="0"/>
        <v>"[TOPIC] " &amp; I9 &amp; " | " &amp;</v>
      </c>
      <c r="G5" s="54" t="s">
        <v>224</v>
      </c>
    </row>
    <row r="6" spans="1:30">
      <c r="A6">
        <f t="shared" si="1"/>
        <v>16</v>
      </c>
      <c r="B6" s="75" t="s">
        <v>222</v>
      </c>
      <c r="C6" s="54" t="s">
        <v>166</v>
      </c>
      <c r="D6" s="94" t="s">
        <v>167</v>
      </c>
      <c r="E6" s="94"/>
      <c r="F6" s="77" t="str">
        <f t="shared" si="0"/>
        <v>"[LEVEL] " &amp; G9 &amp; " | " &amp;</v>
      </c>
      <c r="G6" s="54" t="s">
        <v>224</v>
      </c>
    </row>
    <row r="7" spans="1:30">
      <c r="A7">
        <f t="shared" si="1"/>
        <v>25</v>
      </c>
      <c r="B7" s="75" t="s">
        <v>222</v>
      </c>
      <c r="C7" s="54" t="s">
        <v>168</v>
      </c>
      <c r="D7" s="94" t="s">
        <v>169</v>
      </c>
      <c r="E7" s="94"/>
      <c r="F7" s="77" t="str">
        <f t="shared" si="0"/>
        <v>"[COUNT] " &amp; D9 &amp; " examples | " &amp;</v>
      </c>
      <c r="G7" s="54" t="s">
        <v>224</v>
      </c>
    </row>
    <row r="8" spans="1:30">
      <c r="A8">
        <f t="shared" si="1"/>
        <v>18</v>
      </c>
      <c r="B8" s="75" t="s">
        <v>222</v>
      </c>
      <c r="C8" s="54" t="s">
        <v>229</v>
      </c>
      <c r="D8" s="94" t="s">
        <v>267</v>
      </c>
      <c r="E8" s="94"/>
      <c r="F8" s="77" t="str">
        <f t="shared" si="0"/>
        <v>"[LIBRARY BEING LEARNED] " &amp; $I$3 &amp; " | " &amp;</v>
      </c>
      <c r="G8" s="54" t="s">
        <v>224</v>
      </c>
    </row>
    <row r="9" spans="1:30">
      <c r="A9">
        <f t="shared" si="1"/>
        <v>496</v>
      </c>
      <c r="B9" s="75" t="s">
        <v>222</v>
      </c>
      <c r="C9" s="32" t="s">
        <v>225</v>
      </c>
      <c r="D9" s="94"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9" s="94"/>
      <c r="F9" s="77" t="str">
        <f t="shared" si="0"/>
        <v>"[ECOSYSTEM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v>
      </c>
      <c r="G9" s="54" t="s">
        <v>224</v>
      </c>
    </row>
    <row r="10" spans="1:30">
      <c r="A10">
        <f t="shared" si="1"/>
        <v>406</v>
      </c>
      <c r="B10" s="75" t="s">
        <v>222</v>
      </c>
      <c r="C10" s="54" t="s">
        <v>172</v>
      </c>
      <c r="D10" s="94" t="s">
        <v>173</v>
      </c>
      <c r="E10" s="94"/>
      <c r="F10"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G10" s="54" t="s">
        <v>224</v>
      </c>
    </row>
    <row r="11" spans="1:30">
      <c r="A11">
        <f t="shared" si="1"/>
        <v>214</v>
      </c>
      <c r="B11" s="75" t="s">
        <v>222</v>
      </c>
      <c r="C11" s="54" t="s">
        <v>491</v>
      </c>
      <c r="D11" s="94" t="s">
        <v>483</v>
      </c>
      <c r="E11" s="94"/>
      <c r="F11" s="77" t="str">
        <f t="shared" si="0"/>
        <v>"[LANGUAGE SEED CONTEXT] " &amp; IF($AE$7 = "", "Language Seed Not Necessary", "You MUST strictly follow this seed context to enhance, adapt, and naturalize your tone, vocabulary, and instructional quality in " &amp; $B$6 &amp; ": " &amp; $AE$7) &amp; " | " &amp;</v>
      </c>
      <c r="G11" s="54" t="s">
        <v>224</v>
      </c>
    </row>
    <row r="12" spans="1:30">
      <c r="A12">
        <f t="shared" si="1"/>
        <v>18</v>
      </c>
      <c r="B12" s="75" t="s">
        <v>222</v>
      </c>
      <c r="C12" s="54" t="s">
        <v>218</v>
      </c>
      <c r="D12" s="94" t="s">
        <v>219</v>
      </c>
      <c r="E12" s="94"/>
      <c r="F12" s="77" t="str">
        <f t="shared" si="0"/>
        <v>"[LANGUAGE] " &amp; $B$6 &amp; " | " &amp;</v>
      </c>
      <c r="G12" s="54" t="s">
        <v>224</v>
      </c>
    </row>
    <row r="13" spans="1:30">
      <c r="A13">
        <f t="shared" si="1"/>
        <v>255</v>
      </c>
      <c r="B13" s="75" t="s">
        <v>222</v>
      </c>
      <c r="C13" s="54" t="s">
        <v>231</v>
      </c>
      <c r="D13" s="94" t="s">
        <v>776</v>
      </c>
      <c r="E13" s="94"/>
      <c r="F13" s="77" t="str">
        <f t="shared" si="0"/>
        <v>"[EXECUTIVE CONSTRAINTS] Each example MUST include: - Internal data OR dataset usage - Print key intermediate steps and the final result - MUST NOT exceed exactly " &amp; $C9 &amp; " lines of EXECUTABLE code (STRICT: Do NOT count comments or blank lines). - NEVER exceed this limit. | " &amp;</v>
      </c>
      <c r="G13" s="54" t="s">
        <v>224</v>
      </c>
    </row>
    <row r="14" spans="1:30">
      <c r="A14">
        <f t="shared" si="1"/>
        <v>361</v>
      </c>
      <c r="B14" s="75" t="s">
        <v>222</v>
      </c>
      <c r="C14" s="32" t="s">
        <v>179</v>
      </c>
      <c r="D14" s="94" t="str">
        <f>"Rule: " &amp; CHAR(34) &amp; " &amp; IF(G9=" &amp; CHAR(34) &amp; "Beginner" &amp; CHAR(34) &amp; "," &amp; CHAR(34) &amp; Variables!E10 &amp; CHAR(34) &amp; ", IF(G9=" &amp; CHAR(34) &amp; "Intermediate" &amp; CHAR(34) &amp; ", " &amp; CHAR(34) &amp; Variables!E11 &amp; CHAR(34) &amp; ", " &amp; CHAR(34) &amp; Variables!E13 &amp; CHAR(34) &amp; ")) &amp; " &amp; CHAR(34) &amp; " | " &amp; CHAR(34) &amp; " &amp;"</f>
        <v>Rule: " &amp; IF(G9="Beginner","Focus: basic function definitions, return values, positional/keyword arguments, and list/dict comprehensions.", IF(G9="Intermediate", "Integrate generator functions using yield, closures, functools utilities (partial, lru_cache), and decorators.", "Dictionaries, Tuples, Namedtuples, or TypedDicts with strict type hints")) &amp; " | " &amp;</v>
      </c>
      <c r="E14" s="94"/>
      <c r="F14" s="77" t="str">
        <f t="shared" si="0"/>
        <v>"[FUNCTION RULE] Rule: " &amp; IF(G9="Beginner","Focus: basic function definitions, return values, positional/keyword arguments, and list/dict comprehensions.", IF(G9="Intermediate", "Integrate generator functions using yield, closures, functools utilities (partial, lru_cache), and decorators.", "Dictionaries, Tuples, Namedtuples, or TypedDicts with strict type hints")) &amp; " | " &amp;</v>
      </c>
      <c r="G14" s="54" t="s">
        <v>224</v>
      </c>
    </row>
    <row r="15" spans="1:30">
      <c r="A15">
        <f t="shared" si="1"/>
        <v>0</v>
      </c>
      <c r="B15" s="83" t="s">
        <v>223</v>
      </c>
      <c r="C15" s="54" t="s">
        <v>230</v>
      </c>
      <c r="D15" s="94"/>
      <c r="E15" s="94"/>
      <c r="F15" s="77" t="str">
        <f t="shared" si="0"/>
        <v/>
      </c>
      <c r="G15" s="54" t="s">
        <v>224</v>
      </c>
    </row>
    <row r="16" spans="1:30">
      <c r="A16">
        <f t="shared" si="1"/>
        <v>0</v>
      </c>
      <c r="B16" s="83" t="s">
        <v>223</v>
      </c>
      <c r="C16" s="54" t="s">
        <v>230</v>
      </c>
      <c r="D16" s="94"/>
      <c r="E16" s="94"/>
      <c r="F16" s="77" t="str">
        <f t="shared" si="0"/>
        <v/>
      </c>
      <c r="G16" s="54" t="s">
        <v>224</v>
      </c>
    </row>
    <row r="17" spans="1:7">
      <c r="A17">
        <f t="shared" si="1"/>
        <v>0</v>
      </c>
      <c r="B17" s="83" t="s">
        <v>223</v>
      </c>
      <c r="C17" s="54" t="s">
        <v>230</v>
      </c>
      <c r="D17" s="94"/>
      <c r="E17" s="94"/>
      <c r="F17" s="77" t="str">
        <f t="shared" si="0"/>
        <v/>
      </c>
      <c r="G17" s="54" t="s">
        <v>224</v>
      </c>
    </row>
    <row r="18" spans="1:7">
      <c r="A18">
        <f t="shared" si="1"/>
        <v>298</v>
      </c>
      <c r="B18" s="83" t="s">
        <v>223</v>
      </c>
      <c r="C18" s="32" t="s">
        <v>612</v>
      </c>
      <c r="D18" s="94" t="str">
        <f>"Each example MUST: - Use " &amp; Variables!E13 &amp; " - Print steps &amp; result via " &amp; Variables!E14 &amp; " - MAX " &amp; CHAR(34) &amp; " &amp; $C9 &amp; " &amp; CHAR(34) &amp; " executable lines (comments/blanks excluded) - NEVER exceed limit. | " &amp; CHAR(34) &amp; " &amp;"</f>
        <v>Each example MUST: - Use Dictionaries, Tuples, Namedtuples, or TypedDicts with strict type hints - Print steps &amp; result via print() or logging.info()/logging.error() inside functional scopes or error handlers - MAX " &amp; $C9 &amp; " executable lines (comments/blanks excluded) - NEVER exceed limit. | " &amp;</v>
      </c>
      <c r="E18" s="94"/>
      <c r="F18" s="77" t="str">
        <f t="shared" si="0"/>
        <v>"[CODE_CONSTRAINTS_RULE] Each example MUST: - Use Dictionaries, Tuples, Namedtuples, or TypedDicts with strict type hints - Print steps &amp; result via print() or logging.info()/logging.error() inside functional scopes or error handlers - MAX " &amp; $C9 &amp; " executable lines (comments/blanks excluded) - NEVER exceed limit. | " &amp;</v>
      </c>
      <c r="G18" s="54" t="s">
        <v>224</v>
      </c>
    </row>
    <row r="19" spans="1:7">
      <c r="A19">
        <f t="shared" si="1"/>
        <v>213</v>
      </c>
      <c r="B19" s="84" t="s">
        <v>223</v>
      </c>
      <c r="C19" s="32" t="s">
        <v>602</v>
      </c>
      <c r="D19" s="94" t="str">
        <f>"Use " &amp; Variables!E15 &amp; " and gracefully handle " &amp; Variables!E16 &amp; " when applicable. | " &amp; CHAR(34) &amp; " &amp;"</f>
        <v>Use pathlib.Path, open() with context managers, or sys.stdin/sys.stdout streams and gracefully handle Typed Tuples like Tuple[bool, str], Namedtuples, or Dict[str, Any] with type annotations when applicable. | " &amp;</v>
      </c>
      <c r="E19" s="94"/>
      <c r="F19" s="77" t="str">
        <f t="shared" si="0"/>
        <v>"[I_O_PARADIGM] Use pathlib.Path, open() with context managers, or sys.stdin/sys.stdout streams and gracefully handle Typed Tuples like Tuple[bool, str], Namedtuples, or Dict[str, Any] with type annotations when applicable. | " &amp;</v>
      </c>
      <c r="G19" s="54" t="s">
        <v>224</v>
      </c>
    </row>
    <row r="20" spans="1:7">
      <c r="A20">
        <f t="shared" si="1"/>
        <v>214</v>
      </c>
      <c r="B20" s="84" t="s">
        <v>223</v>
      </c>
      <c r="C20" s="32" t="s">
        <v>603</v>
      </c>
      <c r="D20" s="94" t="str">
        <f>"If using external packages, use " &amp; Variables!E17 &amp; " at the top of the code block. Assume no project configuration file exists. | " &amp; CHAR(34) &amp; " &amp;"</f>
        <v>If using external packages, use Standard requirements.txt file or inline pip install comments (# requirements: package_name&gt;=version) at the top of the code block. Assume no project configuration file exists. | " &amp;</v>
      </c>
      <c r="E20" s="94"/>
      <c r="F20" s="77" t="str">
        <f t="shared" si="0"/>
        <v>"[INLINE_PACKAGE_MANAGER] If using external packages, use Standard requirements.txt file or inline pip install comments (# requirements: package_name&gt;=version) at the top of the code block. Assume no project configuration file exists. | " &amp;</v>
      </c>
      <c r="G20" s="54" t="s">
        <v>224</v>
      </c>
    </row>
    <row r="21" spans="1:7">
      <c r="A21">
        <f t="shared" si="1"/>
        <v>474</v>
      </c>
      <c r="B21" s="83" t="s">
        <v>223</v>
      </c>
      <c r="C21" s="32" t="s">
        <v>604</v>
      </c>
      <c r="D21" s="94" t="str">
        <f>"For " &amp; Variables!E18 &amp; ", NEVER use " &amp; Variables!E19 &amp; ". Use " &amp; Variables!E20 &amp; ", as " &amp; Variables!E19 &amp; " fail in standalone execution environments. | " &amp; CHAR(34) &amp; " &amp;"</f>
        <v>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 &amp;</v>
      </c>
      <c r="E21" s="94"/>
      <c r="F21" s="77" t="str">
        <f t="shared" si="0"/>
        <v>"[TESTING_FRAMEWORK_LIMITS]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 &amp;</v>
      </c>
      <c r="G21" s="54" t="s">
        <v>224</v>
      </c>
    </row>
    <row r="22" spans="1:7">
      <c r="A22">
        <f t="shared" si="1"/>
        <v>169</v>
      </c>
      <c r="B22" s="84" t="s">
        <v>271</v>
      </c>
      <c r="C22" s="54" t="s">
        <v>180</v>
      </c>
      <c r="D22" s="94" t="s">
        <v>715</v>
      </c>
      <c r="E22" s="94"/>
      <c r="F22" s="77" t="str">
        <f t="shared" si="0"/>
        <v>"[CODE QUALITY RULE] Code MUST be clean, readable, educational, executable and produce correct results. Safely handle missing/malformed/inconsistent data, using pattern matching if possible. | " &amp;</v>
      </c>
      <c r="G22" s="54" t="s">
        <v>224</v>
      </c>
    </row>
    <row r="23" spans="1:7">
      <c r="A23">
        <f t="shared" si="1"/>
        <v>159</v>
      </c>
      <c r="B23" s="84" t="s">
        <v>271</v>
      </c>
      <c r="C23" s="54" t="s">
        <v>596</v>
      </c>
      <c r="D23" s="94" t="s">
        <v>716</v>
      </c>
      <c r="E23" s="94"/>
      <c r="F23" s="77" t="str">
        <f t="shared" si="0"/>
        <v>"[COMMENT CONSTRAINTS] Code MUST include enough inline comments explaining WHAT it does AND WHY. Density: Beginner=high, Intermediate=medium, Advanced=lower but present in key logic. | " &amp;</v>
      </c>
      <c r="G23" s="54" t="s">
        <v>224</v>
      </c>
    </row>
    <row r="24" spans="1:7">
      <c r="A24">
        <f t="shared" si="1"/>
        <v>39</v>
      </c>
      <c r="B24" s="84" t="s">
        <v>271</v>
      </c>
      <c r="C24" s="54" t="s">
        <v>207</v>
      </c>
      <c r="D24" s="94" t="s">
        <v>280</v>
      </c>
      <c r="E24" s="94"/>
      <c r="F24" s="77" t="str">
        <f t="shared" si="0"/>
        <v>"[FORMAT RULE] Only valid markdown code blocks allowed | " &amp;</v>
      </c>
      <c r="G24" s="54" t="s">
        <v>224</v>
      </c>
    </row>
    <row r="25" spans="1:7">
      <c r="A25">
        <f t="shared" si="1"/>
        <v>114</v>
      </c>
      <c r="B25" s="84" t="s">
        <v>271</v>
      </c>
      <c r="C25" s="54" t="s">
        <v>209</v>
      </c>
      <c r="D25" s="94" t="s">
        <v>599</v>
      </c>
      <c r="E25" s="94"/>
      <c r="F25" s="77" t="str">
        <f t="shared" si="0"/>
        <v>"[LANGUAGE TAG RULE] ALWAYS label markdown code blocks with the correct underlying programming language (e.g., elixir, javascript, sql) | " &amp;</v>
      </c>
      <c r="G25" s="54" t="s">
        <v>224</v>
      </c>
    </row>
    <row r="26" spans="1:7">
      <c r="A26">
        <f t="shared" si="1"/>
        <v>324</v>
      </c>
      <c r="B26" s="84" t="s">
        <v>271</v>
      </c>
      <c r="C26" s="54" t="s">
        <v>215</v>
      </c>
      <c r="D26" s="94" t="s">
        <v>581</v>
      </c>
      <c r="E26" s="94"/>
      <c r="F26" s="77" t="str">
        <f t="shared" si="0"/>
        <v>"[HEADER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v>
      </c>
      <c r="G26" s="54" t="s">
        <v>224</v>
      </c>
    </row>
    <row r="27" spans="1:7">
      <c r="A27">
        <f t="shared" si="1"/>
        <v>451</v>
      </c>
      <c r="B27" s="84" t="s">
        <v>271</v>
      </c>
      <c r="C27" s="54" t="s">
        <v>187</v>
      </c>
      <c r="D27" s="94" t="s">
        <v>713</v>
      </c>
      <c r="E27" s="94"/>
      <c r="F27" s="77" t="str">
        <f t="shared" si="0"/>
        <v>"[INTRO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v>
      </c>
      <c r="G27" s="54" t="s">
        <v>224</v>
      </c>
    </row>
    <row r="28" spans="1:7">
      <c r="A28">
        <f t="shared" si="1"/>
        <v>36</v>
      </c>
      <c r="B28" s="84" t="s">
        <v>271</v>
      </c>
      <c r="C28" s="54" t="s">
        <v>170</v>
      </c>
      <c r="D28" s="94" t="s">
        <v>171</v>
      </c>
      <c r="E28" s="94"/>
      <c r="F28" s="77" t="str">
        <f t="shared" si="0"/>
        <v>"[PERSONA RULE] Act as a friendly, clear tutor | " &amp;</v>
      </c>
      <c r="G28" s="54" t="s">
        <v>224</v>
      </c>
    </row>
    <row r="29" spans="1:7">
      <c r="A29">
        <f t="shared" si="1"/>
        <v>67</v>
      </c>
      <c r="B29" s="84" t="s">
        <v>271</v>
      </c>
      <c r="C29" s="54" t="s">
        <v>162</v>
      </c>
      <c r="D29" s="94" t="s">
        <v>163</v>
      </c>
      <c r="E29" s="94"/>
      <c r="F29" s="77" t="str">
        <f t="shared" si="0"/>
        <v>"[TASK] Teach and explain concepts clearly with correct code examples | " &amp;</v>
      </c>
      <c r="G29" s="54" t="s">
        <v>224</v>
      </c>
    </row>
    <row r="30" spans="1:7">
      <c r="A30">
        <f t="shared" si="1"/>
        <v>545</v>
      </c>
      <c r="B30" s="84" t="s">
        <v>271</v>
      </c>
      <c r="C30" s="54" t="s">
        <v>177</v>
      </c>
      <c r="D30" s="94" t="s">
        <v>714</v>
      </c>
      <c r="E30" s="94"/>
      <c r="F30" s="77" t="str">
        <f t="shared" si="0"/>
        <v>"[OUTPUT CONTRACT] 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v>
      </c>
      <c r="G30" s="54" t="s">
        <v>224</v>
      </c>
    </row>
    <row r="31" spans="1:7">
      <c r="A31">
        <f t="shared" si="1"/>
        <v>101</v>
      </c>
      <c r="B31" s="84" t="s">
        <v>271</v>
      </c>
      <c r="C31" s="54" t="s">
        <v>180</v>
      </c>
      <c r="D31" s="94" t="s">
        <v>227</v>
      </c>
      <c r="E31" s="94"/>
      <c r="F31" s="77" t="str">
        <f t="shared" si="0"/>
        <v>"[CODE QUALITY RULE] Code MUST be clean, readable, educational, executable, and produce correct and accurate results | " &amp;</v>
      </c>
      <c r="G31" s="54" t="s">
        <v>224</v>
      </c>
    </row>
    <row r="32" spans="1:7">
      <c r="A32">
        <f t="shared" si="1"/>
        <v>96</v>
      </c>
      <c r="B32" s="84" t="s">
        <v>271</v>
      </c>
      <c r="C32" s="54" t="s">
        <v>181</v>
      </c>
      <c r="D32" s="94" t="s">
        <v>182</v>
      </c>
      <c r="E32" s="94"/>
      <c r="F32" s="77" t="str">
        <f t="shared" si="0"/>
        <v>"[COMMENT RULE - STRICT] Code MUST include sufficient inline comments explaining important lines and logical blocks | " &amp;</v>
      </c>
      <c r="G32" s="54" t="s">
        <v>224</v>
      </c>
    </row>
    <row r="33" spans="1:7">
      <c r="A33">
        <f t="shared" si="1"/>
        <v>77</v>
      </c>
      <c r="B33" s="84" t="s">
        <v>271</v>
      </c>
      <c r="C33" s="54" t="s">
        <v>183</v>
      </c>
      <c r="D33" s="94" t="s">
        <v>184</v>
      </c>
      <c r="E33" s="94"/>
      <c r="F33" s="77" t="str">
        <f t="shared" si="0"/>
        <v>"[COMMENT DEPTH RULE] Comments MUST explain WHAT the code does AND WHY it is written that way | " &amp;</v>
      </c>
      <c r="G33" s="54" t="s">
        <v>224</v>
      </c>
    </row>
    <row r="34" spans="1:7">
      <c r="A34">
        <f t="shared" si="1"/>
        <v>101</v>
      </c>
      <c r="B34" s="84" t="s">
        <v>271</v>
      </c>
      <c r="C34" s="54" t="s">
        <v>197</v>
      </c>
      <c r="D34" s="94" t="s">
        <v>198</v>
      </c>
      <c r="E34" s="94"/>
      <c r="F34" s="77" t="str">
        <f t="shared" si="0"/>
        <v>"[EXPLANATION RULE] Explanation within 'Mini-Lección' MUST explain WHAT, WHY, HOW, and real-world context concisely | " &amp;</v>
      </c>
      <c r="G34" s="54" t="s">
        <v>224</v>
      </c>
    </row>
    <row r="35" spans="1:7">
      <c r="A35">
        <f t="shared" si="1"/>
        <v>47</v>
      </c>
      <c r="B35" s="84" t="s">
        <v>271</v>
      </c>
      <c r="C35" s="54" t="s">
        <v>199</v>
      </c>
      <c r="D35" s="94" t="s">
        <v>200</v>
      </c>
      <c r="E35" s="94"/>
      <c r="F35" s="77" t="str">
        <f t="shared" si="0"/>
        <v>"[LEARNING RULE] Each example MUST highlight a key insight | " &amp;</v>
      </c>
      <c r="G35" s="54" t="s">
        <v>224</v>
      </c>
    </row>
    <row r="36" spans="1:7">
      <c r="A36">
        <f t="shared" si="1"/>
        <v>53</v>
      </c>
      <c r="B36" s="84" t="s">
        <v>271</v>
      </c>
      <c r="C36" s="54" t="s">
        <v>201</v>
      </c>
      <c r="D36" s="94" t="s">
        <v>202</v>
      </c>
      <c r="E36" s="94"/>
      <c r="F36" s="77" t="str">
        <f t="shared" si="0"/>
        <v>"[COMMON MISTAKES RULE] Include a short mistake note after each example | " &amp;</v>
      </c>
      <c r="G36" s="54" t="s">
        <v>224</v>
      </c>
    </row>
    <row r="37" spans="1:7">
      <c r="A37">
        <f t="shared" si="1"/>
        <v>63</v>
      </c>
      <c r="B37" s="84" t="s">
        <v>271</v>
      </c>
      <c r="C37" s="54" t="s">
        <v>203</v>
      </c>
      <c r="D37" s="94" t="s">
        <v>204</v>
      </c>
      <c r="E37" s="94"/>
      <c r="F37" s="77" t="str">
        <f t="shared" si="0"/>
        <v>"[MINI CHALLENGE RULE] Include a short reinforcement question after each example | " &amp;</v>
      </c>
      <c r="G37" s="54" t="s">
        <v>224</v>
      </c>
    </row>
    <row r="38" spans="1:7">
      <c r="A38">
        <f t="shared" si="1"/>
        <v>51</v>
      </c>
      <c r="B38" s="84" t="s">
        <v>271</v>
      </c>
      <c r="C38" s="54" t="s">
        <v>205</v>
      </c>
      <c r="D38" s="94" t="s">
        <v>206</v>
      </c>
      <c r="E38" s="94"/>
      <c r="F38" s="77" t="str">
        <f t="shared" si="0"/>
        <v>"[REAL WORLD RULE] Connect each example to a real-world use case | " &amp;</v>
      </c>
      <c r="G38" s="54" t="s">
        <v>224</v>
      </c>
    </row>
    <row r="39" spans="1:7">
      <c r="A39">
        <f t="shared" si="1"/>
        <v>45</v>
      </c>
      <c r="B39" s="84" t="s">
        <v>271</v>
      </c>
      <c r="C39" s="54" t="s">
        <v>207</v>
      </c>
      <c r="D39" s="94" t="s">
        <v>208</v>
      </c>
      <c r="E39" s="94"/>
      <c r="F39" s="77" t="str">
        <f t="shared" si="0"/>
        <v>"[FORMAT RULE] Only valid markdown code blocks allowed | " &amp;</v>
      </c>
      <c r="G39" s="54" t="s">
        <v>224</v>
      </c>
    </row>
    <row r="40" spans="1:7">
      <c r="A40">
        <f t="shared" si="1"/>
        <v>120</v>
      </c>
      <c r="B40" s="84" t="s">
        <v>271</v>
      </c>
      <c r="C40" s="54" t="s">
        <v>209</v>
      </c>
      <c r="D40" s="94" t="s">
        <v>210</v>
      </c>
      <c r="E40" s="94"/>
      <c r="F40" s="77" t="str">
        <f t="shared" si="0"/>
        <v>"[LANGUAGE TAG RULE] ALWAYS label markdown code blocks with the correct underlying programming language (e.g., python, javascript, sql) | " &amp;</v>
      </c>
      <c r="G40" s="54" t="s">
        <v>224</v>
      </c>
    </row>
    <row r="41" spans="1:7">
      <c r="A41">
        <f t="shared" si="1"/>
        <v>58</v>
      </c>
      <c r="B41" s="84" t="s">
        <v>271</v>
      </c>
      <c r="C41" s="54" t="s">
        <v>212</v>
      </c>
      <c r="D41" s="94" t="s">
        <v>213</v>
      </c>
      <c r="E41" s="94"/>
      <c r="F41" s="77" t="str">
        <f t="shared" si="0"/>
        <v>"[CONSISTENCY RULE] All examples MUST have similar complexity and length | " &amp;</v>
      </c>
      <c r="G41" s="54" t="s">
        <v>224</v>
      </c>
    </row>
    <row r="42" spans="1:7">
      <c r="A42">
        <f t="shared" si="1"/>
        <v>75</v>
      </c>
      <c r="B42" s="84" t="s">
        <v>271</v>
      </c>
      <c r="C42" s="54" t="s">
        <v>214</v>
      </c>
      <c r="D42" s="94" t="s">
        <v>232</v>
      </c>
      <c r="E42" s="94"/>
      <c r="F42" s="77" t="str">
        <f t="shared" si="0"/>
        <v>"[FINAL OUTPUT RULE] Include Key Takeaway section at the end | " &amp; IF(AJ9&lt;&gt;"", AJ9, "") &amp;" | " &amp;</v>
      </c>
      <c r="G42" s="54" t="s">
        <v>224</v>
      </c>
    </row>
    <row r="43" spans="1:7">
      <c r="A43">
        <f t="shared" si="1"/>
        <v>422</v>
      </c>
      <c r="B43" s="84" t="s">
        <v>271</v>
      </c>
      <c r="C43" s="54" t="s">
        <v>174</v>
      </c>
      <c r="D43" s="94" t="s">
        <v>717</v>
      </c>
      <c r="E43" s="94"/>
      <c r="F43" s="77" t="str">
        <f t="shared" si="0"/>
        <v>"[DATA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v>
      </c>
      <c r="G43" s="54" t="s">
        <v>224</v>
      </c>
    </row>
    <row r="44" spans="1:7">
      <c r="A44">
        <f t="shared" si="1"/>
        <v>152</v>
      </c>
      <c r="B44" s="84" t="s">
        <v>271</v>
      </c>
      <c r="C44" s="54" t="s">
        <v>175</v>
      </c>
      <c r="D44" s="94" t="s">
        <v>176</v>
      </c>
      <c r="E44" s="94"/>
      <c r="F44" s="77" t="str">
        <f t="shared" si="0"/>
        <v>"[DATA SUMMARY FORMAT RULE] When a dataset is present, you MUST display IMMEDIATELY AFTER THE HEADER: Dataset Summary: - File Type: - Columns / Fields: - Data Types: - Notes: | " &amp;</v>
      </c>
      <c r="G44" s="54" t="s">
        <v>224</v>
      </c>
    </row>
    <row r="45" spans="1:7">
      <c r="A45">
        <f t="shared" si="1"/>
        <v>28</v>
      </c>
      <c r="B45" s="84" t="s">
        <v>271</v>
      </c>
      <c r="C45" s="54" t="s">
        <v>192</v>
      </c>
      <c r="D45" s="94" t="s">
        <v>193</v>
      </c>
      <c r="E45" s="94"/>
      <c r="F45" s="77" t="str">
        <f t="shared" si="0"/>
        <v>"[DATA CONSISTENCY RULE] Respect dataset schema | " &amp;</v>
      </c>
      <c r="G45" s="54" t="s">
        <v>224</v>
      </c>
    </row>
    <row r="46" spans="1:7">
      <c r="A46">
        <f t="shared" si="1"/>
        <v>87</v>
      </c>
      <c r="B46" s="84" t="s">
        <v>271</v>
      </c>
      <c r="C46" s="54" t="s">
        <v>185</v>
      </c>
      <c r="D46" s="94" t="s">
        <v>186</v>
      </c>
      <c r="E46" s="94"/>
      <c r="F46" s="77" t="str">
        <f t="shared" si="0"/>
        <v>"[COMMENT DENSITY RULE] Beginner = high, Intermediate = medium, Advanced = lower but present in key logic | " &amp;</v>
      </c>
      <c r="G46" s="54" t="s">
        <v>224</v>
      </c>
    </row>
    <row r="47" spans="1:7">
      <c r="A47">
        <f t="shared" si="1"/>
        <v>33</v>
      </c>
      <c r="B47" s="84" t="s">
        <v>271</v>
      </c>
      <c r="C47" s="54" t="s">
        <v>195</v>
      </c>
      <c r="D47" s="94" t="s">
        <v>196</v>
      </c>
      <c r="E47" s="94"/>
      <c r="F47" s="77" t="str">
        <f t="shared" si="0"/>
        <v>"[DIFFICULTY RULE] Complexity MUST match level | " &amp;</v>
      </c>
      <c r="G47" s="54" t="s">
        <v>224</v>
      </c>
    </row>
    <row r="48" spans="1:7">
      <c r="A48">
        <f t="shared" si="1"/>
        <v>78</v>
      </c>
      <c r="B48" s="84" t="s">
        <v>271</v>
      </c>
      <c r="C48" s="54" t="s">
        <v>216</v>
      </c>
      <c r="D48" s="94" t="s">
        <v>217</v>
      </c>
      <c r="E48" s="94"/>
      <c r="F48" s="77" t="str">
        <f t="shared" si="0"/>
        <v>"[OUTPUT] Only header, introduction, examples, outputs, notes, summary, and footer | " &amp;</v>
      </c>
      <c r="G48" s="54" t="s">
        <v>224</v>
      </c>
    </row>
    <row r="49" spans="1:7">
      <c r="A49">
        <f t="shared" si="1"/>
        <v>166</v>
      </c>
      <c r="B49" s="84" t="s">
        <v>271</v>
      </c>
      <c r="C49" s="54" t="s">
        <v>220</v>
      </c>
      <c r="D49" s="94" t="s">
        <v>233</v>
      </c>
      <c r="E49" s="94"/>
      <c r="F49" s="77" t="str">
        <f>IF(D49="","",""""&amp;C49&amp;" "&amp;IF(C49="[FOOTER RULE - STRICT]",D49,IF(RIGHT(D49,6)=" | "&amp;CHAR(34)&amp;" &amp;",D49,D49&amp;" | "&amp;CHAR(34)&amp;" &amp;")))</f>
        <v>"[FOOTER RULE - STRICT] End your entire response EXACTLY with this markdown string (ensure all code blocks are closed before it): ⚡ *Coding5s System — Learn Programming by Writing Code* | ",</v>
      </c>
      <c r="G49" s="54" t="s">
        <v>224</v>
      </c>
    </row>
    <row r="50" spans="1:7">
      <c r="B50" s="84"/>
      <c r="C50" s="54"/>
      <c r="D50" s="94"/>
      <c r="E50" s="94"/>
      <c r="F50" s="88" t="str">
        <f>"IF(H9=""PROJECT"", Z9, """"))"</f>
        <v>IF(H9="PROJECT", Z9, ""))</v>
      </c>
      <c r="G50" s="54"/>
    </row>
    <row r="51" spans="1:7">
      <c r="B51" s="74"/>
      <c r="C51" s="74"/>
      <c r="F51" s="86"/>
    </row>
    <row r="52" spans="1:7">
      <c r="B52" s="74"/>
      <c r="C52" s="74"/>
      <c r="F52" s="86"/>
    </row>
    <row r="53" spans="1:7" ht="36">
      <c r="B53" s="79" t="s">
        <v>447</v>
      </c>
      <c r="C53" s="74"/>
      <c r="F53" s="86"/>
    </row>
    <row r="54" spans="1:7">
      <c r="B54" s="76" t="s">
        <v>264</v>
      </c>
      <c r="C54" s="76" t="s">
        <v>579</v>
      </c>
      <c r="D54" s="76" t="s">
        <v>580</v>
      </c>
      <c r="E54" s="76"/>
      <c r="F54" s="88" t="s">
        <v>265</v>
      </c>
      <c r="G54" s="32" t="s">
        <v>224</v>
      </c>
    </row>
    <row r="55" spans="1:7">
      <c r="B55" s="54" t="s">
        <v>222</v>
      </c>
      <c r="C55" s="54" t="s">
        <v>162</v>
      </c>
      <c r="D55" s="94" t="s">
        <v>268</v>
      </c>
      <c r="E55" s="94"/>
      <c r="F55" s="77" t="str">
        <f>IF(D55="","",""""&amp;C55&amp;" "&amp;IF(C55="[FOOTER RULE - STRICT]",D55,IF(RIGHT(D55,6)=" | "&amp;CHAR(34)&amp;" &amp;",D55,D55&amp;" | "&amp;CHAR(34)&amp;" &amp;")))</f>
        <v>"[TASK] Teach through a practical " &amp; $I$2 &amp; " - " &amp; $I$3 &amp; " project following the micro-learning methodology, acting as a supportive tutor, creating a project about  " &amp; I9 &amp; " | " &amp;</v>
      </c>
      <c r="G55" s="32" t="s">
        <v>224</v>
      </c>
    </row>
    <row r="56" spans="1:7">
      <c r="B56" s="54" t="s">
        <v>222</v>
      </c>
      <c r="C56" s="54" t="s">
        <v>253</v>
      </c>
      <c r="D56" s="94" t="s">
        <v>777</v>
      </c>
      <c r="E56" s="94"/>
      <c r="F56" s="77" t="str">
        <f t="shared" ref="F56:F79" si="2">IF(D56="","",""""&amp;C56&amp;" "&amp;IF(C56="[FOOTER RULE - STRICT]",D56,IF(RIGHT(D56,6)=" | "&amp;CHAR(34)&amp;" &amp;",D56,D56&amp;" | "&amp;CHAR(34)&amp;" &amp;")))</f>
        <v>"[TOPICS USED] " &amp; A9 &amp; " | " &amp;</v>
      </c>
      <c r="G56" s="32" t="s">
        <v>224</v>
      </c>
    </row>
    <row r="57" spans="1:7">
      <c r="B57" s="54" t="s">
        <v>222</v>
      </c>
      <c r="C57" s="54" t="s">
        <v>166</v>
      </c>
      <c r="D57" s="94" t="s">
        <v>167</v>
      </c>
      <c r="E57" s="94"/>
      <c r="F57" s="77" t="str">
        <f t="shared" si="2"/>
        <v>"[LEVEL] " &amp; G9 &amp; " | " &amp;</v>
      </c>
      <c r="G57" s="32" t="s">
        <v>224</v>
      </c>
    </row>
    <row r="58" spans="1:7">
      <c r="B58" s="54" t="s">
        <v>222</v>
      </c>
      <c r="C58" s="54" t="s">
        <v>229</v>
      </c>
      <c r="D58" s="94" t="s">
        <v>267</v>
      </c>
      <c r="E58" s="94"/>
      <c r="F58" s="77" t="str">
        <f t="shared" si="2"/>
        <v>"[LIBRARY BEING LEARNED] " &amp; $I$3 &amp; " | " &amp;</v>
      </c>
      <c r="G58" s="32" t="s">
        <v>224</v>
      </c>
    </row>
    <row r="59" spans="1:7">
      <c r="B59" s="75" t="s">
        <v>222</v>
      </c>
      <c r="C59" s="54" t="s">
        <v>225</v>
      </c>
      <c r="D59" s="94"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59" s="94"/>
      <c r="F59" s="77"/>
      <c r="G59" s="32"/>
    </row>
    <row r="60" spans="1:7">
      <c r="B60" s="54" t="s">
        <v>222</v>
      </c>
      <c r="C60" s="54" t="s">
        <v>172</v>
      </c>
      <c r="D60" s="94" t="s">
        <v>254</v>
      </c>
      <c r="E60" s="94"/>
      <c r="F60" s="7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G60" s="32" t="s">
        <v>224</v>
      </c>
    </row>
    <row r="61" spans="1:7">
      <c r="B61" s="54" t="s">
        <v>222</v>
      </c>
      <c r="C61" s="54" t="s">
        <v>491</v>
      </c>
      <c r="D61" s="94" t="s">
        <v>483</v>
      </c>
      <c r="E61" s="94"/>
      <c r="F61" s="77" t="str">
        <f t="shared" si="2"/>
        <v>"[LANGUAGE SEED CONTEXT] " &amp; IF($AE$7 = "", "Language Seed Not Necessary", "You MUST strictly follow this seed context to enhance, adapt, and naturalize your tone, vocabulary, and instructional quality in " &amp; $B$6 &amp; ": " &amp; $AE$7) &amp; " | " &amp;</v>
      </c>
      <c r="G61" s="32" t="s">
        <v>224</v>
      </c>
    </row>
    <row r="62" spans="1:7">
      <c r="B62" s="54" t="s">
        <v>222</v>
      </c>
      <c r="C62" s="54" t="s">
        <v>218</v>
      </c>
      <c r="D62" s="94" t="s">
        <v>219</v>
      </c>
      <c r="E62" s="94"/>
      <c r="F62" s="77" t="str">
        <f t="shared" si="2"/>
        <v>"[LANGUAGE] " &amp; $B$6 &amp; " | " &amp;</v>
      </c>
      <c r="G62" s="32" t="s">
        <v>224</v>
      </c>
    </row>
    <row r="63" spans="1:7">
      <c r="B63" s="54" t="s">
        <v>223</v>
      </c>
      <c r="C63" s="54" t="s">
        <v>230</v>
      </c>
      <c r="D63" s="94"/>
      <c r="E63" s="94"/>
      <c r="F63" s="77" t="str">
        <f t="shared" ref="F63:F64" si="3">IF(D63="","",""""&amp;C63&amp;" "&amp;IF(C63="[FOOTER RULE - STRICT]",D63,IF(RIGHT(D63,6)=" | "&amp;CHAR(34)&amp;" &amp;",D63,D63&amp;" | "&amp;CHAR(34)&amp;" &amp;")))</f>
        <v/>
      </c>
      <c r="G63" s="32" t="s">
        <v>224</v>
      </c>
    </row>
    <row r="64" spans="1:7">
      <c r="B64" s="54" t="s">
        <v>223</v>
      </c>
      <c r="C64" s="54" t="s">
        <v>230</v>
      </c>
      <c r="D64" s="94"/>
      <c r="E64" s="94"/>
      <c r="F64" s="77" t="str">
        <f t="shared" si="3"/>
        <v/>
      </c>
      <c r="G64" s="32" t="s">
        <v>224</v>
      </c>
    </row>
    <row r="65" spans="2:7">
      <c r="B65" s="54" t="s">
        <v>223</v>
      </c>
      <c r="C65" s="54" t="s">
        <v>603</v>
      </c>
      <c r="D65" s="94" t="str">
        <f>"If the project requires an external package, you MUST use " &amp; Variables!E17 &amp; " at the top. | " &amp; CHAR(34) &amp; " &amp;"</f>
        <v>If the project requires an external package, you MUST use Standard requirements.txt file or inline pip install comments (# requirements: package_name&gt;=version) at the top. | " &amp;</v>
      </c>
      <c r="E65" s="94"/>
      <c r="F65" s="77" t="str">
        <f t="shared" si="2"/>
        <v>"[INLINE_PACKAGE_MANAGER] If the project requires an external package, you MUST use Standard requirements.txt file or inline pip install comments (# requirements: package_name&gt;=version) at the top. | " &amp;</v>
      </c>
      <c r="G65" s="32" t="s">
        <v>224</v>
      </c>
    </row>
    <row r="66" spans="2:7">
      <c r="B66" s="54" t="s">
        <v>223</v>
      </c>
      <c r="C66" s="54" t="s">
        <v>624</v>
      </c>
      <c r="D66" s="94" t="str">
        <f>"Rule: " &amp; IF(G9="Beginner", Variables!E10, IF(G9="Intermediate", Variables!E11, Variables!E12)) &amp; " | " &amp; CHAR(34) &amp; " &amp;"</f>
        <v>Rule: Build scripts: async/await coroutines with asyncio, subprocess execution, signal trapping, and custom context managers. | " &amp;</v>
      </c>
      <c r="E66" s="94"/>
      <c r="F66" s="77" t="str">
        <f t="shared" si="2"/>
        <v>"[SCOPE_ARCHITECTURE_RULE] Rule: Build scripts: async/await coroutines with asyncio, subprocess execution, signal trapping, and custom context managers. | " &amp;</v>
      </c>
      <c r="G66" s="32" t="s">
        <v>224</v>
      </c>
    </row>
    <row r="67" spans="2:7">
      <c r="B67" s="54" t="s">
        <v>223</v>
      </c>
      <c r="C67" s="54" t="s">
        <v>625</v>
      </c>
      <c r="D67" s="94" t="str">
        <f>"1. Use " &amp; Variables!E21 &amp; " to map code to the planning phase. 2. Use " &amp; Variables!E22 &amp; ". 3. CRITICAL: NO comment or docstring line may exceed " &amp; Variables!E23 &amp; " in width. | " &amp; CHAR(34) &amp; " &amp;"</f>
        <v>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 &amp;</v>
      </c>
      <c r="E67" s="94"/>
      <c r="F67" s="77" t="str">
        <f t="shared" si="2"/>
        <v>"[VISUAL_ARCHITECTURE_COMMENTS]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 &amp;</v>
      </c>
      <c r="G67" s="32" t="s">
        <v>224</v>
      </c>
    </row>
    <row r="68" spans="2:7">
      <c r="B68" s="84" t="s">
        <v>271</v>
      </c>
      <c r="C68" s="54" t="s">
        <v>190</v>
      </c>
      <c r="D68" s="94" t="s">
        <v>419</v>
      </c>
      <c r="E68" s="94"/>
      <c r="F68" s="77" t="str">
        <f t="shared" si="2"/>
        <v>"[DATA ROBUSTNESS RULE] Handle real-world data safely | " &amp;</v>
      </c>
      <c r="G68" s="32" t="s">
        <v>224</v>
      </c>
    </row>
    <row r="69" spans="2:7">
      <c r="B69" s="84" t="s">
        <v>271</v>
      </c>
      <c r="C69" s="54" t="s">
        <v>178</v>
      </c>
      <c r="D69" s="94" t="s">
        <v>600</v>
      </c>
      <c r="E69" s="94"/>
      <c r="F69" s="77" t="str">
        <f t="shared" si="2"/>
        <v>"[CODE CONSTRAINTS] MUST be between " &amp; IF(G9="Beginner", "25–40", IF(G9="Intermediate", "30–60", "40–100")) &amp; " lines (STRICT) - Multi-step flow | " &amp;</v>
      </c>
      <c r="G69" s="32" t="s">
        <v>224</v>
      </c>
    </row>
    <row r="70" spans="2:7">
      <c r="B70" s="84" t="s">
        <v>271</v>
      </c>
      <c r="C70" s="54" t="s">
        <v>194</v>
      </c>
      <c r="D70" s="94" t="s">
        <v>425</v>
      </c>
      <c r="E70" s="94"/>
      <c r="F70" s="77" t="str">
        <f t="shared" si="2"/>
        <v>"[SUPPORT FILES RULE] Include config files before code if needed | " &amp;</v>
      </c>
      <c r="G70" s="32" t="s">
        <v>224</v>
      </c>
    </row>
    <row r="71" spans="2:7">
      <c r="B71" s="84" t="s">
        <v>271</v>
      </c>
      <c r="C71" s="54" t="s">
        <v>174</v>
      </c>
      <c r="D71" s="94" t="s">
        <v>255</v>
      </c>
      <c r="E71" s="94"/>
      <c r="F71"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G71" s="32" t="s">
        <v>224</v>
      </c>
    </row>
    <row r="72" spans="2:7">
      <c r="B72" s="84" t="s">
        <v>271</v>
      </c>
      <c r="C72" s="54" t="s">
        <v>177</v>
      </c>
      <c r="D72" s="94" t="s">
        <v>256</v>
      </c>
      <c r="E72" s="94"/>
      <c r="F72" s="77" t="str">
        <f t="shared" si="2"/>
        <v>"[OUTPUT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v>
      </c>
      <c r="G72" s="32" t="s">
        <v>224</v>
      </c>
    </row>
    <row r="73" spans="2:7">
      <c r="B73" s="84" t="s">
        <v>271</v>
      </c>
      <c r="C73" s="54" t="s">
        <v>180</v>
      </c>
      <c r="D73" s="94" t="s">
        <v>257</v>
      </c>
      <c r="E73" s="94"/>
      <c r="F73" s="77" t="str">
        <f t="shared" si="2"/>
        <v>"[CODE QUALITY RULE] Code MUST be clean, readable, correct, and educational | " &amp;</v>
      </c>
      <c r="G73" s="32" t="s">
        <v>224</v>
      </c>
    </row>
    <row r="74" spans="2:7">
      <c r="B74" s="84" t="s">
        <v>271</v>
      </c>
      <c r="C74" s="54" t="s">
        <v>207</v>
      </c>
      <c r="D74" s="94" t="s">
        <v>258</v>
      </c>
      <c r="E74" s="94"/>
      <c r="F74" s="77" t="str">
        <f t="shared" si="2"/>
        <v>"[FORMAT RULE] Only markdown code blocks allowed | " &amp;</v>
      </c>
      <c r="G74" s="32" t="s">
        <v>224</v>
      </c>
    </row>
    <row r="75" spans="2:7">
      <c r="B75" s="84" t="s">
        <v>271</v>
      </c>
      <c r="C75" s="54" t="s">
        <v>259</v>
      </c>
      <c r="D75" s="94" t="s">
        <v>260</v>
      </c>
      <c r="E75" s="94"/>
      <c r="F75" s="77" t="str">
        <f t="shared" si="2"/>
        <v>"[EXECUTION RULE] Code MUST run and produce correct output | " &amp;</v>
      </c>
      <c r="G75" s="32" t="s">
        <v>224</v>
      </c>
    </row>
    <row r="76" spans="2:7">
      <c r="B76" s="84" t="s">
        <v>271</v>
      </c>
      <c r="C76" s="54" t="s">
        <v>212</v>
      </c>
      <c r="D76" s="94" t="s">
        <v>261</v>
      </c>
      <c r="E76" s="94"/>
      <c r="F76" s="77" t="str">
        <f t="shared" si="2"/>
        <v>"[CONSISTENCY RULE] Project must match objective | " &amp;</v>
      </c>
      <c r="G76" s="32" t="s">
        <v>224</v>
      </c>
    </row>
    <row r="77" spans="2:7">
      <c r="B77" s="84" t="s">
        <v>271</v>
      </c>
      <c r="C77" s="54" t="s">
        <v>215</v>
      </c>
      <c r="D77" s="94" t="s">
        <v>582</v>
      </c>
      <c r="E77" s="94"/>
      <c r="F77" s="77" t="str">
        <f t="shared" si="2"/>
        <v>"[HEADER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v>
      </c>
      <c r="G77" s="32" t="s">
        <v>224</v>
      </c>
    </row>
    <row r="78" spans="2:7">
      <c r="B78" s="84" t="s">
        <v>271</v>
      </c>
      <c r="C78" s="54" t="s">
        <v>216</v>
      </c>
      <c r="D78" s="94" t="s">
        <v>262</v>
      </c>
      <c r="E78" s="94"/>
      <c r="F78" s="77" t="str">
        <f t="shared" si="2"/>
        <v>"[OUTPUT] Only header, dataset notice, objective, support file, code planning, expected output, code, and footer | " &amp;</v>
      </c>
      <c r="G78" s="32" t="s">
        <v>224</v>
      </c>
    </row>
    <row r="79" spans="2:7">
      <c r="B79" s="84" t="s">
        <v>271</v>
      </c>
      <c r="C79" s="54" t="s">
        <v>220</v>
      </c>
      <c r="D79" s="94" t="s">
        <v>263</v>
      </c>
      <c r="E79" s="94"/>
      <c r="F79" s="77" t="str">
        <f t="shared" si="2"/>
        <v>"[FOOTER RULE - STRICT] End your entire response EXACTLY with this markdown string (ensure all code blocks are closed before it):" &amp; CHAR(10) &amp; "---" &amp; CHAR(10) &amp; "⚡ *Coding5s System — Learn Programming by Writing Code*")</v>
      </c>
      <c r="G79" s="32" t="s">
        <v>224</v>
      </c>
    </row>
    <row r="80" spans="2:7">
      <c r="F80" s="86"/>
      <c r="G80" t="s">
        <v>224</v>
      </c>
    </row>
    <row r="82" spans="2:7" ht="36">
      <c r="B82" s="80" t="s">
        <v>269</v>
      </c>
    </row>
    <row r="83" spans="2:7">
      <c r="B83" s="76" t="s">
        <v>221</v>
      </c>
      <c r="C83" s="76" t="s">
        <v>579</v>
      </c>
      <c r="D83" s="76" t="s">
        <v>580</v>
      </c>
      <c r="E83" s="76"/>
      <c r="F83" s="88" t="s">
        <v>234</v>
      </c>
      <c r="G83" s="54" t="s">
        <v>224</v>
      </c>
    </row>
    <row r="84" spans="2:7">
      <c r="B84" s="54" t="s">
        <v>222</v>
      </c>
      <c r="C84" s="54" t="s">
        <v>235</v>
      </c>
      <c r="D84" s="94" t="s">
        <v>249</v>
      </c>
      <c r="E84" s="94"/>
      <c r="F84" s="77" t="str">
        <f t="shared" ref="F84:F104" si="4">IF(D84="","",""""&amp;C84&amp;" "&amp;IF(C84="[FOOTER RULE - STRICT]",D84,IF(RIGHT(D84,6)=" | "&amp;CHAR(34)&amp;" &amp;",D84,D84&amp;" | "&amp;CHAR(34)&amp;" &amp;")))</f>
        <v>"[MENTOR_S1_SAFE_GUIDE] 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v>
      </c>
      <c r="G84" s="54" t="s">
        <v>224</v>
      </c>
    </row>
    <row r="85" spans="2:7">
      <c r="B85" s="54" t="s">
        <v>222</v>
      </c>
      <c r="C85" s="54" t="s">
        <v>236</v>
      </c>
      <c r="D85" s="94" t="s">
        <v>245</v>
      </c>
      <c r="E85" s="94"/>
      <c r="F85" s="77" t="str">
        <f t="shared" si="4"/>
        <v>"[CULTURAL &amp; JARGON RULE] 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v>
      </c>
      <c r="G85" s="54" t="s">
        <v>224</v>
      </c>
    </row>
    <row r="86" spans="2:7">
      <c r="B86" s="54" t="s">
        <v>222</v>
      </c>
      <c r="C86" s="54" t="s">
        <v>237</v>
      </c>
      <c r="D86" s="94" t="s">
        <v>778</v>
      </c>
      <c r="E86" s="94"/>
      <c r="F86" s="77" t="str">
        <f t="shared" si="4"/>
        <v>"[CONTEXT] You are helping a Junior Developer who is " &amp; IF(UPPER(H9)="PROJECT", "building a PROJECT: " &amp; I9 &amp; ". Topics applied in this project: " &amp; A9 &amp; ". Project objective: " &amp; J9, "learning: " &amp; I9 &amp; ". Topic details: " &amp; J9) &amp; " | " &amp;</v>
      </c>
      <c r="G86" s="54" t="s">
        <v>224</v>
      </c>
    </row>
    <row r="87" spans="2:7">
      <c r="B87" s="54" t="s">
        <v>222</v>
      </c>
      <c r="C87" s="54" t="s">
        <v>229</v>
      </c>
      <c r="D87" s="94" t="s">
        <v>267</v>
      </c>
      <c r="E87" s="94"/>
      <c r="F87" s="77"/>
      <c r="G87" s="54"/>
    </row>
    <row r="88" spans="2:7">
      <c r="B88" s="54" t="s">
        <v>222</v>
      </c>
      <c r="C88" s="54" t="s">
        <v>172</v>
      </c>
      <c r="D88" s="94" t="s">
        <v>247</v>
      </c>
      <c r="E88" s="94"/>
      <c r="F88" s="77" t="str">
        <f t="shared" si="4"/>
        <v>"[LANGUAGE CONSISTENCY RULE] ALL output text MUST be written strictly in (" &amp; $B$6 &amp; "). | " &amp;</v>
      </c>
      <c r="G88" s="54" t="s">
        <v>224</v>
      </c>
    </row>
    <row r="89" spans="2:7">
      <c r="B89" s="54" t="s">
        <v>222</v>
      </c>
      <c r="C89" s="54" t="s">
        <v>491</v>
      </c>
      <c r="D89" s="94" t="s">
        <v>483</v>
      </c>
      <c r="E89" s="94"/>
      <c r="F89" s="77" t="str">
        <f t="shared" si="4"/>
        <v>"[LANGUAGE SEED CONTEXT] " &amp; IF($AE$7 = "", "Language Seed Not Necessary", "You MUST strictly follow this seed context to enhance, adapt, and naturalize your tone, vocabulary, and instructional quality in " &amp; $B$6 &amp; ": " &amp; $AE$7) &amp; " | " &amp;</v>
      </c>
      <c r="G89" s="54" t="s">
        <v>224</v>
      </c>
    </row>
    <row r="90" spans="2:7">
      <c r="B90" s="54" t="s">
        <v>222</v>
      </c>
      <c r="C90" s="54" t="s">
        <v>218</v>
      </c>
      <c r="D90" s="94" t="s">
        <v>250</v>
      </c>
      <c r="E90" s="94"/>
      <c r="F90" s="77" t="str">
        <f>IF(D90="","",""""&amp;C90&amp;" "&amp;IF(C90="[FOOTER RULE - STRICT]",D90,IF(RIGHT(D90,6)=" | "&amp;CHAR(34)&amp;" &amp;",D90,D90&amp;" | "&amp;CHAR(34)&amp;" &amp;")))</f>
        <v>"[LANGUAGE] " &amp; $B$6 &amp;" | " &amp;</v>
      </c>
      <c r="G90" s="54" t="s">
        <v>224</v>
      </c>
    </row>
    <row r="91" spans="2:7">
      <c r="B91" s="54" t="s">
        <v>223</v>
      </c>
      <c r="C91" s="54" t="s">
        <v>230</v>
      </c>
      <c r="D91" s="94"/>
      <c r="E91" s="94"/>
      <c r="F91" s="77" t="str">
        <f t="shared" ref="F91:F92" si="5">IF(D91="","",""""&amp;C91&amp;" "&amp;IF(C91="[FOOTER RULE - STRICT]",D91,IF(RIGHT(D91,6)=" | "&amp;CHAR(34)&amp;" &amp;",D91,D91&amp;" | "&amp;CHAR(34)&amp;" &amp;")))</f>
        <v/>
      </c>
      <c r="G91" s="54" t="s">
        <v>224</v>
      </c>
    </row>
    <row r="92" spans="2:7">
      <c r="B92" s="54" t="s">
        <v>223</v>
      </c>
      <c r="C92" s="54" t="s">
        <v>230</v>
      </c>
      <c r="D92" s="94"/>
      <c r="E92" s="94"/>
      <c r="F92" s="77" t="str">
        <f t="shared" si="5"/>
        <v/>
      </c>
      <c r="G92" s="54" t="s">
        <v>224</v>
      </c>
    </row>
    <row r="93" spans="2:7">
      <c r="B93" s="54" t="s">
        <v>223</v>
      </c>
      <c r="C93" s="54" t="s">
        <v>629</v>
      </c>
      <c r="D93" s="94" t="str">
        <f>CHAR(34) &amp; " &amp; IF(G9=" &amp; CHAR(34) &amp; "Beginner" &amp; CHAR(34) &amp; ", " &amp; CHAR(34) &amp; Variables!E24 &amp; CHAR(34) &amp; ", IF(G9=" &amp; CHAR(34) &amp; "Intermediate" &amp; CHAR(34) &amp; ", " &amp; CHAR(34) &amp; Variables!E25 &amp; CHAR(34) &amp; ", " &amp; CHAR(34) &amp; Variables!E26 &amp; CHAR(34) &amp; ")) &amp; " &amp; CHAR(34) &amp; " | " &amp; CHAR(34) &amp; " &amp;"</f>
        <v>" &amp; IF(G9="Beginner", "Evaluate based on basic functions, data structures, and conditional logic. Do NOT expect decorators, generators, or asyncio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v>
      </c>
      <c r="E93" s="94" t="str">
        <f>" &amp; IF(G9=" &amp; CHAR(34) &amp; "Beginner" &amp; CHAR(34) &amp; ", " &amp; CHAR(34) &amp; Variables!E24 &amp; CHAR(34) &amp; ", IF(G9=" &amp; CHAR(34) &amp; "Intermediate" &amp; CHAR(34) &amp; ", " &amp; CHAR(34) &amp; Variables!E25 &amp; CHAR(34) &amp; ", " &amp; CHAR(34) &amp; Variables!E26 &amp; CHAR(34) &amp; ")) &amp; " &amp; CHAR(34) &amp; " | " &amp; CHAR(34) &amp; " &amp;"</f>
        <v xml:space="preserve"> &amp; IF(G9="Beginner", "Evaluate based on basic functions, data structures, and conditional logic. Do NOT expect decorators, generators, or asyncio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v>
      </c>
      <c r="F93" s="77" t="str">
        <f>IF(D93="","",""""&amp;C93&amp;" "&amp;IF(C93="[FOOTER RULE - STRICT]",D93,IF(RIGHT(D93,6)=" | "&amp;CHAR(34)&amp;" &amp;",D93,D93&amp;" | "&amp;CHAR(34)&amp;" &amp;")))</f>
        <v>"[MENTOR_SCOPE_EXPECTATIONS] " &amp; IF(G9="Beginner", "Evaluate based on basic functions, data structures, and conditional logic. Do NOT expect decorators, generators, or asyncio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v>
      </c>
      <c r="G93" s="54" t="s">
        <v>224</v>
      </c>
    </row>
    <row r="94" spans="2:7">
      <c r="B94" s="54" t="s">
        <v>223</v>
      </c>
      <c r="C94" s="54" t="s">
        <v>630</v>
      </c>
      <c r="D94" s="94" t="str">
        <f>"Code MUST be idiomatic Elixir. " &amp; Variables!E27 &amp; " " &amp; Variables!E28 &amp; " " &amp; Variables!E29 &amp; " " &amp; Variables!E30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v>
      </c>
      <c r="E94" s="94" t="str">
        <f>"Code MUST be idiomatic Elixir. " &amp; Variables!E27 &amp; " " &amp; Variables!E28 &amp; " " &amp; Variables!E29 &amp; " " &amp; Variables!E30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v>
      </c>
      <c r="F94" s="77" t="str">
        <f>IF(D94="","",""""&amp;C94&amp;" "&amp;IF(C94="[FOOTER RULE - STRICT]",D94,IF(RIGHT(D94,6)=" | "&amp;CHAR(34)&amp;" &amp;",D94,D94&amp;" | "&amp;CHAR(34)&amp;" &amp;")))</f>
        <v>"[CODE_QUALITY_POLICIES]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v>
      </c>
      <c r="G94" s="54" t="s">
        <v>224</v>
      </c>
    </row>
    <row r="95" spans="2:7">
      <c r="B95" s="84" t="s">
        <v>271</v>
      </c>
      <c r="C95" s="54" t="s">
        <v>174</v>
      </c>
      <c r="D95" s="94" t="s">
        <v>248</v>
      </c>
      <c r="E95" s="94"/>
      <c r="F95" s="77" t="str">
        <f t="shared" si="4"/>
        <v>"[DATA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v>
      </c>
      <c r="G95" s="54" t="s">
        <v>224</v>
      </c>
    </row>
    <row r="96" spans="2:7">
      <c r="B96" s="84" t="s">
        <v>271</v>
      </c>
      <c r="C96" s="54" t="s">
        <v>238</v>
      </c>
      <c r="D96" s="94" t="s">
        <v>251</v>
      </c>
      <c r="E96" s="94"/>
      <c r="F96" s="77" t="str">
        <f t="shared" si="4"/>
        <v>"[EMPTY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v>
      </c>
      <c r="G96" s="54" t="s">
        <v>224</v>
      </c>
    </row>
    <row r="97" spans="2:7">
      <c r="B97" s="84" t="s">
        <v>271</v>
      </c>
      <c r="C97" s="54" t="s">
        <v>162</v>
      </c>
      <c r="D97" s="94" t="s">
        <v>246</v>
      </c>
      <c r="E97" s="94"/>
      <c r="F97" s="77" t="str">
        <f>IF(D97="","",""""&amp;C97&amp;" "&amp;IF(C97="[FOOTER RULE - STRICT]",D97,IF(RIGHT(D97,6)=" | "&amp;CHAR(34)&amp;" &amp;",D97,D97&amp;" | "&amp;CHAR(34)&amp;" &amp;")))</f>
        <v>"[TASK] Analyze the student's code and explanation. If the code is perfect, congratulate them warmly and provide 2 'Bonus Challenges'. Otherwise, follow the 2-PHASE MENTORING PROTOCOL | " &amp;</v>
      </c>
      <c r="G97" s="54" t="s">
        <v>224</v>
      </c>
    </row>
    <row r="98" spans="2:7">
      <c r="B98" s="84" t="s">
        <v>271</v>
      </c>
      <c r="C98" s="54" t="s">
        <v>239</v>
      </c>
      <c r="D98" s="94" t="s">
        <v>311</v>
      </c>
      <c r="E98" s="94"/>
      <c r="F98" s="77" t="str">
        <f t="shared" si="4"/>
        <v>"[ATOMIC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v>
      </c>
      <c r="G98" s="54" t="s">
        <v>224</v>
      </c>
    </row>
    <row r="99" spans="2:7">
      <c r="B99" s="84" t="s">
        <v>271</v>
      </c>
      <c r="C99" s="54" t="s">
        <v>240</v>
      </c>
      <c r="D99" s="94" t="s">
        <v>307</v>
      </c>
      <c r="E99" s="94"/>
      <c r="F99" s="77" t="str">
        <f t="shared" si="4"/>
        <v>"[PHASE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v>
      </c>
      <c r="G99" s="54" t="s">
        <v>224</v>
      </c>
    </row>
    <row r="100" spans="2:7">
      <c r="B100" s="84" t="s">
        <v>271</v>
      </c>
      <c r="C100" s="54" t="s">
        <v>241</v>
      </c>
      <c r="D100" s="94" t="s">
        <v>310</v>
      </c>
      <c r="E100" s="94"/>
      <c r="F100" s="77" t="str">
        <f t="shared" si="4"/>
        <v>"[EXPLANATION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v>
      </c>
      <c r="G100" s="54" t="s">
        <v>224</v>
      </c>
    </row>
    <row r="101" spans="2:7">
      <c r="B101" s="84" t="s">
        <v>271</v>
      </c>
      <c r="C101" s="54" t="s">
        <v>242</v>
      </c>
      <c r="D101" s="94" t="s">
        <v>252</v>
      </c>
      <c r="E101" s="94"/>
      <c r="F101" s="77" t="str">
        <f t="shared" si="4"/>
        <v>"[MINIMAL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v>
      </c>
      <c r="G101" s="54" t="s">
        <v>224</v>
      </c>
    </row>
    <row r="102" spans="2:7">
      <c r="B102" s="84" t="s">
        <v>271</v>
      </c>
      <c r="C102" s="54" t="s">
        <v>244</v>
      </c>
      <c r="D102" s="94" t="s">
        <v>308</v>
      </c>
      <c r="E102" s="94"/>
      <c r="F102" s="77" t="str">
        <f t="shared" si="4"/>
        <v>"[PHASE 2: FULL SOLUTION - STRICT] 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v>
      </c>
      <c r="G102" s="54" t="s">
        <v>224</v>
      </c>
    </row>
    <row r="103" spans="2:7">
      <c r="B103" s="84" t="s">
        <v>271</v>
      </c>
      <c r="C103" s="54" t="s">
        <v>215</v>
      </c>
      <c r="D103" s="94" t="s">
        <v>583</v>
      </c>
      <c r="E103" s="94"/>
      <c r="F103" s="77" t="str">
        <f t="shared" si="4"/>
        <v>"[HEADER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v>
      </c>
      <c r="G103" s="54" t="s">
        <v>224</v>
      </c>
    </row>
    <row r="104" spans="2:7">
      <c r="B104" s="84" t="s">
        <v>271</v>
      </c>
      <c r="C104" s="54" t="s">
        <v>220</v>
      </c>
      <c r="D104" s="94" t="s">
        <v>309</v>
      </c>
      <c r="E104" s="94"/>
      <c r="F104" s="77" t="str">
        <f t="shared" si="4"/>
        <v>"[FOOTER RULE - STRICT] End your response with: '--- ⚡ *Coding5s Mentor System — Eliminating Epistemic Debt*' | ","")</v>
      </c>
      <c r="G104" s="54" t="s">
        <v>224</v>
      </c>
    </row>
  </sheetData>
  <conditionalFormatting sqref="B1:B1048576">
    <cfRule type="cellIs" dxfId="56" priority="16" operator="equal">
      <formula>"The Immutable ""Kernel"""</formula>
    </cfRule>
    <cfRule type="cellIs" dxfId="55" priority="17" operator="equal">
      <formula>"Paradigm &amp; Ecosystem"</formula>
    </cfRule>
    <cfRule type="cellIs" dxfId="54" priority="18" operator="equal">
      <formula>"Global Variables &amp; Configuration"</formula>
    </cfRule>
  </conditionalFormatting>
  <conditionalFormatting sqref="C4:C50">
    <cfRule type="expression" dxfId="53" priority="13">
      <formula>$B4="The Immutable Kernel"</formula>
    </cfRule>
    <cfRule type="expression" dxfId="52" priority="14">
      <formula>$B4="Paradigm &amp; Ecosystem"</formula>
    </cfRule>
    <cfRule type="expression" dxfId="51" priority="15">
      <formula>$B4="Global Variables &amp; Configuration"</formula>
    </cfRule>
  </conditionalFormatting>
  <conditionalFormatting sqref="C55:C79">
    <cfRule type="expression" dxfId="50" priority="1">
      <formula>$B55="The Immutable Kernel"</formula>
    </cfRule>
    <cfRule type="expression" dxfId="49" priority="2">
      <formula>$B55="Paradigm &amp; Ecosystem"</formula>
    </cfRule>
    <cfRule type="expression" dxfId="48" priority="3">
      <formula>$B55="Global Variables &amp; Configuration"</formula>
    </cfRule>
  </conditionalFormatting>
  <conditionalFormatting sqref="C84:C104">
    <cfRule type="expression" dxfId="47" priority="7">
      <formula>$B84="The Immutable Kernel"</formula>
    </cfRule>
    <cfRule type="expression" dxfId="46" priority="8">
      <formula>$B84="Paradigm &amp; Ecosystem"</formula>
    </cfRule>
    <cfRule type="expression" dxfId="45" priority="9">
      <formula>$B84="Global Variables &amp; Configuration"</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4C0D-B07E-409E-B83B-9ECCA7DC7C4D}">
  <sheetPr>
    <tabColor theme="8" tint="0.79998168889431442"/>
  </sheetPr>
  <dimension ref="A2:AC100"/>
  <sheetViews>
    <sheetView showGridLines="0" topLeftCell="A76" zoomScaleNormal="100" workbookViewId="0">
      <selection activeCell="E80" sqref="E80:E97"/>
    </sheetView>
  </sheetViews>
  <sheetFormatPr defaultRowHeight="15"/>
  <cols>
    <col min="1" max="1" width="5.42578125" customWidth="1"/>
    <col min="2" max="2" width="37.42578125" customWidth="1"/>
    <col min="3" max="3" width="33" customWidth="1"/>
    <col min="4" max="4" width="85.28515625" customWidth="1"/>
    <col min="5" max="5" width="39.5703125" style="85" customWidth="1"/>
    <col min="6" max="6" width="4" customWidth="1"/>
  </cols>
  <sheetData>
    <row r="2" spans="1:29" ht="36">
      <c r="B2" s="78" t="s">
        <v>446</v>
      </c>
      <c r="D2" s="81" t="s">
        <v>270</v>
      </c>
      <c r="H2" s="82"/>
      <c r="T2" s="82"/>
    </row>
    <row r="3" spans="1:29">
      <c r="B3" s="76" t="s">
        <v>221</v>
      </c>
      <c r="C3" s="76" t="s">
        <v>579</v>
      </c>
      <c r="D3" s="76" t="s">
        <v>580</v>
      </c>
      <c r="E3" s="88" t="s">
        <v>228</v>
      </c>
      <c r="F3" s="4" t="s">
        <v>224</v>
      </c>
      <c r="AC3" t="s">
        <v>224</v>
      </c>
    </row>
    <row r="4" spans="1:29">
      <c r="A4">
        <f>LEN(D4)</f>
        <v>31</v>
      </c>
      <c r="B4" s="75" t="s">
        <v>222</v>
      </c>
      <c r="C4" s="54" t="s">
        <v>160</v>
      </c>
      <c r="D4" s="93" t="s">
        <v>272</v>
      </c>
      <c r="E4" s="77" t="str">
        <f t="shared" ref="E4:E41" si="0">IF(D4="","",""""&amp;C4&amp;" "&amp;IF(C4="[FOOTER RULE - STRICT]",D4,IF(RIGHT(D4,6)=" | "&amp;CHAR(34)&amp;" &amp;",D4,D4&amp;" | "&amp;CHAR(34)&amp;" &amp;")))</f>
        <v>"[ROLE] Careless " &amp; $I$2 &amp; " Developer | " &amp;</v>
      </c>
      <c r="F4" s="54" t="s">
        <v>224</v>
      </c>
    </row>
    <row r="5" spans="1:29">
      <c r="A5">
        <f t="shared" ref="A5:A42" si="1">LEN(D5)</f>
        <v>47</v>
      </c>
      <c r="B5" s="75" t="s">
        <v>222</v>
      </c>
      <c r="C5" s="54" t="s">
        <v>162</v>
      </c>
      <c r="D5" s="93" t="s">
        <v>273</v>
      </c>
      <c r="E5" s="77" t="str">
        <f t="shared" si="0"/>
        <v>"[TASK] Generate debugging challenges in " &amp; $I$2 &amp; " | | " &amp;</v>
      </c>
      <c r="F5" s="54" t="s">
        <v>224</v>
      </c>
    </row>
    <row r="6" spans="1:29">
      <c r="A6">
        <f t="shared" si="1"/>
        <v>12</v>
      </c>
      <c r="B6" s="75" t="s">
        <v>222</v>
      </c>
      <c r="C6" s="54" t="s">
        <v>164</v>
      </c>
      <c r="D6" s="93" t="s">
        <v>274</v>
      </c>
      <c r="E6" s="77" t="str">
        <f t="shared" si="0"/>
        <v>"[TOPIC] " &amp; I9 &amp; " | | " &amp;</v>
      </c>
      <c r="F6" s="54" t="s">
        <v>224</v>
      </c>
    </row>
    <row r="7" spans="1:29">
      <c r="A7">
        <f t="shared" si="1"/>
        <v>12</v>
      </c>
      <c r="B7" s="75" t="s">
        <v>222</v>
      </c>
      <c r="C7" s="54" t="s">
        <v>166</v>
      </c>
      <c r="D7" s="93" t="s">
        <v>275</v>
      </c>
      <c r="E7" s="77" t="str">
        <f t="shared" si="0"/>
        <v>"[LEVEL] " &amp; G9 &amp; " | | " &amp;</v>
      </c>
      <c r="F7" s="54" t="s">
        <v>224</v>
      </c>
    </row>
    <row r="8" spans="1:29">
      <c r="A8">
        <f t="shared" si="1"/>
        <v>21</v>
      </c>
      <c r="B8" s="75" t="s">
        <v>222</v>
      </c>
      <c r="C8" s="54" t="s">
        <v>168</v>
      </c>
      <c r="D8" s="93" t="s">
        <v>276</v>
      </c>
      <c r="E8" s="77" t="str">
        <f t="shared" si="0"/>
        <v>"[COUNT] " &amp; D9 &amp; " challenges | " &amp;</v>
      </c>
      <c r="F8" s="54" t="s">
        <v>224</v>
      </c>
    </row>
    <row r="9" spans="1:29">
      <c r="A9">
        <f t="shared" si="1"/>
        <v>18</v>
      </c>
      <c r="B9" s="75" t="s">
        <v>222</v>
      </c>
      <c r="C9" s="54" t="s">
        <v>229</v>
      </c>
      <c r="D9" s="93" t="s">
        <v>267</v>
      </c>
      <c r="E9" s="77" t="str">
        <f t="shared" si="0"/>
        <v>"[LIBRARY BEING LEARNED] " &amp; $I$3 &amp; " | " &amp;</v>
      </c>
      <c r="F9" s="54" t="s">
        <v>224</v>
      </c>
    </row>
    <row r="10" spans="1:29">
      <c r="A10">
        <f t="shared" si="1"/>
        <v>496</v>
      </c>
      <c r="B10" s="75" t="s">
        <v>222</v>
      </c>
      <c r="C10" s="32" t="s">
        <v>225</v>
      </c>
      <c r="D10" s="93"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10" s="77" t="str">
        <f t="shared" si="0"/>
        <v>"[ECOSYSTEM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v>
      </c>
      <c r="F10" s="54" t="s">
        <v>224</v>
      </c>
    </row>
    <row r="11" spans="1:29">
      <c r="A11">
        <f t="shared" si="1"/>
        <v>313</v>
      </c>
      <c r="B11" s="75" t="s">
        <v>222</v>
      </c>
      <c r="C11" s="54" t="s">
        <v>215</v>
      </c>
      <c r="D11" s="93" t="s">
        <v>584</v>
      </c>
      <c r="E11" s="77" t="str">
        <f t="shared" si="0"/>
        <v>"[HEADER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v>
      </c>
      <c r="F11" s="54" t="s">
        <v>224</v>
      </c>
    </row>
    <row r="12" spans="1:29">
      <c r="A12">
        <f t="shared" si="1"/>
        <v>406</v>
      </c>
      <c r="B12" s="75" t="s">
        <v>222</v>
      </c>
      <c r="C12" s="54" t="s">
        <v>172</v>
      </c>
      <c r="D12" s="93"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1:29">
      <c r="A13">
        <f t="shared" si="1"/>
        <v>214</v>
      </c>
      <c r="B13" s="75" t="s">
        <v>222</v>
      </c>
      <c r="C13" s="54" t="s">
        <v>491</v>
      </c>
      <c r="D13" s="93" t="s">
        <v>483</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1:29">
      <c r="A14">
        <f t="shared" si="1"/>
        <v>0</v>
      </c>
      <c r="B14" s="83" t="s">
        <v>223</v>
      </c>
      <c r="C14" s="54" t="s">
        <v>230</v>
      </c>
      <c r="D14" s="93"/>
      <c r="E14" s="77" t="str">
        <f t="shared" si="0"/>
        <v/>
      </c>
      <c r="F14" s="54" t="s">
        <v>224</v>
      </c>
    </row>
    <row r="15" spans="1:29">
      <c r="A15">
        <f t="shared" si="1"/>
        <v>0</v>
      </c>
      <c r="B15" s="83" t="s">
        <v>223</v>
      </c>
      <c r="C15" s="54" t="s">
        <v>230</v>
      </c>
      <c r="D15" s="93"/>
      <c r="E15" s="77" t="str">
        <f t="shared" si="0"/>
        <v/>
      </c>
      <c r="F15" s="54" t="s">
        <v>224</v>
      </c>
    </row>
    <row r="16" spans="1:29">
      <c r="A16">
        <f t="shared" si="1"/>
        <v>489</v>
      </c>
      <c r="B16" s="83" t="s">
        <v>223</v>
      </c>
      <c r="C16" s="32" t="s">
        <v>188</v>
      </c>
      <c r="D16" s="93" t="str">
        <f>Variables!E31 &amp; " | " &amp; Variables!E32 &amp; " | " &amp; Variables!E33 &amp; " | " &amp; CHAR(34) &amp; " &amp;"</f>
        <v>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 &amp;</v>
      </c>
      <c r="E16" s="77" t="str">
        <f t="shared" si="0"/>
        <v>"[FILE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 &amp;</v>
      </c>
      <c r="F16" s="54" t="s">
        <v>224</v>
      </c>
    </row>
    <row r="17" spans="1:6">
      <c r="A17">
        <f t="shared" si="1"/>
        <v>168</v>
      </c>
      <c r="B17" s="83" t="s">
        <v>223</v>
      </c>
      <c r="C17" s="32" t="s">
        <v>598</v>
      </c>
      <c r="D17" s="93" t="str">
        <f>Variables!E34 &amp; " | " &amp; CHAR(34) &amp; " &amp;"</f>
        <v>Always use pytest or native test functions. You MUST use native assert statements or pytest.raises() for exception testing. Avoid defining TestClasses or methods. | " &amp;</v>
      </c>
      <c r="E17" s="77" t="str">
        <f t="shared" si="0"/>
        <v>"[EXUNIT RULE] Always use pytest or native test functions. You MUST use native assert statements or pytest.raises() for exception testing. Avoid defining TestClasses or methods. | " &amp;</v>
      </c>
      <c r="F17" s="54" t="s">
        <v>224</v>
      </c>
    </row>
    <row r="18" spans="1:6">
      <c r="A18">
        <f t="shared" si="1"/>
        <v>133</v>
      </c>
      <c r="B18" s="54" t="s">
        <v>223</v>
      </c>
      <c r="C18" s="32" t="s">
        <v>597</v>
      </c>
      <c r="D18" s="93" t="str">
        <f>Variables!E35 &amp; " | " &amp; CHAR(34) &amp; " &amp;"</f>
        <v>Assume a standard Python runtime context. External PyPI dependencies MUST be specified strictly within a requirements.txt file. | " &amp;</v>
      </c>
      <c r="E18" s="77" t="str">
        <f t="shared" si="0"/>
        <v>"[HEX DEPENDENCIES RULE] Assume a standard Python runtime context. External PyPI dependencies MUST be specified strictly within a requirements.txt file. | " &amp;</v>
      </c>
      <c r="F18" s="54" t="s">
        <v>224</v>
      </c>
    </row>
    <row r="19" spans="1:6">
      <c r="A19">
        <f t="shared" si="1"/>
        <v>481</v>
      </c>
      <c r="B19" s="54" t="s">
        <v>223</v>
      </c>
      <c r="C19" s="32" t="s">
        <v>178</v>
      </c>
      <c r="D19" s="93" t="str">
        <f>Variables!E36 &amp; " - " &amp; CHAR(34) &amp; " &amp; IF(G9=" &amp; CHAR(34) &amp; "Beginner" &amp; CHAR(34) &amp; ", " &amp; CHAR(34) &amp; "5–15" &amp; CHAR(34) &amp; ", IF(G9=" &amp; CHAR(34) &amp; "Intermediate" &amp; CHAR(34) &amp; ", " &amp; CHAR(34) &amp; "10–25" &amp; CHAR(34) &amp; ", " &amp; CHAR(34) &amp; "15–35" &amp; CHAR(34) &amp; ")) &amp; " &amp; CHAR(34) &amp; " " &amp; Variables!E37 &amp; " | " &amp; Variables!E38 &amp; " | " &amp; CHAR(34) &amp; " &amp;"</f>
        <v>Each challenge MUST include: - At least 1 functional iterator/generator or comprehension - Explicit type annotations - At least 1 error handling try/except block - " &amp; IF(G9="Beginner", "5–15", IF(G9="Intermediate", "10–25", "15–35")) &amp; " lines of EXECUTABLE broken Python code per example (STRICT: Do NOT count blank lines). Enforce PEP 8, type hints, and NO OOP class structures. | All challenges MUST have similar functional abstraction depth and architectural complexity. | " &amp;</v>
      </c>
      <c r="E19" s="77" t="str">
        <f t="shared" si="0"/>
        <v>"[CODE CONSTRAINTS] Each challenge MUST include: - At least 1 functional iterator/generator or comprehension - Explicit type annotations - At least 1 error handling try/except block - " &amp; IF(G9="Beginner", "5–15", IF(G9="Intermediate", "10–25", "15–35")) &amp; " lines of EXECUTABLE broken Python code per example (STRICT: Do NOT count blank lines). Enforce PEP 8, type hints, and NO OOP class structures. | All challenges MUST have similar functional abstraction depth and architectural complexity. | " &amp;</v>
      </c>
      <c r="F19" s="54" t="s">
        <v>224</v>
      </c>
    </row>
    <row r="20" spans="1:6">
      <c r="A20">
        <f t="shared" si="1"/>
        <v>888</v>
      </c>
      <c r="B20" s="54" t="s">
        <v>271</v>
      </c>
      <c r="C20" s="54" t="s">
        <v>187</v>
      </c>
      <c r="D20" s="93" t="s">
        <v>718</v>
      </c>
      <c r="E20" s="77" t="str">
        <f t="shared" si="0"/>
        <v>"[INTRO RULE] 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v>
      </c>
      <c r="F20" s="54" t="s">
        <v>224</v>
      </c>
    </row>
    <row r="21" spans="1:6">
      <c r="A21">
        <f t="shared" si="1"/>
        <v>40</v>
      </c>
      <c r="B21" s="54" t="s">
        <v>271</v>
      </c>
      <c r="C21" s="54" t="s">
        <v>278</v>
      </c>
      <c r="D21" s="93" t="s">
        <v>279</v>
      </c>
      <c r="E21" s="77" t="str">
        <f t="shared" si="0"/>
        <v>"[COMMENT RULE] Do NOT include comments that reveal bugs | " &amp;</v>
      </c>
      <c r="F21" s="54" t="s">
        <v>224</v>
      </c>
    </row>
    <row r="22" spans="1:6">
      <c r="A22">
        <f t="shared" si="1"/>
        <v>39</v>
      </c>
      <c r="B22" s="54" t="s">
        <v>271</v>
      </c>
      <c r="C22" s="54" t="s">
        <v>207</v>
      </c>
      <c r="D22" s="93" t="s">
        <v>280</v>
      </c>
      <c r="E22" s="77" t="str">
        <f t="shared" si="0"/>
        <v>"[FORMAT RULE] Only valid markdown code blocks allowed | " &amp;</v>
      </c>
      <c r="F22" s="54" t="s">
        <v>224</v>
      </c>
    </row>
    <row r="23" spans="1:6">
      <c r="A23">
        <f t="shared" si="1"/>
        <v>114</v>
      </c>
      <c r="B23" s="54" t="s">
        <v>271</v>
      </c>
      <c r="C23" s="54" t="s">
        <v>209</v>
      </c>
      <c r="D23" s="93" t="s">
        <v>281</v>
      </c>
      <c r="E23" s="77" t="str">
        <f t="shared" si="0"/>
        <v>"[LANGUAGE TAG RULE] ALWAYS label markdown code blocks with the correct underlying programming language (e.g., python, javascript, sql) | " &amp;</v>
      </c>
      <c r="F23" s="54" t="s">
        <v>224</v>
      </c>
    </row>
    <row r="24" spans="1:6">
      <c r="A24">
        <f t="shared" si="1"/>
        <v>51</v>
      </c>
      <c r="B24" s="54" t="s">
        <v>271</v>
      </c>
      <c r="C24" s="54" t="s">
        <v>282</v>
      </c>
      <c r="D24" s="93" t="s">
        <v>283</v>
      </c>
      <c r="E24" s="77" t="str">
        <f t="shared" si="0"/>
        <v>"[STRICT MODE] If ANY rule is violated, regenerate entire response | " &amp;</v>
      </c>
      <c r="F24" s="54" t="s">
        <v>224</v>
      </c>
    </row>
    <row r="25" spans="1:6">
      <c r="A25">
        <f t="shared" si="1"/>
        <v>57</v>
      </c>
      <c r="B25" s="54" t="s">
        <v>271</v>
      </c>
      <c r="C25" s="54" t="s">
        <v>170</v>
      </c>
      <c r="D25" s="93" t="s">
        <v>284</v>
      </c>
      <c r="E25" s="77" t="str">
        <f t="shared" si="0"/>
        <v>"[PERSONA RULE] Use a careless, messy, slightly frustrated developer tone | " &amp;</v>
      </c>
      <c r="F25" s="54" t="s">
        <v>224</v>
      </c>
    </row>
    <row r="26" spans="1:6">
      <c r="A26">
        <f t="shared" si="1"/>
        <v>330</v>
      </c>
      <c r="B26" s="54" t="s">
        <v>271</v>
      </c>
      <c r="C26" s="54" t="s">
        <v>177</v>
      </c>
      <c r="D26" s="93" t="s">
        <v>285</v>
      </c>
      <c r="E26" s="77" t="str">
        <f t="shared" si="0"/>
        <v>"[OUTPUT CONTRACT] 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v>
      </c>
      <c r="F26" s="54" t="s">
        <v>224</v>
      </c>
    </row>
    <row r="27" spans="1:6">
      <c r="A27">
        <f t="shared" si="1"/>
        <v>74</v>
      </c>
      <c r="B27" s="54" t="s">
        <v>271</v>
      </c>
      <c r="C27" s="54" t="s">
        <v>216</v>
      </c>
      <c r="D27" s="93" t="s">
        <v>286</v>
      </c>
      <c r="E27" s="77" t="str">
        <f t="shared" si="0"/>
        <v>"[OUTPUT] Only header, dataset summary (if any), email intro, challenges, and footer | " &amp;</v>
      </c>
      <c r="F27" s="54" t="s">
        <v>224</v>
      </c>
    </row>
    <row r="28" spans="1:6">
      <c r="A28">
        <f t="shared" si="1"/>
        <v>109</v>
      </c>
      <c r="B28" s="54" t="s">
        <v>271</v>
      </c>
      <c r="C28" s="54" t="s">
        <v>287</v>
      </c>
      <c r="D28" s="93" t="s">
        <v>288</v>
      </c>
      <c r="E28" s="77" t="str">
        <f t="shared" si="0"/>
        <v>"[STRUCTURE RULE] Do NOT rename sections. Do NOT add titles. Do NOT add extra text (except when required by SUPPORT FILES RULE) | " &amp;</v>
      </c>
      <c r="F28" s="54" t="s">
        <v>224</v>
      </c>
    </row>
    <row r="29" spans="1:6">
      <c r="A29">
        <f t="shared" si="1"/>
        <v>54</v>
      </c>
      <c r="B29" s="54" t="s">
        <v>271</v>
      </c>
      <c r="C29" s="54" t="s">
        <v>212</v>
      </c>
      <c r="D29" s="93" t="s">
        <v>289</v>
      </c>
      <c r="E29" s="77" t="str">
        <f t="shared" si="0"/>
        <v>"[CONSISTENCY RULE] All challenges MUST have similar complexity and length | " &amp;</v>
      </c>
      <c r="F29" s="54" t="s">
        <v>224</v>
      </c>
    </row>
    <row r="30" spans="1:6">
      <c r="A30">
        <f t="shared" si="1"/>
        <v>61</v>
      </c>
      <c r="B30" s="54" t="s">
        <v>271</v>
      </c>
      <c r="C30" s="54" t="s">
        <v>290</v>
      </c>
      <c r="D30" s="93" t="s">
        <v>291</v>
      </c>
      <c r="E30" s="77" t="str">
        <f t="shared" si="0"/>
        <v>"[BUG COMPLEXITY RULE] Must align with score (3 basic, 4 intermediate, 5 multi-step) | " &amp;</v>
      </c>
      <c r="F30" s="54" t="s">
        <v>224</v>
      </c>
    </row>
    <row r="31" spans="1:6">
      <c r="A31">
        <f t="shared" si="1"/>
        <v>37</v>
      </c>
      <c r="B31" s="54" t="s">
        <v>271</v>
      </c>
      <c r="C31" s="54" t="s">
        <v>292</v>
      </c>
      <c r="D31" s="93" t="s">
        <v>293</v>
      </c>
      <c r="E31" s="77" t="str">
        <f t="shared" si="0"/>
        <v>"[BUG RULE] Each challenge MUST include 2–3 bugs. | " &amp;</v>
      </c>
      <c r="F31" s="54" t="s">
        <v>224</v>
      </c>
    </row>
    <row r="32" spans="1:6">
      <c r="A32">
        <f t="shared" si="1"/>
        <v>487</v>
      </c>
      <c r="B32" s="54" t="s">
        <v>271</v>
      </c>
      <c r="C32" s="54" t="s">
        <v>294</v>
      </c>
      <c r="D32" s="93" t="s">
        <v>719</v>
      </c>
      <c r="E32" s="77" t="str">
        <f t="shared" si="0"/>
        <v>"[CORRECTNESS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v>
      </c>
      <c r="F32" s="54" t="s">
        <v>224</v>
      </c>
    </row>
    <row r="33" spans="1:6">
      <c r="A33">
        <f t="shared" si="1"/>
        <v>84</v>
      </c>
      <c r="B33" s="54" t="s">
        <v>271</v>
      </c>
      <c r="C33" s="54" t="s">
        <v>259</v>
      </c>
      <c r="D33" s="93" t="s">
        <v>295</v>
      </c>
      <c r="E33" s="77" t="str">
        <f t="shared" si="0"/>
        <v>"[EXECUTION RULE] Code must fail due to syntax errors, runtime exceptions, or produce incorrect output | " &amp;</v>
      </c>
      <c r="F33" s="54" t="s">
        <v>224</v>
      </c>
    </row>
    <row r="34" spans="1:6">
      <c r="A34">
        <f t="shared" si="1"/>
        <v>510</v>
      </c>
      <c r="B34" s="54" t="s">
        <v>271</v>
      </c>
      <c r="C34" s="54" t="s">
        <v>174</v>
      </c>
      <c r="D34" s="93" t="s">
        <v>720</v>
      </c>
      <c r="E34" s="77" t="str">
        <f t="shared" si="0"/>
        <v>"[DATA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v>
      </c>
      <c r="F34" s="54" t="s">
        <v>224</v>
      </c>
    </row>
    <row r="35" spans="1:6">
      <c r="A35">
        <f t="shared" si="1"/>
        <v>358</v>
      </c>
      <c r="B35" s="54" t="s">
        <v>271</v>
      </c>
      <c r="C35" s="54" t="s">
        <v>296</v>
      </c>
      <c r="D35" s="93" t="s">
        <v>297</v>
      </c>
      <c r="E35" s="77" t="str">
        <f t="shared" si="0"/>
        <v>"[CRITICAL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v>
      </c>
      <c r="F35" s="54" t="s">
        <v>224</v>
      </c>
    </row>
    <row r="36" spans="1:6">
      <c r="A36">
        <f t="shared" si="1"/>
        <v>72</v>
      </c>
      <c r="B36" s="54" t="s">
        <v>271</v>
      </c>
      <c r="C36" s="54" t="s">
        <v>175</v>
      </c>
      <c r="D36" s="93" t="s">
        <v>298</v>
      </c>
      <c r="E36" s="77" t="str">
        <f t="shared" si="0"/>
        <v>"[DATA SUMMARY FORMAT RULE] Dataset Summary: - File Type: - Columns / Fields: - Data Types: - Notes: | " &amp;</v>
      </c>
      <c r="F36" s="54" t="s">
        <v>224</v>
      </c>
    </row>
    <row r="37" spans="1:6">
      <c r="A37">
        <f t="shared" si="1"/>
        <v>129</v>
      </c>
      <c r="B37" s="54" t="s">
        <v>271</v>
      </c>
      <c r="C37" s="54" t="s">
        <v>299</v>
      </c>
      <c r="D37" s="93" t="s">
        <v>300</v>
      </c>
      <c r="E37" s="77" t="str">
        <f t="shared" si="0"/>
        <v>"[SUPPORT FILES RULE - STRICT] If env/config is used, MUST include: 1. Instructional sentence 2. File content in markdown code block 3. BEFORE the broken code | | " &amp;</v>
      </c>
      <c r="F37" s="54" t="s">
        <v>224</v>
      </c>
    </row>
    <row r="38" spans="1:6">
      <c r="A38">
        <f t="shared" si="1"/>
        <v>88</v>
      </c>
      <c r="B38" s="54" t="s">
        <v>271</v>
      </c>
      <c r="C38" s="54" t="s">
        <v>301</v>
      </c>
      <c r="D38" s="93" t="s">
        <v>302</v>
      </c>
      <c r="E38" s="77" t="str">
        <f t="shared" si="0"/>
        <v>"[SUPPORT FILES QUALITY RULE] Support files (.env, .env.example, .gitignore) MUST be fully correct and contain NO bugs | " &amp;</v>
      </c>
      <c r="F38" s="54" t="s">
        <v>224</v>
      </c>
    </row>
    <row r="39" spans="1:6">
      <c r="A39">
        <f t="shared" si="1"/>
        <v>208</v>
      </c>
      <c r="B39" s="54" t="s">
        <v>271</v>
      </c>
      <c r="C39" s="54" t="s">
        <v>303</v>
      </c>
      <c r="D39" s="93" t="s">
        <v>304</v>
      </c>
      <c r="E39" s="77" t="str">
        <f t="shared" si="0"/>
        <v>"[NO SOLUTION RULE - STRICT] You are generating an EXAM. You MUST NOT provide the fixed code, bug diagnosis, hints, explanations, or takeaways. Output ONLY the broken code. Do NOT solve your own challenges. Let the student find the bugs. | " &amp;</v>
      </c>
      <c r="F39" s="54" t="s">
        <v>224</v>
      </c>
    </row>
    <row r="40" spans="1:6">
      <c r="A40">
        <f t="shared" si="1"/>
        <v>210</v>
      </c>
      <c r="B40" s="54" t="s">
        <v>271</v>
      </c>
      <c r="C40" s="54" t="s">
        <v>220</v>
      </c>
      <c r="D40" s="93" t="s">
        <v>306</v>
      </c>
      <c r="E40" s="77" t="str">
        <f t="shared" si="0"/>
        <v>"[FOOTER RULE - STRICT] End your entire response EXACTLY with this markdown string (ensure all code blocks are closed before it):" &amp; CHAR(10) &amp; "---" &amp; CHAR(10) &amp; "⚡ Coding5s System - Learn Programming by Writing Code - Coding5S.com",</v>
      </c>
      <c r="F40" s="54" t="s">
        <v>224</v>
      </c>
    </row>
    <row r="41" spans="1:6">
      <c r="A41">
        <f t="shared" si="1"/>
        <v>0</v>
      </c>
      <c r="B41" s="54" t="s">
        <v>271</v>
      </c>
      <c r="C41" s="54"/>
      <c r="D41" s="93"/>
      <c r="E41" s="77" t="str">
        <f t="shared" si="0"/>
        <v/>
      </c>
      <c r="F41" s="54" t="s">
        <v>224</v>
      </c>
    </row>
    <row r="42" spans="1:6">
      <c r="A42">
        <f t="shared" si="1"/>
        <v>0</v>
      </c>
      <c r="B42" s="54" t="s">
        <v>271</v>
      </c>
      <c r="C42" s="54"/>
      <c r="D42" s="93"/>
      <c r="E42" s="88" t="s">
        <v>305</v>
      </c>
      <c r="F42" s="54"/>
    </row>
    <row r="43" spans="1:6">
      <c r="B43" s="74"/>
      <c r="C43" s="74"/>
      <c r="E43" s="86"/>
    </row>
    <row r="44" spans="1:6">
      <c r="B44" s="74"/>
      <c r="C44" s="74"/>
      <c r="E44" s="86"/>
    </row>
    <row r="45" spans="1:6" ht="36">
      <c r="B45" s="79" t="s">
        <v>445</v>
      </c>
      <c r="C45" s="74"/>
      <c r="E45" s="86"/>
    </row>
    <row r="46" spans="1:6">
      <c r="B46" s="76" t="s">
        <v>264</v>
      </c>
      <c r="C46" s="76" t="s">
        <v>579</v>
      </c>
      <c r="D46" s="76" t="s">
        <v>580</v>
      </c>
      <c r="E46" s="88" t="s">
        <v>265</v>
      </c>
      <c r="F46" s="32" t="s">
        <v>224</v>
      </c>
    </row>
    <row r="47" spans="1:6">
      <c r="B47" s="54" t="s">
        <v>222</v>
      </c>
      <c r="C47" s="54" t="s">
        <v>160</v>
      </c>
      <c r="D47" s="93" t="s">
        <v>272</v>
      </c>
      <c r="E47" s="77" t="str">
        <f>IF(D47="","",""""&amp;C47&amp;" "&amp;IF(C47="[FOOTER RULE - STRICT]",D47,IF(RIGHT(D47,6)=" | "&amp;CHAR(34)&amp;" &amp;",D47,D47&amp;" | "&amp;CHAR(34)&amp;" &amp;")))</f>
        <v>"[ROLE] Careless " &amp; $I$2 &amp; " Developer | " &amp;</v>
      </c>
      <c r="F47" s="32" t="s">
        <v>224</v>
      </c>
    </row>
    <row r="48" spans="1:6">
      <c r="B48" s="54" t="s">
        <v>222</v>
      </c>
      <c r="C48" s="54" t="s">
        <v>162</v>
      </c>
      <c r="D48" s="93" t="s">
        <v>312</v>
      </c>
      <c r="E48" s="77" t="str">
        <f t="shared" ref="E48:E76" si="2">IF(D48="","",""""&amp;C48&amp;" "&amp;IF(C48="[FOOTER RULE - STRICT]",D48,IF(RIGHT(D48,6)=" | "&amp;CHAR(34)&amp;" &amp;",D48,D48&amp;" | "&amp;CHAR(34)&amp;" &amp;")))</f>
        <v>"[TASK] Generate debugging project in " &amp; $I$2 &amp; " | " &amp;</v>
      </c>
      <c r="F48" s="32" t="s">
        <v>224</v>
      </c>
    </row>
    <row r="49" spans="2:6">
      <c r="B49" s="54" t="s">
        <v>222</v>
      </c>
      <c r="C49" s="54" t="s">
        <v>313</v>
      </c>
      <c r="D49" s="93" t="s">
        <v>165</v>
      </c>
      <c r="E49" s="77" t="str">
        <f t="shared" si="2"/>
        <v>"[PROJECT] " &amp; I9 &amp; " | " &amp;</v>
      </c>
      <c r="F49" s="32" t="s">
        <v>224</v>
      </c>
    </row>
    <row r="50" spans="2:6">
      <c r="B50" s="54" t="s">
        <v>222</v>
      </c>
      <c r="C50" s="54" t="s">
        <v>253</v>
      </c>
      <c r="D50" s="93" t="s">
        <v>777</v>
      </c>
      <c r="E50" s="77" t="str">
        <f t="shared" si="2"/>
        <v>"[TOPICS USED] " &amp; A9 &amp; " | " &amp;</v>
      </c>
      <c r="F50" s="32" t="s">
        <v>224</v>
      </c>
    </row>
    <row r="51" spans="2:6">
      <c r="B51" s="54" t="s">
        <v>222</v>
      </c>
      <c r="C51" s="54" t="s">
        <v>166</v>
      </c>
      <c r="D51" s="93" t="s">
        <v>167</v>
      </c>
      <c r="E51" s="77" t="str">
        <f t="shared" si="2"/>
        <v>"[LEVEL] " &amp; G9 &amp; " | " &amp;</v>
      </c>
      <c r="F51" s="32" t="s">
        <v>224</v>
      </c>
    </row>
    <row r="52" spans="2:6">
      <c r="B52" s="54" t="s">
        <v>222</v>
      </c>
      <c r="C52" s="54" t="s">
        <v>216</v>
      </c>
      <c r="D52" s="93" t="s">
        <v>314</v>
      </c>
      <c r="E52" s="77" t="str">
        <f t="shared" si="2"/>
        <v>"[OUTPUT] Only header, dataset summary or statement (if any), email intro, objective, expected output, broken code, and footer | " &amp;</v>
      </c>
      <c r="F52" s="32" t="s">
        <v>224</v>
      </c>
    </row>
    <row r="53" spans="2:6">
      <c r="B53" s="54" t="s">
        <v>222</v>
      </c>
      <c r="C53" s="54" t="s">
        <v>215</v>
      </c>
      <c r="D53" s="93" t="s">
        <v>585</v>
      </c>
      <c r="E53" s="77" t="str">
        <f t="shared" si="2"/>
        <v>"[HEADER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v>
      </c>
      <c r="F53" s="32" t="s">
        <v>224</v>
      </c>
    </row>
    <row r="54" spans="2:6">
      <c r="B54" s="54" t="s">
        <v>222</v>
      </c>
      <c r="C54" s="54" t="s">
        <v>229</v>
      </c>
      <c r="D54" s="93" t="s">
        <v>267</v>
      </c>
      <c r="E54" s="77" t="str">
        <f t="shared" si="2"/>
        <v>"[LIBRARY BEING LEARNED] " &amp; $I$3 &amp; " | " &amp;</v>
      </c>
      <c r="F54" s="32" t="s">
        <v>224</v>
      </c>
    </row>
    <row r="55" spans="2:6">
      <c r="B55" s="54" t="s">
        <v>222</v>
      </c>
      <c r="C55" s="54" t="s">
        <v>225</v>
      </c>
      <c r="D55" s="93"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55" s="77" t="str">
        <f t="shared" si="2"/>
        <v>"[ECOSYSTEM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v>
      </c>
      <c r="F55" s="32" t="s">
        <v>224</v>
      </c>
    </row>
    <row r="56" spans="2:6">
      <c r="B56" s="54" t="s">
        <v>222</v>
      </c>
      <c r="C56" s="54" t="s">
        <v>172</v>
      </c>
      <c r="D56" s="93" t="s">
        <v>315</v>
      </c>
      <c r="E56" s="77" t="str">
        <f t="shared" si="2"/>
        <v>"[LANGUAGE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v>
      </c>
      <c r="F56" s="32" t="s">
        <v>224</v>
      </c>
    </row>
    <row r="57" spans="2:6">
      <c r="B57" s="54" t="s">
        <v>222</v>
      </c>
      <c r="C57" s="54" t="s">
        <v>491</v>
      </c>
      <c r="D57" s="93" t="s">
        <v>483</v>
      </c>
      <c r="E57" s="77" t="str">
        <f t="shared" si="2"/>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3"/>
      <c r="E58" s="77" t="str">
        <f t="shared" si="2"/>
        <v/>
      </c>
      <c r="F58" s="32" t="s">
        <v>224</v>
      </c>
    </row>
    <row r="59" spans="2:6">
      <c r="B59" s="54" t="s">
        <v>223</v>
      </c>
      <c r="C59" s="54" t="s">
        <v>292</v>
      </c>
      <c r="D59" s="93" t="str">
        <f>Variables!E39 &amp; " " &amp; Variables!E40 &amp; " " &amp; Variables!E41 &amp; " " &amp; Variables!E42 &amp; " | " &amp; CHAR(34) &amp; " &amp;"</f>
        <v>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 &amp;</v>
      </c>
      <c r="E59" s="77" t="str">
        <f t="shared" si="2"/>
        <v>"[BUG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 &amp;</v>
      </c>
      <c r="F59" s="32" t="s">
        <v>224</v>
      </c>
    </row>
    <row r="60" spans="2:6">
      <c r="B60" s="54" t="s">
        <v>271</v>
      </c>
      <c r="C60" s="54" t="s">
        <v>277</v>
      </c>
      <c r="D60" s="93" t="s">
        <v>316</v>
      </c>
      <c r="E60" s="77" t="str">
        <f t="shared" si="2"/>
        <v>"[ENV USAGE RULE] Bugs ONLY in code logic, not config files | " &amp;</v>
      </c>
      <c r="F60" s="32" t="s">
        <v>224</v>
      </c>
    </row>
    <row r="61" spans="2:6">
      <c r="B61" s="54" t="s">
        <v>271</v>
      </c>
      <c r="C61" s="54" t="s">
        <v>194</v>
      </c>
      <c r="D61" s="93" t="s">
        <v>317</v>
      </c>
      <c r="E61" s="77" t="str">
        <f t="shared" si="2"/>
        <v>"[SUPPORT FILES RULE] IF an external configuration or data file is needed, include: 1. Short instructional sentence 2. File content in markdown code block 3. Place it strictly BEFORE the main code. | " &amp;</v>
      </c>
      <c r="F61" s="32" t="s">
        <v>224</v>
      </c>
    </row>
    <row r="62" spans="2:6">
      <c r="B62" s="54" t="s">
        <v>271</v>
      </c>
      <c r="C62" s="54" t="s">
        <v>303</v>
      </c>
      <c r="D62" s="93" t="s">
        <v>601</v>
      </c>
      <c r="E62" s="77" t="str">
        <f t="shared" si="2"/>
        <v>"[NO SOLUTION RULE - STRICT] You are generating an EXAM. Do NOT provide the fixed code, diagnosis, hints, or explanations. Output ONLY the broken code. Do NOT include comments that reveal the bugs. Let the student find them. | " &amp;</v>
      </c>
      <c r="F62" s="32" t="s">
        <v>224</v>
      </c>
    </row>
    <row r="63" spans="2:6">
      <c r="B63" s="54" t="s">
        <v>271</v>
      </c>
      <c r="C63" s="54" t="s">
        <v>170</v>
      </c>
      <c r="D63" s="93" t="s">
        <v>318</v>
      </c>
      <c r="E63" s="77" t="str">
        <f t="shared" si="2"/>
        <v>"[PERSONA RULE] Use a messy, careless developer tone | " &amp;</v>
      </c>
      <c r="F63" s="32" t="s">
        <v>224</v>
      </c>
    </row>
    <row r="64" spans="2:6">
      <c r="B64" s="54" t="s">
        <v>271</v>
      </c>
      <c r="C64" s="54" t="s">
        <v>187</v>
      </c>
      <c r="D64" s="93" t="s">
        <v>319</v>
      </c>
      <c r="E64" s="77" t="str">
        <f t="shared" si="2"/>
        <v>"[INTRO RULE] 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v>
      </c>
      <c r="F64" s="32" t="s">
        <v>224</v>
      </c>
    </row>
    <row r="65" spans="2:6">
      <c r="B65" s="54" t="s">
        <v>271</v>
      </c>
      <c r="C65" s="54" t="s">
        <v>177</v>
      </c>
      <c r="D65" s="93" t="s">
        <v>320</v>
      </c>
      <c r="E65" s="77" t="str">
        <f t="shared" si="2"/>
        <v>"[OUTPUT CONTRACT] EXACTLY 1 project. Structure MUST be: 'Project:' followed by 'Objective: maximum 6 lines.', then 'Expected Output: standalone markdown code block.', and finally 'Broken Code' | " &amp;</v>
      </c>
      <c r="F65" s="32" t="s">
        <v>224</v>
      </c>
    </row>
    <row r="66" spans="2:6">
      <c r="B66" s="54" t="s">
        <v>271</v>
      </c>
      <c r="C66" s="54" t="s">
        <v>287</v>
      </c>
      <c r="D66" s="93" t="s">
        <v>321</v>
      </c>
      <c r="E66" s="77" t="str">
        <f t="shared" si="2"/>
        <v>"[STRUCTURE RULE] Do NOT add extra sections or explanations (except when required by SUPPORT FILES RULE) | " &amp;</v>
      </c>
      <c r="F66" s="32" t="s">
        <v>224</v>
      </c>
    </row>
    <row r="67" spans="2:6">
      <c r="B67" s="54" t="s">
        <v>271</v>
      </c>
      <c r="C67" s="54" t="s">
        <v>178</v>
      </c>
      <c r="D67" s="93" t="s">
        <v>322</v>
      </c>
      <c r="E67" s="77" t="str">
        <f t="shared" si="2"/>
        <v>"[CODE CONSTRAINTS] - " &amp; IF(G9="Beginner", "25–40", IF(G9="Intermediate", "30–60", "40–100")) &amp; " lines of EXECUTABLE code (STRICT: Do NOT count blank lines towards this limit) - Multi-step flow - 2–4 functions ONLY - main() as entry point " &amp; IF(G9&lt;&gt;"Advanced", "- NO classes | ", "") &amp; " | " &amp;</v>
      </c>
      <c r="F67" s="32" t="s">
        <v>224</v>
      </c>
    </row>
    <row r="68" spans="2:6">
      <c r="B68" s="54" t="s">
        <v>271</v>
      </c>
      <c r="C68" s="54" t="s">
        <v>259</v>
      </c>
      <c r="D68" s="93" t="s">
        <v>295</v>
      </c>
      <c r="E68" s="77" t="str">
        <f t="shared" si="2"/>
        <v>"[EXECUTION RULE] Code must fail due to syntax errors, runtime exceptions, or produce incorrect output | " &amp;</v>
      </c>
      <c r="F68" s="32" t="s">
        <v>224</v>
      </c>
    </row>
    <row r="69" spans="2:6">
      <c r="B69" s="54" t="s">
        <v>271</v>
      </c>
      <c r="C69" s="54" t="s">
        <v>174</v>
      </c>
      <c r="D69" s="93" t="s">
        <v>323</v>
      </c>
      <c r="E69"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69" s="32" t="s">
        <v>224</v>
      </c>
    </row>
    <row r="70" spans="2:6">
      <c r="B70" s="54" t="s">
        <v>271</v>
      </c>
      <c r="C70" s="54" t="s">
        <v>207</v>
      </c>
      <c r="D70" s="93" t="s">
        <v>324</v>
      </c>
      <c r="E70" s="77" t="str">
        <f t="shared" si="2"/>
        <v>"[FORMAT RULE] Only valid markdown code blocks | " &amp;</v>
      </c>
      <c r="F70" s="32" t="s">
        <v>224</v>
      </c>
    </row>
    <row r="71" spans="2:6">
      <c r="B71" s="54" t="s">
        <v>271</v>
      </c>
      <c r="C71" s="54" t="s">
        <v>209</v>
      </c>
      <c r="D71" s="93" t="s">
        <v>281</v>
      </c>
      <c r="E71" s="77" t="str">
        <f t="shared" si="2"/>
        <v>"[LANGUAGE TAG RULE] ALWAYS label markdown code blocks with the correct underlying programming language (e.g., python, javascript, sql) | " &amp;</v>
      </c>
      <c r="F71" s="32" t="s">
        <v>224</v>
      </c>
    </row>
    <row r="72" spans="2:6">
      <c r="B72" s="54" t="s">
        <v>271</v>
      </c>
      <c r="C72" s="54" t="s">
        <v>282</v>
      </c>
      <c r="D72" s="93" t="s">
        <v>325</v>
      </c>
      <c r="E72" s="77" t="str">
        <f t="shared" si="2"/>
        <v>"[STRICT MODE] Enforce all rules strictly | " &amp;</v>
      </c>
      <c r="F72" s="32" t="s">
        <v>224</v>
      </c>
    </row>
    <row r="73" spans="2:6">
      <c r="B73" s="54" t="s">
        <v>271</v>
      </c>
      <c r="C73" s="54" t="s">
        <v>220</v>
      </c>
      <c r="D73" s="93" t="s">
        <v>326</v>
      </c>
      <c r="E73" s="77" t="str">
        <f t="shared" si="2"/>
        <v>"[FOOTER RULE - STRICT] End your entire response EXACTLY with this markdown string (ensure all code blocks are closed before it):" &amp; CHAR(10) &amp; "---" &amp; CHAR(10) &amp; "⚡ Coding5s System - Learn Programming by Writing Code - Coding5S.com" )</v>
      </c>
      <c r="F73" s="32" t="s">
        <v>224</v>
      </c>
    </row>
    <row r="74" spans="2:6">
      <c r="B74" s="54"/>
      <c r="C74" s="54"/>
      <c r="D74" s="93"/>
      <c r="E74" s="77" t="str">
        <f t="shared" si="2"/>
        <v/>
      </c>
      <c r="F74" s="32" t="s">
        <v>224</v>
      </c>
    </row>
    <row r="75" spans="2:6">
      <c r="B75" s="54"/>
      <c r="C75" s="54"/>
      <c r="D75" s="93"/>
      <c r="E75" s="77" t="str">
        <f t="shared" si="2"/>
        <v/>
      </c>
      <c r="F75" s="32" t="s">
        <v>224</v>
      </c>
    </row>
    <row r="76" spans="2:6">
      <c r="B76" s="54"/>
      <c r="C76" s="54"/>
      <c r="D76" s="93"/>
      <c r="E76" s="77" t="str">
        <f t="shared" si="2"/>
        <v/>
      </c>
      <c r="F76" s="32" t="s">
        <v>224</v>
      </c>
    </row>
    <row r="77" spans="2:6">
      <c r="E77" s="86"/>
      <c r="F77" t="s">
        <v>224</v>
      </c>
    </row>
    <row r="79" spans="2:6" ht="36">
      <c r="B79" s="80" t="s">
        <v>444</v>
      </c>
    </row>
    <row r="80" spans="2:6">
      <c r="B80" s="76" t="s">
        <v>221</v>
      </c>
      <c r="C80" s="76" t="s">
        <v>579</v>
      </c>
      <c r="D80" s="76" t="s">
        <v>580</v>
      </c>
      <c r="E80" s="88" t="s">
        <v>234</v>
      </c>
      <c r="F80" s="54" t="s">
        <v>224</v>
      </c>
    </row>
    <row r="81" spans="2:6">
      <c r="B81" s="54" t="s">
        <v>222</v>
      </c>
      <c r="C81" s="54" t="s">
        <v>327</v>
      </c>
      <c r="D81" s="93" t="s">
        <v>381</v>
      </c>
      <c r="E81" s="17" t="str">
        <f t="shared" ref="E81:E94" si="3">IF(D81="","",""""&amp;C81&amp;" "&amp;IF(OR(C81="[FOOTER RULE - STRICT]",C81="[FOOTER RULE]"),D81,IF(RIGHT(D81,6)=" | "&amp;CHAR(34)&amp;" &amp;",D81,D81&amp;" | "&amp;CHAR(34)&amp;" &amp;")))</f>
        <v>"[MENTOR_S2_DETECTIVE] 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v>
      </c>
      <c r="F81" s="54" t="s">
        <v>224</v>
      </c>
    </row>
    <row r="82" spans="2:6">
      <c r="B82" s="54" t="s">
        <v>222</v>
      </c>
      <c r="C82" s="54" t="s">
        <v>236</v>
      </c>
      <c r="D82" s="93" t="s">
        <v>328</v>
      </c>
      <c r="E82" s="17" t="str">
        <f t="shared" si="3"/>
        <v>"[CULTURAL &amp; JARGON RULE] 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v>
      </c>
      <c r="F82" s="54" t="s">
        <v>224</v>
      </c>
    </row>
    <row r="83" spans="2:6">
      <c r="B83" s="54" t="s">
        <v>222</v>
      </c>
      <c r="C83" s="54" t="s">
        <v>237</v>
      </c>
      <c r="D83" s="93" t="s">
        <v>779</v>
      </c>
      <c r="E83" s="17" t="str">
        <f t="shared" si="3"/>
        <v>"[CONTEXT] You are helping a Junior Developer debug a " &amp; IF(UPPER(H9)="PROJECT", "PROJECT: " &amp; I9 &amp; ". Topics involved: " &amp; A9 &amp; ". Project objective: " &amp; J9, "TOPIC: " &amp; I9 &amp; ". Topic details: " &amp; J9) &amp; " | " &amp;</v>
      </c>
      <c r="F83" s="54" t="s">
        <v>224</v>
      </c>
    </row>
    <row r="84" spans="2:6">
      <c r="B84" s="54" t="s">
        <v>222</v>
      </c>
      <c r="C84" s="54" t="s">
        <v>162</v>
      </c>
      <c r="D84" s="93" t="s">
        <v>329</v>
      </c>
      <c r="E84" s="17" t="str">
        <f t="shared" si="3"/>
        <v>"[TASK] Analyze the student's code, explanation, and error. If the code is already fixed and correct, recognize their 'debugging skill' and provide a 'Pro-Tip' for prevention. Otherwise, follow the 2-PHASE MENTORING PROTOCOL | " &amp;</v>
      </c>
      <c r="F84" s="54" t="s">
        <v>224</v>
      </c>
    </row>
    <row r="85" spans="2:6">
      <c r="B85" s="54" t="s">
        <v>222</v>
      </c>
      <c r="C85" s="54" t="s">
        <v>229</v>
      </c>
      <c r="D85" s="93" t="s">
        <v>267</v>
      </c>
      <c r="E85" s="17" t="str">
        <f t="shared" si="3"/>
        <v>"[LIBRARY BEING LEARNED] " &amp; $I$3 &amp; " | " &amp;</v>
      </c>
      <c r="F85" s="54" t="s">
        <v>224</v>
      </c>
    </row>
    <row r="86" spans="2:6">
      <c r="B86" s="54" t="s">
        <v>222</v>
      </c>
      <c r="C86" s="54" t="s">
        <v>172</v>
      </c>
      <c r="D86" s="93" t="s">
        <v>254</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3" t="s">
        <v>483</v>
      </c>
      <c r="E87" s="17" t="str">
        <f t="shared" si="3"/>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3" t="s">
        <v>586</v>
      </c>
      <c r="E88" s="17" t="str">
        <f t="shared" si="3"/>
        <v>"[HEADER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v>
      </c>
      <c r="F88" s="54" t="s">
        <v>224</v>
      </c>
    </row>
    <row r="89" spans="2:6">
      <c r="B89" s="54" t="s">
        <v>223</v>
      </c>
      <c r="C89" s="54" t="s">
        <v>230</v>
      </c>
      <c r="D89" s="93"/>
      <c r="E89" s="17" t="str">
        <f t="shared" si="3"/>
        <v/>
      </c>
      <c r="F89" s="54" t="s">
        <v>224</v>
      </c>
    </row>
    <row r="90" spans="2:6">
      <c r="B90" s="54" t="s">
        <v>223</v>
      </c>
      <c r="C90" s="54" t="s">
        <v>243</v>
      </c>
      <c r="D90" s="93" t="str">
        <f>Variables!E43 &amp; " " &amp; Variables!E44 &amp; " " &amp; Variables!E45 &amp; " " &amp; Variables!E46 &amp; " | " &amp; CHAR(34) &amp; " &amp;"</f>
        <v>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 &amp;</v>
      </c>
      <c r="E90" s="17" t="str">
        <f t="shared" si="3"/>
        <v>"[PYTHON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 &amp;</v>
      </c>
      <c r="F90" s="54" t="s">
        <v>224</v>
      </c>
    </row>
    <row r="91" spans="2:6">
      <c r="B91" s="54" t="s">
        <v>271</v>
      </c>
      <c r="C91" s="54" t="s">
        <v>238</v>
      </c>
      <c r="D91" s="93" t="s">
        <v>332</v>
      </c>
      <c r="E91" s="17" t="str">
        <f t="shared" si="3"/>
        <v>"[EMPTY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v>
      </c>
      <c r="F91" s="54" t="s">
        <v>224</v>
      </c>
    </row>
    <row r="92" spans="2:6">
      <c r="B92" s="54" t="s">
        <v>271</v>
      </c>
      <c r="C92" s="54" t="s">
        <v>240</v>
      </c>
      <c r="D92" s="93" t="s">
        <v>333</v>
      </c>
      <c r="E92" s="17" t="str">
        <f t="shared" si="3"/>
        <v>"[PHASE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v>
      </c>
      <c r="F92" s="54" t="s">
        <v>224</v>
      </c>
    </row>
    <row r="93" spans="2:6">
      <c r="B93" s="54" t="s">
        <v>271</v>
      </c>
      <c r="C93" s="54" t="s">
        <v>241</v>
      </c>
      <c r="D93" s="93" t="s">
        <v>331</v>
      </c>
      <c r="E93" s="17" t="str">
        <f t="shared" si="3"/>
        <v>"[EXPLANATION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v>
      </c>
      <c r="F93" s="54" t="s">
        <v>224</v>
      </c>
    </row>
    <row r="94" spans="2:6">
      <c r="B94" s="54" t="s">
        <v>271</v>
      </c>
      <c r="C94" s="54" t="s">
        <v>244</v>
      </c>
      <c r="D94" s="93" t="s">
        <v>334</v>
      </c>
      <c r="E94" s="17" t="str">
        <f t="shared" si="3"/>
        <v>"[PHASE 2: FULL SOLUTION - STRICT] 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v>
      </c>
      <c r="F94" s="54" t="s">
        <v>224</v>
      </c>
    </row>
    <row r="95" spans="2:6">
      <c r="B95" s="54" t="s">
        <v>271</v>
      </c>
      <c r="C95" s="54" t="s">
        <v>492</v>
      </c>
      <c r="D95" s="93" t="s">
        <v>493</v>
      </c>
      <c r="E95" s="17" t="str">
        <f>IF(D95="","",""""&amp;C95&amp;" "&amp;IF(OR(C95="[FOOTER RULE - STRICT]",C95="[FOOTER RULE]"),D95,IF(RIGHT(D95,6)=" | "&amp;CHAR(34)&amp;" &amp;",D95,D95&amp;" | "&amp;CHAR(34)&amp;" &amp;")))</f>
        <v>"[MINIMAL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v>
      </c>
      <c r="F95" s="54" t="s">
        <v>224</v>
      </c>
    </row>
    <row r="96" spans="2:6">
      <c r="B96" s="54" t="s">
        <v>271</v>
      </c>
      <c r="C96" s="54" t="s">
        <v>330</v>
      </c>
      <c r="D96" s="93" t="s">
        <v>335</v>
      </c>
      <c r="E96" s="17" t="str">
        <f>IF(D96="","",""""&amp;C96&amp;" "&amp;IF(OR(C96="[FOOTER RULE - STRICT]",C96="[FOOTER RULE]"),D96,IF(RIGHT(D96,6)=" | "&amp;CHAR(34)&amp;" &amp;",D96,D96&amp;" | "&amp;CHAR(34)&amp;" &amp;")))</f>
        <v>"[FOOTER RULE] End your response with: '--- ⚡ *Coding5s Mentor System — Eliminating Epistemic Debt &amp; Hunting Bugs*</v>
      </c>
      <c r="F96" s="54" t="s">
        <v>224</v>
      </c>
    </row>
    <row r="97" spans="2:6">
      <c r="B97" s="54"/>
      <c r="C97" s="54"/>
      <c r="D97" s="93"/>
      <c r="E97" s="88" t="s">
        <v>336</v>
      </c>
      <c r="F97" s="54" t="s">
        <v>224</v>
      </c>
    </row>
    <row r="98" spans="2:6">
      <c r="B98" s="54"/>
      <c r="C98" s="54"/>
      <c r="D98" s="93"/>
      <c r="E98" s="77" t="str">
        <f t="shared" ref="E98:E100" si="4">IF(D98="","",""""&amp;C98&amp;" "&amp;IF(C98="[FOOTER RULE - STRICT]",D98,IF(RIGHT(D98,6)=" | "&amp;CHAR(34)&amp;" &amp;",D98,D98&amp;" | "&amp;CHAR(34)&amp;" &amp;")))</f>
        <v/>
      </c>
      <c r="F98" s="54" t="s">
        <v>224</v>
      </c>
    </row>
    <row r="99" spans="2:6">
      <c r="B99" s="54"/>
      <c r="C99" s="54"/>
      <c r="D99" s="93"/>
      <c r="E99" s="77" t="str">
        <f t="shared" si="4"/>
        <v/>
      </c>
      <c r="F99" s="54" t="s">
        <v>224</v>
      </c>
    </row>
    <row r="100" spans="2:6">
      <c r="B100" s="54"/>
      <c r="C100" s="54"/>
      <c r="D100" s="93"/>
      <c r="E100" s="77" t="str">
        <f t="shared" si="4"/>
        <v/>
      </c>
      <c r="F100" s="54" t="s">
        <v>224</v>
      </c>
    </row>
  </sheetData>
  <conditionalFormatting sqref="B1:B1048576">
    <cfRule type="cellIs" dxfId="44" priority="10" operator="equal">
      <formula>"The Immutable Kernel"</formula>
    </cfRule>
    <cfRule type="cellIs" dxfId="43" priority="11" operator="equal">
      <formula>"Paradigm &amp; Ecosystem"</formula>
    </cfRule>
    <cfRule type="cellIs" dxfId="42" priority="12" operator="equal">
      <formula>"Global Variables &amp; Configuration"</formula>
    </cfRule>
  </conditionalFormatting>
  <conditionalFormatting sqref="C4:C42">
    <cfRule type="expression" dxfId="41" priority="7">
      <formula>$B4="The Immutable Kernel"</formula>
    </cfRule>
    <cfRule type="expression" dxfId="40" priority="8">
      <formula>$B4="Paradigm &amp; Ecosystem"</formula>
    </cfRule>
    <cfRule type="expression" dxfId="39" priority="9">
      <formula>$B4="Global Variables &amp; Configuration"</formula>
    </cfRule>
  </conditionalFormatting>
  <conditionalFormatting sqref="C47:C76">
    <cfRule type="expression" dxfId="38" priority="4">
      <formula>$B47="The Immutable Kernel"</formula>
    </cfRule>
    <cfRule type="expression" dxfId="37" priority="5">
      <formula>$B47="Paradigm &amp; Ecosystem"</formula>
    </cfRule>
    <cfRule type="expression" dxfId="36" priority="6">
      <formula>$B47="Global Variables &amp; Configuration"</formula>
    </cfRule>
  </conditionalFormatting>
  <conditionalFormatting sqref="C81:C100">
    <cfRule type="expression" dxfId="35" priority="1">
      <formula>$B81="The Immutable Kernel"</formula>
    </cfRule>
    <cfRule type="expression" dxfId="34" priority="2">
      <formula>$B81="Paradigm &amp; Ecosystem"</formula>
    </cfRule>
    <cfRule type="expression" dxfId="33" priority="3">
      <formula>$B81="Global Variables &amp; Configuration"</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3BC9-B2EF-4F3D-8F73-57D435228023}">
  <sheetPr>
    <tabColor rgb="FFFFFF99"/>
  </sheetPr>
  <dimension ref="B2:AC100"/>
  <sheetViews>
    <sheetView showGridLines="0" topLeftCell="A73" zoomScaleNormal="100" workbookViewId="0">
      <selection activeCell="E80" sqref="E80:E96"/>
    </sheetView>
  </sheetViews>
  <sheetFormatPr defaultRowHeight="15"/>
  <cols>
    <col min="1" max="1" width="5.42578125" customWidth="1"/>
    <col min="2" max="2" width="36.28515625" customWidth="1"/>
    <col min="3" max="3" width="33" customWidth="1"/>
    <col min="4" max="4" width="85.28515625" customWidth="1"/>
    <col min="5" max="5" width="39.5703125" style="85" customWidth="1"/>
    <col min="6" max="6" width="4" customWidth="1"/>
  </cols>
  <sheetData>
    <row r="2" spans="2:29" ht="36">
      <c r="B2" s="78" t="s">
        <v>442</v>
      </c>
      <c r="D2" s="81" t="s">
        <v>337</v>
      </c>
      <c r="H2" s="82"/>
      <c r="T2" s="82"/>
    </row>
    <row r="3" spans="2:29">
      <c r="B3" s="76" t="s">
        <v>221</v>
      </c>
      <c r="C3" s="76" t="s">
        <v>579</v>
      </c>
      <c r="D3" s="76" t="s">
        <v>580</v>
      </c>
      <c r="E3" s="88" t="s">
        <v>228</v>
      </c>
      <c r="F3" s="4" t="s">
        <v>224</v>
      </c>
      <c r="AC3" t="s">
        <v>224</v>
      </c>
    </row>
    <row r="4" spans="2:29">
      <c r="B4" s="75" t="s">
        <v>222</v>
      </c>
      <c r="C4" s="54" t="s">
        <v>160</v>
      </c>
      <c r="D4" s="92" t="s">
        <v>338</v>
      </c>
      <c r="E4" s="77" t="str">
        <f t="shared" ref="E4:E37" si="0">IF(D4="","",""""&amp;C4&amp;" "&amp;IF(C4="[FOOTER RULE - STRICT]",D4,IF(RIGHT(D4,6)=" | "&amp;CHAR(34)&amp;" &amp;",D4,D4&amp;" | "&amp;CHAR(34)&amp;" &amp;")))</f>
        <v>"[ROLE] Tech Lead | " &amp;</v>
      </c>
      <c r="F4" s="54" t="s">
        <v>224</v>
      </c>
    </row>
    <row r="5" spans="2:29">
      <c r="B5" s="75" t="s">
        <v>222</v>
      </c>
      <c r="C5" s="54" t="s">
        <v>162</v>
      </c>
      <c r="D5" s="92" t="s">
        <v>339</v>
      </c>
      <c r="E5" s="77" t="str">
        <f t="shared" si="0"/>
        <v>"[TASK] Assign incomplete " &amp; $I$2 &amp; " script challenges | " &amp;</v>
      </c>
      <c r="F5" s="54" t="s">
        <v>224</v>
      </c>
    </row>
    <row r="6" spans="2:29">
      <c r="B6" s="75" t="s">
        <v>222</v>
      </c>
      <c r="C6" s="54" t="s">
        <v>164</v>
      </c>
      <c r="D6" s="92" t="s">
        <v>165</v>
      </c>
      <c r="E6" s="77" t="str">
        <f t="shared" si="0"/>
        <v>"[TOPIC] " &amp; I9 &amp; " | " &amp;</v>
      </c>
      <c r="F6" s="54" t="s">
        <v>224</v>
      </c>
    </row>
    <row r="7" spans="2:29">
      <c r="B7" s="75" t="s">
        <v>222</v>
      </c>
      <c r="C7" s="54" t="s">
        <v>166</v>
      </c>
      <c r="D7" s="92" t="s">
        <v>167</v>
      </c>
      <c r="E7" s="77" t="str">
        <f t="shared" si="0"/>
        <v>"[LEVEL] " &amp; G9 &amp; " | " &amp;</v>
      </c>
      <c r="F7" s="54" t="s">
        <v>224</v>
      </c>
    </row>
    <row r="8" spans="2:29">
      <c r="B8" s="75" t="s">
        <v>222</v>
      </c>
      <c r="C8" s="54" t="s">
        <v>168</v>
      </c>
      <c r="D8" s="92" t="s">
        <v>276</v>
      </c>
      <c r="E8" s="77" t="str">
        <f t="shared" si="0"/>
        <v>"[COUNT] " &amp; D9 &amp; " challenges | " &amp;</v>
      </c>
      <c r="F8" s="54" t="s">
        <v>224</v>
      </c>
    </row>
    <row r="9" spans="2:29">
      <c r="B9" s="75" t="s">
        <v>222</v>
      </c>
      <c r="C9" s="54" t="s">
        <v>229</v>
      </c>
      <c r="D9" s="92" t="s">
        <v>267</v>
      </c>
      <c r="E9" s="77" t="str">
        <f t="shared" si="0"/>
        <v>"[LIBRARY BEING LEARNED] " &amp; $I$3 &amp; " | " &amp;</v>
      </c>
      <c r="F9" s="54" t="s">
        <v>224</v>
      </c>
    </row>
    <row r="10" spans="2:29">
      <c r="B10" s="75" t="s">
        <v>222</v>
      </c>
      <c r="C10" s="54" t="s">
        <v>225</v>
      </c>
      <c r="D10" s="92"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10" s="77" t="str">
        <f t="shared" si="0"/>
        <v>"[ECOSYSTEM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v>
      </c>
      <c r="F10" s="54" t="s">
        <v>224</v>
      </c>
    </row>
    <row r="11" spans="2:29">
      <c r="B11" s="75" t="s">
        <v>222</v>
      </c>
      <c r="C11" s="54" t="s">
        <v>215</v>
      </c>
      <c r="D11" s="92" t="s">
        <v>587</v>
      </c>
      <c r="E11" s="77" t="str">
        <f t="shared" si="0"/>
        <v>"[HEADER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v>
      </c>
      <c r="F11" s="54" t="s">
        <v>224</v>
      </c>
    </row>
    <row r="12" spans="2:29">
      <c r="B12" s="75" t="s">
        <v>222</v>
      </c>
      <c r="C12" s="54" t="s">
        <v>172</v>
      </c>
      <c r="D12" s="92"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2:29">
      <c r="B13" s="75" t="s">
        <v>222</v>
      </c>
      <c r="C13" s="54" t="s">
        <v>491</v>
      </c>
      <c r="D13" s="92" t="s">
        <v>483</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2:29">
      <c r="B14" s="83" t="s">
        <v>223</v>
      </c>
      <c r="C14" s="54" t="s">
        <v>230</v>
      </c>
      <c r="D14" s="92"/>
      <c r="E14" s="77" t="str">
        <f t="shared" si="0"/>
        <v/>
      </c>
      <c r="F14" s="54" t="s">
        <v>224</v>
      </c>
    </row>
    <row r="15" spans="2:29">
      <c r="B15" s="83" t="s">
        <v>223</v>
      </c>
      <c r="C15" s="54" t="s">
        <v>663</v>
      </c>
      <c r="D15" s="92" t="str">
        <f>Variables!E47 &amp; " | " &amp; CHAR(34) &amp; " &amp;"</f>
        <v>External PyPI packages MUST be specified inside a standard requirements.txt file. Do not use inline system pip commands. | " &amp;</v>
      </c>
      <c r="E15" s="77" t="str">
        <f t="shared" si="0"/>
        <v>"[EXTERNAL_PACKAGE_PROTOCOL] External PyPI packages MUST be specified inside a standard requirements.txt file. Do not use inline system pip commands. | " &amp;</v>
      </c>
      <c r="F15" s="54" t="s">
        <v>224</v>
      </c>
    </row>
    <row r="16" spans="2:29">
      <c r="B16" s="83" t="s">
        <v>223</v>
      </c>
      <c r="C16" s="54" t="s">
        <v>664</v>
      </c>
      <c r="D16" s="92" t="str">
        <f>Variables!E48 &amp; " | " &amp; CHAR(34) &amp; " &amp;"</f>
        <v>Tests MUST isolate functional logic. NEVER mutate global state; use native assert statements or pytest fixtures to verify function outputs. | " &amp;</v>
      </c>
      <c r="E16" s="77" t="str">
        <f t="shared" si="0"/>
        <v>"[TESTING_FRAMEWORK_PROTOCOL] Tests MUST isolate functional logic. NEVER mutate global state; use native assert statements or pytest fixtures to verify function outputs. | " &amp;</v>
      </c>
      <c r="F16" s="54" t="s">
        <v>224</v>
      </c>
    </row>
    <row r="17" spans="2:6">
      <c r="B17" s="83" t="s">
        <v>223</v>
      </c>
      <c r="C17" s="54" t="s">
        <v>665</v>
      </c>
      <c r="D17" s="92" t="str">
        <f>Variables!E49 &amp; " - " &amp; CHAR(34) &amp; " &amp; IF(G9=" &amp; CHAR(34) &amp; "Beginner" &amp; CHAR(34) &amp; "," &amp; CHAR(34) &amp; "5–15" &amp; CHAR(34) &amp; ", IF(G9=" &amp; CHAR(34) &amp; "Intermediate" &amp; CHAR(34) &amp; "," &amp; CHAR(34) &amp; "10–25" &amp; CHAR(34) &amp; "," &amp; CHAR(34) &amp; "15–35" &amp; CHAR(34) &amp; ")) &amp; " &amp; CHAR(34) &amp; " " &amp; Variables!E50 &amp; " | " &amp; CHAR(34) &amp; " &amp;"</f>
        <v>Each challenge MUST include: - A functional module or script using closures, generators, or functools to manage continuous state with strict type hints. - " &amp; IF(G9="Beginner","5–15", IF(G9="Intermediate","10–25","15–35")) &amp; " lines of EXECUTABLE base Python code (STRICT: Do NOT count comments or TODOs). Length MUST vary. Enforce type hints, PEP 8, and NO classes. | " &amp;</v>
      </c>
      <c r="E17" s="77" t="str">
        <f t="shared" si="0"/>
        <v>"[CHALLENGE_CONSTRAINTS_POLICY] Each challenge MUST include: - A functional module or script using closures, generators, or functools to manage continuous state with strict type hints. - " &amp; IF(G9="Beginner","5–15", IF(G9="Intermediate","10–25","15–35")) &amp; " lines of EXECUTABLE base Python code (STRICT: Do NOT count comments or TODOs). Length MUST vary. Enforce type hints, PEP 8, and NO classes. | " &amp;</v>
      </c>
      <c r="F17" s="54" t="s">
        <v>224</v>
      </c>
    </row>
    <row r="18" spans="2:6">
      <c r="B18" s="83" t="s">
        <v>271</v>
      </c>
      <c r="C18" s="54" t="s">
        <v>207</v>
      </c>
      <c r="D18" s="92" t="s">
        <v>658</v>
      </c>
      <c r="E18" s="77" t="str">
        <f t="shared" si="0"/>
        <v>"[FORMAT RULE] ALWAYS label markdown code blocks with the correct underlying programming language (e.g., elixir, python, javascript, sql) | " &amp;</v>
      </c>
      <c r="F18" s="54" t="s">
        <v>224</v>
      </c>
    </row>
    <row r="19" spans="2:6">
      <c r="B19" s="84" t="s">
        <v>271</v>
      </c>
      <c r="C19" s="54" t="s">
        <v>207</v>
      </c>
      <c r="D19" s="92" t="s">
        <v>280</v>
      </c>
      <c r="E19" s="77" t="str">
        <f t="shared" si="0"/>
        <v>"[FORMAT RULE] Only valid markdown code blocks allowed | " &amp;</v>
      </c>
      <c r="F19" s="54" t="s">
        <v>224</v>
      </c>
    </row>
    <row r="20" spans="2:6">
      <c r="B20" s="84" t="s">
        <v>271</v>
      </c>
      <c r="C20" s="54" t="s">
        <v>340</v>
      </c>
      <c r="D20" s="92" t="s">
        <v>367</v>
      </c>
      <c r="E20" s="77" t="str">
        <f t="shared" si="0"/>
        <v>"[SCORING ENFORCEMENT RULE] Score MUST be ONLY 3, 4, or 5 | " &amp;</v>
      </c>
      <c r="F20" s="54" t="s">
        <v>224</v>
      </c>
    </row>
    <row r="21" spans="2:6">
      <c r="B21" s="84" t="s">
        <v>271</v>
      </c>
      <c r="C21" s="54" t="s">
        <v>341</v>
      </c>
      <c r="D21" s="92" t="s">
        <v>342</v>
      </c>
      <c r="E21" s="77" t="str">
        <f t="shared" si="0"/>
        <v>"[DATA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21" s="54" t="s">
        <v>224</v>
      </c>
    </row>
    <row r="22" spans="2:6">
      <c r="B22" s="84" t="s">
        <v>271</v>
      </c>
      <c r="C22" s="54" t="s">
        <v>209</v>
      </c>
      <c r="D22" s="92" t="s">
        <v>281</v>
      </c>
      <c r="E22" s="77" t="str">
        <f t="shared" si="0"/>
        <v>"[LANGUAGE TAG RULE] ALWAYS label markdown code blocks with the correct underlying programming language (e.g., python, javascript, sql) | " &amp;</v>
      </c>
      <c r="F22" s="54" t="s">
        <v>224</v>
      </c>
    </row>
    <row r="23" spans="2:6">
      <c r="B23" s="84" t="s">
        <v>271</v>
      </c>
      <c r="C23" s="54" t="s">
        <v>187</v>
      </c>
      <c r="D23" s="92" t="s">
        <v>343</v>
      </c>
      <c r="E23" s="77" t="str">
        <f t="shared" si="0"/>
        <v>"[INTRO RULE] 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v>
      </c>
      <c r="F23" s="54" t="s">
        <v>224</v>
      </c>
    </row>
    <row r="24" spans="2:6">
      <c r="B24" s="84" t="s">
        <v>271</v>
      </c>
      <c r="C24" s="54" t="s">
        <v>177</v>
      </c>
      <c r="D24" s="92" t="s">
        <v>344</v>
      </c>
      <c r="E24" s="77" t="str">
        <f t="shared" si="0"/>
        <v>"[OUTPUT CONTRACT] 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v>
      </c>
      <c r="F24" s="54" t="s">
        <v>224</v>
      </c>
    </row>
    <row r="25" spans="2:6">
      <c r="B25" s="54" t="s">
        <v>271</v>
      </c>
      <c r="C25" s="54" t="s">
        <v>345</v>
      </c>
      <c r="D25" s="92" t="s">
        <v>346</v>
      </c>
      <c r="E25" s="77" t="str">
        <f t="shared" si="0"/>
        <v>"[OUTPUT TRUNCATION RULE - STRICT] If expected output is long, display ONLY the first 5 lines. Ensure accuracy. Do NOT use ellipsis (...) | " &amp;</v>
      </c>
      <c r="F25" s="54" t="s">
        <v>224</v>
      </c>
    </row>
    <row r="26" spans="2:6">
      <c r="B26" s="54" t="s">
        <v>271</v>
      </c>
      <c r="C26" s="54" t="s">
        <v>347</v>
      </c>
      <c r="D26" s="92" t="s">
        <v>348</v>
      </c>
      <c r="E26" s="77" t="str">
        <f t="shared" si="0"/>
        <v>"[OUTPUT EXECUTION RULE - STRICT] Expected output MUST be explicit, complete, and produced via print() (at least one print already in base code). Monetary values must include '$' | " &amp;</v>
      </c>
      <c r="F26" s="54" t="s">
        <v>224</v>
      </c>
    </row>
    <row r="27" spans="2:6">
      <c r="B27" s="54" t="s">
        <v>271</v>
      </c>
      <c r="C27" s="54" t="s">
        <v>349</v>
      </c>
      <c r="D27" s="92" t="s">
        <v>350</v>
      </c>
      <c r="E27" s="77" t="str">
        <f t="shared" si="0"/>
        <v>"[BASE CODE INTEGRITY RULE - STRICT] Code outside the TODO block MUST be 100% valid, logically correct, and run without errors. Do NOT simulate bugs using 'pass', '...', None, or wrong variable types outside the TODO. Variables used outside TODO must be initialized before TODO. | " &amp;</v>
      </c>
      <c r="F27" s="54" t="s">
        <v>224</v>
      </c>
    </row>
    <row r="28" spans="2:6">
      <c r="B28" s="54" t="s">
        <v>271</v>
      </c>
      <c r="C28" s="54" t="s">
        <v>351</v>
      </c>
      <c r="D28" s="92" t="s">
        <v>352</v>
      </c>
      <c r="E28" s="77" t="str">
        <f t="shared" si="0"/>
        <v>"[TODO VARIATION RULE] TODO sections MUST vary: Single-line TODO, Multiple TODOs, Small blocks (2–4 lines). | " &amp;</v>
      </c>
      <c r="F28" s="54" t="s">
        <v>224</v>
      </c>
    </row>
    <row r="29" spans="2:6">
      <c r="B29" s="54" t="s">
        <v>271</v>
      </c>
      <c r="C29" s="54" t="s">
        <v>353</v>
      </c>
      <c r="D29" s="92" t="s">
        <v>354</v>
      </c>
      <c r="E29" s="77" t="str">
        <f t="shared" si="0"/>
        <v>"[VARIABILITY RULE - STRICT] Each challenge MUST be structurally different. Vary: Code length, Logic type, Position of TODO, Number of TODOs (1–3), Data flow. | " &amp;</v>
      </c>
      <c r="F29" s="54" t="s">
        <v>224</v>
      </c>
    </row>
    <row r="30" spans="2:6">
      <c r="B30" s="54" t="s">
        <v>271</v>
      </c>
      <c r="C30" s="54" t="s">
        <v>355</v>
      </c>
      <c r="D30" s="92" t="s">
        <v>356</v>
      </c>
      <c r="E30" s="77" t="str">
        <f t="shared" si="0"/>
        <v>"[TODO REALISM RULE - STRICT] TODOs MUST represent realistic mistakes based on the topic: " &amp; I9 &amp; ". Describe what is incorrect or incomplete. Avoid imperative instructions. | " &amp;</v>
      </c>
      <c r="F30" s="54" t="s">
        <v>224</v>
      </c>
    </row>
    <row r="31" spans="2:6">
      <c r="B31" s="54" t="s">
        <v>271</v>
      </c>
      <c r="C31" s="54" t="s">
        <v>357</v>
      </c>
      <c r="D31" s="92" t="s">
        <v>358</v>
      </c>
      <c r="E31" s="77" t="str">
        <f t="shared" si="0"/>
        <v>"[TODO ISOLATION RULE - STRICT] ALL missing, incorrect, or output-affecting logic MUST exist ONLY inside the TODO block. | " &amp;</v>
      </c>
      <c r="F31" s="54" t="s">
        <v>224</v>
      </c>
    </row>
    <row r="32" spans="2:6">
      <c r="B32" s="54" t="s">
        <v>271</v>
      </c>
      <c r="C32" s="54" t="s">
        <v>303</v>
      </c>
      <c r="D32" s="92" t="s">
        <v>359</v>
      </c>
      <c r="E32" s="77" t="str">
        <f t="shared" si="0"/>
        <v>"[NO SOLUTION RULE - STRICT] The code under the # TODO MUST be left empty or with a 'pass'. DO NOT write the actual solution. | " &amp;</v>
      </c>
      <c r="F32" s="54" t="s">
        <v>224</v>
      </c>
    </row>
    <row r="33" spans="2:6">
      <c r="B33" s="54" t="s">
        <v>271</v>
      </c>
      <c r="C33" s="54" t="s">
        <v>360</v>
      </c>
      <c r="D33" s="92" t="s">
        <v>361</v>
      </c>
      <c r="E33" s="77" t="str">
        <f t="shared" si="0"/>
        <v>"[OUTPUT VERIFICATION RULE] The base code MUST print the final variables/results evaluated in the TODO block to verify correctness. | " &amp;</v>
      </c>
      <c r="F33" s="54" t="s">
        <v>224</v>
      </c>
    </row>
    <row r="34" spans="2:6">
      <c r="B34" s="54" t="s">
        <v>271</v>
      </c>
      <c r="C34" s="54" t="s">
        <v>362</v>
      </c>
      <c r="D34" s="92" t="s">
        <v>363</v>
      </c>
      <c r="E34" s="77" t="str">
        <f t="shared" si="0"/>
        <v>"[TODO GUIDANCE RULE] Rule " &amp; IF(G9="Beginner", "Clear explicit hint (no code) | ", IF(G9="Intermediate", "Brief hint | ", "Minimal hint | ")) &amp; " | " &amp;</v>
      </c>
      <c r="F34" s="54" t="s">
        <v>224</v>
      </c>
    </row>
    <row r="35" spans="2:6">
      <c r="B35" s="54" t="s">
        <v>271</v>
      </c>
      <c r="C35" s="54" t="s">
        <v>216</v>
      </c>
      <c r="D35" s="92" t="s">
        <v>364</v>
      </c>
      <c r="E35" s="77" t="str">
        <f t="shared" si="0"/>
        <v>"[OUTPUT] Only header, dataset summary or statement (if any), intro message, challenges (objective, expected output, incomplete code), and footer | " &amp;</v>
      </c>
      <c r="F35" s="54" t="s">
        <v>224</v>
      </c>
    </row>
    <row r="36" spans="2:6">
      <c r="B36" s="54" t="s">
        <v>271</v>
      </c>
      <c r="C36" s="54" t="s">
        <v>220</v>
      </c>
      <c r="D36" s="92" t="s">
        <v>366</v>
      </c>
      <c r="E36" s="77" t="str">
        <f t="shared" si="0"/>
        <v>"[FOOTER RULE - STRICT] End your entire response EXACTLY with this markdown string (ensure all code blocks are closed before it):" &amp; CHAR(10) &amp; "---" &amp; CHAR(10) &amp; "⚡ *Coding5s System - Learn Programming by Writing Code - Coding5S.com*",</v>
      </c>
      <c r="F36" s="54" t="s">
        <v>224</v>
      </c>
    </row>
    <row r="37" spans="2:6">
      <c r="B37" s="54"/>
      <c r="C37" s="54"/>
      <c r="D37" s="92"/>
      <c r="E37" s="77" t="str">
        <f t="shared" si="0"/>
        <v/>
      </c>
      <c r="F37" s="54" t="s">
        <v>224</v>
      </c>
    </row>
    <row r="38" spans="2:6">
      <c r="B38" s="54"/>
      <c r="C38" s="54"/>
      <c r="D38" s="92"/>
      <c r="E38" s="88" t="s">
        <v>365</v>
      </c>
      <c r="F38" s="54" t="s">
        <v>224</v>
      </c>
    </row>
    <row r="39" spans="2:6">
      <c r="B39" s="54"/>
      <c r="C39" s="54"/>
      <c r="D39" s="92"/>
      <c r="E39" s="77"/>
      <c r="F39" s="54" t="s">
        <v>224</v>
      </c>
    </row>
    <row r="40" spans="2:6">
      <c r="B40" s="54"/>
      <c r="C40" s="54"/>
      <c r="D40" s="92"/>
      <c r="E40" s="77"/>
      <c r="F40" s="54" t="s">
        <v>224</v>
      </c>
    </row>
    <row r="41" spans="2:6">
      <c r="B41" s="54"/>
      <c r="C41" s="54"/>
      <c r="D41" s="92"/>
      <c r="E41" s="77"/>
      <c r="F41" s="54" t="s">
        <v>224</v>
      </c>
    </row>
    <row r="42" spans="2:6">
      <c r="B42" s="54"/>
      <c r="C42" s="54"/>
      <c r="D42" s="92"/>
      <c r="E42" s="77"/>
      <c r="F42" s="54"/>
    </row>
    <row r="43" spans="2:6">
      <c r="B43" s="74"/>
      <c r="C43" s="74"/>
      <c r="E43" s="86"/>
    </row>
    <row r="44" spans="2:6">
      <c r="B44" s="74"/>
      <c r="C44" s="74"/>
      <c r="E44" s="86"/>
    </row>
    <row r="45" spans="2:6" ht="36">
      <c r="B45" s="79" t="s">
        <v>443</v>
      </c>
      <c r="C45" s="74"/>
      <c r="E45" s="86"/>
    </row>
    <row r="46" spans="2:6">
      <c r="B46" s="76" t="s">
        <v>264</v>
      </c>
      <c r="C46" s="76" t="s">
        <v>579</v>
      </c>
      <c r="D46" s="76" t="s">
        <v>580</v>
      </c>
      <c r="E46" s="88" t="s">
        <v>265</v>
      </c>
      <c r="F46" s="32" t="s">
        <v>224</v>
      </c>
    </row>
    <row r="47" spans="2:6">
      <c r="B47" s="54" t="s">
        <v>222</v>
      </c>
      <c r="C47" s="54" t="s">
        <v>160</v>
      </c>
      <c r="D47" s="92" t="s">
        <v>338</v>
      </c>
      <c r="E47" s="77" t="str">
        <f t="shared" ref="E47:E52" si="1">IF(D47="","",""""&amp;C47&amp;" "&amp;IF(C47="[FOOTER RULE - STRICT]",D47,IF(RIGHT(D47,6)=" | "&amp;CHAR(34)&amp;" &amp;",D47,D47&amp;" | "&amp;CHAR(34)&amp;" &amp;")))</f>
        <v>"[ROLE] Tech Lead | " &amp;</v>
      </c>
      <c r="F47" s="32" t="s">
        <v>224</v>
      </c>
    </row>
    <row r="48" spans="2:6">
      <c r="B48" s="54" t="s">
        <v>222</v>
      </c>
      <c r="C48" s="54" t="s">
        <v>162</v>
      </c>
      <c r="D48" s="92" t="s">
        <v>368</v>
      </c>
      <c r="E48" s="77" t="str">
        <f t="shared" si="1"/>
        <v>"[TASK] Assign incomplete project script | " &amp;</v>
      </c>
      <c r="F48" s="32" t="s">
        <v>224</v>
      </c>
    </row>
    <row r="49" spans="2:6">
      <c r="B49" s="54" t="s">
        <v>222</v>
      </c>
      <c r="C49" s="54" t="s">
        <v>313</v>
      </c>
      <c r="D49" s="92" t="s">
        <v>165</v>
      </c>
      <c r="E49" s="77" t="str">
        <f t="shared" si="1"/>
        <v>"[PROJECT] " &amp; I9 &amp; " | " &amp;</v>
      </c>
      <c r="F49" s="32" t="s">
        <v>224</v>
      </c>
    </row>
    <row r="50" spans="2:6">
      <c r="B50" s="54" t="s">
        <v>222</v>
      </c>
      <c r="C50" s="54" t="s">
        <v>253</v>
      </c>
      <c r="D50" s="92" t="s">
        <v>777</v>
      </c>
      <c r="E50" s="77" t="str">
        <f t="shared" si="1"/>
        <v>"[TOPICS USED] " &amp; A9 &amp; " | " &amp;</v>
      </c>
      <c r="F50" s="32" t="s">
        <v>224</v>
      </c>
    </row>
    <row r="51" spans="2:6">
      <c r="B51" s="54" t="s">
        <v>222</v>
      </c>
      <c r="C51" s="54" t="s">
        <v>166</v>
      </c>
      <c r="D51" s="92" t="s">
        <v>167</v>
      </c>
      <c r="E51" s="77" t="str">
        <f t="shared" si="1"/>
        <v>"[LEVEL] " &amp; G9 &amp; " | " &amp;</v>
      </c>
      <c r="F51" s="32" t="s">
        <v>224</v>
      </c>
    </row>
    <row r="52" spans="2:6">
      <c r="B52" s="54" t="s">
        <v>222</v>
      </c>
      <c r="C52" s="54" t="s">
        <v>229</v>
      </c>
      <c r="D52" s="92" t="s">
        <v>267</v>
      </c>
      <c r="E52" s="77" t="str">
        <f t="shared" si="1"/>
        <v>"[LIBRARY BEING LEARNED] " &amp; $I$3 &amp; " | " &amp;</v>
      </c>
      <c r="F52" s="32" t="s">
        <v>224</v>
      </c>
    </row>
    <row r="53" spans="2:6">
      <c r="B53" s="75" t="s">
        <v>222</v>
      </c>
      <c r="C53" s="54" t="s">
        <v>225</v>
      </c>
      <c r="D53" s="92"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53" s="77"/>
      <c r="F53" s="32"/>
    </row>
    <row r="54" spans="2:6">
      <c r="B54" s="54" t="s">
        <v>222</v>
      </c>
      <c r="C54" s="54" t="s">
        <v>172</v>
      </c>
      <c r="D54" s="92" t="s">
        <v>254</v>
      </c>
      <c r="E54" s="77" t="str">
        <f t="shared" ref="E54:E76" si="2">IF(D54="","",""""&amp;C54&amp;" "&amp;IF(C54="[FOOTER RULE - STRICT]",D54,IF(RIGHT(D54,6)=" | "&amp;CHAR(34)&amp;" &amp;",D54,D54&amp;" | "&amp;CHAR(34)&amp;" &amp;")))</f>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4" s="32" t="s">
        <v>224</v>
      </c>
    </row>
    <row r="55" spans="2:6">
      <c r="B55" s="54" t="s">
        <v>222</v>
      </c>
      <c r="C55" s="54" t="s">
        <v>491</v>
      </c>
      <c r="D55" s="92" t="s">
        <v>483</v>
      </c>
      <c r="E55" s="77" t="str">
        <f t="shared" si="2"/>
        <v>"[LANGUAGE SEED CONTEXT] " &amp; IF($AE$7 = "", "Language Seed Not Necessary", "You MUST strictly follow this seed context to enhance, adapt, and naturalize your tone, vocabulary, and instructional quality in " &amp; $B$6 &amp; ": " &amp; $AE$7) &amp; " | " &amp;</v>
      </c>
      <c r="F55" s="32" t="s">
        <v>224</v>
      </c>
    </row>
    <row r="56" spans="2:6">
      <c r="B56" s="54" t="s">
        <v>222</v>
      </c>
      <c r="C56" s="54" t="s">
        <v>215</v>
      </c>
      <c r="D56" s="92" t="s">
        <v>588</v>
      </c>
      <c r="E56" s="77" t="str">
        <f t="shared" si="2"/>
        <v>"[HEADER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v>
      </c>
      <c r="F56" s="32" t="s">
        <v>224</v>
      </c>
    </row>
    <row r="57" spans="2:6">
      <c r="B57" s="54" t="s">
        <v>223</v>
      </c>
      <c r="C57" s="54" t="s">
        <v>663</v>
      </c>
      <c r="D57" s="92" t="str">
        <f>Variables!E51 &amp; " | " &amp; CHAR(34) &amp; " &amp;"</f>
        <v>Require standard pip tooling and requirements.txt for dependencies. | " &amp;</v>
      </c>
      <c r="E57" s="77" t="str">
        <f t="shared" si="2"/>
        <v>"[EXTERNAL_PACKAGE_PROTOCOL] Require standard pip tooling and requirements.txt for dependencies. | " &amp;</v>
      </c>
      <c r="F57" s="32" t="s">
        <v>224</v>
      </c>
    </row>
    <row r="58" spans="2:6">
      <c r="B58" s="54" t="s">
        <v>223</v>
      </c>
      <c r="C58" s="54" t="s">
        <v>665</v>
      </c>
      <c r="D58" s="92" t="str">
        <f>Variables!E52 &amp; " " &amp; CHAR(34) &amp; " &amp; IF(G9=" &amp; CHAR(34) &amp; "Beginner" &amp; CHAR(34) &amp; "," &amp; CHAR(34) &amp; "25–40" &amp; CHAR(34) &amp; ", IF(G9=" &amp; CHAR(34) &amp; "Intermediate" &amp; CHAR(34) &amp; "," &amp; CHAR(34) &amp; "30–60" &amp; CHAR(34) &amp; "," &amp; CHAR(34) &amp; "40–100" &amp; CHAR(34) &amp; ")) &amp; " &amp; CHAR(34) &amp; " " &amp; Variables!E53 &amp; " | " &amp; CHAR(34) &amp; " &amp;"</f>
        <v>MUST be between " &amp; IF(G9="Beginner","25–40", IF(G9="Intermediate","30–60","40–100")) &amp; " lines of EXECUTABLE base Python code (STRICT: Do NOT count comments or TODOs). Must feature functional data pipelines or asynchronous asyncio flows. | " &amp;</v>
      </c>
      <c r="E58" s="77" t="str">
        <f t="shared" si="2"/>
        <v>"[CHALLENGE_CONSTRAINTS_POLICY] MUST be between " &amp; IF(G9="Beginner","25–40", IF(G9="Intermediate","30–60","40–100")) &amp; " lines of EXECUTABLE base Python code (STRICT: Do NOT count comments or TODOs). Must feature functional data pipelines or asynchronous asyncio flows. | " &amp;</v>
      </c>
      <c r="F58" s="32" t="s">
        <v>224</v>
      </c>
    </row>
    <row r="59" spans="2:6">
      <c r="B59" s="54" t="s">
        <v>271</v>
      </c>
      <c r="C59" s="54" t="s">
        <v>207</v>
      </c>
      <c r="D59" s="92" t="s">
        <v>280</v>
      </c>
      <c r="E59" s="77" t="str">
        <f t="shared" si="2"/>
        <v>"[FORMAT RULE] Only valid markdown code blocks allowed | " &amp;</v>
      </c>
      <c r="F59" s="32" t="s">
        <v>224</v>
      </c>
    </row>
    <row r="60" spans="2:6">
      <c r="B60" s="54" t="s">
        <v>271</v>
      </c>
      <c r="C60" s="54" t="s">
        <v>209</v>
      </c>
      <c r="D60" s="92" t="s">
        <v>281</v>
      </c>
      <c r="E60" s="77" t="str">
        <f t="shared" si="2"/>
        <v>"[LANGUAGE TAG RULE] ALWAYS label markdown code blocks with the correct underlying programming language (e.g., python, javascript, sql) | " &amp;</v>
      </c>
      <c r="F60" s="32" t="s">
        <v>224</v>
      </c>
    </row>
    <row r="61" spans="2:6">
      <c r="B61" s="54" t="s">
        <v>271</v>
      </c>
      <c r="C61" s="54" t="s">
        <v>341</v>
      </c>
      <c r="D61" s="92" t="s">
        <v>369</v>
      </c>
      <c r="E61" s="77" t="str">
        <f t="shared" si="2"/>
        <v>"[DATA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61" s="32" t="s">
        <v>224</v>
      </c>
    </row>
    <row r="62" spans="2:6">
      <c r="B62" s="54" t="s">
        <v>271</v>
      </c>
      <c r="C62" s="54" t="s">
        <v>187</v>
      </c>
      <c r="D62" s="92" t="s">
        <v>370</v>
      </c>
      <c r="E62" s="77" t="str">
        <f t="shared" si="2"/>
        <v>"[INTRO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v>
      </c>
      <c r="F62" s="32" t="s">
        <v>224</v>
      </c>
    </row>
    <row r="63" spans="2:6">
      <c r="B63" s="54" t="s">
        <v>271</v>
      </c>
      <c r="C63" s="54" t="s">
        <v>177</v>
      </c>
      <c r="D63" s="92" t="s">
        <v>371</v>
      </c>
      <c r="E63" s="77" t="str">
        <f t="shared" si="2"/>
        <v>"[OUTPUT CONTRACT] EXACTLY 1 project. Structure MUST be: Tech Lead Intro Message, Project: Objective (max 6 lines), Expected Output (code block), Incomplete Code | " &amp;</v>
      </c>
      <c r="F63" s="32" t="s">
        <v>224</v>
      </c>
    </row>
    <row r="64" spans="2:6">
      <c r="B64" s="54" t="s">
        <v>271</v>
      </c>
      <c r="C64" s="54" t="s">
        <v>372</v>
      </c>
      <c r="D64" s="92" t="s">
        <v>373</v>
      </c>
      <c r="E64" s="77" t="str">
        <f t="shared" si="2"/>
        <v>"[OUTPUT TRUNCATION RULE] If output is large, show only first 5 lines. Do NOT use ellipsis (...) | " &amp;</v>
      </c>
      <c r="F64" s="32" t="s">
        <v>224</v>
      </c>
    </row>
    <row r="65" spans="2:6">
      <c r="B65" s="54" t="s">
        <v>271</v>
      </c>
      <c r="C65" s="54" t="s">
        <v>347</v>
      </c>
      <c r="D65" s="92" t="s">
        <v>374</v>
      </c>
      <c r="E65" s="77" t="str">
        <f t="shared" si="2"/>
        <v>"[OUTPUT EXECUTION RULE - STRICT] Expected output MUST be explicit, complete, and produced via final print(). | " &amp;</v>
      </c>
      <c r="F65" s="32" t="s">
        <v>224</v>
      </c>
    </row>
    <row r="66" spans="2:6">
      <c r="B66" s="54" t="s">
        <v>271</v>
      </c>
      <c r="C66" s="54" t="s">
        <v>349</v>
      </c>
      <c r="D66" s="92" t="s">
        <v>375</v>
      </c>
      <c r="E66" s="77" t="str">
        <f t="shared" si="2"/>
        <v>"[BASE CODE INTEGRITY RULE - STRICT] Code outside the TODO block MUST be 100% valid, logically correct, and run without errors. Do NOT use 'pass', '...', or empty placeholders outside the TODO. | " &amp;</v>
      </c>
      <c r="F66" s="32" t="s">
        <v>224</v>
      </c>
    </row>
    <row r="67" spans="2:6">
      <c r="B67" s="54" t="s">
        <v>271</v>
      </c>
      <c r="C67" s="54" t="s">
        <v>376</v>
      </c>
      <c r="D67" s="92" t="s">
        <v>377</v>
      </c>
      <c r="E67" s="77" t="str">
        <f t="shared" si="2"/>
        <v>"[TODO REALISM RULE] TODO must represent realistic integration bugs. Describe what is incorrect/incomplete. | " &amp;</v>
      </c>
      <c r="F67" s="32" t="s">
        <v>224</v>
      </c>
    </row>
    <row r="68" spans="2:6">
      <c r="B68" s="54" t="s">
        <v>271</v>
      </c>
      <c r="C68" s="54" t="s">
        <v>357</v>
      </c>
      <c r="D68" s="92" t="s">
        <v>378</v>
      </c>
      <c r="E68" s="77" t="str">
        <f t="shared" si="2"/>
        <v>"[TODO ISOLATION RULE - STRICT] ALL missing, incorrect, or output-affecting logic MUST exist ONLY inside the TODO block. Replace ONLY integration logic. | " &amp;</v>
      </c>
      <c r="F68" s="32" t="s">
        <v>224</v>
      </c>
    </row>
    <row r="69" spans="2:6">
      <c r="B69" s="54" t="s">
        <v>271</v>
      </c>
      <c r="C69" s="54" t="s">
        <v>303</v>
      </c>
      <c r="D69" s="92" t="s">
        <v>359</v>
      </c>
      <c r="E69" s="77" t="str">
        <f t="shared" si="2"/>
        <v>"[NO SOLUTION RULE - STRICT] The code under the # TODO MUST be left empty or with a 'pass'. DO NOT write the actual solution. | " &amp;</v>
      </c>
      <c r="F69" s="32" t="s">
        <v>224</v>
      </c>
    </row>
    <row r="70" spans="2:6">
      <c r="B70" s="54" t="s">
        <v>271</v>
      </c>
      <c r="C70" s="54" t="s">
        <v>216</v>
      </c>
      <c r="D70" s="92" t="s">
        <v>379</v>
      </c>
      <c r="E70" s="77" t="str">
        <f t="shared" si="2"/>
        <v>"[OUTPUT] Only header, dataset summary or statement (if any), intro message, objective, expected output, incomplete code, and footer | " &amp;</v>
      </c>
      <c r="F70" s="32" t="s">
        <v>224</v>
      </c>
    </row>
    <row r="71" spans="2:6">
      <c r="B71" s="54" t="s">
        <v>271</v>
      </c>
      <c r="C71" s="54" t="s">
        <v>220</v>
      </c>
      <c r="D71" s="92" t="s">
        <v>380</v>
      </c>
      <c r="E71" s="77" t="str">
        <f t="shared" si="2"/>
        <v>"[FOOTER RULE - STRICT] End your entire response EXACTLY with this markdown string (ensure all code blocks are closed before it):" &amp; CHAR(10) &amp; "---" &amp; CHAR(10) &amp; "⚡ *Coding5s System - Learn Programming by Writing Code - Coding5S.com*")</v>
      </c>
      <c r="F71" s="32" t="s">
        <v>224</v>
      </c>
    </row>
    <row r="72" spans="2:6">
      <c r="B72" s="54"/>
      <c r="C72" s="54"/>
      <c r="D72" s="92"/>
      <c r="E72" s="77" t="str">
        <f t="shared" si="2"/>
        <v/>
      </c>
      <c r="F72" s="32" t="s">
        <v>224</v>
      </c>
    </row>
    <row r="73" spans="2:6">
      <c r="B73" s="54"/>
      <c r="C73" s="54"/>
      <c r="D73" s="92"/>
      <c r="E73" s="77" t="str">
        <f t="shared" si="2"/>
        <v/>
      </c>
      <c r="F73" s="32" t="s">
        <v>224</v>
      </c>
    </row>
    <row r="74" spans="2:6">
      <c r="B74" s="54"/>
      <c r="C74" s="54"/>
      <c r="D74" s="92"/>
      <c r="E74" s="77" t="str">
        <f t="shared" si="2"/>
        <v/>
      </c>
      <c r="F74" s="32" t="s">
        <v>224</v>
      </c>
    </row>
    <row r="75" spans="2:6">
      <c r="B75" s="54"/>
      <c r="C75" s="54"/>
      <c r="D75" s="92"/>
      <c r="E75" s="77" t="str">
        <f t="shared" si="2"/>
        <v/>
      </c>
      <c r="F75" s="32" t="s">
        <v>224</v>
      </c>
    </row>
    <row r="76" spans="2:6">
      <c r="B76" s="54"/>
      <c r="C76" s="54"/>
      <c r="D76" s="92"/>
      <c r="E76" s="77" t="str">
        <f t="shared" si="2"/>
        <v/>
      </c>
      <c r="F76" s="32" t="s">
        <v>224</v>
      </c>
    </row>
    <row r="77" spans="2:6">
      <c r="E77" s="86"/>
      <c r="F77" t="s">
        <v>224</v>
      </c>
    </row>
    <row r="79" spans="2:6" ht="36">
      <c r="B79" s="80" t="s">
        <v>441</v>
      </c>
    </row>
    <row r="80" spans="2:6">
      <c r="B80" s="76" t="s">
        <v>221</v>
      </c>
      <c r="C80" s="76" t="s">
        <v>579</v>
      </c>
      <c r="D80" s="76" t="s">
        <v>580</v>
      </c>
      <c r="E80" s="89" t="s">
        <v>234</v>
      </c>
      <c r="F80" s="54" t="s">
        <v>224</v>
      </c>
    </row>
    <row r="81" spans="2:6">
      <c r="B81" s="54" t="s">
        <v>222</v>
      </c>
      <c r="C81" s="54" t="s">
        <v>382</v>
      </c>
      <c r="D81" s="92" t="s">
        <v>383</v>
      </c>
      <c r="E81" s="17" t="str">
        <f t="shared" ref="E81:E95" si="3">IF(D81="","",""""&amp;C81&amp;" "&amp;IF(OR(C81="[FOOTER RULE - STRICT]",C81="[FOOTER RULE]"),D81,IF(RIGHT(D81,6)=" | "&amp;CHAR(34)&amp;" &amp;",D81,D81&amp;" | "&amp;CHAR(34)&amp;" &amp;")))</f>
        <v>"[MENTOR_S3_BUILDER] 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v>
      </c>
      <c r="F81" s="54" t="s">
        <v>224</v>
      </c>
    </row>
    <row r="82" spans="2:6">
      <c r="B82" s="54" t="s">
        <v>222</v>
      </c>
      <c r="C82" s="54" t="s">
        <v>236</v>
      </c>
      <c r="D82" s="92" t="s">
        <v>384</v>
      </c>
      <c r="E82" s="17" t="str">
        <f t="shared" si="3"/>
        <v>"[CULTURAL &amp; JARGON RULE] 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v>
      </c>
      <c r="F82" s="54" t="s">
        <v>224</v>
      </c>
    </row>
    <row r="83" spans="2:6">
      <c r="B83" s="54" t="s">
        <v>222</v>
      </c>
      <c r="C83" s="54" t="s">
        <v>237</v>
      </c>
      <c r="D83" s="92" t="s">
        <v>780</v>
      </c>
      <c r="E83" s="17" t="str">
        <f t="shared" si="3"/>
        <v>"[CONTEXT] You are helping a Junior Developer complete a " &amp; IF(UPPER(H9)="PROJECT", "PROJECT: " &amp; I9 &amp; ". Topics involved: " &amp; A9 &amp; ". Project objective: " &amp; J9, "TOPIC: " &amp; I9 &amp; ". Topic details: " &amp; J9) &amp; " | " &amp;</v>
      </c>
      <c r="F83" s="54" t="s">
        <v>224</v>
      </c>
    </row>
    <row r="84" spans="2:6">
      <c r="B84" s="54" t="s">
        <v>222</v>
      </c>
      <c r="C84" s="54" t="s">
        <v>162</v>
      </c>
      <c r="D84" s="92" t="s">
        <v>385</v>
      </c>
      <c r="E84" s="17" t="str">
        <f t="shared" si="3"/>
        <v>"[TASK] Analyze the student's code and explanation. If they completed the data flow perfectly, celebrate the 'solid foundation' and offer a 'System Extension' challenge. Otherwise, follow the 2-PHASE MENTORING PROTOCOL | " &amp;</v>
      </c>
      <c r="F84" s="54" t="s">
        <v>224</v>
      </c>
    </row>
    <row r="85" spans="2:6">
      <c r="B85" s="54" t="s">
        <v>222</v>
      </c>
      <c r="C85" s="54" t="s">
        <v>229</v>
      </c>
      <c r="D85" s="92" t="s">
        <v>267</v>
      </c>
      <c r="E85" s="17" t="str">
        <f t="shared" si="3"/>
        <v>"[LIBRARY BEING LEARNED] " &amp; $I$3 &amp; " | " &amp;</v>
      </c>
      <c r="F85" s="54" t="s">
        <v>224</v>
      </c>
    </row>
    <row r="86" spans="2:6">
      <c r="B86" s="54" t="s">
        <v>222</v>
      </c>
      <c r="C86" s="54" t="s">
        <v>172</v>
      </c>
      <c r="D86" s="92" t="s">
        <v>254</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2" t="s">
        <v>483</v>
      </c>
      <c r="E87" s="17" t="str">
        <f t="shared" si="3"/>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2" t="s">
        <v>589</v>
      </c>
      <c r="E88" s="17" t="str">
        <f t="shared" si="3"/>
        <v>"[HEADER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v>
      </c>
      <c r="F88" s="54" t="s">
        <v>224</v>
      </c>
    </row>
    <row r="89" spans="2:6">
      <c r="B89" s="54" t="s">
        <v>223</v>
      </c>
      <c r="C89" s="54" t="s">
        <v>230</v>
      </c>
      <c r="D89" s="92"/>
      <c r="E89" s="17" t="str">
        <f t="shared" si="3"/>
        <v/>
      </c>
      <c r="F89" s="54" t="s">
        <v>224</v>
      </c>
    </row>
    <row r="90" spans="2:6">
      <c r="B90" s="54" t="s">
        <v>223</v>
      </c>
      <c r="C90" s="54" t="s">
        <v>243</v>
      </c>
      <c r="D90" s="92" t="str">
        <f>Variables!E54 &amp; " " &amp; Variables!E55 &amp; " " &amp; Variables!E56 &amp; " " &amp; Variables!E57 &amp; " | " &amp; CHAR(34) &amp; " &amp;"</f>
        <v>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 &amp;</v>
      </c>
      <c r="E90" s="17" t="str">
        <f t="shared" si="3"/>
        <v>"[PYTHON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 &amp;</v>
      </c>
      <c r="F90" s="54" t="s">
        <v>224</v>
      </c>
    </row>
    <row r="91" spans="2:6">
      <c r="B91" s="54" t="s">
        <v>271</v>
      </c>
      <c r="C91" s="54" t="s">
        <v>238</v>
      </c>
      <c r="D91" s="92" t="s">
        <v>386</v>
      </c>
      <c r="E91" s="17" t="str">
        <f t="shared" si="3"/>
        <v>"[EMPTY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v>
      </c>
      <c r="F91" s="54" t="s">
        <v>224</v>
      </c>
    </row>
    <row r="92" spans="2:6">
      <c r="B92" s="54" t="s">
        <v>271</v>
      </c>
      <c r="C92" s="54" t="s">
        <v>240</v>
      </c>
      <c r="D92" s="92" t="s">
        <v>387</v>
      </c>
      <c r="E92" s="17" t="str">
        <f t="shared" si="3"/>
        <v>"[PHASE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v>
      </c>
      <c r="F92" s="54" t="s">
        <v>224</v>
      </c>
    </row>
    <row r="93" spans="2:6">
      <c r="B93" s="54" t="s">
        <v>271</v>
      </c>
      <c r="C93" s="54" t="s">
        <v>241</v>
      </c>
      <c r="D93" s="92" t="s">
        <v>388</v>
      </c>
      <c r="E93" s="17" t="str">
        <f t="shared" si="3"/>
        <v>"[EXPLANATION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v>
      </c>
      <c r="F93" s="54" t="s">
        <v>224</v>
      </c>
    </row>
    <row r="94" spans="2:6">
      <c r="B94" s="54" t="s">
        <v>271</v>
      </c>
      <c r="C94" s="54" t="s">
        <v>244</v>
      </c>
      <c r="D94" s="92" t="s">
        <v>389</v>
      </c>
      <c r="E94" s="17" t="str">
        <f t="shared" si="3"/>
        <v>"[PHASE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v>
      </c>
      <c r="F94" s="54" t="s">
        <v>224</v>
      </c>
    </row>
    <row r="95" spans="2:6">
      <c r="B95" s="54" t="s">
        <v>271</v>
      </c>
      <c r="C95" s="54" t="s">
        <v>330</v>
      </c>
      <c r="D95" s="92" t="s">
        <v>390</v>
      </c>
      <c r="E95" s="17" t="str">
        <f t="shared" si="3"/>
        <v>"[FOOTER RULE] End your response with: '--- ⚡ *Coding5s Mentor System — Eliminating Epistemic Debt &amp; Connecting the Flow*',</v>
      </c>
      <c r="F95" s="54" t="s">
        <v>224</v>
      </c>
    </row>
    <row r="96" spans="2:6">
      <c r="B96" s="54"/>
      <c r="C96" s="54"/>
      <c r="D96" s="54"/>
      <c r="E96" s="89" t="s">
        <v>336</v>
      </c>
      <c r="F96" s="54" t="s">
        <v>224</v>
      </c>
    </row>
    <row r="97" spans="2:6">
      <c r="B97" s="54"/>
      <c r="C97" s="54"/>
      <c r="D97" s="54"/>
      <c r="E97" s="77" t="str">
        <f t="shared" ref="E97:E100" si="4">IF(D97="","",""""&amp;C97&amp;" "&amp;IF(C97="[FOOTER RULE - STRICT]",D97,IF(RIGHT(D97,6)=" | "&amp;CHAR(34)&amp;" &amp;",D97,D97&amp;" | "&amp;CHAR(34)&amp;" &amp;")))</f>
        <v/>
      </c>
      <c r="F97" s="54" t="s">
        <v>224</v>
      </c>
    </row>
    <row r="98" spans="2:6">
      <c r="B98" s="54"/>
      <c r="C98" s="54"/>
      <c r="D98" s="54"/>
      <c r="E98" s="77" t="str">
        <f t="shared" si="4"/>
        <v/>
      </c>
      <c r="F98" s="54" t="s">
        <v>224</v>
      </c>
    </row>
    <row r="99" spans="2:6">
      <c r="B99" s="54"/>
      <c r="C99" s="54"/>
      <c r="D99" s="54"/>
      <c r="E99" s="77" t="str">
        <f t="shared" si="4"/>
        <v/>
      </c>
      <c r="F99" s="54" t="s">
        <v>224</v>
      </c>
    </row>
    <row r="100" spans="2:6">
      <c r="B100" s="54"/>
      <c r="C100" s="54"/>
      <c r="D100" s="54"/>
      <c r="E100" s="77" t="str">
        <f t="shared" si="4"/>
        <v/>
      </c>
      <c r="F100" s="54" t="s">
        <v>224</v>
      </c>
    </row>
  </sheetData>
  <conditionalFormatting sqref="B1:B1048576">
    <cfRule type="cellIs" dxfId="32" priority="10" operator="equal">
      <formula>"The Immutable Kernel"</formula>
    </cfRule>
    <cfRule type="cellIs" dxfId="31" priority="11" operator="equal">
      <formula>"Paradigm &amp; Ecosystem"</formula>
    </cfRule>
    <cfRule type="cellIs" dxfId="30" priority="12" operator="equal">
      <formula>"Global Variables &amp; Configuration"</formula>
    </cfRule>
  </conditionalFormatting>
  <conditionalFormatting sqref="C4:C42 C47:C76">
    <cfRule type="expression" dxfId="29" priority="7">
      <formula>$B4="The Immutable Kernel"</formula>
    </cfRule>
    <cfRule type="expression" dxfId="28" priority="8">
      <formula>$B4="Paradigm &amp; Ecosystem"</formula>
    </cfRule>
    <cfRule type="expression" dxfId="27" priority="9">
      <formula>$B4="Global Variables &amp; Configuration"</formula>
    </cfRule>
  </conditionalFormatting>
  <conditionalFormatting sqref="C81:C100">
    <cfRule type="expression" dxfId="26" priority="1">
      <formula>$B81="The Immutable Kernel"</formula>
    </cfRule>
    <cfRule type="expression" dxfId="25" priority="2">
      <formula>$B81="Paradigm &amp; Ecosystem"</formula>
    </cfRule>
    <cfRule type="expression" dxfId="24" priority="3">
      <formula>$B81="Global Variables &amp; Configuration"</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F814-CC28-465C-954B-342AA4B9A726}">
  <sheetPr>
    <tabColor theme="9" tint="0.79998168889431442"/>
  </sheetPr>
  <dimension ref="B2:AC100"/>
  <sheetViews>
    <sheetView showGridLines="0" topLeftCell="A83" zoomScaleNormal="100" workbookViewId="0">
      <selection activeCell="E80" sqref="E80:E97"/>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440</v>
      </c>
      <c r="D2" s="81" t="s">
        <v>413</v>
      </c>
      <c r="H2" s="82"/>
      <c r="T2" s="82"/>
    </row>
    <row r="3" spans="2:29">
      <c r="B3" s="76" t="s">
        <v>221</v>
      </c>
      <c r="C3" s="76" t="s">
        <v>579</v>
      </c>
      <c r="D3" s="76" t="s">
        <v>580</v>
      </c>
      <c r="E3" s="88" t="s">
        <v>228</v>
      </c>
      <c r="F3" s="4" t="s">
        <v>224</v>
      </c>
      <c r="AC3" t="s">
        <v>224</v>
      </c>
    </row>
    <row r="4" spans="2:29">
      <c r="B4" s="75" t="s">
        <v>222</v>
      </c>
      <c r="C4" s="54" t="s">
        <v>160</v>
      </c>
      <c r="D4" s="90" t="s">
        <v>338</v>
      </c>
      <c r="E4" s="77" t="str">
        <f t="shared" ref="E4:E39" si="0">IF(D4="","",""""&amp;C4&amp;" "&amp;IF(C4="[FOOTER RULE - STRICT]",D4,IF(RIGHT(D4,6)=" | "&amp;CHAR(34)&amp;" &amp;",D4,D4&amp;" | "&amp;CHAR(34)&amp;" &amp;")))</f>
        <v>"[ROLE] Tech Lead | " &amp;</v>
      </c>
      <c r="F4" s="54" t="s">
        <v>224</v>
      </c>
    </row>
    <row r="5" spans="2:29">
      <c r="B5" s="75" t="s">
        <v>222</v>
      </c>
      <c r="C5" s="54" t="s">
        <v>162</v>
      </c>
      <c r="D5" s="90" t="s">
        <v>391</v>
      </c>
      <c r="E5" s="77" t="str">
        <f t="shared" si="0"/>
        <v>"[TASK] Provide intentionally messy but functional code for learning debugging and improvement | " &amp;</v>
      </c>
      <c r="F5" s="54" t="s">
        <v>224</v>
      </c>
    </row>
    <row r="6" spans="2:29">
      <c r="B6" s="75" t="s">
        <v>222</v>
      </c>
      <c r="C6" s="54" t="s">
        <v>164</v>
      </c>
      <c r="D6" s="90" t="s">
        <v>165</v>
      </c>
      <c r="E6" s="77" t="str">
        <f t="shared" si="0"/>
        <v>"[TOPIC] " &amp; I9 &amp; " | " &amp;</v>
      </c>
      <c r="F6" s="54" t="s">
        <v>224</v>
      </c>
    </row>
    <row r="7" spans="2:29">
      <c r="B7" s="75" t="s">
        <v>222</v>
      </c>
      <c r="C7" s="54" t="s">
        <v>166</v>
      </c>
      <c r="D7" s="90" t="s">
        <v>167</v>
      </c>
      <c r="E7" s="77" t="str">
        <f t="shared" si="0"/>
        <v>"[LEVEL] " &amp; G9 &amp; " | " &amp;</v>
      </c>
      <c r="F7" s="54" t="s">
        <v>224</v>
      </c>
    </row>
    <row r="8" spans="2:29">
      <c r="B8" s="75" t="s">
        <v>222</v>
      </c>
      <c r="C8" s="54" t="s">
        <v>168</v>
      </c>
      <c r="D8" s="90" t="s">
        <v>276</v>
      </c>
      <c r="E8" s="77" t="str">
        <f t="shared" si="0"/>
        <v>"[COUNT] " &amp; D9 &amp; " challenges | " &amp;</v>
      </c>
      <c r="F8" s="54" t="s">
        <v>224</v>
      </c>
    </row>
    <row r="9" spans="2:29">
      <c r="B9" s="75" t="s">
        <v>222</v>
      </c>
      <c r="C9" s="54" t="s">
        <v>229</v>
      </c>
      <c r="D9" s="90" t="s">
        <v>267</v>
      </c>
      <c r="E9" s="77" t="str">
        <f t="shared" si="0"/>
        <v>"[LIBRARY BEING LEARNED] " &amp; $I$3 &amp; " | " &amp;</v>
      </c>
      <c r="F9" s="54" t="s">
        <v>224</v>
      </c>
    </row>
    <row r="10" spans="2:29">
      <c r="B10" s="75" t="s">
        <v>222</v>
      </c>
      <c r="C10" s="54" t="s">
        <v>225</v>
      </c>
      <c r="D10" s="90"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10" s="77" t="str">
        <f t="shared" si="0"/>
        <v>"[ECOSYSTEM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v>
      </c>
      <c r="F10" s="54" t="s">
        <v>224</v>
      </c>
    </row>
    <row r="11" spans="2:29">
      <c r="B11" s="75" t="s">
        <v>222</v>
      </c>
      <c r="C11" s="54" t="s">
        <v>170</v>
      </c>
      <c r="D11" s="90" t="s">
        <v>392</v>
      </c>
      <c r="E11" s="77" t="str">
        <f t="shared" si="0"/>
        <v>"[PERSONA RULE] Act as a Tech Lead. A junior wrote this working but messy code. Tone: professional but exhausted by the code quality | " &amp;</v>
      </c>
      <c r="F11" s="54" t="s">
        <v>224</v>
      </c>
    </row>
    <row r="12" spans="2:29">
      <c r="B12" s="75" t="s">
        <v>222</v>
      </c>
      <c r="C12" s="54" t="s">
        <v>172</v>
      </c>
      <c r="D12" s="90" t="s">
        <v>393</v>
      </c>
      <c r="E12"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2" s="54" t="s">
        <v>224</v>
      </c>
    </row>
    <row r="13" spans="2:29">
      <c r="B13" s="75" t="s">
        <v>222</v>
      </c>
      <c r="C13" s="54" t="s">
        <v>215</v>
      </c>
      <c r="D13" s="90" t="s">
        <v>590</v>
      </c>
      <c r="E13" s="77" t="str">
        <f t="shared" si="0"/>
        <v>"[HEADER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v>
      </c>
      <c r="F13" s="54" t="s">
        <v>224</v>
      </c>
    </row>
    <row r="14" spans="2:29">
      <c r="B14" s="83" t="s">
        <v>222</v>
      </c>
      <c r="C14" s="54" t="s">
        <v>491</v>
      </c>
      <c r="D14" s="90" t="s">
        <v>483</v>
      </c>
      <c r="E14" s="77" t="str">
        <f t="shared" si="0"/>
        <v>"[LANGUAGE SEED CONTEXT] " &amp; IF($AE$7 = "", "Language Seed Not Necessary", "You MUST strictly follow this seed context to enhance, adapt, and naturalize your tone, vocabulary, and instructional quality in " &amp; $B$6 &amp; ": " &amp; $AE$7) &amp; " | " &amp;</v>
      </c>
      <c r="F14" s="54" t="s">
        <v>224</v>
      </c>
    </row>
    <row r="15" spans="2:29">
      <c r="B15" s="83" t="s">
        <v>223</v>
      </c>
      <c r="C15" s="54" t="s">
        <v>230</v>
      </c>
      <c r="D15" s="90"/>
      <c r="E15" s="77" t="str">
        <f t="shared" si="0"/>
        <v/>
      </c>
      <c r="F15" s="54" t="s">
        <v>224</v>
      </c>
    </row>
    <row r="16" spans="2:29">
      <c r="B16" s="83" t="s">
        <v>223</v>
      </c>
      <c r="C16" s="54" t="s">
        <v>230</v>
      </c>
      <c r="D16" s="90"/>
      <c r="E16" s="77" t="str">
        <f t="shared" si="0"/>
        <v/>
      </c>
      <c r="F16" s="54" t="s">
        <v>224</v>
      </c>
    </row>
    <row r="17" spans="2:6">
      <c r="B17" s="83" t="s">
        <v>223</v>
      </c>
      <c r="C17" s="54" t="s">
        <v>230</v>
      </c>
      <c r="D17" s="90"/>
      <c r="E17" s="77" t="str">
        <f t="shared" si="0"/>
        <v/>
      </c>
      <c r="F17" s="54" t="s">
        <v>224</v>
      </c>
    </row>
    <row r="18" spans="2:6">
      <c r="B18" s="54" t="s">
        <v>271</v>
      </c>
      <c r="C18" s="54" t="s">
        <v>180</v>
      </c>
      <c r="D18" s="90" t="s">
        <v>394</v>
      </c>
      <c r="E18" s="77" t="str">
        <f t="shared" si="0"/>
        <v>"[CODE QUALITY RULE] Code MUST be executable and correct BUT intentionally messy, inconsistent, or suboptimal | " &amp;</v>
      </c>
      <c r="F18" s="54" t="s">
        <v>224</v>
      </c>
    </row>
    <row r="19" spans="2:6">
      <c r="B19" s="54" t="s">
        <v>271</v>
      </c>
      <c r="C19" s="54" t="s">
        <v>395</v>
      </c>
      <c r="D19" s="90" t="s">
        <v>396</v>
      </c>
      <c r="E19" s="77" t="str">
        <f t="shared" si="0"/>
        <v>"[DIRTY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v>
      </c>
      <c r="F19" s="54" t="s">
        <v>224</v>
      </c>
    </row>
    <row r="20" spans="2:6">
      <c r="B20" s="54" t="s">
        <v>271</v>
      </c>
      <c r="C20" s="54" t="s">
        <v>397</v>
      </c>
      <c r="D20" s="90" t="s">
        <v>398</v>
      </c>
      <c r="E20" s="77" t="str">
        <f t="shared" si="0"/>
        <v>"[STYLE INCONSISTENCY RULE] Each challenge should feel like it was written at a different time with different formatting styles | " &amp;</v>
      </c>
      <c r="F20" s="54" t="s">
        <v>224</v>
      </c>
    </row>
    <row r="21" spans="2:6">
      <c r="B21" s="54" t="s">
        <v>271</v>
      </c>
      <c r="C21" s="54" t="s">
        <v>188</v>
      </c>
      <c r="D21" s="90" t="s">
        <v>675</v>
      </c>
      <c r="E21" s="77" t="str">
        <f t="shared" si="0"/>
        <v>"[FILE HANDLING RULE] Use correct loaders and enforce encoding='utf-8' and newline='' when applicable if the programming language supports it. | " &amp;</v>
      </c>
      <c r="F21" s="54" t="s">
        <v>224</v>
      </c>
    </row>
    <row r="22" spans="2:6">
      <c r="B22" s="54" t="s">
        <v>271</v>
      </c>
      <c r="C22" s="54" t="s">
        <v>189</v>
      </c>
      <c r="D22" s="90" t="s">
        <v>674</v>
      </c>
      <c r="E22" s="77" t="str">
        <f t="shared" si="0"/>
        <v>"[DATA TYPE RULE] Explicit casting required before calculations when the programming language requires it. | " &amp;</v>
      </c>
      <c r="F22" s="54" t="s">
        <v>224</v>
      </c>
    </row>
    <row r="23" spans="2:6">
      <c r="B23" s="54" t="s">
        <v>271</v>
      </c>
      <c r="C23" s="54" t="s">
        <v>190</v>
      </c>
      <c r="D23" s="90" t="s">
        <v>399</v>
      </c>
      <c r="E23" s="77" t="str">
        <f t="shared" si="0"/>
        <v>"[DATA ROBUSTNESS RULE] Handle missing, malformed, or inconsistent data safely | " &amp;</v>
      </c>
      <c r="F23" s="54" t="s">
        <v>224</v>
      </c>
    </row>
    <row r="24" spans="2:6">
      <c r="B24" s="54" t="s">
        <v>271</v>
      </c>
      <c r="C24" s="54" t="s">
        <v>191</v>
      </c>
      <c r="D24" s="90" t="s">
        <v>673</v>
      </c>
      <c r="E24" s="77" t="str">
        <f t="shared" si="0"/>
        <v>"[BOOLEAN HANDLING RULE] Normalize boolean values before comparison when the programming language requires it. | " &amp;</v>
      </c>
      <c r="F24" s="54" t="s">
        <v>224</v>
      </c>
    </row>
    <row r="25" spans="2:6">
      <c r="B25" s="54" t="s">
        <v>271</v>
      </c>
      <c r="C25" s="54" t="s">
        <v>192</v>
      </c>
      <c r="D25" s="90" t="s">
        <v>400</v>
      </c>
      <c r="E25" s="77" t="str">
        <f t="shared" si="0"/>
        <v>"[DATA CONSISTENCY RULE] Respect dataset schema | " &amp;</v>
      </c>
      <c r="F25" s="54" t="s">
        <v>224</v>
      </c>
    </row>
    <row r="26" spans="2:6">
      <c r="B26" s="54" t="s">
        <v>271</v>
      </c>
      <c r="C26" s="54" t="s">
        <v>207</v>
      </c>
      <c r="D26" s="90" t="s">
        <v>280</v>
      </c>
      <c r="E26" s="77" t="str">
        <f t="shared" si="0"/>
        <v>"[FORMAT RULE] Only valid markdown code blocks allowed | " &amp;</v>
      </c>
      <c r="F26" s="54" t="s">
        <v>224</v>
      </c>
    </row>
    <row r="27" spans="2:6">
      <c r="B27" s="54" t="s">
        <v>271</v>
      </c>
      <c r="C27" s="54" t="s">
        <v>209</v>
      </c>
      <c r="D27" s="90" t="s">
        <v>281</v>
      </c>
      <c r="E27" s="77" t="str">
        <f t="shared" si="0"/>
        <v>"[LANGUAGE TAG RULE] ALWAYS label markdown code blocks with the correct underlying programming language (e.g., python, javascript, sql) | " &amp;</v>
      </c>
      <c r="F27" s="54" t="s">
        <v>224</v>
      </c>
    </row>
    <row r="28" spans="2:6">
      <c r="B28" s="54" t="s">
        <v>271</v>
      </c>
      <c r="C28" s="54" t="s">
        <v>211</v>
      </c>
      <c r="D28" s="90" t="s">
        <v>401</v>
      </c>
      <c r="E28" s="77" t="str">
        <f t="shared" si="0"/>
        <v>"[OUTPUT FORMAT RULE] Monetary values formatted with '$', commas, 2 decimals | " &amp;</v>
      </c>
      <c r="F28" s="54" t="s">
        <v>224</v>
      </c>
    </row>
    <row r="29" spans="2:6">
      <c r="B29" s="54" t="s">
        <v>271</v>
      </c>
      <c r="C29" s="54" t="s">
        <v>216</v>
      </c>
      <c r="D29" s="90" t="s">
        <v>402</v>
      </c>
      <c r="E29" s="77" t="str">
        <f t="shared" si="0"/>
        <v>"[OUTPUT] Only header, dataset summary or statement (if any), intro, challenges, code, outputs, and footer | " &amp;</v>
      </c>
      <c r="F29" s="54" t="s">
        <v>224</v>
      </c>
    </row>
    <row r="30" spans="2:6">
      <c r="B30" s="54" t="s">
        <v>271</v>
      </c>
      <c r="C30" s="54" t="s">
        <v>174</v>
      </c>
      <c r="D30" s="90" t="s">
        <v>342</v>
      </c>
      <c r="E30" s="77"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30" s="54" t="s">
        <v>224</v>
      </c>
    </row>
    <row r="31" spans="2:6">
      <c r="B31" s="54" t="s">
        <v>271</v>
      </c>
      <c r="C31" s="54" t="s">
        <v>175</v>
      </c>
      <c r="D31" s="90" t="s">
        <v>403</v>
      </c>
      <c r="E31" s="77" t="str">
        <f t="shared" si="0"/>
        <v>"[DATA SUMMARY FORMAT RULE] When a dataset is present, you MUST display IMMEDIATELY AFTER THE HEADER: Dataset Summary: - File Type: - Columns / Fields: - Data Types: - Notes: | " &amp;</v>
      </c>
      <c r="F31" s="54" t="s">
        <v>224</v>
      </c>
    </row>
    <row r="32" spans="2:6">
      <c r="B32" s="54" t="s">
        <v>271</v>
      </c>
      <c r="C32" s="54" t="s">
        <v>187</v>
      </c>
      <c r="D32" s="90" t="s">
        <v>404</v>
      </c>
      <c r="E32" s="77" t="str">
        <f t="shared" si="0"/>
        <v>"[INTRO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 | " &amp;</v>
      </c>
      <c r="F32" s="54" t="s">
        <v>224</v>
      </c>
    </row>
    <row r="33" spans="2:6">
      <c r="B33" s="54" t="s">
        <v>271</v>
      </c>
      <c r="C33" s="54" t="s">
        <v>177</v>
      </c>
      <c r="D33" s="90" t="s">
        <v>405</v>
      </c>
      <c r="E33" s="77" t="str">
        <f t="shared" si="0"/>
        <v>"[OUTPUT CONTRACT] 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v>
      </c>
      <c r="F33" s="54" t="s">
        <v>224</v>
      </c>
    </row>
    <row r="34" spans="2:6">
      <c r="B34" s="54" t="s">
        <v>271</v>
      </c>
      <c r="C34" s="54" t="s">
        <v>406</v>
      </c>
      <c r="D34" s="90" t="s">
        <v>407</v>
      </c>
      <c r="E34" s="77" t="str">
        <f t="shared" si="0"/>
        <v>"[REVIEW INTENT RULE] The user is expected to review, identify issues, and refactor the code to production-level quality | " &amp;</v>
      </c>
      <c r="F34" s="54" t="s">
        <v>224</v>
      </c>
    </row>
    <row r="35" spans="2:6">
      <c r="B35" s="54" t="s">
        <v>271</v>
      </c>
      <c r="C35" s="54" t="s">
        <v>178</v>
      </c>
      <c r="D35" s="90" t="s">
        <v>408</v>
      </c>
      <c r="E35" s="77" t="str">
        <f t="shared" si="0"/>
        <v>"[CODE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v>
      </c>
      <c r="F35" s="54" t="s">
        <v>224</v>
      </c>
    </row>
    <row r="36" spans="2:6">
      <c r="B36" s="54" t="s">
        <v>271</v>
      </c>
      <c r="C36" s="54" t="s">
        <v>194</v>
      </c>
      <c r="D36" s="90" t="s">
        <v>409</v>
      </c>
      <c r="E36" s="77" t="str">
        <f t="shared" si="0"/>
        <v>"[SUPPORT FILES RULE] If env/config is used, include: 1. Instructional sentence 2. File content in markdown code block 3. BEFORE the main code | " &amp;</v>
      </c>
      <c r="F36" s="54" t="s">
        <v>224</v>
      </c>
    </row>
    <row r="37" spans="2:6">
      <c r="B37" s="54" t="s">
        <v>271</v>
      </c>
      <c r="C37" s="54" t="s">
        <v>195</v>
      </c>
      <c r="D37" s="90" t="s">
        <v>410</v>
      </c>
      <c r="E37" s="77" t="str">
        <f t="shared" si="0"/>
        <v>"[DIFFICULTY RULE] Complexity MUST match level | " &amp;</v>
      </c>
      <c r="F37" s="54" t="s">
        <v>224</v>
      </c>
    </row>
    <row r="38" spans="2:6">
      <c r="B38" s="54" t="s">
        <v>271</v>
      </c>
      <c r="C38" s="54" t="s">
        <v>411</v>
      </c>
      <c r="D38" s="90" t="s">
        <v>412</v>
      </c>
      <c r="E38" s="77" t="str">
        <f t="shared" si="0"/>
        <v>"[DIFFICULTY CONSISTENCY RULE] All challenges MUST have similar complexity and length, even if coding styles differ | " &amp;</v>
      </c>
      <c r="F38" s="54" t="s">
        <v>224</v>
      </c>
    </row>
    <row r="39" spans="2:6">
      <c r="B39" s="54" t="s">
        <v>271</v>
      </c>
      <c r="C39" s="54" t="s">
        <v>220</v>
      </c>
      <c r="D39" s="90" t="s">
        <v>366</v>
      </c>
      <c r="E39" s="77" t="str">
        <f t="shared" si="0"/>
        <v>"[FOOTER RULE - STRICT] End your entire response EXACTLY with this markdown string (ensure all code blocks are closed before it):" &amp; CHAR(10) &amp; "---" &amp; CHAR(10) &amp; "⚡ *Coding5s System - Learn Programming by Writing Code - Coding5S.com*",</v>
      </c>
      <c r="F39" s="54" t="s">
        <v>224</v>
      </c>
    </row>
    <row r="40" spans="2:6">
      <c r="B40" s="54"/>
      <c r="C40" s="54"/>
      <c r="D40" s="90"/>
      <c r="E40" s="88" t="s">
        <v>414</v>
      </c>
      <c r="F40" s="54" t="s">
        <v>224</v>
      </c>
    </row>
    <row r="41" spans="2:6">
      <c r="B41" s="54"/>
      <c r="C41" s="54"/>
      <c r="D41" s="90"/>
      <c r="E41" s="77"/>
      <c r="F41" s="54"/>
    </row>
    <row r="42" spans="2:6">
      <c r="B42" s="74"/>
      <c r="C42" s="74"/>
      <c r="E42" s="86"/>
    </row>
    <row r="43" spans="2:6">
      <c r="B43" s="74"/>
      <c r="C43" s="74"/>
      <c r="E43" s="86"/>
    </row>
    <row r="44" spans="2:6" ht="36">
      <c r="B44" s="79" t="s">
        <v>439</v>
      </c>
      <c r="C44" s="74"/>
      <c r="E44" s="86"/>
    </row>
    <row r="45" spans="2:6">
      <c r="B45" s="76" t="s">
        <v>264</v>
      </c>
      <c r="C45" s="76" t="s">
        <v>579</v>
      </c>
      <c r="D45" s="76" t="s">
        <v>580</v>
      </c>
      <c r="E45" s="88" t="s">
        <v>265</v>
      </c>
      <c r="F45" s="32" t="s">
        <v>224</v>
      </c>
    </row>
    <row r="46" spans="2:6">
      <c r="B46" s="54" t="s">
        <v>222</v>
      </c>
      <c r="C46" s="54" t="s">
        <v>160</v>
      </c>
      <c r="D46" s="90" t="s">
        <v>338</v>
      </c>
      <c r="E46" s="77" t="str">
        <f>IF(D46="","",""""&amp;C46&amp;" "&amp;IF(C46="[FOOTER RULE - STRICT]",D46,IF(RIGHT(D46,6)=" | "&amp;CHAR(34)&amp;" &amp;",D46,D46&amp;" | "&amp;CHAR(34)&amp;" &amp;")))</f>
        <v>"[ROLE] Tech Lead | " &amp;</v>
      </c>
      <c r="F46" s="32" t="s">
        <v>224</v>
      </c>
    </row>
    <row r="47" spans="2:6">
      <c r="B47" s="54" t="s">
        <v>222</v>
      </c>
      <c r="C47" s="54" t="s">
        <v>162</v>
      </c>
      <c r="D47" s="90" t="s">
        <v>415</v>
      </c>
      <c r="E47" s="77" t="str">
        <f t="shared" ref="E47:E76" si="1">IF(D47="","",""""&amp;C47&amp;" "&amp;IF(C47="[FOOTER RULE - STRICT]",D47,IF(RIGHT(D47,6)=" | "&amp;CHAR(34)&amp;" &amp;",D47,D47&amp;" | "&amp;CHAR(34)&amp;" &amp;")))</f>
        <v>"[TASK] Provide a messy but functional project for refactoring | " &amp;</v>
      </c>
      <c r="F47" s="32" t="s">
        <v>224</v>
      </c>
    </row>
    <row r="48" spans="2:6">
      <c r="B48" s="54" t="s">
        <v>222</v>
      </c>
      <c r="C48" s="54" t="s">
        <v>313</v>
      </c>
      <c r="D48" s="90" t="s">
        <v>165</v>
      </c>
      <c r="E48" s="77" t="str">
        <f t="shared" si="1"/>
        <v>"[PROJECT] " &amp; I9 &amp; " | " &amp;</v>
      </c>
      <c r="F48" s="32" t="s">
        <v>224</v>
      </c>
    </row>
    <row r="49" spans="2:6">
      <c r="B49" s="54" t="s">
        <v>222</v>
      </c>
      <c r="C49" s="54" t="s">
        <v>253</v>
      </c>
      <c r="D49" s="90" t="s">
        <v>777</v>
      </c>
      <c r="E49" s="77" t="str">
        <f t="shared" si="1"/>
        <v>"[TOPICS USED] " &amp; A9 &amp; " | " &amp;</v>
      </c>
      <c r="F49" s="32" t="s">
        <v>224</v>
      </c>
    </row>
    <row r="50" spans="2:6">
      <c r="B50" s="54" t="s">
        <v>222</v>
      </c>
      <c r="C50" s="54" t="s">
        <v>166</v>
      </c>
      <c r="D50" s="90" t="s">
        <v>167</v>
      </c>
      <c r="E50" s="77" t="str">
        <f t="shared" si="1"/>
        <v>"[LEVEL] " &amp; G9 &amp; " | " &amp;</v>
      </c>
      <c r="F50" s="32" t="s">
        <v>224</v>
      </c>
    </row>
    <row r="51" spans="2:6">
      <c r="B51" s="54" t="s">
        <v>222</v>
      </c>
      <c r="C51" s="54" t="s">
        <v>170</v>
      </c>
      <c r="D51" s="90" t="s">
        <v>416</v>
      </c>
      <c r="E51" s="77" t="str">
        <f t="shared" si="1"/>
        <v>"[PERSONA RULE] Act as a Tech Lead. A junior wrote this working but messy code. Tone: professional but exhausted | " &amp;</v>
      </c>
      <c r="F51" s="32" t="s">
        <v>224</v>
      </c>
    </row>
    <row r="52" spans="2:6">
      <c r="B52" s="54" t="s">
        <v>222</v>
      </c>
      <c r="C52" s="54" t="s">
        <v>215</v>
      </c>
      <c r="D52" s="90" t="s">
        <v>591</v>
      </c>
      <c r="E52" s="77" t="str">
        <f t="shared" si="1"/>
        <v>"[HEADER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v>
      </c>
      <c r="F52" s="32" t="s">
        <v>224</v>
      </c>
    </row>
    <row r="53" spans="2:6">
      <c r="B53" s="54" t="s">
        <v>222</v>
      </c>
      <c r="C53" s="54" t="s">
        <v>229</v>
      </c>
      <c r="D53" s="90" t="s">
        <v>267</v>
      </c>
      <c r="E53" s="77" t="str">
        <f t="shared" si="1"/>
        <v>"[LIBRARY BEING LEARNED] " &amp; $I$3 &amp; " | " &amp;</v>
      </c>
      <c r="F53" s="32" t="s">
        <v>224</v>
      </c>
    </row>
    <row r="54" spans="2:6">
      <c r="B54" s="75" t="s">
        <v>222</v>
      </c>
      <c r="C54" s="54" t="s">
        <v>225</v>
      </c>
      <c r="D54" s="90"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54" s="77"/>
      <c r="F54" s="32" t="s">
        <v>224</v>
      </c>
    </row>
    <row r="55" spans="2:6">
      <c r="B55" s="54" t="s">
        <v>222</v>
      </c>
      <c r="C55" s="54" t="s">
        <v>172</v>
      </c>
      <c r="D55" s="90" t="s">
        <v>254</v>
      </c>
      <c r="E55"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491</v>
      </c>
      <c r="D56" s="90" t="s">
        <v>483</v>
      </c>
      <c r="E56" s="77" t="str">
        <f t="shared" si="1"/>
        <v>"[LANGUAGE SEED CONTEXT] " &amp; IF($AE$7 = "", "Language Seed Not Necessary", "You MUST strictly follow this seed context to enhance, adapt, and naturalize your tone, vocabulary, and instructional quality in " &amp; $B$6 &amp; ": " &amp; $AE$7) &amp; " | " &amp;</v>
      </c>
      <c r="F56" s="32" t="s">
        <v>224</v>
      </c>
    </row>
    <row r="57" spans="2:6">
      <c r="B57" s="54" t="s">
        <v>223</v>
      </c>
      <c r="C57" s="54" t="s">
        <v>230</v>
      </c>
      <c r="D57" s="90"/>
      <c r="E57" s="77" t="str">
        <f t="shared" si="1"/>
        <v/>
      </c>
      <c r="F57" s="32" t="s">
        <v>224</v>
      </c>
    </row>
    <row r="58" spans="2:6">
      <c r="B58" s="54" t="s">
        <v>223</v>
      </c>
      <c r="C58" s="54" t="s">
        <v>230</v>
      </c>
      <c r="D58" s="90"/>
      <c r="E58" s="77" t="str">
        <f t="shared" si="1"/>
        <v/>
      </c>
      <c r="F58" s="32" t="s">
        <v>224</v>
      </c>
    </row>
    <row r="59" spans="2:6">
      <c r="B59" s="54" t="s">
        <v>223</v>
      </c>
      <c r="C59" s="54" t="s">
        <v>230</v>
      </c>
      <c r="D59" s="90"/>
      <c r="E59" s="77" t="str">
        <f t="shared" si="1"/>
        <v/>
      </c>
      <c r="F59" s="32" t="s">
        <v>224</v>
      </c>
    </row>
    <row r="60" spans="2:6">
      <c r="B60" s="54" t="s">
        <v>271</v>
      </c>
      <c r="C60" s="54" t="s">
        <v>180</v>
      </c>
      <c r="D60" s="90" t="s">
        <v>417</v>
      </c>
      <c r="E60" s="77" t="str">
        <f t="shared" si="1"/>
        <v>"[CODE QUALITY RULE] Code MUST be correct and executable but not perfectly clean | " &amp;</v>
      </c>
      <c r="F60" s="32" t="s">
        <v>224</v>
      </c>
    </row>
    <row r="61" spans="2:6">
      <c r="B61" s="54" t="s">
        <v>271</v>
      </c>
      <c r="C61" s="54" t="s">
        <v>395</v>
      </c>
      <c r="D61" s="90" t="s">
        <v>418</v>
      </c>
      <c r="E61" s="77" t="str">
        <f t="shared" si="1"/>
        <v>"[DIRTY CODE RULE] Code MUST NOT include ANY comments and should include inconsistent naming, redundant logic, minor structural issues, and slightly messy organization while still remaining understandable as a complete working program | " &amp;</v>
      </c>
      <c r="F61" s="32" t="s">
        <v>224</v>
      </c>
    </row>
    <row r="62" spans="2:6">
      <c r="B62" s="54" t="s">
        <v>271</v>
      </c>
      <c r="C62" s="54" t="s">
        <v>190</v>
      </c>
      <c r="D62" s="90" t="s">
        <v>419</v>
      </c>
      <c r="E62" s="77" t="str">
        <f t="shared" si="1"/>
        <v>"[DATA ROBUSTNESS RULE] Handle real-world data safely | " &amp;</v>
      </c>
      <c r="F62" s="32" t="s">
        <v>224</v>
      </c>
    </row>
    <row r="63" spans="2:6">
      <c r="B63" s="54" t="s">
        <v>271</v>
      </c>
      <c r="C63" s="54" t="s">
        <v>207</v>
      </c>
      <c r="D63" s="90" t="s">
        <v>280</v>
      </c>
      <c r="E63" s="77" t="str">
        <f t="shared" si="1"/>
        <v>"[FORMAT RULE] Only valid markdown code blocks allowed | " &amp;</v>
      </c>
      <c r="F63" s="32" t="s">
        <v>224</v>
      </c>
    </row>
    <row r="64" spans="2:6">
      <c r="B64" s="54" t="s">
        <v>271</v>
      </c>
      <c r="C64" s="54" t="s">
        <v>209</v>
      </c>
      <c r="D64" s="90" t="s">
        <v>281</v>
      </c>
      <c r="E64" s="77" t="str">
        <f t="shared" si="1"/>
        <v>"[LANGUAGE TAG RULE] ALWAYS label markdown code blocks with the correct underlying programming language (e.g., python, javascript, sql) | " &amp;</v>
      </c>
      <c r="F64" s="32" t="s">
        <v>224</v>
      </c>
    </row>
    <row r="65" spans="2:6">
      <c r="B65" s="54" t="s">
        <v>271</v>
      </c>
      <c r="C65" s="54" t="s">
        <v>174</v>
      </c>
      <c r="D65" s="90" t="s">
        <v>420</v>
      </c>
      <c r="E65"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v>
      </c>
      <c r="F65" s="32" t="s">
        <v>224</v>
      </c>
    </row>
    <row r="66" spans="2:6">
      <c r="B66" s="54" t="s">
        <v>271</v>
      </c>
      <c r="C66" s="54" t="s">
        <v>187</v>
      </c>
      <c r="D66" s="90" t="s">
        <v>421</v>
      </c>
      <c r="E66" s="77" t="str">
        <f t="shared" si="1"/>
        <v>"[INTRO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v>
      </c>
      <c r="F66" s="32" t="s">
        <v>224</v>
      </c>
    </row>
    <row r="67" spans="2:6">
      <c r="B67" s="54" t="s">
        <v>271</v>
      </c>
      <c r="C67" s="54" t="s">
        <v>177</v>
      </c>
      <c r="D67" s="90" t="s">
        <v>422</v>
      </c>
      <c r="E67" s="77" t="str">
        <f t="shared" si="1"/>
        <v>"[OUTPUT CONTRACT] EXACTLY 1 project. Structure MUST be: 1. Tech Lead Intro Email 2. Project: Objective (max 6 lines), Expected Output (code block), Dirty Code | " &amp;</v>
      </c>
      <c r="F67" s="32" t="s">
        <v>224</v>
      </c>
    </row>
    <row r="68" spans="2:6">
      <c r="B68" s="54" t="s">
        <v>271</v>
      </c>
      <c r="C68" s="54" t="s">
        <v>406</v>
      </c>
      <c r="D68" s="90" t="s">
        <v>423</v>
      </c>
      <c r="E68" s="77" t="str">
        <f t="shared" si="1"/>
        <v>"[REVIEW INTENT RULE] The user is expected to review and refactor the project to improve structure, readability, and maintainability | " &amp;</v>
      </c>
      <c r="F68" s="32" t="s">
        <v>224</v>
      </c>
    </row>
    <row r="69" spans="2:6">
      <c r="B69" s="54" t="s">
        <v>271</v>
      </c>
      <c r="C69" s="54" t="s">
        <v>178</v>
      </c>
      <c r="D69" s="90" t="s">
        <v>424</v>
      </c>
      <c r="E69" s="77" t="str">
        <f t="shared" si="1"/>
        <v>"[CODE CONSTRAINTS] MUST be between " &amp; IF(G9="Beginner", "25–40", IF(G9="Intermediate", "30–60", "40–100")) &amp; " lines of EXECUTABLE code (STRICT: Do NOT count blank lines towards this limit) - Multi-step flow - NO classes - Code MUST run correctly BUT be slightly messy and contain NO comments | " &amp;</v>
      </c>
      <c r="F69" s="32" t="s">
        <v>224</v>
      </c>
    </row>
    <row r="70" spans="2:6">
      <c r="B70" s="54" t="s">
        <v>271</v>
      </c>
      <c r="C70" s="54" t="s">
        <v>194</v>
      </c>
      <c r="D70" s="90" t="s">
        <v>425</v>
      </c>
      <c r="E70" s="77" t="str">
        <f t="shared" si="1"/>
        <v>"[SUPPORT FILES RULE] Include config files before code if needed | " &amp;</v>
      </c>
      <c r="F70" s="32" t="s">
        <v>224</v>
      </c>
    </row>
    <row r="71" spans="2:6">
      <c r="B71" s="54" t="s">
        <v>271</v>
      </c>
      <c r="C71" s="54" t="s">
        <v>259</v>
      </c>
      <c r="D71" s="90" t="s">
        <v>426</v>
      </c>
      <c r="E71" s="77" t="str">
        <f t="shared" si="1"/>
        <v>"[EXECUTION RULE] Code MUST run and produce correct output | " &amp;</v>
      </c>
      <c r="F71" s="32" t="s">
        <v>224</v>
      </c>
    </row>
    <row r="72" spans="2:6">
      <c r="B72" s="54" t="s">
        <v>271</v>
      </c>
      <c r="C72" s="54" t="s">
        <v>212</v>
      </c>
      <c r="D72" s="90" t="s">
        <v>427</v>
      </c>
      <c r="E72" s="77" t="str">
        <f t="shared" si="1"/>
        <v>"[CONSISTENCY RULE] Project must match objective | " &amp;</v>
      </c>
      <c r="F72" s="32" t="s">
        <v>224</v>
      </c>
    </row>
    <row r="73" spans="2:6">
      <c r="B73" s="54" t="s">
        <v>271</v>
      </c>
      <c r="C73" s="54" t="s">
        <v>216</v>
      </c>
      <c r="D73" s="90" t="s">
        <v>428</v>
      </c>
      <c r="E73" s="77" t="str">
        <f t="shared" si="1"/>
        <v>"[OUTPUT] Only header, dataset summary or statement (if any), intro email, objective, expected output, code, and footer | " &amp;</v>
      </c>
      <c r="F73" s="32" t="s">
        <v>224</v>
      </c>
    </row>
    <row r="74" spans="2:6">
      <c r="B74" s="54" t="s">
        <v>271</v>
      </c>
      <c r="C74" s="54" t="s">
        <v>220</v>
      </c>
      <c r="D74" s="90" t="s">
        <v>380</v>
      </c>
      <c r="E74" s="77" t="str">
        <f t="shared" si="1"/>
        <v>"[FOOTER RULE - STRICT] End your entire response EXACTLY with this markdown string (ensure all code blocks are closed before it):" &amp; CHAR(10) &amp; "---" &amp; CHAR(10) &amp; "⚡ *Coding5s System - Learn Programming by Writing Code - Coding5S.com*")</v>
      </c>
      <c r="F74" s="32" t="s">
        <v>224</v>
      </c>
    </row>
    <row r="75" spans="2:6">
      <c r="B75" s="54"/>
      <c r="C75" s="54"/>
      <c r="D75" s="90"/>
      <c r="E75" s="77" t="str">
        <f t="shared" si="1"/>
        <v/>
      </c>
      <c r="F75" s="32" t="s">
        <v>224</v>
      </c>
    </row>
    <row r="76" spans="2:6">
      <c r="B76" s="54"/>
      <c r="C76" s="54"/>
      <c r="D76" s="90"/>
      <c r="E76" s="77" t="str">
        <f t="shared" si="1"/>
        <v/>
      </c>
      <c r="F76" s="32" t="s">
        <v>224</v>
      </c>
    </row>
    <row r="77" spans="2:6">
      <c r="E77" s="86"/>
      <c r="F77" t="s">
        <v>224</v>
      </c>
    </row>
    <row r="79" spans="2:6" ht="36">
      <c r="B79" s="80" t="s">
        <v>438</v>
      </c>
    </row>
    <row r="80" spans="2:6">
      <c r="B80" s="76" t="s">
        <v>221</v>
      </c>
      <c r="C80" s="76" t="s">
        <v>579</v>
      </c>
      <c r="D80" s="76" t="s">
        <v>580</v>
      </c>
      <c r="E80" s="89" t="s">
        <v>234</v>
      </c>
      <c r="F80" s="54" t="s">
        <v>224</v>
      </c>
    </row>
    <row r="81" spans="2:6">
      <c r="B81" s="54" t="s">
        <v>222</v>
      </c>
      <c r="C81" s="54" t="s">
        <v>429</v>
      </c>
      <c r="D81" s="90" t="s">
        <v>430</v>
      </c>
      <c r="E81" s="17" t="str">
        <f t="shared" ref="E81:E96" si="2">IF(D81="","",""""&amp;C81&amp;" "&amp;IF(OR(C81="[FOOTER RULE - STRICT]",C81="[FOOTER RULE]"),D81,IF(RIGHT(D81,6)=" | "&amp;CHAR(34)&amp;" &amp;",D81,D81&amp;" | "&amp;CHAR(34)&amp;" &amp;")))</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v>
      </c>
      <c r="F81" s="54" t="s">
        <v>224</v>
      </c>
    </row>
    <row r="82" spans="2:6">
      <c r="B82" s="54" t="s">
        <v>222</v>
      </c>
      <c r="C82" s="54" t="s">
        <v>236</v>
      </c>
      <c r="D82" s="90" t="s">
        <v>431</v>
      </c>
      <c r="E82" s="17" t="str">
        <f t="shared" si="2"/>
        <v>"[CULTURAL &amp; JARGON RULE] 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v>
      </c>
      <c r="F82" s="54" t="s">
        <v>224</v>
      </c>
    </row>
    <row r="83" spans="2:6">
      <c r="B83" s="54" t="s">
        <v>222</v>
      </c>
      <c r="C83" s="54" t="s">
        <v>237</v>
      </c>
      <c r="D83" s="90" t="s">
        <v>781</v>
      </c>
      <c r="E83" s="17" t="str">
        <f t="shared" si="2"/>
        <v>"[CONTEXT] You are performing a Code Review for a " &amp; IF(UPPER(H9)="PROJECT", "PROJECT: " &amp; I9 &amp; ". Topics involved: " &amp; A9 &amp; ". Project objective: " &amp; J9, "TOPIC: " &amp; I9 &amp; ". Topic details: " &amp; J9) &amp; " | " &amp;</v>
      </c>
      <c r="F83" s="54" t="s">
        <v>224</v>
      </c>
    </row>
    <row r="84" spans="2:6">
      <c r="B84" s="54" t="s">
        <v>222</v>
      </c>
      <c r="C84" s="54" t="s">
        <v>162</v>
      </c>
      <c r="D84" s="90" t="s">
        <v>432</v>
      </c>
      <c r="E84" s="17" t="str">
        <f t="shared" si="2"/>
        <v>"[TASK]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v>
      </c>
      <c r="F84" s="54" t="s">
        <v>224</v>
      </c>
    </row>
    <row r="85" spans="2:6">
      <c r="B85" s="54" t="s">
        <v>222</v>
      </c>
      <c r="C85" s="54" t="s">
        <v>229</v>
      </c>
      <c r="D85" s="90" t="s">
        <v>267</v>
      </c>
      <c r="E85" s="17" t="str">
        <f t="shared" si="2"/>
        <v>"[LIBRARY BEING LEARNED] " &amp; $I$3 &amp; " | " &amp;</v>
      </c>
      <c r="F85" s="54" t="s">
        <v>224</v>
      </c>
    </row>
    <row r="86" spans="2:6">
      <c r="B86" s="54" t="s">
        <v>222</v>
      </c>
      <c r="C86" s="54" t="s">
        <v>172</v>
      </c>
      <c r="D86" s="90"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0"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0" t="s">
        <v>592</v>
      </c>
      <c r="E88" s="17" t="str">
        <f t="shared" si="2"/>
        <v>"[HEADER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v>
      </c>
      <c r="F88" s="54" t="s">
        <v>224</v>
      </c>
    </row>
    <row r="89" spans="2:6">
      <c r="B89" s="54" t="s">
        <v>223</v>
      </c>
      <c r="C89" s="54" t="s">
        <v>230</v>
      </c>
      <c r="D89" s="90"/>
      <c r="E89" s="17" t="str">
        <f t="shared" si="2"/>
        <v/>
      </c>
      <c r="F89" s="54" t="s">
        <v>224</v>
      </c>
    </row>
    <row r="90" spans="2:6">
      <c r="B90" s="54" t="s">
        <v>223</v>
      </c>
      <c r="C90" s="54" t="s">
        <v>230</v>
      </c>
      <c r="D90" s="90"/>
      <c r="E90" s="17" t="str">
        <f t="shared" si="2"/>
        <v/>
      </c>
      <c r="F90" s="54" t="s">
        <v>224</v>
      </c>
    </row>
    <row r="91" spans="2:6">
      <c r="B91" s="54" t="s">
        <v>223</v>
      </c>
      <c r="C91" s="54" t="s">
        <v>243</v>
      </c>
      <c r="D91" s="90" t="str">
        <f>Variables!E58 &amp; " | " &amp; CHAR(34) &amp; " &amp;"</f>
        <v>Code MUST adhere strictly to PEP 8 guidelines. Use snake_case for variables/functions, UPPER_CASE for constants, snake_case for files. Avoid global state; emphasize strict type hints, functools, and clean functional architectures without OOP classes. | " &amp;</v>
      </c>
      <c r="E91" s="17" t="str">
        <f t="shared" si="2"/>
        <v>"[PYTHON QUALITY RULE - STRICT] Code MUST adhere strictly to PEP 8 guidelines. Use snake_case for variables/functions, UPPER_CASE for constants, snake_case for files. Avoid global state; emphasize strict type hints, functools, and clean functional architectures without OOP classes. | " &amp;</v>
      </c>
      <c r="F91" s="54" t="s">
        <v>224</v>
      </c>
    </row>
    <row r="92" spans="2:6">
      <c r="B92" s="54" t="s">
        <v>271</v>
      </c>
      <c r="C92" s="54" t="s">
        <v>238</v>
      </c>
      <c r="D92" s="90" t="s">
        <v>433</v>
      </c>
      <c r="E92" s="17" t="str">
        <f t="shared" si="2"/>
        <v>"[EMPTY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v>
      </c>
      <c r="F92" s="54" t="s">
        <v>224</v>
      </c>
    </row>
    <row r="93" spans="2:6">
      <c r="B93" s="54" t="s">
        <v>271</v>
      </c>
      <c r="C93" s="54" t="s">
        <v>240</v>
      </c>
      <c r="D93" s="90" t="s">
        <v>434</v>
      </c>
      <c r="E93" s="17" t="str">
        <f t="shared" si="2"/>
        <v>"[PHASE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v>
      </c>
      <c r="F93" s="54" t="s">
        <v>224</v>
      </c>
    </row>
    <row r="94" spans="2:6">
      <c r="B94" s="54" t="s">
        <v>271</v>
      </c>
      <c r="C94" s="54" t="s">
        <v>241</v>
      </c>
      <c r="D94" s="90" t="s">
        <v>435</v>
      </c>
      <c r="E94" s="17" t="str">
        <f t="shared" si="2"/>
        <v>"[EXPLANATION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v>
      </c>
      <c r="F94" s="54" t="s">
        <v>224</v>
      </c>
    </row>
    <row r="95" spans="2:6">
      <c r="B95" s="54" t="s">
        <v>271</v>
      </c>
      <c r="C95" s="54" t="s">
        <v>244</v>
      </c>
      <c r="D95" s="90" t="s">
        <v>436</v>
      </c>
      <c r="E95" s="17" t="str">
        <f t="shared" si="2"/>
        <v>"[PHASE 2: FULL SOLUTION - STRICT] 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v>
      </c>
      <c r="F95" s="54" t="s">
        <v>224</v>
      </c>
    </row>
    <row r="96" spans="2:6">
      <c r="B96" s="54" t="s">
        <v>271</v>
      </c>
      <c r="C96" s="54" t="s">
        <v>330</v>
      </c>
      <c r="D96" s="90" t="s">
        <v>500</v>
      </c>
      <c r="E96" s="17" t="str">
        <f t="shared" si="2"/>
        <v>"[FOOTER RULE] End your response with: '--- ⚡ *Coding5s Mentor System — Eliminating Technical Debt with Elegance*'",</v>
      </c>
      <c r="F96" s="54" t="s">
        <v>224</v>
      </c>
    </row>
    <row r="97" spans="2:6">
      <c r="B97" s="54"/>
      <c r="C97" s="54"/>
      <c r="D97" s="90"/>
      <c r="E97" s="88" t="s">
        <v>437</v>
      </c>
      <c r="F97" s="54" t="s">
        <v>224</v>
      </c>
    </row>
    <row r="98" spans="2:6">
      <c r="B98" s="54"/>
      <c r="C98" s="54"/>
      <c r="D98" s="90"/>
      <c r="E98" s="77" t="str">
        <f t="shared" ref="E98:E100" si="3">IF(D98="","",""""&amp;C98&amp;" "&amp;IF(C98="[FOOTER RULE - STRICT]",D98,IF(RIGHT(D98,6)=" | "&amp;CHAR(34)&amp;" &amp;",D98,D98&amp;" | "&amp;CHAR(34)&amp;" &amp;")))</f>
        <v/>
      </c>
      <c r="F98" s="54" t="s">
        <v>224</v>
      </c>
    </row>
    <row r="99" spans="2:6">
      <c r="B99" s="54"/>
      <c r="C99" s="54"/>
      <c r="D99" s="90"/>
      <c r="E99" s="77" t="str">
        <f t="shared" si="3"/>
        <v/>
      </c>
      <c r="F99" s="54" t="s">
        <v>224</v>
      </c>
    </row>
    <row r="100" spans="2:6">
      <c r="B100" s="54"/>
      <c r="C100" s="54"/>
      <c r="D100" s="90"/>
      <c r="E100" s="77" t="str">
        <f t="shared" si="3"/>
        <v/>
      </c>
      <c r="F100" s="54" t="s">
        <v>224</v>
      </c>
    </row>
  </sheetData>
  <conditionalFormatting sqref="B1:B1048576">
    <cfRule type="cellIs" dxfId="23" priority="13" operator="equal">
      <formula>"The Immutable Kernel"</formula>
    </cfRule>
    <cfRule type="cellIs" dxfId="22" priority="14" operator="equal">
      <formula>"Paradigm &amp; Ecosystem"</formula>
    </cfRule>
    <cfRule type="cellIs" dxfId="21" priority="15" operator="equal">
      <formula>"Global Variables &amp; Configuration"</formula>
    </cfRule>
  </conditionalFormatting>
  <conditionalFormatting sqref="C4:C41">
    <cfRule type="expression" dxfId="20" priority="10">
      <formula>$B4="The Immutable Kernel"</formula>
    </cfRule>
    <cfRule type="expression" dxfId="19" priority="11">
      <formula>$B4="Paradigm &amp; Ecosystem"</formula>
    </cfRule>
    <cfRule type="expression" dxfId="18" priority="12">
      <formula>$B4="Global Variables &amp; Configuration"</formula>
    </cfRule>
  </conditionalFormatting>
  <conditionalFormatting sqref="C46:C76">
    <cfRule type="expression" dxfId="17" priority="1">
      <formula>$B46="The Immutable Kernel"</formula>
    </cfRule>
    <cfRule type="expression" dxfId="16" priority="2">
      <formula>$B46="Paradigm &amp; Ecosystem"</formula>
    </cfRule>
    <cfRule type="expression" dxfId="15" priority="3">
      <formula>$B46="Global Variables &amp; Configuration"</formula>
    </cfRule>
  </conditionalFormatting>
  <conditionalFormatting sqref="C81:C100">
    <cfRule type="expression" dxfId="14" priority="4">
      <formula>$B81="The Immutable Kernel"</formula>
    </cfRule>
    <cfRule type="expression" dxfId="13" priority="5">
      <formula>$B81="Paradigm &amp; Ecosystem"</formula>
    </cfRule>
    <cfRule type="expression" dxfId="12" priority="6">
      <formula>$B81="Global Variables &amp; Configuration"</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5615-307B-4FE6-8E0D-5A0ED377C484}">
  <sheetPr>
    <tabColor theme="4" tint="0.79998168889431442"/>
  </sheetPr>
  <dimension ref="B2:AC100"/>
  <sheetViews>
    <sheetView showGridLines="0" topLeftCell="A76" zoomScaleNormal="100" workbookViewId="0">
      <selection activeCell="E80" sqref="E80:E96"/>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449</v>
      </c>
      <c r="D2" s="81" t="s">
        <v>450</v>
      </c>
      <c r="H2" s="82"/>
      <c r="T2" s="82"/>
    </row>
    <row r="3" spans="2:29">
      <c r="B3" s="76" t="s">
        <v>221</v>
      </c>
      <c r="C3" s="76" t="s">
        <v>579</v>
      </c>
      <c r="D3" s="76" t="s">
        <v>580</v>
      </c>
      <c r="E3" s="88" t="s">
        <v>228</v>
      </c>
      <c r="F3" s="4" t="s">
        <v>224</v>
      </c>
      <c r="AC3" t="s">
        <v>224</v>
      </c>
    </row>
    <row r="4" spans="2:29">
      <c r="B4" s="75" t="s">
        <v>222</v>
      </c>
      <c r="C4" s="54" t="s">
        <v>160</v>
      </c>
      <c r="D4" s="91" t="s">
        <v>453</v>
      </c>
      <c r="E4" s="77" t="str">
        <f t="shared" ref="E4:E41" si="0">IF(D4="","",""""&amp;C4&amp;" "&amp;IF(C4="[FOOTER RULE - STRICT]",D4,IF(RIGHT(D4,6)=" | "&amp;CHAR(34)&amp;" &amp;",D4,D4&amp;" | "&amp;CHAR(34)&amp;" &amp;")))</f>
        <v>"[ROLE] Tech Product Manager assigning a " &amp; $I$2 &amp; " Jira Ticket | " &amp;</v>
      </c>
      <c r="F4" s="54" t="s">
        <v>224</v>
      </c>
    </row>
    <row r="5" spans="2:29">
      <c r="B5" s="75" t="s">
        <v>222</v>
      </c>
      <c r="C5" s="54" t="s">
        <v>162</v>
      </c>
      <c r="D5" s="91" t="s">
        <v>454</v>
      </c>
      <c r="E5" s="77" t="str">
        <f t="shared" si="0"/>
        <v>"[TASK] Provide a guided implementation exercise with full solution for learning purposes | " &amp;</v>
      </c>
      <c r="F5" s="54" t="s">
        <v>224</v>
      </c>
    </row>
    <row r="6" spans="2:29">
      <c r="B6" s="75" t="s">
        <v>222</v>
      </c>
      <c r="C6" s="54" t="s">
        <v>164</v>
      </c>
      <c r="D6" s="91" t="s">
        <v>165</v>
      </c>
      <c r="E6" s="77" t="str">
        <f t="shared" si="0"/>
        <v>"[TOPIC] " &amp; I9 &amp; " | " &amp;</v>
      </c>
      <c r="F6" s="54" t="s">
        <v>224</v>
      </c>
    </row>
    <row r="7" spans="2:29">
      <c r="B7" s="75" t="s">
        <v>222</v>
      </c>
      <c r="C7" s="54" t="s">
        <v>166</v>
      </c>
      <c r="D7" s="91" t="s">
        <v>167</v>
      </c>
      <c r="E7" s="77" t="str">
        <f t="shared" si="0"/>
        <v>"[LEVEL] " &amp; G9 &amp; " | " &amp;</v>
      </c>
      <c r="F7" s="54" t="s">
        <v>224</v>
      </c>
    </row>
    <row r="8" spans="2:29">
      <c r="B8" s="75" t="s">
        <v>222</v>
      </c>
      <c r="C8" s="54" t="s">
        <v>229</v>
      </c>
      <c r="D8" s="91" t="s">
        <v>267</v>
      </c>
      <c r="E8" s="77" t="str">
        <f t="shared" si="0"/>
        <v>"[LIBRARY BEING LEARNED] " &amp; $I$3 &amp; " | " &amp;</v>
      </c>
      <c r="F8" s="54" t="s">
        <v>224</v>
      </c>
    </row>
    <row r="9" spans="2:29">
      <c r="B9" s="75" t="s">
        <v>222</v>
      </c>
      <c r="C9" s="54" t="s">
        <v>225</v>
      </c>
      <c r="D9" s="91"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9" s="77" t="str">
        <f t="shared" si="0"/>
        <v>"[ECOSYSTEM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v>
      </c>
      <c r="F9" s="54" t="s">
        <v>224</v>
      </c>
    </row>
    <row r="10" spans="2:29">
      <c r="B10" s="75" t="s">
        <v>222</v>
      </c>
      <c r="C10" s="54" t="s">
        <v>170</v>
      </c>
      <c r="D10" s="91" t="s">
        <v>455</v>
      </c>
      <c r="E10" s="77" t="str">
        <f t="shared" si="0"/>
        <v>"[PERSONA RULE] Act as a professional Tech Product Manager writing clear Jira tickets | " &amp;</v>
      </c>
      <c r="F10" s="54" t="s">
        <v>224</v>
      </c>
    </row>
    <row r="11" spans="2:29">
      <c r="B11" s="75" t="s">
        <v>222</v>
      </c>
      <c r="C11" s="54" t="s">
        <v>172</v>
      </c>
      <c r="D11" s="91" t="s">
        <v>393</v>
      </c>
      <c r="E11"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1" s="54" t="s">
        <v>224</v>
      </c>
    </row>
    <row r="12" spans="2:29">
      <c r="B12" s="75" t="s">
        <v>222</v>
      </c>
      <c r="C12" s="54" t="s">
        <v>491</v>
      </c>
      <c r="D12" s="91" t="s">
        <v>483</v>
      </c>
      <c r="E12" s="77" t="str">
        <f t="shared" si="0"/>
        <v>"[LANGUAGE SEED CONTEXT] " &amp; IF($AE$7 = "", "Language Seed Not Necessary", "You MUST strictly follow this seed context to enhance, adapt, and naturalize your tone, vocabulary, and instructional quality in " &amp; $B$6 &amp; ": " &amp; $AE$7) &amp; " | " &amp;</v>
      </c>
      <c r="F12" s="54" t="s">
        <v>224</v>
      </c>
    </row>
    <row r="13" spans="2:29">
      <c r="B13" s="75" t="s">
        <v>222</v>
      </c>
      <c r="C13" s="54" t="s">
        <v>215</v>
      </c>
      <c r="D13" s="91" t="s">
        <v>593</v>
      </c>
      <c r="E13" s="77" t="str">
        <f t="shared" si="0"/>
        <v>"[HEADER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v>
      </c>
      <c r="F13" s="54" t="s">
        <v>224</v>
      </c>
    </row>
    <row r="14" spans="2:29">
      <c r="B14" s="83" t="s">
        <v>223</v>
      </c>
      <c r="C14" s="54" t="s">
        <v>230</v>
      </c>
      <c r="D14" s="91"/>
      <c r="E14" s="77" t="str">
        <f t="shared" si="0"/>
        <v/>
      </c>
      <c r="F14" s="54" t="s">
        <v>224</v>
      </c>
    </row>
    <row r="15" spans="2:29">
      <c r="B15" s="83" t="s">
        <v>223</v>
      </c>
      <c r="C15" s="54" t="s">
        <v>230</v>
      </c>
      <c r="D15" s="91"/>
      <c r="E15" s="77" t="str">
        <f t="shared" si="0"/>
        <v/>
      </c>
      <c r="F15" s="54" t="s">
        <v>224</v>
      </c>
    </row>
    <row r="16" spans="2:29">
      <c r="B16" s="54" t="s">
        <v>271</v>
      </c>
      <c r="C16" s="54" t="s">
        <v>682</v>
      </c>
      <c r="D16" s="91" t="s">
        <v>460</v>
      </c>
      <c r="E16" s="77" t="str">
        <f t="shared" si="0"/>
        <v>"[FUNCTIONAL_STRUCTURE_POLICY] Rule: " &amp; IF(G9="Beginner", "Use simple scripts or minimal functions. ", IF(G9="Intermediate", "Use functions where appropriate. ", "Use modular functions with clear structure. ")) &amp; " | " &amp;</v>
      </c>
      <c r="F16" s="54" t="s">
        <v>224</v>
      </c>
    </row>
    <row r="17" spans="2:6">
      <c r="B17" s="54" t="s">
        <v>271</v>
      </c>
      <c r="C17" s="54" t="s">
        <v>681</v>
      </c>
      <c r="D17" s="91" t="s">
        <v>683</v>
      </c>
      <c r="E17" s="77" t="str">
        <f t="shared" si="0"/>
        <v>"[DETERMINISTIC_OUTPUT_PROTOCOL]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v>
      </c>
      <c r="F17" s="54" t="s">
        <v>224</v>
      </c>
    </row>
    <row r="18" spans="2:6">
      <c r="B18" s="54" t="s">
        <v>271</v>
      </c>
      <c r="C18" s="54" t="s">
        <v>180</v>
      </c>
      <c r="D18" s="91" t="s">
        <v>461</v>
      </c>
      <c r="E18" s="77" t="str">
        <f t="shared" si="0"/>
        <v>"[CODE QUALITY RULE] Code MUST be clean, readable, and production-like | " &amp;</v>
      </c>
      <c r="F18" s="54" t="s">
        <v>224</v>
      </c>
    </row>
    <row r="19" spans="2:6">
      <c r="B19" s="54" t="s">
        <v>271</v>
      </c>
      <c r="C19" s="54" t="s">
        <v>188</v>
      </c>
      <c r="D19" s="91" t="s">
        <v>680</v>
      </c>
      <c r="E19" s="77" t="str">
        <f t="shared" si="0"/>
        <v>"[FILE HANDLING RULE] Use correct loaders and enforce encoding='utf-8' and newline=' when applicable or supported by the programming language. | " &amp;</v>
      </c>
      <c r="F19" s="54" t="s">
        <v>224</v>
      </c>
    </row>
    <row r="20" spans="2:6">
      <c r="B20" s="54" t="s">
        <v>271</v>
      </c>
      <c r="C20" s="54" t="s">
        <v>189</v>
      </c>
      <c r="D20" s="91" t="s">
        <v>679</v>
      </c>
      <c r="E20" s="77" t="str">
        <f t="shared" si="0"/>
        <v>"[DATA TYPE RULE] Explicit casting required before calculations if the programming language requires it. | " &amp;</v>
      </c>
      <c r="F20" s="54" t="s">
        <v>224</v>
      </c>
    </row>
    <row r="21" spans="2:6">
      <c r="B21" s="54" t="s">
        <v>271</v>
      </c>
      <c r="C21" s="54" t="s">
        <v>190</v>
      </c>
      <c r="D21" s="91" t="s">
        <v>462</v>
      </c>
      <c r="E21" s="77" t="str">
        <f t="shared" si="0"/>
        <v>"[DATA ROBUSTNESS RULE] Handle missing or malformed data safely | " &amp;</v>
      </c>
      <c r="F21" s="54" t="s">
        <v>224</v>
      </c>
    </row>
    <row r="22" spans="2:6">
      <c r="B22" s="54" t="s">
        <v>271</v>
      </c>
      <c r="C22" s="54" t="s">
        <v>191</v>
      </c>
      <c r="D22" s="91" t="s">
        <v>678</v>
      </c>
      <c r="E22" s="77" t="str">
        <f t="shared" si="0"/>
        <v>"[BOOLEAN HANDLING RULE] Normalize boolean values before comparison if the programming language requires it. | " &amp;</v>
      </c>
      <c r="F22" s="54" t="s">
        <v>224</v>
      </c>
    </row>
    <row r="23" spans="2:6">
      <c r="B23" s="54" t="s">
        <v>271</v>
      </c>
      <c r="C23" s="54" t="s">
        <v>192</v>
      </c>
      <c r="D23" s="91" t="s">
        <v>400</v>
      </c>
      <c r="E23" s="77" t="str">
        <f t="shared" si="0"/>
        <v>"[DATA CONSISTENCY RULE] Respect dataset schema | " &amp;</v>
      </c>
      <c r="F23" s="54" t="s">
        <v>224</v>
      </c>
    </row>
    <row r="24" spans="2:6">
      <c r="B24" s="54" t="s">
        <v>271</v>
      </c>
      <c r="C24" s="54" t="s">
        <v>456</v>
      </c>
      <c r="D24" s="91" t="s">
        <v>457</v>
      </c>
      <c r="E24" s="77" t="str">
        <f t="shared" si="0"/>
        <v>"[TICKET FORMAT RULE - STRICT] 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v>
      </c>
      <c r="F24" s="54" t="s">
        <v>224</v>
      </c>
    </row>
    <row r="25" spans="2:6">
      <c r="B25" s="54" t="s">
        <v>271</v>
      </c>
      <c r="C25" s="54" t="s">
        <v>174</v>
      </c>
      <c r="D25" s="91" t="s">
        <v>685</v>
      </c>
      <c r="E25" s="77" t="str">
        <f t="shared" si="0"/>
        <v>"[DATA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v>
      </c>
      <c r="F25" s="54" t="s">
        <v>224</v>
      </c>
    </row>
    <row r="26" spans="2:6">
      <c r="B26" s="54" t="s">
        <v>271</v>
      </c>
      <c r="C26" s="54" t="s">
        <v>175</v>
      </c>
      <c r="D26" s="91" t="s">
        <v>403</v>
      </c>
      <c r="E26" s="77" t="str">
        <f t="shared" si="0"/>
        <v>"[DATA SUMMARY FORMAT RULE] When a dataset is present, you MUST display IMMEDIATELY AFTER THE HEADER: Dataset Summary: - File Type: - Columns / Fields: - Data Types: - Notes: | " &amp;</v>
      </c>
      <c r="F26" s="54" t="s">
        <v>224</v>
      </c>
    </row>
    <row r="27" spans="2:6">
      <c r="B27" s="54" t="s">
        <v>271</v>
      </c>
      <c r="C27" s="54" t="s">
        <v>177</v>
      </c>
      <c r="D27" s="91" t="s">
        <v>490</v>
      </c>
      <c r="E27" s="77" t="str">
        <f t="shared" si="0"/>
        <v>"[OUTPUT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v>
      </c>
      <c r="F27" s="54" t="s">
        <v>224</v>
      </c>
    </row>
    <row r="28" spans="2:6">
      <c r="B28" s="54" t="s">
        <v>271</v>
      </c>
      <c r="C28" s="54" t="s">
        <v>178</v>
      </c>
      <c r="D28" s="91" t="s">
        <v>458</v>
      </c>
      <c r="E28" s="77" t="str">
        <f t="shared" si="0"/>
        <v>"[CODE CONSTRAINTS] 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 | " &amp;</v>
      </c>
      <c r="F28" s="54" t="s">
        <v>224</v>
      </c>
    </row>
    <row r="29" spans="2:6">
      <c r="B29" s="54" t="s">
        <v>271</v>
      </c>
      <c r="C29" s="54" t="s">
        <v>299</v>
      </c>
      <c r="D29" s="91" t="s">
        <v>463</v>
      </c>
      <c r="E29" s="77" t="str">
        <f t="shared" si="0"/>
        <v>"[SUPPORT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v>
      </c>
      <c r="F29" s="54" t="s">
        <v>224</v>
      </c>
    </row>
    <row r="30" spans="2:6">
      <c r="B30" s="54" t="s">
        <v>271</v>
      </c>
      <c r="C30" s="54" t="s">
        <v>195</v>
      </c>
      <c r="D30" s="91" t="s">
        <v>410</v>
      </c>
      <c r="E30" s="77" t="str">
        <f t="shared" si="0"/>
        <v>"[DIFFICULTY RULE] Complexity MUST match level | " &amp;</v>
      </c>
      <c r="F30" s="54" t="s">
        <v>224</v>
      </c>
    </row>
    <row r="31" spans="2:6">
      <c r="B31" s="54" t="s">
        <v>271</v>
      </c>
      <c r="C31" s="54" t="s">
        <v>207</v>
      </c>
      <c r="D31" s="91" t="s">
        <v>280</v>
      </c>
      <c r="E31" s="77" t="str">
        <f t="shared" si="0"/>
        <v>"[FORMAT RULE] Only valid markdown code blocks allowed | " &amp;</v>
      </c>
      <c r="F31" s="54" t="s">
        <v>224</v>
      </c>
    </row>
    <row r="32" spans="2:6">
      <c r="B32" s="54" t="s">
        <v>271</v>
      </c>
      <c r="C32" s="54" t="s">
        <v>209</v>
      </c>
      <c r="D32" s="91" t="s">
        <v>281</v>
      </c>
      <c r="E32" s="77" t="str">
        <f t="shared" si="0"/>
        <v>"[LANGUAGE TAG RULE] ALWAYS label markdown code blocks with the correct underlying programming language (e.g., python, javascript, sql) | " &amp;</v>
      </c>
      <c r="F32" s="54" t="s">
        <v>224</v>
      </c>
    </row>
    <row r="33" spans="2:6">
      <c r="B33" s="54" t="s">
        <v>271</v>
      </c>
      <c r="C33" s="54" t="s">
        <v>216</v>
      </c>
      <c r="D33" s="91" t="s">
        <v>464</v>
      </c>
      <c r="E33" s="77" t="str">
        <f t="shared" si="0"/>
        <v>"[OUTPUT] Only header, dataset summary or statement (if any), the defined sections, and footer | " &amp;</v>
      </c>
      <c r="F33" s="54" t="s">
        <v>224</v>
      </c>
    </row>
    <row r="34" spans="2:6">
      <c r="B34" s="54" t="s">
        <v>271</v>
      </c>
      <c r="C34" s="54" t="s">
        <v>220</v>
      </c>
      <c r="D34" s="91" t="s">
        <v>465</v>
      </c>
      <c r="E34" s="77" t="str">
        <f t="shared" si="0"/>
        <v>"[FOOTER RULE - STRICT] End your entire response EXACTLY with this markdown string (ensure all code blocks are closed before it):" &amp; CHAR(10) &amp; "---" &amp; CHAR(10) &amp; "⚡ *Coding5s System — Learn Programming by Writing Code*",</v>
      </c>
      <c r="F34" s="54" t="s">
        <v>224</v>
      </c>
    </row>
    <row r="35" spans="2:6">
      <c r="B35" s="54"/>
      <c r="C35" s="54"/>
      <c r="D35" s="91"/>
      <c r="E35" s="88" t="s">
        <v>466</v>
      </c>
      <c r="F35" s="54" t="s">
        <v>224</v>
      </c>
    </row>
    <row r="36" spans="2:6">
      <c r="B36" s="54"/>
      <c r="C36" s="54"/>
      <c r="D36" s="91"/>
      <c r="E36" s="77" t="str">
        <f t="shared" si="0"/>
        <v/>
      </c>
      <c r="F36" s="54" t="s">
        <v>224</v>
      </c>
    </row>
    <row r="37" spans="2:6">
      <c r="B37" s="54"/>
      <c r="C37" s="54"/>
      <c r="D37" s="91"/>
      <c r="E37" s="77" t="str">
        <f t="shared" si="0"/>
        <v/>
      </c>
      <c r="F37" s="54" t="s">
        <v>224</v>
      </c>
    </row>
    <row r="38" spans="2:6">
      <c r="B38" s="54"/>
      <c r="C38" s="54"/>
      <c r="D38" s="91"/>
      <c r="E38" s="77" t="str">
        <f t="shared" si="0"/>
        <v/>
      </c>
      <c r="F38" s="54" t="s">
        <v>224</v>
      </c>
    </row>
    <row r="39" spans="2:6">
      <c r="B39" s="54"/>
      <c r="C39" s="54"/>
      <c r="D39" s="91"/>
      <c r="E39" s="77" t="str">
        <f t="shared" si="0"/>
        <v/>
      </c>
      <c r="F39" s="54" t="s">
        <v>224</v>
      </c>
    </row>
    <row r="40" spans="2:6">
      <c r="B40" s="54"/>
      <c r="C40" s="54"/>
      <c r="D40" s="91"/>
      <c r="E40" s="77" t="str">
        <f t="shared" si="0"/>
        <v/>
      </c>
      <c r="F40" s="54" t="s">
        <v>224</v>
      </c>
    </row>
    <row r="41" spans="2:6">
      <c r="B41" s="54"/>
      <c r="C41" s="54"/>
      <c r="D41" s="91"/>
      <c r="E41" s="77" t="str">
        <f t="shared" si="0"/>
        <v/>
      </c>
      <c r="F41" s="54" t="s">
        <v>224</v>
      </c>
    </row>
    <row r="42" spans="2:6">
      <c r="B42" s="54"/>
      <c r="C42" s="54"/>
      <c r="D42" s="91"/>
      <c r="E42" s="77"/>
      <c r="F42" s="54"/>
    </row>
    <row r="43" spans="2:6">
      <c r="B43" s="74"/>
      <c r="C43" s="74"/>
      <c r="E43" s="86"/>
    </row>
    <row r="44" spans="2:6">
      <c r="B44" s="74"/>
      <c r="C44" s="74"/>
      <c r="E44" s="86"/>
    </row>
    <row r="45" spans="2:6" ht="36">
      <c r="B45" s="79" t="s">
        <v>451</v>
      </c>
      <c r="C45" s="74"/>
      <c r="E45" s="86"/>
    </row>
    <row r="46" spans="2:6">
      <c r="B46" s="76" t="s">
        <v>264</v>
      </c>
      <c r="C46" s="76" t="s">
        <v>579</v>
      </c>
      <c r="D46" s="76" t="s">
        <v>580</v>
      </c>
      <c r="E46" s="88" t="s">
        <v>265</v>
      </c>
      <c r="F46" s="32" t="s">
        <v>224</v>
      </c>
    </row>
    <row r="47" spans="2:6">
      <c r="B47" s="54" t="s">
        <v>222</v>
      </c>
      <c r="C47" s="54" t="s">
        <v>160</v>
      </c>
      <c r="D47" s="91" t="s">
        <v>453</v>
      </c>
      <c r="E47" s="77" t="str">
        <f>IF(D47="","",""""&amp;C47&amp;" "&amp;IF(C47="[FOOTER RULE - STRICT]",D47,IF(RIGHT(D47,6)=" | "&amp;CHAR(34)&amp;" &amp;",D47,D47&amp;" | "&amp;CHAR(34)&amp;" &amp;")))</f>
        <v>"[ROLE] Tech Product Manager assigning a " &amp; $I$2 &amp; " Jira Ticket | " &amp;</v>
      </c>
      <c r="F47" s="32" t="s">
        <v>224</v>
      </c>
    </row>
    <row r="48" spans="2:6">
      <c r="B48" s="54" t="s">
        <v>222</v>
      </c>
      <c r="C48" s="54" t="s">
        <v>162</v>
      </c>
      <c r="D48" s="91" t="s">
        <v>467</v>
      </c>
      <c r="E48" s="77" t="str">
        <f t="shared" ref="E48:E76" si="1">IF(D48="","",""""&amp;C48&amp;" "&amp;IF(C48="[FOOTER RULE - STRICT]",D48,IF(RIGHT(D48,6)=" | "&amp;CHAR(34)&amp;" &amp;",D48,D48&amp;" | "&amp;CHAR(34)&amp;" &amp;")))</f>
        <v>"[TASK] Provide a guided project implementation with full solution | " &amp;</v>
      </c>
      <c r="F48" s="32" t="s">
        <v>224</v>
      </c>
    </row>
    <row r="49" spans="2:6">
      <c r="B49" s="54" t="s">
        <v>222</v>
      </c>
      <c r="C49" s="54" t="s">
        <v>313</v>
      </c>
      <c r="D49" s="91" t="s">
        <v>165</v>
      </c>
      <c r="E49" s="77" t="str">
        <f t="shared" si="1"/>
        <v>"[PROJECT] " &amp; I9 &amp; " | " &amp;</v>
      </c>
      <c r="F49" s="32" t="s">
        <v>224</v>
      </c>
    </row>
    <row r="50" spans="2:6">
      <c r="B50" s="54" t="s">
        <v>222</v>
      </c>
      <c r="C50" s="54" t="s">
        <v>253</v>
      </c>
      <c r="D50" s="91" t="s">
        <v>777</v>
      </c>
      <c r="E50" s="77" t="str">
        <f t="shared" si="1"/>
        <v>"[TOPICS USED] " &amp; A9 &amp; " | " &amp;</v>
      </c>
      <c r="F50" s="32" t="s">
        <v>224</v>
      </c>
    </row>
    <row r="51" spans="2:6">
      <c r="B51" s="54" t="s">
        <v>222</v>
      </c>
      <c r="C51" s="54" t="s">
        <v>166</v>
      </c>
      <c r="D51" s="91" t="s">
        <v>167</v>
      </c>
      <c r="E51" s="77" t="str">
        <f t="shared" si="1"/>
        <v>"[LEVEL] " &amp; G9 &amp; " | " &amp;</v>
      </c>
      <c r="F51" s="32" t="s">
        <v>224</v>
      </c>
    </row>
    <row r="52" spans="2:6">
      <c r="B52" s="54" t="s">
        <v>222</v>
      </c>
      <c r="C52" s="54" t="s">
        <v>170</v>
      </c>
      <c r="D52" s="91" t="s">
        <v>468</v>
      </c>
      <c r="E52" s="77" t="str">
        <f t="shared" si="1"/>
        <v>"[PERSONA RULE] Act as a professional Tech Product Manager defining a project ticket | " &amp;</v>
      </c>
      <c r="F52" s="32" t="s">
        <v>224</v>
      </c>
    </row>
    <row r="53" spans="2:6">
      <c r="B53" s="54" t="s">
        <v>222</v>
      </c>
      <c r="C53" s="54" t="s">
        <v>229</v>
      </c>
      <c r="D53" s="91" t="s">
        <v>267</v>
      </c>
      <c r="E53" s="77" t="str">
        <f t="shared" si="1"/>
        <v>"[LIBRARY BEING LEARNED] " &amp; $I$3 &amp; " | " &amp;</v>
      </c>
      <c r="F53" s="32" t="s">
        <v>224</v>
      </c>
    </row>
    <row r="54" spans="2:6">
      <c r="B54" s="54" t="s">
        <v>222</v>
      </c>
      <c r="C54" s="54" t="s">
        <v>225</v>
      </c>
      <c r="D54" s="91"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54" s="77" t="str">
        <f t="shared" si="1"/>
        <v>"[ECOSYSTEM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v>
      </c>
      <c r="F54" s="32" t="s">
        <v>224</v>
      </c>
    </row>
    <row r="55" spans="2:6">
      <c r="B55" s="54" t="s">
        <v>222</v>
      </c>
      <c r="C55" s="54" t="s">
        <v>215</v>
      </c>
      <c r="D55" s="91" t="s">
        <v>594</v>
      </c>
      <c r="E55" s="77" t="str">
        <f t="shared" si="1"/>
        <v>"[HEADER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v>
      </c>
      <c r="F55" s="32" t="s">
        <v>224</v>
      </c>
    </row>
    <row r="56" spans="2:6">
      <c r="B56" s="54" t="s">
        <v>222</v>
      </c>
      <c r="C56" s="54" t="s">
        <v>172</v>
      </c>
      <c r="D56" s="91" t="s">
        <v>469</v>
      </c>
      <c r="E56" s="77" t="str">
        <f t="shared" si="1"/>
        <v>"[LANGUAGE CONSISTENCY RULE] 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v>
      </c>
      <c r="F56" s="32" t="s">
        <v>224</v>
      </c>
    </row>
    <row r="57" spans="2:6">
      <c r="B57" s="54" t="s">
        <v>222</v>
      </c>
      <c r="C57" s="54" t="s">
        <v>491</v>
      </c>
      <c r="D57" s="91" t="s">
        <v>483</v>
      </c>
      <c r="E57" s="77" t="str">
        <f t="shared" si="1"/>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1"/>
      <c r="E58" s="77" t="str">
        <f t="shared" si="1"/>
        <v/>
      </c>
      <c r="F58" s="32" t="s">
        <v>224</v>
      </c>
    </row>
    <row r="59" spans="2:6">
      <c r="B59" s="54" t="s">
        <v>223</v>
      </c>
      <c r="C59" s="54" t="s">
        <v>230</v>
      </c>
      <c r="D59" s="91"/>
      <c r="E59" s="77" t="str">
        <f t="shared" si="1"/>
        <v/>
      </c>
      <c r="F59" s="32" t="s">
        <v>224</v>
      </c>
    </row>
    <row r="60" spans="2:6">
      <c r="B60" s="54" t="s">
        <v>271</v>
      </c>
      <c r="C60" s="54" t="s">
        <v>178</v>
      </c>
      <c r="D60" s="91" t="s">
        <v>684</v>
      </c>
      <c r="E60" s="77" t="str">
        <f t="shared" si="1"/>
        <v>"[CODE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v>
      </c>
      <c r="F60" s="32" t="s">
        <v>224</v>
      </c>
    </row>
    <row r="61" spans="2:6">
      <c r="B61" s="54" t="s">
        <v>271</v>
      </c>
      <c r="C61" s="54" t="s">
        <v>459</v>
      </c>
      <c r="D61" s="91" t="s">
        <v>470</v>
      </c>
      <c r="E61" s="77" t="str">
        <f t="shared" si="1"/>
        <v>"[CRITICAL OUTPUT RULE] Output MUST match real execution - Convert sets to sorted lists before printing | " &amp;</v>
      </c>
      <c r="F61" s="32" t="s">
        <v>224</v>
      </c>
    </row>
    <row r="62" spans="2:6">
      <c r="B62" s="54" t="s">
        <v>271</v>
      </c>
      <c r="C62" s="54" t="s">
        <v>179</v>
      </c>
      <c r="D62" s="91" t="s">
        <v>471</v>
      </c>
      <c r="E62" s="77" t="str">
        <f t="shared" si="1"/>
        <v>"[FUNCTION RULE] " &amp; IF(G9="Beginner", "Avoid complex structure. ", IF(G9="Intermediate", "Functions optional. ", "Use structured modular functions. ")) &amp; " | " &amp;</v>
      </c>
      <c r="F62" s="32" t="s">
        <v>224</v>
      </c>
    </row>
    <row r="63" spans="2:6">
      <c r="B63" s="54" t="s">
        <v>271</v>
      </c>
      <c r="C63" s="54" t="s">
        <v>456</v>
      </c>
      <c r="D63" s="91" t="s">
        <v>472</v>
      </c>
      <c r="E63" s="77" t="str">
        <f t="shared" si="1"/>
        <v>"[TICKET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v>
      </c>
      <c r="F63" s="32" t="s">
        <v>224</v>
      </c>
    </row>
    <row r="64" spans="2:6">
      <c r="B64" s="54" t="s">
        <v>271</v>
      </c>
      <c r="C64" s="54" t="s">
        <v>174</v>
      </c>
      <c r="D64" s="91" t="s">
        <v>473</v>
      </c>
      <c r="E64"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v>
      </c>
      <c r="F64" s="32" t="s">
        <v>224</v>
      </c>
    </row>
    <row r="65" spans="2:6">
      <c r="B65" s="54" t="s">
        <v>271</v>
      </c>
      <c r="C65" s="54" t="s">
        <v>177</v>
      </c>
      <c r="D65" s="91" t="s">
        <v>474</v>
      </c>
      <c r="E65" s="77" t="str">
        <f t="shared" si="1"/>
        <v>"[OUTPUT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v>
      </c>
      <c r="F65" s="32" t="s">
        <v>224</v>
      </c>
    </row>
    <row r="66" spans="2:6">
      <c r="B66" s="54" t="s">
        <v>271</v>
      </c>
      <c r="C66" s="54" t="s">
        <v>180</v>
      </c>
      <c r="D66" s="91" t="s">
        <v>475</v>
      </c>
      <c r="E66" s="77" t="str">
        <f t="shared" si="1"/>
        <v>"[CODE QUALITY RULE] Code MUST be clean and realistic | " &amp;</v>
      </c>
      <c r="F66" s="32" t="s">
        <v>224</v>
      </c>
    </row>
    <row r="67" spans="2:6">
      <c r="B67" s="54" t="s">
        <v>271</v>
      </c>
      <c r="C67" s="54" t="s">
        <v>190</v>
      </c>
      <c r="D67" s="91" t="s">
        <v>419</v>
      </c>
      <c r="E67" s="77" t="str">
        <f t="shared" si="1"/>
        <v>"[DATA ROBUSTNESS RULE] Handle real-world data safely | " &amp;</v>
      </c>
      <c r="F67" s="32" t="s">
        <v>224</v>
      </c>
    </row>
    <row r="68" spans="2:6">
      <c r="B68" s="54" t="s">
        <v>271</v>
      </c>
      <c r="C68" s="54" t="s">
        <v>207</v>
      </c>
      <c r="D68" s="91" t="s">
        <v>476</v>
      </c>
      <c r="E68" s="77" t="str">
        <f t="shared" si="1"/>
        <v>"[FORMAT RULE] Only markdown code blocks allowed | " &amp;</v>
      </c>
      <c r="F68" s="32" t="s">
        <v>224</v>
      </c>
    </row>
    <row r="69" spans="2:6">
      <c r="B69" s="54" t="s">
        <v>271</v>
      </c>
      <c r="C69" s="54" t="s">
        <v>209</v>
      </c>
      <c r="D69" s="91" t="s">
        <v>281</v>
      </c>
      <c r="E69" s="77" t="str">
        <f t="shared" si="1"/>
        <v>"[LANGUAGE TAG RULE] ALWAYS label markdown code blocks with the correct underlying programming language (e.g., python, javascript, sql) | " &amp;</v>
      </c>
      <c r="F69" s="32" t="s">
        <v>224</v>
      </c>
    </row>
    <row r="70" spans="2:6">
      <c r="B70" s="54" t="s">
        <v>271</v>
      </c>
      <c r="C70" s="54" t="s">
        <v>259</v>
      </c>
      <c r="D70" s="91" t="s">
        <v>477</v>
      </c>
      <c r="E70" s="77" t="str">
        <f t="shared" si="1"/>
        <v>"[EXECUTION RULE] Code MUST run correctly | " &amp;</v>
      </c>
      <c r="F70" s="32" t="s">
        <v>224</v>
      </c>
    </row>
    <row r="71" spans="2:6">
      <c r="B71" s="54" t="s">
        <v>271</v>
      </c>
      <c r="C71" s="54" t="s">
        <v>216</v>
      </c>
      <c r="D71" s="91" t="s">
        <v>478</v>
      </c>
      <c r="E71" s="77" t="str">
        <f t="shared" si="1"/>
        <v>"[OUTPUT] Only header, dataset summary or statement (if any), defined sections, and footer, | " &amp;</v>
      </c>
      <c r="F71" s="32" t="s">
        <v>224</v>
      </c>
    </row>
    <row r="72" spans="2:6">
      <c r="B72" s="54" t="s">
        <v>271</v>
      </c>
      <c r="C72" s="54" t="s">
        <v>220</v>
      </c>
      <c r="D72" s="91" t="s">
        <v>263</v>
      </c>
      <c r="E72" s="77" t="str">
        <f t="shared" si="1"/>
        <v>"[FOOTER RULE - STRICT] End your entire response EXACTLY with this markdown string (ensure all code blocks are closed before it):" &amp; CHAR(10) &amp; "---" &amp; CHAR(10) &amp; "⚡ *Coding5s System — Learn Programming by Writing Code*")</v>
      </c>
      <c r="F72" s="32" t="s">
        <v>224</v>
      </c>
    </row>
    <row r="73" spans="2:6">
      <c r="B73" s="54"/>
      <c r="C73" s="54"/>
      <c r="D73" s="91"/>
      <c r="E73" s="77" t="str">
        <f t="shared" si="1"/>
        <v/>
      </c>
      <c r="F73" s="32" t="s">
        <v>224</v>
      </c>
    </row>
    <row r="74" spans="2:6">
      <c r="B74" s="54"/>
      <c r="C74" s="54"/>
      <c r="D74" s="91"/>
      <c r="E74" s="77" t="str">
        <f t="shared" si="1"/>
        <v/>
      </c>
      <c r="F74" s="32" t="s">
        <v>224</v>
      </c>
    </row>
    <row r="75" spans="2:6">
      <c r="B75" s="54"/>
      <c r="C75" s="54"/>
      <c r="D75" s="91"/>
      <c r="E75" s="77" t="str">
        <f t="shared" si="1"/>
        <v/>
      </c>
      <c r="F75" s="32" t="s">
        <v>224</v>
      </c>
    </row>
    <row r="76" spans="2:6">
      <c r="B76" s="54"/>
      <c r="C76" s="54"/>
      <c r="D76" s="91"/>
      <c r="E76" s="77" t="str">
        <f t="shared" si="1"/>
        <v/>
      </c>
      <c r="F76" s="32" t="s">
        <v>224</v>
      </c>
    </row>
    <row r="77" spans="2:6">
      <c r="E77" s="86"/>
      <c r="F77" t="s">
        <v>224</v>
      </c>
    </row>
    <row r="79" spans="2:6" ht="36">
      <c r="B79" s="80" t="s">
        <v>452</v>
      </c>
    </row>
    <row r="80" spans="2:6">
      <c r="B80" s="76" t="s">
        <v>221</v>
      </c>
      <c r="C80" s="76" t="s">
        <v>579</v>
      </c>
      <c r="D80" s="76" t="s">
        <v>580</v>
      </c>
      <c r="E80" s="89" t="s">
        <v>234</v>
      </c>
      <c r="F80" s="54" t="s">
        <v>224</v>
      </c>
    </row>
    <row r="81" spans="2:6">
      <c r="B81" s="54" t="s">
        <v>222</v>
      </c>
      <c r="C81" s="54" t="s">
        <v>479</v>
      </c>
      <c r="D81" s="91" t="s">
        <v>480</v>
      </c>
      <c r="E81" s="17" t="str">
        <f t="shared" ref="E81:E95" si="2">IF(D81="","",""""&amp;C81&amp;" "&amp;IF(OR(C81="[FOOTER RULE - STRICT]",C81="[FOOTER RULE]"),D81,IF(RIGHT(D81,6)=" | "&amp;CHAR(34)&amp;" &amp;",D81,D81&amp;" | "&amp;CHAR(34)&amp;" &amp;")))</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v>
      </c>
      <c r="F81" s="54" t="s">
        <v>224</v>
      </c>
    </row>
    <row r="82" spans="2:6">
      <c r="B82" s="54" t="s">
        <v>222</v>
      </c>
      <c r="C82" s="54" t="s">
        <v>236</v>
      </c>
      <c r="D82" s="91" t="s">
        <v>481</v>
      </c>
      <c r="E82" s="17" t="str">
        <f t="shared" si="2"/>
        <v>"[CULTURAL &amp; JARGON RULE] 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 | " &amp;</v>
      </c>
      <c r="F82" s="54" t="s">
        <v>224</v>
      </c>
    </row>
    <row r="83" spans="2:6">
      <c r="B83" s="54" t="s">
        <v>222</v>
      </c>
      <c r="C83" s="54" t="s">
        <v>237</v>
      </c>
      <c r="D83" s="91" t="s">
        <v>782</v>
      </c>
      <c r="E83" s="17" t="str">
        <f t="shared" si="2"/>
        <v>"[CONTEXT] You are reviewing the final implementation of a new feature for a " &amp; IF(UPPER(H9)="PROJECT", "PROJECT: " &amp; I9 &amp; ". Topics integrated: " &amp; A9 &amp; ". Business Goal: " &amp; J9, "TOPIC: " &amp; I9 &amp; ". Goal: " &amp; J9) &amp; " | " &amp;</v>
      </c>
      <c r="F83" s="54" t="s">
        <v>224</v>
      </c>
    </row>
    <row r="84" spans="2:6">
      <c r="B84" s="54" t="s">
        <v>222</v>
      </c>
      <c r="C84" s="54" t="s">
        <v>162</v>
      </c>
      <c r="D84" s="91" t="s">
        <v>482</v>
      </c>
      <c r="E84" s="17" t="str">
        <f t="shared" si="2"/>
        <v>"[TASK] Analyze the extension code. If they already anticipated the edge cases and scalability issues (e.g., using generators or async patterns), give them the 'Architect's Approval' and discuss a more advanced trade-off. Otherwise, follow the 2-PHASE MENTORING PROTOCOL | " &amp;</v>
      </c>
      <c r="F84" s="54" t="s">
        <v>224</v>
      </c>
    </row>
    <row r="85" spans="2:6">
      <c r="B85" s="54" t="s">
        <v>222</v>
      </c>
      <c r="C85" s="54" t="s">
        <v>229</v>
      </c>
      <c r="D85" s="91" t="s">
        <v>267</v>
      </c>
      <c r="E85" s="17" t="str">
        <f t="shared" si="2"/>
        <v>"[LIBRARY BEING LEARNED] " &amp; $I$3 &amp; " | " &amp;</v>
      </c>
      <c r="F85" s="54" t="s">
        <v>224</v>
      </c>
    </row>
    <row r="86" spans="2:6">
      <c r="B86" s="54" t="s">
        <v>222</v>
      </c>
      <c r="C86" s="54" t="s">
        <v>172</v>
      </c>
      <c r="D86" s="91"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1"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1" t="s">
        <v>595</v>
      </c>
      <c r="E88" s="17" t="str">
        <f t="shared" si="2"/>
        <v>"[HEADER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v>
      </c>
      <c r="F88" s="54" t="s">
        <v>224</v>
      </c>
    </row>
    <row r="89" spans="2:6">
      <c r="B89" s="54" t="s">
        <v>223</v>
      </c>
      <c r="C89" s="54" t="s">
        <v>230</v>
      </c>
      <c r="D89" s="91"/>
      <c r="E89" s="17" t="str">
        <f t="shared" si="2"/>
        <v/>
      </c>
      <c r="F89" s="54" t="s">
        <v>224</v>
      </c>
    </row>
    <row r="90" spans="2:6">
      <c r="B90" s="54" t="s">
        <v>223</v>
      </c>
      <c r="C90" s="54" t="s">
        <v>676</v>
      </c>
      <c r="D90" s="91" t="str">
        <f>Variables!E59 &amp; " | " &amp; CHAR(34) &amp; " &amp;"</f>
        <v>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v>
      </c>
      <c r="E90" s="17" t="str">
        <f t="shared" si="2"/>
        <v>"[CODE_QUALITY_PROTOCOL]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v>
      </c>
      <c r="F90" s="54" t="s">
        <v>224</v>
      </c>
    </row>
    <row r="91" spans="2:6">
      <c r="B91" s="54" t="s">
        <v>271</v>
      </c>
      <c r="C91" s="54" t="s">
        <v>238</v>
      </c>
      <c r="D91" s="91" t="s">
        <v>484</v>
      </c>
      <c r="E91" s="17" t="str">
        <f t="shared" si="2"/>
        <v>"[EMPTY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v>
      </c>
      <c r="F91" s="54" t="s">
        <v>224</v>
      </c>
    </row>
    <row r="92" spans="2:6">
      <c r="B92" s="54" t="s">
        <v>271</v>
      </c>
      <c r="C92" s="54" t="s">
        <v>240</v>
      </c>
      <c r="D92" s="91" t="s">
        <v>485</v>
      </c>
      <c r="E92" s="17" t="str">
        <f t="shared" si="2"/>
        <v>"[PHASE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v>
      </c>
      <c r="F92" s="54" t="s">
        <v>224</v>
      </c>
    </row>
    <row r="93" spans="2:6">
      <c r="B93" s="54" t="s">
        <v>271</v>
      </c>
      <c r="C93" s="54" t="s">
        <v>241</v>
      </c>
      <c r="D93" s="91" t="s">
        <v>486</v>
      </c>
      <c r="E93" s="17" t="str">
        <f t="shared" si="2"/>
        <v>"[EXPLANATION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v>
      </c>
      <c r="F93" s="54" t="s">
        <v>224</v>
      </c>
    </row>
    <row r="94" spans="2:6">
      <c r="B94" s="54" t="s">
        <v>271</v>
      </c>
      <c r="C94" s="54" t="s">
        <v>487</v>
      </c>
      <c r="D94" s="91" t="s">
        <v>488</v>
      </c>
      <c r="E94" s="17" t="str">
        <f t="shared" si="2"/>
        <v>"[PHASE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v>
      </c>
      <c r="F94" s="54" t="s">
        <v>224</v>
      </c>
    </row>
    <row r="95" spans="2:6">
      <c r="B95" s="54" t="s">
        <v>271</v>
      </c>
      <c r="C95" s="54" t="s">
        <v>330</v>
      </c>
      <c r="D95" s="91" t="s">
        <v>489</v>
      </c>
      <c r="E95" s="17" t="str">
        <f t="shared" si="2"/>
        <v>"[FOOTER RULE] End your response with: '--- ⚡ *Coding5s Mentor System — Eliminating Epistemic Debt &amp; Shipping to Production*'",</v>
      </c>
      <c r="F95" s="54" t="s">
        <v>224</v>
      </c>
    </row>
    <row r="96" spans="2:6">
      <c r="B96" s="54"/>
      <c r="C96" s="54"/>
      <c r="D96" s="91"/>
      <c r="E96" s="89" t="s">
        <v>437</v>
      </c>
      <c r="F96" s="54" t="s">
        <v>224</v>
      </c>
    </row>
    <row r="97" spans="2:6">
      <c r="B97" s="54"/>
      <c r="C97" s="54"/>
      <c r="D97" s="91"/>
      <c r="E97" s="77" t="str">
        <f t="shared" ref="E97:E100" si="3">IF(D97="","",""""&amp;C97&amp;" "&amp;IF(C97="[FOOTER RULE - STRICT]",D97,IF(RIGHT(D97,6)=" | "&amp;CHAR(34)&amp;" &amp;",D97,D97&amp;" | "&amp;CHAR(34)&amp;" &amp;")))</f>
        <v/>
      </c>
      <c r="F97" s="54" t="s">
        <v>224</v>
      </c>
    </row>
    <row r="98" spans="2:6">
      <c r="B98" s="54"/>
      <c r="C98" s="54"/>
      <c r="D98" s="91"/>
      <c r="E98" s="77" t="str">
        <f t="shared" si="3"/>
        <v/>
      </c>
      <c r="F98" s="54" t="s">
        <v>224</v>
      </c>
    </row>
    <row r="99" spans="2:6">
      <c r="B99" s="54"/>
      <c r="C99" s="54"/>
      <c r="D99" s="91"/>
      <c r="E99" s="77" t="str">
        <f t="shared" si="3"/>
        <v/>
      </c>
      <c r="F99" s="54" t="s">
        <v>224</v>
      </c>
    </row>
    <row r="100" spans="2:6">
      <c r="B100" s="54"/>
      <c r="C100" s="54"/>
      <c r="D100" s="91"/>
      <c r="E100" s="77" t="str">
        <f t="shared" si="3"/>
        <v/>
      </c>
      <c r="F100" s="54" t="s">
        <v>224</v>
      </c>
    </row>
  </sheetData>
  <conditionalFormatting sqref="B1:B1048576">
    <cfRule type="cellIs" dxfId="11" priority="10" operator="equal">
      <formula>"The Immutable Kernel"</formula>
    </cfRule>
    <cfRule type="cellIs" dxfId="10" priority="11" operator="equal">
      <formula>"Paradigm &amp; Ecosystem"</formula>
    </cfRule>
    <cfRule type="cellIs" dxfId="9" priority="12" operator="equal">
      <formula>"Global Variables &amp; Configuration"</formula>
    </cfRule>
  </conditionalFormatting>
  <conditionalFormatting sqref="C4:C42">
    <cfRule type="expression" dxfId="8" priority="7">
      <formula>$B4="The Immutable Kernel"</formula>
    </cfRule>
    <cfRule type="expression" dxfId="7" priority="8">
      <formula>$B4="Paradigm &amp; Ecosystem"</formula>
    </cfRule>
    <cfRule type="expression" dxfId="6" priority="9">
      <formula>$B4="Global Variables &amp; Configuration"</formula>
    </cfRule>
  </conditionalFormatting>
  <conditionalFormatting sqref="C47:C76">
    <cfRule type="expression" dxfId="5" priority="4">
      <formula>$B47="The Immutable Kernel"</formula>
    </cfRule>
    <cfRule type="expression" dxfId="4" priority="5">
      <formula>$B47="Paradigm &amp; Ecosystem"</formula>
    </cfRule>
    <cfRule type="expression" dxfId="3" priority="6">
      <formula>$B47="Global Variables &amp; Configuration"</formula>
    </cfRule>
  </conditionalFormatting>
  <conditionalFormatting sqref="C81:C100">
    <cfRule type="expression" dxfId="2" priority="1">
      <formula>$B81="The Immutable Kernel"</formula>
    </cfRule>
    <cfRule type="expression" dxfId="1" priority="2">
      <formula>$B81="Paradigm &amp; Ecosystem"</formula>
    </cfRule>
    <cfRule type="expression" dxfId="0" priority="3">
      <formula>$B81="Global Variables &amp; Configuration"</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67FC-E7C3-4DC7-B5E1-4045F280E864}">
  <dimension ref="B2:E19"/>
  <sheetViews>
    <sheetView workbookViewId="0">
      <selection activeCell="E6" sqref="E6"/>
    </sheetView>
  </sheetViews>
  <sheetFormatPr defaultRowHeight="15"/>
  <cols>
    <col min="2" max="2" width="6.42578125" customWidth="1"/>
    <col min="3" max="3" width="34.5703125" bestFit="1" customWidth="1"/>
    <col min="4" max="4" width="8.7109375" bestFit="1" customWidth="1"/>
    <col min="5" max="5" width="152.85546875" bestFit="1" customWidth="1"/>
  </cols>
  <sheetData>
    <row r="2" spans="2:5">
      <c r="B2" t="s">
        <v>550</v>
      </c>
      <c r="C2" t="s">
        <v>521</v>
      </c>
      <c r="D2" t="s">
        <v>23</v>
      </c>
      <c r="E2" t="s">
        <v>551</v>
      </c>
    </row>
    <row r="3" spans="2:5">
      <c r="B3" t="s">
        <v>522</v>
      </c>
      <c r="C3" t="s">
        <v>18</v>
      </c>
      <c r="D3" t="s">
        <v>523</v>
      </c>
      <c r="E3" t="s">
        <v>552</v>
      </c>
    </row>
    <row r="4" spans="2:5">
      <c r="B4" t="s">
        <v>524</v>
      </c>
      <c r="C4" t="s">
        <v>542</v>
      </c>
      <c r="D4" t="s">
        <v>523</v>
      </c>
      <c r="E4" t="s">
        <v>553</v>
      </c>
    </row>
    <row r="5" spans="2:5">
      <c r="B5" t="s">
        <v>525</v>
      </c>
      <c r="C5" t="s">
        <v>21</v>
      </c>
      <c r="D5" t="s">
        <v>523</v>
      </c>
      <c r="E5" t="s">
        <v>554</v>
      </c>
    </row>
    <row r="6" spans="2:5">
      <c r="B6" t="s">
        <v>526</v>
      </c>
      <c r="C6" t="s">
        <v>22</v>
      </c>
      <c r="D6" t="s">
        <v>523</v>
      </c>
      <c r="E6" t="s">
        <v>555</v>
      </c>
    </row>
    <row r="7" spans="2:5">
      <c r="B7" t="s">
        <v>527</v>
      </c>
      <c r="C7" t="s">
        <v>23</v>
      </c>
      <c r="D7" t="s">
        <v>523</v>
      </c>
      <c r="E7" t="s">
        <v>556</v>
      </c>
    </row>
    <row r="8" spans="2:5">
      <c r="B8" t="s">
        <v>528</v>
      </c>
      <c r="C8" t="s">
        <v>24</v>
      </c>
      <c r="D8" t="s">
        <v>523</v>
      </c>
      <c r="E8" t="s">
        <v>557</v>
      </c>
    </row>
    <row r="9" spans="2:5">
      <c r="B9" t="s">
        <v>529</v>
      </c>
      <c r="C9" t="s">
        <v>25</v>
      </c>
      <c r="D9" t="s">
        <v>523</v>
      </c>
      <c r="E9" t="s">
        <v>558</v>
      </c>
    </row>
    <row r="10" spans="2:5">
      <c r="B10" t="s">
        <v>530</v>
      </c>
      <c r="C10" t="s">
        <v>45</v>
      </c>
      <c r="D10" t="s">
        <v>531</v>
      </c>
      <c r="E10" t="s">
        <v>559</v>
      </c>
    </row>
    <row r="11" spans="2:5">
      <c r="B11" t="s">
        <v>532</v>
      </c>
      <c r="C11" t="s">
        <v>533</v>
      </c>
      <c r="D11" t="s">
        <v>531</v>
      </c>
      <c r="E11" t="s">
        <v>560</v>
      </c>
    </row>
    <row r="12" spans="2:5">
      <c r="B12" t="s">
        <v>534</v>
      </c>
      <c r="C12" t="s">
        <v>543</v>
      </c>
      <c r="D12" t="s">
        <v>531</v>
      </c>
      <c r="E12" t="s">
        <v>561</v>
      </c>
    </row>
    <row r="13" spans="2:5">
      <c r="B13" t="s">
        <v>535</v>
      </c>
      <c r="C13" t="s">
        <v>498</v>
      </c>
      <c r="D13" t="s">
        <v>531</v>
      </c>
      <c r="E13" t="s">
        <v>562</v>
      </c>
    </row>
    <row r="14" spans="2:5">
      <c r="B14" t="s">
        <v>536</v>
      </c>
      <c r="C14" t="s">
        <v>544</v>
      </c>
      <c r="D14" t="s">
        <v>523</v>
      </c>
      <c r="E14" t="s">
        <v>563</v>
      </c>
    </row>
    <row r="15" spans="2:5">
      <c r="B15" t="s">
        <v>537</v>
      </c>
      <c r="C15" t="s">
        <v>545</v>
      </c>
      <c r="D15" t="s">
        <v>523</v>
      </c>
      <c r="E15" t="s">
        <v>564</v>
      </c>
    </row>
    <row r="16" spans="2:5">
      <c r="B16" t="s">
        <v>538</v>
      </c>
      <c r="C16" t="s">
        <v>546</v>
      </c>
      <c r="D16" t="s">
        <v>523</v>
      </c>
      <c r="E16" t="s">
        <v>565</v>
      </c>
    </row>
    <row r="17" spans="2:5">
      <c r="B17" t="s">
        <v>539</v>
      </c>
      <c r="C17" t="s">
        <v>547</v>
      </c>
      <c r="D17" t="s">
        <v>523</v>
      </c>
      <c r="E17" t="s">
        <v>566</v>
      </c>
    </row>
    <row r="18" spans="2:5">
      <c r="B18" t="s">
        <v>540</v>
      </c>
      <c r="C18" t="s">
        <v>548</v>
      </c>
      <c r="D18" t="s">
        <v>523</v>
      </c>
      <c r="E18" t="s">
        <v>567</v>
      </c>
    </row>
    <row r="19" spans="2:5">
      <c r="B19" t="s">
        <v>541</v>
      </c>
      <c r="C19" t="s">
        <v>549</v>
      </c>
      <c r="D19" t="s">
        <v>523</v>
      </c>
      <c r="E19" t="s">
        <v>568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C0CD-3B2A-4DA0-A954-04B702664FC8}">
  <dimension ref="B2:K25"/>
  <sheetViews>
    <sheetView showGridLines="0" workbookViewId="0">
      <selection activeCell="A26" sqref="A26"/>
    </sheetView>
  </sheetViews>
  <sheetFormatPr defaultRowHeight="15"/>
  <cols>
    <col min="1" max="1" width="3.140625" customWidth="1"/>
  </cols>
  <sheetData>
    <row r="2" spans="2:11">
      <c r="B2" s="105" t="s">
        <v>502</v>
      </c>
      <c r="C2" s="106"/>
      <c r="D2" s="106"/>
      <c r="E2" s="106"/>
      <c r="F2" s="106"/>
      <c r="G2" s="106"/>
      <c r="H2" s="106"/>
      <c r="I2" s="106"/>
      <c r="J2" s="106"/>
      <c r="K2" s="107"/>
    </row>
    <row r="3" spans="2:11">
      <c r="B3" s="108"/>
      <c r="K3" s="109"/>
    </row>
    <row r="4" spans="2:11">
      <c r="B4" s="108" t="s">
        <v>503</v>
      </c>
      <c r="K4" s="109"/>
    </row>
    <row r="5" spans="2:11">
      <c r="B5" s="108"/>
      <c r="K5" s="109"/>
    </row>
    <row r="6" spans="2:11">
      <c r="B6" s="110" t="s">
        <v>504</v>
      </c>
      <c r="K6" s="109"/>
    </row>
    <row r="7" spans="2:11">
      <c r="B7" s="110" t="s">
        <v>505</v>
      </c>
      <c r="K7" s="109"/>
    </row>
    <row r="8" spans="2:11">
      <c r="B8" s="110" t="s">
        <v>506</v>
      </c>
      <c r="K8" s="109"/>
    </row>
    <row r="9" spans="2:11">
      <c r="B9" s="110" t="s">
        <v>507</v>
      </c>
      <c r="K9" s="109"/>
    </row>
    <row r="10" spans="2:11">
      <c r="B10" s="110" t="s">
        <v>508</v>
      </c>
      <c r="K10" s="109"/>
    </row>
    <row r="11" spans="2:11">
      <c r="B11" s="110" t="s">
        <v>509</v>
      </c>
      <c r="K11" s="109"/>
    </row>
    <row r="12" spans="2:11">
      <c r="B12" s="110"/>
      <c r="K12" s="109"/>
    </row>
    <row r="13" spans="2:11">
      <c r="B13" s="110" t="s">
        <v>510</v>
      </c>
      <c r="K13" s="109"/>
    </row>
    <row r="14" spans="2:11">
      <c r="B14" s="110" t="s">
        <v>511</v>
      </c>
      <c r="K14" s="109"/>
    </row>
    <row r="15" spans="2:11">
      <c r="B15" s="110"/>
      <c r="K15" s="109"/>
    </row>
    <row r="16" spans="2:11">
      <c r="B16" s="110" t="s">
        <v>512</v>
      </c>
      <c r="K16" s="109"/>
    </row>
    <row r="17" spans="2:11">
      <c r="B17" s="110" t="s">
        <v>513</v>
      </c>
      <c r="K17" s="109"/>
    </row>
    <row r="18" spans="2:11">
      <c r="B18" s="110" t="s">
        <v>514</v>
      </c>
      <c r="K18" s="109"/>
    </row>
    <row r="19" spans="2:11">
      <c r="B19" s="110" t="s">
        <v>515</v>
      </c>
      <c r="K19" s="109"/>
    </row>
    <row r="20" spans="2:11">
      <c r="B20" s="110" t="s">
        <v>516</v>
      </c>
      <c r="K20" s="109"/>
    </row>
    <row r="21" spans="2:11">
      <c r="B21" s="110" t="s">
        <v>517</v>
      </c>
      <c r="K21" s="109"/>
    </row>
    <row r="22" spans="2:11">
      <c r="B22" s="110" t="s">
        <v>518</v>
      </c>
      <c r="K22" s="109"/>
    </row>
    <row r="23" spans="2:11">
      <c r="B23" s="110"/>
      <c r="K23" s="109"/>
    </row>
    <row r="24" spans="2:11">
      <c r="B24" s="110" t="s">
        <v>519</v>
      </c>
      <c r="D24" s="114" t="s">
        <v>520</v>
      </c>
      <c r="K24" s="109"/>
    </row>
    <row r="25" spans="2:11">
      <c r="B25" s="111" t="s">
        <v>721</v>
      </c>
      <c r="C25" s="112"/>
      <c r="D25" s="135" t="s">
        <v>722</v>
      </c>
      <c r="E25" s="112"/>
      <c r="F25" s="112"/>
      <c r="G25" s="112"/>
      <c r="H25" s="112"/>
      <c r="I25" s="112"/>
      <c r="J25" s="112"/>
      <c r="K25" s="113"/>
    </row>
  </sheetData>
  <hyperlinks>
    <hyperlink ref="D24" r:id="rId1" xr:uid="{C1585F6D-E84E-4BDD-BFC6-8C9DE04D69FF}"/>
    <hyperlink ref="D25" r:id="rId2" xr:uid="{A95008B9-006C-4ED2-8260-C9DECD11B08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8C24-33BE-44DB-863E-82947C8C3CEA}">
  <dimension ref="A1:A16"/>
  <sheetViews>
    <sheetView showGridLines="0" workbookViewId="0">
      <selection activeCell="F14" sqref="F14"/>
    </sheetView>
  </sheetViews>
  <sheetFormatPr defaultRowHeight="15"/>
  <sheetData>
    <row r="1" spans="1:1" ht="18">
      <c r="A1" s="115" t="s">
        <v>569</v>
      </c>
    </row>
    <row r="3" spans="1:1">
      <c r="A3" t="s">
        <v>570</v>
      </c>
    </row>
    <row r="4" spans="1:1">
      <c r="A4" s="116"/>
    </row>
    <row r="5" spans="1:1">
      <c r="A5" s="117" t="s">
        <v>571</v>
      </c>
    </row>
    <row r="6" spans="1:1">
      <c r="A6" s="118"/>
    </row>
    <row r="7" spans="1:1">
      <c r="A7" s="119" t="s">
        <v>572</v>
      </c>
    </row>
    <row r="8" spans="1:1">
      <c r="A8" s="119" t="s">
        <v>573</v>
      </c>
    </row>
    <row r="9" spans="1:1">
      <c r="A9" s="116"/>
    </row>
    <row r="10" spans="1:1">
      <c r="A10" s="117" t="s">
        <v>574</v>
      </c>
    </row>
    <row r="11" spans="1:1">
      <c r="A11" s="118"/>
    </row>
    <row r="12" spans="1:1">
      <c r="A12" s="118" t="s">
        <v>575</v>
      </c>
    </row>
    <row r="13" spans="1:1">
      <c r="A13" s="118" t="s">
        <v>576</v>
      </c>
    </row>
    <row r="14" spans="1:1">
      <c r="A14" s="118" t="s">
        <v>577</v>
      </c>
    </row>
    <row r="15" spans="1:1">
      <c r="A15" s="116"/>
    </row>
    <row r="16" spans="1:1">
      <c r="A16" s="117" t="s">
        <v>578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PromptGenerator</vt:lpstr>
      <vt:lpstr>HowToStudy</vt:lpstr>
      <vt:lpstr>Variables</vt:lpstr>
      <vt:lpstr>FGen_S1</vt:lpstr>
      <vt:lpstr>FGen_S2</vt:lpstr>
      <vt:lpstr>FGen_S3</vt:lpstr>
      <vt:lpstr>FGen_S4</vt:lpstr>
      <vt:lpstr>FGen_S5</vt:lpstr>
      <vt:lpstr>CellReference</vt:lpstr>
      <vt:lpstr>License</vt:lpstr>
      <vt:lpstr>HowTo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2026-06-26T06:07:42Z</dcterms:created>
  <dcterms:modified xsi:type="dcterms:W3CDTF">2026-07-27T03:31:37Z</dcterms:modified>
</cp:coreProperties>
</file>