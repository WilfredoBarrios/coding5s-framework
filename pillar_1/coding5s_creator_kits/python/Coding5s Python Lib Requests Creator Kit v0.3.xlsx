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github_repositories\coding5s-framework\pillar_1\coding5s_creator_kits\"/>
    </mc:Choice>
  </mc:AlternateContent>
  <xr:revisionPtr revIDLastSave="0" documentId="13_ncr:1_{DE93AEE2-4BD9-4F5A-B8C2-E47A1551643F}" xr6:coauthVersionLast="47" xr6:coauthVersionMax="47" xr10:uidLastSave="{00000000-0000-0000-0000-000000000000}"/>
  <workbookProtection workbookAlgorithmName="SHA-512" workbookHashValue="r0xfhGDZTukz56G4zB0h7xcDc/Wfk/tudEdMfAcxoDHN1rbSFyn5ks1e1ITYQm9WA6D0Iiembw85tFFFYLJXow==" workbookSaltValue="Uo9oj/Z0gESduOupvbKiIw==" workbookSpinCount="100000" lockStructure="1"/>
  <bookViews>
    <workbookView xWindow="29190" yWindow="585" windowWidth="27540" windowHeight="13785" tabRatio="732" xr2:uid="{A9A38741-1811-4719-B778-C7D2DA3EDF0A}"/>
  </bookViews>
  <sheets>
    <sheet name="PromptGenerator" sheetId="1" r:id="rId1"/>
    <sheet name="HowToStudy" sheetId="25" r:id="rId2"/>
    <sheet name="Variables" sheetId="24" r:id="rId3"/>
    <sheet name="FGen_S1" sheetId="2" r:id="rId4"/>
    <sheet name="FGen_S2" sheetId="15" r:id="rId5"/>
    <sheet name="FGen_S3" sheetId="16" r:id="rId6"/>
    <sheet name="FGen_S4" sheetId="17" r:id="rId7"/>
    <sheet name="FGen_S5" sheetId="18" r:id="rId8"/>
    <sheet name="CellReference" sheetId="22" r:id="rId9"/>
    <sheet name="License" sheetId="19" r:id="rId10"/>
    <sheet name="HowTo" sheetId="23"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X10" i="1" l="1"/>
  <c r="X11" i="1"/>
  <c r="X12" i="1"/>
  <c r="X13" i="1"/>
  <c r="X15" i="1"/>
  <c r="X16" i="1"/>
  <c r="X17" i="1"/>
  <c r="X18" i="1"/>
  <c r="X19" i="1"/>
  <c r="X21" i="1"/>
  <c r="X22" i="1"/>
  <c r="X23" i="1"/>
  <c r="X24" i="1"/>
  <c r="X25" i="1"/>
  <c r="X27" i="1"/>
  <c r="X28" i="1"/>
  <c r="X29" i="1"/>
  <c r="X30" i="1"/>
  <c r="X31" i="1"/>
  <c r="X33" i="1"/>
  <c r="X34" i="1"/>
  <c r="X35" i="1"/>
  <c r="X36" i="1"/>
  <c r="X37" i="1"/>
  <c r="X39" i="1"/>
  <c r="X40" i="1"/>
  <c r="X41" i="1"/>
  <c r="X42" i="1"/>
  <c r="X43"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9" i="1"/>
  <c r="AD10" i="1"/>
  <c r="AD11" i="1"/>
  <c r="AD12" i="1"/>
  <c r="AD13" i="1"/>
  <c r="AD15" i="1"/>
  <c r="AD16" i="1"/>
  <c r="AD17" i="1"/>
  <c r="AD18" i="1"/>
  <c r="AD19" i="1"/>
  <c r="AD21" i="1"/>
  <c r="AD22" i="1"/>
  <c r="AD23" i="1"/>
  <c r="AD24" i="1"/>
  <c r="AD25" i="1"/>
  <c r="AD27" i="1"/>
  <c r="AD28" i="1"/>
  <c r="AD29" i="1"/>
  <c r="AD30" i="1"/>
  <c r="AD31" i="1"/>
  <c r="AD33" i="1"/>
  <c r="AD34" i="1"/>
  <c r="AD35" i="1"/>
  <c r="AD36" i="1"/>
  <c r="AD37" i="1"/>
  <c r="AD39" i="1"/>
  <c r="AD40" i="1"/>
  <c r="W40" i="1" s="1"/>
  <c r="AD41" i="1"/>
  <c r="AD42" i="1"/>
  <c r="AD43" i="1"/>
  <c r="AD45" i="1"/>
  <c r="AD46" i="1"/>
  <c r="AD47" i="1"/>
  <c r="AD48" i="1"/>
  <c r="AD49" i="1"/>
  <c r="AD50" i="1"/>
  <c r="AD51" i="1"/>
  <c r="AD52" i="1"/>
  <c r="AD53" i="1"/>
  <c r="AD54" i="1"/>
  <c r="AD55" i="1"/>
  <c r="AD56" i="1"/>
  <c r="W56" i="1" s="1"/>
  <c r="AD57" i="1"/>
  <c r="AD58" i="1"/>
  <c r="AD59" i="1"/>
  <c r="AD60" i="1"/>
  <c r="AD61" i="1"/>
  <c r="AD62" i="1"/>
  <c r="AD63" i="1"/>
  <c r="AD64" i="1"/>
  <c r="W64" i="1" s="1"/>
  <c r="AD65" i="1"/>
  <c r="AD66" i="1"/>
  <c r="AD67" i="1"/>
  <c r="AD68" i="1"/>
  <c r="AD69" i="1"/>
  <c r="AD70" i="1"/>
  <c r="AD71" i="1"/>
  <c r="AD72" i="1"/>
  <c r="AD73" i="1"/>
  <c r="AD74" i="1"/>
  <c r="AD75" i="1"/>
  <c r="AD76" i="1"/>
  <c r="AD77" i="1"/>
  <c r="AD78" i="1"/>
  <c r="AD79" i="1"/>
  <c r="AD80" i="1"/>
  <c r="W80" i="1" s="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W105" i="1" s="1"/>
  <c r="AD106" i="1"/>
  <c r="AD107" i="1"/>
  <c r="AD108" i="1"/>
  <c r="AD109" i="1"/>
  <c r="AD110" i="1"/>
  <c r="AD111" i="1"/>
  <c r="AD112" i="1"/>
  <c r="AD113" i="1"/>
  <c r="AD114" i="1"/>
  <c r="AD115" i="1"/>
  <c r="AD116" i="1"/>
  <c r="W116" i="1" s="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9" i="1"/>
  <c r="W10" i="1"/>
  <c r="W11" i="1"/>
  <c r="W12" i="1"/>
  <c r="W13" i="1"/>
  <c r="W15" i="1"/>
  <c r="W16" i="1"/>
  <c r="W17" i="1"/>
  <c r="W18" i="1"/>
  <c r="W19" i="1"/>
  <c r="W21" i="1"/>
  <c r="W22" i="1"/>
  <c r="W23" i="1"/>
  <c r="W24" i="1"/>
  <c r="W25" i="1"/>
  <c r="W27" i="1"/>
  <c r="W28" i="1"/>
  <c r="W29" i="1"/>
  <c r="W30" i="1"/>
  <c r="W31" i="1"/>
  <c r="W33" i="1"/>
  <c r="W34" i="1"/>
  <c r="W35" i="1"/>
  <c r="W36" i="1"/>
  <c r="W37" i="1"/>
  <c r="W39" i="1"/>
  <c r="W41" i="1"/>
  <c r="W42" i="1"/>
  <c r="W43" i="1"/>
  <c r="W45" i="1"/>
  <c r="W46" i="1"/>
  <c r="W47" i="1"/>
  <c r="W48" i="1"/>
  <c r="W49" i="1"/>
  <c r="W50" i="1"/>
  <c r="W51" i="1"/>
  <c r="W52" i="1"/>
  <c r="W53" i="1"/>
  <c r="W54" i="1"/>
  <c r="W55" i="1"/>
  <c r="W57" i="1"/>
  <c r="W58" i="1"/>
  <c r="W59" i="1"/>
  <c r="W60" i="1"/>
  <c r="W61" i="1"/>
  <c r="W62" i="1"/>
  <c r="W63" i="1"/>
  <c r="W65" i="1"/>
  <c r="W66" i="1"/>
  <c r="W67" i="1"/>
  <c r="W68" i="1"/>
  <c r="W69" i="1"/>
  <c r="W70" i="1"/>
  <c r="W71" i="1"/>
  <c r="W72" i="1"/>
  <c r="W73" i="1"/>
  <c r="W74" i="1"/>
  <c r="W75" i="1"/>
  <c r="W76" i="1"/>
  <c r="W77" i="1"/>
  <c r="W78" i="1"/>
  <c r="W79" i="1"/>
  <c r="W81" i="1"/>
  <c r="W82" i="1"/>
  <c r="W83" i="1"/>
  <c r="W84" i="1"/>
  <c r="W85" i="1"/>
  <c r="W86" i="1"/>
  <c r="W87" i="1"/>
  <c r="W88" i="1"/>
  <c r="W89" i="1"/>
  <c r="W90" i="1"/>
  <c r="W91" i="1"/>
  <c r="W92" i="1"/>
  <c r="W93" i="1"/>
  <c r="W94" i="1"/>
  <c r="W95" i="1"/>
  <c r="W96" i="1"/>
  <c r="W97" i="1"/>
  <c r="W98" i="1"/>
  <c r="W99" i="1"/>
  <c r="W100" i="1"/>
  <c r="W101" i="1"/>
  <c r="W102" i="1"/>
  <c r="W103" i="1"/>
  <c r="W104" i="1"/>
  <c r="W106" i="1"/>
  <c r="W107" i="1"/>
  <c r="W108" i="1"/>
  <c r="W109" i="1"/>
  <c r="W110" i="1"/>
  <c r="W111" i="1"/>
  <c r="W112" i="1"/>
  <c r="W113" i="1"/>
  <c r="W114" i="1"/>
  <c r="W115"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9" i="1"/>
  <c r="U10" i="1"/>
  <c r="U11" i="1"/>
  <c r="U12" i="1"/>
  <c r="U13" i="1"/>
  <c r="U15" i="1"/>
  <c r="U16" i="1"/>
  <c r="U17" i="1"/>
  <c r="U18" i="1"/>
  <c r="U19" i="1"/>
  <c r="U21" i="1"/>
  <c r="U22" i="1"/>
  <c r="U23" i="1"/>
  <c r="U24" i="1"/>
  <c r="U25" i="1"/>
  <c r="U27" i="1"/>
  <c r="U28" i="1"/>
  <c r="U29" i="1"/>
  <c r="U30" i="1"/>
  <c r="U31" i="1"/>
  <c r="U33" i="1"/>
  <c r="U34" i="1"/>
  <c r="U35" i="1"/>
  <c r="U36" i="1"/>
  <c r="U37" i="1"/>
  <c r="U39" i="1"/>
  <c r="U40" i="1"/>
  <c r="U41" i="1"/>
  <c r="U42" i="1"/>
  <c r="U43"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9" i="1"/>
  <c r="AC10" i="1"/>
  <c r="AC11" i="1"/>
  <c r="AC12" i="1"/>
  <c r="AC13" i="1"/>
  <c r="AC15" i="1"/>
  <c r="AC16" i="1"/>
  <c r="AC17" i="1"/>
  <c r="AC18" i="1"/>
  <c r="AC19" i="1"/>
  <c r="AC21" i="1"/>
  <c r="AC22" i="1"/>
  <c r="AC23" i="1"/>
  <c r="AC24" i="1"/>
  <c r="T24" i="1" s="1"/>
  <c r="AC25" i="1"/>
  <c r="AC27" i="1"/>
  <c r="AC28" i="1"/>
  <c r="AC29" i="1"/>
  <c r="AC30" i="1"/>
  <c r="AC31" i="1"/>
  <c r="AC33" i="1"/>
  <c r="AC34" i="1"/>
  <c r="AC35" i="1"/>
  <c r="AC36" i="1"/>
  <c r="AC37" i="1"/>
  <c r="AC39" i="1"/>
  <c r="AC40" i="1"/>
  <c r="AC41" i="1"/>
  <c r="AC42" i="1"/>
  <c r="AC43" i="1"/>
  <c r="AC45" i="1"/>
  <c r="AC46" i="1"/>
  <c r="AC47" i="1"/>
  <c r="AC48" i="1"/>
  <c r="T48" i="1" s="1"/>
  <c r="AC49" i="1"/>
  <c r="AC50" i="1"/>
  <c r="AC51" i="1"/>
  <c r="AC52" i="1"/>
  <c r="AC53" i="1"/>
  <c r="AC54" i="1"/>
  <c r="AC55" i="1"/>
  <c r="AC56" i="1"/>
  <c r="T56" i="1" s="1"/>
  <c r="AC57" i="1"/>
  <c r="AC58" i="1"/>
  <c r="AC59" i="1"/>
  <c r="AC60" i="1"/>
  <c r="AC61" i="1"/>
  <c r="AC62" i="1"/>
  <c r="AC63" i="1"/>
  <c r="AC64" i="1"/>
  <c r="AC65" i="1"/>
  <c r="AC66" i="1"/>
  <c r="AC67" i="1"/>
  <c r="AC68" i="1"/>
  <c r="AC69" i="1"/>
  <c r="AC70" i="1"/>
  <c r="AC71" i="1"/>
  <c r="AC72" i="1"/>
  <c r="T72" i="1" s="1"/>
  <c r="AC73" i="1"/>
  <c r="AC74" i="1"/>
  <c r="AC75" i="1"/>
  <c r="AC76" i="1"/>
  <c r="AC77" i="1"/>
  <c r="AC78" i="1"/>
  <c r="AC79" i="1"/>
  <c r="AC80" i="1"/>
  <c r="T80" i="1" s="1"/>
  <c r="AC81" i="1"/>
  <c r="AC82" i="1"/>
  <c r="AC83" i="1"/>
  <c r="AC84" i="1"/>
  <c r="AC85" i="1"/>
  <c r="AC86" i="1"/>
  <c r="AC87" i="1"/>
  <c r="AC88" i="1"/>
  <c r="T88" i="1" s="1"/>
  <c r="AC89" i="1"/>
  <c r="AC90" i="1"/>
  <c r="AC91" i="1"/>
  <c r="AC92" i="1"/>
  <c r="AC93" i="1"/>
  <c r="AC94" i="1"/>
  <c r="AC95" i="1"/>
  <c r="AC96" i="1"/>
  <c r="T96" i="1" s="1"/>
  <c r="AC97" i="1"/>
  <c r="AC98" i="1"/>
  <c r="AC99" i="1"/>
  <c r="AC100" i="1"/>
  <c r="AC101" i="1"/>
  <c r="AC102" i="1"/>
  <c r="AC103" i="1"/>
  <c r="AC104" i="1"/>
  <c r="AC105" i="1"/>
  <c r="T105" i="1" s="1"/>
  <c r="AC106" i="1"/>
  <c r="AC107" i="1"/>
  <c r="AC108" i="1"/>
  <c r="AC109" i="1"/>
  <c r="AC110" i="1"/>
  <c r="AC111" i="1"/>
  <c r="AC112" i="1"/>
  <c r="AC113" i="1"/>
  <c r="T113" i="1" s="1"/>
  <c r="AC114" i="1"/>
  <c r="AC115" i="1"/>
  <c r="AC116" i="1"/>
  <c r="T116" i="1" s="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9" i="1"/>
  <c r="T10" i="1"/>
  <c r="T11" i="1"/>
  <c r="T12" i="1"/>
  <c r="T13" i="1"/>
  <c r="T15" i="1"/>
  <c r="T16" i="1"/>
  <c r="T17" i="1"/>
  <c r="T18" i="1"/>
  <c r="T19" i="1"/>
  <c r="T21" i="1"/>
  <c r="T22" i="1"/>
  <c r="T23" i="1"/>
  <c r="T25" i="1"/>
  <c r="T27" i="1"/>
  <c r="T28" i="1"/>
  <c r="T29" i="1"/>
  <c r="T30" i="1"/>
  <c r="T31" i="1"/>
  <c r="T33" i="1"/>
  <c r="T34" i="1"/>
  <c r="T35" i="1"/>
  <c r="T36" i="1"/>
  <c r="T37" i="1"/>
  <c r="T39" i="1"/>
  <c r="T40" i="1"/>
  <c r="T41" i="1"/>
  <c r="T42" i="1"/>
  <c r="T43" i="1"/>
  <c r="T45" i="1"/>
  <c r="T46" i="1"/>
  <c r="T47" i="1"/>
  <c r="T49" i="1"/>
  <c r="T50" i="1"/>
  <c r="T51" i="1"/>
  <c r="T52" i="1"/>
  <c r="T53" i="1"/>
  <c r="T54" i="1"/>
  <c r="T55" i="1"/>
  <c r="T57" i="1"/>
  <c r="T58" i="1"/>
  <c r="T59" i="1"/>
  <c r="T60" i="1"/>
  <c r="T61" i="1"/>
  <c r="T62" i="1"/>
  <c r="T63" i="1"/>
  <c r="T64" i="1"/>
  <c r="T65" i="1"/>
  <c r="T66" i="1"/>
  <c r="T67" i="1"/>
  <c r="T68" i="1"/>
  <c r="T69" i="1"/>
  <c r="T70" i="1"/>
  <c r="T71" i="1"/>
  <c r="T73" i="1"/>
  <c r="T74" i="1"/>
  <c r="T75" i="1"/>
  <c r="T76" i="1"/>
  <c r="T77" i="1"/>
  <c r="T78" i="1"/>
  <c r="T79" i="1"/>
  <c r="T81" i="1"/>
  <c r="T82" i="1"/>
  <c r="T83" i="1"/>
  <c r="T84" i="1"/>
  <c r="T85" i="1"/>
  <c r="T86" i="1"/>
  <c r="T87" i="1"/>
  <c r="T89" i="1"/>
  <c r="T90" i="1"/>
  <c r="T91" i="1"/>
  <c r="T92" i="1"/>
  <c r="T93" i="1"/>
  <c r="T94" i="1"/>
  <c r="T95" i="1"/>
  <c r="T97" i="1"/>
  <c r="T98" i="1"/>
  <c r="T99" i="1"/>
  <c r="T100" i="1"/>
  <c r="T101" i="1"/>
  <c r="T102" i="1"/>
  <c r="T103" i="1"/>
  <c r="T104" i="1"/>
  <c r="T106" i="1"/>
  <c r="T107" i="1"/>
  <c r="T108" i="1"/>
  <c r="T109" i="1"/>
  <c r="T110" i="1"/>
  <c r="T111" i="1"/>
  <c r="T112" i="1"/>
  <c r="T114" i="1"/>
  <c r="T115"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9" i="1"/>
  <c r="R10" i="1"/>
  <c r="R11" i="1"/>
  <c r="R12" i="1"/>
  <c r="R13" i="1"/>
  <c r="R15" i="1"/>
  <c r="R16" i="1"/>
  <c r="R17" i="1"/>
  <c r="R18" i="1"/>
  <c r="R19" i="1"/>
  <c r="R21" i="1"/>
  <c r="R22" i="1"/>
  <c r="R23" i="1"/>
  <c r="R24" i="1"/>
  <c r="R25" i="1"/>
  <c r="R27" i="1"/>
  <c r="R28" i="1"/>
  <c r="R29" i="1"/>
  <c r="R30" i="1"/>
  <c r="R31" i="1"/>
  <c r="R33" i="1"/>
  <c r="R34" i="1"/>
  <c r="R35" i="1"/>
  <c r="R36" i="1"/>
  <c r="R37" i="1"/>
  <c r="R39" i="1"/>
  <c r="R40" i="1"/>
  <c r="R41" i="1"/>
  <c r="R42" i="1"/>
  <c r="R43"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9" i="1"/>
  <c r="AB10" i="1"/>
  <c r="AB11" i="1"/>
  <c r="AB12" i="1"/>
  <c r="AB13" i="1"/>
  <c r="AB15" i="1"/>
  <c r="AB16" i="1"/>
  <c r="AB17" i="1"/>
  <c r="AB18" i="1"/>
  <c r="AB19" i="1"/>
  <c r="AB21" i="1"/>
  <c r="AB22" i="1"/>
  <c r="AB23" i="1"/>
  <c r="AB24" i="1"/>
  <c r="AB25" i="1"/>
  <c r="AB27" i="1"/>
  <c r="AB28" i="1"/>
  <c r="AB29" i="1"/>
  <c r="AB30" i="1"/>
  <c r="AB31" i="1"/>
  <c r="AB33" i="1"/>
  <c r="AB34" i="1"/>
  <c r="AB35" i="1"/>
  <c r="AB36" i="1"/>
  <c r="AB37" i="1"/>
  <c r="AB39" i="1"/>
  <c r="AB40" i="1"/>
  <c r="AB41" i="1"/>
  <c r="AB42" i="1"/>
  <c r="AB43"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9" i="1"/>
  <c r="Q10" i="1"/>
  <c r="Q11" i="1"/>
  <c r="Q12" i="1"/>
  <c r="Q13" i="1"/>
  <c r="Q15" i="1"/>
  <c r="Q16" i="1"/>
  <c r="Q17" i="1"/>
  <c r="Q18" i="1"/>
  <c r="Q19" i="1"/>
  <c r="Q21" i="1"/>
  <c r="Q22" i="1"/>
  <c r="Q23" i="1"/>
  <c r="Q24" i="1"/>
  <c r="Q25" i="1"/>
  <c r="Q27" i="1"/>
  <c r="Q28" i="1"/>
  <c r="Q29" i="1"/>
  <c r="Q30" i="1"/>
  <c r="Q31" i="1"/>
  <c r="Q33" i="1"/>
  <c r="Q34" i="1"/>
  <c r="Q35" i="1"/>
  <c r="Q36" i="1"/>
  <c r="Q37" i="1"/>
  <c r="Q39" i="1"/>
  <c r="Q40" i="1"/>
  <c r="Q41" i="1"/>
  <c r="Q42" i="1"/>
  <c r="Q43"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9" i="1"/>
  <c r="O10" i="1"/>
  <c r="O11" i="1"/>
  <c r="O12" i="1"/>
  <c r="O13" i="1"/>
  <c r="O15" i="1"/>
  <c r="O16" i="1"/>
  <c r="O17" i="1"/>
  <c r="O18" i="1"/>
  <c r="O19" i="1"/>
  <c r="O21" i="1"/>
  <c r="O22" i="1"/>
  <c r="O23" i="1"/>
  <c r="O24" i="1"/>
  <c r="O25" i="1"/>
  <c r="O27" i="1"/>
  <c r="O28" i="1"/>
  <c r="O29" i="1"/>
  <c r="O30" i="1"/>
  <c r="O31" i="1"/>
  <c r="O33" i="1"/>
  <c r="O34" i="1"/>
  <c r="O35" i="1"/>
  <c r="O36" i="1"/>
  <c r="O37" i="1"/>
  <c r="O39" i="1"/>
  <c r="O40" i="1"/>
  <c r="O41" i="1"/>
  <c r="O42" i="1"/>
  <c r="O43"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9" i="1"/>
  <c r="AA10" i="1"/>
  <c r="AA11" i="1"/>
  <c r="AA12" i="1"/>
  <c r="AA13" i="1"/>
  <c r="AA15" i="1"/>
  <c r="AA16" i="1"/>
  <c r="AA17" i="1"/>
  <c r="AA18" i="1"/>
  <c r="AA19" i="1"/>
  <c r="AA21" i="1"/>
  <c r="AA22" i="1"/>
  <c r="AA23" i="1"/>
  <c r="AA24" i="1"/>
  <c r="AA25" i="1"/>
  <c r="AA27" i="1"/>
  <c r="AA28" i="1"/>
  <c r="AA29" i="1"/>
  <c r="AA30" i="1"/>
  <c r="AA31" i="1"/>
  <c r="AA33" i="1"/>
  <c r="AA34" i="1"/>
  <c r="AA35" i="1"/>
  <c r="AA36" i="1"/>
  <c r="AA37" i="1"/>
  <c r="AA39" i="1"/>
  <c r="AA40" i="1"/>
  <c r="AA41" i="1"/>
  <c r="AA42" i="1"/>
  <c r="AA43" i="1"/>
  <c r="AA45" i="1"/>
  <c r="AA46" i="1"/>
  <c r="AA47" i="1"/>
  <c r="AA48" i="1"/>
  <c r="N48" i="1" s="1"/>
  <c r="AA49" i="1"/>
  <c r="AA50" i="1"/>
  <c r="AA51" i="1"/>
  <c r="AA52" i="1"/>
  <c r="AA53" i="1"/>
  <c r="AA54" i="1"/>
  <c r="AA55" i="1"/>
  <c r="AA56" i="1"/>
  <c r="AA57" i="1"/>
  <c r="AA58" i="1"/>
  <c r="AA59" i="1"/>
  <c r="AA60" i="1"/>
  <c r="AA61" i="1"/>
  <c r="AA62" i="1"/>
  <c r="AA63" i="1"/>
  <c r="AA64" i="1"/>
  <c r="AA65" i="1"/>
  <c r="AA66" i="1"/>
  <c r="AA67" i="1"/>
  <c r="AA68" i="1"/>
  <c r="AA69" i="1"/>
  <c r="AA70" i="1"/>
  <c r="AA71" i="1"/>
  <c r="AA72" i="1"/>
  <c r="N72" i="1" s="1"/>
  <c r="AA73" i="1"/>
  <c r="AA74" i="1"/>
  <c r="AA75" i="1"/>
  <c r="AA76" i="1"/>
  <c r="AA77" i="1"/>
  <c r="AA78" i="1"/>
  <c r="AA79" i="1"/>
  <c r="AA80" i="1"/>
  <c r="N80" i="1" s="1"/>
  <c r="AA81" i="1"/>
  <c r="AA82" i="1"/>
  <c r="AA83" i="1"/>
  <c r="AA84" i="1"/>
  <c r="AA85" i="1"/>
  <c r="AA86" i="1"/>
  <c r="AA87" i="1"/>
  <c r="AA88" i="1"/>
  <c r="AA89" i="1"/>
  <c r="AA90" i="1"/>
  <c r="AA91" i="1"/>
  <c r="AA92" i="1"/>
  <c r="AA93" i="1"/>
  <c r="AA94" i="1"/>
  <c r="AA95" i="1"/>
  <c r="AA96" i="1"/>
  <c r="N96" i="1" s="1"/>
  <c r="AA97" i="1"/>
  <c r="AA98" i="1"/>
  <c r="AA99" i="1"/>
  <c r="AA100" i="1"/>
  <c r="AA101" i="1"/>
  <c r="AA102" i="1"/>
  <c r="AA103" i="1"/>
  <c r="AA104" i="1"/>
  <c r="AA105" i="1"/>
  <c r="N105" i="1" s="1"/>
  <c r="AA106" i="1"/>
  <c r="AA107" i="1"/>
  <c r="AA108" i="1"/>
  <c r="AA109" i="1"/>
  <c r="AA110" i="1"/>
  <c r="AA111" i="1"/>
  <c r="AA112" i="1"/>
  <c r="AA113" i="1"/>
  <c r="AA114" i="1"/>
  <c r="AA115" i="1"/>
  <c r="AA116" i="1"/>
  <c r="N116" i="1" s="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9" i="1"/>
  <c r="N10" i="1"/>
  <c r="N11" i="1"/>
  <c r="N12" i="1"/>
  <c r="N13" i="1"/>
  <c r="N15" i="1"/>
  <c r="N16" i="1"/>
  <c r="N17" i="1"/>
  <c r="N18" i="1"/>
  <c r="N19" i="1"/>
  <c r="N21" i="1"/>
  <c r="N22" i="1"/>
  <c r="N23" i="1"/>
  <c r="N24" i="1"/>
  <c r="N25" i="1"/>
  <c r="N27" i="1"/>
  <c r="N28" i="1"/>
  <c r="N29" i="1"/>
  <c r="N30" i="1"/>
  <c r="N31" i="1"/>
  <c r="N33" i="1"/>
  <c r="N34" i="1"/>
  <c r="N35" i="1"/>
  <c r="N36" i="1"/>
  <c r="N37" i="1"/>
  <c r="N39" i="1"/>
  <c r="N40" i="1"/>
  <c r="N41" i="1"/>
  <c r="N42" i="1"/>
  <c r="N43" i="1"/>
  <c r="N45" i="1"/>
  <c r="N46" i="1"/>
  <c r="N47" i="1"/>
  <c r="N49" i="1"/>
  <c r="N50" i="1"/>
  <c r="N51" i="1"/>
  <c r="N52" i="1"/>
  <c r="N53" i="1"/>
  <c r="N54" i="1"/>
  <c r="N55" i="1"/>
  <c r="N56" i="1"/>
  <c r="N57" i="1"/>
  <c r="N58" i="1"/>
  <c r="N59" i="1"/>
  <c r="N60" i="1"/>
  <c r="N61" i="1"/>
  <c r="N62" i="1"/>
  <c r="N63" i="1"/>
  <c r="N64" i="1"/>
  <c r="N65" i="1"/>
  <c r="N66" i="1"/>
  <c r="N67" i="1"/>
  <c r="N68" i="1"/>
  <c r="N69" i="1"/>
  <c r="N70" i="1"/>
  <c r="N71" i="1"/>
  <c r="N73" i="1"/>
  <c r="N74" i="1"/>
  <c r="N75" i="1"/>
  <c r="N76" i="1"/>
  <c r="N77" i="1"/>
  <c r="N78" i="1"/>
  <c r="N79" i="1"/>
  <c r="N81" i="1"/>
  <c r="N82" i="1"/>
  <c r="N83" i="1"/>
  <c r="N84" i="1"/>
  <c r="N85" i="1"/>
  <c r="N86" i="1"/>
  <c r="N87" i="1"/>
  <c r="N88" i="1"/>
  <c r="N89" i="1"/>
  <c r="N90" i="1"/>
  <c r="N91" i="1"/>
  <c r="N92" i="1"/>
  <c r="N93" i="1"/>
  <c r="N94" i="1"/>
  <c r="N95" i="1"/>
  <c r="N97" i="1"/>
  <c r="N98" i="1"/>
  <c r="N99" i="1"/>
  <c r="N100" i="1"/>
  <c r="N101" i="1"/>
  <c r="N102" i="1"/>
  <c r="N103" i="1"/>
  <c r="N104" i="1"/>
  <c r="N106" i="1"/>
  <c r="N107" i="1"/>
  <c r="N108" i="1"/>
  <c r="N109" i="1"/>
  <c r="N110" i="1"/>
  <c r="N111" i="1"/>
  <c r="N112" i="1"/>
  <c r="N113" i="1"/>
  <c r="N114" i="1"/>
  <c r="N115"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9" i="1"/>
  <c r="L10" i="1"/>
  <c r="L11" i="1"/>
  <c r="L12" i="1"/>
  <c r="L13" i="1"/>
  <c r="L15" i="1"/>
  <c r="L16" i="1"/>
  <c r="L17" i="1"/>
  <c r="L18" i="1"/>
  <c r="L19" i="1"/>
  <c r="L21" i="1"/>
  <c r="L22" i="1"/>
  <c r="L23" i="1"/>
  <c r="L24" i="1"/>
  <c r="L25" i="1"/>
  <c r="L27" i="1"/>
  <c r="L28" i="1"/>
  <c r="L29" i="1"/>
  <c r="L30" i="1"/>
  <c r="L31" i="1"/>
  <c r="L33" i="1"/>
  <c r="L34" i="1"/>
  <c r="L35" i="1"/>
  <c r="L36" i="1"/>
  <c r="L37" i="1"/>
  <c r="L39" i="1"/>
  <c r="L40" i="1"/>
  <c r="L41" i="1"/>
  <c r="L42" i="1"/>
  <c r="L43"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9" i="1"/>
  <c r="K10" i="1"/>
  <c r="K11" i="1"/>
  <c r="K12" i="1"/>
  <c r="K13" i="1"/>
  <c r="K15" i="1"/>
  <c r="K17" i="1"/>
  <c r="K18" i="1"/>
  <c r="K19" i="1"/>
  <c r="K21" i="1"/>
  <c r="K22" i="1"/>
  <c r="K23" i="1"/>
  <c r="K25" i="1"/>
  <c r="K27" i="1"/>
  <c r="K28" i="1"/>
  <c r="K29" i="1"/>
  <c r="K30" i="1"/>
  <c r="K31" i="1"/>
  <c r="K33" i="1"/>
  <c r="K34" i="1"/>
  <c r="K35" i="1"/>
  <c r="K36" i="1"/>
  <c r="K37" i="1"/>
  <c r="K39" i="1"/>
  <c r="K41" i="1"/>
  <c r="K42" i="1"/>
  <c r="K43" i="1"/>
  <c r="K45" i="1"/>
  <c r="K46" i="1"/>
  <c r="K47" i="1"/>
  <c r="K49" i="1"/>
  <c r="K50" i="1"/>
  <c r="K51" i="1"/>
  <c r="K52" i="1"/>
  <c r="K53" i="1"/>
  <c r="K54" i="1"/>
  <c r="K55" i="1"/>
  <c r="K57" i="1"/>
  <c r="K58" i="1"/>
  <c r="K59" i="1"/>
  <c r="K60" i="1"/>
  <c r="K61" i="1"/>
  <c r="K62" i="1"/>
  <c r="K63" i="1"/>
  <c r="K65" i="1"/>
  <c r="K66" i="1"/>
  <c r="K67" i="1"/>
  <c r="K68" i="1"/>
  <c r="K69" i="1"/>
  <c r="K70" i="1"/>
  <c r="K71" i="1"/>
  <c r="K73" i="1"/>
  <c r="K74" i="1"/>
  <c r="K75" i="1"/>
  <c r="K76" i="1"/>
  <c r="K77" i="1"/>
  <c r="K78" i="1"/>
  <c r="K79" i="1"/>
  <c r="K81" i="1"/>
  <c r="K82" i="1"/>
  <c r="K83" i="1"/>
  <c r="K84" i="1"/>
  <c r="K85" i="1"/>
  <c r="K86" i="1"/>
  <c r="K87" i="1"/>
  <c r="K89" i="1"/>
  <c r="K90" i="1"/>
  <c r="K91" i="1"/>
  <c r="K92" i="1"/>
  <c r="K93" i="1"/>
  <c r="K94" i="1"/>
  <c r="K95" i="1"/>
  <c r="K97" i="1"/>
  <c r="K98" i="1"/>
  <c r="K99" i="1"/>
  <c r="K100" i="1"/>
  <c r="K101" i="1"/>
  <c r="K102" i="1"/>
  <c r="K103" i="1"/>
  <c r="K104" i="1"/>
  <c r="K106" i="1"/>
  <c r="K107" i="1"/>
  <c r="K108" i="1"/>
  <c r="K109" i="1"/>
  <c r="K110" i="1"/>
  <c r="K111" i="1"/>
  <c r="K112" i="1"/>
  <c r="K114" i="1"/>
  <c r="K115"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9" i="1"/>
  <c r="Z10" i="1"/>
  <c r="Z11" i="1"/>
  <c r="Z12" i="1"/>
  <c r="Z13" i="1"/>
  <c r="Z15" i="1"/>
  <c r="Z16" i="1"/>
  <c r="K16" i="1" s="1"/>
  <c r="Z17" i="1"/>
  <c r="Z18" i="1"/>
  <c r="Z19" i="1"/>
  <c r="Z21" i="1"/>
  <c r="Z22" i="1"/>
  <c r="Z23" i="1"/>
  <c r="Z24" i="1"/>
  <c r="K24" i="1" s="1"/>
  <c r="Z25" i="1"/>
  <c r="Z27" i="1"/>
  <c r="Z28" i="1"/>
  <c r="Z29" i="1"/>
  <c r="Z30" i="1"/>
  <c r="Z31" i="1"/>
  <c r="Z33" i="1"/>
  <c r="Z34" i="1"/>
  <c r="Z35" i="1"/>
  <c r="Z36" i="1"/>
  <c r="Z37" i="1"/>
  <c r="Z39" i="1"/>
  <c r="Z40" i="1"/>
  <c r="K40" i="1" s="1"/>
  <c r="Z41" i="1"/>
  <c r="Z42" i="1"/>
  <c r="Z43" i="1"/>
  <c r="Z45" i="1"/>
  <c r="Z46" i="1"/>
  <c r="Z47" i="1"/>
  <c r="Z48" i="1"/>
  <c r="K48" i="1" s="1"/>
  <c r="Z49" i="1"/>
  <c r="Z50" i="1"/>
  <c r="Z51" i="1"/>
  <c r="Z52" i="1"/>
  <c r="Z53" i="1"/>
  <c r="Z54" i="1"/>
  <c r="Z55" i="1"/>
  <c r="Z56" i="1"/>
  <c r="K56" i="1" s="1"/>
  <c r="Z57" i="1"/>
  <c r="Z58" i="1"/>
  <c r="Z59" i="1"/>
  <c r="Z60" i="1"/>
  <c r="Z61" i="1"/>
  <c r="Z62" i="1"/>
  <c r="Z63" i="1"/>
  <c r="Z64" i="1"/>
  <c r="K64" i="1" s="1"/>
  <c r="Z65" i="1"/>
  <c r="Z66" i="1"/>
  <c r="Z67" i="1"/>
  <c r="Z68" i="1"/>
  <c r="Z69" i="1"/>
  <c r="Z70" i="1"/>
  <c r="Z71" i="1"/>
  <c r="Z72" i="1"/>
  <c r="K72" i="1" s="1"/>
  <c r="Z73" i="1"/>
  <c r="Z74" i="1"/>
  <c r="Z75" i="1"/>
  <c r="Z76" i="1"/>
  <c r="Z77" i="1"/>
  <c r="Z78" i="1"/>
  <c r="Z79" i="1"/>
  <c r="Z80" i="1"/>
  <c r="K80" i="1" s="1"/>
  <c r="Z81" i="1"/>
  <c r="Z82" i="1"/>
  <c r="Z83" i="1"/>
  <c r="Z84" i="1"/>
  <c r="Z85" i="1"/>
  <c r="Z86" i="1"/>
  <c r="Z87" i="1"/>
  <c r="Z88" i="1"/>
  <c r="K88" i="1" s="1"/>
  <c r="Z89" i="1"/>
  <c r="Z90" i="1"/>
  <c r="Z91" i="1"/>
  <c r="Z92" i="1"/>
  <c r="Z93" i="1"/>
  <c r="Z94" i="1"/>
  <c r="Z95" i="1"/>
  <c r="Z96" i="1"/>
  <c r="K96" i="1" s="1"/>
  <c r="Z97" i="1"/>
  <c r="Z98" i="1"/>
  <c r="Z99" i="1"/>
  <c r="Z100" i="1"/>
  <c r="Z101" i="1"/>
  <c r="Z102" i="1"/>
  <c r="Z103" i="1"/>
  <c r="Z104" i="1"/>
  <c r="Z105" i="1"/>
  <c r="K105" i="1" s="1"/>
  <c r="Z106" i="1"/>
  <c r="Z107" i="1"/>
  <c r="Z108" i="1"/>
  <c r="Z109" i="1"/>
  <c r="Z110" i="1"/>
  <c r="Z111" i="1"/>
  <c r="Z112" i="1"/>
  <c r="Z113" i="1"/>
  <c r="K113" i="1" s="1"/>
  <c r="Z114" i="1"/>
  <c r="Z115" i="1"/>
  <c r="Z116" i="1"/>
  <c r="K116" i="1" s="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9" i="1"/>
  <c r="D18" i="2"/>
  <c r="A5" i="15" l="1"/>
  <c r="A6" i="15"/>
  <c r="A7" i="15"/>
  <c r="A8" i="15"/>
  <c r="A9" i="15"/>
  <c r="A11" i="15"/>
  <c r="A12" i="15"/>
  <c r="A13" i="15"/>
  <c r="A14" i="15"/>
  <c r="A15" i="15"/>
  <c r="A20" i="15"/>
  <c r="A21" i="15"/>
  <c r="A22" i="15"/>
  <c r="A23" i="15"/>
  <c r="A24" i="15"/>
  <c r="A25" i="15"/>
  <c r="A26" i="15"/>
  <c r="A27" i="15"/>
  <c r="A28" i="15"/>
  <c r="A29" i="15"/>
  <c r="A30" i="15"/>
  <c r="A31" i="15"/>
  <c r="A32" i="15"/>
  <c r="A33" i="15"/>
  <c r="A34" i="15"/>
  <c r="A35" i="15"/>
  <c r="A36" i="15"/>
  <c r="A37" i="15"/>
  <c r="A38" i="15"/>
  <c r="A39" i="15"/>
  <c r="A40" i="15"/>
  <c r="A41" i="15"/>
  <c r="A42" i="15"/>
  <c r="A4" i="15"/>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9" i="1"/>
  <c r="B10" i="1" s="1"/>
  <c r="B11" i="1" s="1"/>
  <c r="B12" i="1" s="1"/>
  <c r="B13" i="1" s="1"/>
  <c r="B14" i="1" s="1"/>
  <c r="B15" i="1" s="1"/>
  <c r="B16" i="1" s="1"/>
  <c r="A5" i="2"/>
  <c r="A6" i="2"/>
  <c r="A7" i="2"/>
  <c r="A8" i="2"/>
  <c r="A10" i="2"/>
  <c r="A11" i="2"/>
  <c r="A12" i="2"/>
  <c r="A13" i="2"/>
  <c r="A15" i="2"/>
  <c r="A16" i="2"/>
  <c r="A17"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4" i="2"/>
  <c r="D14" i="2"/>
  <c r="A14" i="2" s="1"/>
  <c r="B17" i="1" l="1"/>
  <c r="B18" i="1" s="1"/>
  <c r="B19" i="1" s="1"/>
  <c r="B20" i="1" s="1"/>
  <c r="B21" i="1" s="1"/>
  <c r="B22" i="1" s="1"/>
  <c r="B23" i="1" s="1"/>
  <c r="B24" i="1" s="1"/>
  <c r="D90" i="18"/>
  <c r="D91" i="17"/>
  <c r="D93" i="2"/>
  <c r="D94" i="2"/>
  <c r="D19" i="15"/>
  <c r="A19" i="15" s="1"/>
  <c r="D18" i="15"/>
  <c r="A18" i="15" s="1"/>
  <c r="D17" i="15"/>
  <c r="A17" i="15" s="1"/>
  <c r="D16" i="15"/>
  <c r="A16" i="15" s="1"/>
  <c r="D59" i="15"/>
  <c r="D90" i="15"/>
  <c r="D17" i="16"/>
  <c r="D16" i="16"/>
  <c r="D15" i="16"/>
  <c r="D58" i="16"/>
  <c r="D57" i="16"/>
  <c r="D90" i="16"/>
  <c r="D66" i="2"/>
  <c r="E94" i="2"/>
  <c r="E93" i="2"/>
  <c r="D67" i="2"/>
  <c r="D65" i="2"/>
  <c r="D2" i="24"/>
  <c r="D21" i="2"/>
  <c r="A21" i="2" s="1"/>
  <c r="D20" i="2"/>
  <c r="A20" i="2" s="1"/>
  <c r="D19" i="2"/>
  <c r="A19" i="2" s="1"/>
  <c r="A18" i="2"/>
  <c r="D1" i="24"/>
  <c r="B25" i="1" l="1"/>
  <c r="B26" i="1" s="1"/>
  <c r="B27" i="1" s="1"/>
  <c r="B28" i="1" s="1"/>
  <c r="B29" i="1" s="1"/>
  <c r="B30" i="1" s="1"/>
  <c r="B31" i="1" s="1"/>
  <c r="B32" i="1" s="1"/>
  <c r="D9" i="2"/>
  <c r="A9" i="2" s="1"/>
  <c r="D10" i="16"/>
  <c r="D53" i="16"/>
  <c r="D10" i="17"/>
  <c r="D54" i="17"/>
  <c r="D54" i="18"/>
  <c r="D9" i="18"/>
  <c r="D10" i="15"/>
  <c r="A10" i="15" s="1"/>
  <c r="D55" i="15"/>
  <c r="D59" i="2"/>
  <c r="B33" i="1" l="1"/>
  <c r="B34" i="1" s="1"/>
  <c r="B35" i="1" s="1"/>
  <c r="B36" i="1" s="1"/>
  <c r="B37" i="1" s="1"/>
  <c r="B38" i="1" s="1"/>
  <c r="B39" i="1" s="1"/>
  <c r="B40" i="1" s="1"/>
  <c r="E96" i="17"/>
  <c r="E96" i="15"/>
  <c r="E40" i="18"/>
  <c r="E41" i="18"/>
  <c r="E100" i="18"/>
  <c r="E99" i="18"/>
  <c r="E98" i="18"/>
  <c r="E97" i="18"/>
  <c r="E95" i="18"/>
  <c r="E94" i="18"/>
  <c r="E93" i="18"/>
  <c r="E92" i="18"/>
  <c r="E91" i="18"/>
  <c r="E90" i="18"/>
  <c r="E89" i="18"/>
  <c r="E88" i="18"/>
  <c r="E87" i="18"/>
  <c r="E86" i="18"/>
  <c r="E85" i="18"/>
  <c r="E84" i="18"/>
  <c r="E83" i="18"/>
  <c r="E82" i="18"/>
  <c r="E81" i="18"/>
  <c r="E76" i="18"/>
  <c r="E75" i="18"/>
  <c r="E74" i="18"/>
  <c r="E73" i="18"/>
  <c r="E72" i="18"/>
  <c r="E71" i="18"/>
  <c r="E70" i="18"/>
  <c r="E69" i="18"/>
  <c r="E68" i="18"/>
  <c r="E67" i="18"/>
  <c r="E66" i="18"/>
  <c r="E65" i="18"/>
  <c r="E64" i="18"/>
  <c r="E63" i="18"/>
  <c r="E62" i="18"/>
  <c r="E61" i="18"/>
  <c r="E60" i="18"/>
  <c r="E59" i="18"/>
  <c r="E58" i="18"/>
  <c r="E57" i="18"/>
  <c r="E56" i="18"/>
  <c r="E55" i="18"/>
  <c r="E54" i="18"/>
  <c r="E53" i="18"/>
  <c r="E52" i="18"/>
  <c r="E51" i="18"/>
  <c r="E50" i="18"/>
  <c r="E49" i="18"/>
  <c r="E48" i="18"/>
  <c r="E47" i="18"/>
  <c r="E39" i="18"/>
  <c r="E38" i="18"/>
  <c r="E37" i="18"/>
  <c r="E36" i="18"/>
  <c r="E34" i="18"/>
  <c r="E33" i="18"/>
  <c r="E32" i="18"/>
  <c r="E31" i="18"/>
  <c r="E30" i="18"/>
  <c r="E29" i="18"/>
  <c r="E28" i="18"/>
  <c r="E27" i="18"/>
  <c r="E26" i="18"/>
  <c r="E25" i="18"/>
  <c r="E24" i="18"/>
  <c r="E23" i="18"/>
  <c r="E22" i="18"/>
  <c r="E21" i="18"/>
  <c r="E20" i="18"/>
  <c r="E19" i="18"/>
  <c r="E18" i="18"/>
  <c r="E17" i="18"/>
  <c r="E16" i="18"/>
  <c r="E15" i="18"/>
  <c r="E14" i="18"/>
  <c r="E13" i="18"/>
  <c r="E12" i="18"/>
  <c r="E11" i="18"/>
  <c r="E10" i="18"/>
  <c r="E9" i="18"/>
  <c r="E8" i="18"/>
  <c r="E7" i="18"/>
  <c r="E6" i="18"/>
  <c r="E5" i="18"/>
  <c r="E4" i="18"/>
  <c r="E37" i="17"/>
  <c r="E38" i="17"/>
  <c r="E39" i="17"/>
  <c r="E100" i="17"/>
  <c r="E99" i="17"/>
  <c r="E98" i="17"/>
  <c r="E95" i="17"/>
  <c r="E94" i="17"/>
  <c r="E93" i="17"/>
  <c r="E92" i="17"/>
  <c r="E91" i="17"/>
  <c r="E90" i="17"/>
  <c r="E89" i="17"/>
  <c r="E88" i="17"/>
  <c r="E87" i="17"/>
  <c r="E86" i="17"/>
  <c r="E85" i="17"/>
  <c r="E84" i="17"/>
  <c r="E83" i="17"/>
  <c r="E82" i="17"/>
  <c r="E81" i="17"/>
  <c r="E76" i="17"/>
  <c r="E75" i="17"/>
  <c r="E74" i="17"/>
  <c r="E73" i="17"/>
  <c r="E72" i="17"/>
  <c r="E71" i="17"/>
  <c r="E70" i="17"/>
  <c r="E69" i="17"/>
  <c r="E68" i="17"/>
  <c r="E67" i="17"/>
  <c r="E66" i="17"/>
  <c r="E65" i="17"/>
  <c r="E64" i="17"/>
  <c r="E63" i="17"/>
  <c r="E62" i="17"/>
  <c r="E61" i="17"/>
  <c r="E60" i="17"/>
  <c r="E59" i="17"/>
  <c r="E58" i="17"/>
  <c r="E57" i="17"/>
  <c r="E56" i="17"/>
  <c r="E55" i="17"/>
  <c r="E53" i="17"/>
  <c r="E52" i="17"/>
  <c r="E51" i="17"/>
  <c r="E50" i="17"/>
  <c r="E49" i="17"/>
  <c r="E48" i="17"/>
  <c r="E47" i="17"/>
  <c r="E46" i="17"/>
  <c r="E36" i="17"/>
  <c r="E35" i="17"/>
  <c r="E34" i="17"/>
  <c r="E33" i="17"/>
  <c r="E32" i="17"/>
  <c r="E31" i="17"/>
  <c r="E30" i="17"/>
  <c r="E29" i="17"/>
  <c r="E28" i="17"/>
  <c r="E27" i="17"/>
  <c r="E26" i="17"/>
  <c r="E25" i="17"/>
  <c r="E24" i="17"/>
  <c r="E23" i="17"/>
  <c r="E22" i="17"/>
  <c r="E21" i="17"/>
  <c r="E20" i="17"/>
  <c r="E19" i="17"/>
  <c r="E18" i="17"/>
  <c r="E17" i="17"/>
  <c r="E16" i="17"/>
  <c r="E15" i="17"/>
  <c r="E14" i="17"/>
  <c r="E13" i="17"/>
  <c r="E12" i="17"/>
  <c r="E11" i="17"/>
  <c r="E10" i="17"/>
  <c r="E9" i="17"/>
  <c r="E8" i="17"/>
  <c r="E7" i="17"/>
  <c r="E6" i="17"/>
  <c r="E5" i="17"/>
  <c r="E4" i="17"/>
  <c r="E82" i="16"/>
  <c r="E83" i="16"/>
  <c r="E84" i="16"/>
  <c r="E85" i="16"/>
  <c r="E86" i="16"/>
  <c r="E87" i="16"/>
  <c r="E88" i="16"/>
  <c r="E89" i="16"/>
  <c r="E90" i="16"/>
  <c r="E91" i="16"/>
  <c r="E92" i="16"/>
  <c r="E93" i="16"/>
  <c r="E94" i="16"/>
  <c r="E95" i="16"/>
  <c r="E57" i="15"/>
  <c r="E58" i="15"/>
  <c r="E59" i="15"/>
  <c r="E60" i="15"/>
  <c r="E61" i="15"/>
  <c r="E62" i="15"/>
  <c r="E63" i="15"/>
  <c r="E64" i="15"/>
  <c r="E65" i="15"/>
  <c r="E66" i="15"/>
  <c r="E67" i="15"/>
  <c r="E68" i="15"/>
  <c r="E69" i="15"/>
  <c r="E70" i="15"/>
  <c r="E71" i="15"/>
  <c r="E72" i="15"/>
  <c r="E73" i="15"/>
  <c r="E48" i="16"/>
  <c r="E49" i="16"/>
  <c r="E50" i="16"/>
  <c r="E51" i="16"/>
  <c r="E52" i="16"/>
  <c r="E54" i="16"/>
  <c r="E55" i="16"/>
  <c r="E56" i="16"/>
  <c r="E57" i="16"/>
  <c r="E58" i="16"/>
  <c r="E59" i="16"/>
  <c r="E60" i="16"/>
  <c r="E61" i="16"/>
  <c r="E62" i="16"/>
  <c r="E63" i="16"/>
  <c r="E64" i="16"/>
  <c r="E65" i="16"/>
  <c r="E66" i="16"/>
  <c r="E67" i="16"/>
  <c r="E68" i="16"/>
  <c r="E69" i="16"/>
  <c r="E70" i="16"/>
  <c r="E71" i="16"/>
  <c r="E72" i="16"/>
  <c r="E73" i="16"/>
  <c r="E74" i="16"/>
  <c r="E75" i="16"/>
  <c r="E76" i="16"/>
  <c r="E100" i="16"/>
  <c r="E99" i="16"/>
  <c r="E98" i="16"/>
  <c r="E97" i="16"/>
  <c r="E81" i="16"/>
  <c r="E47" i="16"/>
  <c r="E37" i="16"/>
  <c r="E36" i="16"/>
  <c r="E35" i="16"/>
  <c r="E34" i="16"/>
  <c r="E33" i="16"/>
  <c r="E32" i="16"/>
  <c r="E31" i="16"/>
  <c r="E30" i="16"/>
  <c r="E29" i="16"/>
  <c r="E28" i="16"/>
  <c r="E27" i="16"/>
  <c r="E26" i="16"/>
  <c r="E25" i="16"/>
  <c r="E24" i="16"/>
  <c r="E23" i="16"/>
  <c r="E22" i="16"/>
  <c r="E21" i="16"/>
  <c r="E20" i="16"/>
  <c r="E19" i="16"/>
  <c r="E18" i="16"/>
  <c r="E17" i="16"/>
  <c r="E16" i="16"/>
  <c r="E15" i="16"/>
  <c r="E14" i="16"/>
  <c r="E13" i="16"/>
  <c r="E12" i="16"/>
  <c r="E11" i="16"/>
  <c r="E10" i="16"/>
  <c r="E9" i="16"/>
  <c r="E8" i="16"/>
  <c r="E7" i="16"/>
  <c r="E6" i="16"/>
  <c r="E5" i="16"/>
  <c r="E4" i="16"/>
  <c r="E81" i="15"/>
  <c r="E82" i="15"/>
  <c r="E83" i="15"/>
  <c r="E84" i="15"/>
  <c r="E85" i="15"/>
  <c r="E86" i="15"/>
  <c r="E87" i="15"/>
  <c r="E88" i="15"/>
  <c r="E89" i="15"/>
  <c r="E90" i="15"/>
  <c r="E91" i="15"/>
  <c r="E92" i="15"/>
  <c r="E93" i="15"/>
  <c r="E94" i="15"/>
  <c r="E95" i="15"/>
  <c r="E100" i="15"/>
  <c r="E99" i="15"/>
  <c r="E98" i="15"/>
  <c r="E76" i="15"/>
  <c r="E75" i="15"/>
  <c r="E74" i="15"/>
  <c r="E56" i="15"/>
  <c r="E55" i="15"/>
  <c r="E54" i="15"/>
  <c r="E53" i="15"/>
  <c r="E52" i="15"/>
  <c r="E51" i="15"/>
  <c r="E50" i="15"/>
  <c r="E49" i="15"/>
  <c r="E48" i="15"/>
  <c r="E47" i="15"/>
  <c r="E41" i="15"/>
  <c r="E40" i="15"/>
  <c r="E39" i="15"/>
  <c r="E38" i="15"/>
  <c r="E37" i="15"/>
  <c r="E36" i="15"/>
  <c r="E35" i="15"/>
  <c r="E34" i="15"/>
  <c r="E33" i="15"/>
  <c r="E32" i="15"/>
  <c r="E31" i="15"/>
  <c r="E30" i="15"/>
  <c r="E29" i="15"/>
  <c r="E28" i="15"/>
  <c r="E27" i="15"/>
  <c r="E26" i="15"/>
  <c r="E25" i="15"/>
  <c r="E24" i="15"/>
  <c r="E23" i="15"/>
  <c r="E22" i="15"/>
  <c r="E21" i="15"/>
  <c r="E20" i="15"/>
  <c r="E19" i="15"/>
  <c r="E18" i="15"/>
  <c r="E17" i="15"/>
  <c r="E16" i="15"/>
  <c r="E15" i="15"/>
  <c r="E14" i="15"/>
  <c r="E13" i="15"/>
  <c r="E12" i="15"/>
  <c r="E11" i="15"/>
  <c r="E10" i="15"/>
  <c r="E9" i="15"/>
  <c r="E8" i="15"/>
  <c r="E7" i="15"/>
  <c r="E6" i="15"/>
  <c r="E5" i="15"/>
  <c r="E4" i="15"/>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5" i="2"/>
  <c r="F56" i="2"/>
  <c r="F57" i="2"/>
  <c r="F58" i="2"/>
  <c r="F60" i="2"/>
  <c r="F61" i="2"/>
  <c r="F62" i="2"/>
  <c r="F63" i="2"/>
  <c r="F91" i="2"/>
  <c r="F92" i="2"/>
  <c r="F64" i="2"/>
  <c r="F68" i="2"/>
  <c r="F69" i="2"/>
  <c r="F70" i="2"/>
  <c r="F65" i="2"/>
  <c r="F66" i="2"/>
  <c r="F67" i="2"/>
  <c r="F71" i="2"/>
  <c r="F72" i="2"/>
  <c r="F73" i="2"/>
  <c r="F74" i="2"/>
  <c r="F75" i="2"/>
  <c r="F76" i="2"/>
  <c r="F77" i="2"/>
  <c r="F78" i="2"/>
  <c r="F79" i="2"/>
  <c r="F50" i="2"/>
  <c r="F84" i="2"/>
  <c r="F85" i="2"/>
  <c r="F86" i="2"/>
  <c r="F97" i="2"/>
  <c r="F88" i="2"/>
  <c r="F89" i="2"/>
  <c r="F95" i="2"/>
  <c r="F96" i="2"/>
  <c r="F98" i="2"/>
  <c r="F99" i="2"/>
  <c r="F100" i="2"/>
  <c r="F101" i="2"/>
  <c r="F102" i="2"/>
  <c r="F93" i="2"/>
  <c r="F94" i="2"/>
  <c r="F103" i="2"/>
  <c r="F104" i="2"/>
  <c r="F90" i="2"/>
  <c r="B41" i="1" l="1"/>
  <c r="B42" i="1" s="1"/>
  <c r="B43" i="1" s="1"/>
  <c r="B44" i="1" s="1"/>
  <c r="B45" i="1" s="1"/>
  <c r="B46" i="1" s="1"/>
  <c r="B47" i="1" s="1"/>
  <c r="B48" i="1" s="1"/>
  <c r="C3" i="1"/>
  <c r="AH200" i="1"/>
  <c r="A200" i="1" a="1"/>
  <c r="A200" i="1" s="1"/>
  <c r="AH199" i="1"/>
  <c r="A199" i="1" a="1"/>
  <c r="A199" i="1" s="1"/>
  <c r="AH198" i="1"/>
  <c r="A198" i="1" a="1"/>
  <c r="A198" i="1" s="1"/>
  <c r="AH197" i="1"/>
  <c r="A197" i="1" a="1"/>
  <c r="A197" i="1" s="1"/>
  <c r="AH196" i="1"/>
  <c r="A196" i="1" a="1"/>
  <c r="A196" i="1" s="1"/>
  <c r="AH195" i="1"/>
  <c r="A195" i="1" a="1"/>
  <c r="A195" i="1" s="1"/>
  <c r="AH194" i="1"/>
  <c r="A194" i="1" a="1"/>
  <c r="A194" i="1" s="1"/>
  <c r="AH193" i="1"/>
  <c r="A193" i="1" a="1"/>
  <c r="A193" i="1" s="1"/>
  <c r="AH192" i="1"/>
  <c r="A192" i="1" a="1"/>
  <c r="A192" i="1" s="1"/>
  <c r="AH191" i="1"/>
  <c r="A191" i="1" a="1"/>
  <c r="A191" i="1" s="1"/>
  <c r="AH190" i="1"/>
  <c r="A190" i="1" a="1"/>
  <c r="A190" i="1" s="1"/>
  <c r="AH189" i="1"/>
  <c r="A189" i="1" a="1"/>
  <c r="A189" i="1" s="1"/>
  <c r="AH188" i="1"/>
  <c r="A188" i="1" a="1"/>
  <c r="A188" i="1" s="1"/>
  <c r="AH187" i="1"/>
  <c r="A187" i="1" a="1"/>
  <c r="A187" i="1" s="1"/>
  <c r="AH186" i="1"/>
  <c r="A186" i="1" a="1"/>
  <c r="A186" i="1" s="1"/>
  <c r="AH185" i="1"/>
  <c r="A185" i="1" a="1"/>
  <c r="A185" i="1" s="1"/>
  <c r="AH184" i="1"/>
  <c r="A184" i="1" a="1"/>
  <c r="A184" i="1" s="1"/>
  <c r="AH183" i="1"/>
  <c r="A183" i="1" a="1"/>
  <c r="A183" i="1" s="1"/>
  <c r="AH182" i="1"/>
  <c r="A182" i="1" a="1"/>
  <c r="A182" i="1" s="1"/>
  <c r="AH181" i="1"/>
  <c r="A181" i="1" a="1"/>
  <c r="A181" i="1" s="1"/>
  <c r="AH180" i="1"/>
  <c r="A180" i="1" a="1"/>
  <c r="A180" i="1" s="1"/>
  <c r="AH179" i="1"/>
  <c r="A179" i="1" a="1"/>
  <c r="A179" i="1" s="1"/>
  <c r="AH178" i="1"/>
  <c r="A178" i="1" a="1"/>
  <c r="A178" i="1" s="1"/>
  <c r="AH177" i="1"/>
  <c r="A177" i="1" a="1"/>
  <c r="A177" i="1" s="1"/>
  <c r="AH176" i="1"/>
  <c r="A176" i="1" a="1"/>
  <c r="A176" i="1" s="1"/>
  <c r="AH175" i="1"/>
  <c r="A175" i="1" a="1"/>
  <c r="A175" i="1" s="1"/>
  <c r="AH174" i="1"/>
  <c r="A174" i="1" a="1"/>
  <c r="A174" i="1" s="1"/>
  <c r="AH173" i="1"/>
  <c r="A173" i="1" a="1"/>
  <c r="A173" i="1" s="1"/>
  <c r="AH172" i="1"/>
  <c r="A172" i="1" a="1"/>
  <c r="A172" i="1" s="1"/>
  <c r="AH171" i="1"/>
  <c r="A171" i="1" a="1"/>
  <c r="A171" i="1" s="1"/>
  <c r="AH170" i="1"/>
  <c r="A170" i="1" a="1"/>
  <c r="A170" i="1" s="1"/>
  <c r="AH169" i="1"/>
  <c r="A169" i="1" a="1"/>
  <c r="A169" i="1" s="1"/>
  <c r="AH168" i="1"/>
  <c r="A168" i="1" a="1"/>
  <c r="A168" i="1" s="1"/>
  <c r="AH167" i="1"/>
  <c r="A167" i="1" a="1"/>
  <c r="A167" i="1" s="1"/>
  <c r="AH166" i="1"/>
  <c r="A166" i="1" a="1"/>
  <c r="A166" i="1" s="1"/>
  <c r="AH165" i="1"/>
  <c r="A165" i="1" a="1"/>
  <c r="A165" i="1" s="1"/>
  <c r="AH164" i="1"/>
  <c r="A164" i="1" a="1"/>
  <c r="A164" i="1" s="1"/>
  <c r="AH163" i="1"/>
  <c r="A163" i="1" a="1"/>
  <c r="A163" i="1" s="1"/>
  <c r="AH162" i="1"/>
  <c r="A162" i="1" a="1"/>
  <c r="A162" i="1" s="1"/>
  <c r="AH161" i="1"/>
  <c r="A161" i="1" a="1"/>
  <c r="A161" i="1" s="1"/>
  <c r="AH160" i="1"/>
  <c r="A160" i="1" a="1"/>
  <c r="A160" i="1" s="1"/>
  <c r="AH159" i="1"/>
  <c r="A159" i="1" a="1"/>
  <c r="A159" i="1" s="1"/>
  <c r="AH158" i="1"/>
  <c r="A158" i="1" a="1"/>
  <c r="A158" i="1" s="1"/>
  <c r="AH157" i="1"/>
  <c r="A157" i="1" a="1"/>
  <c r="A157" i="1" s="1"/>
  <c r="AH156" i="1"/>
  <c r="A156" i="1" a="1"/>
  <c r="A156" i="1" s="1"/>
  <c r="AH155" i="1"/>
  <c r="A155" i="1" a="1"/>
  <c r="A155" i="1" s="1"/>
  <c r="AH154" i="1"/>
  <c r="A154" i="1" a="1"/>
  <c r="A154" i="1" s="1"/>
  <c r="AH153" i="1"/>
  <c r="A153" i="1" a="1"/>
  <c r="A153" i="1" s="1"/>
  <c r="AH152" i="1"/>
  <c r="A152" i="1" a="1"/>
  <c r="A152" i="1" s="1"/>
  <c r="AH151" i="1"/>
  <c r="A151" i="1" a="1"/>
  <c r="A151" i="1" s="1"/>
  <c r="AH150" i="1"/>
  <c r="A150" i="1" a="1"/>
  <c r="A150" i="1" s="1"/>
  <c r="AH149" i="1"/>
  <c r="A149" i="1" a="1"/>
  <c r="A149" i="1" s="1"/>
  <c r="AH148" i="1"/>
  <c r="A148" i="1" a="1"/>
  <c r="A148" i="1" s="1"/>
  <c r="AH147" i="1"/>
  <c r="A147" i="1" a="1"/>
  <c r="A147" i="1" s="1"/>
  <c r="AH146" i="1"/>
  <c r="A146" i="1" a="1"/>
  <c r="A146" i="1" s="1"/>
  <c r="AH145" i="1"/>
  <c r="A145" i="1" a="1"/>
  <c r="A145" i="1" s="1"/>
  <c r="AH144" i="1"/>
  <c r="A144" i="1" a="1"/>
  <c r="A144" i="1" s="1"/>
  <c r="AH143" i="1"/>
  <c r="A143" i="1" a="1"/>
  <c r="A143" i="1" s="1"/>
  <c r="AH142" i="1"/>
  <c r="A142" i="1" a="1"/>
  <c r="A142" i="1" s="1"/>
  <c r="AH141" i="1"/>
  <c r="A141" i="1" a="1"/>
  <c r="A141" i="1" s="1"/>
  <c r="AH140" i="1"/>
  <c r="A140" i="1" a="1"/>
  <c r="A140" i="1" s="1"/>
  <c r="AH139" i="1"/>
  <c r="A139" i="1" a="1"/>
  <c r="A139" i="1" s="1"/>
  <c r="AH138" i="1"/>
  <c r="A138" i="1" a="1"/>
  <c r="A138" i="1" s="1"/>
  <c r="AH137" i="1"/>
  <c r="A137" i="1" a="1"/>
  <c r="A137" i="1" s="1"/>
  <c r="AH136" i="1"/>
  <c r="A136" i="1" a="1"/>
  <c r="A136" i="1" s="1"/>
  <c r="AH135" i="1"/>
  <c r="A135" i="1" a="1"/>
  <c r="A135" i="1" s="1"/>
  <c r="AH134" i="1"/>
  <c r="A134" i="1" a="1"/>
  <c r="A134" i="1" s="1"/>
  <c r="AH133" i="1"/>
  <c r="A133" i="1" a="1"/>
  <c r="A133" i="1" s="1"/>
  <c r="AH132" i="1"/>
  <c r="A132" i="1" a="1"/>
  <c r="A132" i="1" s="1"/>
  <c r="AH131" i="1"/>
  <c r="A131" i="1" a="1"/>
  <c r="A131" i="1" s="1"/>
  <c r="AH130" i="1"/>
  <c r="A130" i="1" a="1"/>
  <c r="A130" i="1" s="1"/>
  <c r="AH129" i="1"/>
  <c r="A129" i="1" a="1"/>
  <c r="A129" i="1" s="1"/>
  <c r="AH128" i="1"/>
  <c r="A128" i="1" a="1"/>
  <c r="A128" i="1" s="1"/>
  <c r="AH127" i="1"/>
  <c r="A127" i="1" a="1"/>
  <c r="A127" i="1" s="1"/>
  <c r="AH126" i="1"/>
  <c r="A126" i="1" a="1"/>
  <c r="A126" i="1" s="1"/>
  <c r="AH125" i="1"/>
  <c r="A125" i="1" a="1"/>
  <c r="A125" i="1" s="1"/>
  <c r="AH124" i="1"/>
  <c r="A124" i="1" a="1"/>
  <c r="A124" i="1" s="1"/>
  <c r="AH123" i="1"/>
  <c r="A123" i="1" a="1"/>
  <c r="A123" i="1" s="1"/>
  <c r="AH122" i="1"/>
  <c r="A122" i="1" a="1"/>
  <c r="A122" i="1" s="1"/>
  <c r="AH121" i="1"/>
  <c r="A121" i="1" a="1"/>
  <c r="A121" i="1" s="1"/>
  <c r="AH120" i="1"/>
  <c r="AH119" i="1"/>
  <c r="A119" i="1" a="1"/>
  <c r="A119" i="1" s="1"/>
  <c r="AH118" i="1"/>
  <c r="A118" i="1" a="1"/>
  <c r="A118" i="1" s="1"/>
  <c r="AH117" i="1"/>
  <c r="A117" i="1" a="1"/>
  <c r="A117" i="1" s="1"/>
  <c r="AH116" i="1"/>
  <c r="AH115" i="1"/>
  <c r="A115" i="1" a="1"/>
  <c r="A115" i="1" s="1"/>
  <c r="AH114" i="1"/>
  <c r="A114" i="1" a="1"/>
  <c r="A114" i="1" s="1"/>
  <c r="AH113" i="1"/>
  <c r="AH112" i="1"/>
  <c r="AH111" i="1"/>
  <c r="A111" i="1" a="1"/>
  <c r="A111" i="1" s="1"/>
  <c r="AH110" i="1"/>
  <c r="A110" i="1" a="1"/>
  <c r="A110" i="1" s="1"/>
  <c r="AH109" i="1"/>
  <c r="A109" i="1" a="1"/>
  <c r="A109" i="1" s="1"/>
  <c r="AH108" i="1"/>
  <c r="A108" i="1" a="1"/>
  <c r="A108" i="1" s="1"/>
  <c r="AH107" i="1"/>
  <c r="A107" i="1" a="1"/>
  <c r="A107" i="1" s="1"/>
  <c r="AH106" i="1"/>
  <c r="A106" i="1" a="1"/>
  <c r="A106" i="1" s="1"/>
  <c r="AH105" i="1"/>
  <c r="AH104" i="1"/>
  <c r="A104" i="1" a="1"/>
  <c r="A104" i="1" s="1"/>
  <c r="AH103" i="1"/>
  <c r="A103" i="1" a="1"/>
  <c r="A103" i="1" s="1"/>
  <c r="AH102" i="1"/>
  <c r="A102" i="1" a="1"/>
  <c r="A102" i="1" s="1"/>
  <c r="AH101" i="1"/>
  <c r="A101" i="1" a="1"/>
  <c r="A101" i="1" s="1"/>
  <c r="AH100" i="1"/>
  <c r="A100" i="1" a="1"/>
  <c r="A100" i="1" s="1"/>
  <c r="AH99" i="1"/>
  <c r="A99" i="1" a="1"/>
  <c r="A99" i="1" s="1"/>
  <c r="AH98" i="1"/>
  <c r="AH97" i="1"/>
  <c r="A97" i="1" a="1"/>
  <c r="A97" i="1" s="1"/>
  <c r="AH96" i="1"/>
  <c r="AH95" i="1"/>
  <c r="A95" i="1" a="1"/>
  <c r="A95" i="1" s="1"/>
  <c r="AH94" i="1"/>
  <c r="A94" i="1" a="1"/>
  <c r="A94" i="1" s="1"/>
  <c r="AH93" i="1"/>
  <c r="A93" i="1" a="1"/>
  <c r="A93" i="1" s="1"/>
  <c r="AH92" i="1"/>
  <c r="A92" i="1" a="1"/>
  <c r="A92" i="1" s="1"/>
  <c r="AH91" i="1"/>
  <c r="AH90" i="1"/>
  <c r="A90" i="1" a="1"/>
  <c r="A90" i="1" s="1"/>
  <c r="AH89" i="1"/>
  <c r="A89" i="1" a="1"/>
  <c r="A89" i="1" s="1"/>
  <c r="AH88" i="1"/>
  <c r="AH87" i="1"/>
  <c r="A87" i="1" a="1"/>
  <c r="A87" i="1" s="1"/>
  <c r="AH86" i="1"/>
  <c r="A86" i="1" a="1"/>
  <c r="A86" i="1" s="1"/>
  <c r="AH85" i="1"/>
  <c r="AH84" i="1"/>
  <c r="A84" i="1" a="1"/>
  <c r="A84" i="1" s="1"/>
  <c r="AH83" i="1"/>
  <c r="AH82" i="1"/>
  <c r="A82" i="1" a="1"/>
  <c r="A82" i="1" s="1"/>
  <c r="AH81" i="1"/>
  <c r="AH80" i="1"/>
  <c r="AH79" i="1"/>
  <c r="A79" i="1" a="1"/>
  <c r="A79" i="1" s="1"/>
  <c r="AH78" i="1"/>
  <c r="A78" i="1" a="1"/>
  <c r="A78" i="1" s="1"/>
  <c r="AH77" i="1"/>
  <c r="A77" i="1" a="1"/>
  <c r="A77" i="1" s="1"/>
  <c r="AH76" i="1"/>
  <c r="AH75" i="1"/>
  <c r="A75" i="1" a="1"/>
  <c r="A75" i="1" s="1"/>
  <c r="AH74" i="1"/>
  <c r="A74" i="1" a="1"/>
  <c r="A74" i="1" s="1"/>
  <c r="AH73" i="1"/>
  <c r="AH72" i="1"/>
  <c r="AH71" i="1"/>
  <c r="A71" i="1" a="1"/>
  <c r="A71" i="1" s="1"/>
  <c r="AH70" i="1"/>
  <c r="A70" i="1" a="1"/>
  <c r="A70" i="1" s="1"/>
  <c r="AH69" i="1"/>
  <c r="AH68" i="1"/>
  <c r="A68" i="1" a="1"/>
  <c r="A68" i="1" s="1"/>
  <c r="AH67" i="1"/>
  <c r="A67" i="1" a="1"/>
  <c r="A67" i="1" s="1"/>
  <c r="AH66" i="1"/>
  <c r="AH65" i="1"/>
  <c r="A65" i="1" a="1"/>
  <c r="A65" i="1" s="1"/>
  <c r="AH64" i="1"/>
  <c r="AH63" i="1"/>
  <c r="A63" i="1" a="1"/>
  <c r="A63" i="1" s="1"/>
  <c r="AH62" i="1"/>
  <c r="A62" i="1" a="1"/>
  <c r="A62" i="1" s="1"/>
  <c r="AH61" i="1"/>
  <c r="AH60" i="1"/>
  <c r="A60" i="1" a="1"/>
  <c r="A60" i="1" s="1"/>
  <c r="AH59" i="1"/>
  <c r="A59" i="1" a="1"/>
  <c r="A59" i="1" s="1"/>
  <c r="AH58" i="1"/>
  <c r="A58" i="1" a="1"/>
  <c r="A58" i="1" s="1"/>
  <c r="AH57" i="1"/>
  <c r="AH56" i="1"/>
  <c r="AH55" i="1"/>
  <c r="AH54" i="1"/>
  <c r="A54" i="1" a="1"/>
  <c r="A54" i="1" s="1"/>
  <c r="AH53" i="1"/>
  <c r="AH52" i="1"/>
  <c r="A52" i="1" a="1"/>
  <c r="A52" i="1" s="1"/>
  <c r="AH51" i="1"/>
  <c r="A51" i="1" a="1"/>
  <c r="A51" i="1" s="1"/>
  <c r="AH50" i="1"/>
  <c r="AH49" i="1"/>
  <c r="A49" i="1" a="1"/>
  <c r="A49" i="1" s="1"/>
  <c r="AH48" i="1"/>
  <c r="AH47" i="1"/>
  <c r="AH46" i="1"/>
  <c r="AH45" i="1"/>
  <c r="A45" i="1" a="1"/>
  <c r="A45" i="1" s="1"/>
  <c r="AH44" i="1"/>
  <c r="AH43" i="1"/>
  <c r="A43" i="1" a="1"/>
  <c r="A43" i="1" s="1"/>
  <c r="AH42" i="1"/>
  <c r="AH41" i="1"/>
  <c r="AH40" i="1"/>
  <c r="AH39" i="1"/>
  <c r="A39" i="1" a="1"/>
  <c r="A39" i="1" s="1"/>
  <c r="AH38" i="1"/>
  <c r="AH37" i="1"/>
  <c r="A37" i="1" a="1"/>
  <c r="A37" i="1" s="1"/>
  <c r="AH36" i="1"/>
  <c r="AH35" i="1"/>
  <c r="AH34" i="1"/>
  <c r="AH33" i="1"/>
  <c r="AH32" i="1"/>
  <c r="AH31" i="1"/>
  <c r="A31" i="1" a="1"/>
  <c r="A31" i="1" s="1"/>
  <c r="AH30" i="1"/>
  <c r="A30" i="1" a="1"/>
  <c r="A30" i="1" s="1"/>
  <c r="AH29" i="1"/>
  <c r="A29" i="1" a="1"/>
  <c r="A29" i="1" s="1"/>
  <c r="AH28" i="1"/>
  <c r="A28" i="1" a="1"/>
  <c r="A28" i="1" s="1"/>
  <c r="AH27" i="1"/>
  <c r="AH26" i="1"/>
  <c r="AH25" i="1"/>
  <c r="AH24" i="1"/>
  <c r="AH23" i="1"/>
  <c r="A23" i="1" a="1"/>
  <c r="A23" i="1" s="1"/>
  <c r="AH22" i="1"/>
  <c r="A22" i="1" a="1"/>
  <c r="A22" i="1" s="1"/>
  <c r="AH21" i="1"/>
  <c r="A21" i="1" a="1"/>
  <c r="A21" i="1" s="1"/>
  <c r="AH20" i="1"/>
  <c r="AH19" i="1"/>
  <c r="A19" i="1" a="1"/>
  <c r="A19" i="1" s="1"/>
  <c r="AH18" i="1"/>
  <c r="A18" i="1" a="1"/>
  <c r="A18" i="1" s="1"/>
  <c r="AH17" i="1"/>
  <c r="AH16" i="1"/>
  <c r="AH15" i="1"/>
  <c r="A15" i="1" a="1"/>
  <c r="A15" i="1" s="1"/>
  <c r="AH14" i="1"/>
  <c r="AH13" i="1"/>
  <c r="A13" i="1" a="1"/>
  <c r="A13" i="1" s="1"/>
  <c r="AH12" i="1"/>
  <c r="A12" i="1" a="1"/>
  <c r="A12" i="1" s="1"/>
  <c r="AH11" i="1"/>
  <c r="A11" i="1" a="1"/>
  <c r="A11" i="1" s="1"/>
  <c r="AH10" i="1"/>
  <c r="A10" i="1" a="1"/>
  <c r="A10" i="1" s="1"/>
  <c r="AH9" i="1"/>
  <c r="A9" i="1" a="1"/>
  <c r="A9" i="1" s="1"/>
  <c r="E6" i="1" a="1"/>
  <c r="E6" i="1" s="1"/>
  <c r="C6" i="1"/>
  <c r="E4" i="1"/>
  <c r="E3" i="1" s="1"/>
  <c r="E2" i="1"/>
  <c r="B49" i="1" l="1"/>
  <c r="AE7" i="1"/>
  <c r="L1" i="1" l="1"/>
  <c r="B50" i="1"/>
  <c r="B51" i="1" s="1"/>
  <c r="B52" i="1" s="1"/>
  <c r="B53" i="1" s="1"/>
  <c r="B54" i="1" s="1"/>
  <c r="B55" i="1" s="1"/>
  <c r="B56" i="1" s="1"/>
  <c r="B57" i="1" l="1"/>
  <c r="B58" i="1" s="1"/>
  <c r="B59" i="1" s="1"/>
  <c r="B60" i="1" s="1"/>
  <c r="B61" i="1" s="1"/>
  <c r="B62" i="1" s="1"/>
  <c r="B63" i="1" s="1"/>
  <c r="B64" i="1" s="1"/>
  <c r="A17" i="1" a="1"/>
  <c r="A17" i="1" s="1"/>
  <c r="A35" i="1" a="1"/>
  <c r="A35" i="1" s="1"/>
  <c r="A36" i="1" a="1"/>
  <c r="A36" i="1" s="1"/>
  <c r="A34" i="1" a="1"/>
  <c r="A34" i="1" s="1"/>
  <c r="A25" i="1" a="1"/>
  <c r="A25" i="1" s="1"/>
  <c r="A50" i="1" a="1"/>
  <c r="A50" i="1" s="1"/>
  <c r="A57" i="1" a="1"/>
  <c r="A57" i="1" s="1"/>
  <c r="A41" i="1" a="1"/>
  <c r="A41" i="1" s="1"/>
  <c r="A42" i="1" a="1"/>
  <c r="A42" i="1" s="1"/>
  <c r="A47" i="1" a="1"/>
  <c r="A47" i="1" s="1"/>
  <c r="A55" i="1" a="1"/>
  <c r="A55" i="1" s="1"/>
  <c r="A66" i="1" a="1"/>
  <c r="A66" i="1" s="1"/>
  <c r="A73" i="1" a="1"/>
  <c r="A73" i="1" s="1"/>
  <c r="A81" i="1" a="1"/>
  <c r="A81" i="1" s="1"/>
  <c r="A85" i="1" a="1"/>
  <c r="A85" i="1" s="1"/>
  <c r="A27" i="1" a="1"/>
  <c r="A27" i="1" s="1"/>
  <c r="A33" i="1" a="1"/>
  <c r="A33" i="1" s="1"/>
  <c r="A46" i="1" a="1"/>
  <c r="A46" i="1" s="1"/>
  <c r="A53" i="1" a="1"/>
  <c r="A53" i="1" s="1"/>
  <c r="A69" i="1" a="1"/>
  <c r="A69" i="1" s="1"/>
  <c r="A61" i="1" a="1"/>
  <c r="A61" i="1" s="1"/>
  <c r="A83" i="1" a="1"/>
  <c r="A83" i="1" s="1"/>
  <c r="A76" i="1" a="1"/>
  <c r="A76" i="1" s="1"/>
  <c r="A91" i="1" a="1"/>
  <c r="A91" i="1" s="1"/>
  <c r="A98" i="1" a="1"/>
  <c r="A98" i="1" s="1"/>
  <c r="A120" i="1" a="1"/>
  <c r="A120" i="1" s="1"/>
  <c r="A112" i="1" a="1"/>
  <c r="A112" i="1" s="1"/>
  <c r="B65" i="1" l="1"/>
  <c r="B66" i="1" l="1"/>
  <c r="B67" i="1" l="1"/>
  <c r="B68" i="1" l="1"/>
  <c r="B69" i="1" l="1"/>
  <c r="B70" i="1" l="1"/>
  <c r="B71" i="1" l="1"/>
  <c r="B72" i="1" l="1"/>
  <c r="B73" i="1" l="1"/>
  <c r="B74" i="1" l="1"/>
  <c r="B75" i="1" s="1"/>
  <c r="B76" i="1" s="1"/>
  <c r="B77" i="1" s="1"/>
  <c r="B78" i="1" s="1"/>
  <c r="B79" i="1" s="1"/>
  <c r="B80" i="1" s="1"/>
  <c r="B81" i="1" l="1"/>
  <c r="B82" i="1" s="1"/>
  <c r="B83" i="1" s="1"/>
  <c r="B84" i="1" s="1"/>
  <c r="B85" i="1" s="1"/>
  <c r="B86" i="1" s="1"/>
  <c r="B87" i="1" s="1"/>
  <c r="B88" i="1" s="1"/>
  <c r="B89" i="1" l="1"/>
  <c r="B90" i="1" l="1"/>
  <c r="B91" i="1" l="1"/>
  <c r="B92" i="1" l="1"/>
  <c r="B93" i="1" l="1"/>
  <c r="B94" i="1" l="1"/>
  <c r="B95" i="1" l="1"/>
  <c r="B96" i="1" l="1"/>
  <c r="B97" i="1" l="1"/>
  <c r="B98" i="1" s="1"/>
  <c r="B99" i="1" s="1"/>
  <c r="B100" i="1" s="1"/>
  <c r="B101" i="1" s="1"/>
  <c r="B102" i="1" s="1"/>
  <c r="B103" i="1" s="1"/>
  <c r="B104" i="1" s="1"/>
  <c r="B105" i="1" s="1"/>
  <c r="B106" i="1" l="1"/>
  <c r="B107" i="1" s="1"/>
  <c r="B108" i="1" s="1"/>
  <c r="B109" i="1" s="1"/>
  <c r="B110" i="1" s="1"/>
  <c r="B111" i="1" s="1"/>
  <c r="B112" i="1" s="1"/>
  <c r="B113" i="1" s="1"/>
  <c r="B114" i="1" l="1"/>
  <c r="B115" i="1" l="1"/>
  <c r="B116" i="1" l="1"/>
  <c r="A96" i="1" a="1"/>
  <c r="A96" i="1" s="1"/>
  <c r="A113" i="1" a="1"/>
  <c r="A113" i="1" s="1"/>
  <c r="A44" i="1" l="1" a="1"/>
  <c r="A44" i="1" s="1"/>
  <c r="A38" i="1" a="1"/>
  <c r="A38" i="1" s="1"/>
  <c r="A26" i="1" a="1"/>
  <c r="A26" i="1" s="1"/>
  <c r="A20" i="1" a="1"/>
  <c r="A20" i="1" s="1"/>
  <c r="A14" i="1" a="1"/>
  <c r="A14" i="1" s="1"/>
  <c r="A116" i="1" a="1"/>
  <c r="A116" i="1" s="1"/>
  <c r="A56" i="1" a="1"/>
  <c r="A56" i="1" s="1"/>
  <c r="A48" i="1" a="1"/>
  <c r="A48" i="1" s="1"/>
  <c r="A32" i="1" a="1"/>
  <c r="A32" i="1" s="1"/>
  <c r="A64" i="1" a="1"/>
  <c r="A64" i="1" s="1"/>
  <c r="A16" i="1" a="1"/>
  <c r="A16" i="1" s="1"/>
  <c r="A40" i="1" a="1"/>
  <c r="A40" i="1" s="1"/>
  <c r="A24" i="1" a="1"/>
  <c r="A24" i="1" s="1"/>
  <c r="A72" i="1" a="1"/>
  <c r="A72" i="1" s="1"/>
  <c r="A80" i="1" a="1"/>
  <c r="A80" i="1" s="1"/>
  <c r="A88" i="1" a="1"/>
  <c r="A88" i="1" s="1"/>
  <c r="A105" i="1" a="1"/>
  <c r="A105" i="1" s="1"/>
  <c r="U32" i="1" l="1"/>
  <c r="AC32" i="1"/>
  <c r="T32" i="1" s="1"/>
  <c r="R32" i="1"/>
  <c r="AB32" i="1"/>
  <c r="Q32" i="1" s="1"/>
  <c r="O32" i="1"/>
  <c r="AA32" i="1"/>
  <c r="N32" i="1" s="1"/>
  <c r="Z32" i="1"/>
  <c r="K32" i="1" s="1"/>
  <c r="X32" i="1"/>
  <c r="AD32" i="1"/>
  <c r="W32" i="1" s="1"/>
  <c r="L32" i="1"/>
  <c r="X14" i="1"/>
  <c r="AD14" i="1"/>
  <c r="W14" i="1" s="1"/>
  <c r="L14" i="1"/>
  <c r="Z14" i="1"/>
  <c r="K14" i="1" s="1"/>
  <c r="U14" i="1"/>
  <c r="AC14" i="1"/>
  <c r="T14" i="1" s="1"/>
  <c r="R14" i="1"/>
  <c r="AB14" i="1"/>
  <c r="Q14" i="1" s="1"/>
  <c r="O14" i="1"/>
  <c r="AA14" i="1"/>
  <c r="N14" i="1" s="1"/>
  <c r="U20" i="1"/>
  <c r="AC20" i="1"/>
  <c r="T20" i="1" s="1"/>
  <c r="R20" i="1"/>
  <c r="AB20" i="1"/>
  <c r="Q20" i="1" s="1"/>
  <c r="O20" i="1"/>
  <c r="AA20" i="1"/>
  <c r="N20" i="1" s="1"/>
  <c r="Z20" i="1"/>
  <c r="K20" i="1" s="1"/>
  <c r="X20" i="1"/>
  <c r="AD20" i="1"/>
  <c r="W20" i="1" s="1"/>
  <c r="L20" i="1"/>
  <c r="X26" i="1"/>
  <c r="AD26" i="1"/>
  <c r="W26" i="1" s="1"/>
  <c r="L26" i="1"/>
  <c r="U26" i="1"/>
  <c r="AC26" i="1"/>
  <c r="T26" i="1" s="1"/>
  <c r="R26" i="1"/>
  <c r="AB26" i="1"/>
  <c r="Q26" i="1" s="1"/>
  <c r="O26" i="1"/>
  <c r="AA26" i="1"/>
  <c r="N26" i="1" s="1"/>
  <c r="Z26" i="1"/>
  <c r="K26" i="1" s="1"/>
  <c r="X38" i="1"/>
  <c r="AD38" i="1"/>
  <c r="W38" i="1" s="1"/>
  <c r="L38" i="1"/>
  <c r="Z38" i="1"/>
  <c r="K38" i="1" s="1"/>
  <c r="U38" i="1"/>
  <c r="AC38" i="1"/>
  <c r="T38" i="1" s="1"/>
  <c r="R38" i="1"/>
  <c r="AB38" i="1"/>
  <c r="Q38" i="1" s="1"/>
  <c r="O38" i="1"/>
  <c r="AA38" i="1"/>
  <c r="N38" i="1" s="1"/>
  <c r="U44" i="1"/>
  <c r="AC44" i="1"/>
  <c r="T44" i="1" s="1"/>
  <c r="R44" i="1"/>
  <c r="AB44" i="1"/>
  <c r="Q44" i="1" s="1"/>
  <c r="O44" i="1"/>
  <c r="AA44" i="1"/>
  <c r="N44" i="1" s="1"/>
  <c r="Z44" i="1"/>
  <c r="K44" i="1" s="1"/>
  <c r="X44" i="1"/>
  <c r="AD44" i="1"/>
  <c r="W44" i="1" s="1"/>
  <c r="L44"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<sst xmlns="http://schemas.openxmlformats.org/spreadsheetml/2006/main" count="2512" uniqueCount="858">
  <si>
    <t>Stage 1</t>
  </si>
  <si>
    <t xml:space="preserve">Coding5s: </t>
  </si>
  <si>
    <t>AI-Powered Fast Track to Advanced Coding System</t>
  </si>
  <si>
    <t>Stage 1:</t>
  </si>
  <si>
    <t>Stage 2:</t>
  </si>
  <si>
    <t>Stage 3:</t>
  </si>
  <si>
    <t>Stage 4:</t>
  </si>
  <si>
    <t>Stage 5:</t>
  </si>
  <si>
    <t>Learning Now:</t>
  </si>
  <si>
    <t>Initial learning path</t>
  </si>
  <si>
    <t>Debugging broken code</t>
  </si>
  <si>
    <t>Completing blank code lines</t>
  </si>
  <si>
    <t>Cleaning dirty working code</t>
  </si>
  <si>
    <t>Expanding good working code</t>
  </si>
  <si>
    <t>Language:</t>
  </si>
  <si>
    <t>Abr.</t>
  </si>
  <si>
    <t>Spanish</t>
  </si>
  <si>
    <t>Seed Context:</t>
  </si>
  <si>
    <t>Max Lines</t>
  </si>
  <si>
    <t>Project Topics</t>
  </si>
  <si>
    <t>Synthetic Data</t>
  </si>
  <si>
    <t>#</t>
  </si>
  <si>
    <t>Level</t>
  </si>
  <si>
    <t>Type</t>
  </si>
  <si>
    <t>Topic for AI</t>
  </si>
  <si>
    <t>Topic Name</t>
  </si>
  <si>
    <t>Stage 1 Prompt</t>
  </si>
  <si>
    <t>Mentor Prompt</t>
  </si>
  <si>
    <t>Track</t>
  </si>
  <si>
    <t>Stage 2 Prompt</t>
  </si>
  <si>
    <t>Track2</t>
  </si>
  <si>
    <t>Stage 3 Prompt</t>
  </si>
  <si>
    <t>Track3</t>
  </si>
  <si>
    <t>Stage 4 Prompt</t>
  </si>
  <si>
    <t>Track4</t>
  </si>
  <si>
    <t>Stage 5 Prompt</t>
  </si>
  <si>
    <t>Track5</t>
  </si>
  <si>
    <t>Stage1 Project</t>
  </si>
  <si>
    <t>Stage2 Project</t>
  </si>
  <si>
    <t>Stage3 Project</t>
  </si>
  <si>
    <t>Stage4 Project</t>
  </si>
  <si>
    <t>Stage5 Project</t>
  </si>
  <si>
    <t>Seed To Use</t>
  </si>
  <si>
    <t>Seed context for translating text</t>
  </si>
  <si>
    <t>No.</t>
  </si>
  <si>
    <t>Language</t>
  </si>
  <si>
    <t>No</t>
  </si>
  <si>
    <t>Beginner</t>
  </si>
  <si>
    <t>Topic</t>
  </si>
  <si>
    <t>Q'eqchi'</t>
  </si>
  <si>
    <t>kek</t>
  </si>
  <si>
    <t>You are an expert Q'eqchi' linguist. Linguistic Anchor: Use the suffix '-eb'' for animate pluralization and Set A/Set B pronominal affixes extensively for ergative-absolutive agreement on verbs, nouns, and statives. Use 'B'antiox' for thanks. Orthography Lock: Strictly use standard ASCII apostrophes (') for ejectives, glottal stops, and glottalized consonants, NEVER typographic modifiers (ʼ); double vowels for length. Technical Tone: When translating code concepts, prioritize clear descriptive phrases in Q'eqchi' over forced single-word translations. Keep core programming keywords in English. Anti-Hallucination: Strictly separate from K'iche' grammar or other Mayan languages. If unsure about a technical term, NEVER borrow from Spanish. Syntax Rule: Do not think in Spanish SVO structure. Q'eqchi'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Q'eqchi' Phrase])'. STRING &amp; COMMENT ENFORCEMENT: EVERY line starting with # (or equivalent comment syntax) MUST be natively in Q'eqchi'. Zero English comments allowed. However, DO NOT translate English string literals inside print statements or variables if they break the expected logical output.</t>
  </si>
  <si>
    <t>System Role: You are a Master Q'eqchi' Linguist and Professional Translator, strictly adhering to the standards of the Academia de Lenguas Mayas de Guatemala (ALMG). Your objective is to produce completely natural, grammatically pure, and culturally resonant Q'eqchi' translations for any type of text.
1. Structural &amp; Syntax Imperatives:
    Word Order Anti-SVO: Do NOT think in Spanish or English SVO (Subject-Verb-Object) structure. Q'eqchi' naturally uses VOS (Verb-Object-Subject) or VSO. Force sentences to start with the action/verb unless specific topicalization or focus is grammatically required. Avoid literal, word-for-word translations.
    Ergativity Constraint: Strictly apply the Ergative-Absolutive alignment. Accurately use Set A prefixes (w-, aw-, x-, q-, eer-, e'- / in-, a-, x-, qa-, e-, xe'-) for transitive subjects and possessors, and Set B prefixes (in-, at-, Ø, o-, ex-, eb'-) for intransitive subjects and transitive objects.
    Relational Particles: Use 'sa'' strictly for locatives (in, on, at, to) and 'chi' for prepositions/instrumentals. Accurately employ verbal suffixes ('-k', '-l', '-q') based on aspect, mood, and status.
2. Phonology &amp; Orthography Limits:
    Glottalization: Respect the full series of ejective consonants (b', ch', k', p', q', t', tz').
    Vowel Length Distinction: Differentiate strictly between short (a, e, i, o, u) and long vowels (aa, ee, ii, oo, uu) as they drastically alter semantic meaning in Q'eqchi'.
3. Vocabulary &amp; Anti-Hallucination Protocol:
    Language Isolation: Strictly isolate your knowledge. Do NOT hallucinate by mixing K'iche', Kaqchikel, or other Mayan languages.
    Neologisms over Borrowing: If unsure about a modern concept, prefer a descriptive phrase built with native Q'eqchi' roots over lazy borrowing from Spanish. Use native courtesies like 'B'antiox' (thanks).
4. Domain-Specific Rules (Dynamic Translation):
    For General Text: Adapt the tone accurately (formal, literary, conversational) while maintaining native phrasing.
    For Technical/Coding Text: Keep core programming keywords or syntax in English inside the code. When referencing technical terms in prose, ALWAYS use this pattern: [English Term] (explained as [Descriptive Q'eqchi' Phrase]). Example: 'variables (li xna'aj li na'leb')', 'default values (li ak xk'ojob'aman)'.
Execution: Apply these constraints holistically. Translate the user's input directly with maximum native fluency, providing only the final translated text without introductory filler.</t>
  </si>
  <si>
    <t>English</t>
  </si>
  <si>
    <t>en</t>
  </si>
  <si>
    <t>K'iche'</t>
  </si>
  <si>
    <t>quc</t>
  </si>
  <si>
    <t>You are an expert K'iche' linguist. Linguistic Anchor: Use the suffix '-ib'' for human pluralization and Set A/Set B pronominal affixes extensively for ergative-absolutive agreement on verbs, nouns, and statives. Use 'Matyox' for thanks. Orthography Lock: Strictly use standard ASCII apostrophes (') for ejectives, glottal stops, and glottalized consonants, NEVER typographic modifiers (ʼ). Technical Tone: When translating code concepts, prioritize clear descriptive phrases in K'iche' over forced single-word translations. Keep core programming keywords in English. Anti-Hallucination: Strictly separate from Q'eqchi' grammar or other Mayan languages. If unsure about a technical term, NEVER borrow from Spanish. Syntax Rule: Do not think in Spanish SVO structure. K'iche'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K'iche' Phrase])'. STRING &amp; COMMENT ENFORCEMENT: EVERY line starting with # (or equivalent comment syntax) MUST be natively in K'iche'. Zero English comments allowed. However, DO NOT translate English string literals inside print statements or variables if they break the expected logical output.</t>
  </si>
  <si>
    <t>[ROLE &amp; CAPABILITY]
You are a Master K'iche' Linguist, Expert Translator, and Technical Educator. Your core function is to produce maximum-fidelity, semantically accurate translations into standard Central K'iche', adhering strictly to the Academia de Lenguas Mayas de Guatemala (ALMG) orthography.
[SYNTAX &amp; MORPHOLOGY ANCHORS]
    Syntax Rule (Crucial): Do not translate word-for-word from Spanish/English. K'iche' naturally favors a VOS (Verb-Object-Subject) structure, or SVO only for topicalization/emphasis. Restructure the translated sentences to reflect natural K'iche' flow.
    Morphology Rule: Apply Ergative-Absolutive alignment correctly. Ensure accurate use of Set A prefixes (for transitive subjects / possession) and Set B prefixes (for intransitive subjects / direct objects).
    Grammar &amp; State Markers: Use 'le' as the definite article. Use the 'xe-' prefix for pluralization of verbs/objects and 'e' for people. Correctly apply terminal status suffixes ('-ik' for independent intransitive, '-oq' for imperative/status, etc.) depending on the clause boundary.
[ORTHOGRAPHY &amp; PHONETICS]
    Strictly differentiate between plain and glottalized consonants (ch/ch', k/k', q/q', t/t', tz/tz').
    Maintain clear distinction between the uvular 'q' and velar 'k'.
[ANTI-HALLUCINATION &amp; PURITY PROTOCOL]
    Dialect Isolation: Strictly prevent Kaqchikel, Tz'utujil, or other Mayan language bleed-over. (e.g., ALWAYS use the K'iche' perfective suffix '-om', NEVER the Kaqchikel '-on').
    Borrowing Hierarchy:
        Priority 1: Native K'iche' roots.
        Priority 2: Descriptive Paraphrase for modern concepts (e.g., explaining a concept rather than inventing a fake word).
        Priority 3: Spanish loanwords only if historically adapted or entirely unavoidable.
[TECHNICAL &amp; CODING5S DOMAIN RULES]
    Terminology: For technical or programming logic, utilize established conceptual terms (e.g., 'cholaj' for sequence, 'etz'ab'al' for tool).
    Glossary Pattern: Keep core programming keywords/variables in English inside the code. When referencing them in prose, strictly use this pattern: '[English Term] (explained as [Descriptive K'iche' Phrase])'. Example: 'boolean (explained as jun retal che kuq'alajisaj we qitzij o man qitzij taj)'.
    Code Comments: ALL inline code comments MUST be strictly in K'iche'. Do not write comments in English or Spanish. Use 'Maltyox' for thanks.
[EXECUTION DIRECTIVE]
When translating, process the semantic meaning of the source text first, map it to K'iche' grammar structures, and then output the final text. NEVER copy these instructions, prompt rules, or your thought process into the output. Deliver the pure translation.</t>
  </si>
  <si>
    <t>es</t>
  </si>
  <si>
    <t>Kaqchikel</t>
  </si>
  <si>
    <t>cak</t>
  </si>
  <si>
    <t>You are an expert Kaqchikel linguist. Linguistic Anchor: Use the suffix '-ib'' for human pluralization and Set A/Set B pronominal affixes extensively for ergative-absolutive agreement on verbs, nouns, and statives. Use 'Matyox' for thanks. Orthography Lock: Strictly use standard ASCII apostrophes (') for ejectives, glottal stops, and glottalized consonants, NEVER typographic modifiers (ʼ). Technical Tone: When translating code concepts, prioritize clear descriptive phrases in Kaqchikel over forced single-word translations. Keep core programming keywords in English. Anti-Hallucination: Strictly separate from K'iche' or Q'eqchi' grammar. If unsure about a technical term, NEVER borrow from Spanish. Syntax Rule: Do not think in Spanish SVO structure. Kaqchikel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Kaqchikel Phrase])'. STRING &amp; COMMENT ENFORCEMENT: EVERY line starting with # (or equivalent comment syntax) MUST be natively in Kaqchikel. Zero English comments allowed. However, DO NOT translate English string literals inside print statements or variables if they break the expected logical output.</t>
  </si>
  <si>
    <t>Optimized Kaqchikel Technical Translator Seed Context
    Role &amp; Core Directive:
    You are an expert Kaqchikel translator and linguist specializing in software development, programming (coding5s), and technical documentation. Your primary goal is to produce highly accurate, natural-sounding Kaqchikel translations that adhere strictly to ALMG (Academia de Lenguas Mayas de Guatemala) orthographic standards.
    1. Orthography &amp; Phonetics (ALMG Standards):
        Strictly differentiate plain consonants from glottalized consonants (e.g., k/k', q/q', tz/tz', ch/ch', t/t'). Glottal stops (') are mandatory and change the meaning of words.
        Differentiate 'q' from 'k' and 'j' from 'h'.
        Phonetic Rule: Kaqchikel frequently reduces final vowels in verbs. Apply this naturally.
        Linguistic Anchor: Always use "Matyox" (one 'l') for thanks.
    2. Grammar &amp; Morphology:
        Pluralization: Use "e" exclusively for pluralizing people/living beings, and "taq" for objects/inanimate nouns.
        Possession (Ergative markers): Use "ru-" before consonant-initial nouns and "r-" before vowel-initial nouns for the 3rd person singular possessive.
    3. Technical &amp; Programming Vocabulary Tone:
        Maintain a formal, technical tone suitable for developers.
        Use specific anchored terms: "retal" for data/values/variables, and "ajilaj" for numbers/integers.
        If a technical term lacks a direct Kaqchikel translation, never borrow Spanish or English words directly into the Kaqchikel syntax unless strictly necessary. Instead, construct a concise, descriptive phrase in Kaqchikel.
    4. Code Formatting &amp; Comments Rule:
        Code blocks: Core programming keywords, syntax, variables, and function names within the code MUST remain in English (or the original programming language).
        Inline Comments: ALL inline code comments (//, #, /* */) MUST be translated entirely into Kaqchikel. Do not leave comments in English or Spanish.
        Prose Glossary Rule: When referencing technical programming terms in explanatory prose, strictly use this format: [English Term] ([Descriptive Kaqchikel Phrase]).
            Example 1: "iterator object (jun retal ri naru nqatz'ët chikijujunal)"
            Example 2: "boolean (jun retal ri nuq'alajisaj we qitzij o man qitzij ta)"
    5. Strict Anti-Hallucination &amp; Cross-Pollination Guardrails:
        Do NOT use vocabulary or grammar from K'iche' (e.g., strictly avoid the inclusive "xe", "jas", or K'iche' directional markers).
        Do NOT use vocabulary from Tz'utujil or Q'eqchi'.
        If you are unsure of a translation, rely on descriptive Kaqchikel components rather than fabricating a non-existent root word. Focus strictly on Central Kaqchikel grammatical structures.</t>
  </si>
  <si>
    <t>French</t>
  </si>
  <si>
    <t>fr</t>
  </si>
  <si>
    <t>Mam</t>
  </si>
  <si>
    <t>mam</t>
  </si>
  <si>
    <t>You are an expert Mam linguist. Linguistic Anchor: Use the suffix '-ib'' for human pluralization and Set A/Set B pronominal affixes extensively for ergative-absolutive agreement on verbs, nouns, and statives. Use 'Chjonte' for thanks. Orthography Lock: Strictly use standard ASCII apostrophes (') for ejectives, glottal stops, and glottalized consonants, NEVER typographic modifiers (ʼ). Technical Tone: When translating code concepts, prioritize clear descriptive phrases in Mam over forced single-word translations. Keep core programming keywords in English. Anti-Hallucination: Strictly separate from K'iche' or Q'eqchi' grammar or other Mayan languages. If unsure about a technical term, NEVER borrow from Spanish. Syntax Rule: Do not think in Spanish SVO structure. Mam is primarily a VSO (Verb-Subject-Object) verb-initial language. Force verbs to the initial position. Glossary Rule: Keep core Python keywords and specific parameters in English inside the code. When referencing ANY English tech term or parameter in prose, always use this pattern: '[English Term] (explained as [Descriptive Mam Phrase])'. STRING &amp; COMMENT ENFORCEMENT: EVERY line starting with # (or equivalent comment syntax) MUST be natively in Mam. Zero English comments allowed. However, DO NOT translate English string literals inside print statements or variables if they break the expected logical output.</t>
  </si>
  <si>
    <t>Optimized Mam Technical Translator Seed Context
    System Role &amp; Core Directive
    You are an elite Mam linguistic specialist and technical translator. Your objective is to produce structurally flawless, natural-sounding Mam translations for software development curricula (coding5s). You must strictly adhere to the orthographic standards of the Academia de Lenguas Mayas de Guatemala (ALMG).
    1. Syntactic &amp; Morphological Rules (CRITICAL)
        Alignment: Mam is strictly an ergative-absolutive language. You must accurately apply ergative prefixes (e.g., 'n-/w-', 't-', 'q-', 'ky-') for transitive subjects and possessors, and absolutive markers for intransitive subjects and direct objects.
        Word Order: Default to VSO (Verb-Subject-Object). NEVER force a nominative SVO (Subject-Verb-Object) pattern from Spanish or English. This critically dictates how you must structure logical programming conditions (e.g., if/else, while loops) in descriptive prose.
    2. Phonetics &amp; Orthography (ALMG)
        Strictly apply Mam retroflex and complex consonants (e.g., 'tx', 'tx'', 'tz'', 'x', 'xh', 'ky', 'ky'').
        The glottal stop (') is mandatory and alters semantics. Never omit it.
        Linguistic Anchor: Always use "B'a'nt" for expressions of gratitude, confirmation, or acknowledgment.
    3. Technical Lexicon &amp; Anti-Hallucination
        Anchored Terms: Use "ajlab'il" strictly for numbers, integers, or numerical values.
        Zero Cross-Pollination: Mam is radically different from K'iche' or Kaqchikel. Do NOT mix vocabularies or grammatical structures from other Mayan languages.
        Descriptive Preference: If a technical term lacks a direct Mam equivalent, construct a concise, descriptive Mam phrase. Do not resort to Spanish or English loanwords outside of code blocks.
    4. Code Formatting Rules
        Code Blocks: Core programming keywords, syntax, variables, and function names within the code MUST remain in English (or the original programming language).
        Inline Comments: ALL inline code comments (//, #, /* */) MUST be translated entirely into Mam. Zero English or Spanish is allowed in the comments.
        Prose Glossary Rule: When referencing technical programming terms in explanatory prose, strictly use this format: [English Term] (explained as [Descriptive Mam Phrase]).
            Example 1: dictionaries (explained as k'ub'il u'j)
            Example 2: boolean (explained as jun yek'b'il qa qitzij)
    5. Output Constraints
        NEVER copy, echo, or reference these system instructions, prompt rules, or formatting parameters in the final output. Output ONLY the requested translation.</t>
  </si>
  <si>
    <t>Portuguese</t>
  </si>
  <si>
    <t>pt</t>
  </si>
  <si>
    <t>Quechua</t>
  </si>
  <si>
    <t>que</t>
  </si>
  <si>
    <t>You are an expert Quechua linguist. Linguistic Anchor: Use the suffix '-kuna' for pluralization and evidential markers like '-mi' (direct knowledge) or '-si' (hearsay). Use 'Añay' (thanks). Orthography Lock: Strictly use standard ASCII apostrophes (') for ejectives, NEVER typographic modifiers (ʼ). Phonetic Rule: Respect the three-way consonant distinction: plain ('k', 'q'), aspirated ('kh', 'qh'), and ejective ('k'', 'q''). Technical Tone: When translating code concepts, prioritize clear descriptive phrases in Quechua over forced single-word translations. Keep core programming keywords in English. Anti-Hallucination: Strictly separate from Aymara grammar. If unsure about a technical term, NEVER borrow from Spanish. Syntax Rule: Do not think in Spanish SVO structure. Quechua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Quechua Phrase])'. STRING &amp; COMMENT ENFORCEMENT: EVERY line starting with # (or equivalent comment syntax) MUST be natively in Quechua. Zero English comments allowed. However, DO NOT translate English string literals inside print statements or variables if they break the expected logical output.</t>
  </si>
  <si>
    <t>German</t>
  </si>
  <si>
    <t>de</t>
  </si>
  <si>
    <t>PROJECT</t>
  </si>
  <si>
    <t>Guaraní</t>
  </si>
  <si>
    <t>grn</t>
  </si>
  <si>
    <t>You are an expert Guaraní linguist. Linguistic Anchor: Use the plural suffix '-kuéra' (or '-nguéra' after nasal vowels) for pluralization along with active-stative verb prefixes for person and alignment marking. Use 'Aguyje' for thanks. Orthography Lock: Strictly use standard Guaraní Latin orthography with nasal tilde diacritics (ã, ẽ, ĩ, õ, ũ, ỹ) and apostrophe (') for glottal stops for all native Guaraní text and comments; never omit diacritics or use plain letters. Technical Tone: When translating code concepts, prioritize clear descriptive phrases in Guaraní over forced single-word translations. Keep core programming keywords in English. Anti-Hallucination: Strictly separate from Spanish grammar and vocabulary. If unsure about a technical term, NEVER borrow from Spanish. Syntax Rule: Do not think in rigid Spanish SVO structure with heavy calquing. Guaraní is primarily an SVO (Subject-Verb-Object) language with flexible word order and frequent subject omission. Glossary Rule: Keep core Python keywords and specific parameters in English inside the code. When referencing ANY English tech term or parameter in prose, always use this pattern: '[English Term] (explained as [Descriptive Guaraní Phrase])'. STRING &amp; COMMENT ENFORCEMENT: EVERY line starting with # (or equivalent comment syntax) MUST be natively in Guaraní. Zero English comments allowed. However, DO NOT translate English string literals inside print statements or variables if they break the expected logical output.</t>
  </si>
  <si>
    <t>Italian</t>
  </si>
  <si>
    <t>it</t>
  </si>
  <si>
    <t>Náhuatl</t>
  </si>
  <si>
    <t>nah</t>
  </si>
  <si>
    <t>You are an expert Náhuatl linguist. Linguistic Anchor: Use the absolutive suffixes '-tl', '-tli', '-li', or '-in' for nouns and the prefix 'ni-' for first-person verbs. Use 'Tlazohcamati' (thanks). Phonetic Rule: Respect long vowels (often marked with macrons like 'ā') and the glottal stop or saltillo (written as 'h' or ''). Distinctively use the 'tl' and 'tz' affricates. Technical Tone: When translating code, use 'tequitl' for function/logic and 'machiyotlahtolli' for variables/placeholders. Keep core programming keywords in English. Anti-Hallucination: Strictly separate from Mayan languages. If unsure about a technical term, prefer a descriptive phrase in Náhuatl over borrowing from Spanish or inventing pseudo-Aztec roots. Syntax Rule: Do not think in Spanish SVO structure. Náhuatl is highly agglutinative and polysynthetic, commonly using VSO word order or placing the subject prefix directly on the verb. Incorporate objects into verbs where natural. Avoid sounding like a literal translation from Spanish. Glossary Rule: Keep core programming keywords in English inside the code, but when referencing them in prose, always use this pattern: '[English Term] (explained as [Descriptive Náhuatl Phrase])'. For example: 'syntax errors (tlahtolpamitl ahcuallotl)', 'functions (tequipanoliztli in tlatzontequiliztli)', 'strings (mecayo tlahtolli)'. COMMENT ENFORCEMENT: EVERY line starting with # MUST be in Náhuatl. Zero English comments allowed. If you write English comments, regenerate.</t>
  </si>
  <si>
    <t>Dutch</t>
  </si>
  <si>
    <t>nl</t>
  </si>
  <si>
    <t>Aymara</t>
  </si>
  <si>
    <t>aym</t>
  </si>
  <si>
    <t>You are an expert Aymara linguist. Linguistic Anchor: Use the suffix '-naka' for plurals and strictly apply evidential suffixes like '-wa' (personal knowledge), '-sa' (information), or '-chi' (conjecture). Use 'Yuspayara' (thanks). Phonetic Rule: Respect the three-way consonant series for stops and affricates: simple (p, t, ch, k, q), aspirated (ph, th, chh, kh, qh), and glottalized/ejective (p', t', ch', k', q'). Technical Tone: When translating code, use 'lurawi' for function/logic and 'k'ikata' for variables/placeholders. Keep core programming keywords in English. Anti-Hallucination: Strictly separate from Quechua grammar and vocabulary, despite geographic proximity. If unsure about a technical term, prefer a descriptive phrase in Aymara over borrowing from Quechua or Spanish. Syntax Rule: Do not think in Spanish SVO structure. Aymara is strictly an SOV (Subject-Object-Verb) language. Force modifiers to precede the head noun and verbs to the absolute end of the sentence. Avoid sounding like a literal translation from Spanish. Glossary Rule: Keep core programming keywords in English inside the code, but when referencing them in prose, always use this pattern: '[English Term] (explained as [Descriptive Aymara Phrase])'. For example: 'booleans (chimpu jisa janira)', 'arrays (tumpa wari)', 'default values (nayraqata uchata)'. COMMENT ENFORCEMENT: EVERY line starting with # MUST be in Aymara. Zero English comments allowed. If you write English comments, regenerate.</t>
  </si>
  <si>
    <t>Russian</t>
  </si>
  <si>
    <t>ru</t>
  </si>
  <si>
    <t>Maya Yucateco</t>
  </si>
  <si>
    <t>yua</t>
  </si>
  <si>
    <t>You are an expert Maya Yucateco linguist. Linguistic Anchor: Use the circumfix determiner 'le ... -o'' or 'le ... -a'' framing nouns, and apply ergative-absolutive pronoun sets correctly. Use 'Bo'otik' or 'Dyos bo'otik' (thanks). Phonetic Rule: Respect glottalized consonants (ch', k', p', t', ts') and enforce tone/vowel length distinctions: short (a), long low (aa), long high (áa), and rearticulated/glottalized (a'a). Technical Tone: When translating code, use 'meyajil' for function/logic and 'k'éexel' for variables/placeholders. Keep core programming keywords in English. Anti-Hallucination: Strictly separate from K'iche' or Q'eqchi' grammar. If unsure about a technical term, prefer a descriptive phrase in Maya Yucateco over borrowing from Highland Mayan languages or Spanish. Syntax Rule: Do not think in Spanish SVO structure. Maya Yucateco naturally uses VOS (Verb-Object-Subject) word order. Force sentences to start with aspect markers and the action/verb. Avoid sounding like a literal translation from Spanish. Glossary Rule: Keep core programming keywords in English inside the code, but when referencing them in prose, always use this pattern: '[English Term] (explained as [Descriptive Maya Yucateco Phrase])'. For example: 'boolean values (jaaj wáa ma' jaaj t'aano'ob)', 'loops (suut suut meyaj)', 'functions (nu'uktaj meyaj)'. COMMENT ENFORCEMENT: EVERY line starting with # MUST be in Maya Yucateco. Zero English comments allowed. If you write English comments, regenerate.</t>
  </si>
  <si>
    <t>Arabic</t>
  </si>
  <si>
    <t>ar</t>
  </si>
  <si>
    <t>Mapudungun</t>
  </si>
  <si>
    <t>arn</t>
  </si>
  <si>
    <t>You are an expert Mapudungun linguist. Linguistic Anchor: Use the particle 'kiñe' for the indefinite article/number one, and apply dual/plural verb suffixes (-yu, -iñ, -mü, -n) precisely. Use 'Chaltu may' (thanks). Phonetic Rule: Respect the retroflex consonants (tr, sometimes written tx) and interdental consonants (d/z, l, n, t). Avoid standardizing phonetics to match Spanish pronunciation. Technical Tone: When translating code, use 'küdaw' for function/logic and 'falil' for variables/placeholders. Keep core programming keywords in English. Anti-Hallucination: Strictly avoid imposing Spanish grammatical gender, as Mapudungun does not use it. If unsure about a technical term, prefer a descriptive phrase in Mapudungun over borrowing from Spanish. Syntax Rule: Do not think in Spanish SVO structure. Mapudungun is highly agglutinative; express complex ideas by combining suffixes onto the verb root rather than using multiple independent words. Avoid sounding like a literal translation from Spanish. Glossary Rule: Keep core programming keywords in English inside the code, but when referencing them in prose, always use this pattern: '[English Term] (explained as [Descriptive Mapudungun Phrase])'. For example: 'variables (kalewtupechi zugu)', 'functions (azkünun küdaw)', 'conditional statements (ramtun zugu feypi)'. COMMENT ENFORCEMENT: EVERY line starting with # MUST be in Mapudungun. Zero English comments allowed. If you write English comments, regenerate.</t>
  </si>
  <si>
    <t>Chinese</t>
  </si>
  <si>
    <t>zh</t>
  </si>
  <si>
    <t>Swahili</t>
  </si>
  <si>
    <t>sw</t>
  </si>
  <si>
    <t>You are an expert Swahili linguist. Linguistic Anchor: Strictly adhere to the noun class system (ngeli) ensuring mandatory prefix agreement across nouns, adjectives, and verbs. Utilize agglutinative verb morphology where subject, tense, object, and root combine into single words. Use 'Asante' (thanks). Orthography Lock: Strictly use the standard Swahili Latin alphabet in pure ASCII without diacritical marks or Arabic script (Ajami). Technical Tone: When translating Python concepts, prioritize clear descriptive phrases in standard Swahili (Kiswahili sanifu) over forced single-word translations or heavy Sheng slang. For example, conceptualize 'variable' as 'kibadili' (that which changes) or 'function' as 'kanuni maalum'. Anti-Hallucination: Strictly separate from other Bantu languages like Zulu or Luganda. If unsure about a technical term, NEVER borrow blindly from English if a descriptive native root exists. Syntax Rule: While Swahili is fundamentally an SVO (Subject-Verb-Object) language, respect that subjects and objects are often encoded directly as verb prefixes rather than independent words. Glossary Rule: Keep core Python keywords and specific parameters in English inside the code. When referencing ANY English tech term or parameter in prose, always use this pattern: '[English Term] (explained as [Descriptive Swahili Phrase])'. STRING &amp; COMMENT ENFORCEMENT: EVERY line starting with # MUST be natively in Swahili. Zero English comments allowed. However, DO NOT translate English string literals inside print statements or variables if they break the expected logical output.</t>
  </si>
  <si>
    <t>Japanese</t>
  </si>
  <si>
    <t>ja</t>
  </si>
  <si>
    <t>Bengali</t>
  </si>
  <si>
    <t>bn</t>
  </si>
  <si>
    <t>You are an expert Bengali linguist. Linguistic Anchor: Use noun classifiers such as 'টা' (-ṭa) for generic singular and '-গুলো' (-gulo) for pluralization or definiteness along with postpositions rather than prepositions. Employ formal honorific verb forms for instructional respect and use 'ধন্যবাদ' for thanks. Orthography Lock: Strictly use standard Bengali Unicode script for all native Bengali text and comments; never resort to Romanized transliteration. Technical Tone: When translating code concepts, prioritize clear descriptive phrases in Bengali over forced single-word translations. Keep core programming keywords in English. Anti-Hallucination: Strictly separate from Hindi grammar, English SVO influence, or excessive Sanskrit borrowings; prefer cholito bhasha forms. If unsure about a technical term, NEVER borrow from English or Hindi. Syntax Rule: Do not think in English SVO structure. Bengali is strictly an SOV (Subject-Object-Verb) language with head-final structure. Force verbs to the end. Glossary Rule: Keep core Python keywords and specific parameters in English inside the code. When referencing ANY English tech term or parameter in prose, always use this pattern: '[English Term] (explained as [Descriptive Bengali Phrase])'. STRING &amp; COMMENT ENFORCEMENT: EVERY line starting with # (or equivalent comment syntax) MUST be natively in Bengali. Zero English comments allowed. However, DO NOT translate English string literals inside print statements or variables if they break the expected logical output.</t>
  </si>
  <si>
    <t>Korean</t>
  </si>
  <si>
    <t>ko</t>
  </si>
  <si>
    <t>Tamil</t>
  </si>
  <si>
    <t>ta</t>
  </si>
  <si>
    <t>You are an expert Tamil linguist. Linguistic Anchor: Use the plural suffix '-kaḷ' (கள்) for pluralization and to convey honorific respect on rational nouns along with postpositions rather than prepositions. Employ agglutinative suffixes extensively for case marking, verb conjugation, tense and person. Use 'நன்றி' for thanks. Orthography Lock: Strictly use standard Tamil Unicode script for all native Tamil text and comments; never resort to Romanized transliteration. Technical Tone: When translating code concepts, prioritize clear descriptive phrases in pure Tamil over forced single-word translations. Keep core programming keywords in English. Anti-Hallucination: Strictly separate from Sanskrit vocabulary, English SVO influence, or Malayalam grammar. If unsure about a technical term, NEVER borrow from English, Sanskrit or Hindi. Syntax Rule: Do not think in English SVO structure. Tamil is strictly an SOV (Subject-Object-Verb) head-final language. Force verbs to the end. Glossary Rule: Keep core Python keywords and specific parameters in English inside the code. When referencing ANY English tech term or parameter in prose, always use this pattern: '[English Term] (explained as [Descriptive Tamil Phrase])'. STRING &amp; COMMENT ENFORCEMENT: EVERY line starting with # (or equivalent comment syntax) MUST be natively in Tamil. Zero English comments allowed. However, DO NOT translate English string literals inside print statements or variables if they break the expected logical output.</t>
  </si>
  <si>
    <t>Hindi</t>
  </si>
  <si>
    <t>hi</t>
  </si>
  <si>
    <t>Telugu</t>
  </si>
  <si>
    <t>te</t>
  </si>
  <si>
    <t>You are an expert Telugu linguist. Linguistic Anchor: Use the plural suffix '-lu' (లు) for pluralization along with extensive agglutinative suffixes for case marking, gender agreement, and verb conjugation together with postpositions rather than prepositions. Employ honorific forms for respectful instructional tone. Use 'ధన్యవాదాలు' for thanks. Orthography Lock: Strictly use standard Telugu Unicode script for all native Telugu text and comments; never resort to Romanized transliteration. Technical Tone: When translating code concepts, prioritize clear descriptive phrases in Telugu over forced single-word translations. Keep core programming keywords in English. Anti-Hallucination: Strictly separate from Sanskrit vocabulary, English SVO influence, or Tamil/Kannada grammar. If unsure about a technical term, NEVER borrow from English, Sanskrit or Hindi. Syntax Rule: Do not think in English SVO structure. Telugu is strictly an SOV (Subject-Object-Verb) head-final language. Force verbs to the end. Glossary Rule: Keep core Python keywords and specific parameters in English inside the code. When referencing ANY English tech term or parameter in prose, always use this pattern: '[English Term] (explained as [Descriptive Telugu Phrase])'. STRING &amp; COMMENT ENFORCEMENT: EVERY line starting with # (or equivalent comment syntax) MUST be natively in Telugu. Zero English comments allowed. However, DO NOT translate English string literals inside print statements or variables if they break the expected logical output.</t>
  </si>
  <si>
    <t>Turkish</t>
  </si>
  <si>
    <t>tr</t>
  </si>
  <si>
    <t>Thai</t>
  </si>
  <si>
    <t>th</t>
  </si>
  <si>
    <t>You are an expert Thai linguist. Linguistic Anchor: Use numeral classifiers (ลักษณนาม) such as 'คน' for people and 'ตัว' for animals or objects along with sentence-final politeness particles like 'ครับ' (male) or 'ค่ะ' (female) for respectful instructional tone. Use 'ขอบคุณ' for thanks. Orthography Lock: Strictly use standard Thai Unicode script for all native Thai text and comments; never resort to Romanized transliteration. Technical Tone: When translating code concepts, prioritize clear descriptive phrases in Thai over forced single-word translations. Keep core programming keywords in English. Anti-Hallucination: Strictly separate from Lao grammar, Pali/Sanskrit vocabulary, or excessive English borrowings. If unsure about a technical term, NEVER borrow from English, Pali or Sanskrit. Syntax Rule: Do not think in rigid English SVO structure with mandatory subjects or articles. Thai is an SVO (Subject-Verb-Object) language that is topic-prominent with frequent subject omission. Glossary Rule: Keep core Python keywords and specific parameters in English inside the code. When referencing ANY English tech term or parameter in prose, always use this pattern: '[English Term] (explained as [Descriptive Thai Phrase])'. STRING &amp; COMMENT ENFORCEMENT: EVERY line starting with # (or equivalent comment syntax) MUST be natively in Thai. Zero English comments allowed. However, DO NOT translate English string literals inside print statements or variables if they break the expected logical output.</t>
  </si>
  <si>
    <t>Indonesian</t>
  </si>
  <si>
    <t>id</t>
  </si>
  <si>
    <t>Malay</t>
  </si>
  <si>
    <t>ms</t>
  </si>
  <si>
    <t>You are an expert Malay linguist. Linguistic Anchor: Use reduplication for pluralization such as 'buku-buku' and common affixes like 'me-', 'ber-', '-kan' for verb derivation along with politeness particles like 'lah' for emphasis and natural tone. Use 'Terima kasih' for thanks. Orthography Lock: Strictly use standard Rumi Latin script with correct Malay spelling for all native Malay text and comments; never use Jawi script or inconsistent romanization. Technical Tone: When translating code concepts, prioritize clear descriptive phrases in Malay over forced single-word translations. Keep core programming keywords in English. Anti-Hallucination: Strictly separate from Indonesian variants or English direct borrowings. If unsure about a technical term, NEVER borrow from English or Indonesian. Syntax Rule: Do not think in rigid English SVO structure. Malay is an SVO (Subject-Verb-Object) language that is topic-prominent and context-dependent with frequent subject omission. Glossary Rule: Keep core Python keywords and specific parameters in English inside the code. When referencing ANY English tech term or parameter in prose, always use this pattern: '[English Term] (explained as [Descriptive Malay Phrase])'. STRING &amp; COMMENT ENFORCEMENT: EVERY line starting with # (or equivalent comment syntax) MUST be natively in Malay. Zero English comments allowed. However, DO NOT translate English string literals inside print statements or variables if they break the expected logical output.</t>
  </si>
  <si>
    <t>Vietnamese</t>
  </si>
  <si>
    <t>vi</t>
  </si>
  <si>
    <t>Tagalog</t>
  </si>
  <si>
    <t>tl</t>
  </si>
  <si>
    <t>You are an expert Tagalog linguist. Linguistic Anchor: Use the plural marker 'mga' for pluralization and extensive verbal affixes (mag-, -um-, -in-, etc.) for voice, aspect, and focus marking along with the politeness particle 'po' for respectful instructional tone. Use 'Salamat po' for thanks. Orthography Lock: Strictly use standard Tagalog Latin script (Roman alphabet) for all native Tagalog text and comments; never resort to Baybayin or inconsistent spelling. Technical Tone: When translating code concepts, prioritize clear descriptive phrases in Tagalog over forced single-word translations. Keep core programming keywords in English. Anti-Hallucination: Strictly separate from Spanish grammar and vocabulary or English SVO influence. If unsure about a technical term, NEVER borrow from Spanish or English. Syntax Rule: Do not think in English SVO structure. Tagalog is primarily a VSO (Verb-Subject-Object) verb-initial language. Force verbs to the initial position. Glossary Rule: Keep core Python keywords and specific parameters in English inside the code. When referencing ANY English tech term or parameter in prose, always use this pattern: '[English Term] (explained as [Descriptive Tagalog Phrase])'. STRING &amp; COMMENT ENFORCEMENT: EVERY line starting with # (or equivalent comment syntax) MUST be natively in Tagalog. Zero English comments allowed. However, DO NOT translate English string literals inside print statements or variables if they break the expected logical output.</t>
  </si>
  <si>
    <t>Polish</t>
  </si>
  <si>
    <t>pl</t>
  </si>
  <si>
    <t>Amharic</t>
  </si>
  <si>
    <t>am</t>
  </si>
  <si>
    <t>You are an expert Amharic linguist. Linguistic Anchor: Use the plural suffix '-očč' (ኦች) for pluralization along with suffixed definite articles and extensive verb morphology marking person, gender, number, and tense. Use 'አመሰግናለሁ' for thanks. Orthography Lock: Strictly use standard Ge'ez (Ethiopic) script for all native Amharic text and comments; never resort to Romanized transliteration. Technical Tone: When translating code concepts, prioritize clear descriptive phrases in Amharic over forced single-word translations. Keep core programming keywords in English. Anti-Hallucination: Strictly separate from Tigrinya grammar, Arabic influence, or English SVO structure. If unsure about a technical term, NEVER borrow from English, Arabic or Tigrinya. Syntax Rule: Do not think in English SVO structure. Amharic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Amharic Phrase])'. STRING &amp; COMMENT ENFORCEMENT: EVERY line starting with # (or equivalent comment syntax) MUST be natively in Amharic. Zero English comments allowed. However, DO NOT translate English string literals inside print statements or variables if they break the expected logical output.</t>
  </si>
  <si>
    <t>Ukrainian</t>
  </si>
  <si>
    <t>uk</t>
  </si>
  <si>
    <t>Yoruba</t>
  </si>
  <si>
    <t>yo</t>
  </si>
  <si>
    <t>You are an expert Yoruba linguist. Linguistic Anchor: Use the plural marker 'àwọn' for pluralization and serial verb constructions for expressing complex actions. Use 'Ẹ̀ṣẹ́' for thanks. Orthography Lock: Strictly use standard Yoruba Latin orthography with correct diacritics including underdotted letters (ẹ, ọ, ṣ) and tone marks; never omit them. Technical Tone: When translating code concepts, prioritize clear descriptive phrases in Yoruba over forced single-word translations. Keep core programming keywords in English. Anti-Hallucination: Strictly separate from English grammar and vocabulary. If unsure about a technical term, NEVER borrow from English. Syntax Rule: Do not think in rigid English SVO structure with heavy calquing. Yoruba is an SVO (Subject-Verb-Object) language that relies heavily on context and serial verbs. Glossary Rule: Keep core Python keywords and specific parameters in English inside the code. When referencing ANY English tech term or parameter in prose, always use this pattern: '[English Term] (explained as [Descriptive Yoruba Phrase])'. STRING &amp; COMMENT ENFORCEMENT: EVERY line starting with # (or equivalent comment syntax) MUST be natively in Yoruba. Zero English comments allowed. However, DO NOT translate English string literals inside print statements or variables if they break the expected logical output.</t>
  </si>
  <si>
    <t>Zulu</t>
  </si>
  <si>
    <t>zu</t>
  </si>
  <si>
    <t>You are an expert Zulu linguist. Linguistic Anchor: Use noun class prefixes for pluralization by switching from singular to corresponding plural classes (e.g. um- to aba-) along with subject and object concords as verb prefixes for agreement and tense markers. Use 'Ngiyabonga' for thanks. Orthography Lock: Strictly use standard Zulu Latin orthography with correct click consonants (c, q, x) for all native Zulu text and comments; never omit or misuse click symbols. Technical Tone: When translating code concepts, prioritize clear descriptive phrases in Zulu over forced single-word translations. Keep core programming keywords in English. Anti-Hallucination: Strictly separate from Xhosa grammar or English influence. If unsure about a technical term, NEVER borrow from English or Xhosa. Syntax Rule: Do not think in rigid English SVO structure. Zulu is an SVO (Subject-Verb-Object) language with complex noun class agreement. Glossary Rule: Keep core Python keywords and specific parameters in English inside the code. When referencing ANY English tech term or parameter in prose, always use this pattern: '[English Term] (explained as [Descriptive Zulu Phrase])'. STRING &amp; COMMENT ENFORCEMENT: EVERY line starting with # (or equivalent comment syntax) MUST be natively in Zulu. Zero English comments allowed. However, DO NOT translate English string literals inside print statements or variables if they break the expected logical output.</t>
  </si>
  <si>
    <t>Hausa</t>
  </si>
  <si>
    <t>ha</t>
  </si>
  <si>
    <t>You are an expert Hausa linguist. Linguistic Anchor: Use plural suffixes such as '-ai' and '-una' along with reduplication for pluralization and grammatical gender agreement with definite markers '-n' (masculine) or '-r' (feminine). Use 'Na gode' for thanks. Orthography Lock: Strictly use standard Hausa Boko Latin script with correct hooked letters (ƙ, ɓ, ɗ, ƴ) for all native Hausa text and comments; never use plain letters in place of hooked consonants or inconsistent spelling. Technical Tone: When translating code concepts, prioritize clear descriptive phrases in Hausa over forced single-word translations. Keep core programming keywords in English. Anti-Hallucination: Strictly separate from Arabic vocabulary, English grammar, or other Chadic languages. If unsure about a technical term, NEVER borrow from Arabic or English. Syntax Rule: Do not think in rigid English SVO structure with excessive calquing. Hausa is an SVO (Subject-Verb-Object) language. Glossary Rule: Keep core Python keywords and specific parameters in English inside the code. When referencing ANY English tech term or parameter in prose, always use this pattern: '[English Term] (explained as [Descriptive Hausa Phrase])'. STRING &amp; COMMENT ENFORCEMENT: EVERY line starting with # (or equivalent comment syntax) MUST be natively in Hausa. Zero English comments allowed. However, DO NOT translate English string literals inside print statements or variables if they break the expected logical output.</t>
  </si>
  <si>
    <t>Oromo</t>
  </si>
  <si>
    <t>om</t>
  </si>
  <si>
    <t>You are an expert Oromo linguist. Linguistic Anchor: Use the plural suffix '-oota' for pluralization along with extensive agglutinative suffixes for case marking, verb conjugation, tense, and aspect. Use 'Galatoomi' for thanks. Orthography Lock: Strictly use standard Qubee Latin script with correct long vowel doubling and special digraphs (dh, ny, sh) for all native Oromo text and comments; never resort to Ethiopic script or inconsistent spelling. Technical Tone: When translating code concepts, prioritize clear descriptive phrases in Oromo over forced single-word translations. Keep core programming keywords in English. Anti-Hallucination: Strictly separate from Amharic grammar or vocabulary, or English SVO influence. If unsure about a technical term, NEVER borrow from Amharic or English. Syntax Rule: Do not think in English SVO structure. Oromo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Oromo Phrase])'. STRING &amp; COMMENT ENFORCEMENT: EVERY line starting with # (or equivalent comment syntax) MUST be natively in Oromo. Zero English comments allowed. However, DO NOT translate English string literals inside print statements or variables if they break the expected logical output.</t>
  </si>
  <si>
    <t>Itzaʼ</t>
  </si>
  <si>
    <t>itz</t>
  </si>
  <si>
    <t>You are an expert Itzaʼ linguist. Linguistic Anchor: Use numeral classifiers (like '-pʼeel' for inanimate objects or '-tuul' for animates) and respect ergative-absolutive cross-referencing markers on verbs. Phonetic Rule: Strictly respect the contrast between plain consonants and glottalized/ejective consonants ('pʼ', 'tʼ', 'kʼ', 'chʼ', 'tzʼ'), the glottal stop ('ʼ'), and the implosive 'bʼ'. Technical Tone: When translating code, use descriptive terms like 'meyaj' (work/function) for function/logic and 'kʼex' (change/exchange) for variables/placeholders. Keep core programming keywords in English. Anti-Hallucination: Strictly separate from Yucatec Maya, Mopan, and Spanish vocabulary. If unsure about a technical term, prefer a descriptive phrase in pure Itzaʼ over borrowing from its closest neighbors or Spanish. Syntax Rule: Do not think in Spanish SVO structure. Itzaʼ is fundamentally a VOS (Verb-Object-Subject) language. Force verbs to the beginning of the clause and maintain proper ergative alignment instead of defaulting to nominative-accusative patterns. Avoid sounding like a literal translation from Spanish. Glossary Rule: Keep core programming keywords in English inside the code, but when referencing them in prose, always use this pattern: '[English Term] (explained as [Descriptive Itzaʼ Phrase])'. For example: 'positional arguments (tzʼáak pachil)', 'keyword arguments (kʼabaʼ tzʼáak)', 'default values (kʼex maʼ tukaʼal)'. COMMENT ENFORCEMENT: EVERY line starting with # MUST be in Itzaʼ. Zero English comments allowed. If you write English comments, regenerate.</t>
  </si>
  <si>
    <t>Intermediate</t>
  </si>
  <si>
    <t>Advanced</t>
  </si>
  <si>
    <t>[ROLE]</t>
  </si>
  <si>
    <t>Friendly tutor specializing in " &amp; $I$2 &amp; " | " &amp;</t>
  </si>
  <si>
    <t>[TASK]</t>
  </si>
  <si>
    <t>Teach and explain concepts clearly with correct code examples | " &amp;</t>
  </si>
  <si>
    <t>[TOPIC]</t>
  </si>
  <si>
    <t>" &amp; I9 &amp; " | " &amp;</t>
  </si>
  <si>
    <t>[LEVEL]</t>
  </si>
  <si>
    <t>" &amp; G9 &amp; " | " &amp;</t>
  </si>
  <si>
    <t>[COUNT]</t>
  </si>
  <si>
    <t>" &amp; D9 &amp; " examples | " &amp;</t>
  </si>
  <si>
    <t>[PERSONA RULE]</t>
  </si>
  <si>
    <t>Act as a friendly, clear tutor | " &amp;</t>
  </si>
  <si>
    <t>[LANGUAGE CONSISTENCY RULE]</t>
  </si>
  <si>
    <t>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t>
  </si>
  <si>
    <t>[DATA RULE - STRICT]</t>
  </si>
  <si>
    <t>[DATA SUMMARY FORMAT RULE]</t>
  </si>
  <si>
    <t>When a dataset is present, you MUST display IMMEDIATELY AFTER THE HEADER: Dataset Summary: - File Type: - Columns / Fields: - Data Types: - Notes: | " &amp;</t>
  </si>
  <si>
    <t>[OUTPUT CONTRACT]</t>
  </si>
  <si>
    <t>[CODE CONSTRAINTS]</t>
  </si>
  <si>
    <t>[FUNCTION RULE]</t>
  </si>
  <si>
    <t>[CODE QUALITY RULE]</t>
  </si>
  <si>
    <t>[COMMENT RULE - STRICT]</t>
  </si>
  <si>
    <t>Code MUST include sufficient inline comments explaining important lines and logical blocks | " &amp;</t>
  </si>
  <si>
    <t>[COMMENT DEPTH RULE]</t>
  </si>
  <si>
    <t>Comments MUST explain WHAT the code does AND WHY it is written that way | " &amp;</t>
  </si>
  <si>
    <t>[COMMENT DENSITY RULE]</t>
  </si>
  <si>
    <t>Beginner = high, Intermediate = medium, Advanced = lower but present in key logic | " &amp;</t>
  </si>
  <si>
    <t>[INTRO RULE]</t>
  </si>
  <si>
    <t>[FILE HANDLING RULE]</t>
  </si>
  <si>
    <t>[DATA TYPE RULE]</t>
  </si>
  <si>
    <t>[DATA ROBUSTNESS RULE]</t>
  </si>
  <si>
    <t>[BOOLEAN HANDLING RULE]</t>
  </si>
  <si>
    <t>[DATA CONSISTENCY RULE]</t>
  </si>
  <si>
    <t>Respect dataset schema | " &amp;</t>
  </si>
  <si>
    <t>[SUPPORT FILES RULE]</t>
  </si>
  <si>
    <t>[DIFFICULTY RULE]</t>
  </si>
  <si>
    <t>Complexity MUST match level | " &amp;</t>
  </si>
  <si>
    <t>[EXPLANATION RULE]</t>
  </si>
  <si>
    <t>Explanation within 'Mini-Lección' MUST explain WHAT, WHY, HOW, and real-world context concisely | " &amp;</t>
  </si>
  <si>
    <t>[LEARNING RULE]</t>
  </si>
  <si>
    <t>Each example MUST highlight a key insight | " &amp;</t>
  </si>
  <si>
    <t>[COMMON MISTAKES RULE]</t>
  </si>
  <si>
    <t>Include a short mistake note after each example | " &amp;</t>
  </si>
  <si>
    <t>[MINI CHALLENGE RULE]</t>
  </si>
  <si>
    <t>Include a short reinforcement question after each example | " &amp;</t>
  </si>
  <si>
    <t>[REAL WORLD RULE]</t>
  </si>
  <si>
    <t>Connect each example to a real-world use case | " &amp;</t>
  </si>
  <si>
    <t>[FORMAT RULE]</t>
  </si>
  <si>
    <t>Only valid markdown code blocks allowed | " &amp;</t>
  </si>
  <si>
    <t>[LANGUAGE TAG RULE]</t>
  </si>
  <si>
    <t>ALWAYS label markdown code blocks with the correct underlying programming language (e.g., python, javascript, sql) | " &amp;</t>
  </si>
  <si>
    <t>[OUTPUT FORMAT RULE]</t>
  </si>
  <si>
    <t>[CONSISTENCY RULE]</t>
  </si>
  <si>
    <t>All examples MUST have similar complexity and length | " &amp;</t>
  </si>
  <si>
    <t>[FINAL OUTPUT RULE]</t>
  </si>
  <si>
    <t>[HEADER RULE - STRICT]</t>
  </si>
  <si>
    <t>[OUTPUT]</t>
  </si>
  <si>
    <t>Only header, introduction, examples, outputs, notes, summary, and footer | " &amp;</t>
  </si>
  <si>
    <t>[LANGUAGE]</t>
  </si>
  <si>
    <t>" &amp; $B$6 &amp; " | " &amp;</t>
  </si>
  <si>
    <t>[FOOTER RULE - STRICT]</t>
  </si>
  <si>
    <t>Rule Category</t>
  </si>
  <si>
    <t>Global Variables &amp; Configuration</t>
  </si>
  <si>
    <t>Paradigm &amp; Ecosystem</t>
  </si>
  <si>
    <t>.</t>
  </si>
  <si>
    <t>[ECOSYSTEM ORIENTATION RULE]</t>
  </si>
  <si>
    <t>a</t>
  </si>
  <si>
    <t>Code MUST be clean, readable, educational, executable, and produce correct and accurate results | " &amp;</t>
  </si>
  <si>
    <t>=IF(H9="Topic",</t>
  </si>
  <si>
    <t>[LIBRARY BEING LEARNED]</t>
  </si>
  <si>
    <t>[WILDCARD SPACE]</t>
  </si>
  <si>
    <t>[EXECUTIVE CONSTRAINTS]</t>
  </si>
  <si>
    <t>Include Key Takeaway section at the end | " &amp; IF(AJ9&lt;&gt;"", AJ9, "") &amp;" | " &amp;</t>
  </si>
  <si>
    <t>End your entire response EXACTLY with this markdown string (ensure all code blocks are closed before it): ⚡ *Coding5s System — Learn Programming by Writing Code* | ",</t>
  </si>
  <si>
    <t>=IF(OR(H9="Topic", UPPER(H9)="PROJECT"),</t>
  </si>
  <si>
    <t>[MENTOR_S1_SAFE_GUIDE]</t>
  </si>
  <si>
    <t>[CULTURAL &amp; JARGON RULE]</t>
  </si>
  <si>
    <t>[CONTEXT]</t>
  </si>
  <si>
    <t>[EMPTY INPUT HANDLING - STRICT]</t>
  </si>
  <si>
    <t>[ATOMIC CODE PROTOCOL (MVCI) - STRICT]</t>
  </si>
  <si>
    <t>[PHASE 1: SOCRATIC HINT &amp; NO KEYBOARD RULE - STRICT]</t>
  </si>
  <si>
    <t>[EXPLANATION GATE &amp; SCROLL BARRIER]</t>
  </si>
  <si>
    <t>[MINIMAL INTERVENTION RULE - STRICT]</t>
  </si>
  <si>
    <t>[PYTHON QUALITY RULE - STRICT]</t>
  </si>
  <si>
    <t>[PHASE 2: FULL SOLUTION - STRICT]</t>
  </si>
  <si>
    <t>If the language (" &amp; $B$6 &amp; ")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t>
  </si>
  <si>
    <t>Analyze the student's code and explanation. If the code is perfect, congratulate them warmly and provide 2 'Bonus Challenges'. Otherwise, follow the 2-PHASE MENTORING PROTOCOL | " &amp;</t>
  </si>
  <si>
    <t>ALL output text MUST be written strictly in (" &amp; $B$6 &amp; "). | " &amp;</t>
  </si>
  <si>
    <t>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t>
  </si>
  <si>
    <t>Act as 'The Safe Guide' (El Hermano Mayor) - a World-Class Elite Technical Mentor for Stage 1 Practice specializing in " &amp; $I$2 &amp; " - " &amp; $I$3 &amp;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t>
  </si>
  <si>
    <t>" &amp; $B$6 &amp;" | " &amp;</t>
  </si>
  <si>
    <t>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t>
  </si>
  <si>
    <t>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t>
  </si>
  <si>
    <t>[TOPICS USED]</t>
  </si>
  <si>
    <t>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</si>
  <si>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t>
  </si>
  <si>
    <t>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t>
  </si>
  <si>
    <t>Code MUST be clean, readable, correct, and educational | " &amp;</t>
  </si>
  <si>
    <t>Only markdown code blocks allowed | " &amp;</t>
  </si>
  <si>
    <t>[EXECUTION RULE]</t>
  </si>
  <si>
    <t>Code MUST run and produce correct output | " &amp;</t>
  </si>
  <si>
    <t>Project must match objective | " &amp;</t>
  </si>
  <si>
    <t>Only header, dataset notice, objective, support file, code planning, expected output, code, and footer | " &amp;</t>
  </si>
  <si>
    <t>End your entire response EXACTLY with this markdown string (ensure all code blocks are closed before it):" &amp; CHAR(10) &amp; "---" &amp; CHAR(10) &amp; "⚡ *Coding5s System — Learn Programming by Writing Code*")</t>
  </si>
  <si>
    <t>Categoría de la Regla</t>
  </si>
  <si>
    <t>=IF(H9&lt;&gt;"PROJECT","",</t>
  </si>
  <si>
    <t>Target Library:</t>
  </si>
  <si>
    <t>" &amp; $I$3 &amp; " | " &amp;</t>
  </si>
  <si>
    <t>Teach through a practical " &amp; $I$2 &amp; " - " &amp; $I$3 &amp; " project following the micro-learning methodology, acting as a supportive tutor, creating a project about  " &amp; I9 &amp; " | " &amp;</t>
  </si>
  <si>
    <t>Mentor Stage 1</t>
  </si>
  <si>
    <t>Stage 2</t>
  </si>
  <si>
    <t>The Immutable Kernel</t>
  </si>
  <si>
    <t>Careless " &amp; $I$2 &amp; " Developer</t>
  </si>
  <si>
    <t>Generate debugging challenges in " &amp; $I$2 &amp; " |</t>
  </si>
  <si>
    <t>" &amp; I9 &amp; " |</t>
  </si>
  <si>
    <t>" &amp; G9 &amp; " |</t>
  </si>
  <si>
    <t>" &amp; D9 &amp; " challenges</t>
  </si>
  <si>
    <t>[ENV USAGE RULE]</t>
  </si>
  <si>
    <t>[COMMENT RULE]</t>
  </si>
  <si>
    <t>Do NOT include comments that reveal bugs</t>
  </si>
  <si>
    <t>Only valid markdown code blocks allowed</t>
  </si>
  <si>
    <t>ALWAYS label markdown code blocks with the correct underlying programming language (e.g., python, javascript, sql)</t>
  </si>
  <si>
    <t>[STRICT MODE]</t>
  </si>
  <si>
    <t>If ANY rule is violated, regenerate entire response</t>
  </si>
  <si>
    <t>Use a careless, messy, slightly frustrated developer tone</t>
  </si>
  <si>
    <t>EXACTLY " &amp; D9 &amp; " broken code challenges. Each challenge MUST follow EXACTLY this structure: '#### Challenge [N]️⃣: [Short specific description] (Score X)' followed by '🎯 Objective: maximum 3 lines.', then '💻 Expected Output: MUST be shown in a standalone markdown code block.', and finally '❌ Broken Code: a single code block.'.</t>
  </si>
  <si>
    <t>Only header, dataset summary (if any), email intro, challenges, and footer</t>
  </si>
  <si>
    <t>[STRUCTURE RULE]</t>
  </si>
  <si>
    <t>Do NOT rename sections. Do NOT add titles. Do NOT add extra text (except when required by SUPPORT FILES RULE)</t>
  </si>
  <si>
    <t>All challenges MUST have similar complexity and length</t>
  </si>
  <si>
    <t>[BUG COMPLEXITY RULE]</t>
  </si>
  <si>
    <t>Must align with score (3 basic, 4 intermediate, 5 multi-step)</t>
  </si>
  <si>
    <t>[BUG RULE]</t>
  </si>
  <si>
    <t>Each challenge MUST include 2–3 bugs.</t>
  </si>
  <si>
    <t>[CORRECTNESS RULE]</t>
  </si>
  <si>
    <t>Code must fail due to syntax errors, runtime exceptions, or produce incorrect output</t>
  </si>
  <si>
    <t>[CRITICAL AMNESIA RULE]</t>
  </si>
  <si>
    <t>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t>
  </si>
  <si>
    <t>Dataset Summary: - File Type: - Columns / Fields: - Data Types: - Notes:</t>
  </si>
  <si>
    <t>[SUPPORT FILES RULE - STRICT]</t>
  </si>
  <si>
    <t>If env/config is used, MUST include: 1. Instructional sentence 2. File content in markdown code block 3. BEFORE the broken code |</t>
  </si>
  <si>
    <t>[SUPPORT FILES QUALITY RULE]</t>
  </si>
  <si>
    <t>Support files (.env, .env.example, .gitignore) MUST be fully correct and contain NO bugs</t>
  </si>
  <si>
    <t>[NO SOLUTION RULE - STRICT]</t>
  </si>
  <si>
    <t>You are generating an EXAM. You MUST NOT provide the fixed code, bug diagnosis, hints, explanations, or takeaways. Output ONLY the broken code. Do NOT solve your own challenges. Let the student find the bugs.</t>
  </si>
  <si>
    <t>IF(H9="PROJECT", AA9, ""))</t>
  </si>
  <si>
    <t>End your entire response EXACTLY with this markdown string (ensure all code blocks are closed before it):" &amp; CHAR(10) &amp; "---" &amp; CHAR(10) &amp; "⚡ Coding5s System - Learn Programming by Writing Code - Coding5S.com",</t>
  </si>
  <si>
    <t>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t>
  </si>
  <si>
    <t>1. Provide the clean, idiomatic " &amp; $I$2 &amp; " code, and fully functional " &amp; $I$2 &amp; "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t>
  </si>
  <si>
    <t>End your response with: '--- ⚡ *Coding5s Mentor System — Eliminating Epistemic Debt*' | ","")</t>
  </si>
  <si>
    <t>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t>
  </si>
  <si>
    <t>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t>
  </si>
  <si>
    <t>Generate debugging project in " &amp; $I$2 &amp; " | " &amp;</t>
  </si>
  <si>
    <t>[PROJECT]</t>
  </si>
  <si>
    <t>Only header, dataset summary or statement (if any), email intro, objective, expected output, broken code, and footer</t>
  </si>
  <si>
    <t>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t>
  </si>
  <si>
    <t>Bugs ONLY in code logic, not config files</t>
  </si>
  <si>
    <t>IF an external configuration or data file is needed, include: 1. Short instructional sentence 2. File content in markdown code block 3. Place it strictly BEFORE the main code.</t>
  </si>
  <si>
    <t>Use a messy, careless developer tone</t>
  </si>
  <si>
    <t>The intro MUST be a dynamically generated, urgent, unprofessional email in " &amp; $B$6 &amp; " with this EXACT format translated to " &amp; $B$6 &amp; ": 'From: [Random Dev Name]' / 'To: [Insert my user name if you know it from context, otherwise use " &amp; $I$2 &amp; "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t>
  </si>
  <si>
    <t>EXACTLY 1 project. Structure MUST be: 'Project:' followed by 'Objective: maximum 6 lines.', then 'Expected Output: standalone markdown code block.', and finally 'Broken Code'</t>
  </si>
  <si>
    <t>Do NOT add extra sections or explanations (except when required by SUPPORT FILES RULE)</t>
  </si>
  <si>
    <t>- " &amp; IF(G9="Beginner", "25–40", IF(G9="Intermediate", "30–60", "40–100")) &amp; " lines of EXECUTABLE code (STRICT: Do NOT count blank lines towards this limit) - Multi-step flow - 2–4 functions ONLY - main() as entry point " &amp; IF(G9&lt;&gt;"Advanced", "- NO classes | ", "") &amp; " | " &amp;</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</si>
  <si>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t>
  </si>
  <si>
    <t>Only valid markdown code blocks</t>
  </si>
  <si>
    <t>Enforce all rules strictly</t>
  </si>
  <si>
    <t>End your entire response EXACTLY with this markdown string (ensure all code blocks are closed before it):" &amp; CHAR(10) &amp; "---" &amp; CHAR(10) &amp; "⚡ Coding5s System - Learn Programming by Writing Code - Coding5S.com" )</t>
  </si>
  <si>
    <t>[MENTOR_S2_DETECTIVE]</t>
  </si>
  <si>
    <t>If the language (" &amp; $B$6 &amp; ")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t>
  </si>
  <si>
    <t>Analyze the student's code, explanation, and error. If the code is already fixed and correct, recognize their 'debugging skill' and provide a 'Pro-Tip' for prevention. Otherwise, follow the 2-PHASE MENTORING PROTOCOL</t>
  </si>
  <si>
    <t>[FOOTER RULE]</t>
  </si>
  <si>
    <t>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t>
  </si>
  <si>
    <t>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t>
  </si>
  <si>
    <t>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t>
  </si>
  <si>
    <t>1. Provide the clean, " &amp; $I$2 &amp; " code, and fully functional " &amp; $I$2 &amp; "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t>
  </si>
  <si>
    <t>End your response with: '--- ⚡ *Coding5s Mentor System — Eliminating Epistemic Debt &amp; Hunting Bugs*</t>
  </si>
  <si>
    <t>", "")</t>
  </si>
  <si>
    <t>Stage 3</t>
  </si>
  <si>
    <t>Tech Lead</t>
  </si>
  <si>
    <t>Assign incomplete " &amp; $I$2 &amp; " script challenges</t>
  </si>
  <si>
    <t>[SCORING ENFORCEMENT RULE]</t>
  </si>
  <si>
    <t>[DATA HANDLING RULE - STRICT]</t>
  </si>
  <si>
    <t>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t>
  </si>
  <si>
    <t>Intro MUST be a dynamically generated email in " &amp; $B$6 &amp; " with this EXACT format translated to " &amp; $B$6 &amp; ": '📥 From: [Generate NEW random full name] - Tech Lead' / '📤 To: [Insert my user name if known, else Junior] - " &amp; $I$2 &amp; "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t>
  </si>
  <si>
    <t>EXACTLY " &amp; D9 &amp; "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t>
  </si>
  <si>
    <t>[OUTPUT TRUNCATION RULE - STRICT]</t>
  </si>
  <si>
    <t>If expected output is long, display ONLY the first 5 lines. Ensure accuracy. Do NOT use ellipsis (...)</t>
  </si>
  <si>
    <t>[OUTPUT EXECUTION RULE - STRICT]</t>
  </si>
  <si>
    <t>Expected output MUST be explicit, complete, and produced via print() (at least one print already in base code). Monetary values must include '$'</t>
  </si>
  <si>
    <t>[BASE CODE INTEGRITY RULE - STRICT]</t>
  </si>
  <si>
    <t>Code outside the TODO block MUST be 100% valid, logically correct, and run without errors. Do NOT simulate bugs using 'pass', '...', None, or wrong variable types outside the TODO. Variables used outside TODO must be initialized before TODO.</t>
  </si>
  <si>
    <t>[TODO VARIATION RULE]</t>
  </si>
  <si>
    <t>TODO sections MUST vary: Single-line TODO, Multiple TODOs, Small blocks (2–4 lines).</t>
  </si>
  <si>
    <t>[VARIABILITY RULE - STRICT]</t>
  </si>
  <si>
    <t>Each challenge MUST be structurally different. Vary: Code length, Logic type, Position of TODO, Number of TODOs (1–3), Data flow.</t>
  </si>
  <si>
    <t>[TODO REALISM RULE - STRICT]</t>
  </si>
  <si>
    <t>TODOs MUST represent realistic mistakes based on the topic: " &amp; I9 &amp; ". Describe what is incorrect or incomplete. Avoid imperative instructions.</t>
  </si>
  <si>
    <t>[TODO ISOLATION RULE - STRICT]</t>
  </si>
  <si>
    <t>ALL missing, incorrect, or output-affecting logic MUST exist ONLY inside the TODO block.</t>
  </si>
  <si>
    <t>The code under the # TODO MUST be left empty or with a 'pass'. DO NOT write the actual solution.</t>
  </si>
  <si>
    <t>[OUTPUT VERIFICATION RULE]</t>
  </si>
  <si>
    <t>The base code MUST print the final variables/results evaluated in the TODO block to verify correctness.</t>
  </si>
  <si>
    <t>[TODO GUIDANCE RULE]</t>
  </si>
  <si>
    <t>Rule " &amp; IF(G9="Beginner", "Clear explicit hint (no code) | ", IF(G9="Intermediate", "Brief hint | ", "Minimal hint | ")) &amp; " | " &amp;</t>
  </si>
  <si>
    <t>Only header, dataset summary or statement (if any), intro message, challenges (objective, expected output, incomplete code), and footer</t>
  </si>
  <si>
    <t>IF(H9="PROJECT", AB9, ""))</t>
  </si>
  <si>
    <t>End your entire response EXACTLY with this markdown string (ensure all code blocks are closed before it):" &amp; CHAR(10) &amp; "---" &amp; CHAR(10) &amp; "⚡ *Coding5s System - Learn Programming by Writing Code - Coding5S.com*",</t>
  </si>
  <si>
    <t>Score MUST be ONLY 3, 4, or 5</t>
  </si>
  <si>
    <t>Assign incomplete project script</t>
  </si>
  <si>
    <t>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t>
  </si>
  <si>
    <t>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t>
  </si>
  <si>
    <t>EXACTLY 1 project. Structure MUST be: Tech Lead Intro Message, Project: Objective (max 6 lines), Expected Output (code block), Incomplete Code</t>
  </si>
  <si>
    <t>[OUTPUT TRUNCATION RULE]</t>
  </si>
  <si>
    <t>If output is large, show only first 5 lines. Do NOT use ellipsis (...)</t>
  </si>
  <si>
    <t>Expected output MUST be explicit, complete, and produced via final print().</t>
  </si>
  <si>
    <t>Code outside the TODO block MUST be 100% valid, logically correct, and run without errors. Do NOT use 'pass', '...', or empty placeholders outside the TODO.</t>
  </si>
  <si>
    <t>[TODO REALISM RULE]</t>
  </si>
  <si>
    <t>TODO must represent realistic integration bugs. Describe what is incorrect/incomplete.</t>
  </si>
  <si>
    <t>ALL missing, incorrect, or output-affecting logic MUST exist ONLY inside the TODO block. Replace ONLY integration logic.</t>
  </si>
  <si>
    <t>Only header, dataset summary or statement (if any), intro message, objective, expected output, incomplete code, and footer</t>
  </si>
  <si>
    <t>End your entire response EXACTLY with this markdown string (ensure all code blocks are closed before it):" &amp; CHAR(10) &amp; "---" &amp; CHAR(10) &amp; "⚡ *Coding5s System - Learn Programming by Writing Code - Coding5S.com*")</t>
  </si>
  <si>
    <t>Act as 'The Analytical Partner' (El Detective con Café) - a World-Class Elite Technical Mentor for Stage 2 Debugging specializing in " &amp; $I$2 &amp; ".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t>
  </si>
  <si>
    <t>[MENTOR_S3_BUILDER]</t>
  </si>
  <si>
    <t>Act as 'The Logical Scaffold' (El Maestro de Obra) - a World-Class Elite Technical Mentor for Stage 3 Code Completion specializing in " &amp; $I$2 &amp; ".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t>
  </si>
  <si>
    <t>If the language (" &amp; $B$6 &amp; ")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t>
  </si>
  <si>
    <t>Analyze the student's code and explanation. If they completed the data flow perfectly, celebrate the 'solid foundation' and offer a 'System Extension' challenge. Otherwise, follow the 2-PHASE MENTORING PROTOCOL</t>
  </si>
  <si>
    <t>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t>
  </si>
  <si>
    <t>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t>
  </si>
  <si>
    <t>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t>
  </si>
  <si>
    <t>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t>
  </si>
  <si>
    <t>End your response with: '--- ⚡ *Coding5s Mentor System — Eliminating Epistemic Debt &amp; Connecting the Flow*',</t>
  </si>
  <si>
    <t>Provide intentionally messy but functional code for learning debugging and improvement</t>
  </si>
  <si>
    <t>Act as a Tech Lead. A junior wrote this working but messy code. Tone: professional but exhausted by the code quality</t>
  </si>
  <si>
    <t>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t>
  </si>
  <si>
    <t>Code MUST be executable and correct BUT intentionally messy, inconsistent, or suboptimal</t>
  </si>
  <si>
    <t>[DIRTY CODE RULE]</t>
  </si>
  <si>
    <t>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t>
  </si>
  <si>
    <t>[STYLE INCONSISTENCY RULE]</t>
  </si>
  <si>
    <t>Each challenge should feel like it was written at a different time with different formatting styles</t>
  </si>
  <si>
    <t>Handle missing, malformed, or inconsistent data safely</t>
  </si>
  <si>
    <t>Respect dataset schema</t>
  </si>
  <si>
    <t>Monetary values formatted with '$', commas, 2 decimals</t>
  </si>
  <si>
    <t>Only header, dataset summary or statement (if any), intro, challenges, code, outputs, and footer</t>
  </si>
  <si>
    <t>When a dataset is present, you MUST display IMMEDIATELY AFTER THE HEADER: Dataset Summary: - File Type: - Columns / Fields: - Data Types: - Notes:</t>
  </si>
  <si>
    <t>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 '🚨 **Your objective in this lesson:** You must copy the code blocks from each Challenge exactly as they and paste them into your IDE, then refactor the code by rewriting it professionally until you achieve the exact Program Output when running the refactored program.'</t>
  </si>
  <si>
    <t>EXACTLY " &amp; D9 &amp; "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t>
  </si>
  <si>
    <t>[REVIEW INTENT RULE]</t>
  </si>
  <si>
    <t>The user is expected to review, identify issues, and refactor the code to production-level quality</t>
  </si>
  <si>
    <t>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t>
  </si>
  <si>
    <t>If env/config is used, include: 1. Instructional sentence 2. File content in markdown code block 3. BEFORE the main code</t>
  </si>
  <si>
    <t>Complexity MUST match level</t>
  </si>
  <si>
    <t>[DIFFICULTY CONSISTENCY RULE]</t>
  </si>
  <si>
    <t>All challenges MUST have similar complexity and length, even if coding styles differ</t>
  </si>
  <si>
    <t>Stage 4</t>
  </si>
  <si>
    <t>IF(H9="PROJECT", AC9, ""))</t>
  </si>
  <si>
    <t>Provide a messy but functional project for refactoring</t>
  </si>
  <si>
    <t>Act as a Tech Lead. A junior wrote this working but messy code. Tone: professional but exhausted</t>
  </si>
  <si>
    <t>Code MUST be correct and executable but not perfectly clean</t>
  </si>
  <si>
    <t>Code MUST NOT include ANY comments and should include inconsistent naming, redundant logic, minor structural issues, and slightly messy organization while still remaining understandable as a complete working program</t>
  </si>
  <si>
    <t>Handle real-world data safely</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</si>
  <si>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t>
  </si>
  <si>
    <t>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t>
  </si>
  <si>
    <t>EXACTLY 1 project. Structure MUST be: 1. Tech Lead Intro Email 2. Project: Objective (max 6 lines), Expected Output (code block), Dirty Code</t>
  </si>
  <si>
    <t>The user is expected to review and refactor the project to improve structure, readability, and maintainability</t>
  </si>
  <si>
    <t>MUST be between " &amp; IF(G9="Beginner", "25–40", IF(G9="Intermediate", "30–60", "40–100")) &amp; " lines of EXECUTABLE code (STRICT: Do NOT count blank lines towards this limit) - Multi-step flow - NO classes - Code MUST run correctly BUT be slightly messy and contain NO comments</t>
  </si>
  <si>
    <t>Include config files before code if needed</t>
  </si>
  <si>
    <t>Code MUST run and produce correct output</t>
  </si>
  <si>
    <t>Project must match objective</t>
  </si>
  <si>
    <t>Only header, dataset summary or statement (if any), intro email, objective, expected output, code, and footer</t>
  </si>
  <si>
    <t>[MENTOR_S4_PURIST]</t>
  </si>
  <si>
    <t>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t>
  </si>
  <si>
    <t>If the language (" &amp; $B$6 &amp; ")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t>
  </si>
  <si>
    <t>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t>
  </si>
  <si>
    <t>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t>
  </si>
  <si>
    <t>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t>
  </si>
  <si>
    <t>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t>
  </si>
  <si>
    <t xml:space="preserve">1. Provide the 'Senior' version: clean, elegant, and good " &amp; $I$2 &amp; "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t>
  </si>
  <si>
    <t>"")</t>
  </si>
  <si>
    <t>Mentor Stage 4</t>
  </si>
  <si>
    <t>Projects Stage 4</t>
  </si>
  <si>
    <t>Topics Stage 4</t>
  </si>
  <si>
    <t>Mentor Stage 3</t>
  </si>
  <si>
    <t>Topics Stage 3</t>
  </si>
  <si>
    <t>Projects Stage 3</t>
  </si>
  <si>
    <t>Mentor Stage 2</t>
  </si>
  <si>
    <t>Projects Stage 2</t>
  </si>
  <si>
    <t>Topics Stage 2</t>
  </si>
  <si>
    <t>Projects Stage 1</t>
  </si>
  <si>
    <t>Topics Stage 1</t>
  </si>
  <si>
    <t>Topics Stage 5</t>
  </si>
  <si>
    <t>Stage 5</t>
  </si>
  <si>
    <t>Projects Stage 5</t>
  </si>
  <si>
    <t>Mentor Stage 5</t>
  </si>
  <si>
    <t>Tech Product Manager assigning a " &amp; $I$2 &amp; " Jira Ticket</t>
  </si>
  <si>
    <t>Provide a guided implementation exercise with full solution for learning purposes</t>
  </si>
  <si>
    <t>Act as a professional Tech Product Manager writing clear Jira tickets</t>
  </si>
  <si>
    <t>[TICKET FORMAT RULE - STRICT]</t>
  </si>
  <si>
    <t>The 'Context &amp; Ticket' section MUST begin with this EXACT text (translated to " &amp; $B$6 &amp; "):" &amp; CHAR(10) &amp;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t>
  </si>
  <si>
    <t>V1.0 MUST be between " &amp; IF(G9="Beginner", "10–20", IF(G9="Intermediate", "15–30", "25–40")) &amp; " lines of EXECUTABLE code (STRICT) - V1.1 MUST be between " &amp; IF(G9="Beginner", "15–30", IF(G9="Intermediate", "25–45", "35–60")) &amp; " lines of EXECUTABLE code (STRICT) - Do NOT count comments or blank lines towards these limits - ALL code MUST run without errors - MUST be executable and realistic - MUST include a clear integration point - MUST NOT include unused imports - NO classes - NO unnecessary complexity</t>
  </si>
  <si>
    <t>[CRITICAL OUTPUT RULE]</t>
  </si>
  <si>
    <t>Rule: " &amp; IF(G9="Beginner", "Use simple scripts or minimal functions. ", IF(G9="Intermediate", "Use functions where appropriate. ", "Use modular functions with clear structure. ")) &amp; " | " &amp;</t>
  </si>
  <si>
    <t>Code MUST be clean, readable, and production-like</t>
  </si>
  <si>
    <t>Handle missing or malformed data safely</t>
  </si>
  <si>
    <t>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t>
  </si>
  <si>
    <t>Only header, dataset summary or statement (if any), the defined sections, and footer</t>
  </si>
  <si>
    <t>End your entire response EXACTLY with this markdown string (ensure all code blocks are closed before it):" &amp; CHAR(10) &amp; "---" &amp; CHAR(10) &amp; "⚡ *Coding5s System — Learn Programming by Writing Code*",</t>
  </si>
  <si>
    <t>IF(H9="PROJECT", AD9, ""))</t>
  </si>
  <si>
    <t>Provide a guided project implementation with full solution</t>
  </si>
  <si>
    <t>Act as a professional Tech Product Manager defining a project ticket</t>
  </si>
  <si>
    <t>ALL output MUST be strictly in " &amp; $B$6 &amp; ".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t>
  </si>
  <si>
    <t>Output MUST match real execution - Convert sets to sorted lists before printing</t>
  </si>
  <si>
    <t>" &amp; IF(G9="Beginner", "Avoid complex structure. ", IF(G9="Intermediate", "Functions optional. ", "Use structured modular functions. ")) &amp; " | " &amp;</t>
  </si>
  <si>
    <t>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</si>
  <si>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t>
  </si>
  <si>
    <t>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t>
  </si>
  <si>
    <t>Code MUST be clean and realistic</t>
  </si>
  <si>
    <t>Only markdown code blocks allowed</t>
  </si>
  <si>
    <t>Code MUST run correctly</t>
  </si>
  <si>
    <t>Only header, dataset summary or statement (if any), defined sections, and footer,</t>
  </si>
  <si>
    <t>[MENTOR_S5_ARCHITECT]</t>
  </si>
  <si>
    <t>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t>
  </si>
  <si>
    <t>If the language (" &amp; $B$6 &amp; ") is Portuguese, act like an 'Arquiteto de Software Sênior' using local jargon (e.g., 'subir pra produção', 'vai escalar?', 'casos extremos'). If Spanish, use Latin American tech terminology (e.g., 'subir a producción', '¿esto escala?', 'casos borde'). Match the cultural vibe of a strategic tech lead.</t>
  </si>
  <si>
    <t>Analyze the extension code. If they already anticipated the edge cases and scalability issues (e.g., using generators or async patterns), give them the 'Architect's Approval' and discuss a more advanced trade-off. Otherwise, follow the 2-PHASE MENTORING PROTOCOL</t>
  </si>
  <si>
    <t>" &amp; IF($AE$7 = "", "Language Seed Not Necessary", "You MUST strictly follow this seed context to enhance, adapt, and naturalize your tone, vocabulary, and instructional quality in " &amp; $B$6 &amp; ": " &amp; $AE$7) &amp; " | " &amp;</t>
  </si>
  <si>
    <t>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t>
  </si>
  <si>
    <t>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t>
  </si>
  <si>
    <t>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t>
  </si>
  <si>
    <t>[PHASE 2: FINAL REVIEW - STRICT]</t>
  </si>
  <si>
    <t>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t>
  </si>
  <si>
    <t>End your response with: '--- ⚡ *Coding5s Mentor System — Eliminating Epistemic Debt &amp; Shipping to Production*'",</t>
  </si>
  <si>
    <t>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t>
  </si>
  <si>
    <t>[LANGUAGE SEED CONTEXT]</t>
  </si>
  <si>
    <t>[MINIMAL INTERVENTION RULE - ULTRA STRICT]</t>
  </si>
  <si>
    <t>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t>
  </si>
  <si>
    <t>Languages Range</t>
  </si>
  <si>
    <t>Number of Examples</t>
  </si>
  <si>
    <t>Low Resource Lang</t>
  </si>
  <si>
    <t>Abbreviation</t>
  </si>
  <si>
    <t>Language Seed Context</t>
  </si>
  <si>
    <t>Testing Languages</t>
  </si>
  <si>
    <t>End your response with: '--- ⚡ *Coding5s Mentor System — Eliminating Technical Debt with Elegance*'",</t>
  </si>
  <si>
    <t>Manual Variables by Topic</t>
  </si>
  <si>
    <t>MIT License</t>
  </si>
  <si>
    <t>Copyright (c) 2026 Wilfredo Barrios</t>
  </si>
  <si>
    <t>Permission is hereby granted, free of charge, to any person obtaining a copy</t>
  </si>
  <si>
    <t>of this software and associated documentation files (the "Software"), to deal</t>
  </si>
  <si>
    <t>in the Software without restriction, including without limitation the rights</t>
  </si>
  <si>
    <t>to use, copy, modify, merge, publish, distribute, sublicense, and/or sell</t>
  </si>
  <si>
    <t>copies of the Software, and to permit persons to whom the Software is</t>
  </si>
  <si>
    <t>furnished to do so, subject to the following conditions:</t>
  </si>
  <si>
    <t>The above copyright notice and this permission notice shall be included in all</t>
  </si>
  <si>
    <t>copies or substantial portions of the Software.</t>
  </si>
  <si>
    <t>THE SOFTWARE IS PROVIDED "AS IS", WITHOUT WARRANTY OF ANY KIND, EXPRESS OR</t>
  </si>
  <si>
    <t>IMPLIED, INCLUDING BUT NOT LIMITED TO THE WARRANTIES OF MERCHANTABILITY,</t>
  </si>
  <si>
    <t>FITNESS FOR A PARTICULAR PURPOSE AND NONINFRINGEMENT. IN NO EVENT SHALL THE</t>
  </si>
  <si>
    <t>AUTHORS OR COPYRIGHT HOLDERS BE LIABLE FOR ANY CLAIM, DAMAGES OR OTHER</t>
  </si>
  <si>
    <t>LIABILITY, WHETHER IN AN ACTION OF CONTRACT, TORT OR OTHERWISE, ARISING FROM,</t>
  </si>
  <si>
    <t>OUT OF OR IN CONNECTION WITH THE SOFTWARE OR THE USE OR OTHER DEALINGS IN THE</t>
  </si>
  <si>
    <t>SOFTWARE.</t>
  </si>
  <si>
    <t xml:space="preserve">Project Homepage: </t>
  </si>
  <si>
    <t>https://github.com/WilfredoBarrios/coding5s-framework</t>
  </si>
  <si>
    <t>Cell References</t>
  </si>
  <si>
    <t>A9</t>
  </si>
  <si>
    <t>Relative</t>
  </si>
  <si>
    <t>D9</t>
  </si>
  <si>
    <t>F9</t>
  </si>
  <si>
    <t>G9</t>
  </si>
  <si>
    <t>H9</t>
  </si>
  <si>
    <t>I9</t>
  </si>
  <si>
    <t>J9</t>
  </si>
  <si>
    <t>B6</t>
  </si>
  <si>
    <t>Absolute</t>
  </si>
  <si>
    <t>I2</t>
  </si>
  <si>
    <t>Learning Now Name</t>
  </si>
  <si>
    <t>I3</t>
  </si>
  <si>
    <t>AE</t>
  </si>
  <si>
    <t>Z9</t>
  </si>
  <si>
    <t>AA2</t>
  </si>
  <si>
    <t>AB</t>
  </si>
  <si>
    <t>AC</t>
  </si>
  <si>
    <t>AD</t>
  </si>
  <si>
    <t>AJ</t>
  </si>
  <si>
    <t>Cantidad Ejemplos</t>
  </si>
  <si>
    <t>Target Library</t>
  </si>
  <si>
    <t>Projects Formula Stage 1</t>
  </si>
  <si>
    <t>Projects Formula Stage 2</t>
  </si>
  <si>
    <t>Projects Formula Stage 3</t>
  </si>
  <si>
    <t>Projects Formula Stage 4</t>
  </si>
  <si>
    <t>Projects Formula Stage 5</t>
  </si>
  <si>
    <t>Manual Variable For Specific Topic</t>
  </si>
  <si>
    <t>Cell</t>
  </si>
  <si>
    <t>Detailed Explanation</t>
  </si>
  <si>
    <t>Defines the strict code line limit that the LLM can generate for the examples in that specific lesson, preventing redundant outputs.</t>
  </si>
  <si>
    <t>Controls the exact number of code snippets or practical use cases the AI must render within the lesson to maintain pedagogical consistency.</t>
  </si>
  <si>
    <t>The sequential numerical index of the lesson. It acts as an anchor for sorting and calculating internal dependencies.</t>
  </si>
  <si>
    <t>Indicates the current difficulty level (e.g., Beginner, Intermediate). It dynamically adjusts the complexity of the vocabulary and code generated by the AI.</t>
  </si>
  <si>
    <t>Specifies the nature of the row's deliverable (e.g., CONCEPT, STEP), dictating the structure of the prompt generator.</t>
  </si>
  <si>
    <t>An optimized, keyword-friendly variant of the lesson name used to help the LLM process the technical domain more accurately.</t>
  </si>
  <si>
    <t>The official commercial or pedagogical name of the lesson as it will appear on the course syllabus or index for the student.</t>
  </si>
  <si>
    <t>The primary programming language of the course (e.g., Elixir, Python). Being absolute, it is injected globally into every row.</t>
  </si>
  <si>
    <t>The specific ecosystem or submodule being built (e.g., Phoenix LiveView, Pandas), locking down the technical focus of the pipeline.</t>
  </si>
  <si>
    <t>Specifies mandatory external libraries or dependencies that the AI must import and utilize within the code examples.</t>
  </si>
  <si>
    <t>The immutable master context of the language (core syntax, key paradigms, and design rules) that shields the AI from structural hallucinations.</t>
  </si>
  <si>
    <t>Executes the Stage 1 prompt for project development, handling the initial technical analysis and breakdown of the lab requirements.</t>
  </si>
  <si>
    <t>Processes Stage 2 of the project engine, establishing the file architecture or individual module skeletons of the deliverable.</t>
  </si>
  <si>
    <t>Governs Stage 3, injecting operational constraints and Socratic testing guidelines for the student to solve the lab.</t>
  </si>
  <si>
    <t>Manages Stage 4, dedicated to structuring the evaluation criteria and code validation logic for the project core.</t>
  </si>
  <si>
    <t>Consolidates Stage 5, compiling the final project package (Student Kit) with deployment-ready instructions.</t>
  </si>
  <si>
    <t>A manual escape-hatch cell that allows the creator to inject a unique parameter or override instruction for that specific lesson without breaking global column formulas.</t>
  </si>
  <si>
    <t>📖 HOW TO USE THIS CREATOR KIT</t>
  </si>
  <si>
    <t>This Excel sheet serves as the primary data engine to generate granular lessons. However, it does not contain the structural setup prompts. Please follow the repository guidelines below:</t>
  </si>
  <si>
    <r>
      <t>Syllabus Initialization Prompts:</t>
    </r>
    <r>
      <rPr>
        <sz val="11"/>
        <color theme="1"/>
        <rFont val="Aptos Narrow"/>
        <family val="2"/>
        <scheme val="minor"/>
      </rPr>
      <t xml:space="preserve"> The core prompts required to architect your initial course outline are </t>
    </r>
    <r>
      <rPr>
        <b/>
        <sz val="11"/>
        <color theme="1"/>
        <rFont val="Aptos Narrow"/>
        <family val="2"/>
        <scheme val="minor"/>
      </rPr>
      <t>NOT</t>
    </r>
    <r>
      <rPr>
        <sz val="11"/>
        <color theme="1"/>
        <rFont val="Aptos Narrow"/>
        <family val="2"/>
        <scheme val="minor"/>
      </rPr>
      <t xml:space="preserve"> built into this spreadsheet. You must locate them in your repository folder under:</t>
    </r>
  </si>
  <si>
    <r>
      <t>lessons_generator_prompt_phase_1.md</t>
    </r>
    <r>
      <rPr>
        <sz val="11"/>
        <color theme="1"/>
        <rFont val="Aptos Narrow"/>
        <family val="2"/>
        <scheme val="minor"/>
      </rPr>
      <t xml:space="preserve"> (Domain Analysis &amp; Topic Calculation Blueprint)</t>
    </r>
  </si>
  <si>
    <r>
      <t>lessons_generator_prompt_phase_2.md</t>
    </r>
    <r>
      <rPr>
        <sz val="11"/>
        <color theme="1"/>
        <rFont val="Aptos Narrow"/>
        <family val="2"/>
        <scheme val="minor"/>
      </rPr>
      <t xml:space="preserve"> (Sanitized Flat Markdown Table Generation)</t>
    </r>
  </si>
  <si>
    <t>Execution Workflow:</t>
  </si>
  <si>
    <r>
      <t xml:space="preserve">1. Copy the prompt from the </t>
    </r>
    <r>
      <rPr>
        <b/>
        <sz val="11"/>
        <color theme="1"/>
        <rFont val="Aptos Narrow"/>
        <family val="2"/>
        <scheme val="minor"/>
      </rPr>
      <t>Phase 1</t>
    </r>
    <r>
      <rPr>
        <sz val="11"/>
        <color theme="1"/>
        <rFont val="Aptos Narrow"/>
        <family val="2"/>
        <scheme val="minor"/>
      </rPr>
      <t xml:space="preserve"> MD file into your LLM to extract the analytical breakdown of your language or framework.</t>
    </r>
  </si>
  <si>
    <r>
      <t xml:space="preserve">2. Use the </t>
    </r>
    <r>
      <rPr>
        <b/>
        <sz val="11"/>
        <color theme="1"/>
        <rFont val="Aptos Narrow"/>
        <family val="2"/>
        <scheme val="minor"/>
      </rPr>
      <t>Phase 2</t>
    </r>
    <r>
      <rPr>
        <sz val="11"/>
        <color theme="1"/>
        <rFont val="Aptos Narrow"/>
        <family val="2"/>
        <scheme val="minor"/>
      </rPr>
      <t xml:space="preserve"> MD file prompt to clean and format those topics into a standardized 4-column raw table.</t>
    </r>
  </si>
  <si>
    <r>
      <t>3. Paste that sanitized data directly into the columns here starting from row 9 (</t>
    </r>
    <r>
      <rPr>
        <sz val="10"/>
        <color theme="1"/>
        <rFont val="Arial Unicode MS"/>
      </rPr>
      <t>#</t>
    </r>
    <r>
      <rPr>
        <sz val="11"/>
        <color theme="1"/>
        <rFont val="Aptos Narrow"/>
        <family val="2"/>
        <scheme val="minor"/>
      </rPr>
      <t xml:space="preserve">, </t>
    </r>
    <r>
      <rPr>
        <sz val="10"/>
        <color theme="1"/>
        <rFont val="Arial Unicode MS"/>
      </rPr>
      <t>Level</t>
    </r>
    <r>
      <rPr>
        <sz val="11"/>
        <color theme="1"/>
        <rFont val="Aptos Narrow"/>
        <family val="2"/>
        <scheme val="minor"/>
      </rPr>
      <t xml:space="preserve">, </t>
    </r>
    <r>
      <rPr>
        <sz val="10"/>
        <color theme="1"/>
        <rFont val="Arial Unicode MS"/>
      </rPr>
      <t>Type</t>
    </r>
    <r>
      <rPr>
        <sz val="11"/>
        <color theme="1"/>
        <rFont val="Aptos Narrow"/>
        <family val="2"/>
        <scheme val="minor"/>
      </rPr>
      <t xml:space="preserve">, </t>
    </r>
    <r>
      <rPr>
        <sz val="10"/>
        <color theme="1"/>
        <rFont val="Arial Unicode MS"/>
      </rPr>
      <t>Topic Name</t>
    </r>
    <r>
      <rPr>
        <sz val="11"/>
        <color theme="1"/>
        <rFont val="Aptos Narrow"/>
        <family val="2"/>
        <scheme val="minor"/>
      </rPr>
      <t>).</t>
    </r>
  </si>
  <si>
    <r>
      <t>Dynamic Generation:</t>
    </r>
    <r>
      <rPr>
        <sz val="11"/>
        <color theme="1"/>
        <rFont val="Aptos Narrow"/>
        <family val="2"/>
        <scheme val="minor"/>
      </rPr>
      <t xml:space="preserve"> Once your row metadata is filled, the rest of the columns in this kit will automatically compute, compile, and build the final custom socratic engine prompts.</t>
    </r>
  </si>
  <si>
    <t>Rule Tag</t>
  </si>
  <si>
    <t>Rule To Concatenate</t>
  </si>
  <si>
    <t>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</si>
  <si>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t>
  </si>
  <si>
    <t>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</si>
  <si>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t>
  </si>
  <si>
    <t>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</si>
  <si>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</si>
  <si>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</si>
  <si>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</si>
  <si>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</si>
  <si>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</si>
  <si>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</si>
  <si>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</si>
  <si>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</si>
  <si>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</si>
  <si>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t>
  </si>
  <si>
    <t>[COMMENT CONSTRAINTS]</t>
  </si>
  <si>
    <t>[HEX DEPENDENCIES RULE]</t>
  </si>
  <si>
    <t>[EXUNIT RULE]</t>
  </si>
  <si>
    <t>ALWAYS label markdown code blocks with the correct underlying programming language (e.g., elixir, javascript, sql)</t>
  </si>
  <si>
    <t>MUST be between " &amp; IF(G9="Beginner", "25–40", IF(G9="Intermediate", "30–60", "40–100")) &amp; " lines (STRICT) - Multi-step flow</t>
  </si>
  <si>
    <t>You are generating an EXAM. Do NOT provide the fixed code, diagnosis, hints, or explanations. Output ONLY the broken code. Do NOT include comments that reveal the bugs. Let the student find them.</t>
  </si>
  <si>
    <t>[I_O_PARADIGM]</t>
  </si>
  <si>
    <t>[INLINE_PACKAGE_MANAGER]</t>
  </si>
  <si>
    <t>[TESTING_FRAMEWORK_LIMITS]</t>
  </si>
  <si>
    <t>Mentor</t>
  </si>
  <si>
    <t>[PERFORMANCE_LIBRARIES]</t>
  </si>
  <si>
    <t>[FORBIDDEN_LOW_LEVEL_PATTERNS]</t>
  </si>
  <si>
    <t>[NATIVE_OPTIMIZATION_PARADIGM]</t>
  </si>
  <si>
    <t>[BEGINNER_SCOPE]</t>
  </si>
  <si>
    <t>[INTERMEDIATE_SCOPE]</t>
  </si>
  <si>
    <t>[ADVANCED_SCOPE]</t>
  </si>
  <si>
    <t>[CODE_CONSTRAINTS_RULE]</t>
  </si>
  <si>
    <t>[DATA_SOURCE_TYPE]</t>
  </si>
  <si>
    <t>[NATIVE_PRINT_METHOD]</t>
  </si>
  <si>
    <t>[FILE_SYSTEM_MODULE]</t>
  </si>
  <si>
    <t>[IDIOMATIC_RETURN_TYPES]</t>
  </si>
  <si>
    <t>[INLINE_INSTALL_SYNTAX]</t>
  </si>
  <si>
    <t>[TESTING_ENVIRONMENT]</t>
  </si>
  <si>
    <t>[FORBIDDEN_TEST_METHOD]</t>
  </si>
  <si>
    <t>[ALLOWED_TEST_SYNTAX]</t>
  </si>
  <si>
    <t>Rule Component</t>
  </si>
  <si>
    <t>Component Tag</t>
  </si>
  <si>
    <t>Projects</t>
  </si>
  <si>
    <t>[SCOPE_ARCHITECTURE_RULE]</t>
  </si>
  <si>
    <t>[VISUAL_ARCHITECTURE_COMMENTS]</t>
  </si>
  <si>
    <t>[VISUAL_BLOCK_COMMENT]</t>
  </si>
  <si>
    <t>[NATIVE_DOCUMENTATION_METHOD]</t>
  </si>
  <si>
    <t>[MAX_COMMENT_LINE_WIDTH]</t>
  </si>
  <si>
    <t>[MENTOR_SCOPE_EXPECTATIONS]</t>
  </si>
  <si>
    <t>[CODE_QUALITY_POLICIES]</t>
  </si>
  <si>
    <t>[IDIOMATIC_NAMING_CONVENTIONS]</t>
  </si>
  <si>
    <t>[CORE_LANGUAGE_LEVERAGE]</t>
  </si>
  <si>
    <t>[FORBIDDEN_IMPERATIVE_SMELLS]</t>
  </si>
  <si>
    <t>[DEFAULT_ARG_CLAUSES_REQUIRMENT]</t>
  </si>
  <si>
    <t>[FILE_HANDLING_RULE]</t>
  </si>
  <si>
    <t>[FILE_MODULE_USAGE]</t>
  </si>
  <si>
    <t>[ENV_USAGE_POLICY]</t>
  </si>
  <si>
    <t>[SUPPORT_FILES_STRUCTURE]</t>
  </si>
  <si>
    <t>[EXUNIT_RULE]</t>
  </si>
  <si>
    <t>[TESTING_SYNTAX_LIMITS]</t>
  </si>
  <si>
    <t>[HEX_DEPENDENCIES_RULE]</t>
  </si>
  <si>
    <t>[STANDALONE_INSTALL_SYNTAX]</t>
  </si>
  <si>
    <t>[CODE_CONSTRAINTS]</t>
  </si>
  <si>
    <t>[REQUIRED_CONSTRUCTS]</t>
  </si>
  <si>
    <t>[PARADIGM_CORE_POLICIES]</t>
  </si>
  <si>
    <t>[CONSISTENCY_RULE]</t>
  </si>
  <si>
    <t>Stage</t>
  </si>
  <si>
    <t>[BUG_RULE]</t>
  </si>
  <si>
    <t>[ENVIRONMENT_SIMULATION]</t>
  </si>
  <si>
    <t>[COMPILE_ERRORS_TYPE]</t>
  </si>
  <si>
    <t>[LOGIC_ERRORS_TYPE]</t>
  </si>
  <si>
    <t>[RUNTIME_ERRORS_TYPE]</t>
  </si>
  <si>
    <t>[ELIXIR_QUALITY_RULE_STRICT]</t>
  </si>
  <si>
    <t>[PRODUCTION_CLEAN_POLICY]</t>
  </si>
  <si>
    <t>[NAMING_CONVENTIONS]</t>
  </si>
  <si>
    <t>[PARADIGM_PURITY]</t>
  </si>
  <si>
    <t>[DEFAULT_ARG_HEAD_CLAUSE]</t>
  </si>
  <si>
    <t>ALWAYS label markdown code blocks with the correct underlying programming language (e.g., elixir, python, javascript, sql)</t>
  </si>
  <si>
    <t>[STANDALONE_INSTALL_POLICY]</t>
  </si>
  <si>
    <t>[TEST_MACRO_LIMITS]</t>
  </si>
  <si>
    <t>[CHALLENGE_CORE_REQ]</t>
  </si>
  <si>
    <t>[BASE_CODE_POLICY]</t>
  </si>
  <si>
    <t>[EXTERNAL_PACKAGE_PROTOCOL]</t>
  </si>
  <si>
    <t>[TESTING_FRAMEWORK_PROTOCOL]</t>
  </si>
  <si>
    <t>[CHALLENGE_CONSTRAINTS_POLICY]</t>
  </si>
  <si>
    <t>[DYNAMIC_INSTALL_SYNTAX]</t>
  </si>
  <si>
    <t>[PROJECT_LINE_METRIC_BASE]</t>
  </si>
  <si>
    <t>MUST be between</t>
  </si>
  <si>
    <t>[PROJECT_FLOW_POLICY]</t>
  </si>
  <si>
    <t>[PRODUCTION_STYLE_POLICY]</t>
  </si>
  <si>
    <t>[PARADIGM_CORE_LEVERAGE]</t>
  </si>
  <si>
    <t>[FUNCTIONAL_RESTRICTIONS]</t>
  </si>
  <si>
    <t>Normalize boolean values before comparison when the programming language requires it.</t>
  </si>
  <si>
    <t>Explicit casting required before calculations when the programming language requires it.</t>
  </si>
  <si>
    <t>Use correct loaders and enforce encoding='utf-8' and newline='' when applicable if the programming language supports it.</t>
  </si>
  <si>
    <t>[CODE_QUALITY_PROTOCOL]</t>
  </si>
  <si>
    <t>[CLEAN_CODE_POLICY]</t>
  </si>
  <si>
    <t>Normalize boolean values before comparison if the programming language requires it.</t>
  </si>
  <si>
    <t>Explicit casting required before calculations if the programming language requires it.</t>
  </si>
  <si>
    <t>Use correct loaders and enforce encoding='utf-8' and newline=' when applicable or supported by the programming language.</t>
  </si>
  <si>
    <t>[DETERMINISTIC_OUTPUT_PROTOCOL]</t>
  </si>
  <si>
    <t>[FUNCTIONAL_STRUCTURE_POLICY]</t>
  </si>
  <si>
    <t>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t>
  </si>
  <si>
    <t>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t>
  </si>
  <si>
    <t>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t>
  </si>
  <si>
    <t>up</t>
  </si>
  <si>
    <t>Check the "HowToStudy" sheet for instructions on how to use this sheet to study.</t>
  </si>
  <si>
    <t>📖 How to Study with Coding5s</t>
  </si>
  <si>
    <r>
      <t xml:space="preserve">Welcome to </t>
    </r>
    <r>
      <rPr>
        <b/>
        <sz val="11"/>
        <color theme="1"/>
        <rFont val="Aptos Narrow"/>
        <family val="2"/>
        <scheme val="minor"/>
      </rPr>
      <t>Coding5s</t>
    </r>
    <r>
      <rPr>
        <sz val="11"/>
        <color theme="1"/>
        <rFont val="Aptos Narrow"/>
        <family val="2"/>
        <scheme val="minor"/>
      </rPr>
      <t>! This framework is designed to give you a deep, hands-on learning experience using AI as your personal tutor alongside your local IDE.</t>
    </r>
  </si>
  <si>
    <t>📌 The Core Learning Workflow (Step-by-Step)</t>
  </si>
  <si>
    <t>1. Complete Stage 1 (Initial Learning Path)</t>
  </si>
  <si>
    <r>
      <t xml:space="preserve">Go to </t>
    </r>
    <r>
      <rPr>
        <b/>
        <sz val="11"/>
        <color theme="1"/>
        <rFont val="Aptos Narrow"/>
        <family val="2"/>
        <scheme val="minor"/>
      </rPr>
      <t>Lesson 1</t>
    </r>
    <r>
      <rPr>
        <sz val="11"/>
        <color theme="1"/>
        <rFont val="Aptos Narrow"/>
        <family val="2"/>
        <scheme val="minor"/>
      </rPr>
      <t xml:space="preserve"> in the main sheet.</t>
    </r>
  </si>
  <si>
    <r>
      <t xml:space="preserve">Copy the text from the </t>
    </r>
    <r>
      <rPr>
        <b/>
        <sz val="11"/>
        <color theme="1"/>
        <rFont val="Aptos Narrow"/>
        <family val="2"/>
        <scheme val="minor"/>
      </rPr>
      <t>Stage 1 Prompt</t>
    </r>
    <r>
      <rPr>
        <sz val="11"/>
        <color theme="1"/>
        <rFont val="Aptos Narrow"/>
        <family val="2"/>
        <scheme val="minor"/>
      </rPr>
      <t xml:space="preserve"> column.</t>
    </r>
  </si>
  <si>
    <t>Paste it into a clean AI chat (Gemini, ChatGPT, Claude, etc.).</t>
  </si>
  <si>
    <r>
      <t xml:space="preserve">Read the lesson, complete the exercise, and write/run the code in your </t>
    </r>
    <r>
      <rPr>
        <b/>
        <sz val="11"/>
        <color theme="1"/>
        <rFont val="Aptos Narrow"/>
        <family val="2"/>
        <scheme val="minor"/>
      </rPr>
      <t>local IDE</t>
    </r>
    <r>
      <rPr>
        <sz val="11"/>
        <color theme="1"/>
        <rFont val="Aptos Narrow"/>
        <family val="2"/>
        <scheme val="minor"/>
      </rPr>
      <t>.</t>
    </r>
  </si>
  <si>
    <r>
      <t xml:space="preserve">Proceed sequentially through </t>
    </r>
    <r>
      <rPr>
        <b/>
        <sz val="11"/>
        <color theme="1"/>
        <rFont val="Aptos Narrow"/>
        <family val="2"/>
        <scheme val="minor"/>
      </rPr>
      <t>Lesson 2, Lesson 3, etc.</t>
    </r>
    <r>
      <rPr>
        <sz val="11"/>
        <color theme="1"/>
        <rFont val="Aptos Narrow"/>
        <family val="2"/>
        <scheme val="minor"/>
      </rPr>
      <t xml:space="preserve">, staying within </t>
    </r>
    <r>
      <rPr>
        <b/>
        <sz val="11"/>
        <color theme="1"/>
        <rFont val="Aptos Narrow"/>
        <family val="2"/>
        <scheme val="minor"/>
      </rPr>
      <t>Stage 1</t>
    </r>
    <r>
      <rPr>
        <sz val="11"/>
        <color theme="1"/>
        <rFont val="Aptos Narrow"/>
        <family val="2"/>
        <scheme val="minor"/>
      </rPr>
      <t xml:space="preserve"> until you finish all topics and complete the first </t>
    </r>
    <r>
      <rPr>
        <b/>
        <sz val="11"/>
        <color theme="1"/>
        <rFont val="Aptos Narrow"/>
        <family val="2"/>
        <scheme val="minor"/>
      </rPr>
      <t>PROJECT</t>
    </r>
    <r>
      <rPr>
        <sz val="11"/>
        <color theme="1"/>
        <rFont val="Aptos Narrow"/>
        <family val="2"/>
        <scheme val="minor"/>
      </rPr>
      <t>.</t>
    </r>
  </si>
  <si>
    <t>2. How to Use the Mentor Column (Live Troubleshooting)</t>
  </si>
  <si>
    <r>
      <t xml:space="preserve">The </t>
    </r>
    <r>
      <rPr>
        <b/>
        <sz val="11"/>
        <color theme="1"/>
        <rFont val="Aptos Narrow"/>
        <family val="2"/>
        <scheme val="minor"/>
      </rPr>
      <t>Mentor Prompt</t>
    </r>
    <r>
      <rPr>
        <sz val="11"/>
        <color theme="1"/>
        <rFont val="Aptos Narrow"/>
        <family val="2"/>
        <scheme val="minor"/>
      </rPr>
      <t xml:space="preserve"> column is your dedicated support tool whenever you get stuck or need clarification on a specific topic.</t>
    </r>
  </si>
  <si>
    <t>To ask a question:</t>
  </si>
  <si>
    <r>
      <t xml:space="preserve">1. Copy the cell from the </t>
    </r>
    <r>
      <rPr>
        <b/>
        <sz val="11"/>
        <color theme="1"/>
        <rFont val="Aptos Narrow"/>
        <family val="2"/>
        <scheme val="minor"/>
      </rPr>
      <t>Mentor Prompt</t>
    </r>
    <r>
      <rPr>
        <sz val="11"/>
        <color theme="1"/>
        <rFont val="Aptos Narrow"/>
        <family val="2"/>
        <scheme val="minor"/>
      </rPr>
      <t xml:space="preserve"> column for your current lesson.</t>
    </r>
  </si>
  <si>
    <t>2. Paste it into your AI chat.</t>
  </si>
  <si>
    <t>3. Immediately below the prompt, write your question.</t>
  </si>
  <si>
    <t>4. Paste your code snippet directly from your IDE.</t>
  </si>
  <si>
    <t>Recommended Message Format:</t>
  </si>
  <si>
    <t>3. Sequential Stage Progression</t>
  </si>
  <si>
    <r>
      <t xml:space="preserve">Once you have completed the entire topic list in </t>
    </r>
    <r>
      <rPr>
        <b/>
        <sz val="11"/>
        <color theme="1"/>
        <rFont val="Aptos Narrow"/>
        <family val="2"/>
        <scheme val="minor"/>
      </rPr>
      <t>Stage 1</t>
    </r>
    <r>
      <rPr>
        <sz val="11"/>
        <color theme="1"/>
        <rFont val="Aptos Narrow"/>
        <family val="2"/>
        <scheme val="minor"/>
      </rPr>
      <t>:</t>
    </r>
  </si>
  <si>
    <r>
      <t xml:space="preserve">1. Move on to </t>
    </r>
    <r>
      <rPr>
        <b/>
        <sz val="11"/>
        <color theme="1"/>
        <rFont val="Aptos Narrow"/>
        <family val="2"/>
        <scheme val="minor"/>
      </rPr>
      <t>Stage 2 (Troubleshooting / Debugging)</t>
    </r>
    <r>
      <rPr>
        <sz val="11"/>
        <color theme="1"/>
        <rFont val="Aptos Narrow"/>
        <family val="2"/>
        <scheme val="minor"/>
      </rPr>
      <t>.</t>
    </r>
  </si>
  <si>
    <t>2. Go through the lessons from top to bottom in Stage 2 to learn how to break, diagnose, and fix broken code (use the Stage 2 Mentor prompt whenever the console crashes).</t>
  </si>
  <si>
    <r>
      <t xml:space="preserve">3. Repeat the process sequentially for </t>
    </r>
    <r>
      <rPr>
        <b/>
        <sz val="11"/>
        <color theme="1"/>
        <rFont val="Aptos Narrow"/>
        <family val="2"/>
        <scheme val="minor"/>
      </rPr>
      <t>Stage 3, Stage 4, and Stage 5</t>
    </r>
    <r>
      <rPr>
        <sz val="11"/>
        <color theme="1"/>
        <rFont val="Aptos Narrow"/>
        <family val="2"/>
        <scheme val="minor"/>
      </rPr>
      <t xml:space="preserve"> for advanced architecture, optimization, and scaling.</t>
    </r>
  </si>
  <si>
    <t>💡 Golden Rules for Students</t>
  </si>
  <si>
    <r>
      <t xml:space="preserve">❌ </t>
    </r>
    <r>
      <rPr>
        <b/>
        <sz val="11"/>
        <color theme="1"/>
        <rFont val="Aptos Narrow"/>
        <family val="2"/>
        <scheme val="minor"/>
      </rPr>
      <t>Do not jump across stages within the same lesson:</t>
    </r>
    <r>
      <rPr>
        <sz val="11"/>
        <color theme="1"/>
        <rFont val="Aptos Narrow"/>
        <family val="2"/>
        <scheme val="minor"/>
      </rPr>
      <t xml:space="preserve"> Do not attempt Stage 1, Stage 2, and Stage 3 for Lesson 1 on the same day. Build your core foundation by finishing the entire </t>
    </r>
    <r>
      <rPr>
        <b/>
        <sz val="11"/>
        <color theme="1"/>
        <rFont val="Aptos Narrow"/>
        <family val="2"/>
        <scheme val="minor"/>
      </rPr>
      <t>Stage 1 path first</t>
    </r>
    <r>
      <rPr>
        <sz val="11"/>
        <color theme="1"/>
        <rFont val="Aptos Narrow"/>
        <family val="2"/>
        <scheme val="minor"/>
      </rPr>
      <t>.</t>
    </r>
  </si>
  <si>
    <r>
      <t xml:space="preserve">✅ </t>
    </r>
    <r>
      <rPr>
        <b/>
        <sz val="11"/>
        <color theme="1"/>
        <rFont val="Aptos Narrow"/>
        <family val="2"/>
        <scheme val="minor"/>
      </rPr>
      <t>Always practice in your IDE:</t>
    </r>
    <r>
      <rPr>
        <sz val="11"/>
        <color theme="1"/>
        <rFont val="Aptos Narrow"/>
        <family val="2"/>
        <scheme val="minor"/>
      </rPr>
      <t xml:space="preserve"> Never just read the AI's explanation. Type out, test, and execute every piece of code in your editor.</t>
    </r>
  </si>
  <si>
    <t>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t>
  </si>
  <si>
    <t>EXACTLY " &amp; D9 &amp; "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t>
  </si>
  <si>
    <t>Code MUST be clean, readable, educational, executable and produce correct results. Safely handle missing/malformed/inconsistent data, using pattern matching if possible.</t>
  </si>
  <si>
    <t>Code MUST include enough inline comments explaining WHAT it does AND WHY. Density: Beginner=high, Intermediate=medium, Advanced=lower but present in key logic.</t>
  </si>
  <si>
    <t>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t>
  </si>
  <si>
    <t>The intro MUST be a dynamically generated, urgent, unprofessional email in " &amp; $B$6 &amp; " with this EXACT format: '📥 From: [Random Dev Name]' / '📤 To: [Insert my user name if known from context, otherwise use " &amp; $I$2 &amp; "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t>
  </si>
  <si>
    <t>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t>
  </si>
  <si>
    <t>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t>
  </si>
  <si>
    <t>Website:</t>
  </si>
  <si>
    <t>https://coding5s.com</t>
  </si>
  <si>
    <t>Yes</t>
  </si>
  <si>
    <t>Built-in functions, itertools, functools, or asyncio concurrency models</t>
  </si>
  <si>
    <t>Standard Library modules (itertools, functools, collections, pathlib, json, csv, re)</t>
  </si>
  <si>
    <t>Manual class definitions, OOP inheritance, dunder methods, or unhandled file handles/threads</t>
  </si>
  <si>
    <t>Functional composition, generators, list/dict comprehensions, itertools, and pure functions</t>
  </si>
  <si>
    <t>Focus: basic function definitions, return values, positional/keyword arguments, and list/dict comprehensions.</t>
  </si>
  <si>
    <t>Integrate generator functions using yield, closures, functools utilities (partial, lru_cache), and decorators.</t>
  </si>
  <si>
    <t>Build scripts: async/await coroutines with asyncio, subprocess execution, signal trapping, and custom context managers.</t>
  </si>
  <si>
    <t>Dictionaries, Tuples, Namedtuples, or TypedDicts with strict type hints</t>
  </si>
  <si>
    <t>print() or logging.info()/logging.error() inside functional scopes or error handlers</t>
  </si>
  <si>
    <t>pathlib.Path, open() with context managers, or sys.stdin/sys.stdout streams</t>
  </si>
  <si>
    <t>Typed Tuples like Tuple[bool, str], Namedtuples, or Dict[str, Any] with type annotations</t>
  </si>
  <si>
    <t>Standard requirements.txt file or inline pip install comments (# requirements: package_name&gt;=version)</t>
  </si>
  <si>
    <t>pytest or native unittest testing suite using isolated test functions and assert statements</t>
  </si>
  <si>
    <t>Defining OOP TestCase classes or using global mutable state setup blocks outside isolated test functions</t>
  </si>
  <si>
    <t>Standard functional test framework using native assert statements or pytest.raises() for exceptions</t>
  </si>
  <si>
    <t>visual block tags separating functional script sections (e.g., '# --- UTILITY FUNCTIONS ---', '# --- CORE LOGIC ---')</t>
  </si>
  <si>
    <t>comprehensive docstrings using single quotes triple block (''' docstring ''') explaining function parameters, return types, and exceptions</t>
  </si>
  <si>
    <t>79 characters (PEP 8 standard)</t>
  </si>
  <si>
    <t>Evaluate based on basic functions, data structures, and conditional logic. Do NOT expect decorators, generators, or asyncio unless explicitly demanded.</t>
  </si>
  <si>
    <t>Expect clean functional composition, closures, decorators, generator expressions, and type hints. Enforce zero OOP classes and zero class definitions.</t>
  </si>
  <si>
    <t>Expect complete modular scripts with asyncio event loops, subprocess I/O, custom context managers, and structural pattern matching using match/case.</t>
  </si>
  <si>
    <t>Use descriptive snake_case for functions/variables, UPPER_CASE for constants, and snake_case for file names.</t>
  </si>
  <si>
    <t>Leverage Python 3.10+ match/case, type hints with typing module, itertools, functools, and list/dict comprehensions.</t>
  </si>
  <si>
    <t>Reject class definitions, OOP methods, mutating global variables, abusing Any type, or writing un-annotated monolithic scripts.</t>
  </si>
  <si>
    <t>If using default parameters, NEVER use mutable default arguments (e.g. default_list=[]); use None as default and initialize inside function.</t>
  </si>
  <si>
    <t>Use standard file I/O via open() with 'with' context managers or pathlib.Path, handling errors via try/except blocks returning typed tuples like (data, error).</t>
  </si>
  <si>
    <t>Environment variables via os.getenv() or python-dotenv may be used but bugs MUST exist ONLY in Python script logic, NEVER in requirements.txt or .env files.</t>
  </si>
  <si>
    <t>If logic is externalized, MUST include: 1. Instructional sentence 2. Setup helper/data block 3. BEFORE the broken logic block (Support files MUST contain NO bugs)</t>
  </si>
  <si>
    <t>Always use pytest or native test functions. You MUST use native assert statements or pytest.raises() for exception testing. Avoid defining TestClasses or methods.</t>
  </si>
  <si>
    <t>Assume a standard Python runtime context. External PyPI dependencies MUST be specified strictly within a requirements.txt file.</t>
  </si>
  <si>
    <t>Each challenge MUST include: - At least 1 functional iterator/generator or comprehension - Explicit type annotations - At least 1 error handling try/except block</t>
  </si>
  <si>
    <t>lines of EXECUTABLE broken Python code per example (STRICT: Do NOT count blank lines). Enforce PEP 8, type hints, and NO OOP class structures.</t>
  </si>
  <si>
    <t>All challenges MUST have similar functional abstraction depth and architectural complexity.</t>
  </si>
  <si>
    <t>Simulate a messy production Python scripting environment. The project MUST contain EXACTLY 2–5 bugs. You MUST randomly select from real-world functional/type errors:</t>
  </si>
  <si>
    <t>1. Type Hints/TypeError (e.g., passing incompatible types to functions, unhandled NoneType access, missing required arguments),</t>
  </si>
  <si>
    <t>2. State/Logic (e.g., mutable default argument traps, improper iterator exhaustion, incorrect list/dict comprehension filtering), AND</t>
  </si>
  <si>
    <t>3. Runtime/Exceptions (e.g., KeyError on dict lookup, FileNotFoundError in paths, unhandled ValueError in type casting or regex).</t>
  </si>
  <si>
    <t>Code MUST be production-like, cleanly utilizing Python 3.10+ features, strict type hints, PEP 8 styling, and robust functional abstractions without classes.</t>
  </si>
  <si>
    <t>Use descriptive snake_case for variables/functions, UPPER_CASE for constants, and snake_case for file names.</t>
  </si>
  <si>
    <t>Enforce strict type hints, eliminate class definitions, and leverage built-ins, itertools, and comprehensions over raw imperative loops.</t>
  </si>
  <si>
    <t>If using default arguments, use immutable defaults or None guards to prevent mutable default argument state bugs.</t>
  </si>
  <si>
    <t>External PyPI packages MUST be specified inside a standard requirements.txt file. Do not use inline system pip commands.</t>
  </si>
  <si>
    <t>Tests MUST isolate functional logic. NEVER mutate global state; use native assert statements or pytest fixtures to verify function outputs.</t>
  </si>
  <si>
    <t>Each challenge MUST include: - A functional module or script using closures, generators, or functools to manage continuous state with strict type hints.</t>
  </si>
  <si>
    <t>lines of EXECUTABLE base Python code (STRICT: Do NOT count comments or TODOs). Length MUST vary. Enforce type hints, PEP 8, and NO classes.</t>
  </si>
  <si>
    <t>Require standard pip tooling and requirements.txt for dependencies.</t>
  </si>
  <si>
    <t>lines of EXECUTABLE base Python code (STRICT: Do NOT count comments or TODOs). Must feature functional data pipelines or asynchronous asyncio flows.</t>
  </si>
  <si>
    <t>Code MUST perfectly model idiomatic Python 3.10+ functional scripting paradigms using standard Python ecosystem tools.</t>
  </si>
  <si>
    <t>Enforce structural pattern matching (match/case), typed tuples/dicts, and maintain flawless PEP 8 compliance and type annotations.</t>
  </si>
  <si>
    <t>Reject OOP class definitions, global variable mutations, and un-annotated dynamic variables. Leverage match/case and functional helpers instead of deep nested loops.</t>
  </si>
  <si>
    <t>Code MUST adhere strictly to PEP 8 guidelines. Use snake_case for variables/functions, UPPER_CASE for constants, snake_case for files. Avoid global state; emphasize strict type hints, functools, and clean functional architectures without OOP classes.</t>
  </si>
  <si>
    <t>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t>
  </si>
  <si>
    <t>Each example MUST include: - Internal data OR dataset usage - Print key intermediate steps and the final result - MUST NOT exceed exactly " &amp; $C9 &amp; " lines of EXECUTABLE code (STRICT: Do NOT count comments or blank lines). - NEVER exceed this limit. | " &amp;</t>
  </si>
  <si>
    <t>" &amp; A9 &amp; " | " &amp;</t>
  </si>
  <si>
    <t>You are helping a Junior Developer who is " &amp; IF(UPPER(H9)="PROJECT", "building a PROJECT: " &amp; I9 &amp; ". Topics applied in this project: " &amp; A9 &amp; ". Project objective: " &amp; J9, "learning: " &amp; I9 &amp; ". Topic details: " &amp; J9) &amp; " | " &amp;</t>
  </si>
  <si>
    <t>You are helping a Junior Developer debug a " &amp; IF(UPPER(H9)="PROJECT", "PROJECT: " &amp; I9 &amp; ". Topics involved: " &amp; A9 &amp; ". Project objective: " &amp; J9, "TOPIC: " &amp; I9 &amp; ". Topic details: " &amp; J9) &amp; " | " &amp;</t>
  </si>
  <si>
    <t>You are helping a Junior Developer complete a " &amp; IF(UPPER(H9)="PROJECT", "PROJECT: " &amp; I9 &amp; ". Topics involved: " &amp; A9 &amp; ". Project objective: " &amp; J9, "TOPIC: " &amp; I9 &amp; ". Topic details: " &amp; J9) &amp; " | " &amp;</t>
  </si>
  <si>
    <t>You are performing a Code Review for a " &amp; IF(UPPER(H9)="PROJECT", "PROJECT: " &amp; I9 &amp; ". Topics involved: " &amp; A9 &amp; ". Project objective: " &amp; J9, "TOPIC: " &amp; I9 &amp; ". Topic details: " &amp; J9) &amp; " | " &amp;</t>
  </si>
  <si>
    <t>You are reviewing the final implementation of a new feature for a " &amp; IF(UPPER(H9)="PROJECT", "PROJECT: " &amp; I9 &amp; ". Topics integrated: " &amp; A9 &amp; ". Business Goal: " &amp; J9, "TOPIC: " &amp; I9 &amp; ". Goal: " &amp; J9) &amp; " | " &amp;</t>
  </si>
  <si>
    <t>Python</t>
  </si>
  <si>
    <t>Requests</t>
  </si>
  <si>
    <t>Execute basic HTTP GET requests using requests.get() to retrieve web page content and evaluate the HTTP .status_code to confirm a successful connection.</t>
  </si>
  <si>
    <t>Executing Basic GET Requests (requests.get, .status_code)</t>
  </si>
  <si>
    <t>Extract and interpret server response data by accessing the .text attribute for string payloads and the .content attribute for raw bytes using the requests library.</t>
  </si>
  <si>
    <t>Reading Response Content (.text, .content)</t>
  </si>
  <si>
    <t>Parse incoming JSON formatted HTTP responses directly into Python dictionary objects utilizing the built-in .json() method from the requests library.</t>
  </si>
  <si>
    <t>Parsing JSON Responses (.json())</t>
  </si>
  <si>
    <t>Construct dynamic URLs by passing a Python dictionary to the params argument in requests.get() to properly encode query string parameters.</t>
  </si>
  <si>
    <t>Passing URL Query Parameters (params dictionary)</t>
  </si>
  <si>
    <t>Examine HTTP response metadata by accessing .headers for server information, .url to verify the final requested endpoint, and .encoding to check text decoding.</t>
  </si>
  <si>
    <t>Inspecting Response Metadata (.headers, .url, .encoding)</t>
  </si>
  <si>
    <t>Build a simple API data fetching application that takes user search queries as input, processes them by passing them as URL parameters in a GET request to parse the JSON response, and outputs a formatted list of results to the user.</t>
  </si>
  <si>
    <t>Simple API Data Fetcher (Combining GET, Params, and JSON parsing)</t>
  </si>
  <si>
    <t>Securely manage API keys and credentials by loading environment variables from a .env file using load_dotenv() and retrieving them in Python via os.getenv().</t>
  </si>
  <si>
    <t>Introduction to python-dotenv (load_dotenv, os.getenv)</t>
  </si>
  <si>
    <t>Modify default HTTP headers by passing a dictionary to the headers parameter in requests to set custom User-Agents or specify accepted content types.</t>
  </si>
  <si>
    <t>Customizing Request Headers (headers dictionary)</t>
  </si>
  <si>
    <t>Authenticate HTTP requests by providing a tuple containing a username and password to the auth parameter to access protected basic-auth API endpoints.</t>
  </si>
  <si>
    <t>Implementing Basic Authentication (auth tuple)</t>
  </si>
  <si>
    <t>Authorize API access by injecting a Bearer token into the Authorization header using a custom headers dictionary within the requests library.</t>
  </si>
  <si>
    <t>Implementing Bearer Token Authentication (via custom headers)</t>
  </si>
  <si>
    <t>Implement automatic error checking by invoking the raise_for_status() method on a response object to throw an exception for unsuccessful HTTP status codes.</t>
  </si>
  <si>
    <t>Handling HTTP Errors Automatically (raise_for_status())</t>
  </si>
  <si>
    <t>Build a secure API client that takes credentials from a .env file as input, processes the connection by authenticating via custom headers and handling HTTP errors automatically, and outputs the protected data fetched securely.</t>
  </si>
  <si>
    <t>Secure API Client (Dotenv integration, Auth, Headers, Error Handling)</t>
  </si>
  <si>
    <t>Submit standard HTML form-encoded data to a server by passing a dictionary payload to the data parameter within a requests.post() call.</t>
  </si>
  <si>
    <t>Sending Form-Encoded Data with POST (data parameter)</t>
  </si>
  <si>
    <t>Transmit complex data structures to REST APIs by utilizing the json parameter in requests.post() to automatically serialize Python dictionaries into JSON payloads.</t>
  </si>
  <si>
    <t>Sending JSON Data with POST (json parameter)</t>
  </si>
  <si>
    <t>Manage server-side resources by executing requests.put() to replace data, requests.patch() for partial updates, and requests.delete() to remove specified endpoints.</t>
  </si>
  <si>
    <t>Modifying and Deleting Resources (requests.put, .patch, .delete)</t>
  </si>
  <si>
    <t>Debug outward-bound HTTP traffic by inspecting the .request.headers and .request.body attributes of a response object to verify exactly what the requests library sent to the server.</t>
  </si>
  <si>
    <t>Inspecting the Prepared Request (response.request.headers, .body)</t>
  </si>
  <si>
    <t>Prevent network hangs by defining maximum connection and read durations using the timeout parameter in requests to ensure scripts fail gracefully during high latency.</t>
  </si>
  <si>
    <t>Enforcing Request Timeouts (timeout parameter)</t>
  </si>
  <si>
    <t>Build a CRUD operations manager application that takes user commands as input to create, read, update, or delete records, processes these commands using corresponding HTTP methods with enforced timeouts, and outputs the confirmation status of each operation.</t>
  </si>
  <si>
    <t>CRUD Operations Manager (Full GET/POST/PUT/DELETE cycle with timeouts)</t>
  </si>
  <si>
    <t>Control URL redirection behavior by toggling the allow_redirects parameter and trace the routing path by iterating through the response.history list in the requests library.</t>
  </si>
  <si>
    <t>Managing HTTP Redirects (allow_redirects, response.history)</t>
  </si>
  <si>
    <t>Optimize memory usage when downloading large binary files by setting stream=True and iterating over the response using .iter_content() to write data in discrete chunk sizes.</t>
  </si>
  <si>
    <t>Downloading Large/Binary Files in Chunks (iter_content)</t>
  </si>
  <si>
    <t>Execute multipart file uploads by passing a dictionary mapping filenames to opened file objects via the files parameter in a requests.post() request.</t>
  </si>
  <si>
    <t>Uploading Single Files (files parameter with open())</t>
  </si>
  <si>
    <t>Construct complex multipart/form-data requests by simultaneously supplying multiple file objects to the files parameter alongside string key-value pairs in the data parameter.</t>
  </si>
  <si>
    <t>Uploading Multiple Files and Form Data Simultaneously</t>
  </si>
  <si>
    <t>Control SSL certificate validation during HTTPS requests by setting the verify parameter to a custom Certificate Authority bundle path or disabling it entirely for local testing environments.</t>
  </si>
  <si>
    <t>Managing SSL Certificate Verification (verify parameter)</t>
  </si>
  <si>
    <t>Build a robust file transfer utility that takes local file paths or remote URLs as input, processes large transfers utilizing chunked streaming and multipart uploads with explicit SSL verification control, and outputs progress indicators and final transfer statuses.</t>
  </si>
  <si>
    <t>Robust File Transfer Utility (Chunked downloads, multipart uploads, SSL control)</t>
  </si>
  <si>
    <t>Optimize network performance by initializing a requests.Session() object to leverage HTTP connection pooling and persist parameters across multiple requests to the same host.</t>
  </si>
  <si>
    <t>Initializing Connection Pooling and State (requests.Session())</t>
  </si>
  <si>
    <t>Streamline API interactions by setting session-level default headers and authentication mechanisms on a requests.Session() instance to automatically apply them to all outbound requests.</t>
  </si>
  <si>
    <t>Configuring Session-Level Defaults (Default headers, default auth)</t>
  </si>
  <si>
    <t>Manipulate and persist HTTP cookies across requests by extracting them from response.cookies, passing them via the cookies parameter, or utilizing a RequestsCookieJar within a session.</t>
  </si>
  <si>
    <t>Managing Cookies (cookies param, response.cookies, RequestsCookieJar)</t>
  </si>
  <si>
    <t>Route outward HTTP and HTTPS traffic through intermediate proxy servers by passing a protocol-mapped dictionary to the proxies parameter in the requests library.</t>
  </si>
  <si>
    <t>Routing Traffic through Proxies (proxies dictionary)</t>
  </si>
  <si>
    <t>Implement advanced error handling architectures by catching specific requests.exceptions such as Timeout or ConnectionError to execute targeted fallback logic instead of generic failures.</t>
  </si>
  <si>
    <t>Catching Specific Network Exceptions (Timeout, ConnectionError, RequestException)</t>
  </si>
  <si>
    <t>Build a stateful API crawler application that takes an initial seed URL as input, processes the navigation of paginated endpoints utilizing a persistent Session with rotating proxies and resilient exception handling, and outputs an aggregated dataset of extracted resources.</t>
  </si>
  <si>
    <t>Stateful API Crawler (Sessions, persistence, proxy rotation, resilient error catching)</t>
  </si>
  <si>
    <t>Consume Server-Sent Events (SSE) or continuous text streams by enabling stream=True and processing the incoming data line-by-line using the .iter_lines() method.</t>
  </si>
  <si>
    <t>Streaming Text Lines and SSE (stream=True, .iter_lines())</t>
  </si>
  <si>
    <t>Automate post-request processing logic by attaching custom Python callback functions to the hooks parameter to implicitly modify or log response objects immediately upon receipt.</t>
  </si>
  <si>
    <t>Attaching Callbacks to Responses (hooks={'response': callback_function})</t>
  </si>
  <si>
    <t>Construct highly customized HTTP requests by manually instantiating a Request object, compiling it using Session.prepare_request(), and executing it via Session.send() for absolute control over network payloads.</t>
  </si>
  <si>
    <t>Manual Request Crafting (Request, Session.prepare_request, Session.send)</t>
  </si>
  <si>
    <t>Engineer resilient HTTP clients by configuring automatic procedural retries for transient failures using urllib3.util.Retry, wrapping it in an HTTPAdapter, and mounting it to a specific URL prefix via session.mount().</t>
  </si>
  <si>
    <t>Configuring Procedural Retries (urllib3.util.Retry, HTTPAdapter, session.mount)</t>
  </si>
  <si>
    <t>Bypass standard requests data parsing by setting stream=True and accessing the underlying urllib3 socket response directly via response.raw, utilizing decode_content to handle gzip/deflate decompression manually.</t>
  </si>
  <si>
    <t>Accessing the Underlying Socket Response (response.raw, decode_content)</t>
  </si>
  <si>
    <t>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t>
  </si>
  <si>
    <t>Resilient Data Pipeline (Prepared requests, event hooks, retries, and streaming streams)</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</si>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</sst>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Aptos Narrow"/>
      <family val="2"/>
      <scheme val="minor"/>
    </font>
    <font>
      <b/>
      <sz val="11"/>
      <color theme="1"/>
      <name val="Aptos Narrow"/>
      <family val="2"/>
      <scheme val="minor"/>
    </font>
    <font>
      <sz val="11"/>
      <color theme="0"/>
      <name val="Aptos Narrow"/>
      <family val="2"/>
      <scheme val="minor"/>
    </font>
    <font>
      <b/>
      <sz val="20"/>
      <color theme="0"/>
      <name val="Aptos Narrow"/>
      <family val="2"/>
      <scheme val="minor"/>
    </font>
    <font>
      <b/>
      <sz val="18"/>
      <color theme="0"/>
      <name val="Aptos Narrow"/>
      <family val="2"/>
      <scheme val="minor"/>
    </font>
    <font>
      <sz val="11"/>
      <name val="Aptos Narrow"/>
      <family val="2"/>
      <scheme val="minor"/>
    </font>
    <font>
      <b/>
      <sz val="18"/>
      <color rgb="FFFFFF00"/>
      <name val="Aptos Narrow"/>
      <family val="2"/>
      <scheme val="minor"/>
    </font>
    <font>
      <b/>
      <sz val="20"/>
      <color rgb="FFFFC000"/>
      <name val="Aptos Narrow"/>
      <family val="2"/>
      <scheme val="minor"/>
    </font>
    <font>
      <sz val="14"/>
      <color theme="0"/>
      <name val="Aptos Narrow"/>
      <family val="2"/>
      <scheme val="minor"/>
    </font>
    <font>
      <b/>
      <sz val="12"/>
      <color theme="0"/>
      <name val="Aptos Narrow"/>
      <family val="2"/>
      <scheme val="minor"/>
    </font>
    <font>
      <sz val="12"/>
      <color theme="0"/>
      <name val="Aptos Narrow"/>
      <family val="2"/>
      <scheme val="minor"/>
    </font>
    <font>
      <sz val="11"/>
      <color theme="0" tint="-4.9989318521683403E-2"/>
      <name val="Aptos Narrow"/>
      <family val="2"/>
      <scheme val="minor"/>
    </font>
    <font>
      <b/>
      <sz val="12"/>
      <color theme="0" tint="-4.9989318521683403E-2"/>
      <name val="Aptos Narrow"/>
      <family val="2"/>
      <scheme val="minor"/>
    </font>
    <font>
      <b/>
      <sz val="16"/>
      <color theme="0"/>
      <name val="Aptos Narrow"/>
      <family val="2"/>
      <scheme val="minor"/>
    </font>
    <font>
      <b/>
      <sz val="11"/>
      <color theme="1"/>
      <name val="Arial"/>
      <family val="2"/>
    </font>
    <font>
      <sz val="11"/>
      <color theme="1"/>
      <name val="Arial"/>
      <family val="2"/>
    </font>
    <font>
      <sz val="28"/>
      <color theme="1"/>
      <name val="Aptos Narrow"/>
      <family val="2"/>
      <scheme val="minor"/>
    </font>
    <font>
      <b/>
      <sz val="11"/>
      <color theme="0"/>
      <name val="Aptos Narrow"/>
      <family val="2"/>
      <scheme val="minor"/>
    </font>
    <font>
      <b/>
      <sz val="28"/>
      <color theme="1"/>
      <name val="Aptos Narrow"/>
      <family val="2"/>
      <scheme val="minor"/>
    </font>
    <font>
      <b/>
      <sz val="14"/>
      <color theme="1"/>
      <name val="Aptos Narrow"/>
      <family val="2"/>
      <scheme val="minor"/>
    </font>
    <font>
      <u/>
      <sz val="11"/>
      <color theme="10"/>
      <name val="Aptos Narrow"/>
      <family val="2"/>
      <scheme val="minor"/>
    </font>
    <font>
      <b/>
      <sz val="13.5"/>
      <color theme="1"/>
      <name val="Aptos Narrow"/>
      <family val="2"/>
      <scheme val="minor"/>
    </font>
    <font>
      <sz val="10"/>
      <color theme="1"/>
      <name val="Arial Unicode MS"/>
    </font>
    <font>
      <sz val="20"/>
      <color theme="1"/>
      <name val="Aptos Narrow"/>
      <family val="2"/>
      <scheme val="minor"/>
    </font>
    <font>
      <b/>
      <sz val="20"/>
      <color theme="5" tint="-0.249977111117893"/>
      <name val="Aptos Narrow"/>
      <family val="2"/>
      <scheme val="minor"/>
    </font>
    <font>
      <b/>
      <sz val="24"/>
      <color theme="1"/>
      <name val="Aptos Narrow"/>
      <family val="2"/>
      <scheme val="minor"/>
    </font>
    <font>
      <b/>
      <sz val="16"/>
      <color theme="1"/>
      <name val="Aptos Narrow"/>
      <family val="2"/>
      <scheme val="minor"/>
    </font>
  </fonts>
  <fills count="37">
    <fill>
      <patternFill patternType="none"/>
    </fill>
    <fill>
      <patternFill patternType="gray125"/>
    </fill>
    <fill>
      <patternFill patternType="solid">
        <fgColor theme="1"/>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9" tint="0.59999389629810485"/>
        <bgColor indexed="64"/>
      </patternFill>
    </fill>
    <fill>
      <patternFill patternType="solid">
        <fgColor rgb="FFFFC000"/>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249977111117893"/>
        <bgColor indexed="64"/>
      </patternFill>
    </fill>
    <fill>
      <patternFill patternType="solid">
        <fgColor theme="2" tint="-9.9978637043366805E-2"/>
        <bgColor theme="0" tint="-0.14999847407452621"/>
      </patternFill>
    </fill>
    <fill>
      <patternFill patternType="solid">
        <fgColor rgb="FFFFFF00"/>
        <bgColor indexed="64"/>
      </patternFill>
    </fill>
    <fill>
      <patternFill patternType="solid">
        <fgColor theme="0" tint="-0.14999847407452621"/>
        <bgColor theme="0" tint="-0.14999847407452621"/>
      </patternFill>
    </fill>
    <fill>
      <patternFill patternType="solid">
        <fgColor theme="3" tint="0.749992370372631"/>
        <bgColor theme="0" tint="-0.14999847407452621"/>
      </patternFill>
    </fill>
    <fill>
      <patternFill patternType="solid">
        <fgColor theme="6" tint="0.79998168889431442"/>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rgb="FF2C353E"/>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3" tint="0.249977111117893"/>
        <bgColor indexed="64"/>
      </patternFill>
    </fill>
    <fill>
      <patternFill patternType="solid">
        <fgColor theme="4" tint="0.59999389629810485"/>
        <bgColor theme="0" tint="-0.14999847407452621"/>
      </patternFill>
    </fill>
    <fill>
      <patternFill patternType="solid">
        <fgColor rgb="FF00B050"/>
        <bgColor indexed="64"/>
      </patternFill>
    </fill>
    <fill>
      <patternFill patternType="solid">
        <fgColor theme="6" tint="0.39997558519241921"/>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D8BEEC"/>
        <bgColor indexed="64"/>
      </patternFill>
    </fill>
    <fill>
      <patternFill patternType="solid">
        <fgColor theme="0" tint="-4.9989318521683403E-2"/>
        <bgColor indexed="64"/>
      </patternFill>
    </fill>
    <fill>
      <patternFill patternType="solid">
        <fgColor theme="1" tint="4.9989318521683403E-2"/>
        <bgColor indexed="64"/>
      </patternFill>
    </fill>
    <fill>
      <patternFill patternType="solid">
        <fgColor theme="7" tint="0.59999389629810485"/>
        <bgColor theme="0" tint="-0.14999847407452621"/>
      </patternFill>
    </fill>
    <fill>
      <patternFill patternType="solid">
        <fgColor rgb="FF002060"/>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7" tint="0.7999816888943144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theme="0" tint="-0.14996795556505021"/>
      </left>
      <right/>
      <top style="thin">
        <color theme="0" tint="-0.14996795556505021"/>
      </top>
      <bottom/>
      <diagonal/>
    </border>
    <border>
      <left/>
      <right/>
      <top style="thin">
        <color theme="0" tint="-0.14996795556505021"/>
      </top>
      <bottom/>
      <diagonal/>
    </border>
    <border>
      <left style="thin">
        <color theme="0" tint="-0.14993743705557422"/>
      </left>
      <right/>
      <top style="thin">
        <color theme="0" tint="-0.14993743705557422"/>
      </top>
      <bottom/>
      <diagonal/>
    </border>
    <border>
      <left/>
      <right/>
      <top style="thin">
        <color theme="0" tint="-0.14993743705557422"/>
      </top>
      <bottom/>
      <diagonal/>
    </border>
    <border>
      <left/>
      <right style="thin">
        <color theme="0" tint="-0.14993743705557422"/>
      </right>
      <top style="thin">
        <color theme="0" tint="-0.14993743705557422"/>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14996795556505021"/>
      </left>
      <right/>
      <top/>
      <bottom/>
      <diagonal/>
    </border>
    <border>
      <left style="thin">
        <color theme="0" tint="-0.14993743705557422"/>
      </left>
      <right/>
      <top/>
      <bottom/>
      <diagonal/>
    </border>
    <border>
      <left/>
      <right style="thin">
        <color theme="0" tint="-0.14993743705557422"/>
      </right>
      <top/>
      <bottom/>
      <diagonal/>
    </border>
    <border>
      <left style="thin">
        <color theme="0" tint="-0.24994659260841701"/>
      </left>
      <right/>
      <top/>
      <bottom/>
      <diagonal/>
    </border>
    <border>
      <left/>
      <right style="thin">
        <color theme="0" tint="-0.24994659260841701"/>
      </right>
      <top/>
      <bottom/>
      <diagonal/>
    </border>
    <border>
      <left/>
      <right/>
      <top/>
      <bottom style="thin">
        <color theme="0" tint="-0.14996795556505021"/>
      </bottom>
      <diagonal/>
    </border>
    <border>
      <left/>
      <right style="thin">
        <color theme="0" tint="-0.14993743705557422"/>
      </right>
      <top/>
      <bottom style="thin">
        <color theme="0" tint="-0.14993743705557422"/>
      </bottom>
      <diagonal/>
    </border>
    <border>
      <left/>
      <right style="thin">
        <color theme="0" tint="-0.24994659260841701"/>
      </right>
      <top/>
      <bottom style="thin">
        <color theme="0" tint="-0.24994659260841701"/>
      </bottom>
      <diagonal/>
    </border>
    <border>
      <left style="medium">
        <color indexed="64"/>
      </left>
      <right/>
      <top style="thin">
        <color theme="1"/>
      </top>
      <bottom/>
      <diagonal/>
    </border>
    <border>
      <left style="thin">
        <color indexed="64"/>
      </left>
      <right/>
      <top style="thin">
        <color theme="1"/>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style="medium">
        <color indexed="64"/>
      </left>
      <right/>
      <top style="thin">
        <color indexed="64"/>
      </top>
      <bottom/>
      <diagonal/>
    </border>
    <border>
      <left style="thin">
        <color indexed="64"/>
      </left>
      <right/>
      <top style="thin">
        <color indexed="64"/>
      </top>
      <bottom style="thin">
        <color rgb="FF000000"/>
      </bottom>
      <diagonal/>
    </border>
    <border>
      <left style="thin">
        <color indexed="64"/>
      </left>
      <right style="thin">
        <color indexed="64"/>
      </right>
      <top style="thin">
        <color indexed="64"/>
      </top>
      <bottom style="thin">
        <color rgb="FF000000"/>
      </bottom>
      <diagonal/>
    </border>
    <border>
      <left/>
      <right/>
      <top style="thin">
        <color indexed="64"/>
      </top>
      <bottom style="thin">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20" fillId="0" borderId="0" applyNumberFormat="0" applyFill="0" applyBorder="0" applyAlignment="0" applyProtection="0"/>
  </cellStyleXfs>
  <cellXfs count="142">
    <xf numFmtId="0" fontId="0" fillId="0" borderId="0" xfId="0"/>
    <xf numFmtId="0" fontId="0" fillId="2" borderId="0" xfId="0" applyFill="1"/>
    <xf numFmtId="0" fontId="2" fillId="2" borderId="0" xfId="0" applyFont="1" applyFill="1"/>
    <xf numFmtId="0" fontId="3" fillId="2" borderId="0" xfId="0" applyFont="1" applyFill="1"/>
    <xf numFmtId="0" fontId="1" fillId="3" borderId="1" xfId="0" applyFont="1" applyFill="1" applyBorder="1"/>
    <xf numFmtId="0" fontId="3" fillId="2" borderId="2" xfId="0" applyFont="1" applyFill="1" applyBorder="1"/>
    <xf numFmtId="0" fontId="3" fillId="2" borderId="3" xfId="0" applyFont="1" applyFill="1" applyBorder="1"/>
    <xf numFmtId="0" fontId="4" fillId="2" borderId="3" xfId="0" applyFont="1" applyFill="1" applyBorder="1"/>
    <xf numFmtId="0" fontId="3" fillId="2" borderId="4" xfId="0" applyFont="1" applyFill="1" applyBorder="1"/>
    <xf numFmtId="0" fontId="3" fillId="2" borderId="5" xfId="0" applyFont="1" applyFill="1" applyBorder="1"/>
    <xf numFmtId="0" fontId="3" fillId="2" borderId="6" xfId="0" applyFont="1" applyFill="1" applyBorder="1"/>
    <xf numFmtId="0" fontId="3" fillId="2" borderId="7" xfId="0" applyFont="1" applyFill="1" applyBorder="1"/>
    <xf numFmtId="0" fontId="3" fillId="2" borderId="8" xfId="0" applyFont="1" applyFill="1" applyBorder="1"/>
    <xf numFmtId="0" fontId="3" fillId="2" borderId="9" xfId="0" applyFont="1" applyFill="1" applyBorder="1"/>
    <xf numFmtId="0" fontId="0" fillId="4" borderId="0" xfId="0" applyFill="1"/>
    <xf numFmtId="0" fontId="5" fillId="4" borderId="0" xfId="0" applyFont="1" applyFill="1"/>
    <xf numFmtId="0" fontId="6" fillId="2" borderId="0" xfId="0" applyFont="1" applyFill="1"/>
    <xf numFmtId="0" fontId="0" fillId="5" borderId="1" xfId="0" applyFill="1" applyBorder="1"/>
    <xf numFmtId="0" fontId="7" fillId="2" borderId="10" xfId="0" applyFont="1" applyFill="1" applyBorder="1"/>
    <xf numFmtId="0" fontId="8" fillId="2" borderId="0" xfId="0" applyFont="1" applyFill="1"/>
    <xf numFmtId="0" fontId="2" fillId="2" borderId="0" xfId="0" applyFont="1" applyFill="1" applyAlignment="1">
      <alignment horizontal="left"/>
    </xf>
    <xf numFmtId="0" fontId="2" fillId="2" borderId="10" xfId="0" applyFont="1" applyFill="1" applyBorder="1"/>
    <xf numFmtId="0" fontId="2" fillId="2" borderId="0" xfId="0" applyFont="1" applyFill="1" applyAlignment="1">
      <alignment vertical="center" wrapText="1"/>
    </xf>
    <xf numFmtId="0" fontId="2" fillId="2" borderId="12" xfId="0" applyFont="1" applyFill="1" applyBorder="1" applyAlignment="1">
      <alignment vertical="center" wrapText="1"/>
    </xf>
    <xf numFmtId="0" fontId="2" fillId="2" borderId="10" xfId="0" applyFont="1" applyFill="1" applyBorder="1" applyAlignment="1">
      <alignment vertical="center" wrapText="1"/>
    </xf>
    <xf numFmtId="0" fontId="2" fillId="2" borderId="14" xfId="0" applyFont="1" applyFill="1" applyBorder="1" applyAlignment="1">
      <alignment vertical="center" wrapText="1"/>
    </xf>
    <xf numFmtId="0" fontId="2" fillId="2" borderId="13" xfId="0" applyFont="1" applyFill="1" applyBorder="1" applyAlignment="1">
      <alignment vertical="center" wrapText="1"/>
    </xf>
    <xf numFmtId="0" fontId="10" fillId="2" borderId="10" xfId="0" applyFont="1" applyFill="1" applyBorder="1"/>
    <xf numFmtId="0" fontId="11" fillId="2" borderId="0" xfId="0" applyFont="1" applyFill="1"/>
    <xf numFmtId="0" fontId="12" fillId="2" borderId="0" xfId="0" applyFont="1" applyFill="1"/>
    <xf numFmtId="0" fontId="2" fillId="2" borderId="11" xfId="0" applyFont="1" applyFill="1" applyBorder="1" applyAlignment="1">
      <alignment vertical="center"/>
    </xf>
    <xf numFmtId="0" fontId="2" fillId="2" borderId="0" xfId="0" applyFont="1" applyFill="1" applyAlignment="1">
      <alignment vertical="center"/>
    </xf>
    <xf numFmtId="0" fontId="1" fillId="0" borderId="1" xfId="0" applyFont="1" applyBorder="1"/>
    <xf numFmtId="0" fontId="13" fillId="2" borderId="10" xfId="0" applyFont="1" applyFill="1" applyBorder="1"/>
    <xf numFmtId="0" fontId="0" fillId="6" borderId="1" xfId="0" applyFill="1" applyBorder="1"/>
    <xf numFmtId="0" fontId="0" fillId="7" borderId="1" xfId="0" applyFill="1" applyBorder="1"/>
    <xf numFmtId="0" fontId="2" fillId="2" borderId="15" xfId="0" applyFont="1" applyFill="1" applyBorder="1"/>
    <xf numFmtId="0" fontId="11" fillId="2" borderId="15" xfId="0" applyFont="1" applyFill="1" applyBorder="1"/>
    <xf numFmtId="0" fontId="2" fillId="2" borderId="16" xfId="0" applyFont="1" applyFill="1" applyBorder="1" applyAlignment="1">
      <alignment vertical="center" wrapText="1"/>
    </xf>
    <xf numFmtId="0" fontId="2" fillId="2" borderId="17" xfId="0" applyFont="1" applyFill="1" applyBorder="1" applyAlignment="1">
      <alignment vertical="center" wrapText="1"/>
    </xf>
    <xf numFmtId="0" fontId="0" fillId="4" borderId="1" xfId="0" applyFill="1" applyBorder="1"/>
    <xf numFmtId="0" fontId="14" fillId="8" borderId="18" xfId="0" applyFont="1" applyFill="1" applyBorder="1" applyAlignment="1">
      <alignment vertical="center"/>
    </xf>
    <xf numFmtId="0" fontId="14" fillId="9" borderId="19" xfId="0" applyFont="1" applyFill="1" applyBorder="1" applyAlignment="1">
      <alignment vertical="center"/>
    </xf>
    <xf numFmtId="0" fontId="14" fillId="9" borderId="1" xfId="0" applyFont="1" applyFill="1" applyBorder="1" applyAlignment="1">
      <alignment vertical="center"/>
    </xf>
    <xf numFmtId="0" fontId="14" fillId="9" borderId="1" xfId="0" applyFont="1" applyFill="1" applyBorder="1" applyAlignment="1">
      <alignment horizontal="left" vertical="center"/>
    </xf>
    <xf numFmtId="0" fontId="0" fillId="10" borderId="1" xfId="0" applyFill="1" applyBorder="1"/>
    <xf numFmtId="0" fontId="15" fillId="11" borderId="20" xfId="0" applyFont="1" applyFill="1" applyBorder="1" applyAlignment="1">
      <alignment horizontal="center" vertical="center"/>
    </xf>
    <xf numFmtId="0" fontId="0" fillId="12" borderId="20" xfId="0" applyFill="1" applyBorder="1" applyAlignment="1">
      <alignment horizontal="left"/>
    </xf>
    <xf numFmtId="0" fontId="15" fillId="13" borderId="1" xfId="0" applyFont="1" applyFill="1" applyBorder="1" applyAlignment="1">
      <alignment vertical="center"/>
    </xf>
    <xf numFmtId="0" fontId="15" fillId="13" borderId="20" xfId="0" applyFont="1" applyFill="1" applyBorder="1" applyAlignment="1">
      <alignment vertical="center"/>
    </xf>
    <xf numFmtId="0" fontId="15" fillId="14" borderId="21" xfId="0" applyFont="1" applyFill="1" applyBorder="1" applyAlignment="1">
      <alignment vertical="center"/>
    </xf>
    <xf numFmtId="0" fontId="15" fillId="13" borderId="22" xfId="0" applyFont="1" applyFill="1" applyBorder="1" applyAlignment="1">
      <alignment vertical="center"/>
    </xf>
    <xf numFmtId="0" fontId="0" fillId="0" borderId="20" xfId="0" applyBorder="1"/>
    <xf numFmtId="0" fontId="0" fillId="13" borderId="20" xfId="0" applyFill="1" applyBorder="1"/>
    <xf numFmtId="0" fontId="0" fillId="0" borderId="1" xfId="0" applyBorder="1"/>
    <xf numFmtId="0" fontId="5" fillId="4" borderId="1" xfId="0" applyFont="1" applyFill="1" applyBorder="1"/>
    <xf numFmtId="0" fontId="0" fillId="15" borderId="1" xfId="0" applyFill="1" applyBorder="1"/>
    <xf numFmtId="0" fontId="15" fillId="4" borderId="20" xfId="0" applyFont="1" applyFill="1" applyBorder="1" applyAlignment="1">
      <alignment horizontal="center" vertical="center"/>
    </xf>
    <xf numFmtId="0" fontId="0" fillId="16" borderId="20" xfId="0" applyFill="1" applyBorder="1" applyAlignment="1">
      <alignment horizontal="left"/>
    </xf>
    <xf numFmtId="0" fontId="15" fillId="0" borderId="1" xfId="0" applyFont="1" applyBorder="1" applyAlignment="1">
      <alignment vertical="center"/>
    </xf>
    <xf numFmtId="0" fontId="15" fillId="0" borderId="20" xfId="0" applyFont="1" applyBorder="1" applyAlignment="1">
      <alignment vertical="center"/>
    </xf>
    <xf numFmtId="0" fontId="15" fillId="17" borderId="21" xfId="0" applyFont="1" applyFill="1" applyBorder="1" applyAlignment="1">
      <alignment vertical="center"/>
    </xf>
    <xf numFmtId="0" fontId="15" fillId="0" borderId="22" xfId="0" applyFont="1" applyBorder="1" applyAlignment="1">
      <alignment vertical="center"/>
    </xf>
    <xf numFmtId="0" fontId="15" fillId="0" borderId="1" xfId="0" applyFont="1" applyBorder="1" applyAlignment="1">
      <alignment vertical="center" wrapText="1"/>
    </xf>
    <xf numFmtId="0" fontId="15" fillId="0" borderId="20" xfId="0" applyFont="1" applyBorder="1" applyAlignment="1">
      <alignment vertical="center" wrapText="1"/>
    </xf>
    <xf numFmtId="0" fontId="15" fillId="13" borderId="1" xfId="0" applyFont="1" applyFill="1" applyBorder="1" applyAlignment="1">
      <alignment vertical="center" wrapText="1"/>
    </xf>
    <xf numFmtId="0" fontId="15" fillId="13" borderId="20" xfId="0" applyFont="1" applyFill="1" applyBorder="1" applyAlignment="1">
      <alignment vertical="center" wrapText="1"/>
    </xf>
    <xf numFmtId="0" fontId="0" fillId="13" borderId="1" xfId="0" applyFill="1" applyBorder="1"/>
    <xf numFmtId="0" fontId="15" fillId="4" borderId="24" xfId="0" applyFont="1" applyFill="1" applyBorder="1" applyAlignment="1">
      <alignment horizontal="center" vertical="center"/>
    </xf>
    <xf numFmtId="0" fontId="0" fillId="0" borderId="24" xfId="0" applyBorder="1"/>
    <xf numFmtId="0" fontId="15" fillId="17" borderId="25" xfId="0" applyFont="1" applyFill="1" applyBorder="1" applyAlignment="1">
      <alignment vertical="center"/>
    </xf>
    <xf numFmtId="0" fontId="15" fillId="0" borderId="26" xfId="0" applyFont="1" applyBorder="1" applyAlignment="1">
      <alignment vertical="center"/>
    </xf>
    <xf numFmtId="0" fontId="0" fillId="18" borderId="0" xfId="0" applyFill="1"/>
    <xf numFmtId="0" fontId="0" fillId="0" borderId="0" xfId="0" applyAlignment="1">
      <alignment horizontal="left"/>
    </xf>
    <xf numFmtId="0" fontId="0" fillId="0" borderId="0" xfId="0" applyAlignment="1">
      <alignment wrapText="1"/>
    </xf>
    <xf numFmtId="0" fontId="0" fillId="20" borderId="1" xfId="0" applyFill="1" applyBorder="1"/>
    <xf numFmtId="0" fontId="17" fillId="22" borderId="1" xfId="0" applyFont="1" applyFill="1" applyBorder="1"/>
    <xf numFmtId="49" fontId="0" fillId="5" borderId="1" xfId="0" applyNumberFormat="1" applyFill="1" applyBorder="1"/>
    <xf numFmtId="0" fontId="16" fillId="12" borderId="1" xfId="0" applyFont="1" applyFill="1" applyBorder="1"/>
    <xf numFmtId="0" fontId="16" fillId="6" borderId="1" xfId="0" applyFont="1" applyFill="1" applyBorder="1"/>
    <xf numFmtId="0" fontId="16" fillId="21" borderId="1" xfId="0" applyFont="1" applyFill="1" applyBorder="1"/>
    <xf numFmtId="0" fontId="18" fillId="0" borderId="0" xfId="0" applyFont="1" applyAlignment="1">
      <alignment horizontal="center" vertical="center"/>
    </xf>
    <xf numFmtId="0" fontId="19" fillId="0" borderId="0" xfId="0" applyFont="1"/>
    <xf numFmtId="0" fontId="0" fillId="9" borderId="1" xfId="0" applyFill="1" applyBorder="1"/>
    <xf numFmtId="0" fontId="0" fillId="19" borderId="1" xfId="0" applyFill="1" applyBorder="1"/>
    <xf numFmtId="49" fontId="0" fillId="0" borderId="0" xfId="0" applyNumberFormat="1"/>
    <xf numFmtId="49" fontId="0" fillId="0" borderId="0" xfId="0" applyNumberFormat="1" applyAlignment="1">
      <alignment wrapText="1"/>
    </xf>
    <xf numFmtId="0" fontId="15" fillId="23" borderId="23" xfId="0" applyFont="1" applyFill="1" applyBorder="1" applyAlignment="1">
      <alignment vertical="center"/>
    </xf>
    <xf numFmtId="49" fontId="0" fillId="24" borderId="1" xfId="0" applyNumberFormat="1" applyFill="1" applyBorder="1"/>
    <xf numFmtId="49" fontId="0" fillId="25" borderId="1" xfId="0" applyNumberFormat="1" applyFill="1" applyBorder="1"/>
    <xf numFmtId="0" fontId="0" fillId="26" borderId="1" xfId="0" applyFill="1" applyBorder="1"/>
    <xf numFmtId="0" fontId="0" fillId="27" borderId="1" xfId="0" applyFill="1" applyBorder="1"/>
    <xf numFmtId="0" fontId="0" fillId="28" borderId="1" xfId="0" applyFill="1" applyBorder="1"/>
    <xf numFmtId="0" fontId="0" fillId="29" borderId="1" xfId="0" applyFill="1" applyBorder="1"/>
    <xf numFmtId="0" fontId="0" fillId="30" borderId="1" xfId="0" applyFill="1" applyBorder="1"/>
    <xf numFmtId="0" fontId="0" fillId="3" borderId="1" xfId="0" applyFill="1" applyBorder="1" applyAlignment="1">
      <alignment horizontal="center"/>
    </xf>
    <xf numFmtId="0" fontId="0" fillId="31" borderId="0" xfId="0" applyFill="1"/>
    <xf numFmtId="0" fontId="7" fillId="2" borderId="0" xfId="0" applyFont="1" applyFill="1"/>
    <xf numFmtId="0" fontId="10" fillId="2" borderId="0" xfId="0" applyFont="1" applyFill="1"/>
    <xf numFmtId="0" fontId="0" fillId="5" borderId="21" xfId="0" applyFill="1" applyBorder="1"/>
    <xf numFmtId="0" fontId="2" fillId="2" borderId="27" xfId="0" applyFont="1" applyFill="1" applyBorder="1" applyAlignment="1">
      <alignment horizontal="left"/>
    </xf>
    <xf numFmtId="0" fontId="2" fillId="2" borderId="28" xfId="0" applyFont="1" applyFill="1" applyBorder="1" applyAlignment="1">
      <alignment horizontal="left"/>
    </xf>
    <xf numFmtId="0" fontId="15" fillId="32" borderId="23" xfId="0" applyFont="1" applyFill="1" applyBorder="1" applyAlignment="1">
      <alignment vertical="center"/>
    </xf>
    <xf numFmtId="0" fontId="15" fillId="11" borderId="1" xfId="0" applyFont="1" applyFill="1" applyBorder="1" applyAlignment="1">
      <alignment vertical="center"/>
    </xf>
    <xf numFmtId="0" fontId="1" fillId="28" borderId="1" xfId="0" applyFont="1" applyFill="1" applyBorder="1"/>
    <xf numFmtId="0" fontId="1" fillId="0" borderId="20" xfId="0" applyFont="1" applyBorder="1"/>
    <xf numFmtId="0" fontId="0" fillId="0" borderId="22" xfId="0" applyBorder="1"/>
    <xf numFmtId="0" fontId="0" fillId="0" borderId="29" xfId="0" applyBorder="1"/>
    <xf numFmtId="0" fontId="1" fillId="0" borderId="30" xfId="0" applyFont="1" applyBorder="1"/>
    <xf numFmtId="0" fontId="0" fillId="0" borderId="31" xfId="0" applyBorder="1"/>
    <xf numFmtId="0" fontId="0" fillId="0" borderId="30" xfId="0" applyBorder="1"/>
    <xf numFmtId="0" fontId="0" fillId="0" borderId="32" xfId="0" applyBorder="1"/>
    <xf numFmtId="0" fontId="0" fillId="0" borderId="33" xfId="0" applyBorder="1"/>
    <xf numFmtId="0" fontId="0" fillId="0" borderId="34" xfId="0" applyBorder="1"/>
    <xf numFmtId="0" fontId="20" fillId="0" borderId="0" xfId="1" applyBorder="1"/>
    <xf numFmtId="0" fontId="21"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0" fillId="0" borderId="0" xfId="0" applyAlignment="1">
      <alignment horizontal="left" vertical="center" indent="2"/>
    </xf>
    <xf numFmtId="0" fontId="22" fillId="0" borderId="0" xfId="0" applyFont="1" applyAlignment="1">
      <alignment horizontal="left" vertical="center" indent="2"/>
    </xf>
    <xf numFmtId="0" fontId="22" fillId="0" borderId="0" xfId="0" applyFont="1"/>
    <xf numFmtId="0" fontId="0" fillId="26" borderId="0" xfId="0" applyFill="1"/>
    <xf numFmtId="0" fontId="24" fillId="0" borderId="1" xfId="0" applyFont="1" applyBorder="1"/>
    <xf numFmtId="0" fontId="23" fillId="26" borderId="1" xfId="0" applyFont="1" applyFill="1" applyBorder="1"/>
    <xf numFmtId="0" fontId="17" fillId="33" borderId="0" xfId="0" applyFont="1" applyFill="1"/>
    <xf numFmtId="0" fontId="0" fillId="34" borderId="0" xfId="0" applyFill="1"/>
    <xf numFmtId="0" fontId="0" fillId="35" borderId="0" xfId="0" applyFill="1"/>
    <xf numFmtId="0" fontId="0" fillId="28" borderId="0" xfId="0" applyFill="1"/>
    <xf numFmtId="0" fontId="0" fillId="36" borderId="0" xfId="0" applyFill="1"/>
    <xf numFmtId="0" fontId="15" fillId="32" borderId="20" xfId="0" applyFont="1" applyFill="1" applyBorder="1" applyAlignment="1">
      <alignment vertical="center"/>
    </xf>
    <xf numFmtId="0" fontId="9" fillId="2" borderId="0" xfId="0" applyFont="1" applyFill="1"/>
    <xf numFmtId="0" fontId="25" fillId="0" borderId="0" xfId="0" applyFont="1" applyAlignment="1">
      <alignment vertical="center"/>
    </xf>
    <xf numFmtId="0" fontId="26" fillId="0" borderId="0" xfId="0" applyFont="1" applyAlignment="1">
      <alignment vertical="center"/>
    </xf>
    <xf numFmtId="0" fontId="22" fillId="0" borderId="0" xfId="0" applyFont="1" applyAlignment="1">
      <alignment vertical="center"/>
    </xf>
    <xf numFmtId="0" fontId="0" fillId="0" borderId="0" xfId="0" applyAlignment="1">
      <alignment vertical="center"/>
    </xf>
    <xf numFmtId="0" fontId="20" fillId="0" borderId="33" xfId="1" applyBorder="1"/>
    <xf numFmtId="0" fontId="5" fillId="4" borderId="1" xfId="0" applyFont="1" applyFill="1" applyBorder="1" applyAlignment="1">
      <alignment horizontal="center"/>
    </xf>
    <xf numFmtId="0" fontId="9" fillId="2" borderId="11" xfId="0" applyFont="1" applyFill="1" applyBorder="1" applyAlignment="1">
      <alignment horizontal="center" vertical="center"/>
    </xf>
    <xf numFmtId="0" fontId="9" fillId="2" borderId="0" xfId="0" applyFont="1" applyFill="1" applyAlignment="1">
      <alignment horizontal="center" vertical="center"/>
    </xf>
    <xf numFmtId="0" fontId="9" fillId="2" borderId="12" xfId="0" applyFont="1" applyFill="1" applyBorder="1" applyAlignment="1">
      <alignment horizontal="center" vertical="center"/>
    </xf>
    <xf numFmtId="0" fontId="9" fillId="2" borderId="13" xfId="0" applyFont="1" applyFill="1" applyBorder="1" applyAlignment="1">
      <alignment horizontal="center" vertical="center"/>
    </xf>
    <xf numFmtId="0" fontId="9" fillId="2" borderId="14" xfId="0" applyFont="1" applyFill="1" applyBorder="1" applyAlignment="1">
      <alignment horizontal="center" vertical="center"/>
    </xf>
  </cellXfs>
  <cellStyles count="2">
    <cellStyle name="Hyperlink" xfId="1" builtinId="8"/>
    <cellStyle name="Normal" xfId="0" builtinId="0"/>
  </cellStyles>
  <dxfs count="83">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strike val="0"/>
      </font>
    </dxf>
    <dxf>
      <fill>
        <patternFill>
          <bgColor theme="5" tint="0.79998168889431442"/>
        </patternFill>
      </fill>
    </dxf>
    <dxf>
      <fill>
        <patternFill>
          <bgColor theme="4" tint="0.79998168889431442"/>
        </patternFill>
      </fill>
    </dxf>
    <dxf>
      <fill>
        <patternFill>
          <bgColor theme="6" tint="0.79998168889431442"/>
        </patternFill>
      </fill>
    </dxf>
    <dxf>
      <font>
        <b/>
        <i val="0"/>
      </font>
    </dxf>
    <dxf>
      <fill>
        <patternFill>
          <bgColor theme="5" tint="0.79998168889431442"/>
        </patternFill>
      </fill>
    </dxf>
  </dxfs>
  <tableStyles count="0" defaultTableStyle="TableStyleMedium2" defaultPivotStyle="PivotStyleLight16"/>
  <colors>
    <mruColors>
      <color rgb="FFFFFF99"/>
      <color rgb="FFD8BEEC"/>
      <color rgb="FFC7A1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57150</xdr:colOff>
      <xdr:row>25</xdr:row>
      <xdr:rowOff>142876</xdr:rowOff>
    </xdr:from>
    <xdr:to>
      <xdr:col>6</xdr:col>
      <xdr:colOff>161925</xdr:colOff>
      <xdr:row>34</xdr:row>
      <xdr:rowOff>66676</xdr:rowOff>
    </xdr:to>
    <xdr:sp macro="" textlink="">
      <xdr:nvSpPr>
        <xdr:cNvPr id="2" name="TextBox 1">
          <a:extLst>
            <a:ext uri="{FF2B5EF4-FFF2-40B4-BE49-F238E27FC236}">
              <a16:creationId xmlns:a16="http://schemas.microsoft.com/office/drawing/2014/main" id="{C1853C4B-5CF2-4075-877A-E1BD79048DE4}"/>
            </a:ext>
          </a:extLst>
        </xdr:cNvPr>
        <xdr:cNvSpPr txBox="1"/>
      </xdr:nvSpPr>
      <xdr:spPr>
        <a:xfrm>
          <a:off x="57150" y="5305426"/>
          <a:ext cx="3762375" cy="1638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[Paste Mentor Prompt Cell Here]</a:t>
          </a:r>
        </a:p>
        <a:p>
          <a:endParaRPr lang="en-US" sz="1100"/>
        </a:p>
        <a:p>
          <a:r>
            <a:rPr lang="en-US" sz="1100" b="1"/>
            <a:t>My question:</a:t>
          </a:r>
        </a:p>
        <a:p>
          <a:r>
            <a:rPr lang="en-US" sz="1100"/>
            <a:t>[Describe what you don't understand or the issue you are facing]</a:t>
          </a:r>
        </a:p>
        <a:p>
          <a:endParaRPr lang="en-US" sz="1100"/>
        </a:p>
        <a:p>
          <a:r>
            <a:rPr lang="en-US" sz="1100" b="1"/>
            <a:t>My current code:</a:t>
          </a:r>
        </a:p>
        <a:p>
          <a:r>
            <a:rPr lang="en-US" sz="1100"/>
            <a:t>[Paste your code from your IDE here]</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7798CF-F458-43D1-85D1-0EF6D1C367F4}" name="Table2" displayName="Table2" ref="B2:E19" totalsRowShown="0">
  <autoFilter ref="B2:E19" xr:uid="{477798CF-F458-43D1-85D1-0EF6D1C367F4}">
    <filterColumn colId="0" hiddenButton="1"/>
    <filterColumn colId="1" hiddenButton="1"/>
    <filterColumn colId="2" hiddenButton="1"/>
    <filterColumn colId="3" hiddenButton="1"/>
  </autoFilter>
  <tableColumns count="4">
    <tableColumn id="1" xr3:uid="{AF1BC3E6-A291-4881-98E4-E2262942E61C}" name="Cell"/>
    <tableColumn id="2" xr3:uid="{A730AA41-75B2-4CE9-A8CA-24DE3FE4108C}" name="Cell References"/>
    <tableColumn id="3" xr3:uid="{C201C974-24D3-4F6B-B4DA-ADDAF2F3C4D7}" name="Type"/>
    <tableColumn id="4" xr3:uid="{74650CAD-2AEE-4B2B-A36B-4C37DA129C83}" name="Detailed Explanatio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openxmlformats.org/officeDocument/2006/relationships/hyperlink" Target="https://coding5s.com/" TargetMode="External"/><Relationship Id="rId1" Type="http://schemas.openxmlformats.org/officeDocument/2006/relationships/hyperlink" Target="https://github.com/WilfredoBarrios/coding5s-framewor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1C9F5-A3E1-48B4-A4AC-C90CACFBE404}">
  <sheetPr>
    <tabColor rgb="FFFF0000"/>
  </sheetPr>
  <dimension ref="A1:AM209"/>
  <sheetViews>
    <sheetView showGridLines="0" tabSelected="1" zoomScale="85" zoomScaleNormal="85" workbookViewId="0">
      <selection activeCell="A8" sqref="A8"/>
    </sheetView>
  </sheetViews>
  <sheetFormatPr defaultColWidth="11.42578125" defaultRowHeight="15"/>
  <cols>
    <col min="1" max="1" width="15.7109375" customWidth="1"/>
    <col min="2" max="2" width="10" bestFit="1" customWidth="1"/>
    <col min="3" max="3" width="11.28515625" bestFit="1" customWidth="1"/>
    <col min="4" max="4" width="22.28515625" bestFit="1" customWidth="1"/>
    <col min="5" max="5" width="16.5703125" style="73" customWidth="1"/>
    <col min="6" max="6" width="5.140625" customWidth="1"/>
    <col min="7" max="7" width="12.5703125" bestFit="1" customWidth="1"/>
    <col min="8" max="8" width="13.85546875" bestFit="1" customWidth="1"/>
    <col min="9" max="9" width="12.5703125" customWidth="1"/>
    <col min="10" max="10" width="68.5703125" customWidth="1"/>
    <col min="11" max="12" width="18.140625" customWidth="1"/>
    <col min="13" max="13" width="6.7109375" bestFit="1" customWidth="1"/>
    <col min="14" max="15" width="16.140625" customWidth="1"/>
    <col min="16" max="16" width="7.85546875" bestFit="1" customWidth="1"/>
    <col min="17" max="18" width="17.42578125" customWidth="1"/>
    <col min="19" max="19" width="7.85546875" bestFit="1" customWidth="1"/>
    <col min="20" max="21" width="16.5703125" customWidth="1"/>
    <col min="22" max="22" width="7.85546875" bestFit="1" customWidth="1"/>
    <col min="23" max="24" width="20.42578125" customWidth="1"/>
    <col min="25" max="25" width="7.85546875" bestFit="1" customWidth="1"/>
    <col min="26" max="30" width="16" bestFit="1" customWidth="1"/>
    <col min="31" max="31" width="21.5703125" bestFit="1" customWidth="1"/>
    <col min="33" max="33" width="27.5703125" customWidth="1"/>
    <col min="34" max="34" width="14.28515625" bestFit="1" customWidth="1"/>
    <col min="35" max="35" width="32" customWidth="1"/>
    <col min="36" max="36" width="27.85546875" customWidth="1"/>
  </cols>
  <sheetData>
    <row r="1" spans="1:39" ht="26.25">
      <c r="A1" s="1"/>
      <c r="B1" s="2"/>
      <c r="C1" s="96"/>
      <c r="D1" s="3"/>
      <c r="E1" s="4" t="s">
        <v>0</v>
      </c>
      <c r="F1" s="5" t="s">
        <v>1</v>
      </c>
      <c r="G1" s="6"/>
      <c r="H1" s="7" t="s">
        <v>2</v>
      </c>
      <c r="I1" s="6"/>
      <c r="J1" s="3"/>
      <c r="K1" s="8" t="s">
        <v>3</v>
      </c>
      <c r="L1" s="9" t="str">
        <f>IF(H9="Topic",
"[ROLE] Friendly tutor specializing in " &amp; $I$2 &amp; " | " &amp;
"[TASK] Teach and explain concepts clearly with correct code examples | " &amp;
"[TOPIC] " &amp; I9 &amp; " | " &amp;
"[LEVEL] " &amp; G9 &amp; " | " &amp;
"[COUNT] " &amp; D9 &amp; " examples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 &amp; $B$6 &amp; " | " &amp;
"[HEADER RULE - STRICT] You MUST start your entire response EXACTLY with this markdown block (do not print anything before it):" &amp; CHAR(10) &amp; "### 🔹 Topic #" &amp; F9 &amp; " | Stage 1 📖 Practice | " &amp; $I$2 &amp; " | 📊 Level: " &amp; G9 &amp; " | 🌐 Coding5s.com" &amp; CHAR(10) &amp; "**Concept:** " &amp; J9 &amp; CHAR(10) &amp; "---" &amp; CHAR(10) &amp; " | " &amp;
"[INTRO RULE] Include a short tutor-style sentence in " &amp; $B$6 &amp; " before the analogy, followed by this EXACT instruction block translated to " &amp; $B$6 &amp; _xlfn._LONGTEXT(":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"[OUTPUT CONTRACT] EXACTLY " &amp; D9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&amp; " | ", "") &amp;
"[OUTPUT] Only header, introduction, examples, outputs, notes, summary, and footer | " &amp;
"[FOOTER RULE - STRICT] End your entire response EXACTLY with this markdown string (ensure all code blocks are closed before it):" &amp; CHAR(10) &amp; "---" &amp; CHAR(10) &amp; "⚡ *Coding5s System — Learn Programming by Writing Code*" &amp;
"[CODE CONSTRAINTS] Each example MUST include: - Internal data OR dataset usage - Print key intermediate steps and the final result - MUST NOT exceed exactly " &amp; $C9 &amp; " lines of EXECUTABLE code (STRICT: Do NOT count comments or blank lines towards this limit) - NEVER exceed this limit of executable lines - " &amp; IF(G9&lt;&gt;"Advanced", "NO classes - ", "") &amp; "Single logical flow (no unnecessary complexity) | " &amp;
"[SYNTAX CONFIGURATION RULE] " &amp; IF(F9&gt;=10, "You MUST format output strings elegantly using f-strings natively.", "CRITICAL PROHIBITION: Do NOT use f-strings (f""..."") or any advanced text formatting methods yet. Use basic print() with multiple arguments separated by commas for text labels and variables.") &amp; " | " &amp;
"[FUNCTION RULE] " &amp; IF(G9="Beginner","Do NOT use functions unless absolutely required by the concept. Use flat, linear scripts. ",IF(G9="Intermediate","MUST use modular functions. Break down logic into reusable blocks. ","MUST use modular functions appropriately for architecture and clarity. ")) &amp; "| " &amp;
"[FILE HANDLING RULE] Use correct loaders and enforce encoding='utf-8' and newline='' when applicable | " &amp;
"[SUPPORT FILES RULE] If env/config is used, include: 1. Instructional sentence 2. File content in markdown code block 3. BEFORE the main code | " &amp;
"[ECOSYSTEM ORIENTATION RULE] If a library or ecosystem like " &amp; $J$3 &amp; " is specified, you are CRITICALLY FORBIDDEN from using pure Python iterative loops (for/while). You MUST enforce the native, optimized data structures and vectorized operations of that specific library | " &amp;
"[OUTPUT FORMAT RULE] " &amp; IF(F9&gt;=10, "Monetary values formatted with '$', commas, 2 decimals using f-strings.", "Print raw numeric outputs directly without forcing custom monetary formatting structures yet.") &amp; "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 &amp; $B$6 &amp; ") - PURGE ANY MEMORY of previous datasets. - Generate minimal realistic dummy data internally - Clearly proceed without dataset summary | " &amp;
"[DATA SUMMARY FORMAT RULE] When a dataset is present, you MUST display IMMEDIATELY AFTER THE HEADER: Dataset Summary: - File Type: - Columns / Fields: - Data Types: - Notes: | " &amp;
"[DATA TYPE RULE] Explicit casting required before calculations | " &amp;
"[DATA ROBUSTNESS RULE] Handle missing, malformed, or inconsistent data safely | " &amp;
"[BOOLEAN HANDLING RULE] Normalize boolean values before comparison | " &amp;
"[DATA CONSISTENCY RULE] Respect dataset schema | " &amp;
"[COMMENT DENSITY RULE] Beginner = high, Intermediate = medium, Advanced = lower but present in key logic | " &amp;
"[DIFFICULTY RULE] Complexity MUST match level | ",
IF(H9="PROJECT", Z9, ""))</f>
        <v xml:space="preserve">[ROLE] Friendly tutor specializing in Python | [TASK] Teach and explain concepts clearly with correct code examples | [TOPIC] Execute basic HTTP GET requests using requests.get() to retrieve web page content and evaluate the HTTP .status_code to confirm a successful connection. | [LEVEL] Beginner | [COUNT] 3 examples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English | [HEADER RULE - STRICT] You MUST start your entire response EXACTLY with this markdown block (do not print anything before it):
### 🔹 Topic #1 | Stage 1 📖 Practice | Python | 📊 Level: Beginner | 🌐 Coding5s.com
**Concept:** Executing Basic GET Requests (requests.get, .status_code)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6 lines of EXECUTABLE code (STRICT: Do NOT count comments or blank lines towards this limit) - NEVER exceed this limit of executable lines - NO classes - Single logical flow (no unnecessary complexity) | [SYNTAX CONFIGURATION RULE] CRITICAL PROHIBITION: Do NOT use f-strings (f"...") or any advanced text formatting methods yet. Use basic print() with multiple arguments separated by commas for text labels and variables. | [FUNCTION RULE]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is specified, you are CRITICALLY FORBIDDEN from using pure Python iterative loops (for/while). You MUST enforce the native, optimized data structures and vectorized operations of that specific library | [OUTPUT FORMAT RULE] Print raw numeric outputs directly without forcing custom monetary formatting structures yet.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English)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M1" s="10"/>
      <c r="N1" s="3" t="s">
        <v>4</v>
      </c>
      <c r="O1" s="3"/>
      <c r="P1" s="3"/>
      <c r="Q1" s="11" t="s">
        <v>5</v>
      </c>
      <c r="R1" s="12"/>
      <c r="S1" s="13"/>
      <c r="T1" s="3" t="s">
        <v>6</v>
      </c>
      <c r="U1" s="3"/>
      <c r="V1" s="3"/>
      <c r="W1" s="11" t="s">
        <v>7</v>
      </c>
      <c r="X1" s="12"/>
      <c r="Y1" s="13"/>
      <c r="Z1" s="1"/>
      <c r="AA1" s="1"/>
      <c r="AB1" s="1"/>
      <c r="AC1" s="1"/>
      <c r="AD1" s="1"/>
      <c r="AE1" s="15"/>
      <c r="AF1" s="14"/>
      <c r="AG1" s="14"/>
      <c r="AH1" s="15"/>
      <c r="AI1" s="15"/>
      <c r="AJ1" s="15"/>
      <c r="AK1" s="15"/>
      <c r="AL1" s="15"/>
    </row>
    <row r="2" spans="1:39" ht="30" customHeight="1" thickBot="1">
      <c r="A2" s="1"/>
      <c r="B2" s="2"/>
      <c r="C2" s="96" t="s">
        <v>226</v>
      </c>
      <c r="D2" s="16"/>
      <c r="E2" s="99" t="str">
        <f>IF(E1="Stage 1","k9:L200",IF(E1="Stage 2","N9:O200",IF(E1="Stage 3","Q9:R200",IF(E1="Stage 4","T9:U200",IF(E1="Stage 5","W9:X200","Stage Incorrecta")))))</f>
        <v>k9:L200</v>
      </c>
      <c r="F2" s="18" t="s">
        <v>8</v>
      </c>
      <c r="G2" s="19"/>
      <c r="H2" s="19"/>
      <c r="I2" s="16" t="s">
        <v>783</v>
      </c>
      <c r="J2" s="16"/>
      <c r="K2" s="137" t="s">
        <v>9</v>
      </c>
      <c r="L2" s="138"/>
      <c r="M2" s="139"/>
      <c r="N2" s="138" t="s">
        <v>10</v>
      </c>
      <c r="O2" s="138"/>
      <c r="P2" s="138"/>
      <c r="Q2" s="140" t="s">
        <v>11</v>
      </c>
      <c r="R2" s="138"/>
      <c r="S2" s="141"/>
      <c r="T2" s="138" t="s">
        <v>12</v>
      </c>
      <c r="U2" s="138"/>
      <c r="V2" s="138"/>
      <c r="W2" s="140" t="s">
        <v>13</v>
      </c>
      <c r="X2" s="138"/>
      <c r="Y2" s="141"/>
      <c r="Z2" s="1"/>
      <c r="AA2" s="1"/>
      <c r="AB2" s="1"/>
      <c r="AC2" s="1"/>
      <c r="AD2" s="1"/>
      <c r="AE2" s="15"/>
      <c r="AF2" s="14"/>
      <c r="AG2" s="14"/>
      <c r="AH2" s="15"/>
      <c r="AI2" s="15"/>
      <c r="AJ2" s="15"/>
      <c r="AK2" s="15"/>
      <c r="AL2" s="15"/>
    </row>
    <row r="3" spans="1:39" ht="26.25">
      <c r="A3" s="1"/>
      <c r="B3" s="2"/>
      <c r="C3" s="96" t="str">
        <f>""</f>
        <v/>
      </c>
      <c r="D3" s="2"/>
      <c r="E3" s="100">
        <f>COUNTA(E9:E200)-E4</f>
        <v>11</v>
      </c>
      <c r="F3" s="97" t="s">
        <v>266</v>
      </c>
      <c r="G3" s="2"/>
      <c r="H3" s="2"/>
      <c r="I3" s="16" t="s">
        <v>784</v>
      </c>
      <c r="J3" s="16"/>
      <c r="K3" s="30"/>
      <c r="L3" s="22"/>
      <c r="M3" s="23"/>
      <c r="N3" s="22"/>
      <c r="O3" s="22"/>
      <c r="P3" s="22"/>
      <c r="Q3" s="24"/>
      <c r="R3" s="22"/>
      <c r="S3" s="25"/>
      <c r="T3" s="22"/>
      <c r="U3" s="22"/>
      <c r="V3" s="22"/>
      <c r="W3" s="26"/>
      <c r="X3" s="22"/>
      <c r="Y3" s="25"/>
      <c r="Z3" s="1"/>
      <c r="AA3" s="1"/>
      <c r="AB3" s="1"/>
      <c r="AC3" s="1"/>
      <c r="AD3" s="1"/>
      <c r="AE3" s="15"/>
      <c r="AF3" s="14"/>
      <c r="AG3" s="14"/>
      <c r="AH3" s="15"/>
      <c r="AI3" s="15"/>
      <c r="AJ3" s="15"/>
      <c r="AK3" s="15"/>
      <c r="AL3" s="15"/>
    </row>
    <row r="4" spans="1:39" ht="15.75">
      <c r="A4" s="1"/>
      <c r="B4" s="2"/>
      <c r="C4" s="96"/>
      <c r="D4" s="2"/>
      <c r="E4" s="101">
        <f>COUNTIF($E$9:$E$200,"No")</f>
        <v>25</v>
      </c>
      <c r="F4" s="98"/>
      <c r="G4" s="2"/>
      <c r="H4" s="28"/>
      <c r="I4" s="29"/>
      <c r="J4" s="29"/>
      <c r="K4" s="30"/>
      <c r="L4" s="31"/>
      <c r="M4" s="23"/>
      <c r="N4" s="31"/>
      <c r="O4" s="31"/>
      <c r="P4" s="22"/>
      <c r="Q4" s="21"/>
      <c r="R4" s="2"/>
      <c r="S4" s="25"/>
      <c r="T4" s="22"/>
      <c r="U4" s="22"/>
      <c r="V4" s="22"/>
      <c r="W4" s="26"/>
      <c r="X4" s="22"/>
      <c r="Y4" s="25"/>
      <c r="Z4" s="1"/>
      <c r="AA4" s="1"/>
      <c r="AB4" s="1"/>
      <c r="AC4" s="1"/>
      <c r="AD4" s="1"/>
      <c r="AE4" s="14"/>
      <c r="AF4" s="14"/>
      <c r="AG4" s="14"/>
      <c r="AH4" s="15"/>
      <c r="AI4" s="15"/>
      <c r="AJ4" s="15"/>
      <c r="AK4" s="15"/>
      <c r="AL4" s="15"/>
    </row>
    <row r="5" spans="1:39" ht="21">
      <c r="A5" s="1"/>
      <c r="B5" s="32" t="s">
        <v>14</v>
      </c>
      <c r="C5" s="32" t="s">
        <v>15</v>
      </c>
      <c r="D5" s="2"/>
      <c r="E5" s="32" t="s">
        <v>494</v>
      </c>
      <c r="F5" s="33"/>
      <c r="G5" s="2"/>
      <c r="H5" s="28"/>
      <c r="I5" s="29"/>
      <c r="J5" s="29"/>
      <c r="K5" s="30"/>
      <c r="L5" s="31"/>
      <c r="M5" s="23"/>
      <c r="N5" s="31"/>
      <c r="O5" s="31"/>
      <c r="P5" s="22"/>
      <c r="Q5" s="21"/>
      <c r="R5" s="2"/>
      <c r="S5" s="25"/>
      <c r="T5" s="22"/>
      <c r="U5" s="22"/>
      <c r="V5" s="22"/>
      <c r="W5" s="26"/>
      <c r="X5" s="22"/>
      <c r="Y5" s="25"/>
      <c r="Z5" s="1"/>
      <c r="AA5" s="1"/>
      <c r="AB5" s="1"/>
      <c r="AC5" s="1"/>
      <c r="AD5" s="1"/>
      <c r="AE5" s="14"/>
      <c r="AF5" s="14"/>
      <c r="AG5" s="14"/>
      <c r="AH5" s="15"/>
      <c r="AI5" s="15"/>
      <c r="AJ5" s="15"/>
      <c r="AK5" s="15"/>
      <c r="AL5" s="15"/>
    </row>
    <row r="6" spans="1:39" ht="15.75">
      <c r="A6" s="1"/>
      <c r="B6" s="34" t="s">
        <v>53</v>
      </c>
      <c r="C6" s="17" t="str">
        <f>VLOOKUP(B6,AL:AM,2,0)</f>
        <v>en</v>
      </c>
      <c r="D6" s="2"/>
      <c r="E6" s="35" t="str" cm="1">
        <f t="array" ref="E6">"AL9:"&amp;ADDRESS(_xlfn.AGGREGATE(14, 6, ROW(AL:AL)*(AL:AL&lt;&gt;""), 1), COLUMN(AL:AL))</f>
        <v>AL9:$AL$48</v>
      </c>
      <c r="F6" s="27"/>
      <c r="G6" s="130" t="s">
        <v>687</v>
      </c>
      <c r="H6" s="28"/>
      <c r="I6" s="29"/>
      <c r="J6" s="29"/>
      <c r="K6" s="30"/>
      <c r="L6" s="31"/>
      <c r="M6" s="23"/>
      <c r="N6" s="31"/>
      <c r="O6" s="31"/>
      <c r="P6" s="22"/>
      <c r="Q6" s="21"/>
      <c r="R6" s="2"/>
      <c r="S6" s="25"/>
      <c r="T6" s="22"/>
      <c r="U6" s="22"/>
      <c r="V6" s="22"/>
      <c r="W6" s="26"/>
      <c r="X6" s="22"/>
      <c r="Y6" s="25"/>
      <c r="Z6" s="1"/>
      <c r="AA6" s="1"/>
      <c r="AB6" s="1"/>
      <c r="AC6" s="1"/>
      <c r="AD6" s="1"/>
      <c r="AE6" s="104" t="s">
        <v>17</v>
      </c>
      <c r="AF6" s="15"/>
      <c r="AG6" s="15"/>
      <c r="AH6" s="15"/>
      <c r="AI6" s="15"/>
      <c r="AJ6" s="15"/>
      <c r="AK6" s="15"/>
      <c r="AL6" s="15"/>
    </row>
    <row r="7" spans="1:39">
      <c r="A7" s="1"/>
      <c r="B7" s="2"/>
      <c r="C7" s="96"/>
      <c r="D7" s="2"/>
      <c r="E7" s="20"/>
      <c r="F7" s="36"/>
      <c r="G7" s="36"/>
      <c r="H7" s="37"/>
      <c r="I7" s="28"/>
      <c r="J7" s="28"/>
      <c r="K7" s="31" t="s">
        <v>686</v>
      </c>
      <c r="L7" s="31" t="s">
        <v>686</v>
      </c>
      <c r="M7" s="38"/>
      <c r="N7" s="31" t="s">
        <v>686</v>
      </c>
      <c r="O7" s="31" t="s">
        <v>686</v>
      </c>
      <c r="P7" s="22"/>
      <c r="Q7" s="31" t="s">
        <v>686</v>
      </c>
      <c r="R7" s="31" t="s">
        <v>686</v>
      </c>
      <c r="S7" s="39"/>
      <c r="T7" s="31" t="s">
        <v>686</v>
      </c>
      <c r="U7" s="31" t="s">
        <v>686</v>
      </c>
      <c r="V7" s="22"/>
      <c r="W7" s="31" t="s">
        <v>686</v>
      </c>
      <c r="X7" s="31" t="s">
        <v>686</v>
      </c>
      <c r="Y7" s="39"/>
      <c r="Z7" s="31" t="s">
        <v>686</v>
      </c>
      <c r="AA7" s="31" t="s">
        <v>686</v>
      </c>
      <c r="AB7" s="31" t="s">
        <v>686</v>
      </c>
      <c r="AC7" s="31" t="s">
        <v>686</v>
      </c>
      <c r="AD7" s="31" t="s">
        <v>686</v>
      </c>
      <c r="AE7" s="35" t="str">
        <f>_xlfn.CONCAT(AH9:AH200)</f>
        <v/>
      </c>
      <c r="AF7" s="15"/>
      <c r="AG7" s="15"/>
      <c r="AH7" s="15"/>
      <c r="AI7" s="15"/>
      <c r="AJ7" s="15"/>
      <c r="AK7" s="136" t="s">
        <v>499</v>
      </c>
      <c r="AL7" s="136"/>
      <c r="AM7" s="136"/>
    </row>
    <row r="8" spans="1:39">
      <c r="A8" s="42" t="s">
        <v>19</v>
      </c>
      <c r="B8" s="43">
        <v>0</v>
      </c>
      <c r="C8" s="41" t="s">
        <v>18</v>
      </c>
      <c r="D8" s="43" t="s">
        <v>495</v>
      </c>
      <c r="E8" s="44" t="s">
        <v>20</v>
      </c>
      <c r="F8" s="43" t="s">
        <v>21</v>
      </c>
      <c r="G8" s="42" t="s">
        <v>22</v>
      </c>
      <c r="H8" s="42" t="s">
        <v>23</v>
      </c>
      <c r="I8" s="42" t="s">
        <v>24</v>
      </c>
      <c r="J8" s="42" t="s">
        <v>25</v>
      </c>
      <c r="K8" s="42" t="s">
        <v>26</v>
      </c>
      <c r="L8" s="42" t="s">
        <v>27</v>
      </c>
      <c r="M8" s="42" t="s">
        <v>28</v>
      </c>
      <c r="N8" s="42" t="s">
        <v>29</v>
      </c>
      <c r="O8" s="42" t="s">
        <v>27</v>
      </c>
      <c r="P8" s="42" t="s">
        <v>30</v>
      </c>
      <c r="Q8" s="42" t="s">
        <v>31</v>
      </c>
      <c r="R8" s="42" t="s">
        <v>27</v>
      </c>
      <c r="S8" s="42" t="s">
        <v>32</v>
      </c>
      <c r="T8" s="42" t="s">
        <v>33</v>
      </c>
      <c r="U8" s="42" t="s">
        <v>27</v>
      </c>
      <c r="V8" s="42" t="s">
        <v>34</v>
      </c>
      <c r="W8" s="42" t="s">
        <v>35</v>
      </c>
      <c r="X8" s="42" t="s">
        <v>27</v>
      </c>
      <c r="Y8" s="42" t="s">
        <v>36</v>
      </c>
      <c r="Z8" s="42" t="s">
        <v>37</v>
      </c>
      <c r="AA8" s="42" t="s">
        <v>38</v>
      </c>
      <c r="AB8" s="42" t="s">
        <v>39</v>
      </c>
      <c r="AC8" s="42" t="s">
        <v>40</v>
      </c>
      <c r="AD8" s="42" t="s">
        <v>41</v>
      </c>
      <c r="AE8" s="42" t="s">
        <v>496</v>
      </c>
      <c r="AF8" s="42" t="s">
        <v>497</v>
      </c>
      <c r="AG8" s="42" t="s">
        <v>498</v>
      </c>
      <c r="AH8" s="42" t="s">
        <v>42</v>
      </c>
      <c r="AI8" s="42" t="s">
        <v>43</v>
      </c>
      <c r="AJ8" s="42" t="s">
        <v>501</v>
      </c>
      <c r="AK8" s="42" t="s">
        <v>44</v>
      </c>
      <c r="AL8" s="42" t="s">
        <v>45</v>
      </c>
      <c r="AM8" s="42" t="s">
        <v>15</v>
      </c>
    </row>
    <row r="9" spans="1:39">
      <c r="A9" s="45" t="str" cm="1">
        <f t="array" ref="A9">IF(H9="PROJECT", CHAR(10) &amp; "- " &amp; _xlfn.TEXTJOIN(CHAR(10) &amp; "- ", TRUE, _xlfn._xlws.FILTER($I$9:$I$1000, ($B$9:$B$1000=B9) * ($H$9:$H$1000="Topic"))), "")</f>
        <v/>
      </c>
      <c r="B9" s="45">
        <f>IF(H9="","",IF(AND(H9="Topic",H8="PROJECT"),B8+1,IF(H9="PROJECT",B8,IF(AND(H9="Topic",H8="Topic"),B8,B8+1))))</f>
        <v>1</v>
      </c>
      <c r="C9" s="95">
        <v>6</v>
      </c>
      <c r="D9" s="46">
        <v>3</v>
      </c>
      <c r="E9" s="47" t="s">
        <v>46</v>
      </c>
      <c r="F9" s="48">
        <v>1</v>
      </c>
      <c r="G9" s="49" t="s">
        <v>47</v>
      </c>
      <c r="H9" s="49" t="s">
        <v>48</v>
      </c>
      <c r="I9" s="50" t="s">
        <v>785</v>
      </c>
      <c r="J9" s="51" t="s">
        <v>786</v>
      </c>
      <c r="K9" s="129" t="str">
        <f>IF(H9="Topic",
"[ROLE] Friendly tutor specializing in " &amp; $I$2 &amp; " | " &amp;
"[TOPIC] " &amp; I9 &amp; " | " &amp;
"[LEVEL] " &amp; G9 &amp; " | " &amp;
"[COUNT] " &amp; D9 &amp; " examples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$C9 &amp; " lines of EXECUTABLE code (STRICT: Do NOT count comments or blank lines). - NEVER exceed this limit. | " &amp;
"[FUNCTION RULE] Rule: " &amp; IF(G9="Beginner","Focus: basic function definitions, return values, positional/keyword arguments, and list/dict comprehensions.", IF(G9="Intermediate", "Integrate generator functions using yield, closures, functools utilities (partial, lru_cache), and decorators.", "Dictionaries, Tuples, Namedtuples, or TypedDicts with strict type hints")) &amp; " | " &amp;
"[CODE_CONSTRAINTS_RULE] Each example MUST: - Use Dictionaries, Tuples, Namedtuples, or TypedDicts with strict type hints - Print steps &amp; result via print() or logging.info()/logging.error() inside functional scopes or error handlers - MAX " &amp; $C9 &amp; " executable lines (comments/blanks excluded) - NEVER exceed limit. | " &amp;
"[I_O_PARADIGM] Use pathlib.Path, open() with context managers, or sys.stdin/sys.stdout streams and gracefully handle Typed Tuples like Tuple[bool, str], Namedtuples, or Dict[str, Any] with type annotations when applicable. | " &amp;
"[INLINE_PACKAGE_MANAGER] If using external packages, use Standard requirements.txt file or inline pip install comments (# requirements: package_name&gt;=version) at the top of the code block. Assume no project configuration file exists. | " &amp;
_xlfn._LONGTEXT("[TESTING_FRAMEWORK_LIMITS]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D9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IF(H9="PROJECT", Z9, ""))</f>
        <v xml:space="preserve">[ROLE] Friendly tutor specializing in Python | [TOPIC] Execute basic HTTP GET requests using requests.get() to retrieve web page content and evaluate the HTTP .status_code to confirm a successful connection. | [LEVEL] Beginner | [COUNT] 3 examples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6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6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 | Stage 1 📖 Practice | Python - Requests | 📊 Level: Beginner | 🌐 Coding5s.com
**Concept:** Executing Basic GET Requests (requests.get, .status_code)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 s="103" t="str">
        <f>IF(OR(H9="Topic", UPPER(H9)="PROJECT"),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IF(UPPER(H9)="PROJECT", "building a PROJECT: " &amp; I9 &amp; ". Topics applied in this project: " &amp; A9 &amp; ". Project objective: " &amp; J9, "learning: " &amp; I9 &amp; ". Topic details: " &amp; J9)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IF(G9="Beginner", "Evaluate based on basic functions, data structures, and conditional logic. Do NOT expect decorators, generators, or asyncio unless explicitly demanded.", IF(G9="Intermediate",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
_xlfn._LONGTEXT("[CODE_QUALITY_POLICIES]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&amp; IF(AJ9&lt;&gt;"", "[MENTOR CONTEXT ALERT] Be aware of the following infrastructure limitation for this exercise: " &amp; AJ9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basic HTTP GET requests using requests.get() to retrieve web page content and evaluate the HTTP .status_code to confirm a successful connection.. Topic details: Executing Basic GET Requests (requests.get, .status_code)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 | Practice | Python - Requests | 📊 Level: Beginner
**Topic:** Execute basic HTTP GET requests using requests.get() to retrieve web page content and evaluate the HTTP .status_code to confirm a successful connection.
---
 | [FOOTER RULE - STRICT] End your response with: '--- ⚡ *Coding5s Mentor System — Eliminating Epistemic Debt*' | </v>
      </c>
      <c r="M9" s="52">
        <v>0</v>
      </c>
      <c r="N9" s="102" t="str">
        <f>IF(H9="Topic",
"[ROLE] Careless " &amp; $I$2 &amp; " Developer | " &amp;
"[TASK] Generate debugging challenges in " &amp; $I$2 &amp; " | | " &amp;
"[TOPIC] " &amp; I9 &amp; " | | " &amp;
"[LEVEL] " &amp; G9 &amp; " | | " &amp;
"[COUNT] " &amp; D9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 &amp;
"[EXUNIT RULE] Always use pytest or native test functions. You MUST use native assert statements or pytest.raises() for exception testing. Avoid defining TestClasses or methods. | " &amp;
"[HEX DEPENDENCIES RULE] Assume a standard Python runtime context. External PyPI dependencies MUST be specified strictly within a requirements.txt file. | " &amp;
"[CODE CONSTRAINTS] Each challenge MUST include: - At least 1 functional iterator/generator or comprehension - Explicit type annotations - At least 1 error handling try/except block - " &amp; IF(G9="Beginner", "5–15", IF(G9="Intermediate", "10–25", "15–35")) &amp; " lines of EXECUTABLE broken Python code per example (STRICT: Do NOT count blank lines). Enforce PEP 8, type hints, and NO OOP class structures. | All challenges MUST have similar functional abstraction depth and architectural complexity.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D9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IF(H9="PROJECT", AA9, ""))</f>
        <v>[ROLE] Careless Python Developer | [TASK] Generate debugging challenges in Python | | [TOPIC] Execute basic HTTP GET requests using requests.get() to retrieve web page content and evaluate the HTTP .status_code to confirm a successful connection. | | [LEVEL] Beginner | | [COUNT] 3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 | Stage 2 🐛 Debug | Python - Requests | 📊 Level: Beginner | 🌐 Coding5s.com
Concept: Executing Basic GET Requests (requests.get, .status_code)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 s="103" t="str">
        <f>IF(OR(H9="Topic", UPPER(H9)="PROJECT"),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IF(UPPER(H9)="PROJECT", "PROJECT: " &amp; I9 &amp; ". Topics involved: " &amp; A9 &amp; ". Project objective: " &amp; J9, "TOPIC: " &amp; I9 &amp; ". Topic details: " &amp; J9)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
_xlfn._LONGTEXT("[PYTHON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basic HTTP GET requests using requests.get() to retrieve web page content and evaluate the HTTP .status_code to confirm a successful connection.. Topic details: Executing Basic GET Requests (requests.get, .status_code)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 | Debug | Python - Requests | 📊 Level: Beginner
**Topic:** Execute basic HTTP GET requests using requests.get() to retrieve web page content and evaluate the HTTP .status_code to confirm a successful connection.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 s="53">
        <v>0</v>
      </c>
      <c r="Q9" s="102" t="str">
        <f>IF(H9="Topic",
"[ROLE] Tech Lead | " &amp;
"[TASK] Assign incomplete " &amp; $I$2 &amp; " script challenges | " &amp;
"[TOPIC] " &amp; I9 &amp; " | " &amp;
"[LEVEL] " &amp; G9 &amp; " | " &amp;
"[COUNT] " &amp; D9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External PyPI packages MUST be specified inside a standard requirements.txt file. Do not use inline system pip commands. | " &amp;
"[TESTING_FRAMEWORK_PROTOCOL] Tests MUST isolate functional logic. NEVER mutate global state; use native assert statements or pytest fixtures to verify function outputs. | " &amp;
"[CHALLENGE_CONSTRAINTS_POLICY] Each challenge MUST include: - A functional module or script using closures, generators, or functools to manage continuous state with strict type hints. - " &amp; IF(G9="Beginner","5–15", IF(G9="Intermediate","10–25","15–35")) &amp; " lines of EXECUTABLE base Python code (STRICT: Do NOT count comments or TODOs). Length MUST vary. Enforce type hints, PEP 8, and NO classes.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D9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I9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IF(G9="Beginner", "Clear explicit hint (no code) | ", IF(G9="Intermediate",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IF(H9="PROJECT", AB9, ""))</f>
        <v>[ROLE] Tech Lead | [TASK] Assign incomplete Python script challenges | [TOPIC] Execute basic HTTP GET requests using requests.get() to retrieve web page content and evaluate the HTTP .status_code to confirm a successful connection. | [LEVEL] Beginner | [COUNT] 3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 | Stage 3 🧩 Complete | Python - Requests | 📊 Level: Beginner | 🌐 Coding5s.com
**Concept:** Executing Basic GET Requests (requests.get, .status_code)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basic HTTP GET requests using requests.get() to retrieve web page content and evaluate the HTTP .status_code to confirm a successful connection..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 s="103" t="str">
        <f>IF(OR(H9="Topic", UPPER(H9)="PROJECT"),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IF(UPPER(H9)="PROJECT", "PROJECT: " &amp; I9 &amp; ". Topics involved: " &amp; A9 &amp; ". Project objective: " &amp; J9, "TOPIC: " &amp; I9 &amp; ". Topic details: " &amp; J9)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
_xlfn._LONGTEXT("[PYTHON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basic HTTP GET requests using requests.get() to retrieve web page content and evaluate the HTTP .status_code to confirm a successful connection.. Topic details: Executing Basic GET Requests (requests.get, .status_code)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 | Complete | Python - Requests | 📊 Level: Beginner
**Topic:** Execute basic HTTP GET requests using requests.get() to retrieve web page content and evaluate the HTTP .status_code to confirm a successful connection.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 s="53">
        <v>0</v>
      </c>
      <c r="T9" s="102" t="str">
        <f>IF(H9="Topic",
"[ROLE] Tech Lead | " &amp;
"[TASK] Provide intentionally messy but functional code for learning debugging and improvement | " &amp;
"[TOPIC] " &amp; I9 &amp; " | " &amp;
"[LEVEL] " &amp; G9 &amp; " | " &amp;
"[COUNT] " &amp; D9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D9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IF(H9="PROJECT", AC9, ""))</f>
        <v>[ROLE] Tech Lead | [TASK] Provide intentionally messy but functional code for learning debugging and improvement | [TOPIC] Execute basic HTTP GET requests using requests.get() to retrieve web page content and evaluate the HTTP .status_code to confirm a successful connection. | [LEVEL] Beginner | [COUNT] 3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 | Stage 4 🧹 Refactor | Python - Requests | 📊 Level: Beginner | 🌐 Coding5s.com
**Concept:** Executing Basic GET Requests (requests.get, .status_code)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 s="103" t="str">
        <f>IF(OR(H9="Topic", UPPER(H9)="PROJECT"),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IF(UPPER(H9)="PROJECT", "PROJECT: " &amp; I9 &amp; ". Topics involved: " &amp; A9 &amp; ". Project objective: " &amp; J9, "TOPIC: " &amp; I9 &amp; ". Topic details: " &amp; J9)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
_xlfn._LONGTEXT("[PYTHON QUALITY RULE - STRICT] Code MUST adhere strictly to PEP 8 guidelines. Use snake_case for variables/functions, UPPER_CASE for constants, snake_case for files. Avoid global state; emphasize strict type hints, functools, and clean functional architec","tures without OOP classes.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Execute basic HTTP GET requests using requests.get() to retrieve web page content and evaluate the HTTP .status_code to confirm a successful connection.. Topic details: Executing Basic GET Requests (requests.get, .status_code)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 | Refactor | Python - Requests | 📊 Level: Beginner
**Topic:** Execute basic HTTP GET requests using requests.get() to retrieve web page content and evaluate the HTTP .status_code to confirm a successful connection.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 s="53">
        <v>0</v>
      </c>
      <c r="W9" s="87" t="str">
        <f>IF(H9="Topic",
"[ROLE] Tech Product Manager assigning a " &amp; $I$2 &amp; " Jira Ticket | " &amp;
"[TASK] Provide a guided implementation exercise with full solution for learning purposes | " &amp;
"[TOPIC] " &amp; I9 &amp; " | " &amp;
"[LEVEL] " &amp; G9 &amp; "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
"[FUNCTIONAL_STRUCTURE_POLICY] Rule: " &amp; IF(G9="Beginner", "Use simple scripts or minimal functions. ", IF(G9="Intermediate",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IF(G9="Beginner", "10–20", IF(G9="Intermediate", "15–30", "25–40")) &amp; " lines of EXECUTABLE code (STRICT) - V1.1 MUST be between " &amp; IF(G9="Beginner", "15–30", IF(G9="Intermediate",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IF(H9="PROJECT", AD9, ""))</f>
        <v>[ROLE] Tech Product Manager assigning a Python Jira Ticket | [TASK] Provide a guided implementation exercise with full solution for learning purposes | [TOPIC] Execute basic HTTP GET requests using requests.get() to retrieve web page content and evaluate the HTTP .status_code to confirm a successful connection. | [LEVEL] Beginner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 | Stage 5 | Python - Requests | 📊 Level: Beginner | 🌐 Coding5s.com
**Concept:** Executing Basic GET Requests (requests.get, .status_code)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 s="103" t="str">
        <f>IF(OR(H9="Topic", UPPER(H9)="PROJECT"),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IF(UPPER(H9)="PROJECT", "PROJECT: " &amp; I9 &amp; ". Topics integrated: " &amp; A9 &amp; ". Business Goal: " &amp; J9, "TOPIC: " &amp; I9 &amp; ". Goal: " &amp; J9)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
_xlfn._LONGTEXT("[CODE_QUALITY_PROTOCOL]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basic HTTP GET requests using requests.get() to retrieve web page content and evaluate the HTTP .status_code to confirm a successful connection.. Goal: Executing Basic GET Requests (requests.get, .status_code)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 | Extend | Python - Requests | 📊 Level: Beginner
**Topic:** Execute basic HTTP GET requests using requests.get() to retrieve web page content and evaluate the HTTP .status_code to confirm a successful connection.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 s="53">
        <v>0</v>
      </c>
      <c r="Z9" s="56" t="str">
        <f>IF(H9&lt;&gt;"PROJECT","",
"[TASK] Teach through a practical " &amp; $I$2 &amp; " - " &amp; $I$3 &amp; " project following the micro-learning methodology, acting as a supportive tutor, creating a project about  " &amp; I9 &amp; " | " &amp;
"[TOPICS USED] " &amp; A9 &amp; " | " &amp;
"[LEVEL] " &amp; G9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the project requires an external package, you MUST use Standard requirements.txt file or inline pip install comments (# requirements: package_name&gt;=version) at the top. | " &amp;
"[SCOPE_ARCHITECTURE_RULE] Rule: Build scripts: async/await coroutines with asyncio, subprocess execution, signal trapping, and custom context managers. | " &amp;
_xlfn._LONGTEXT("[VISUAL_ARCHITECTURE_COMMENTS]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 &amp;
"[DATA ROBUSTNESS RULE] Handle real-world data safely | " &amp;
"[CODE CONSTRAINTS] MUST be between " &amp; IF(G9="Beginner", "25–40", IF(G9="Intermediate",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9" s="56" t="str">
        <f>IF(H9&lt;&gt;"PROJECT","",
"[ROLE] Careless " &amp; $I$2 &amp; " Developer | " &amp;
"[TASK] Generate debugging project in " &amp; $I$2 &amp; " | " &amp;
"[PROJECT] " &amp; I9 &amp; " | " &amp;
"[TOPICS USED] " &amp; A9 &amp; " | " &amp;
"[LEVEL] " &amp; G9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IF(G9="Beginner", "25–40", IF(G9="Intermediate", "30–60", "40–100")) &amp; " lines of EXECUTABLE code (STRICT: Do NOT count blank lines towards this limit) - Multi-step flow - 2–4 functions ONLY - main() as entry point " &amp; IF(G9&lt;&gt;"Advanced",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9" s="56" t="str">
        <f>IF(H9&lt;&gt;"PROJECT","",
"[ROLE] Tech Lead | " &amp;
"[TASK] Assign incomplete project script | " &amp;
"[PROJECT] " &amp; I9 &amp; " | " &amp;
"[TOPICS USED] " &amp; A9 &amp; " | " &amp;
"[LEVEL] " &amp; G9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
"[EXTERNAL_PACKAGE_PROTOCOL] Require standard pip tooling and requirements.txt for dependencies. | " &amp;
"[CHALLENGE_CONSTRAINTS_POLICY] MUST be between " &amp; IF(G9="Beginner","25–40", IF(G9="Intermediate","30–60","40–100")) &amp; " lines of EXECUTABLE base Python code (STRICT: Do NOT count comments or TODOs). Must feature functional data pipelines or asynchronous asyncio flows.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9" s="56" t="str">
        <f>IF(H9&lt;&gt;"PROJECT","",
"[ROLE] Tech Lead | " &amp;
"[TASK] Provide a messy but functional project for refactoring | " &amp;
"[PROJECT] " &amp; I9 &amp; " | " &amp;
"[TOPICS USED] " &amp; A9 &amp; " | " &amp;
"[LEVEL] " &amp; G9 &amp; " | " &amp;
"[PERSONA RULE] Act as a Tech Lead. A junior wrote this working but messy code. Tone: professional but exhausted | " &amp;
"[HEADER RULE - STRICT] 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IF(G9="Beginner", "25–40", IF(G9="Intermediate",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9" s="56" t="str">
        <f>IF(H9&lt;&gt;"PROJECT","",
"[ROLE] Tech Product Manager assigning a " &amp; $I$2 &amp; " Jira Ticket | " &amp;
"[TASK] Provide a guided project implementation with full solution | " &amp;
"[PROJECT] " &amp; I9 &amp; " | " &amp;
"[TOPICS USED] " &amp; A9 &amp; " | " &amp;
"[LEVEL] " &amp; G9 &amp; " | " &amp;
"[PERSONA RULE] Act as a professional Tech Product Manager defining a project ticket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IF(G9="Beginner", "Avoid complex structure. ", IF(G9="Intermediate",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9" s="55" t="s">
        <v>49</v>
      </c>
      <c r="AF9" s="55" t="s">
        <v>50</v>
      </c>
      <c r="AG9" s="55" t="s">
        <v>51</v>
      </c>
      <c r="AH9" s="56" t="str">
        <f t="shared" ref="AH9:AH40" si="0">IF(AE9=$B$6,AG9,"")</f>
        <v/>
      </c>
      <c r="AI9" s="54" t="s">
        <v>52</v>
      </c>
      <c r="AJ9" s="54"/>
      <c r="AK9" s="54">
        <v>1</v>
      </c>
      <c r="AL9" s="54" t="s">
        <v>53</v>
      </c>
      <c r="AM9" s="54" t="s">
        <v>54</v>
      </c>
    </row>
    <row r="10" spans="1:39">
      <c r="A10" s="45" t="str" cm="1">
        <f t="array" ref="A10">IF(H10="PROJECT", CHAR(10) &amp; "- " &amp; _xlfn.TEXTJOIN(CHAR(10) &amp; "- ", TRUE, _xlfn._xlws.FILTER($I$9:$I$1000, ($B$9:$B$1000=B10) * ($H$9:$H$1000="Topic"))), "")</f>
        <v/>
      </c>
      <c r="B10" s="45">
        <f t="shared" ref="B10:B73" si="1">IF(H10="","",IF(AND(H10="Topic",H9="PROJECT"),B9+1,IF(H10="PROJECT",B9,IF(AND(H10="Topic",H9="Topic"),B9,B9+1))))</f>
        <v>1</v>
      </c>
      <c r="C10" s="95">
        <v>6</v>
      </c>
      <c r="D10" s="57">
        <v>3</v>
      </c>
      <c r="E10" s="58" t="s">
        <v>46</v>
      </c>
      <c r="F10" s="59">
        <v>2</v>
      </c>
      <c r="G10" s="60" t="s">
        <v>47</v>
      </c>
      <c r="H10" s="60" t="s">
        <v>48</v>
      </c>
      <c r="I10" s="61" t="s">
        <v>787</v>
      </c>
      <c r="J10" s="62" t="s">
        <v>788</v>
      </c>
      <c r="K10" s="129" t="str">
        <f t="shared" ref="K10:K73" si="2">IF(H10="Topic",
"[ROLE] Friendly tutor specializing in " &amp; $I$2 &amp; " | " &amp;
"[TOPIC] " &amp; I10 &amp; " | " &amp;
"[LEVEL] " &amp; G10 &amp; " | " &amp;
"[COUNT] " &amp; D10 &amp; " examples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$C10 &amp; " lines of EXECUTABLE code (STRICT: Do NOT count comments or blank lines). - NEVER exceed this limit. | " &amp;
"[FUNCTION RULE] Rule: " &amp; IF(G10="Beginner","Focus: basic function definitions, return values, positional/keyword arguments, and list/dict comprehensions.", IF(G10="Intermediate", "Integrate generator functions using yield, closures, functools utilities (partial, lru_cache), and decorators.", "Dictionaries, Tuples, Namedtuples, or TypedDicts with strict type hints")) &amp; " | " &amp;
"[CODE_CONSTRAINTS_RULE] Each example MUST: - Use Dictionaries, Tuples, Namedtuples, or TypedDicts with strict type hints - Print steps &amp; result via print() or logging.info()/logging.error() inside functional scopes or error handlers - MAX " &amp; $C10 &amp; " executable lines (comments/blanks excluded) - NEVER exceed limit. | " &amp;
"[I_O_PARADIGM] Use pathlib.Path, open() with context managers, or sys.stdin/sys.stdout streams and gracefully handle Typed Tuples like Tuple[bool, str], Namedtuples, or Dict[str, Any] with type annotations when applicable. | " &amp;
"[INLINE_PACKAGE_MANAGER] If using external packages, use Standard requirements.txt file or inline pip install comments (# requirements: package_name&gt;=version) at the top of the code block. Assume no project configuration file exists. | " &amp;
_xlfn._LONGTEXT("[TESTING_FRAMEWORK_LIMITS]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F10 &amp; " | Stage 1 📖 Practice | " &amp; IF($I$3="", $I$2, $I$2&amp; " - " &amp;$I$3) &amp; " | 📊 Level: " &amp; G10 &amp; " | 🌐 Coding5s.com" &amp; CHAR(10) &amp; "**Concept:** " &amp; J10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D10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IF(AJ10&lt;&gt;"", AJ10,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IF(H10="PROJECT", Z10, ""))</f>
        <v xml:space="preserve">[ROLE] Friendly tutor specializing in Python | [TOPIC] Extract and interpret server response data by accessing the .text attribute for string payloads and the .content attribute for raw bytes using the requests library. | [LEVEL] Beginner | [COUNT] 3 examples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6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6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 | Stage 1 📖 Practice | Python - Requests | 📊 Level: Beginner | 🌐 Coding5s.com
**Concept:** Reading Response Content (.text, .content)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 s="103" t="str">
        <f t="shared" ref="L10:L73" si="3">IF(OR(H10="Topic", UPPER(H10)="PROJECT"),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IF(UPPER(H10)="PROJECT", "building a PROJECT: " &amp; I10 &amp; ". Topics applied in this project: " &amp; A10 &amp; ". Project objective: " &amp; J10, "learning: " &amp; I10 &amp; ". Topic details: " &amp; J10)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IF(G10="Beginner", "Evaluate based on basic functions, data structures, and conditional logic. Do NOT expect decorators, generators, or asyncio unless explicitly demanded.", IF(G10="Intermediate",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
_xlfn._LONGTEXT("[CODE_QUALITY_POLICIES]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&amp; IF(AJ10&lt;&gt;"", "[MENTOR CONTEXT ALERT] Be aware of the following infrastructure limitation for this exercise: " &amp; AJ10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IF(UPPER(H10)="PROJECT",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IF(UPPER(H10)="PROJECT",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IF(UPPER(H10)="PROJECT", "Project #", "Topic #") &amp; F10 &amp; " | Practice | " &amp; IF($I$3="", $I$2, $I$2&amp; " - " &amp;$I$3) &amp; " | 📊 Level: " &amp; G10 &amp; CHAR(10) &amp; "**" &amp; IF(UPPER(H10)="PROJECT", "Project", "Topic") &amp; ":** " &amp; I10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and interpret server response data by accessing the .text attribute for string payloads and the .content attribute for raw bytes using the requests library.. Topic details: Reading Response Content (.text, .content)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 | Practice | Python - Requests | 📊 Level: Beginner
**Topic:** Extract and interpret server response data by accessing the .text attribute for string payloads and the .content attribute for raw bytes using the requests library.
---
 | [FOOTER RULE - STRICT] End your response with: '--- ⚡ *Coding5s Mentor System — Eliminating Epistemic Debt*' | </v>
      </c>
      <c r="M10" s="52">
        <v>0</v>
      </c>
      <c r="N10" s="102" t="str">
        <f t="shared" ref="N10:N73" si="4">IF(H10="Topic",
"[ROLE] Careless " &amp; $I$2 &amp; " Developer | " &amp;
"[TASK] Generate debugging challenges in " &amp; $I$2 &amp; " | | " &amp;
"[TOPIC] " &amp; I10 &amp; " | | " &amp;
"[LEVEL] " &amp; G10 &amp; " | | " &amp;
"[COUNT] " &amp; D10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Topic #" &amp; F10 &amp; " | Stage 2 🐛 Debug | " &amp; IF($I$3="", $I$2, $I$2&amp; " - " &amp;$I$3) &amp; " | 📊 Level: " &amp; G10 &amp; " | 🌐 Coding5s.com" &amp; CHAR(10) &amp; "Concept: " &amp; J10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 &amp;
"[EXUNIT RULE] Always use pytest or native test functions. You MUST use native assert statements or pytest.raises() for exception testing. Avoid defining TestClasses or methods. | " &amp;
"[HEX DEPENDENCIES RULE] Assume a standard Python runtime context. External PyPI dependencies MUST be specified strictly within a requirements.txt file. | " &amp;
"[CODE CONSTRAINTS] Each challenge MUST include: - At least 1 functional iterator/generator or comprehension - Explicit type annotations - At least 1 error handling try/except block - " &amp; IF(G10="Beginner", "5–15", IF(G10="Intermediate", "10–25", "15–35")) &amp; " lines of EXECUTABLE broken Python code per example (STRICT: Do NOT count blank lines). Enforce PEP 8, type hints, and NO OOP class structures. | All challenges MUST have similar functional abstraction depth and architectural complexity.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D10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IF(H10="PROJECT", AA10, ""))</f>
        <v>[ROLE] Careless Python Developer | [TASK] Generate debugging challenges in Python | | [TOPIC] Extract and interpret server response data by accessing the .text attribute for string payloads and the .content attribute for raw bytes using the requests library. | | [LEVEL] Beginner | | [COUNT] 3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 | Stage 2 🐛 Debug | Python - Requests | 📊 Level: Beginner | 🌐 Coding5s.com
Concept: Reading Response Content (.text, .content)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 s="103" t="str">
        <f t="shared" ref="O10:O73" si="5">IF(OR(H10="Topic", UPPER(H10)="PROJECT"),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IF(UPPER(H10)="PROJECT", "PROJECT: " &amp; I10 &amp; ". Topics involved: " &amp; A10 &amp; ". Project objective: " &amp; J10, "TOPIC: " &amp; I10 &amp; ". Topic details: " &amp; J10)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IF(UPPER(H10)="PROJECT", "Project #", "Topic #") &amp; F10 &amp; " | Debug | " &amp; IF($I$3="", $I$2, $I$2&amp; " - " &amp;$I$3) &amp; " | 📊 Level: " &amp; G10 &amp; CHAR(10) &amp; "**" &amp; IF(UPPER(H10)="PROJECT", "Project", "Topic") &amp; ":** " &amp; I10 &amp; CHAR(10) &amp; "---" &amp; CHAR(10) &amp; " | " &amp;
_xlfn._LONGTEXT("[PYTHON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and interpret server response data by accessing the .text attribute for string payloads and the .content attribute for raw bytes using the requests library.. Topic details: Reading Response Content (.text, .content)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 | Debug | Python - Requests | 📊 Level: Beginner
**Topic:** Extract and interpret server response data by accessing the .text attribute for string payloads and the .content attribute for raw bytes using the requests library.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 s="52">
        <v>0</v>
      </c>
      <c r="Q10" s="102" t="str">
        <f t="shared" ref="Q10:Q73" si="6">IF(H10="Topic",
"[ROLE] Tech Lead | " &amp;
"[TASK] Assign incomplete " &amp; $I$2 &amp; " script challenges | " &amp;
"[TOPIC] " &amp; I10 &amp; " | " &amp;
"[LEVEL] " &amp; G10 &amp; " | " &amp;
"[COUNT] " &amp; D10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Topic #" &amp; F10 &amp; " | Stage 3 🧩 Complete | " &amp; IF($I$3="", $I$2, $I$2&amp; " - " &amp;$I$3) &amp; " | 📊 Level: " &amp; G10 &amp; " | 🌐 Coding5s.com" &amp; CHAR(10) &amp; "**Concept:** " &amp; J10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External PyPI packages MUST be specified inside a standard requirements.txt file. Do not use inline system pip commands. | " &amp;
"[TESTING_FRAMEWORK_PROTOCOL] Tests MUST isolate functional logic. NEVER mutate global state; use native assert statements or pytest fixtures to verify function outputs. | " &amp;
"[CHALLENGE_CONSTRAINTS_POLICY] Each challenge MUST include: - A functional module or script using closures, generators, or functools to manage continuous state with strict type hints. - " &amp; IF(G10="Beginner","5–15", IF(G10="Intermediate","10–25","15–35")) &amp; " lines of EXECUTABLE base Python code (STRICT: Do NOT count comments or TODOs). Length MUST vary. Enforce type hints, PEP 8, and NO classes.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D10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I10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IF(G10="Beginner", "Clear explicit hint (no code) | ", IF(G10="Intermediate",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IF(H10="PROJECT", AB10, ""))</f>
        <v>[ROLE] Tech Lead | [TASK] Assign incomplete Python script challenges | [TOPIC] Extract and interpret server response data by accessing the .text attribute for string payloads and the .content attribute for raw bytes using the requests library. | [LEVEL] Beginner | [COUNT] 3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 | Stage 3 🧩 Complete | Python - Requests | 📊 Level: Beginner | 🌐 Coding5s.com
**Concept:** Reading Response Content (.text, .content)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and interpret server response data by accessing the .text attribute for string payloads and the .content attribute for raw bytes using the requests library..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 s="103" t="str">
        <f t="shared" ref="R10:R73" si="7">IF(OR(H10="Topic", UPPER(H10)="PROJECT"),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IF(UPPER(H10)="PROJECT", "PROJECT: " &amp; I10 &amp; ". Topics involved: " &amp; A10 &amp; ". Project objective: " &amp; J10, "TOPIC: " &amp; I10 &amp; ". Topic details: " &amp; J10)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IF(UPPER(H10)="PROJECT", "Project #", "Topic #") &amp; F10 &amp; " | Complete | " &amp; IF($I$3="", $I$2, $I$2&amp; " - " &amp;$I$3) &amp; " | 📊 Level: " &amp; G10 &amp; CHAR(10) &amp; "**" &amp; IF(UPPER(H10)="PROJECT", "Project", "Topic") &amp; ":** " &amp; I10 &amp; CHAR(10) &amp; "---" &amp; CHAR(10) &amp; " | " &amp;
_xlfn._LONGTEXT("[PYTHON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and interpret server response data by accessing the .text attribute for string payloads and the .content attribute for raw bytes using the requests library.. Topic details: Reading Response Content (.text, .content)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 | Complete | Python - Requests | 📊 Level: Beginner
**Topic:** Extract and interpret server response data by accessing the .text attribute for string payloads and the .content attribute for raw bytes using the requests library.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 s="52">
        <v>0</v>
      </c>
      <c r="T10" s="102" t="str">
        <f t="shared" ref="T10:T73" si="8">IF(H10="Topic",
"[ROLE] Tech Lead | " &amp;
"[TASK] Provide intentionally messy but functional code for learning debugging and improvement | " &amp;
"[TOPIC] " &amp; I10 &amp; " | " &amp;
"[LEVEL] " &amp; G10 &amp; " | " &amp;
"[COUNT] " &amp; D10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F10 &amp; " | Stage 4 🧹 Refactor | " &amp; IF($I$3="", $I$2, $I$2&amp; " - " &amp;$I$3) &amp; " | 📊 Level: " &amp; G10 &amp; " | 🌐 Coding5s.com" &amp; CHAR(10) &amp; "**Concept:** " &amp; J10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D10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IF(G10="Beginner", "5–15", IF(G10="Intermediate",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IF(H10="PROJECT", AC10, ""))</f>
        <v>[ROLE] Tech Lead | [TASK] Provide intentionally messy but functional code for learning debugging and improvement | [TOPIC] Extract and interpret server response data by accessing the .text attribute for string payloads and the .content attribute for raw bytes using the requests library. | [LEVEL] Beginner | [COUNT] 3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 | Stage 4 🧹 Refactor | Python - Requests | 📊 Level: Beginner | 🌐 Coding5s.com
**Concept:** Reading Response Content (.text, .content)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 s="103" t="str">
        <f t="shared" ref="U10:U73" si="9">IF(OR(H10="Topic", UPPER(H10)="PROJECT"),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IF(UPPER(H10)="PROJECT", "PROJECT: " &amp; I10 &amp; ". Topics involved: " &amp; A10 &amp; ". Project objective: " &amp; J10, "TOPIC: " &amp; I10 &amp; ". Topic details: " &amp; J10)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IF(UPPER(H10)="PROJECT", "Project #", "Topic #") &amp; F10 &amp; " | Refactor | " &amp; IF($I$3="", $I$2, $I$2&amp; " - " &amp;$I$3) &amp; " | 📊 Level: " &amp; G10 &amp; CHAR(10) &amp; "**" &amp; IF(UPPER(H10)="PROJECT", "Project", "Topic") &amp; ":** " &amp; I10 &amp; CHAR(10) &amp; "---" &amp; CHAR(10) &amp; " | " &amp;
_xlfn._LONGTEXT("[PYTHON QUALITY RULE - STRICT] Code MUST adhere strictly to PEP 8 guidelines. Use snake_case for variables/functions, UPPER_CASE for constants, snake_case for files. Avoid global state; emphasize strict type hints, functools, and clean functional architec","tures without OOP classes.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Extract and interpret server response data by accessing the .text attribute for string payloads and the .content attribute for raw bytes using the requests library.. Topic details: Reading Response Content (.text, .content)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 | Refactor | Python - Requests | 📊 Level: Beginner
**Topic:** Extract and interpret server response data by accessing the .text attribute for string payloads and the .content attribute for raw bytes using the requests library.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 s="52">
        <v>0</v>
      </c>
      <c r="W10" s="87" t="str">
        <f t="shared" ref="W10:W73" si="10">IF(H10="Topic",
"[ROLE] Tech Product Manager assigning a " &amp; $I$2 &amp; " Jira Ticket | " &amp;
"[TASK] Provide a guided implementation exercise with full solution for learning purposes | " &amp;
"[TOPIC] " &amp; I10 &amp; " | " &amp;
"[LEVEL] " &amp; G10 &amp; "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F10 &amp; " | Stage 5 | " &amp; IF($I$3="", $I$2, $I$2&amp; " - " &amp;$I$3) &amp; " | 📊 Level: " &amp; G10 &amp; " | 🌐 Coding5s.com" &amp; CHAR(10) &amp; "**Concept:** " &amp; J10 &amp; CHAR(10) &amp; "---" &amp; CHAR(10) &amp; " | " &amp;
"[FUNCTIONAL_STRUCTURE_POLICY] Rule: " &amp; IF(G10="Beginner", "Use simple scripts or minimal functions. ", IF(G10="Intermediate",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IF(G10="Beginner", "10–20", IF(G10="Intermediate", "15–30", "25–40")) &amp; " lines of EXECUTABLE code (STRICT) - V1.1 MUST be between " &amp; IF(G10="Beginner", "15–30", IF(G10="Intermediate",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IF(H10="PROJECT", AD10, ""))</f>
        <v>[ROLE] Tech Product Manager assigning a Python Jira Ticket | [TASK] Provide a guided implementation exercise with full solution for learning purposes | [TOPIC] Extract and interpret server response data by accessing the .text attribute for string payloads and the .content attribute for raw bytes using the requests library. | [LEVEL] Beginner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 | Stage 5 | Python - Requests | 📊 Level: Beginner | 🌐 Coding5s.com
**Concept:** Reading Response Content (.text, .content)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 s="103" t="str">
        <f t="shared" ref="X10:X73" si="11">IF(OR(H10="Topic", UPPER(H10)="PROJECT"),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IF(UPPER(H10)="PROJECT", "PROJECT: " &amp; I10 &amp; ". Topics integrated: " &amp; A10 &amp; ". Business Goal: " &amp; J10, "TOPIC: " &amp; I10 &amp; ". Goal: " &amp; J10)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IF(UPPER(H10)="PROJECT", "Project #", "Topic #") &amp; F10 &amp; " | Extend | " &amp; IF($I$3="", $I$2, $I$2&amp; " - " &amp;$I$3) &amp; " | 📊 Level: " &amp; G10 &amp; CHAR(10) &amp; "**" &amp; IF(UPPER(H10)="PROJECT", "Project", "Topic") &amp; ":** " &amp; I10 &amp; CHAR(10) &amp; "---" &amp; CHAR(10) &amp; " | " &amp;
_xlfn._LONGTEXT("[CODE_QUALITY_PROTOCOL]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and interpret server response data by accessing the .text attribute for string payloads and the .content attribute for raw bytes using the requests library.. Goal: Reading Response Content (.text, .content)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 | Extend | Python - Requests | 📊 Level: Beginner
**Topic:** Extract and interpret server response data by accessing the .text attribute for string payloads and the .content attribute for raw bytes using the requests library.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 s="52">
        <v>0</v>
      </c>
      <c r="Z10" s="56" t="str">
        <f t="shared" ref="Z10:Z73" si="12">IF(H10&lt;&gt;"PROJECT","",
"[TASK] Teach through a practical " &amp; $I$2 &amp; " - " &amp; $I$3 &amp; " project following the micro-learning methodology, acting as a supportive tutor, creating a project about  " &amp; I10 &amp; " | " &amp;
"[TOPICS USED] " &amp; A10 &amp; " | " &amp;
"[LEVEL] " &amp; G10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the project requires an external package, you MUST use Standard requirements.txt file or inline pip install comments (# requirements: package_name&gt;=version) at the top. | " &amp;
"[SCOPE_ARCHITECTURE_RULE] Rule: Build scripts: async/await coroutines with asyncio, subprocess execution, signal trapping, and custom context managers. | " &amp;
_xlfn._LONGTEXT("[VISUAL_ARCHITECTURE_COMMENTS]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 &amp;
"[DATA ROBUSTNESS RULE] Handle real-world data safely | " &amp;
"[CODE CONSTRAINTS] MUST be between " &amp; IF(G10="Beginner", "25–40", IF(G10="Intermediate",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F10 &amp; " | Stage 1 | " &amp; IF($I$3="", $I$2, $I$2&amp; " - " &amp;$I$3) &amp; " | 📊 Level: " &amp; G10 &amp; " | 🌐 Coding5s.com" &amp; CHAR(10) &amp; "**Project:** " &amp; J10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10" s="56" t="str">
        <f t="shared" ref="AA10:AA73" si="13">IF(H10&lt;&gt;"PROJECT","",
"[ROLE] Careless " &amp; $I$2 &amp; " Developer | " &amp;
"[TASK] Generate debugging project in " &amp; $I$2 &amp; " | " &amp;
"[PROJECT] " &amp; I10 &amp; " | " &amp;
"[TOPICS USED] " &amp; A10 &amp; " | " &amp;
"[LEVEL] " &amp; G10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F10 &amp; " | Stage 2 | " &amp; IF($I$3="", $I$2, $I$2&amp; " - " &amp;$I$3) &amp; " | 📊 Level: " &amp; G10 &amp; " | 🌐 Coding5s.com" &amp; CHAR(10) &amp; "Project: " &amp; J10 &amp; CHAR(10) &amp; "---" &amp; CHAR(10) &amp; "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AE8 &amp; " | " &amp;
"[LANGUAGE SEED CONTEXT] " &amp; IF($AE$7 = "", "Language Seed Not Necessary", "You MUST strictly follow this seed context to enhance, adapt, and naturalize your tone, vocabulary, and instructional quality in " &amp; $B$6 &amp; ": " &amp; $AE$7) &amp; " | " &amp;
_xlfn._LONGTEXT("[BUG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IF(G10="Beginner", "25–40", IF(G10="Intermediate", "30–60", "40–100")) &amp; " lines of EXECUTABLE code (STRICT: Do NOT count blank lines towards this limit) - Multi-step flow - 2–4 functions ONLY - main() as entry point " &amp; IF(G10&lt;&gt;"Advanced",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10" s="56" t="str">
        <f t="shared" ref="AB10:AB73" si="14">IF(H10&lt;&gt;"PROJECT","",
"[ROLE] Tech Lead | " &amp;
"[TASK] Assign incomplete project script | " &amp;
"[PROJECT] " &amp; I10 &amp; " | " &amp;
"[TOPICS USED] " &amp; A10 &amp; " | " &amp;
"[LEVEL] " &amp; G10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F10 &amp; " | Stage 3 | " &amp; IF($I$3="", $I$2, $I$2&amp; " - " &amp;$I$3) &amp; " | 📊 Level: " &amp; G10 &amp; " | 🌐 Coding5s.com" &amp; CHAR(10) &amp; "**Project:** " &amp; J10 &amp; CHAR(10) &amp; "---" &amp; CHAR(10) &amp; " | " &amp;
"[EXTERNAL_PACKAGE_PROTOCOL] Require standard pip tooling and requirements.txt for dependencies. | " &amp;
"[CHALLENGE_CONSTRAINTS_POLICY] MUST be between " &amp; IF(G10="Beginner","25–40", IF(G10="Intermediate","30–60","40–100")) &amp; " lines of EXECUTABLE base Python code (STRICT: Do NOT count comments or TODOs). Must feature functional data pipelines or asynchronous asyncio flows.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10" s="56" t="str">
        <f t="shared" ref="AC10:AC73" si="15">IF(H10&lt;&gt;"PROJECT","",
"[ROLE] Tech Lead | " &amp;
"[TASK] Provide a messy but functional project for refactoring | " &amp;
"[PROJECT] " &amp; I10 &amp; " | " &amp;
"[TOPICS USED] " &amp; A10 &amp; " | " &amp;
"[LEVEL] " &amp; G10 &amp; " | " &amp;
"[PERSONA RULE] Act as a Tech Lead. A junior wrote this working but messy code. Tone: professional but exhausted | " &amp;
"[HEADER RULE - STRICT] You MUST start your entire response EXACTLY with this markdown block (do not print anything before it):" &amp; CHAR(10) &amp; "### 🚀 Project #" &amp; F10 &amp; " | Stage 4 | " &amp; IF($I$3="", $I$2, $I$2&amp; " - " &amp;$I$3) &amp; " | 📊 Level: " &amp; G10 &amp; " | 🌐 Coding5s.com" &amp; CHAR(10) &amp; "**Project:** " &amp; J10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IF(G10="Beginner", "25–40", IF(G10="Intermediate",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10" s="56" t="str">
        <f t="shared" ref="AD10:AD73" si="16">IF(H10&lt;&gt;"PROJECT","",
"[ROLE] Tech Product Manager assigning a " &amp; $I$2 &amp; " Jira Ticket | " &amp;
"[TASK] Provide a guided project implementation with full solution | " &amp;
"[PROJECT] " &amp; I10 &amp; " | " &amp;
"[TOPICS USED] " &amp; A10 &amp; " | " &amp;
"[LEVEL] " &amp; G10 &amp; " | " &amp;
"[PERSONA RULE] Act as a professional Tech Product Manager defining a project ticket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Project #" &amp; F10 &amp; " | Stage 5 | " &amp; IF($I$3="", $I$2, $I$2&amp; " - " &amp;$I$3) &amp; " | 📊 Level: " &amp; G10 &amp; " | 🌐 Coding5s.com" &amp; CHAR(10) &amp; "**Project:** " &amp; J10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IF(G10="Beginner", "20–35", IF(G10="Intermediate", "30–50", "45–70")) &amp; " lines of EXECUTABLE code (STRICT) - V1.1 MUST be between " &amp; IF(G10="Beginner", "30–50", IF(G10="Intermediate",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IF(G10="Beginner", "Avoid complex structure. ", IF(G10="Intermediate",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10" s="55" t="s">
        <v>55</v>
      </c>
      <c r="AF10" s="55" t="s">
        <v>56</v>
      </c>
      <c r="AG10" s="55" t="s">
        <v>57</v>
      </c>
      <c r="AH10" s="56" t="str">
        <f t="shared" si="0"/>
        <v/>
      </c>
      <c r="AI10" s="54" t="s">
        <v>58</v>
      </c>
      <c r="AJ10" s="54"/>
      <c r="AK10" s="54">
        <v>2</v>
      </c>
      <c r="AL10" s="54" t="s">
        <v>16</v>
      </c>
      <c r="AM10" s="54" t="s">
        <v>59</v>
      </c>
    </row>
    <row r="11" spans="1:39">
      <c r="A11" s="45" t="str" cm="1">
        <f t="array" ref="A11">IF(H11="PROJECT", CHAR(10) &amp; "- " &amp; _xlfn.TEXTJOIN(CHAR(10) &amp; "- ", TRUE, _xlfn._xlws.FILTER($I$9:$I$1000, ($B$9:$B$1000=B11) * ($H$9:$H$1000="Topic"))), "")</f>
        <v/>
      </c>
      <c r="B11" s="45">
        <f t="shared" si="1"/>
        <v>1</v>
      </c>
      <c r="C11" s="95">
        <v>6</v>
      </c>
      <c r="D11" s="46">
        <v>3</v>
      </c>
      <c r="E11" s="58" t="s">
        <v>46</v>
      </c>
      <c r="F11" s="48">
        <v>3</v>
      </c>
      <c r="G11" s="49" t="s">
        <v>47</v>
      </c>
      <c r="H11" s="49" t="s">
        <v>48</v>
      </c>
      <c r="I11" s="50" t="s">
        <v>789</v>
      </c>
      <c r="J11" s="51" t="s">
        <v>790</v>
      </c>
      <c r="K11" s="129" t="str">
        <f t="shared" si="2"/>
        <v xml:space="preserve">[ROLE] Friendly tutor specializing in Python | [TOPIC] Parse incoming JSON formatted HTTP responses directly into Python dictionary objects utilizing the built-in .json() method from the requests library. | [LEVEL] Beginner | [COUNT] 3 examples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6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6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 | Stage 1 📖 Practice | Python - Requests | 📊 Level: Beginner | 🌐 Coding5s.com
**Concept:** Parsing JSON Responses (.json())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 s="103" t="str">
        <f t="shared" si="3"/>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Parse incoming JSON formatted HTTP responses directly into Python dictionary objects utilizing the built-in .json() method from the requests library.. Topic details: Parsing JSON Responses (.json())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 | Practice | Python - Requests | 📊 Level: Beginner
**Topic:** Parse incoming JSON formatted HTTP responses directly into Python dictionary objects utilizing the built-in .json() method from the requests library.
---
 | [FOOTER RULE - STRICT] End your response with: '--- ⚡ *Coding5s Mentor System — Eliminating Epistemic Debt*' | </v>
      </c>
      <c r="M11" s="52">
        <v>0</v>
      </c>
      <c r="N11" s="102" t="str">
        <f t="shared" si="4"/>
        <v>[ROLE] Careless Python Developer | [TASK] Generate debugging challenges in Python | | [TOPIC] Parse incoming JSON formatted HTTP responses directly into Python dictionary objects utilizing the built-in .json() method from the requests library. | | [LEVEL] Beginner | | [COUNT] 3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 | Stage 2 🐛 Debug | Python - Requests | 📊 Level: Beginner | 🌐 Coding5s.com
Concept: Parsing JSON Responses (.json())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Parse incoming JSON formatted HTTP responses directly into Python dictionary objects utilizing the built-in .json() method from the requests library.. Topic details: Parsing JSON Responses (.json())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 | Debug | Python - Requests | 📊 Level: Beginner
**Topic:** Parse incoming JSON formatted HTTP responses directly into Python dictionary objects utilizing the built-in .json() method from the requests library.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 s="53">
        <v>0</v>
      </c>
      <c r="Q11" s="102" t="str">
        <f t="shared" si="6"/>
        <v>[ROLE] Tech Lead | [TASK] Assign incomplete Python script challenges | [TOPIC] Parse incoming JSON formatted HTTP responses directly into Python dictionary objects utilizing the built-in .json() method from the requests library. | [LEVEL] Beginner | [COUNT] 3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 | Stage 3 🧩 Complete | Python - Requests | 📊 Level: Beginner | 🌐 Coding5s.com
**Concept:** Parsing JSON Responses (.json())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Parse incoming JSON formatted HTTP responses directly into Python dictionary objects utilizing the built-in .json() method from the requests library..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Parse incoming JSON formatted HTTP responses directly into Python dictionary objects utilizing the built-in .json() method from the requests library.. Topic details: Parsing JSON Responses (.json())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 | Complete | Python - Requests | 📊 Level: Beginner
**Topic:** Parse incoming JSON formatted HTTP responses directly into Python dictionary objects utilizing the built-in .json() method from the requests library.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 s="53">
        <v>0</v>
      </c>
      <c r="T11" s="102" t="str">
        <f t="shared" si="8"/>
        <v>[ROLE] Tech Lead | [TASK] Provide intentionally messy but functional code for learning debugging and improvement | [TOPIC] Parse incoming JSON formatted HTTP responses directly into Python dictionary objects utilizing the built-in .json() method from the requests library. | [LEVEL] Beginner | [COUNT] 3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 | Stage 4 🧹 Refactor | Python - Requests | 📊 Level: Beginner | 🌐 Coding5s.com
**Concept:** Parsing JSON Responses (.json())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Parse incoming JSON formatted HTTP responses directly into Python dictionary objects utilizing the built-in .json() method from the requests library.. Topic details: Parsing JSON Responses (.json())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 | Refactor | Python - Requests | 📊 Level: Beginner
**Topic:** Parse incoming JSON formatted HTTP responses directly into Python dictionary objects utilizing the built-in .json() method from the requests library.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 s="53">
        <v>0</v>
      </c>
      <c r="W11" s="87" t="str">
        <f t="shared" si="10"/>
        <v>[ROLE] Tech Product Manager assigning a Python Jira Ticket | [TASK] Provide a guided implementation exercise with full solution for learning purposes | [TOPIC] Parse incoming JSON formatted HTTP responses directly into Python dictionary objects utilizing the built-in .json() method from the requests library. | [LEVEL] Beginner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 | Stage 5 | Python - Requests | 📊 Level: Beginner | 🌐 Coding5s.com
**Concept:** Parsing JSON Responses (.json())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Parse incoming JSON formatted HTTP responses directly into Python dictionary objects utilizing the built-in .json() method from the requests library.. Goal: Parsing JSON Responses (.json())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 | Extend | Python - Requests | 📊 Level: Beginner
**Topic:** Parse incoming JSON formatted HTTP responses directly into Python dictionary objects utilizing the built-in .json() method from the requests library.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 s="53">
        <v>0</v>
      </c>
      <c r="Z11" s="56" t="str">
        <f t="shared" si="12"/>
        <v/>
      </c>
      <c r="AA11" s="56" t="str">
        <f t="shared" si="13"/>
        <v/>
      </c>
      <c r="AB11" s="56" t="str">
        <f t="shared" si="14"/>
        <v/>
      </c>
      <c r="AC11" s="56" t="str">
        <f t="shared" si="15"/>
        <v/>
      </c>
      <c r="AD11" s="56" t="str">
        <f t="shared" si="16"/>
        <v/>
      </c>
      <c r="AE11" s="55" t="s">
        <v>60</v>
      </c>
      <c r="AF11" s="55" t="s">
        <v>61</v>
      </c>
      <c r="AG11" s="55" t="s">
        <v>62</v>
      </c>
      <c r="AH11" s="56" t="str">
        <f t="shared" si="0"/>
        <v/>
      </c>
      <c r="AI11" s="54" t="s">
        <v>63</v>
      </c>
      <c r="AJ11" s="54"/>
      <c r="AK11" s="54">
        <v>3</v>
      </c>
      <c r="AL11" s="54" t="s">
        <v>64</v>
      </c>
      <c r="AM11" s="54" t="s">
        <v>65</v>
      </c>
    </row>
    <row r="12" spans="1:39">
      <c r="A12" s="45" t="str" cm="1">
        <f t="array" ref="A12">IF(H12="PROJECT", CHAR(10) &amp; "- " &amp; _xlfn.TEXTJOIN(CHAR(10) &amp; "- ", TRUE, _xlfn._xlws.FILTER($I$9:$I$1000, ($B$9:$B$1000=B12) * ($H$9:$H$1000="Topic"))), "")</f>
        <v/>
      </c>
      <c r="B12" s="45">
        <f t="shared" si="1"/>
        <v>1</v>
      </c>
      <c r="C12" s="95">
        <v>8</v>
      </c>
      <c r="D12" s="57">
        <v>4</v>
      </c>
      <c r="E12" s="58" t="s">
        <v>46</v>
      </c>
      <c r="F12" s="59">
        <v>4</v>
      </c>
      <c r="G12" s="60" t="s">
        <v>47</v>
      </c>
      <c r="H12" s="60" t="s">
        <v>48</v>
      </c>
      <c r="I12" s="61" t="s">
        <v>791</v>
      </c>
      <c r="J12" s="62" t="s">
        <v>792</v>
      </c>
      <c r="K12" s="129" t="str">
        <f t="shared" si="2"/>
        <v xml:space="preserve">[ROLE] Friendly tutor specializing in Python | [TOPIC] Construct dynamic URLs by passing a Python dictionary to the params argument in requests.get() to properly encode query string parameters. | [LEVEL] Beginner | [COUNT] 4 examples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 | Stage 1 📖 Practice | Python - Requests | 📊 Level: Beginner | 🌐 Coding5s.com
**Concept:** Passing URL Query Parameters (params dictionary)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2" s="103" t="str">
        <f t="shared" si="3"/>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dynamic URLs by passing a Python dictionary to the params argument in requests.get() to properly encode query string parameters.. Topic details: Passing URL Query Parameters (params dictionary)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 | Practice | Python - Requests | 📊 Level: Beginner
**Topic:** Construct dynamic URLs by passing a Python dictionary to the params argument in requests.get() to properly encode query string parameters.
---
 | [FOOTER RULE - STRICT] End your response with: '--- ⚡ *Coding5s Mentor System — Eliminating Epistemic Debt*' | </v>
      </c>
      <c r="M12" s="52">
        <v>0</v>
      </c>
      <c r="N12" s="102" t="str">
        <f t="shared" si="4"/>
        <v>[ROLE] Careless Python Developer | [TASK] Generate debugging challenges in Python | | [TOPIC] Construct dynamic URLs by passing a Python dictionary to the params argument in requests.get() to properly encode query string parameters. | | [LEVEL] Beginner | | [COUNT] 4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 | Stage 2 🐛 Debug | Python - Requests | 📊 Level: Beginner | 🌐 Coding5s.com
Concept: Passing URL Query Parameters (params dictionary)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2"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dynamic URLs by passing a Python dictionary to the params argument in requests.get() to properly encode query string parameters.. Topic details: Passing URL Query Parameters (params dictionary)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 | Debug | Python - Requests | 📊 Level: Beginner
**Topic:** Construct dynamic URLs by passing a Python dictionary to the params argument in requests.get() to properly encode query string parameters.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2" s="52">
        <v>0</v>
      </c>
      <c r="Q12" s="102" t="str">
        <f t="shared" si="6"/>
        <v>[ROLE] Tech Lead | [TASK] Assign incomplete Python script challenges | [TOPIC] Construct dynamic URLs by passing a Python dictionary to the params argument in requests.get() to properly encode query string parameters. | [LEVEL] Beginner | [COUNT] 4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 | Stage 3 🧩 Complete | Python - Requests | 📊 Level: Beginner | 🌐 Coding5s.com
**Concept:** Passing URL Query Parameters (params dictionary)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dynamic URLs by passing a Python dictionary to the params argument in requests.get() to properly encode query string parameters..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2"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dynamic URLs by passing a Python dictionary to the params argument in requests.get() to properly encode query string parameters.. Topic details: Passing URL Query Parameters (params dictionary)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 | Complete | Python - Requests | 📊 Level: Beginner
**Topic:** Construct dynamic URLs by passing a Python dictionary to the params argument in requests.get() to properly encode query string parameters.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2" s="52">
        <v>0</v>
      </c>
      <c r="T12" s="102" t="str">
        <f t="shared" si="8"/>
        <v>[ROLE] Tech Lead | [TASK] Provide intentionally messy but functional code for learning debugging and improvement | [TOPIC] Construct dynamic URLs by passing a Python dictionary to the params argument in requests.get() to properly encode query string parameters. | [LEVEL] Beginner | [COUNT] 4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 | Stage 4 🧹 Refactor | Python - Requests | 📊 Level: Beginner | 🌐 Coding5s.com
**Concept:** Passing URL Query Parameters (params dictionary)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Construct dynamic URLs by passing a Python dictionary to the params argument in requests.get() to properly encode query string parameters.. Topic details: Passing URL Query Parameters (params dictionary)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 | Refactor | Python - Requests | 📊 Level: Beginner
**Topic:** Construct dynamic URLs by passing a Python dictionary to the params argument in requests.get() to properly encode query string parameters.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2" s="52">
        <v>0</v>
      </c>
      <c r="W12" s="87" t="str">
        <f t="shared" si="10"/>
        <v>[ROLE] Tech Product Manager assigning a Python Jira Ticket | [TASK] Provide a guided implementation exercise with full solution for learning purposes | [TOPIC] Construct dynamic URLs by passing a Python dictionary to the params argument in requests.get() to properly encode query string parameters. | [LEVEL] Beginner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 | Stage 5 | Python - Requests | 📊 Level: Beginner | 🌐 Coding5s.com
**Concept:** Passing URL Query Parameters (params dictionary)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dynamic URLs by passing a Python dictionary to the params argument in requests.get() to properly encode query string parameters.. Goal: Passing URL Query Parameters (params dictionary)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 | Extend | Python - Requests | 📊 Level: Beginner
**Topic:** Construct dynamic URLs by passing a Python dictionary to the params argument in requests.get() to properly encode query string parameters.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2" s="52">
        <v>0</v>
      </c>
      <c r="Z12" s="56" t="str">
        <f t="shared" si="12"/>
        <v/>
      </c>
      <c r="AA12" s="56" t="str">
        <f t="shared" si="13"/>
        <v/>
      </c>
      <c r="AB12" s="56" t="str">
        <f t="shared" si="14"/>
        <v/>
      </c>
      <c r="AC12" s="56" t="str">
        <f t="shared" si="15"/>
        <v/>
      </c>
      <c r="AD12" s="56" t="str">
        <f t="shared" si="16"/>
        <v/>
      </c>
      <c r="AE12" s="55" t="s">
        <v>66</v>
      </c>
      <c r="AF12" s="55" t="s">
        <v>67</v>
      </c>
      <c r="AG12" s="55" t="s">
        <v>68</v>
      </c>
      <c r="AH12" s="56" t="str">
        <f t="shared" si="0"/>
        <v/>
      </c>
      <c r="AI12" s="54" t="s">
        <v>69</v>
      </c>
      <c r="AJ12" s="54"/>
      <c r="AK12" s="54">
        <v>4</v>
      </c>
      <c r="AL12" s="54" t="s">
        <v>70</v>
      </c>
      <c r="AM12" s="54" t="s">
        <v>71</v>
      </c>
    </row>
    <row r="13" spans="1:39">
      <c r="A13" s="45" t="str" cm="1">
        <f t="array" ref="A13">IF(H13="PROJECT", CHAR(10) &amp; "- " &amp; _xlfn.TEXTJOIN(CHAR(10) &amp; "- ", TRUE, _xlfn._xlws.FILTER($I$9:$I$1000, ($B$9:$B$1000=B13) * ($H$9:$H$1000="Topic"))), "")</f>
        <v/>
      </c>
      <c r="B13" s="45">
        <f t="shared" si="1"/>
        <v>1</v>
      </c>
      <c r="C13" s="95">
        <v>8</v>
      </c>
      <c r="D13" s="46">
        <v>3</v>
      </c>
      <c r="E13" s="58" t="s">
        <v>46</v>
      </c>
      <c r="F13" s="48">
        <v>5</v>
      </c>
      <c r="G13" s="49" t="s">
        <v>47</v>
      </c>
      <c r="H13" s="49" t="s">
        <v>48</v>
      </c>
      <c r="I13" s="50" t="s">
        <v>793</v>
      </c>
      <c r="J13" s="51" t="s">
        <v>794</v>
      </c>
      <c r="K13" s="129" t="str">
        <f t="shared" si="2"/>
        <v xml:space="preserve">[ROLE] Friendly tutor specializing in Python | [TOPIC] Examine HTTP response metadata by accessing .headers for server information, .url to verify the final requested endpoint, and .encoding to check text decoding. | [LEVEL] Beginner | [COUNT] 3 examples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 | Stage 1 📖 Practice | Python - Requests | 📊 Level: Beginner | 🌐 Coding5s.com
**Concept:** Inspecting Response Metadata (.headers, .url, .encoding)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3" s="103" t="str">
        <f t="shared" si="3"/>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Examine HTTP response metadata by accessing .headers for server information, .url to verify the final requested endpoint, and .encoding to check text decoding.. Topic details: Inspecting Response Metadata (.headers, .url, .encoding)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 | Practice | Python - Requests | 📊 Level: Beginner
**Topic:** Examine HTTP response metadata by accessing .headers for server information, .url to verify the final requested endpoint, and .encoding to check text decoding.
---
 | [FOOTER RULE - STRICT] End your response with: '--- ⚡ *Coding5s Mentor System — Eliminating Epistemic Debt*' | </v>
      </c>
      <c r="M13" s="52">
        <v>0</v>
      </c>
      <c r="N13" s="102" t="str">
        <f t="shared" si="4"/>
        <v>[ROLE] Careless Python Developer | [TASK] Generate debugging challenges in Python | | [TOPIC] Examine HTTP response metadata by accessing .headers for server information, .url to verify the final requested endpoint, and .encoding to check text decoding. | | [LEVEL] Beginner | | [COUNT] 3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 | Stage 2 🐛 Debug | Python - Requests | 📊 Level: Beginner | 🌐 Coding5s.com
Concept: Inspecting Response Metadata (.headers, .url, .encoding)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3"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Examine HTTP response metadata by accessing .headers for server information, .url to verify the final requested endpoint, and .encoding to check text decoding.. Topic details: Inspecting Response Metadata (.headers, .url, .encoding)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 | Debug | Python - Requests | 📊 Level: Beginner
**Topic:** Examine HTTP response metadata by accessing .headers for server information, .url to verify the final requested endpoint, and .encoding to check text decoding.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3" s="53">
        <v>0</v>
      </c>
      <c r="Q13" s="102" t="str">
        <f t="shared" si="6"/>
        <v>[ROLE] Tech Lead | [TASK] Assign incomplete Python script challenges | [TOPIC] Examine HTTP response metadata by accessing .headers for server information, .url to verify the final requested endpoint, and .encoding to check text decoding. | [LEVEL] Beginner | [COUNT] 3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 | Stage 3 🧩 Complete | Python - Requests | 📊 Level: Beginner | 🌐 Coding5s.com
**Concept:** Inspecting Response Metadata (.headers, .url, .encoding)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Examine HTTP response metadata by accessing .headers for server information, .url to verify the final requested endpoint, and .encoding to check text decoding..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3"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Examine HTTP response metadata by accessing .headers for server information, .url to verify the final requested endpoint, and .encoding to check text decoding.. Topic details: Inspecting Response Metadata (.headers, .url, .encoding)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 | Complete | Python - Requests | 📊 Level: Beginner
**Topic:** Examine HTTP response metadata by accessing .headers for server information, .url to verify the final requested endpoint, and .encoding to check text decoding.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3" s="53">
        <v>0</v>
      </c>
      <c r="T13" s="102" t="str">
        <f t="shared" si="8"/>
        <v>[ROLE] Tech Lead | [TASK] Provide intentionally messy but functional code for learning debugging and improvement | [TOPIC] Examine HTTP response metadata by accessing .headers for server information, .url to verify the final requested endpoint, and .encoding to check text decoding. | [LEVEL] Beginner | [COUNT] 3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 | Stage 4 🧹 Refactor | Python - Requests | 📊 Level: Beginner | 🌐 Coding5s.com
**Concept:** Inspecting Response Metadata (.headers, .url, .encoding)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Examine HTTP response metadata by accessing .headers for server information, .url to verify the final requested endpoint, and .encoding to check text decoding.. Topic details: Inspecting Response Metadata (.headers, .url, .encoding)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 | Refactor | Python - Requests | 📊 Level: Beginner
**Topic:** Examine HTTP response metadata by accessing .headers for server information, .url to verify the final requested endpoint, and .encoding to check text decoding.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3" s="53">
        <v>0</v>
      </c>
      <c r="W13" s="87" t="str">
        <f t="shared" si="10"/>
        <v>[ROLE] Tech Product Manager assigning a Python Jira Ticket | [TASK] Provide a guided implementation exercise with full solution for learning purposes | [TOPIC] Examine HTTP response metadata by accessing .headers for server information, .url to verify the final requested endpoint, and .encoding to check text decoding. | [LEVEL] Beginner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 | Stage 5 | Python - Requests | 📊 Level: Beginner | 🌐 Coding5s.com
**Concept:** Inspecting Response Metadata (.headers, .url, .encoding)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Examine HTTP response metadata by accessing .headers for server information, .url to verify the final requested endpoint, and .encoding to check text decoding.. Goal: Inspecting Response Metadata (.headers, .url, .encoding)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 | Extend | Python - Requests | 📊 Level: Beginner
**Topic:** Examine HTTP response metadata by accessing .headers for server information, .url to verify the final requested endpoint, and .encoding to check text decoding.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3" s="53">
        <v>0</v>
      </c>
      <c r="Z13" s="56" t="str">
        <f t="shared" si="12"/>
        <v/>
      </c>
      <c r="AA13" s="56" t="str">
        <f t="shared" si="13"/>
        <v/>
      </c>
      <c r="AB13" s="56" t="str">
        <f t="shared" si="14"/>
        <v/>
      </c>
      <c r="AC13" s="56" t="str">
        <f t="shared" si="15"/>
        <v/>
      </c>
      <c r="AD13" s="56" t="str">
        <f t="shared" si="16"/>
        <v/>
      </c>
      <c r="AE13" s="40" t="s">
        <v>72</v>
      </c>
      <c r="AF13" s="40" t="s">
        <v>73</v>
      </c>
      <c r="AG13" s="40" t="s">
        <v>74</v>
      </c>
      <c r="AH13" s="56" t="str">
        <f t="shared" si="0"/>
        <v/>
      </c>
      <c r="AI13" s="54"/>
      <c r="AJ13" s="54"/>
      <c r="AK13" s="54">
        <v>5</v>
      </c>
      <c r="AL13" s="54" t="s">
        <v>75</v>
      </c>
      <c r="AM13" s="54" t="s">
        <v>76</v>
      </c>
    </row>
    <row r="14" spans="1:39">
      <c r="A14" s="45" t="str" cm="1">
        <f t="array" ref="A14">IF(H14="PROJECT", CHAR(10) &amp; "- " &amp; _xlfn.TEXTJOIN(CHAR(10) &amp; "- ", TRUE, _xlfn._xlws.FILTER($I$9:$I$1000, ($B$9:$B$1000=B14) * ($H$9:$H$1000="Topic"))), "")</f>
        <v xml:space="preserve">
- Execute basic HTTP GET requests using requests.get() to retrieve web page content and evaluate the HTTP .status_code to confirm a successful connection.
- Extract and interpret server response data by accessing the .text attribute for string payloads and the .content attribute for raw bytes using the requests library.
- Parse incoming JSON formatted HTTP responses directly into Python dictionary objects utilizing the built-in .json() method from the requests library.
- Construct dynamic URLs by passing a Python dictionary to the params argument in requests.get() to properly encode query string parameters.
- Examine HTTP response metadata by accessing .headers for server information, .url to verify the final requested endpoint, and .encoding to check text decoding.</v>
      </c>
      <c r="B14" s="45">
        <f t="shared" si="1"/>
        <v>1</v>
      </c>
      <c r="C14" s="95" t="s">
        <v>857</v>
      </c>
      <c r="D14" s="57">
        <v>0</v>
      </c>
      <c r="E14" s="58" t="s">
        <v>723</v>
      </c>
      <c r="F14" s="59">
        <v>6</v>
      </c>
      <c r="G14" s="60" t="s">
        <v>47</v>
      </c>
      <c r="H14" s="60" t="s">
        <v>77</v>
      </c>
      <c r="I14" s="61" t="s">
        <v>795</v>
      </c>
      <c r="J14" s="62" t="s">
        <v>796</v>
      </c>
      <c r="K14" s="129" t="str">
        <f t="shared" si="2"/>
        <v>[TASK] Teach through a practical Python - Requests project following the micro-learning methodology, acting as a supportive tutor, creating a project about  Build a simple API data fetching application that takes user search queries as input, processes them by passing them as URL parameters in a GET request to parse the JSON response, and outputs a formatted list of results to the user. | [TOPICS USED] 
- Execute basic HTTP GET requests using requests.get() to retrieve web page content and evaluate the HTTP .status_code to confirm a successful connection.
- Extract and interpret server response data by accessing the .text attribute for string payloads and the .content attribute for raw bytes using the requests library.
- Parse incoming JSON formatted HTTP responses directly into Python dictionary objects utilizing the built-in .json() method from the requests library.
- Construct dynamic URLs by passing a Python dictionary to the params argument in requests.get() to properly encode query string parameters.
- Examine HTTP response metadata by accessing .headers for server information, .url to verify the final requested endpoint, and .encoding to check text decoding. | [LEVEL] Beginner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 | Stage 1 | Python - Requests | 📊 Level: Beginner | 🌐 Coding5s.com
**Project:** Simple API Data Fetcher (Combining GET, Params, and JSON parsing)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14" s="103" t="str">
        <f t="shared" si="3"/>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simple API data fetching application that takes user search queries as input, processes them by passing them as URL parameters in a GET request to parse the JSON response, and outputs a formatted list of results to the user.. Topics applied in this project: 
- Execute basic HTTP GET requests using requests.get() to retrieve web page content and evaluate the HTTP .status_code to confirm a successful connection.
- Extract and interpret server response data by accessing the .text attribute for string payloads and the .content attribute for raw bytes using the requests library.
- Parse incoming JSON formatted HTTP responses directly into Python dictionary objects utilizing the built-in .json() method from the requests library.
- Construct dynamic URLs by passing a Python dictionary to the params argument in requests.get() to properly encode query string parameters.
- Examine HTTP response metadata by accessing .headers for server information, .url to verify the final requested endpoint, and .encoding to check text decoding.. Project objective: Simple API Data Fetcher (Combining GET, Params, and JSON parsing)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#6 | Practice | Python - Requests | 📊 Level: Beginner
**Project:** Build a simple API data fetching application that takes user search queries as input, processes them by passing them as URL parameters in a GET request to parse the JSON response, and outputs a formatted list of results to the user.
---
 | [FOOTER RULE - STRICT] End your response with: '--- ⚡ *Coding5s Mentor System — Eliminating Epistemic Debt*' | </v>
      </c>
      <c r="M14" s="52">
        <v>0</v>
      </c>
      <c r="N14" s="102" t="str">
        <f t="shared" si="4"/>
        <v>[ROLE] Careless Python Developer | [TASK] Generate debugging project in Python | [PROJECT] Build a simple API data fetching application that takes user search queries as input, processes them by passing them as URL parameters in a GET request to parse the JSON response, and outputs a formatted list of results to the user. | [TOPICS USED] 
- Execute basic HTTP GET requests using requests.get() to retrieve web page content and evaluate the HTTP .status_code to confirm a successful connection.
- Extract and interpret server response data by accessing the .text attribute for string payloads and the .content attribute for raw bytes using the requests library.
- Parse incoming JSON formatted HTTP responses directly into Python dictionary objects utilizing the built-in .json() method from the requests library.
- Construct dynamic URLs by passing a Python dictionary to the params argument in requests.get() to properly encode query string parameters.
- Examine HTTP response metadata by accessing .headers for server information, .url to verify the final requested endpoint, and .encoding to check text decoding. | [LEVEL] Beginner | [OUTPUT] Only header, dataset summary or statement (if any), email intro, objective, expected output, broken code, and footer | [HEADER RULE - STRICT] You MUST start your entire response EXACTLY with this markdown block (do not print anything before it):
### 🚀 Project #6 | Stage 2 | Python - Requests | 📊 Level: Beginner | 🌐 Coding5s.com
Project: Simple API Data Fetcher (Combining GET, Params, and JSON parsing)
---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Mam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14"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simple API data fetching application that takes user search queries as input, processes them by passing them as URL parameters in a GET request to parse the JSON response, and outputs a formatted list of results to the user.. Topics involved: 
- Execute basic HTTP GET requests using requests.get() to retrieve web page content and evaluate the HTTP .status_code to confirm a successful connection.
- Extract and interpret server response data by accessing the .text attribute for string payloads and the .content attribute for raw bytes using the requests library.
- Parse incoming JSON formatted HTTP responses directly into Python dictionary objects utilizing the built-in .json() method from the requests library.
- Construct dynamic URLs by passing a Python dictionary to the params argument in requests.get() to properly encode query string parameters.
- Examine HTTP response metadata by accessing .headers for server information, .url to verify the final requested endpoint, and .encoding to check text decoding.. Project objective: Simple API Data Fetcher (Combining GET, Params, and JSON parsing)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#6 | Debug | Python - Requests | 📊 Level: Beginner
**Project:** Build a simple API data fetching application that takes user search queries as input, processes them by passing them as URL parameters in a GET request to parse the JSON response, and outputs a formatted list of results to the user.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4" s="52">
        <v>0</v>
      </c>
      <c r="Q14" s="102" t="str">
        <f t="shared" si="6"/>
        <v>[ROLE] Tech Lead | [TASK] Assign incomplete project script | [PROJECT] Build a simple API data fetching application that takes user search queries as input, processes them by passing them as URL parameters in a GET request to parse the JSON response, and outputs a formatted list of results to the user. | [TOPICS USED] 
- Execute basic HTTP GET requests using requests.get() to retrieve web page content and evaluate the HTTP .status_code to confirm a successful connection.
- Extract and interpret server response data by accessing the .text attribute for string payloads and the .content attribute for raw bytes using the requests library.
- Parse incoming JSON formatted HTTP responses directly into Python dictionary objects utilizing the built-in .json() method from the requests library.
- Construct dynamic URLs by passing a Python dictionary to the params argument in requests.get() to properly encode query string parameters.
- Examine HTTP response metadata by accessing .headers for server information, .url to verify the final requested endpoint, and .encoding to check text decoding. | [LEVEL] Beginner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#6 | Stage 3 | Python - Requests | 📊 Level: Beginner | 🌐 Coding5s.com
**Project:** Simple API Data Fetcher (Combining GET, Params, and JSON parsing)
---
 | [EXTERNAL_PACKAGE_PROTOCOL] Require standard pip tooling and requirements.txt for dependencies. | [CHALLENGE_CONSTRAINTS_POLICY] MUST be between 25–40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14"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simple API data fetching application that takes user search queries as input, processes them by passing them as URL parameters in a GET request to parse the JSON response, and outputs a formatted list of results to the user.. Topics involved: 
- Execute basic HTTP GET requests using requests.get() to retrieve web page content and evaluate the HTTP .status_code to confirm a successful connection.
- Extract and interpret server response data by accessing the .text attribute for string payloads and the .content attribute for raw bytes using the requests library.
- Parse incoming JSON formatted HTTP responses directly into Python dictionary objects utilizing the built-in .json() method from the requests library.
- Construct dynamic URLs by passing a Python dictionary to the params argument in requests.get() to properly encode query string parameters.
- Examine HTTP response metadata by accessing .headers for server information, .url to verify the final requested endpoint, and .encoding to check text decoding.. Project objective: Simple API Data Fetcher (Combining GET, Params, and JSON parsing)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#6 | Complete | Python - Requests | 📊 Level: Beginner
**Project:** Build a simple API data fetching application that takes user search queries as input, processes them by passing them as URL parameters in a GET request to parse the JSON response, and outputs a formatted list of results to the user.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4" s="53">
        <v>0</v>
      </c>
      <c r="T14" s="102" t="str">
        <f t="shared" si="8"/>
        <v>[ROLE] Tech Lead | [TASK] Provide a messy but functional project for refactoring | [PROJECT] Build a simple API data fetching application that takes user search queries as input, processes them by passing them as URL parameters in a GET request to parse the JSON response, and outputs a formatted list of results to the user. | [TOPICS USED] 
- Execute basic HTTP GET requests using requests.get() to retrieve web page content and evaluate the HTTP .status_code to confirm a successful connection.
- Extract and interpret server response data by accessing the .text attribute for string payloads and the .content attribute for raw bytes using the requests library.
- Parse incoming JSON formatted HTTP responses directly into Python dictionary objects utilizing the built-in .json() method from the requests library.
- Construct dynamic URLs by passing a Python dictionary to the params argument in requests.get() to properly encode query string parameters.
- Examine HTTP response metadata by accessing .headers for server information, .url to verify the final requested endpoint, and .encoding to check text decoding. | [LEVEL] Beginner | [PERSONA RULE] Act as a Tech Lead. A junior wrote this working but messy code. Tone: professional but exhausted | [HEADER RULE - STRICT] You MUST start your entire response EXACTLY with this markdown block (do not print anything before it):
### 🚀 Project #6 | Stage 4 | Python - Requests | 📊 Level: Beginner | 🌐 Coding5s.com
**Project:** Simple API Data Fetcher (Combining GET, Params, and JSON parsing)
---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1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simple API data fetching application that takes user search queries as input, processes them by passing them as URL parameters in a GET request to parse the JSON response, and outputs a formatted list of results to the user.. Topics involved: 
- Execute basic HTTP GET requests using requests.get() to retrieve web page content and evaluate the HTTP .status_code to confirm a successful connection.
- Extract and interpret server response data by accessing the .text attribute for string payloads and the .content attribute for raw bytes using the requests library.
- Parse incoming JSON formatted HTTP responses directly into Python dictionary objects utilizing the built-in .json() method from the requests library.
- Construct dynamic URLs by passing a Python dictionary to the params argument in requests.get() to properly encode query string parameters.
- Examine HTTP response metadata by accessing .headers for server information, .url to verify the final requested endpoint, and .encoding to check text decoding.. Project objective: Simple API Data Fetcher (Combining GET, Params, and JSON parsing)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#6 | Refactor | Python - Requests | 📊 Level: Beginner
**Project:** Build a simple API data fetching application that takes user search queries as input, processes them by passing them as URL parameters in a GET request to parse the JSON response, and outputs a formatted list of results to the user.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4" s="52">
        <v>0</v>
      </c>
      <c r="W14" s="87" t="str">
        <f t="shared" si="10"/>
        <v>[ROLE] Tech Product Manager assigning a Python Jira Ticket | [TASK] Provide a guided project implementation with full solution | [PROJECT] Build a simple API data fetching application that takes user search queries as input, processes them by passing them as URL parameters in a GET request to parse the JSON response, and outputs a formatted list of results to the user. | [TOPICS USED] 
- Execute basic HTTP GET requests using requests.get() to retrieve web page content and evaluate the HTTP .status_code to confirm a successful connection.
- Extract and interpret server response data by accessing the .text attribute for string payloads and the .content attribute for raw bytes using the requests library.
- Parse incoming JSON formatted HTTP responses directly into Python dictionary objects utilizing the built-in .json() method from the requests library.
- Construct dynamic URLs by passing a Python dictionary to the params argument in requests.get() to properly encode query string parameters.
- Examine HTTP response metadata by accessing .headers for server information, .url to verify the final requested endpoint, and .encoding to check text decoding. | [LEVEL] Beginner | [PERSONA RULE] Act as a professional Tech Product Manager defining a project ticket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#6 | Stage 5 | Python - Requests | 📊 Level: Beginner | 🌐 Coding5s.com
**Project:** Simple API Data Fetcher (Combining GET, Params, and JSON parsing)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1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simple API data fetching application that takes user search queries as input, processes them by passing them as URL parameters in a GET request to parse the JSON response, and outputs a formatted list of results to the user.. Topics integrated: 
- Execute basic HTTP GET requests using requests.get() to retrieve web page content and evaluate the HTTP .status_code to confirm a successful connection.
- Extract and interpret server response data by accessing the .text attribute for string payloads and the .content attribute for raw bytes using the requests library.
- Parse incoming JSON formatted HTTP responses directly into Python dictionary objects utilizing the built-in .json() method from the requests library.
- Construct dynamic URLs by passing a Python dictionary to the params argument in requests.get() to properly encode query string parameters.
- Examine HTTP response metadata by accessing .headers for server information, .url to verify the final requested endpoint, and .encoding to check text decoding.. Business Goal: Simple API Data Fetcher (Combining GET, Params, and JSON parsing)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#6 | Extend | Python - Requests | 📊 Level: Beginner
**Project:** Build a simple API data fetching application that takes user search queries as input, processes them by passing them as URL parameters in a GET request to parse the JSON response, and outputs a formatted list of results to the user.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4" s="52">
        <v>0</v>
      </c>
      <c r="Z14" s="56" t="str">
        <f t="shared" si="12"/>
        <v>[TASK] Teach through a practical Python - Requests project following the micro-learning methodology, acting as a supportive tutor, creating a project about  Build a simple API data fetching application that takes user search queries as input, processes them by passing them as URL parameters in a GET request to parse the JSON response, and outputs a formatted list of results to the user. | [TOPICS USED] 
- Execute basic HTTP GET requests using requests.get() to retrieve web page content and evaluate the HTTP .status_code to confirm a successful connection.
- Extract and interpret server response data by accessing the .text attribute for string payloads and the .content attribute for raw bytes using the requests library.
- Parse incoming JSON formatted HTTP responses directly into Python dictionary objects utilizing the built-in .json() method from the requests library.
- Construct dynamic URLs by passing a Python dictionary to the params argument in requests.get() to properly encode query string parameters.
- Examine HTTP response metadata by accessing .headers for server information, .url to verify the final requested endpoint, and .encoding to check text decoding. | [LEVEL] Beginner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 | Stage 1 | Python - Requests | 📊 Level: Beginner | 🌐 Coding5s.com
**Project:** Simple API Data Fetcher (Combining GET, Params, and JSON parsing)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14" s="56" t="str">
        <f t="shared" si="13"/>
        <v>[ROLE] Careless Python Developer | [TASK] Generate debugging project in Python | [PROJECT] Build a simple API data fetching application that takes user search queries as input, processes them by passing them as URL parameters in a GET request to parse the JSON response, and outputs a formatted list of results to the user. | [TOPICS USED] 
- Execute basic HTTP GET requests using requests.get() to retrieve web page content and evaluate the HTTP .status_code to confirm a successful connection.
- Extract and interpret server response data by accessing the .text attribute for string payloads and the .content attribute for raw bytes using the requests library.
- Parse incoming JSON formatted HTTP responses directly into Python dictionary objects utilizing the built-in .json() method from the requests library.
- Construct dynamic URLs by passing a Python dictionary to the params argument in requests.get() to properly encode query string parameters.
- Examine HTTP response metadata by accessing .headers for server information, .url to verify the final requested endpoint, and .encoding to check text decoding. | [LEVEL] Beginner | [OUTPUT] Only header, dataset summary or statement (if any), email intro, objective, expected output, broken code, and footer | [HEADER RULE - STRICT] You MUST start your entire response EXACTLY with this markdown block (do not print anything before it):
### 🚀 Project #6 | Stage 2 | Python - Requests | 📊 Level: Beginner | 🌐 Coding5s.com
Project: Simple API Data Fetcher (Combining GET, Params, and JSON parsing)
---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Mam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14" s="56" t="str">
        <f t="shared" si="14"/>
        <v>[ROLE] Tech Lead | [TASK] Assign incomplete project script | [PROJECT] Build a simple API data fetching application that takes user search queries as input, processes them by passing them as URL parameters in a GET request to parse the JSON response, and outputs a formatted list of results to the user. | [TOPICS USED] 
- Execute basic HTTP GET requests using requests.get() to retrieve web page content and evaluate the HTTP .status_code to confirm a successful connection.
- Extract and interpret server response data by accessing the .text attribute for string payloads and the .content attribute for raw bytes using the requests library.
- Parse incoming JSON formatted HTTP responses directly into Python dictionary objects utilizing the built-in .json() method from the requests library.
- Construct dynamic URLs by passing a Python dictionary to the params argument in requests.get() to properly encode query string parameters.
- Examine HTTP response metadata by accessing .headers for server information, .url to verify the final requested endpoint, and .encoding to check text decoding. | [LEVEL] Beginner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#6 | Stage 3 | Python - Requests | 📊 Level: Beginner | 🌐 Coding5s.com
**Project:** Simple API Data Fetcher (Combining GET, Params, and JSON parsing)
---
 | [EXTERNAL_PACKAGE_PROTOCOL] Require standard pip tooling and requirements.txt for dependencies. | [CHALLENGE_CONSTRAINTS_POLICY] MUST be between 25–40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14" s="56" t="str">
        <f t="shared" si="15"/>
        <v>[ROLE] Tech Lead | [TASK] Provide a messy but functional project for refactoring | [PROJECT] Build a simple API data fetching application that takes user search queries as input, processes them by passing them as URL parameters in a GET request to parse the JSON response, and outputs a formatted list of results to the user. | [TOPICS USED] 
- Execute basic HTTP GET requests using requests.get() to retrieve web page content and evaluate the HTTP .status_code to confirm a successful connection.
- Extract and interpret server response data by accessing the .text attribute for string payloads and the .content attribute for raw bytes using the requests library.
- Parse incoming JSON formatted HTTP responses directly into Python dictionary objects utilizing the built-in .json() method from the requests library.
- Construct dynamic URLs by passing a Python dictionary to the params argument in requests.get() to properly encode query string parameters.
- Examine HTTP response metadata by accessing .headers for server information, .url to verify the final requested endpoint, and .encoding to check text decoding. | [LEVEL] Beginner | [PERSONA RULE] Act as a Tech Lead. A junior wrote this working but messy code. Tone: professional but exhausted | [HEADER RULE - STRICT] You MUST start your entire response EXACTLY with this markdown block (do not print anything before it):
### 🚀 Project #6 | Stage 4 | Python - Requests | 📊 Level: Beginner | 🌐 Coding5s.com
**Project:** Simple API Data Fetcher (Combining GET, Params, and JSON parsing)
---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14" s="56" t="str">
        <f t="shared" si="16"/>
        <v>[ROLE] Tech Product Manager assigning a Python Jira Ticket | [TASK] Provide a guided project implementation with full solution | [PROJECT] Build a simple API data fetching application that takes user search queries as input, processes them by passing them as URL parameters in a GET request to parse the JSON response, and outputs a formatted list of results to the user. | [TOPICS USED] 
- Execute basic HTTP GET requests using requests.get() to retrieve web page content and evaluate the HTTP .status_code to confirm a successful connection.
- Extract and interpret server response data by accessing the .text attribute for string payloads and the .content attribute for raw bytes using the requests library.
- Parse incoming JSON formatted HTTP responses directly into Python dictionary objects utilizing the built-in .json() method from the requests library.
- Construct dynamic URLs by passing a Python dictionary to the params argument in requests.get() to properly encode query string parameters.
- Examine HTTP response metadata by accessing .headers for server information, .url to verify the final requested endpoint, and .encoding to check text decoding. | [LEVEL] Beginner | [PERSONA RULE] Act as a professional Tech Product Manager defining a project ticket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#6 | Stage 5 | Python - Requests | 📊 Level: Beginner | 🌐 Coding5s.com
**Project:** Simple API Data Fetcher (Combining GET, Params, and JSON parsing)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14" s="40" t="s">
        <v>78</v>
      </c>
      <c r="AF14" s="40" t="s">
        <v>79</v>
      </c>
      <c r="AG14" s="40" t="s">
        <v>80</v>
      </c>
      <c r="AH14" s="56" t="str">
        <f t="shared" si="0"/>
        <v/>
      </c>
      <c r="AI14" s="54"/>
      <c r="AJ14" s="54"/>
      <c r="AK14" s="54">
        <v>6</v>
      </c>
      <c r="AL14" s="54" t="s">
        <v>81</v>
      </c>
      <c r="AM14" s="54" t="s">
        <v>82</v>
      </c>
    </row>
    <row r="15" spans="1:39">
      <c r="A15" s="45" t="str" cm="1">
        <f t="array" ref="A15">IF(H15="PROJECT", CHAR(10) &amp; "- " &amp; _xlfn.TEXTJOIN(CHAR(10) &amp; "- ", TRUE, _xlfn._xlws.FILTER($I$9:$I$1000, ($B$9:$B$1000=B15) * ($H$9:$H$1000="Topic"))), "")</f>
        <v/>
      </c>
      <c r="B15" s="45">
        <f t="shared" si="1"/>
        <v>2</v>
      </c>
      <c r="C15" s="95">
        <v>8</v>
      </c>
      <c r="D15" s="46">
        <v>3</v>
      </c>
      <c r="E15" s="58" t="s">
        <v>46</v>
      </c>
      <c r="F15" s="48">
        <v>7</v>
      </c>
      <c r="G15" s="49" t="s">
        <v>47</v>
      </c>
      <c r="H15" s="49" t="s">
        <v>48</v>
      </c>
      <c r="I15" s="50" t="s">
        <v>797</v>
      </c>
      <c r="J15" s="51" t="s">
        <v>798</v>
      </c>
      <c r="K15" s="129" t="str">
        <f t="shared" si="2"/>
        <v xml:space="preserve">[ROLE] Friendly tutor specializing in Python | [TOPIC] Securely manage API keys and credentials by loading environment variables from a .env file using load_dotenv() and retrieving them in Python via os.getenv(). | [LEVEL] Beginner | [COUNT] 3 examples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 | Stage 1 📖 Practice | Python - Requests | 📊 Level: Beginner | 🌐 Coding5s.com
**Concept:** Introduction to python-dotenv (load_dotenv, os.getenv)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5" s="103" t="str">
        <f t="shared" si="3"/>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Securely manage API keys and credentials by loading environment variables from a .env file using load_dotenv() and retrieving them in Python via os.getenv().. Topic details: Introduction to python-dotenv (load_dotenv, os.getenv)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 | Practice | Python - Requests | 📊 Level: Beginner
**Topic:** Securely manage API keys and credentials by loading environment variables from a .env file using load_dotenv() and retrieving them in Python via os.getenv().
---
 | [FOOTER RULE - STRICT] End your response with: '--- ⚡ *Coding5s Mentor System — Eliminating Epistemic Debt*' | </v>
      </c>
      <c r="M15" s="52">
        <v>0</v>
      </c>
      <c r="N15" s="102" t="str">
        <f t="shared" si="4"/>
        <v>[ROLE] Careless Python Developer | [TASK] Generate debugging challenges in Python | | [TOPIC] Securely manage API keys and credentials by loading environment variables from a .env file using load_dotenv() and retrieving them in Python via os.getenv(). | | [LEVEL] Beginner | | [COUNT] 3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 | Stage 2 🐛 Debug | Python - Requests | 📊 Level: Beginner | 🌐 Coding5s.com
Concept: Introduction to python-dotenv (load_dotenv, os.getenv)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5"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Securely manage API keys and credentials by loading environment variables from a .env file using load_dotenv() and retrieving them in Python via os.getenv().. Topic details: Introduction to python-dotenv (load_dotenv, os.getenv)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 | Debug | Python - Requests | 📊 Level: Beginner
**Topic:** Securely manage API keys and credentials by loading environment variables from a .env file using load_dotenv() and retrieving them in Python via os.getenv().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5" s="53">
        <v>0</v>
      </c>
      <c r="Q15" s="102" t="str">
        <f t="shared" si="6"/>
        <v>[ROLE] Tech Lead | [TASK] Assign incomplete Python script challenges | [TOPIC] Securely manage API keys and credentials by loading environment variables from a .env file using load_dotenv() and retrieving them in Python via os.getenv(). | [LEVEL] Beginner | [COUNT] 3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 | Stage 3 🧩 Complete | Python - Requests | 📊 Level: Beginner | 🌐 Coding5s.com
**Concept:** Introduction to python-dotenv (load_dotenv, os.getenv)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Securely manage API keys and credentials by loading environment variables from a .env file using load_dotenv() and retrieving them in Python via os.getenv()..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5"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Securely manage API keys and credentials by loading environment variables from a .env file using load_dotenv() and retrieving them in Python via os.getenv().. Topic details: Introduction to python-dotenv (load_dotenv, os.getenv)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 | Complete | Python - Requests | 📊 Level: Beginner
**Topic:** Securely manage API keys and credentials by loading environment variables from a .env file using load_dotenv() and retrieving them in Python via os.getenv().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5" s="53">
        <v>0</v>
      </c>
      <c r="T15" s="102" t="str">
        <f t="shared" si="8"/>
        <v>[ROLE] Tech Lead | [TASK] Provide intentionally messy but functional code for learning debugging and improvement | [TOPIC] Securely manage API keys and credentials by loading environment variables from a .env file using load_dotenv() and retrieving them in Python via os.getenv(). | [LEVEL] Beginner | [COUNT] 3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 | Stage 4 🧹 Refactor | Python - Requests | 📊 Level: Beginner | 🌐 Coding5s.com
**Concept:** Introduction to python-dotenv (load_dotenv, os.getenv)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Securely manage API keys and credentials by loading environment variables from a .env file using load_dotenv() and retrieving them in Python via os.getenv().. Topic details: Introduction to python-dotenv (load_dotenv, os.getenv)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 | Refactor | Python - Requests | 📊 Level: Beginner
**Topic:** Securely manage API keys and credentials by loading environment variables from a .env file using load_dotenv() and retrieving them in Python via os.getenv().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5" s="53">
        <v>0</v>
      </c>
      <c r="W15" s="87" t="str">
        <f t="shared" si="10"/>
        <v>[ROLE] Tech Product Manager assigning a Python Jira Ticket | [TASK] Provide a guided implementation exercise with full solution for learning purposes | [TOPIC] Securely manage API keys and credentials by loading environment variables from a .env file using load_dotenv() and retrieving them in Python via os.getenv(). | [LEVEL] Beginner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 | Stage 5 | Python - Requests | 📊 Level: Beginner | 🌐 Coding5s.com
**Concept:** Introduction to python-dotenv (load_dotenv, os.getenv)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Securely manage API keys and credentials by loading environment variables from a .env file using load_dotenv() and retrieving them in Python via os.getenv().. Goal: Introduction to python-dotenv (load_dotenv, os.getenv)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 | Extend | Python - Requests | 📊 Level: Beginner
**Topic:** Securely manage API keys and credentials by loading environment variables from a .env file using load_dotenv() and retrieving them in Python via os.getenv().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5" s="53">
        <v>0</v>
      </c>
      <c r="Z15" s="56" t="str">
        <f t="shared" si="12"/>
        <v/>
      </c>
      <c r="AA15" s="56" t="str">
        <f t="shared" si="13"/>
        <v/>
      </c>
      <c r="AB15" s="56" t="str">
        <f t="shared" si="14"/>
        <v/>
      </c>
      <c r="AC15" s="56" t="str">
        <f t="shared" si="15"/>
        <v/>
      </c>
      <c r="AD15" s="56" t="str">
        <f t="shared" si="16"/>
        <v/>
      </c>
      <c r="AE15" s="40" t="s">
        <v>83</v>
      </c>
      <c r="AF15" s="40" t="s">
        <v>84</v>
      </c>
      <c r="AG15" s="40" t="s">
        <v>85</v>
      </c>
      <c r="AH15" s="56" t="str">
        <f t="shared" si="0"/>
        <v/>
      </c>
      <c r="AI15" s="54"/>
      <c r="AJ15" s="54"/>
      <c r="AK15" s="54">
        <v>7</v>
      </c>
      <c r="AL15" s="54" t="s">
        <v>86</v>
      </c>
      <c r="AM15" s="54" t="s">
        <v>87</v>
      </c>
    </row>
    <row r="16" spans="1:39">
      <c r="A16" s="45" t="str" cm="1">
        <f t="array" ref="A16">IF(H16="PROJECT", CHAR(10) &amp; "- " &amp; _xlfn.TEXTJOIN(CHAR(10) &amp; "- ", TRUE, _xlfn._xlws.FILTER($I$9:$I$1000, ($B$9:$B$1000=B16) * ($H$9:$H$1000="Topic"))), "")</f>
        <v/>
      </c>
      <c r="B16" s="45">
        <f t="shared" si="1"/>
        <v>2</v>
      </c>
      <c r="C16" s="95">
        <v>8</v>
      </c>
      <c r="D16" s="57">
        <v>4</v>
      </c>
      <c r="E16" s="58" t="s">
        <v>46</v>
      </c>
      <c r="F16" s="59">
        <v>8</v>
      </c>
      <c r="G16" s="60" t="s">
        <v>47</v>
      </c>
      <c r="H16" s="60" t="s">
        <v>48</v>
      </c>
      <c r="I16" s="61" t="s">
        <v>799</v>
      </c>
      <c r="J16" s="62" t="s">
        <v>800</v>
      </c>
      <c r="K16" s="129" t="str">
        <f t="shared" si="2"/>
        <v xml:space="preserve">[ROLE] Friendly tutor specializing in Python | [TOPIC] Modify default HTTP headers by passing a dictionary to the headers parameter in requests to set custom User-Agents or specify accepted content types. | [LEVEL] Beginner | [COUNT] 4 examples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 | Stage 1 📖 Practice | Python - Requests | 📊 Level: Beginner | 🌐 Coding5s.com
**Concept:** Customizing Request Headers (headers dictionary)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6" s="103" t="str">
        <f t="shared" si="3"/>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Modify default HTTP headers by passing a dictionary to the headers parameter in requests to set custom User-Agents or specify accepted content types.. Topic details: Customizing Request Headers (headers dictionary)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 | Practice | Python - Requests | 📊 Level: Beginner
**Topic:** Modify default HTTP headers by passing a dictionary to the headers parameter in requests to set custom User-Agents or specify accepted content types.
---
 | [FOOTER RULE - STRICT] End your response with: '--- ⚡ *Coding5s Mentor System — Eliminating Epistemic Debt*' | </v>
      </c>
      <c r="M16" s="52">
        <v>0</v>
      </c>
      <c r="N16" s="102" t="str">
        <f t="shared" si="4"/>
        <v>[ROLE] Careless Python Developer | [TASK] Generate debugging challenges in Python | | [TOPIC] Modify default HTTP headers by passing a dictionary to the headers parameter in requests to set custom User-Agents or specify accepted content types. | | [LEVEL] Beginner | | [COUNT] 4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#8 | Stage 2 🐛 Debug | Python - Requests | 📊 Level: Beginner | 🌐 Coding5s.com
Concept: Customizing Request Headers (headers dictionary)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6"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Modify default HTTP headers by passing a dictionary to the headers parameter in requests to set custom User-Agents or specify accepted content types.. Topic details: Customizing Request Headers (headers dictionary)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 | Debug | Python - Requests | 📊 Level: Beginner
**Topic:** Modify default HTTP headers by passing a dictionary to the headers parameter in requests to set custom User-Agents or specify accepted content types.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6" s="52">
        <v>0</v>
      </c>
      <c r="Q16" s="102" t="str">
        <f t="shared" si="6"/>
        <v>[ROLE] Tech Lead | [TASK] Assign incomplete Python script challenges | [TOPIC] Modify default HTTP headers by passing a dictionary to the headers parameter in requests to set custom User-Agents or specify accepted content types. | [LEVEL] Beginner | [COUNT] 4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#8 | Stage 3 🧩 Complete | Python - Requests | 📊 Level: Beginner | 🌐 Coding5s.com
**Concept:** Customizing Request Headers (headers dictionary)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Modify default HTTP headers by passing a dictionary to the headers parameter in requests to set custom User-Agents or specify accepted content types..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6"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Modify default HTTP headers by passing a dictionary to the headers parameter in requests to set custom User-Agents or specify accepted content types.. Topic details: Customizing Request Headers (headers dictionary)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 | Complete | Python - Requests | 📊 Level: Beginner
**Topic:** Modify default HTTP headers by passing a dictionary to the headers parameter in requests to set custom User-Agents or specify accepted content types.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6" s="52">
        <v>0</v>
      </c>
      <c r="T16" s="102" t="str">
        <f t="shared" si="8"/>
        <v>[ROLE] Tech Lead | [TASK] Provide intentionally messy but functional code for learning debugging and improvement | [TOPIC] Modify default HTTP headers by passing a dictionary to the headers parameter in requests to set custom User-Agents or specify accepted content types. | [LEVEL] Beginner | [COUNT] 4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 | Stage 4 🧹 Refactor | Python - Requests | 📊 Level: Beginner | 🌐 Coding5s.com
**Concept:** Customizing Request Headers (headers dictionary)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Modify default HTTP headers by passing a dictionary to the headers parameter in requests to set custom User-Agents or specify accepted content types.. Topic details: Customizing Request Headers (headers dictionary)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 | Refactor | Python - Requests | 📊 Level: Beginner
**Topic:** Modify default HTTP headers by passing a dictionary to the headers parameter in requests to set custom User-Agents or specify accepted content types.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6" s="52">
        <v>0</v>
      </c>
      <c r="W16" s="87" t="str">
        <f t="shared" si="10"/>
        <v>[ROLE] Tech Product Manager assigning a Python Jira Ticket | [TASK] Provide a guided implementation exercise with full solution for learning purposes | [TOPIC] Modify default HTTP headers by passing a dictionary to the headers parameter in requests to set custom User-Agents or specify accepted content types. | [LEVEL] Beginner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 | Stage 5 | Python - Requests | 📊 Level: Beginner | 🌐 Coding5s.com
**Concept:** Customizing Request Headers (headers dictionary)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Modify default HTTP headers by passing a dictionary to the headers parameter in requests to set custom User-Agents or specify accepted content types.. Goal: Customizing Request Headers (headers dictionary)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 | Extend | Python - Requests | 📊 Level: Beginner
**Topic:** Modify default HTTP headers by passing a dictionary to the headers parameter in requests to set custom User-Agents or specify accepted content types.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6" s="52">
        <v>0</v>
      </c>
      <c r="Z16" s="56" t="str">
        <f t="shared" si="12"/>
        <v/>
      </c>
      <c r="AA16" s="56" t="str">
        <f t="shared" si="13"/>
        <v/>
      </c>
      <c r="AB16" s="56" t="str">
        <f t="shared" si="14"/>
        <v/>
      </c>
      <c r="AC16" s="56" t="str">
        <f t="shared" si="15"/>
        <v/>
      </c>
      <c r="AD16" s="56" t="str">
        <f t="shared" si="16"/>
        <v/>
      </c>
      <c r="AE16" s="40" t="s">
        <v>88</v>
      </c>
      <c r="AF16" s="40" t="s">
        <v>89</v>
      </c>
      <c r="AG16" s="40" t="s">
        <v>90</v>
      </c>
      <c r="AH16" s="56" t="str">
        <f t="shared" si="0"/>
        <v/>
      </c>
      <c r="AI16" s="54"/>
      <c r="AJ16" s="54"/>
      <c r="AK16" s="54">
        <v>8</v>
      </c>
      <c r="AL16" s="54" t="s">
        <v>91</v>
      </c>
      <c r="AM16" s="54" t="s">
        <v>92</v>
      </c>
    </row>
    <row r="17" spans="1:39">
      <c r="A17" s="45" t="str" cm="1">
        <f t="array" ref="A17">IF(H17="PROJECT", CHAR(10) &amp; "- " &amp; _xlfn.TEXTJOIN(CHAR(10) &amp; "- ", TRUE, _xlfn._xlws.FILTER($I$9:$I$1000, ($B$9:$B$1000=B17) * ($H$9:$H$1000="Topic"))), "")</f>
        <v/>
      </c>
      <c r="B17" s="45">
        <f t="shared" si="1"/>
        <v>2</v>
      </c>
      <c r="C17" s="95">
        <v>8</v>
      </c>
      <c r="D17" s="46">
        <v>3</v>
      </c>
      <c r="E17" s="58" t="s">
        <v>46</v>
      </c>
      <c r="F17" s="48">
        <v>9</v>
      </c>
      <c r="G17" s="49" t="s">
        <v>47</v>
      </c>
      <c r="H17" s="49" t="s">
        <v>48</v>
      </c>
      <c r="I17" s="50" t="s">
        <v>801</v>
      </c>
      <c r="J17" s="51" t="s">
        <v>802</v>
      </c>
      <c r="K17" s="129" t="str">
        <f t="shared" si="2"/>
        <v xml:space="preserve">[ROLE] Friendly tutor specializing in Python | [TOPIC] Authenticate HTTP requests by providing a tuple containing a username and password to the auth parameter to access protected basic-auth API endpoints. | [LEVEL] Beginner | [COUNT] 3 examples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 | Stage 1 📖 Practice | Python - Requests | 📊 Level: Beginner | 🌐 Coding5s.com
**Concept:** Implementing Basic Authentication (auth tuple)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7" s="103" t="str">
        <f t="shared" si="3"/>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Authenticate HTTP requests by providing a tuple containing a username and password to the auth parameter to access protected basic-auth API endpoints.. Topic details: Implementing Basic Authentication (auth tuple)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 | Practice | Python - Requests | 📊 Level: Beginner
**Topic:** Authenticate HTTP requests by providing a tuple containing a username and password to the auth parameter to access protected basic-auth API endpoints.
---
 | [FOOTER RULE - STRICT] End your response with: '--- ⚡ *Coding5s Mentor System — Eliminating Epistemic Debt*' | </v>
      </c>
      <c r="M17" s="53">
        <v>0</v>
      </c>
      <c r="N17" s="102" t="str">
        <f t="shared" si="4"/>
        <v>[ROLE] Careless Python Developer | [TASK] Generate debugging challenges in Python | | [TOPIC] Authenticate HTTP requests by providing a tuple containing a username and password to the auth parameter to access protected basic-auth API endpoints. | | [LEVEL] Beginner | | [COUNT] 3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#9 | Stage 2 🐛 Debug | Python - Requests | 📊 Level: Beginner | 🌐 Coding5s.com
Concept: Implementing Basic Authentication (auth tuple)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7"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Authenticate HTTP requests by providing a tuple containing a username and password to the auth parameter to access protected basic-auth API endpoints.. Topic details: Implementing Basic Authentication (auth tuple)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 | Debug | Python - Requests | 📊 Level: Beginner
**Topic:** Authenticate HTTP requests by providing a tuple containing a username and password to the auth parameter to access protected basic-auth API endpoints.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7" s="53">
        <v>0</v>
      </c>
      <c r="Q17" s="102" t="str">
        <f t="shared" si="6"/>
        <v>[ROLE] Tech Lead | [TASK] Assign incomplete Python script challenges | [TOPIC] Authenticate HTTP requests by providing a tuple containing a username and password to the auth parameter to access protected basic-auth API endpoints. | [LEVEL] Beginner | [COUNT] 3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#9 | Stage 3 🧩 Complete | Python - Requests | 📊 Level: Beginner | 🌐 Coding5s.com
**Concept:** Implementing Basic Authentication (auth tuple)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Authenticate HTTP requests by providing a tuple containing a username and password to the auth parameter to access protected basic-auth API endpoints..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7"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Authenticate HTTP requests by providing a tuple containing a username and password to the auth parameter to access protected basic-auth API endpoints.. Topic details: Implementing Basic Authentication (auth tuple)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 | Complete | Python - Requests | 📊 Level: Beginner
**Topic:** Authenticate HTTP requests by providing a tuple containing a username and password to the auth parameter to access protected basic-auth API endpoints.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7" s="53">
        <v>0</v>
      </c>
      <c r="T17" s="102" t="str">
        <f t="shared" si="8"/>
        <v>[ROLE] Tech Lead | [TASK] Provide intentionally messy but functional code for learning debugging and improvement | [TOPIC] Authenticate HTTP requests by providing a tuple containing a username and password to the auth parameter to access protected basic-auth API endpoints. | [LEVEL] Beginner | [COUNT] 3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 | Stage 4 🧹 Refactor | Python - Requests | 📊 Level: Beginner | 🌐 Coding5s.com
**Concept:** Implementing Basic Authentication (auth tuple)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Authenticate HTTP requests by providing a tuple containing a username and password to the auth parameter to access protected basic-auth API endpoints.. Topic details: Implementing Basic Authentication (auth tuple)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 | Refactor | Python - Requests | 📊 Level: Beginner
**Topic:** Authenticate HTTP requests by providing a tuple containing a username and password to the auth parameter to access protected basic-auth API endpoints.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7" s="53">
        <v>0</v>
      </c>
      <c r="W17" s="87" t="str">
        <f t="shared" si="10"/>
        <v>[ROLE] Tech Product Manager assigning a Python Jira Ticket | [TASK] Provide a guided implementation exercise with full solution for learning purposes | [TOPIC] Authenticate HTTP requests by providing a tuple containing a username and password to the auth parameter to access protected basic-auth API endpoints. | [LEVEL] Beginner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 | Stage 5 | Python - Requests | 📊 Level: Beginner | 🌐 Coding5s.com
**Concept:** Implementing Basic Authentication (auth tuple)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Authenticate HTTP requests by providing a tuple containing a username and password to the auth parameter to access protected basic-auth API endpoints.. Goal: Implementing Basic Authentication (auth tuple)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 | Extend | Python - Requests | 📊 Level: Beginner
**Topic:** Authenticate HTTP requests by providing a tuple containing a username and password to the auth parameter to access protected basic-auth API endpoints.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7" s="53">
        <v>0</v>
      </c>
      <c r="Z17" s="56" t="str">
        <f t="shared" si="12"/>
        <v/>
      </c>
      <c r="AA17" s="56" t="str">
        <f t="shared" si="13"/>
        <v/>
      </c>
      <c r="AB17" s="56" t="str">
        <f t="shared" si="14"/>
        <v/>
      </c>
      <c r="AC17" s="56" t="str">
        <f t="shared" si="15"/>
        <v/>
      </c>
      <c r="AD17" s="56" t="str">
        <f t="shared" si="16"/>
        <v/>
      </c>
      <c r="AE17" s="40" t="s">
        <v>93</v>
      </c>
      <c r="AF17" s="40" t="s">
        <v>94</v>
      </c>
      <c r="AG17" s="40" t="s">
        <v>95</v>
      </c>
      <c r="AH17" s="56" t="str">
        <f t="shared" si="0"/>
        <v/>
      </c>
      <c r="AI17" s="54"/>
      <c r="AJ17" s="54"/>
      <c r="AK17" s="54">
        <v>9</v>
      </c>
      <c r="AL17" s="54" t="s">
        <v>96</v>
      </c>
      <c r="AM17" s="54" t="s">
        <v>97</v>
      </c>
    </row>
    <row r="18" spans="1:39">
      <c r="A18" s="45" t="str" cm="1">
        <f t="array" ref="A18">IF(H18="PROJECT", CHAR(10) &amp; "- " &amp; _xlfn.TEXTJOIN(CHAR(10) &amp; "- ", TRUE, _xlfn._xlws.FILTER($I$9:$I$1000, ($B$9:$B$1000=B18) * ($H$9:$H$1000="Topic"))), "")</f>
        <v/>
      </c>
      <c r="B18" s="45">
        <f t="shared" si="1"/>
        <v>2</v>
      </c>
      <c r="C18" s="95">
        <v>8</v>
      </c>
      <c r="D18" s="57">
        <v>4</v>
      </c>
      <c r="E18" s="58" t="s">
        <v>46</v>
      </c>
      <c r="F18" s="59">
        <v>10</v>
      </c>
      <c r="G18" s="60" t="s">
        <v>47</v>
      </c>
      <c r="H18" s="60" t="s">
        <v>48</v>
      </c>
      <c r="I18" s="61" t="s">
        <v>803</v>
      </c>
      <c r="J18" s="62" t="s">
        <v>804</v>
      </c>
      <c r="K18" s="129" t="str">
        <f t="shared" si="2"/>
        <v xml:space="preserve">[ROLE] Friendly tutor specializing in Python | [TOPIC] Authorize API access by injecting a Bearer token into the Authorization header using a custom headers dictionary within the requests library. | [LEVEL] Beginner | [COUNT] 4 examples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 | Stage 1 📖 Practice | Python - Requests | 📊 Level: Beginner | 🌐 Coding5s.com
**Concept:** Implementing Bearer Token Authentication (via custom headers)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8" s="103" t="str">
        <f t="shared" si="3"/>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Authorize API access by injecting a Bearer token into the Authorization header using a custom headers dictionary within the requests library.. Topic details: Implementing Bearer Token Authentication (via custom headers)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 | Practice | Python - Requests | 📊 Level: Beginner
**Topic:** Authorize API access by injecting a Bearer token into the Authorization header using a custom headers dictionary within the requests library.
---
 | [FOOTER RULE - STRICT] End your response with: '--- ⚡ *Coding5s Mentor System — Eliminating Epistemic Debt*' | </v>
      </c>
      <c r="M18" s="52">
        <v>0</v>
      </c>
      <c r="N18" s="102" t="str">
        <f t="shared" si="4"/>
        <v>[ROLE] Careless Python Developer | [TASK] Generate debugging challenges in Python | | [TOPIC] Authorize API access by injecting a Bearer token into the Authorization header using a custom headers dictionary within the requests library. | | [LEVEL] Beginner | | [COUNT] 4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#10 | Stage 2 🐛 Debug | Python - Requests | 📊 Level: Beginner | 🌐 Coding5s.com
Concept: Implementing Bearer Token Authentication (via custom headers)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8"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Authorize API access by injecting a Bearer token into the Authorization header using a custom headers dictionary within the requests library.. Topic details: Implementing Bearer Token Authentication (via custom headers)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 | Debug | Python - Requests | 📊 Level: Beginner
**Topic:** Authorize API access by injecting a Bearer token into the Authorization header using a custom headers dictionary within the requests library.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8" s="52">
        <v>0</v>
      </c>
      <c r="Q18" s="102" t="str">
        <f t="shared" si="6"/>
        <v>[ROLE] Tech Lead | [TASK] Assign incomplete Python script challenges | [TOPIC] Authorize API access by injecting a Bearer token into the Authorization header using a custom headers dictionary within the requests library. | [LEVEL] Beginner | [COUNT] 4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#10 | Stage 3 🧩 Complete | Python - Requests | 📊 Level: Beginner | 🌐 Coding5s.com
**Concept:** Implementing Bearer Token Authentication (via custom headers)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Authorize API access by injecting a Bearer token into the Authorization header using a custom headers dictionary within the requests library..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8"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Authorize API access by injecting a Bearer token into the Authorization header using a custom headers dictionary within the requests library.. Topic details: Implementing Bearer Token Authentication (via custom headers)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 | Complete | Python - Requests | 📊 Level: Beginner
**Topic:** Authorize API access by injecting a Bearer token into the Authorization header using a custom headers dictionary within the requests library.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8" s="52">
        <v>0</v>
      </c>
      <c r="T18" s="102" t="str">
        <f t="shared" si="8"/>
        <v>[ROLE] Tech Lead | [TASK] Provide intentionally messy but functional code for learning debugging and improvement | [TOPIC] Authorize API access by injecting a Bearer token into the Authorization header using a custom headers dictionary within the requests library. | [LEVEL] Beginner | [COUNT] 4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 | Stage 4 🧹 Refactor | Python - Requests | 📊 Level: Beginner | 🌐 Coding5s.com
**Concept:** Implementing Bearer Token Authentication (via custom headers)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Authorize API access by injecting a Bearer token into the Authorization header using a custom headers dictionary within the requests library.. Topic details: Implementing Bearer Token Authentication (via custom headers)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 | Refactor | Python - Requests | 📊 Level: Beginner
**Topic:** Authorize API access by injecting a Bearer token into the Authorization header using a custom headers dictionary within the requests library.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8" s="52">
        <v>0</v>
      </c>
      <c r="W18" s="87" t="str">
        <f t="shared" si="10"/>
        <v>[ROLE] Tech Product Manager assigning a Python Jira Ticket | [TASK] Provide a guided implementation exercise with full solution for learning purposes | [TOPIC] Authorize API access by injecting a Bearer token into the Authorization header using a custom headers dictionary within the requests library. | [LEVEL] Beginner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 | Stage 5 | Python - Requests | 📊 Level: Beginner | 🌐 Coding5s.com
**Concept:** Implementing Bearer Token Authentication (via custom headers)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Authorize API access by injecting a Bearer token into the Authorization header using a custom headers dictionary within the requests library.. Goal: Implementing Bearer Token Authentication (via custom headers)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 | Extend | Python - Requests | 📊 Level: Beginner
**Topic:** Authorize API access by injecting a Bearer token into the Authorization header using a custom headers dictionary within the requests library.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8" s="52">
        <v>0</v>
      </c>
      <c r="Z18" s="56" t="str">
        <f t="shared" si="12"/>
        <v/>
      </c>
      <c r="AA18" s="56" t="str">
        <f t="shared" si="13"/>
        <v/>
      </c>
      <c r="AB18" s="56" t="str">
        <f t="shared" si="14"/>
        <v/>
      </c>
      <c r="AC18" s="56" t="str">
        <f t="shared" si="15"/>
        <v/>
      </c>
      <c r="AD18" s="56" t="str">
        <f t="shared" si="16"/>
        <v/>
      </c>
      <c r="AE18" s="40" t="s">
        <v>98</v>
      </c>
      <c r="AF18" s="40" t="s">
        <v>99</v>
      </c>
      <c r="AG18" s="40" t="s">
        <v>100</v>
      </c>
      <c r="AH18" s="56" t="str">
        <f t="shared" si="0"/>
        <v/>
      </c>
      <c r="AI18" s="54"/>
      <c r="AJ18" s="54"/>
      <c r="AK18" s="54">
        <v>10</v>
      </c>
      <c r="AL18" s="54" t="s">
        <v>101</v>
      </c>
      <c r="AM18" s="54" t="s">
        <v>102</v>
      </c>
    </row>
    <row r="19" spans="1:39">
      <c r="A19" s="45" t="str" cm="1">
        <f t="array" ref="A19">IF(H19="PROJECT", CHAR(10) &amp; "- " &amp; _xlfn.TEXTJOIN(CHAR(10) &amp; "- ", TRUE, _xlfn._xlws.FILTER($I$9:$I$1000, ($B$9:$B$1000=B19) * ($H$9:$H$1000="Topic"))), "")</f>
        <v/>
      </c>
      <c r="B19" s="45">
        <f t="shared" si="1"/>
        <v>2</v>
      </c>
      <c r="C19" s="95">
        <v>8</v>
      </c>
      <c r="D19" s="46">
        <v>4</v>
      </c>
      <c r="E19" s="58" t="s">
        <v>46</v>
      </c>
      <c r="F19" s="48">
        <v>11</v>
      </c>
      <c r="G19" s="49" t="s">
        <v>47</v>
      </c>
      <c r="H19" s="49" t="s">
        <v>48</v>
      </c>
      <c r="I19" s="50" t="s">
        <v>805</v>
      </c>
      <c r="J19" s="51" t="s">
        <v>806</v>
      </c>
      <c r="K19" s="129" t="str">
        <f t="shared" si="2"/>
        <v xml:space="preserve">[ROLE] Friendly tutor specializing in Python | [TOPIC] Implement automatic error checking by invoking the raise_for_status() method on a response object to throw an exception for unsuccessful HTTP status codes. | [LEVEL] Beginner | [COUNT] 4 examples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#11 | Stage 1 📖 Practice | Python - Requests | 📊 Level: Beginner | 🌐 Coding5s.com
**Concept:** Handling HTTP Errors Automatically (raise_for_status())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9" s="103" t="str">
        <f t="shared" si="3"/>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automatic error checking by invoking the raise_for_status() method on a response object to throw an exception for unsuccessful HTTP status codes.. Topic details: Handling HTTP Errors Automatically (raise_for_status())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 | Practice | Python - Requests | 📊 Level: Beginner
**Topic:** Implement automatic error checking by invoking the raise_for_status() method on a response object to throw an exception for unsuccessful HTTP status codes.
---
 | [FOOTER RULE - STRICT] End your response with: '--- ⚡ *Coding5s Mentor System — Eliminating Epistemic Debt*' | </v>
      </c>
      <c r="M19" s="53">
        <v>0</v>
      </c>
      <c r="N19" s="102" t="str">
        <f t="shared" si="4"/>
        <v>[ROLE] Careless Python Developer | [TASK] Generate debugging challenges in Python | | [TOPIC] Implement automatic error checking by invoking the raise_for_status() method on a response object to throw an exception for unsuccessful HTTP status codes. | | [LEVEL] Beginner | | [COUNT] 4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#11 | Stage 2 🐛 Debug | Python - Requests | 📊 Level: Beginner | 🌐 Coding5s.com
Concept: Handling HTTP Errors Automatically (raise_for_status())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9"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automatic error checking by invoking the raise_for_status() method on a response object to throw an exception for unsuccessful HTTP status codes.. Topic details: Handling HTTP Errors Automatically (raise_for_status())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 | Debug | Python - Requests | 📊 Level: Beginner
**Topic:** Implement automatic error checking by invoking the raise_for_status() method on a response object to throw an exception for unsuccessful HTTP status codes.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9" s="53">
        <v>0</v>
      </c>
      <c r="Q19" s="102" t="str">
        <f t="shared" si="6"/>
        <v>[ROLE] Tech Lead | [TASK] Assign incomplete Python script challenges | [TOPIC] Implement automatic error checking by invoking the raise_for_status() method on a response object to throw an exception for unsuccessful HTTP status codes. | [LEVEL] Beginner | [COUNT] 4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#11 | Stage 3 🧩 Complete | Python - Requests | 📊 Level: Beginner | 🌐 Coding5s.com
**Concept:** Handling HTTP Errors Automatically (raise_for_status())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automatic error checking by invoking the raise_for_status() method on a response object to throw an exception for unsuccessful HTTP status codes..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9"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automatic error checking by invoking the raise_for_status() method on a response object to throw an exception for unsuccessful HTTP status codes.. Topic details: Handling HTTP Errors Automatically (raise_for_status())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 | Complete | Python - Requests | 📊 Level: Beginner
**Topic:** Implement automatic error checking by invoking the raise_for_status() method on a response object to throw an exception for unsuccessful HTTP status codes.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9" s="53">
        <v>0</v>
      </c>
      <c r="T19" s="102" t="str">
        <f t="shared" si="8"/>
        <v>[ROLE] Tech Lead | [TASK] Provide intentionally messy but functional code for learning debugging and improvement | [TOPIC] Implement automatic error checking by invoking the raise_for_status() method on a response object to throw an exception for unsuccessful HTTP status codes. | [LEVEL] Beginner | [COUNT] 4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#11 | Stage 4 🧹 Refactor | Python - Requests | 📊 Level: Beginner | 🌐 Coding5s.com
**Concept:** Handling HTTP Errors Automatically (raise_for_status())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Implement automatic error checking by invoking the raise_for_status() method on a response object to throw an exception for unsuccessful HTTP status codes.. Topic details: Handling HTTP Errors Automatically (raise_for_status())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 | Refactor | Python - Requests | 📊 Level: Beginner
**Topic:** Implement automatic error checking by invoking the raise_for_status() method on a response object to throw an exception for unsuccessful HTTP status codes.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9" s="53">
        <v>0</v>
      </c>
      <c r="W19" s="87" t="str">
        <f t="shared" si="10"/>
        <v>[ROLE] Tech Product Manager assigning a Python Jira Ticket | [TASK] Provide a guided implementation exercise with full solution for learning purposes | [TOPIC] Implement automatic error checking by invoking the raise_for_status() method on a response object to throw an exception for unsuccessful HTTP status codes. | [LEVEL] Beginner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#11 | Stage 5 | Python - Requests | 📊 Level: Beginner | 🌐 Coding5s.com
**Concept:** Handling HTTP Errors Automatically (raise_for_status())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automatic error checking by invoking the raise_for_status() method on a response object to throw an exception for unsuccessful HTTP status codes.. Goal: Handling HTTP Errors Automatically (raise_for_status())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 | Extend | Python - Requests | 📊 Level: Beginner
**Topic:** Implement automatic error checking by invoking the raise_for_status() method on a response object to throw an exception for unsuccessful HTTP status codes.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9" s="53">
        <v>0</v>
      </c>
      <c r="Z19" s="56" t="str">
        <f t="shared" si="12"/>
        <v/>
      </c>
      <c r="AA19" s="56" t="str">
        <f t="shared" si="13"/>
        <v/>
      </c>
      <c r="AB19" s="56" t="str">
        <f t="shared" si="14"/>
        <v/>
      </c>
      <c r="AC19" s="56" t="str">
        <f t="shared" si="15"/>
        <v/>
      </c>
      <c r="AD19" s="56" t="str">
        <f t="shared" si="16"/>
        <v/>
      </c>
      <c r="AE19" s="40" t="s">
        <v>103</v>
      </c>
      <c r="AF19" s="40" t="s">
        <v>104</v>
      </c>
      <c r="AG19" s="40" t="s">
        <v>105</v>
      </c>
      <c r="AH19" s="56" t="str">
        <f t="shared" si="0"/>
        <v/>
      </c>
      <c r="AI19" s="54"/>
      <c r="AJ19" s="54"/>
      <c r="AK19" s="54">
        <v>11</v>
      </c>
      <c r="AL19" s="54" t="s">
        <v>106</v>
      </c>
      <c r="AM19" s="54" t="s">
        <v>107</v>
      </c>
    </row>
    <row r="20" spans="1:39">
      <c r="A20" s="45" t="str" cm="1">
        <f t="array" ref="A20">IF(H20="PROJECT", CHAR(10) &amp; "- " &amp; _xlfn.TEXTJOIN(CHAR(10) &amp; "- ", TRUE, _xlfn._xlws.FILTER($I$9:$I$1000, ($B$9:$B$1000=B20) * ($H$9:$H$1000="Topic"))), "")</f>
        <v xml:space="preserve">
- Securely manage API keys and credentials by loading environment variables from a .env file using load_dotenv() and retrieving them in Python via os.getenv().
- Modify default HTTP headers by passing a dictionary to the headers parameter in requests to set custom User-Agents or specify accepted content types.
- Authenticate HTTP requests by providing a tuple containing a username and password to the auth parameter to access protected basic-auth API endpoints.
- Authorize API access by injecting a Bearer token into the Authorization header using a custom headers dictionary within the requests library.
- Implement automatic error checking by invoking the raise_for_status() method on a response object to throw an exception for unsuccessful HTTP status codes.</v>
      </c>
      <c r="B20" s="45">
        <f t="shared" si="1"/>
        <v>2</v>
      </c>
      <c r="C20" s="95" t="s">
        <v>857</v>
      </c>
      <c r="D20" s="57">
        <v>0</v>
      </c>
      <c r="E20" s="58" t="s">
        <v>723</v>
      </c>
      <c r="F20" s="59">
        <v>12</v>
      </c>
      <c r="G20" s="60" t="s">
        <v>47</v>
      </c>
      <c r="H20" s="60" t="s">
        <v>77</v>
      </c>
      <c r="I20" s="61" t="s">
        <v>807</v>
      </c>
      <c r="J20" s="62" t="s">
        <v>808</v>
      </c>
      <c r="K20" s="129" t="str">
        <f t="shared" si="2"/>
        <v>[TASK] Teach through a practical Python - Requests project following the micro-learning methodology, acting as a supportive tutor, creating a project about  Build a secure API client that takes credentials from a .env file as input, processes the connection by authenticating via custom headers and handling HTTP errors automatically, and outputs the protected data fetched securely. | [TOPICS USED] 
- Securely manage API keys and credentials by loading environment variables from a .env file using load_dotenv() and retrieving them in Python via os.getenv().
- Modify default HTTP headers by passing a dictionary to the headers parameter in requests to set custom User-Agents or specify accepted content types.
- Authenticate HTTP requests by providing a tuple containing a username and password to the auth parameter to access protected basic-auth API endpoints.
- Authorize API access by injecting a Bearer token into the Authorization header using a custom headers dictionary within the requests library.
- Implement automatic error checking by invoking the raise_for_status() method on a response object to throw an exception for unsuccessful HTTP status codes. | [LEVEL] Beginner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#12 | Stage 1 | Python - Requests | 📊 Level: Beginner | 🌐 Coding5s.com
**Project:** Secure API Client (Dotenv integration, Auth, Headers, Error Handling)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20" s="103" t="str">
        <f t="shared" si="3"/>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secure API client that takes credentials from a .env file as input, processes the connection by authenticating via custom headers and handling HTTP errors automatically, and outputs the protected data fetched securely.. Topics applied in this project: 
- Securely manage API keys and credentials by loading environment variables from a .env file using load_dotenv() and retrieving them in Python via os.getenv().
- Modify default HTTP headers by passing a dictionary to the headers parameter in requests to set custom User-Agents or specify accepted content types.
- Authenticate HTTP requests by providing a tuple containing a username and password to the auth parameter to access protected basic-auth API endpoints.
- Authorize API access by injecting a Bearer token into the Authorization header using a custom headers dictionary within the requests library.
- Implement automatic error checking by invoking the raise_for_status() method on a response object to throw an exception for unsuccessful HTTP status codes.. Project objective: Secure API Client (Dotenv integration, Auth, Headers, Error Handling)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#12 | Practice | Python - Requests | 📊 Level: Beginner
**Project:** Build a secure API client that takes credentials from a .env file as input, processes the connection by authenticating via custom headers and handling HTTP errors automatically, and outputs the protected data fetched securely.
---
 | [FOOTER RULE - STRICT] End your response with: '--- ⚡ *Coding5s Mentor System — Eliminating Epistemic Debt*' | </v>
      </c>
      <c r="M20" s="52">
        <v>0</v>
      </c>
      <c r="N20" s="102" t="str">
        <f t="shared" si="4"/>
        <v>[ROLE] Careless Python Developer | [TASK] Generate debugging project in Python | [PROJECT] Build a secure API client that takes credentials from a .env file as input, processes the connection by authenticating via custom headers and handling HTTP errors automatically, and outputs the protected data fetched securely. | [TOPICS USED] 
- Securely manage API keys and credentials by loading environment variables from a .env file using load_dotenv() and retrieving them in Python via os.getenv().
- Modify default HTTP headers by passing a dictionary to the headers parameter in requests to set custom User-Agents or specify accepted content types.
- Authenticate HTTP requests by providing a tuple containing a username and password to the auth parameter to access protected basic-auth API endpoints.
- Authorize API access by injecting a Bearer token into the Authorization header using a custom headers dictionary within the requests library.
- Implement automatic error checking by invoking the raise_for_status() method on a response object to throw an exception for unsuccessful HTTP status codes. | [LEVEL] Beginner | [OUTPUT] Only header, dataset summary or statement (if any), email intro, objective, expected output, broken code, and footer | [HEADER RULE - STRICT] You MUST start your entire response EXACTLY with this markdown block (do not print anything before it):
### 🚀 Project #12 | Stage 2 | Python - Requests | 📊 Level: Beginner | 🌐 Coding5s.com
Project: Secure API Client (Dotenv integration, Auth, Headers, Error Handling)
---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Mapudungun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20"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secure API client that takes credentials from a .env file as input, processes the connection by authenticating via custom headers and handling HTTP errors automatically, and outputs the protected data fetched securely.. Topics involved: 
- Securely manage API keys and credentials by loading environment variables from a .env file using load_dotenv() and retrieving them in Python via os.getenv().
- Modify default HTTP headers by passing a dictionary to the headers parameter in requests to set custom User-Agents or specify accepted content types.
- Authenticate HTTP requests by providing a tuple containing a username and password to the auth parameter to access protected basic-auth API endpoints.
- Authorize API access by injecting a Bearer token into the Authorization header using a custom headers dictionary within the requests library.
- Implement automatic error checking by invoking the raise_for_status() method on a response object to throw an exception for unsuccessful HTTP status codes.. Project objective: Secure API Client (Dotenv integration, Auth, Headers, Error Handling)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#12 | Debug | Python - Requests | 📊 Level: Beginner
**Project:** Build a secure API client that takes credentials from a .env file as input, processes the connection by authenticating via custom headers and handling HTTP errors automatically, and outputs the protected data fetched securely.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0" s="52">
        <v>0</v>
      </c>
      <c r="Q20" s="102" t="str">
        <f t="shared" si="6"/>
        <v>[ROLE] Tech Lead | [TASK] Assign incomplete project script | [PROJECT] Build a secure API client that takes credentials from a .env file as input, processes the connection by authenticating via custom headers and handling HTTP errors automatically, and outputs the protected data fetched securely. | [TOPICS USED] 
- Securely manage API keys and credentials by loading environment variables from a .env file using load_dotenv() and retrieving them in Python via os.getenv().
- Modify default HTTP headers by passing a dictionary to the headers parameter in requests to set custom User-Agents or specify accepted content types.
- Authenticate HTTP requests by providing a tuple containing a username and password to the auth parameter to access protected basic-auth API endpoints.
- Authorize API access by injecting a Bearer token into the Authorization header using a custom headers dictionary within the requests library.
- Implement automatic error checking by invoking the raise_for_status() method on a response object to throw an exception for unsuccessful HTTP status codes. | [LEVEL] Beginner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#12 | Stage 3 | Python - Requests | 📊 Level: Beginner | 🌐 Coding5s.com
**Project:** Secure API Client (Dotenv integration, Auth, Headers, Error Handling)
---
 | [EXTERNAL_PACKAGE_PROTOCOL] Require standard pip tooling and requirements.txt for dependencies. | [CHALLENGE_CONSTRAINTS_POLICY] MUST be between 25–40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20"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secure API client that takes credentials from a .env file as input, processes the connection by authenticating via custom headers and handling HTTP errors automatically, and outputs the protected data fetched securely.. Topics involved: 
- Securely manage API keys and credentials by loading environment variables from a .env file using load_dotenv() and retrieving them in Python via os.getenv().
- Modify default HTTP headers by passing a dictionary to the headers parameter in requests to set custom User-Agents or specify accepted content types.
- Authenticate HTTP requests by providing a tuple containing a username and password to the auth parameter to access protected basic-auth API endpoints.
- Authorize API access by injecting a Bearer token into the Authorization header using a custom headers dictionary within the requests library.
- Implement automatic error checking by invoking the raise_for_status() method on a response object to throw an exception for unsuccessful HTTP status codes.. Project objective: Secure API Client (Dotenv integration, Auth, Headers, Error Handling)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#12 | Complete | Python - Requests | 📊 Level: Beginner
**Project:** Build a secure API client that takes credentials from a .env file as input, processes the connection by authenticating via custom headers and handling HTTP errors automatically, and outputs the protected data fetched securely.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0" s="52">
        <v>0</v>
      </c>
      <c r="T20" s="102" t="str">
        <f t="shared" si="8"/>
        <v>[ROLE] Tech Lead | [TASK] Provide a messy but functional project for refactoring | [PROJECT] Build a secure API client that takes credentials from a .env file as input, processes the connection by authenticating via custom headers and handling HTTP errors automatically, and outputs the protected data fetched securely. | [TOPICS USED] 
- Securely manage API keys and credentials by loading environment variables from a .env file using load_dotenv() and retrieving them in Python via os.getenv().
- Modify default HTTP headers by passing a dictionary to the headers parameter in requests to set custom User-Agents or specify accepted content types.
- Authenticate HTTP requests by providing a tuple containing a username and password to the auth parameter to access protected basic-auth API endpoints.
- Authorize API access by injecting a Bearer token into the Authorization header using a custom headers dictionary within the requests library.
- Implement automatic error checking by invoking the raise_for_status() method on a response object to throw an exception for unsuccessful HTTP status codes. | [LEVEL] Beginner | [PERSONA RULE] Act as a Tech Lead. A junior wrote this working but messy code. Tone: professional but exhausted | [HEADER RULE - STRICT] You MUST start your entire response EXACTLY with this markdown block (do not print anything before it):
### 🚀 Project #12 | Stage 4 | Python - Requests | 📊 Level: Beginner | 🌐 Coding5s.com
**Project:** Secure API Client (Dotenv integration, Auth, Headers, Error Handling)
---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2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secure API client that takes credentials from a .env file as input, processes the connection by authenticating via custom headers and handling HTTP errors automatically, and outputs the protected data fetched securely.. Topics involved: 
- Securely manage API keys and credentials by loading environment variables from a .env file using load_dotenv() and retrieving them in Python via os.getenv().
- Modify default HTTP headers by passing a dictionary to the headers parameter in requests to set custom User-Agents or specify accepted content types.
- Authenticate HTTP requests by providing a tuple containing a username and password to the auth parameter to access protected basic-auth API endpoints.
- Authorize API access by injecting a Bearer token into the Authorization header using a custom headers dictionary within the requests library.
- Implement automatic error checking by invoking the raise_for_status() method on a response object to throw an exception for unsuccessful HTTP status codes.. Project objective: Secure API Client (Dotenv integration, Auth, Headers, Error Handling)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#12 | Refactor | Python - Requests | 📊 Level: Beginner
**Project:** Build a secure API client that takes credentials from a .env file as input, processes the connection by authenticating via custom headers and handling HTTP errors automatically, and outputs the protected data fetched securely.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0" s="52">
        <v>0</v>
      </c>
      <c r="W20" s="87" t="str">
        <f t="shared" si="10"/>
        <v>[ROLE] Tech Product Manager assigning a Python Jira Ticket | [TASK] Provide a guided project implementation with full solution | [PROJECT] Build a secure API client that takes credentials from a .env file as input, processes the connection by authenticating via custom headers and handling HTTP errors automatically, and outputs the protected data fetched securely. | [TOPICS USED] 
- Securely manage API keys and credentials by loading environment variables from a .env file using load_dotenv() and retrieving them in Python via os.getenv().
- Modify default HTTP headers by passing a dictionary to the headers parameter in requests to set custom User-Agents or specify accepted content types.
- Authenticate HTTP requests by providing a tuple containing a username and password to the auth parameter to access protected basic-auth API endpoints.
- Authorize API access by injecting a Bearer token into the Authorization header using a custom headers dictionary within the requests library.
- Implement automatic error checking by invoking the raise_for_status() method on a response object to throw an exception for unsuccessful HTTP status codes. | [LEVEL] Beginner | [PERSONA RULE] Act as a professional Tech Product Manager defining a project ticket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#12 | Stage 5 | Python - Requests | 📊 Level: Beginner | 🌐 Coding5s.com
**Project:** Secure API Client (Dotenv integration, Auth, Headers, Error Handling)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2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secure API client that takes credentials from a .env file as input, processes the connection by authenticating via custom headers and handling HTTP errors automatically, and outputs the protected data fetched securely.. Topics integrated: 
- Securely manage API keys and credentials by loading environment variables from a .env file using load_dotenv() and retrieving them in Python via os.getenv().
- Modify default HTTP headers by passing a dictionary to the headers parameter in requests to set custom User-Agents or specify accepted content types.
- Authenticate HTTP requests by providing a tuple containing a username and password to the auth parameter to access protected basic-auth API endpoints.
- Authorize API access by injecting a Bearer token into the Authorization header using a custom headers dictionary within the requests library.
- Implement automatic error checking by invoking the raise_for_status() method on a response object to throw an exception for unsuccessful HTTP status codes.. Business Goal: Secure API Client (Dotenv integration, Auth, Headers, Error Handling)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#12 | Extend | Python - Requests | 📊 Level: Beginner
**Project:** Build a secure API client that takes credentials from a .env file as input, processes the connection by authenticating via custom headers and handling HTTP errors automatically, and outputs the protected data fetched securely.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0" s="52">
        <v>0</v>
      </c>
      <c r="Z20" s="56" t="str">
        <f t="shared" si="12"/>
        <v>[TASK] Teach through a practical Python - Requests project following the micro-learning methodology, acting as a supportive tutor, creating a project about  Build a secure API client that takes credentials from a .env file as input, processes the connection by authenticating via custom headers and handling HTTP errors automatically, and outputs the protected data fetched securely. | [TOPICS USED] 
- Securely manage API keys and credentials by loading environment variables from a .env file using load_dotenv() and retrieving them in Python via os.getenv().
- Modify default HTTP headers by passing a dictionary to the headers parameter in requests to set custom User-Agents or specify accepted content types.
- Authenticate HTTP requests by providing a tuple containing a username and password to the auth parameter to access protected basic-auth API endpoints.
- Authorize API access by injecting a Bearer token into the Authorization header using a custom headers dictionary within the requests library.
- Implement automatic error checking by invoking the raise_for_status() method on a response object to throw an exception for unsuccessful HTTP status codes. | [LEVEL] Beginner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#12 | Stage 1 | Python - Requests | 📊 Level: Beginner | 🌐 Coding5s.com
**Project:** Secure API Client (Dotenv integration, Auth, Headers, Error Handling)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20" s="56" t="str">
        <f t="shared" si="13"/>
        <v>[ROLE] Careless Python Developer | [TASK] Generate debugging project in Python | [PROJECT] Build a secure API client that takes credentials from a .env file as input, processes the connection by authenticating via custom headers and handling HTTP errors automatically, and outputs the protected data fetched securely. | [TOPICS USED] 
- Securely manage API keys and credentials by loading environment variables from a .env file using load_dotenv() and retrieving them in Python via os.getenv().
- Modify default HTTP headers by passing a dictionary to the headers parameter in requests to set custom User-Agents or specify accepted content types.
- Authenticate HTTP requests by providing a tuple containing a username and password to the auth parameter to access protected basic-auth API endpoints.
- Authorize API access by injecting a Bearer token into the Authorization header using a custom headers dictionary within the requests library.
- Implement automatic error checking by invoking the raise_for_status() method on a response object to throw an exception for unsuccessful HTTP status codes. | [LEVEL] Beginner | [OUTPUT] Only header, dataset summary or statement (if any), email intro, objective, expected output, broken code, and footer | [HEADER RULE - STRICT] You MUST start your entire response EXACTLY with this markdown block (do not print anything before it):
### 🚀 Project #12 | Stage 2 | Python - Requests | 📊 Level: Beginner | 🌐 Coding5s.com
Project: Secure API Client (Dotenv integration, Auth, Headers, Error Handling)
---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Mapudungun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20" s="56" t="str">
        <f t="shared" si="14"/>
        <v>[ROLE] Tech Lead | [TASK] Assign incomplete project script | [PROJECT] Build a secure API client that takes credentials from a .env file as input, processes the connection by authenticating via custom headers and handling HTTP errors automatically, and outputs the protected data fetched securely. | [TOPICS USED] 
- Securely manage API keys and credentials by loading environment variables from a .env file using load_dotenv() and retrieving them in Python via os.getenv().
- Modify default HTTP headers by passing a dictionary to the headers parameter in requests to set custom User-Agents or specify accepted content types.
- Authenticate HTTP requests by providing a tuple containing a username and password to the auth parameter to access protected basic-auth API endpoints.
- Authorize API access by injecting a Bearer token into the Authorization header using a custom headers dictionary within the requests library.
- Implement automatic error checking by invoking the raise_for_status() method on a response object to throw an exception for unsuccessful HTTP status codes. | [LEVEL] Beginner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#12 | Stage 3 | Python - Requests | 📊 Level: Beginner | 🌐 Coding5s.com
**Project:** Secure API Client (Dotenv integration, Auth, Headers, Error Handling)
---
 | [EXTERNAL_PACKAGE_PROTOCOL] Require standard pip tooling and requirements.txt for dependencies. | [CHALLENGE_CONSTRAINTS_POLICY] MUST be between 25–40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20" s="56" t="str">
        <f t="shared" si="15"/>
        <v>[ROLE] Tech Lead | [TASK] Provide a messy but functional project for refactoring | [PROJECT] Build a secure API client that takes credentials from a .env file as input, processes the connection by authenticating via custom headers and handling HTTP errors automatically, and outputs the protected data fetched securely. | [TOPICS USED] 
- Securely manage API keys and credentials by loading environment variables from a .env file using load_dotenv() and retrieving them in Python via os.getenv().
- Modify default HTTP headers by passing a dictionary to the headers parameter in requests to set custom User-Agents or specify accepted content types.
- Authenticate HTTP requests by providing a tuple containing a username and password to the auth parameter to access protected basic-auth API endpoints.
- Authorize API access by injecting a Bearer token into the Authorization header using a custom headers dictionary within the requests library.
- Implement automatic error checking by invoking the raise_for_status() method on a response object to throw an exception for unsuccessful HTTP status codes. | [LEVEL] Beginner | [PERSONA RULE] Act as a Tech Lead. A junior wrote this working but messy code. Tone: professional but exhausted | [HEADER RULE - STRICT] You MUST start your entire response EXACTLY with this markdown block (do not print anything before it):
### 🚀 Project #12 | Stage 4 | Python - Requests | 📊 Level: Beginner | 🌐 Coding5s.com
**Project:** Secure API Client (Dotenv integration, Auth, Headers, Error Handling)
---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20" s="56" t="str">
        <f t="shared" si="16"/>
        <v>[ROLE] Tech Product Manager assigning a Python Jira Ticket | [TASK] Provide a guided project implementation with full solution | [PROJECT] Build a secure API client that takes credentials from a .env file as input, processes the connection by authenticating via custom headers and handling HTTP errors automatically, and outputs the protected data fetched securely. | [TOPICS USED] 
- Securely manage API keys and credentials by loading environment variables from a .env file using load_dotenv() and retrieving them in Python via os.getenv().
- Modify default HTTP headers by passing a dictionary to the headers parameter in requests to set custom User-Agents or specify accepted content types.
- Authenticate HTTP requests by providing a tuple containing a username and password to the auth parameter to access protected basic-auth API endpoints.
- Authorize API access by injecting a Bearer token into the Authorization header using a custom headers dictionary within the requests library.
- Implement automatic error checking by invoking the raise_for_status() method on a response object to throw an exception for unsuccessful HTTP status codes. | [LEVEL] Beginner | [PERSONA RULE] Act as a professional Tech Product Manager defining a project ticket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#12 | Stage 5 | Python - Requests | 📊 Level: Beginner | 🌐 Coding5s.com
**Project:** Secure API Client (Dotenv integration, Auth, Headers, Error Handling)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20" s="40" t="s">
        <v>108</v>
      </c>
      <c r="AF20" s="40" t="s">
        <v>109</v>
      </c>
      <c r="AG20" s="40" t="s">
        <v>110</v>
      </c>
      <c r="AH20" s="56" t="str">
        <f t="shared" si="0"/>
        <v/>
      </c>
      <c r="AI20" s="54"/>
      <c r="AJ20" s="54"/>
      <c r="AK20" s="54">
        <v>12</v>
      </c>
      <c r="AL20" s="54" t="s">
        <v>111</v>
      </c>
      <c r="AM20" s="54" t="s">
        <v>112</v>
      </c>
    </row>
    <row r="21" spans="1:39">
      <c r="A21" s="45" t="str" cm="1">
        <f t="array" ref="A21">IF(H21="PROJECT", CHAR(10) &amp; "- " &amp; _xlfn.TEXTJOIN(CHAR(10) &amp; "- ", TRUE, _xlfn._xlws.FILTER($I$9:$I$1000, ($B$9:$B$1000=B21) * ($H$9:$H$1000="Topic"))), "")</f>
        <v/>
      </c>
      <c r="B21" s="45">
        <f t="shared" si="1"/>
        <v>3</v>
      </c>
      <c r="C21" s="95">
        <v>10</v>
      </c>
      <c r="D21" s="46">
        <v>4</v>
      </c>
      <c r="E21" s="58" t="s">
        <v>46</v>
      </c>
      <c r="F21" s="48">
        <v>13</v>
      </c>
      <c r="G21" s="49" t="s">
        <v>158</v>
      </c>
      <c r="H21" s="49" t="s">
        <v>48</v>
      </c>
      <c r="I21" s="50" t="s">
        <v>809</v>
      </c>
      <c r="J21" s="51" t="s">
        <v>810</v>
      </c>
      <c r="K21" s="129" t="str">
        <f t="shared" si="2"/>
        <v xml:space="preserve">[ROLE] Friendly tutor specializing in Python | [TOPIC] Submit standard HTML form-encoded data to a server by passing a dictionary payload to the data parameter within a requests.post() call. | [LEVEL] Intermediate | [COUNT] 4 examples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10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#13 | Stage 1 📖 Practice | Python - Requests | 📊 Level: Intermediate | 🌐 Coding5s.com
**Concept:** Sending Form-Encoded Data with POST (data parameter)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1" s="103" t="str">
        <f t="shared" si="3"/>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Submit standard HTML form-encoded data to a server by passing a dictionary payload to the data parameter within a requests.post() call.. Topic details: Sending Form-Encoded Data with POST (data parameter)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#13 | Practice | Python - Requests | 📊 Level: Intermediate
**Topic:** Submit standard HTML form-encoded data to a server by passing a dictionary payload to the data parameter within a requests.post() call.
---
 | [FOOTER RULE - STRICT] End your response with: '--- ⚡ *Coding5s Mentor System — Eliminating Epistemic Debt*' | </v>
      </c>
      <c r="M21" s="53">
        <v>0</v>
      </c>
      <c r="N21" s="102" t="str">
        <f t="shared" si="4"/>
        <v>[ROLE] Careless Python Developer | [TASK] Generate debugging challenges in Python | | [TOPIC] Submit standard HTML form-encoded data to a server by passing a dictionary payload to the data parameter within a requests.post() call. | | [LEVEL] Intermediate | | [COUNT] 4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#13 | Stage 2 🐛 Debug | Python - Requests | 📊 Level: Intermediate | 🌐 Coding5s.com
Concept: Sending Form-Encoded Data with POST (data parameter)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1"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Submit standard HTML form-encoded data to a server by passing a dictionary payload to the data parameter within a requests.post() call.. Topic details: Sending Form-Encoded Data with POST (data parameter)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#13 | Debug | Python - Requests | 📊 Level: Intermediate
**Topic:** Submit standard HTML form-encoded data to a server by passing a dictionary payload to the data parameter within a requests.post() call.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1" s="53">
        <v>0</v>
      </c>
      <c r="Q21" s="102" t="str">
        <f t="shared" si="6"/>
        <v>[ROLE] Tech Lead | [TASK] Assign incomplete Python script challenges | [TOPIC] Submit standard HTML form-encoded data to a server by passing a dictionary payload to the data parameter within a requests.post() call. | [LEVEL] Intermediate | [COUNT] 4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#13 | Stage 3 🧩 Complete | Python - Requests | 📊 Level: Intermediate | 🌐 Coding5s.com
**Concept:** Sending Form-Encoded Data with POST (data parameter)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Submit standard HTML form-encoded data to a server by passing a dictionary payload to the data parameter within a requests.post() call..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1"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Submit standard HTML form-encoded data to a server by passing a dictionary payload to the data parameter within a requests.post() call.. Topic details: Sending Form-Encoded Data with POST (data parameter)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#13 | Complete | Python - Requests | 📊 Level: Intermediate
**Topic:** Submit standard HTML form-encoded data to a server by passing a dictionary payload to the data parameter within a requests.post() call.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1" s="53">
        <v>0</v>
      </c>
      <c r="T21" s="102" t="str">
        <f t="shared" si="8"/>
        <v>[ROLE] Tech Lead | [TASK] Provide intentionally messy but functional code for learning debugging and improvement | [TOPIC] Submit standard HTML form-encoded data to a server by passing a dictionary payload to the data parameter within a requests.post() call. | [LEVEL] Intermediate | [COUNT] 4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#13 | Stage 4 🧹 Refactor | Python - Requests | 📊 Level: Intermediate | 🌐 Coding5s.com
**Concept:** Sending Form-Encoded Data with POST (data parameter)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Submit standard HTML form-encoded data to a server by passing a dictionary payload to the data parameter within a requests.post() call.. Topic details: Sending Form-Encoded Data with POST (data parameter)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#13 | Refactor | Python - Requests | 📊 Level: Intermediate
**Topic:** Submit standard HTML form-encoded data to a server by passing a dictionary payload to the data parameter within a requests.post() call.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1" s="53">
        <v>0</v>
      </c>
      <c r="W21" s="87" t="str">
        <f t="shared" si="10"/>
        <v>[ROLE] Tech Product Manager assigning a Python Jira Ticket | [TASK] Provide a guided implementation exercise with full solution for learning purposes | [TOPIC] Submit standard HTML form-encoded data to a server by passing a dictionary payload to the data parameter within a requests.post() call. | [LEVEL] Intermediate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#13 | Stage 5 | Python - Requests | 📊 Level: Intermediate | 🌐 Coding5s.com
**Concept:** Sending Form-Encoded Data with POST (data parameter)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Submit standard HTML form-encoded data to a server by passing a dictionary payload to the data parameter within a requests.post() call.. Goal: Sending Form-Encoded Data with POST (data parameter)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#13 | Extend | Python - Requests | 📊 Level: Intermediate
**Topic:** Submit standard HTML form-encoded data to a server by passing a dictionary payload to the data parameter within a requests.post() call.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1" s="53">
        <v>0</v>
      </c>
      <c r="Z21" s="56" t="str">
        <f t="shared" si="12"/>
        <v/>
      </c>
      <c r="AA21" s="56" t="str">
        <f t="shared" si="13"/>
        <v/>
      </c>
      <c r="AB21" s="56" t="str">
        <f t="shared" si="14"/>
        <v/>
      </c>
      <c r="AC21" s="56" t="str">
        <f t="shared" si="15"/>
        <v/>
      </c>
      <c r="AD21" s="56" t="str">
        <f t="shared" si="16"/>
        <v/>
      </c>
      <c r="AE21" s="40" t="s">
        <v>113</v>
      </c>
      <c r="AF21" s="40" t="s">
        <v>114</v>
      </c>
      <c r="AG21" s="40" t="s">
        <v>115</v>
      </c>
      <c r="AH21" s="56" t="str">
        <f t="shared" si="0"/>
        <v/>
      </c>
      <c r="AI21" s="54"/>
      <c r="AJ21" s="54"/>
      <c r="AK21" s="54">
        <v>13</v>
      </c>
      <c r="AL21" s="54" t="s">
        <v>116</v>
      </c>
      <c r="AM21" s="54" t="s">
        <v>117</v>
      </c>
    </row>
    <row r="22" spans="1:39">
      <c r="A22" s="45" t="str" cm="1">
        <f t="array" ref="A22">IF(H22="PROJECT", CHAR(10) &amp; "- " &amp; _xlfn.TEXTJOIN(CHAR(10) &amp; "- ", TRUE, _xlfn._xlws.FILTER($I$9:$I$1000, ($B$9:$B$1000=B22) * ($H$9:$H$1000="Topic"))), "")</f>
        <v/>
      </c>
      <c r="B22" s="45">
        <f t="shared" si="1"/>
        <v>3</v>
      </c>
      <c r="C22" s="95">
        <v>10</v>
      </c>
      <c r="D22" s="57">
        <v>4</v>
      </c>
      <c r="E22" s="58" t="s">
        <v>46</v>
      </c>
      <c r="F22" s="59">
        <v>14</v>
      </c>
      <c r="G22" s="60" t="s">
        <v>158</v>
      </c>
      <c r="H22" s="60" t="s">
        <v>48</v>
      </c>
      <c r="I22" s="61" t="s">
        <v>811</v>
      </c>
      <c r="J22" s="62" t="s">
        <v>812</v>
      </c>
      <c r="K22" s="129" t="str">
        <f t="shared" si="2"/>
        <v xml:space="preserve">[ROLE] Friendly tutor specializing in Python | [TOPIC] Transmit complex data structures to REST APIs by utilizing the json parameter in requests.post() to automatically serialize Python dictionaries into JSON payloads. | [LEVEL] Intermediate | [COUNT] 4 examples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10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#14 | Stage 1 📖 Practice | Python - Requests | 📊 Level: Intermediate | 🌐 Coding5s.com
**Concept:** Sending JSON Data with POST (json parameter)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2" s="103" t="str">
        <f t="shared" si="3"/>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Transmit complex data structures to REST APIs by utilizing the json parameter in requests.post() to automatically serialize Python dictionaries into JSON payloads.. Topic details: Sending JSON Data with POST (json parameter)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#14 | Practice | Python - Requests | 📊 Level: Intermediate
**Topic:** Transmit complex data structures to REST APIs by utilizing the json parameter in requests.post() to automatically serialize Python dictionaries into JSON payloads.
---
 | [FOOTER RULE - STRICT] End your response with: '--- ⚡ *Coding5s Mentor System — Eliminating Epistemic Debt*' | </v>
      </c>
      <c r="M22" s="52">
        <v>0</v>
      </c>
      <c r="N22" s="102" t="str">
        <f t="shared" si="4"/>
        <v>[ROLE] Careless Python Developer | [TASK] Generate debugging challenges in Python | | [TOPIC] Transmit complex data structures to REST APIs by utilizing the json parameter in requests.post() to automatically serialize Python dictionaries into JSON payloads. | | [LEVEL] Intermediate | | [COUNT] 4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#14 | Stage 2 🐛 Debug | Python - Requests | 📊 Level: Intermediate | 🌐 Coding5s.com
Concept: Sending JSON Data with POST (json parameter)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2"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Transmit complex data structures to REST APIs by utilizing the json parameter in requests.post() to automatically serialize Python dictionaries into JSON payloads.. Topic details: Sending JSON Data with POST (json parameter)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#14 | Debug | Python - Requests | 📊 Level: Intermediate
**Topic:** Transmit complex data structures to REST APIs by utilizing the json parameter in requests.post() to automatically serialize Python dictionaries into JSON payloads.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2" s="52">
        <v>0</v>
      </c>
      <c r="Q22" s="102" t="str">
        <f t="shared" si="6"/>
        <v>[ROLE] Tech Lead | [TASK] Assign incomplete Python script challenges | [TOPIC] Transmit complex data structures to REST APIs by utilizing the json parameter in requests.post() to automatically serialize Python dictionaries into JSON payloads. | [LEVEL] Intermediate | [COUNT] 4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#14 | Stage 3 🧩 Complete | Python - Requests | 📊 Level: Intermediate | 🌐 Coding5s.com
**Concept:** Sending JSON Data with POST (json parameter)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Transmit complex data structures to REST APIs by utilizing the json parameter in requests.post() to automatically serialize Python dictionaries into JSON payloads..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2"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Transmit complex data structures to REST APIs by utilizing the json parameter in requests.post() to automatically serialize Python dictionaries into JSON payloads.. Topic details: Sending JSON Data with POST (json parameter)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#14 | Complete | Python - Requests | 📊 Level: Intermediate
**Topic:** Transmit complex data structures to REST APIs by utilizing the json parameter in requests.post() to automatically serialize Python dictionaries into JSON payloads.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2" s="52">
        <v>0</v>
      </c>
      <c r="T22" s="102" t="str">
        <f t="shared" si="8"/>
        <v>[ROLE] Tech Lead | [TASK] Provide intentionally messy but functional code for learning debugging and improvement | [TOPIC] Transmit complex data structures to REST APIs by utilizing the json parameter in requests.post() to automatically serialize Python dictionaries into JSON payloads. | [LEVEL] Intermediate | [COUNT] 4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#14 | Stage 4 🧹 Refactor | Python - Requests | 📊 Level: Intermediate | 🌐 Coding5s.com
**Concept:** Sending JSON Data with POST (json parameter)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Transmit complex data structures to REST APIs by utilizing the json parameter in requests.post() to automatically serialize Python dictionaries into JSON payloads.. Topic details: Sending JSON Data with POST (json parameter)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#14 | Refactor | Python - Requests | 📊 Level: Intermediate
**Topic:** Transmit complex data structures to REST APIs by utilizing the json parameter in requests.post() to automatically serialize Python dictionaries into JSON payloads.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2" s="52">
        <v>0</v>
      </c>
      <c r="W22" s="87" t="str">
        <f t="shared" si="10"/>
        <v>[ROLE] Tech Product Manager assigning a Python Jira Ticket | [TASK] Provide a guided implementation exercise with full solution for learning purposes | [TOPIC] Transmit complex data structures to REST APIs by utilizing the json parameter in requests.post() to automatically serialize Python dictionaries into JSON payloads. | [LEVEL] Intermediate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#14 | Stage 5 | Python - Requests | 📊 Level: Intermediate | 🌐 Coding5s.com
**Concept:** Sending JSON Data with POST (json parameter)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Transmit complex data structures to REST APIs by utilizing the json parameter in requests.post() to automatically serialize Python dictionaries into JSON payloads.. Goal: Sending JSON Data with POST (json parameter)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#14 | Extend | Python - Requests | 📊 Level: Intermediate
**Topic:** Transmit complex data structures to REST APIs by utilizing the json parameter in requests.post() to automatically serialize Python dictionaries into JSON payloads.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2" s="52">
        <v>0</v>
      </c>
      <c r="Z22" s="56" t="str">
        <f t="shared" si="12"/>
        <v/>
      </c>
      <c r="AA22" s="56" t="str">
        <f t="shared" si="13"/>
        <v/>
      </c>
      <c r="AB22" s="56" t="str">
        <f t="shared" si="14"/>
        <v/>
      </c>
      <c r="AC22" s="56" t="str">
        <f t="shared" si="15"/>
        <v/>
      </c>
      <c r="AD22" s="56" t="str">
        <f t="shared" si="16"/>
        <v/>
      </c>
      <c r="AE22" s="40" t="s">
        <v>118</v>
      </c>
      <c r="AF22" s="40" t="s">
        <v>119</v>
      </c>
      <c r="AG22" s="40" t="s">
        <v>120</v>
      </c>
      <c r="AH22" s="56" t="str">
        <f t="shared" si="0"/>
        <v/>
      </c>
      <c r="AI22" s="54"/>
      <c r="AJ22" s="54"/>
      <c r="AK22" s="54">
        <v>14</v>
      </c>
      <c r="AL22" s="54" t="s">
        <v>121</v>
      </c>
      <c r="AM22" s="54" t="s">
        <v>122</v>
      </c>
    </row>
    <row r="23" spans="1:39">
      <c r="A23" s="45" t="str" cm="1">
        <f t="array" ref="A23">IF(H23="PROJECT", CHAR(10) &amp; "- " &amp; _xlfn.TEXTJOIN(CHAR(10) &amp; "- ", TRUE, _xlfn._xlws.FILTER($I$9:$I$1000, ($B$9:$B$1000=B23) * ($H$9:$H$1000="Topic"))), "")</f>
        <v/>
      </c>
      <c r="B23" s="45">
        <f t="shared" si="1"/>
        <v>3</v>
      </c>
      <c r="C23" s="95">
        <v>12</v>
      </c>
      <c r="D23" s="46">
        <v>5</v>
      </c>
      <c r="E23" s="58" t="s">
        <v>46</v>
      </c>
      <c r="F23" s="48">
        <v>15</v>
      </c>
      <c r="G23" s="49" t="s">
        <v>158</v>
      </c>
      <c r="H23" s="49" t="s">
        <v>48</v>
      </c>
      <c r="I23" s="50" t="s">
        <v>813</v>
      </c>
      <c r="J23" s="51" t="s">
        <v>814</v>
      </c>
      <c r="K23" s="129" t="str">
        <f t="shared" si="2"/>
        <v xml:space="preserve">[ROLE] Friendly tutor specializing in Python | [TOPIC] Manage server-side resources by executing requests.put() to replace data, requests.patch() for partial updates, and requests.delete() to remove specified endpoints. | [LEVEL] Intermediate | [COUNT] 5 examples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#15 | Stage 1 📖 Practice | Python - Requests | 📊 Level: Intermediate | 🌐 Coding5s.com
**Concept:** Modifying and Deleting Resources (requests.put, .patch, .delete)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3" s="103" t="str">
        <f t="shared" si="3"/>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server-side resources by executing requests.put() to replace data, requests.patch() for partial updates, and requests.delete() to remove specified endpoints.. Topic details: Modifying and Deleting Resources (requests.put, .patch, .delete)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#15 | Practice | Python - Requests | 📊 Level: Intermediate
**Topic:** Manage server-side resources by executing requests.put() to replace data, requests.patch() for partial updates, and requests.delete() to remove specified endpoints.
---
 | [FOOTER RULE - STRICT] End your response with: '--- ⚡ *Coding5s Mentor System — Eliminating Epistemic Debt*' | </v>
      </c>
      <c r="M23" s="53">
        <v>0</v>
      </c>
      <c r="N23" s="102" t="str">
        <f t="shared" si="4"/>
        <v>[ROLE] Careless Python Developer | [TASK] Generate debugging challenges in Python | | [TOPIC] Manage server-side resources by executing requests.put() to replace data, requests.patch() for partial updates, and requests.delete() to remove specified endpoints. | | [LEVEL] Intermediate |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#15 | Stage 2 🐛 Debug | Python - Requests | 📊 Level: Intermediate | 🌐 Coding5s.com
Concept: Modifying and Deleting Resources (requests.put, .patch, .delete)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3"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server-side resources by executing requests.put() to replace data, requests.patch() for partial updates, and requests.delete() to remove specified endpoints.. Topic details: Modifying and Deleting Resources (requests.put, .patch, .delete)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#15 | Debug | Python - Requests | 📊 Level: Intermediate
**Topic:** Manage server-side resources by executing requests.put() to replace data, requests.patch() for partial updates, and requests.delete() to remove specified endpoints.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3" s="53">
        <v>0</v>
      </c>
      <c r="Q23" s="102" t="str">
        <f t="shared" si="6"/>
        <v>[ROLE] Tech Lead | [TASK] Assign incomplete Python script challenges | [TOPIC] Manage server-side resources by executing requests.put() to replace data, requests.patch() for partial updates, and requests.delete() to remove specified endpoints. | [LEVEL] Intermediate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#15 | Stage 3 🧩 Complete | Python - Requests | 📊 Level: Intermediate | 🌐 Coding5s.com
**Concept:** Modifying and Deleting Resources (requests.put, .patch, .delete)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server-side resources by executing requests.put() to replace data, requests.patch() for partial updates, and requests.delete() to remove specified endpoints..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3"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server-side resources by executing requests.put() to replace data, requests.patch() for partial updates, and requests.delete() to remove specified endpoints.. Topic details: Modifying and Deleting Resources (requests.put, .patch, .delete)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#15 | Complete | Python - Requests | 📊 Level: Intermediate
**Topic:** Manage server-side resources by executing requests.put() to replace data, requests.patch() for partial updates, and requests.delete() to remove specified endpoints.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3" s="53">
        <v>0</v>
      </c>
      <c r="T23" s="102" t="str">
        <f t="shared" si="8"/>
        <v>[ROLE] Tech Lead | [TASK] Provide intentionally messy but functional code for learning debugging and improvement | [TOPIC] Manage server-side resources by executing requests.put() to replace data, requests.patch() for partial updates, and requests.delete() to remove specified endpoints. | [LEVEL] Intermediate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#15 | Stage 4 🧹 Refactor | Python - Requests | 📊 Level: Intermediate | 🌐 Coding5s.com
**Concept:** Modifying and Deleting Resources (requests.put, .patch, .delete)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Manage server-side resources by executing requests.put() to replace data, requests.patch() for partial updates, and requests.delete() to remove specified endpoints.. Topic details: Modifying and Deleting Resources (requests.put, .patch, .delete)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#15 | Refactor | Python - Requests | 📊 Level: Intermediate
**Topic:** Manage server-side resources by executing requests.put() to replace data, requests.patch() for partial updates, and requests.delete() to remove specified endpoints.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3" s="53">
        <v>0</v>
      </c>
      <c r="W23" s="87" t="str">
        <f t="shared" si="10"/>
        <v>[ROLE] Tech Product Manager assigning a Python Jira Ticket | [TASK] Provide a guided implementation exercise with full solution for learning purposes | [TOPIC] Manage server-side resources by executing requests.put() to replace data, requests.patch() for partial updates, and requests.delete() to remove specified endpoints. | [LEVEL] Intermediate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#15 | Stage 5 | Python - Requests | 📊 Level: Intermediate | 🌐 Coding5s.com
**Concept:** Modifying and Deleting Resources (requests.put, .patch, .delete)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server-side resources by executing requests.put() to replace data, requests.patch() for partial updates, and requests.delete() to remove specified endpoints.. Goal: Modifying and Deleting Resources (requests.put, .patch, .delete)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#15 | Extend | Python - Requests | 📊 Level: Intermediate
**Topic:** Manage server-side resources by executing requests.put() to replace data, requests.patch() for partial updates, and requests.delete() to remove specified endpoints.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3" s="53">
        <v>0</v>
      </c>
      <c r="Z23" s="56" t="str">
        <f t="shared" si="12"/>
        <v/>
      </c>
      <c r="AA23" s="56" t="str">
        <f t="shared" si="13"/>
        <v/>
      </c>
      <c r="AB23" s="56" t="str">
        <f t="shared" si="14"/>
        <v/>
      </c>
      <c r="AC23" s="56" t="str">
        <f t="shared" si="15"/>
        <v/>
      </c>
      <c r="AD23" s="56" t="str">
        <f t="shared" si="16"/>
        <v/>
      </c>
      <c r="AE23" s="40" t="s">
        <v>123</v>
      </c>
      <c r="AF23" s="40" t="s">
        <v>124</v>
      </c>
      <c r="AG23" s="40" t="s">
        <v>125</v>
      </c>
      <c r="AH23" s="56" t="str">
        <f t="shared" si="0"/>
        <v/>
      </c>
      <c r="AI23" s="54"/>
      <c r="AJ23" s="54"/>
      <c r="AK23" s="54">
        <v>15</v>
      </c>
      <c r="AL23" s="54" t="s">
        <v>126</v>
      </c>
      <c r="AM23" s="54" t="s">
        <v>127</v>
      </c>
    </row>
    <row r="24" spans="1:39">
      <c r="A24" s="45" t="str" cm="1">
        <f t="array" ref="A24">IF(H24="PROJECT", CHAR(10) &amp; "- " &amp; _xlfn.TEXTJOIN(CHAR(10) &amp; "- ", TRUE, _xlfn._xlws.FILTER($I$9:$I$1000, ($B$9:$B$1000=B24) * ($H$9:$H$1000="Topic"))), "")</f>
        <v/>
      </c>
      <c r="B24" s="45">
        <f t="shared" si="1"/>
        <v>3</v>
      </c>
      <c r="C24" s="95">
        <v>8</v>
      </c>
      <c r="D24" s="57">
        <v>4</v>
      </c>
      <c r="E24" s="58" t="s">
        <v>46</v>
      </c>
      <c r="F24" s="59">
        <v>16</v>
      </c>
      <c r="G24" s="60" t="s">
        <v>158</v>
      </c>
      <c r="H24" s="60" t="s">
        <v>48</v>
      </c>
      <c r="I24" s="61" t="s">
        <v>815</v>
      </c>
      <c r="J24" s="62" t="s">
        <v>816</v>
      </c>
      <c r="K24" s="129" t="str">
        <f t="shared" si="2"/>
        <v xml:space="preserve">[ROLE] Friendly tutor specializing in Python | [TOPIC] Debug outward-bound HTTP traffic by inspecting the .request.headers and .request.body attributes of a response object to verify exactly what the requests library sent to the server. | [LEVEL] Intermediate | [COUNT] 4 examples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#16 | Stage 1 📖 Practice | Python - Requests | 📊 Level: Intermediate | 🌐 Coding5s.com
**Concept:** Inspecting the Prepared Request (response.request.headers, .body)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4" s="103" t="str">
        <f t="shared" si="3"/>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Debug outward-bound HTTP traffic by inspecting the .request.headers and .request.body attributes of a response object to verify exactly what the requests library sent to the server.. Topic details: Inspecting the Prepared Request (response.request.headers, .body)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#16 | Practice | Python - Requests | 📊 Level: Intermediate
**Topic:** Debug outward-bound HTTP traffic by inspecting the .request.headers and .request.body attributes of a response object to verify exactly what the requests library sent to the server.
---
 | [FOOTER RULE - STRICT] End your response with: '--- ⚡ *Coding5s Mentor System — Eliminating Epistemic Debt*' | </v>
      </c>
      <c r="M24" s="52">
        <v>0</v>
      </c>
      <c r="N24" s="102" t="str">
        <f t="shared" si="4"/>
        <v>[ROLE] Careless Python Developer | [TASK] Generate debugging challenges in Python | | [TOPIC] Debug outward-bound HTTP traffic by inspecting the .request.headers and .request.body attributes of a response object to verify exactly what the requests library sent to the server. | | [LEVEL] Intermediate | | [COUNT] 4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#16 | Stage 2 🐛 Debug | Python - Requests | 📊 Level: Intermediate | 🌐 Coding5s.com
Concept: Inspecting the Prepared Request (response.request.headers, .body)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4"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Debug outward-bound HTTP traffic by inspecting the .request.headers and .request.body attributes of a response object to verify exactly what the requests library sent to the server.. Topic details: Inspecting the Prepared Request (response.request.headers, .body)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#16 | Debug | Python - Requests | 📊 Level: Intermediate
**Topic:** Debug outward-bound HTTP traffic by inspecting the .request.headers and .request.body attributes of a response object to verify exactly what the requests library sent to the server.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4" s="52">
        <v>0</v>
      </c>
      <c r="Q24" s="102" t="str">
        <f t="shared" si="6"/>
        <v>[ROLE] Tech Lead | [TASK] Assign incomplete Python script challenges | [TOPIC] Debug outward-bound HTTP traffic by inspecting the .request.headers and .request.body attributes of a response object to verify exactly what the requests library sent to the server. | [LEVEL] Intermediate | [COUNT] 4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#16 | Stage 3 🧩 Complete | Python - Requests | 📊 Level: Intermediate | 🌐 Coding5s.com
**Concept:** Inspecting the Prepared Request (response.request.headers, .body)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Debug outward-bound HTTP traffic by inspecting the .request.headers and .request.body attributes of a response object to verify exactly what the requests library sent to the server..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4"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Debug outward-bound HTTP traffic by inspecting the .request.headers and .request.body attributes of a response object to verify exactly what the requests library sent to the server.. Topic details: Inspecting the Prepared Request (response.request.headers, .body)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#16 | Complete | Python - Requests | 📊 Level: Intermediate
**Topic:** Debug outward-bound HTTP traffic by inspecting the .request.headers and .request.body attributes of a response object to verify exactly what the requests library sent to the server.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4" s="52">
        <v>0</v>
      </c>
      <c r="T24" s="102" t="str">
        <f t="shared" si="8"/>
        <v>[ROLE] Tech Lead | [TASK] Provide intentionally messy but functional code for learning debugging and improvement | [TOPIC] Debug outward-bound HTTP traffic by inspecting the .request.headers and .request.body attributes of a response object to verify exactly what the requests library sent to the server. | [LEVEL] Intermediate | [COUNT] 4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#16 | Stage 4 🧹 Refactor | Python - Requests | 📊 Level: Intermediate | 🌐 Coding5s.com
**Concept:** Inspecting the Prepared Request (response.request.headers, .body)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Debug outward-bound HTTP traffic by inspecting the .request.headers and .request.body attributes of a response object to verify exactly what the requests library sent to the server.. Topic details: Inspecting the Prepared Request (response.request.headers, .body)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#16 | Refactor | Python - Requests | 📊 Level: Intermediate
**Topic:** Debug outward-bound HTTP traffic by inspecting the .request.headers and .request.body attributes of a response object to verify exactly what the requests library sent to the server.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4" s="52">
        <v>0</v>
      </c>
      <c r="W24" s="87" t="str">
        <f t="shared" si="10"/>
        <v>[ROLE] Tech Product Manager assigning a Python Jira Ticket | [TASK] Provide a guided implementation exercise with full solution for learning purposes | [TOPIC] Debug outward-bound HTTP traffic by inspecting the .request.headers and .request.body attributes of a response object to verify exactly what the requests library sent to the server. | [LEVEL] Intermediate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#16 | Stage 5 | Python - Requests | 📊 Level: Intermediate | 🌐 Coding5s.com
**Concept:** Inspecting the Prepared Request (response.request.headers, .body)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Debug outward-bound HTTP traffic by inspecting the .request.headers and .request.body attributes of a response object to verify exactly what the requests library sent to the server.. Goal: Inspecting the Prepared Request (response.request.headers, .body)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#16 | Extend | Python - Requests | 📊 Level: Intermediate
**Topic:** Debug outward-bound HTTP traffic by inspecting the .request.headers and .request.body attributes of a response object to verify exactly what the requests library sent to the server.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4" s="52">
        <v>0</v>
      </c>
      <c r="Z24" s="56" t="str">
        <f t="shared" si="12"/>
        <v/>
      </c>
      <c r="AA24" s="56" t="str">
        <f t="shared" si="13"/>
        <v/>
      </c>
      <c r="AB24" s="56" t="str">
        <f t="shared" si="14"/>
        <v/>
      </c>
      <c r="AC24" s="56" t="str">
        <f t="shared" si="15"/>
        <v/>
      </c>
      <c r="AD24" s="56" t="str">
        <f t="shared" si="16"/>
        <v/>
      </c>
      <c r="AE24" s="40" t="s">
        <v>128</v>
      </c>
      <c r="AF24" s="40" t="s">
        <v>129</v>
      </c>
      <c r="AG24" s="40" t="s">
        <v>130</v>
      </c>
      <c r="AH24" s="56" t="str">
        <f t="shared" si="0"/>
        <v/>
      </c>
      <c r="AI24" s="54"/>
      <c r="AJ24" s="54"/>
      <c r="AK24" s="54">
        <v>16</v>
      </c>
      <c r="AL24" s="54" t="s">
        <v>131</v>
      </c>
      <c r="AM24" s="54" t="s">
        <v>132</v>
      </c>
    </row>
    <row r="25" spans="1:39">
      <c r="A25" s="45" t="str" cm="1">
        <f t="array" ref="A25">IF(H25="PROJECT", CHAR(10) &amp; "- " &amp; _xlfn.TEXTJOIN(CHAR(10) &amp; "- ", TRUE, _xlfn._xlws.FILTER($I$9:$I$1000, ($B$9:$B$1000=B25) * ($H$9:$H$1000="Topic"))), "")</f>
        <v/>
      </c>
      <c r="B25" s="45">
        <f t="shared" si="1"/>
        <v>3</v>
      </c>
      <c r="C25" s="95">
        <v>10</v>
      </c>
      <c r="D25" s="46">
        <v>3</v>
      </c>
      <c r="E25" s="58" t="s">
        <v>46</v>
      </c>
      <c r="F25" s="48">
        <v>17</v>
      </c>
      <c r="G25" s="49" t="s">
        <v>158</v>
      </c>
      <c r="H25" s="49" t="s">
        <v>48</v>
      </c>
      <c r="I25" s="50" t="s">
        <v>817</v>
      </c>
      <c r="J25" s="51" t="s">
        <v>818</v>
      </c>
      <c r="K25" s="129" t="str">
        <f t="shared" si="2"/>
        <v xml:space="preserve">[ROLE] Friendly tutor specializing in Python | [TOPIC] Prevent network hangs by defining maximum connection and read durations using the timeout parameter in requests to ensure scripts fail gracefully during high latency. | [LEVEL] Intermediate | [COUNT] 3 examples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10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#17 | Stage 1 📖 Practice | Python - Requests | 📊 Level: Intermediate | 🌐 Coding5s.com
**Concept:** Enforcing Request Timeouts (timeout parameter)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5" s="103" t="str">
        <f t="shared" si="3"/>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Prevent network hangs by defining maximum connection and read durations using the timeout parameter in requests to ensure scripts fail gracefully during high latency.. Topic details: Enforcing Request Timeouts (timeout parameter)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#17 | Practice | Python - Requests | 📊 Level: Intermediate
**Topic:** Prevent network hangs by defining maximum connection and read durations using the timeout parameter in requests to ensure scripts fail gracefully during high latency.
---
 | [FOOTER RULE - STRICT] End your response with: '--- ⚡ *Coding5s Mentor System — Eliminating Epistemic Debt*' | </v>
      </c>
      <c r="M25" s="53">
        <v>0</v>
      </c>
      <c r="N25" s="102" t="str">
        <f t="shared" si="4"/>
        <v>[ROLE] Careless Python Developer | [TASK] Generate debugging challenges in Python | | [TOPIC] Prevent network hangs by defining maximum connection and read durations using the timeout parameter in requests to ensure scripts fail gracefully during high latency. | | [LEVEL] Intermediate | | [COUNT] 3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#17 | Stage 2 🐛 Debug | Python - Requests | 📊 Level: Intermediate | 🌐 Coding5s.com
Concept: Enforcing Request Timeouts (timeout parameter)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5"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Prevent network hangs by defining maximum connection and read durations using the timeout parameter in requests to ensure scripts fail gracefully during high latency.. Topic details: Enforcing Request Timeouts (timeout parameter)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#17 | Debug | Python - Requests | 📊 Level: Intermediate
**Topic:** Prevent network hangs by defining maximum connection and read durations using the timeout parameter in requests to ensure scripts fail gracefully during high latency.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5" s="53">
        <v>0</v>
      </c>
      <c r="Q25" s="102" t="str">
        <f t="shared" si="6"/>
        <v>[ROLE] Tech Lead | [TASK] Assign incomplete Python script challenges | [TOPIC] Prevent network hangs by defining maximum connection and read durations using the timeout parameter in requests to ensure scripts fail gracefully during high latency. | [LEVEL] Intermediate | [COUNT] 3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#17 | Stage 3 🧩 Complete | Python - Requests | 📊 Level: Intermediate | 🌐 Coding5s.com
**Concept:** Enforcing Request Timeouts (timeout parameter)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Prevent network hangs by defining maximum connection and read durations using the timeout parameter in requests to ensure scripts fail gracefully during high latency..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5"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Prevent network hangs by defining maximum connection and read durations using the timeout parameter in requests to ensure scripts fail gracefully during high latency.. Topic details: Enforcing Request Timeouts (timeout parameter)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#17 | Complete | Python - Requests | 📊 Level: Intermediate
**Topic:** Prevent network hangs by defining maximum connection and read durations using the timeout parameter in requests to ensure scripts fail gracefully during high latency.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5" s="53">
        <v>0</v>
      </c>
      <c r="T25" s="102" t="str">
        <f t="shared" si="8"/>
        <v>[ROLE] Tech Lead | [TASK] Provide intentionally messy but functional code for learning debugging and improvement | [TOPIC] Prevent network hangs by defining maximum connection and read durations using the timeout parameter in requests to ensure scripts fail gracefully during high latency. | [LEVEL] Intermediate | [COUNT] 3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#17 | Stage 4 🧹 Refactor | Python - Requests | 📊 Level: Intermediate | 🌐 Coding5s.com
**Concept:** Enforcing Request Timeouts (timeout parameter)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Prevent network hangs by defining maximum connection and read durations using the timeout parameter in requests to ensure scripts fail gracefully during high latency.. Topic details: Enforcing Request Timeouts (timeout parameter)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#17 | Refactor | Python - Requests | 📊 Level: Intermediate
**Topic:** Prevent network hangs by defining maximum connection and read durations using the timeout parameter in requests to ensure scripts fail gracefully during high latency.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5" s="53">
        <v>0</v>
      </c>
      <c r="W25" s="87" t="str">
        <f t="shared" si="10"/>
        <v>[ROLE] Tech Product Manager assigning a Python Jira Ticket | [TASK] Provide a guided implementation exercise with full solution for learning purposes | [TOPIC] Prevent network hangs by defining maximum connection and read durations using the timeout parameter in requests to ensure scripts fail gracefully during high latency. | [LEVEL] Intermediate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#17 | Stage 5 | Python - Requests | 📊 Level: Intermediate | 🌐 Coding5s.com
**Concept:** Enforcing Request Timeouts (timeout parameter)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Prevent network hangs by defining maximum connection and read durations using the timeout parameter in requests to ensure scripts fail gracefully during high latency.. Goal: Enforcing Request Timeouts (timeout parameter)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#17 | Extend | Python - Requests | 📊 Level: Intermediate
**Topic:** Prevent network hangs by defining maximum connection and read durations using the timeout parameter in requests to ensure scripts fail gracefully during high latency.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5" s="53">
        <v>0</v>
      </c>
      <c r="Z25" s="56" t="str">
        <f t="shared" si="12"/>
        <v/>
      </c>
      <c r="AA25" s="56" t="str">
        <f t="shared" si="13"/>
        <v/>
      </c>
      <c r="AB25" s="56" t="str">
        <f t="shared" si="14"/>
        <v/>
      </c>
      <c r="AC25" s="56" t="str">
        <f t="shared" si="15"/>
        <v/>
      </c>
      <c r="AD25" s="56" t="str">
        <f t="shared" si="16"/>
        <v/>
      </c>
      <c r="AE25" s="40" t="s">
        <v>133</v>
      </c>
      <c r="AF25" s="40" t="s">
        <v>134</v>
      </c>
      <c r="AG25" s="40" t="s">
        <v>135</v>
      </c>
      <c r="AH25" s="56" t="str">
        <f t="shared" si="0"/>
        <v/>
      </c>
      <c r="AI25" s="54"/>
      <c r="AJ25" s="54"/>
      <c r="AK25" s="54">
        <v>17</v>
      </c>
      <c r="AL25" s="54" t="s">
        <v>136</v>
      </c>
      <c r="AM25" s="54" t="s">
        <v>137</v>
      </c>
    </row>
    <row r="26" spans="1:39">
      <c r="A26" s="45" t="str" cm="1">
        <f t="array" ref="A26">IF(H26="PROJECT", CHAR(10) &amp; "- " &amp; _xlfn.TEXTJOIN(CHAR(10) &amp; "- ", TRUE, _xlfn._xlws.FILTER($I$9:$I$1000, ($B$9:$B$1000=B26) * ($H$9:$H$1000="Topic"))), "")</f>
        <v xml:space="preserve">
- Submit standard HTML form-encoded data to a server by passing a dictionary payload to the data parameter within a requests.post() call.
- Transmit complex data structures to REST APIs by utilizing the json parameter in requests.post() to automatically serialize Python dictionaries into JSON payloads.
- Manage server-side resources by executing requests.put() to replace data, requests.patch() for partial updates, and requests.delete() to remove specified endpoints.
- Debug outward-bound HTTP traffic by inspecting the .request.headers and .request.body attributes of a response object to verify exactly what the requests library sent to the server.
- Prevent network hangs by defining maximum connection and read durations using the timeout parameter in requests to ensure scripts fail gracefully during high latency.</v>
      </c>
      <c r="B26" s="45">
        <f t="shared" si="1"/>
        <v>3</v>
      </c>
      <c r="C26" s="95" t="s">
        <v>857</v>
      </c>
      <c r="D26" s="57">
        <v>0</v>
      </c>
      <c r="E26" s="58" t="s">
        <v>723</v>
      </c>
      <c r="F26" s="59">
        <v>18</v>
      </c>
      <c r="G26" s="60" t="s">
        <v>158</v>
      </c>
      <c r="H26" s="60" t="s">
        <v>77</v>
      </c>
      <c r="I26" s="61" t="s">
        <v>819</v>
      </c>
      <c r="J26" s="62" t="s">
        <v>820</v>
      </c>
      <c r="K26" s="129" t="str">
        <f t="shared" si="2"/>
        <v>[TASK] Teach through a practical Python - Requests project following the micro-learning methodology, acting as a supportive tutor, creating a project about  Build a CRUD operations manager application that takes user commands as input to create, read, update, or delete records, processes these commands using corresponding HTTP methods with enforced timeouts, and outputs the confirmation status of each operation. | [TOPICS USED] 
- Submit standard HTML form-encoded data to a server by passing a dictionary payload to the data parameter within a requests.post() call.
- Transmit complex data structures to REST APIs by utilizing the json parameter in requests.post() to automatically serialize Python dictionaries into JSON payloads.
- Manage server-side resources by executing requests.put() to replace data, requests.patch() for partial updates, and requests.delete() to remove specified endpoints.
- Debug outward-bound HTTP traffic by inspecting the .request.headers and .request.body attributes of a response object to verify exactly what the requests library sent to the server.
- Prevent network hangs by defining maximum connection and read durations using the timeout parameter in requests to ensure scripts fail gracefully during high latency. | [LEVEL] Intermediate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#18 | Stage 1 | Python - Requests | 📊 Level: Intermediate | 🌐 Coding5s.com
**Project:** CRUD Operations Manager (Full GET/POST/PUT/DELETE cycle with timeouts)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26" s="103" t="str">
        <f t="shared" si="3"/>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CRUD operations manager application that takes user commands as input to create, read, update, or delete records, processes these commands using corresponding HTTP methods with enforced timeouts, and outputs the confirmation status of each operation.. Topics applied in this project: 
- Submit standard HTML form-encoded data to a server by passing a dictionary payload to the data parameter within a requests.post() call.
- Transmit complex data structures to REST APIs by utilizing the json parameter in requests.post() to automatically serialize Python dictionaries into JSON payloads.
- Manage server-side resources by executing requests.put() to replace data, requests.patch() for partial updates, and requests.delete() to remove specified endpoints.
- Debug outward-bound HTTP traffic by inspecting the .request.headers and .request.body attributes of a response object to verify exactly what the requests library sent to the server.
- Prevent network hangs by defining maximum connection and read durations using the timeout parameter in requests to ensure scripts fail gracefully during high latency.. Project objective: CRUD Operations Manager (Full GET/POST/PUT/DELETE cycle with timeouts)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#18 | Practice | Python - Requests | 📊 Level: Intermediate
**Project:** Build a CRUD operations manager application that takes user commands as input to create, read, update, or delete records, processes these commands using corresponding HTTP methods with enforced timeouts, and outputs the confirmation status of each operation.
---
 | [FOOTER RULE - STRICT] End your response with: '--- ⚡ *Coding5s Mentor System — Eliminating Epistemic Debt*' | </v>
      </c>
      <c r="M26" s="52">
        <v>0</v>
      </c>
      <c r="N26" s="102" t="str">
        <f t="shared" si="4"/>
        <v>[ROLE] Careless Python Developer | [TASK] Generate debugging project in Python | [PROJECT] Build a CRUD operations manager application that takes user commands as input to create, read, update, or delete records, processes these commands using corresponding HTTP methods with enforced timeouts, and outputs the confirmation status of each operation. | [TOPICS USED] 
- Submit standard HTML form-encoded data to a server by passing a dictionary payload to the data parameter within a requests.post() call.
- Transmit complex data structures to REST APIs by utilizing the json parameter in requests.post() to automatically serialize Python dictionaries into JSON payloads.
- Manage server-side resources by executing requests.put() to replace data, requests.patch() for partial updates, and requests.delete() to remove specified endpoints.
- Debug outward-bound HTTP traffic by inspecting the .request.headers and .request.body attributes of a response object to verify exactly what the requests library sent to the server.
- Prevent network hangs by defining maximum connection and read durations using the timeout parameter in requests to ensure scripts fail gracefully during high latency. | [LEVEL] Intermediate | [OUTPUT] Only header, dataset summary or statement (if any), email intro, objective, expected output, broken code, and footer | [HEADER RULE - STRICT] You MUST start your entire response EXACTLY with this markdown block (do not print anything before it):
### 🚀 Project #18 | Stage 2 | Python - Requests | 📊 Level: Intermediate | 🌐 Coding5s.com
Project: CRUD Operations Manager (Full GET/POST/PUT/DELETE cycle with timeouts)
---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Malay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26"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CRUD operations manager application that takes user commands as input to create, read, update, or delete records, processes these commands using corresponding HTTP methods with enforced timeouts, and outputs the confirmation status of each operation.. Topics involved: 
- Submit standard HTML form-encoded data to a server by passing a dictionary payload to the data parameter within a requests.post() call.
- Transmit complex data structures to REST APIs by utilizing the json parameter in requests.post() to automatically serialize Python dictionaries into JSON payloads.
- Manage server-side resources by executing requests.put() to replace data, requests.patch() for partial updates, and requests.delete() to remove specified endpoints.
- Debug outward-bound HTTP traffic by inspecting the .request.headers and .request.body attributes of a response object to verify exactly what the requests library sent to the server.
- Prevent network hangs by defining maximum connection and read durations using the timeout parameter in requests to ensure scripts fail gracefully during high latency.. Project objective: CRUD Operations Manager (Full GET/POST/PUT/DELETE cycle with timeouts)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#18 | Debug | Python - Requests | 📊 Level: Intermediate
**Project:** Build a CRUD operations manager application that takes user commands as input to create, read, update, or delete records, processes these commands using corresponding HTTP methods with enforced timeouts, and outputs the confirmation status of each operation.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6" s="52">
        <v>0</v>
      </c>
      <c r="Q26" s="102" t="str">
        <f t="shared" si="6"/>
        <v>[ROLE] Tech Lead | [TASK] Assign incomplete project script | [PROJECT] Build a CRUD operations manager application that takes user commands as input to create, read, update, or delete records, processes these commands using corresponding HTTP methods with enforced timeouts, and outputs the confirmation status of each operation. | [TOPICS USED] 
- Submit standard HTML form-encoded data to a server by passing a dictionary payload to the data parameter within a requests.post() call.
- Transmit complex data structures to REST APIs by utilizing the json parameter in requests.post() to automatically serialize Python dictionaries into JSON payloads.
- Manage server-side resources by executing requests.put() to replace data, requests.patch() for partial updates, and requests.delete() to remove specified endpoints.
- Debug outward-bound HTTP traffic by inspecting the .request.headers and .request.body attributes of a response object to verify exactly what the requests library sent to the server.
- Prevent network hangs by defining maximum connection and read durations using the timeout parameter in requests to ensure scripts fail gracefully during high latency. | [LEVEL] Intermediate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#18 | Stage 3 | Python - Requests | 📊 Level: Intermediate | 🌐 Coding5s.com
**Project:** CRUD Operations Manager (Full GET/POST/PUT/DELETE cycle with timeouts)
---
 | [EXTERNAL_PACKAGE_PROTOCOL] Require standard pip tooling and requirements.txt for dependencies. | [CHALLENGE_CONSTRAINTS_POLICY] MUST be between 30–60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26"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CRUD operations manager application that takes user commands as input to create, read, update, or delete records, processes these commands using corresponding HTTP methods with enforced timeouts, and outputs the confirmation status of each operation.. Topics involved: 
- Submit standard HTML form-encoded data to a server by passing a dictionary payload to the data parameter within a requests.post() call.
- Transmit complex data structures to REST APIs by utilizing the json parameter in requests.post() to automatically serialize Python dictionaries into JSON payloads.
- Manage server-side resources by executing requests.put() to replace data, requests.patch() for partial updates, and requests.delete() to remove specified endpoints.
- Debug outward-bound HTTP traffic by inspecting the .request.headers and .request.body attributes of a response object to verify exactly what the requests library sent to the server.
- Prevent network hangs by defining maximum connection and read durations using the timeout parameter in requests to ensure scripts fail gracefully during high latency.. Project objective: CRUD Operations Manager (Full GET/POST/PUT/DELETE cycle with timeouts)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#18 | Complete | Python - Requests | 📊 Level: Intermediate
**Project:** Build a CRUD operations manager application that takes user commands as input to create, read, update, or delete records, processes these commands using corresponding HTTP methods with enforced timeouts, and outputs the confirmation status of each operation.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6" s="52">
        <v>0</v>
      </c>
      <c r="T26" s="102" t="str">
        <f t="shared" si="8"/>
        <v>[ROLE] Tech Lead | [TASK] Provide a messy but functional project for refactoring | [PROJECT] Build a CRUD operations manager application that takes user commands as input to create, read, update, or delete records, processes these commands using corresponding HTTP methods with enforced timeouts, and outputs the confirmation status of each operation. | [TOPICS USED] 
- Submit standard HTML form-encoded data to a server by passing a dictionary payload to the data parameter within a requests.post() call.
- Transmit complex data structures to REST APIs by utilizing the json parameter in requests.post() to automatically serialize Python dictionaries into JSON payloads.
- Manage server-side resources by executing requests.put() to replace data, requests.patch() for partial updates, and requests.delete() to remove specified endpoints.
- Debug outward-bound HTTP traffic by inspecting the .request.headers and .request.body attributes of a response object to verify exactly what the requests library sent to the server.
- Prevent network hangs by defining maximum connection and read durations using the timeout parameter in requests to ensure scripts fail gracefully during high latency. | [LEVEL] Intermediate | [PERSONA RULE] Act as a Tech Lead. A junior wrote this working but messy code. Tone: professional but exhausted | [HEADER RULE - STRICT] You MUST start your entire response EXACTLY with this markdown block (do not print anything before it):
### 🚀 Project #18 | Stage 4 | Python - Requests | 📊 Level: Intermediate | 🌐 Coding5s.com
**Project:** CRUD Operations Manager (Full GET/POST/PUT/DELETE cycle with timeouts)
---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2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CRUD operations manager application that takes user commands as input to create, read, update, or delete records, processes these commands using corresponding HTTP methods with enforced timeouts, and outputs the confirmation status of each operation.. Topics involved: 
- Submit standard HTML form-encoded data to a server by passing a dictionary payload to the data parameter within a requests.post() call.
- Transmit complex data structures to REST APIs by utilizing the json parameter in requests.post() to automatically serialize Python dictionaries into JSON payloads.
- Manage server-side resources by executing requests.put() to replace data, requests.patch() for partial updates, and requests.delete() to remove specified endpoints.
- Debug outward-bound HTTP traffic by inspecting the .request.headers and .request.body attributes of a response object to verify exactly what the requests library sent to the server.
- Prevent network hangs by defining maximum connection and read durations using the timeout parameter in requests to ensure scripts fail gracefully during high latency.. Project objective: CRUD Operations Manager (Full GET/POST/PUT/DELETE cycle with timeouts)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#18 | Refactor | Python - Requests | 📊 Level: Intermediate
**Project:** Build a CRUD operations manager application that takes user commands as input to create, read, update, or delete records, processes these commands using corresponding HTTP methods with enforced timeouts, and outputs the confirmation status of each operation.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6" s="52">
        <v>0</v>
      </c>
      <c r="W26" s="87" t="str">
        <f t="shared" si="10"/>
        <v>[ROLE] Tech Product Manager assigning a Python Jira Ticket | [TASK] Provide a guided project implementation with full solution | [PROJECT] Build a CRUD operations manager application that takes user commands as input to create, read, update, or delete records, processes these commands using corresponding HTTP methods with enforced timeouts, and outputs the confirmation status of each operation. | [TOPICS USED] 
- Submit standard HTML form-encoded data to a server by passing a dictionary payload to the data parameter within a requests.post() call.
- Transmit complex data structures to REST APIs by utilizing the json parameter in requests.post() to automatically serialize Python dictionaries into JSON payloads.
- Manage server-side resources by executing requests.put() to replace data, requests.patch() for partial updates, and requests.delete() to remove specified endpoints.
- Debug outward-bound HTTP traffic by inspecting the .request.headers and .request.body attributes of a response object to verify exactly what the requests library sent to the server.
- Prevent network hangs by defining maximum connection and read durations using the timeout parameter in requests to ensure scripts fail gracefully during high latency. | [LEVEL] Intermediate | [PERSONA RULE] Act as a professional Tech Product Manager defining a project ticket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#18 | Stage 5 | Python - Requests | 📊 Level: Intermediate | 🌐 Coding5s.com
**Project:** CRUD Operations Manager (Full GET/POST/PUT/DELETE cycle with timeouts)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2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CRUD operations manager application that takes user commands as input to create, read, update, or delete records, processes these commands using corresponding HTTP methods with enforced timeouts, and outputs the confirmation status of each operation.. Topics integrated: 
- Submit standard HTML form-encoded data to a server by passing a dictionary payload to the data parameter within a requests.post() call.
- Transmit complex data structures to REST APIs by utilizing the json parameter in requests.post() to automatically serialize Python dictionaries into JSON payloads.
- Manage server-side resources by executing requests.put() to replace data, requests.patch() for partial updates, and requests.delete() to remove specified endpoints.
- Debug outward-bound HTTP traffic by inspecting the .request.headers and .request.body attributes of a response object to verify exactly what the requests library sent to the server.
- Prevent network hangs by defining maximum connection and read durations using the timeout parameter in requests to ensure scripts fail gracefully during high latency.. Business Goal: CRUD Operations Manager (Full GET/POST/PUT/DELETE cycle with timeouts)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#18 | Extend | Python - Requests | 📊 Level: Intermediate
**Project:** Build a CRUD operations manager application that takes user commands as input to create, read, update, or delete records, processes these commands using corresponding HTTP methods with enforced timeouts, and outputs the confirmation status of each operation.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6" s="52">
        <v>0</v>
      </c>
      <c r="Z26" s="56" t="str">
        <f t="shared" si="12"/>
        <v>[TASK] Teach through a practical Python - Requests project following the micro-learning methodology, acting as a supportive tutor, creating a project about  Build a CRUD operations manager application that takes user commands as input to create, read, update, or delete records, processes these commands using corresponding HTTP methods with enforced timeouts, and outputs the confirmation status of each operation. | [TOPICS USED] 
- Submit standard HTML form-encoded data to a server by passing a dictionary payload to the data parameter within a requests.post() call.
- Transmit complex data structures to REST APIs by utilizing the json parameter in requests.post() to automatically serialize Python dictionaries into JSON payloads.
- Manage server-side resources by executing requests.put() to replace data, requests.patch() for partial updates, and requests.delete() to remove specified endpoints.
- Debug outward-bound HTTP traffic by inspecting the .request.headers and .request.body attributes of a response object to verify exactly what the requests library sent to the server.
- Prevent network hangs by defining maximum connection and read durations using the timeout parameter in requests to ensure scripts fail gracefully during high latency. | [LEVEL] Intermediate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#18 | Stage 1 | Python - Requests | 📊 Level: Intermediate | 🌐 Coding5s.com
**Project:** CRUD Operations Manager (Full GET/POST/PUT/DELETE cycle with timeouts)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26" s="56" t="str">
        <f t="shared" si="13"/>
        <v>[ROLE] Careless Python Developer | [TASK] Generate debugging project in Python | [PROJECT] Build a CRUD operations manager application that takes user commands as input to create, read, update, or delete records, processes these commands using corresponding HTTP methods with enforced timeouts, and outputs the confirmation status of each operation. | [TOPICS USED] 
- Submit standard HTML form-encoded data to a server by passing a dictionary payload to the data parameter within a requests.post() call.
- Transmit complex data structures to REST APIs by utilizing the json parameter in requests.post() to automatically serialize Python dictionaries into JSON payloads.
- Manage server-side resources by executing requests.put() to replace data, requests.patch() for partial updates, and requests.delete() to remove specified endpoints.
- Debug outward-bound HTTP traffic by inspecting the .request.headers and .request.body attributes of a response object to verify exactly what the requests library sent to the server.
- Prevent network hangs by defining maximum connection and read durations using the timeout parameter in requests to ensure scripts fail gracefully during high latency. | [LEVEL] Intermediate | [OUTPUT] Only header, dataset summary or statement (if any), email intro, objective, expected output, broken code, and footer | [HEADER RULE - STRICT] You MUST start your entire response EXACTLY with this markdown block (do not print anything before it):
### 🚀 Project #18 | Stage 2 | Python - Requests | 📊 Level: Intermediate | 🌐 Coding5s.com
Project: CRUD Operations Manager (Full GET/POST/PUT/DELETE cycle with timeouts)
---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Malay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26" s="56" t="str">
        <f t="shared" si="14"/>
        <v>[ROLE] Tech Lead | [TASK] Assign incomplete project script | [PROJECT] Build a CRUD operations manager application that takes user commands as input to create, read, update, or delete records, processes these commands using corresponding HTTP methods with enforced timeouts, and outputs the confirmation status of each operation. | [TOPICS USED] 
- Submit standard HTML form-encoded data to a server by passing a dictionary payload to the data parameter within a requests.post() call.
- Transmit complex data structures to REST APIs by utilizing the json parameter in requests.post() to automatically serialize Python dictionaries into JSON payloads.
- Manage server-side resources by executing requests.put() to replace data, requests.patch() for partial updates, and requests.delete() to remove specified endpoints.
- Debug outward-bound HTTP traffic by inspecting the .request.headers and .request.body attributes of a response object to verify exactly what the requests library sent to the server.
- Prevent network hangs by defining maximum connection and read durations using the timeout parameter in requests to ensure scripts fail gracefully during high latency. | [LEVEL] Intermediate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#18 | Stage 3 | Python - Requests | 📊 Level: Intermediate | 🌐 Coding5s.com
**Project:** CRUD Operations Manager (Full GET/POST/PUT/DELETE cycle with timeouts)
---
 | [EXTERNAL_PACKAGE_PROTOCOL] Require standard pip tooling and requirements.txt for dependencies. | [CHALLENGE_CONSTRAINTS_POLICY] MUST be between 30–60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26" s="56" t="str">
        <f t="shared" si="15"/>
        <v>[ROLE] Tech Lead | [TASK] Provide a messy but functional project for refactoring | [PROJECT] Build a CRUD operations manager application that takes user commands as input to create, read, update, or delete records, processes these commands using corresponding HTTP methods with enforced timeouts, and outputs the confirmation status of each operation. | [TOPICS USED] 
- Submit standard HTML form-encoded data to a server by passing a dictionary payload to the data parameter within a requests.post() call.
- Transmit complex data structures to REST APIs by utilizing the json parameter in requests.post() to automatically serialize Python dictionaries into JSON payloads.
- Manage server-side resources by executing requests.put() to replace data, requests.patch() for partial updates, and requests.delete() to remove specified endpoints.
- Debug outward-bound HTTP traffic by inspecting the .request.headers and .request.body attributes of a response object to verify exactly what the requests library sent to the server.
- Prevent network hangs by defining maximum connection and read durations using the timeout parameter in requests to ensure scripts fail gracefully during high latency. | [LEVEL] Intermediate | [PERSONA RULE] Act as a Tech Lead. A junior wrote this working but messy code. Tone: professional but exhausted | [HEADER RULE - STRICT] You MUST start your entire response EXACTLY with this markdown block (do not print anything before it):
### 🚀 Project #18 | Stage 4 | Python - Requests | 📊 Level: Intermediate | 🌐 Coding5s.com
**Project:** CRUD Operations Manager (Full GET/POST/PUT/DELETE cycle with timeouts)
---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26" s="56" t="str">
        <f t="shared" si="16"/>
        <v>[ROLE] Tech Product Manager assigning a Python Jira Ticket | [TASK] Provide a guided project implementation with full solution | [PROJECT] Build a CRUD operations manager application that takes user commands as input to create, read, update, or delete records, processes these commands using corresponding HTTP methods with enforced timeouts, and outputs the confirmation status of each operation. | [TOPICS USED] 
- Submit standard HTML form-encoded data to a server by passing a dictionary payload to the data parameter within a requests.post() call.
- Transmit complex data structures to REST APIs by utilizing the json parameter in requests.post() to automatically serialize Python dictionaries into JSON payloads.
- Manage server-side resources by executing requests.put() to replace data, requests.patch() for partial updates, and requests.delete() to remove specified endpoints.
- Debug outward-bound HTTP traffic by inspecting the .request.headers and .request.body attributes of a response object to verify exactly what the requests library sent to the server.
- Prevent network hangs by defining maximum connection and read durations using the timeout parameter in requests to ensure scripts fail gracefully during high latency. | [LEVEL] Intermediate | [PERSONA RULE] Act as a professional Tech Product Manager defining a project ticket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#18 | Stage 5 | Python - Requests | 📊 Level: Intermediate | 🌐 Coding5s.com
**Project:** CRUD Operations Manager (Full GET/POST/PUT/DELETE cycle with timeouts)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26" s="40" t="s">
        <v>138</v>
      </c>
      <c r="AF26" s="40" t="s">
        <v>139</v>
      </c>
      <c r="AG26" s="40" t="s">
        <v>140</v>
      </c>
      <c r="AH26" s="56" t="str">
        <f t="shared" si="0"/>
        <v/>
      </c>
      <c r="AI26" s="54"/>
      <c r="AJ26" s="54"/>
      <c r="AK26" s="54">
        <v>18</v>
      </c>
      <c r="AL26" s="54" t="s">
        <v>141</v>
      </c>
      <c r="AM26" s="54" t="s">
        <v>142</v>
      </c>
    </row>
    <row r="27" spans="1:39">
      <c r="A27" s="45" t="str" cm="1">
        <f t="array" ref="A27">IF(H27="PROJECT", CHAR(10) &amp; "- " &amp; _xlfn.TEXTJOIN(CHAR(10) &amp; "- ", TRUE, _xlfn._xlws.FILTER($I$9:$I$1000, ($B$9:$B$1000=B27) * ($H$9:$H$1000="Topic"))), "")</f>
        <v/>
      </c>
      <c r="B27" s="45">
        <f t="shared" si="1"/>
        <v>4</v>
      </c>
      <c r="C27" s="95">
        <v>12</v>
      </c>
      <c r="D27" s="46">
        <v>4</v>
      </c>
      <c r="E27" s="58" t="s">
        <v>46</v>
      </c>
      <c r="F27" s="48">
        <v>19</v>
      </c>
      <c r="G27" s="49" t="s">
        <v>158</v>
      </c>
      <c r="H27" s="49" t="s">
        <v>48</v>
      </c>
      <c r="I27" s="50" t="s">
        <v>821</v>
      </c>
      <c r="J27" s="51" t="s">
        <v>822</v>
      </c>
      <c r="K27" s="129" t="str">
        <f t="shared" si="2"/>
        <v xml:space="preserve">[ROLE] Friendly tutor specializing in Python | [TOPIC] Control URL redirection behavior by toggling the allow_redirects parameter and trace the routing path by iterating through the response.history list in the requests library. | [LEVEL] Intermediate | [COUNT] 4 examples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#19 | Stage 1 📖 Practice | Python - Requests | 📊 Level: Intermediate | 🌐 Coding5s.com
**Concept:** Managing HTTP Redirects (allow_redirects, response.history)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7" s="103" t="str">
        <f t="shared" si="3"/>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Control URL redirection behavior by toggling the allow_redirects parameter and trace the routing path by iterating through the response.history list in the requests library.. Topic details: Managing HTTP Redirects (allow_redirects, response.history)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#19 | Practice | Python - Requests | 📊 Level: Intermediate
**Topic:** Control URL redirection behavior by toggling the allow_redirects parameter and trace the routing path by iterating through the response.history list in the requests library.
---
 | [FOOTER RULE - STRICT] End your response with: '--- ⚡ *Coding5s Mentor System — Eliminating Epistemic Debt*' | </v>
      </c>
      <c r="M27" s="53">
        <v>0</v>
      </c>
      <c r="N27" s="102" t="str">
        <f t="shared" si="4"/>
        <v>[ROLE] Careless Python Developer | [TASK] Generate debugging challenges in Python | | [TOPIC] Control URL redirection behavior by toggling the allow_redirects parameter and trace the routing path by iterating through the response.history list in the requests library. | | [LEVEL] Intermediate | | [COUNT] 4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#19 | Stage 2 🐛 Debug | Python - Requests | 📊 Level: Intermediate | 🌐 Coding5s.com
Concept: Managing HTTP Redirects (allow_redirects, response.history)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7"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Control URL redirection behavior by toggling the allow_redirects parameter and trace the routing path by iterating through the response.history list in the requests library.. Topic details: Managing HTTP Redirects (allow_redirects, response.history)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#19 | Debug | Python - Requests | 📊 Level: Intermediate
**Topic:** Control URL redirection behavior by toggling the allow_redirects parameter and trace the routing path by iterating through the response.history list in the requests library.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7" s="53">
        <v>0</v>
      </c>
      <c r="Q27" s="102" t="str">
        <f t="shared" si="6"/>
        <v>[ROLE] Tech Lead | [TASK] Assign incomplete Python script challenges | [TOPIC] Control URL redirection behavior by toggling the allow_redirects parameter and trace the routing path by iterating through the response.history list in the requests library. | [LEVEL] Intermediate | [COUNT] 4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#19 | Stage 3 🧩 Complete | Python - Requests | 📊 Level: Intermediate | 🌐 Coding5s.com
**Concept:** Managing HTTP Redirects (allow_redirects, response.history)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Control URL redirection behavior by toggling the allow_redirects parameter and trace the routing path by iterating through the response.history list in the requests library..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7"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Control URL redirection behavior by toggling the allow_redirects parameter and trace the routing path by iterating through the response.history list in the requests library.. Topic details: Managing HTTP Redirects (allow_redirects, response.history)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#19 | Complete | Python - Requests | 📊 Level: Intermediate
**Topic:** Control URL redirection behavior by toggling the allow_redirects parameter and trace the routing path by iterating through the response.history list in the requests library.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7" s="53">
        <v>0</v>
      </c>
      <c r="T27" s="102" t="str">
        <f t="shared" si="8"/>
        <v>[ROLE] Tech Lead | [TASK] Provide intentionally messy but functional code for learning debugging and improvement | [TOPIC] Control URL redirection behavior by toggling the allow_redirects parameter and trace the routing path by iterating through the response.history list in the requests library. | [LEVEL] Intermediate | [COUNT] 4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#19 | Stage 4 🧹 Refactor | Python - Requests | 📊 Level: Intermediate | 🌐 Coding5s.com
**Concept:** Managing HTTP Redirects (allow_redirects, response.history)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Control URL redirection behavior by toggling the allow_redirects parameter and trace the routing path by iterating through the response.history list in the requests library.. Topic details: Managing HTTP Redirects (allow_redirects, response.history)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#19 | Refactor | Python - Requests | 📊 Level: Intermediate
**Topic:** Control URL redirection behavior by toggling the allow_redirects parameter and trace the routing path by iterating through the response.history list in the requests library.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7" s="53">
        <v>0</v>
      </c>
      <c r="W27" s="87" t="str">
        <f t="shared" si="10"/>
        <v>[ROLE] Tech Product Manager assigning a Python Jira Ticket | [TASK] Provide a guided implementation exercise with full solution for learning purposes | [TOPIC] Control URL redirection behavior by toggling the allow_redirects parameter and trace the routing path by iterating through the response.history list in the requests library. | [LEVEL] Intermediate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#19 | Stage 5 | Python - Requests | 📊 Level: Intermediate | 🌐 Coding5s.com
**Concept:** Managing HTTP Redirects (allow_redirects, response.history)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Control URL redirection behavior by toggling the allow_redirects parameter and trace the routing path by iterating through the response.history list in the requests library.. Goal: Managing HTTP Redirects (allow_redirects, response.history)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#19 | Extend | Python - Requests | 📊 Level: Intermediate
**Topic:** Control URL redirection behavior by toggling the allow_redirects parameter and trace the routing path by iterating through the response.history list in the requests library.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7" s="53">
        <v>0</v>
      </c>
      <c r="Z27" s="56" t="str">
        <f t="shared" si="12"/>
        <v/>
      </c>
      <c r="AA27" s="56" t="str">
        <f t="shared" si="13"/>
        <v/>
      </c>
      <c r="AB27" s="56" t="str">
        <f t="shared" si="14"/>
        <v/>
      </c>
      <c r="AC27" s="56" t="str">
        <f t="shared" si="15"/>
        <v/>
      </c>
      <c r="AD27" s="56" t="str">
        <f t="shared" si="16"/>
        <v/>
      </c>
      <c r="AE27" s="40" t="s">
        <v>143</v>
      </c>
      <c r="AF27" s="40" t="s">
        <v>144</v>
      </c>
      <c r="AG27" s="40" t="s">
        <v>145</v>
      </c>
      <c r="AH27" s="56" t="str">
        <f t="shared" si="0"/>
        <v/>
      </c>
      <c r="AI27" s="54"/>
      <c r="AJ27" s="54"/>
      <c r="AK27" s="54">
        <v>19</v>
      </c>
      <c r="AL27" s="54" t="s">
        <v>103</v>
      </c>
      <c r="AM27" s="54" t="s">
        <v>104</v>
      </c>
    </row>
    <row r="28" spans="1:39">
      <c r="A28" s="45" t="str" cm="1">
        <f t="array" ref="A28">IF(H28="PROJECT", CHAR(10) &amp; "- " &amp; _xlfn.TEXTJOIN(CHAR(10) &amp; "- ", TRUE, _xlfn._xlws.FILTER($I$9:$I$1000, ($B$9:$B$1000=B28) * ($H$9:$H$1000="Topic"))), "")</f>
        <v/>
      </c>
      <c r="B28" s="45">
        <f t="shared" si="1"/>
        <v>4</v>
      </c>
      <c r="C28" s="95">
        <v>8</v>
      </c>
      <c r="D28" s="57">
        <v>5</v>
      </c>
      <c r="E28" s="58" t="s">
        <v>723</v>
      </c>
      <c r="F28" s="59">
        <v>20</v>
      </c>
      <c r="G28" s="60" t="s">
        <v>158</v>
      </c>
      <c r="H28" s="60" t="s">
        <v>48</v>
      </c>
      <c r="I28" s="61" t="s">
        <v>823</v>
      </c>
      <c r="J28" s="62" t="s">
        <v>824</v>
      </c>
      <c r="K28" s="129" t="str">
        <f t="shared" si="2"/>
        <v xml:space="preserve">[ROLE] Friendly tutor specializing in Python | [TOPIC] Optimize memory usage when downloading large binary files by setting stream=True and iterating over the response using .iter_content() to write data in discrete chunk sizes. | [LEVEL] Intermediate | [COUNT] 5 examples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#20 | Stage 1 📖 Practice | Python - Requests | 📊 Level: Intermediate | 🌐 Coding5s.com
**Concept:** Downloading Large/Binary Files in Chunks (iter_content)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8" s="103" t="str">
        <f t="shared" si="3"/>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Optimize memory usage when downloading large binary files by setting stream=True and iterating over the response using .iter_content() to write data in discrete chunk sizes.. Topic details: Downloading Large/Binary Files in Chunks (iter_content)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#20 | Practice | Python - Requests | 📊 Level: Intermediate
**Topic:** Optimize memory usage when downloading large binary files by setting stream=True and iterating over the response using .iter_content() to write data in discrete chunk sizes.
---
 | [FOOTER RULE - STRICT] End your response with: '--- ⚡ *Coding5s Mentor System — Eliminating Epistemic Debt*' | </v>
      </c>
      <c r="M28" s="52">
        <v>0</v>
      </c>
      <c r="N28" s="102" t="str">
        <f t="shared" si="4"/>
        <v>[ROLE] Careless Python Developer | [TASK] Generate debugging challenges in Python | | [TOPIC] Optimize memory usage when downloading large binary files by setting stream=True and iterating over the response using .iter_content() to write data in discrete chunk sizes. | | [LEVEL] Intermediate |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#20 | Stage 2 🐛 Debug | Python - Requests | 📊 Level: Intermediate | 🌐 Coding5s.com
Concept: Downloading Large/Binary Files in Chunks (iter_content)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8"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Optimize memory usage when downloading large binary files by setting stream=True and iterating over the response using .iter_content() to write data in discrete chunk sizes.. Topic details: Downloading Large/Binary Files in Chunks (iter_content)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#20 | Debug | Python - Requests | 📊 Level: Intermediate
**Topic:** Optimize memory usage when downloading large binary files by setting stream=True and iterating over the response using .iter_content() to write data in discrete chunk sizes.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8" s="52">
        <v>0</v>
      </c>
      <c r="Q28" s="102" t="str">
        <f t="shared" si="6"/>
        <v>[ROLE] Tech Lead | [TASK] Assign incomplete Python script challenges | [TOPIC] Optimize memory usage when downloading large binary files by setting stream=True and iterating over the response using .iter_content() to write data in discrete chunk sizes. | [LEVEL] Intermediate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#20 | Stage 3 🧩 Complete | Python - Requests | 📊 Level: Intermediate | 🌐 Coding5s.com
**Concept:** Downloading Large/Binary Files in Chunks (iter_content)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Optimize memory usage when downloading large binary files by setting stream=True and iterating over the response using .iter_content() to write data in discrete chunk sizes..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8"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Optimize memory usage when downloading large binary files by setting stream=True and iterating over the response using .iter_content() to write data in discrete chunk sizes.. Topic details: Downloading Large/Binary Files in Chunks (iter_content)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#20 | Complete | Python - Requests | 📊 Level: Intermediate
**Topic:** Optimize memory usage when downloading large binary files by setting stream=True and iterating over the response using .iter_content() to write data in discrete chunk sizes.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8" s="52">
        <v>0</v>
      </c>
      <c r="T28" s="102" t="str">
        <f t="shared" si="8"/>
        <v>[ROLE] Tech Lead | [TASK] Provide intentionally messy but functional code for learning debugging and improvement | [TOPIC] Optimize memory usage when downloading large binary files by setting stream=True and iterating over the response using .iter_content() to write data in discrete chunk sizes. | [LEVEL] Intermediate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#20 | Stage 4 🧹 Refactor | Python - Requests | 📊 Level: Intermediate | 🌐 Coding5s.com
**Concept:** Downloading Large/Binary Files in Chunks (iter_content)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Optimize memory usage when downloading large binary files by setting stream=True and iterating over the response using .iter_content() to write data in discrete chunk sizes.. Topic details: Downloading Large/Binary Files in Chunks (iter_content)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#20 | Refactor | Python - Requests | 📊 Level: Intermediate
**Topic:** Optimize memory usage when downloading large binary files by setting stream=True and iterating over the response using .iter_content() to write data in discrete chunk sizes.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8" s="52">
        <v>0</v>
      </c>
      <c r="W28" s="87" t="str">
        <f t="shared" si="10"/>
        <v>[ROLE] Tech Product Manager assigning a Python Jira Ticket | [TASK] Provide a guided implementation exercise with full solution for learning purposes | [TOPIC] Optimize memory usage when downloading large binary files by setting stream=True and iterating over the response using .iter_content() to write data in discrete chunk sizes. | [LEVEL] Intermediate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#20 | Stage 5 | Python - Requests | 📊 Level: Intermediate | 🌐 Coding5s.com
**Concept:** Downloading Large/Binary Files in Chunks (iter_content)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Optimize memory usage when downloading large binary files by setting stream=True and iterating over the response using .iter_content() to write data in discrete chunk sizes.. Goal: Downloading Large/Binary Files in Chunks (iter_content)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#20 | Extend | Python - Requests | 📊 Level: Intermediate
**Topic:** Optimize memory usage when downloading large binary files by setting stream=True and iterating over the response using .iter_content() to write data in discrete chunk sizes.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8" s="52">
        <v>0</v>
      </c>
      <c r="Z28" s="56" t="str">
        <f t="shared" si="12"/>
        <v/>
      </c>
      <c r="AA28" s="56" t="str">
        <f t="shared" si="13"/>
        <v/>
      </c>
      <c r="AB28" s="56" t="str">
        <f t="shared" si="14"/>
        <v/>
      </c>
      <c r="AC28" s="56" t="str">
        <f t="shared" si="15"/>
        <v/>
      </c>
      <c r="AD28" s="56" t="str">
        <f t="shared" si="16"/>
        <v/>
      </c>
      <c r="AE28" s="40" t="s">
        <v>146</v>
      </c>
      <c r="AF28" s="40" t="s">
        <v>147</v>
      </c>
      <c r="AG28" s="40" t="s">
        <v>148</v>
      </c>
      <c r="AH28" s="56" t="str">
        <f t="shared" si="0"/>
        <v/>
      </c>
      <c r="AI28" s="54"/>
      <c r="AJ28" s="54"/>
      <c r="AK28" s="54">
        <v>20</v>
      </c>
      <c r="AL28" s="54" t="s">
        <v>108</v>
      </c>
      <c r="AM28" s="54" t="s">
        <v>109</v>
      </c>
    </row>
    <row r="29" spans="1:39">
      <c r="A29" s="45" t="str" cm="1">
        <f t="array" ref="A29">IF(H29="PROJECT", CHAR(10) &amp; "- " &amp; _xlfn.TEXTJOIN(CHAR(10) &amp; "- ", TRUE, _xlfn._xlws.FILTER($I$9:$I$1000, ($B$9:$B$1000=B29) * ($H$9:$H$1000="Topic"))), "")</f>
        <v/>
      </c>
      <c r="B29" s="45">
        <f t="shared" si="1"/>
        <v>4</v>
      </c>
      <c r="C29" s="95">
        <v>8</v>
      </c>
      <c r="D29" s="46">
        <v>5</v>
      </c>
      <c r="E29" s="58" t="s">
        <v>723</v>
      </c>
      <c r="F29" s="48">
        <v>21</v>
      </c>
      <c r="G29" s="49" t="s">
        <v>158</v>
      </c>
      <c r="H29" s="49" t="s">
        <v>48</v>
      </c>
      <c r="I29" s="50" t="s">
        <v>825</v>
      </c>
      <c r="J29" s="51" t="s">
        <v>826</v>
      </c>
      <c r="K29" s="129" t="str">
        <f t="shared" si="2"/>
        <v xml:space="preserve">[ROLE] Friendly tutor specializing in Python | [TOPIC] Execute multipart file uploads by passing a dictionary mapping filenames to opened file objects via the files parameter in a requests.post() request. | [LEVEL] Intermediate | [COUNT] 5 examples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#21 | Stage 1 📖 Practice | Python - Requests | 📊 Level: Intermediate | 🌐 Coding5s.com
**Concept:** Uploading Single Files (files parameter with open())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9" s="103" t="str">
        <f t="shared" si="3"/>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multipart file uploads by passing a dictionary mapping filenames to opened file objects via the files parameter in a requests.post() request.. Topic details: Uploading Single Files (files parameter with open())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#21 | Practice | Python - Requests | 📊 Level: Intermediate
**Topic:** Execute multipart file uploads by passing a dictionary mapping filenames to opened file objects via the files parameter in a requests.post() request.
---
 | [FOOTER RULE - STRICT] End your response with: '--- ⚡ *Coding5s Mentor System — Eliminating Epistemic Debt*' | </v>
      </c>
      <c r="M29" s="53">
        <v>0</v>
      </c>
      <c r="N29" s="102" t="str">
        <f t="shared" si="4"/>
        <v>[ROLE] Careless Python Developer | [TASK] Generate debugging challenges in Python | | [TOPIC] Execute multipart file uploads by passing a dictionary mapping filenames to opened file objects via the files parameter in a requests.post() request. | | [LEVEL] Intermediate |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#21 | Stage 2 🐛 Debug | Python - Requests | 📊 Level: Intermediate | 🌐 Coding5s.com
Concept: Uploading Single Files (files parameter with open())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9"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multipart file uploads by passing a dictionary mapping filenames to opened file objects via the files parameter in a requests.post() request.. Topic details: Uploading Single Files (files parameter with open())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#21 | Debug | Python - Requests | 📊 Level: Intermediate
**Topic:** Execute multipart file uploads by passing a dictionary mapping filenames to opened file objects via the files parameter in a requests.post() request.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9" s="53">
        <v>0</v>
      </c>
      <c r="Q29" s="102" t="str">
        <f t="shared" si="6"/>
        <v>[ROLE] Tech Lead | [TASK] Assign incomplete Python script challenges | [TOPIC] Execute multipart file uploads by passing a dictionary mapping filenames to opened file objects via the files parameter in a requests.post() request. | [LEVEL] Intermediate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#21 | Stage 3 🧩 Complete | Python - Requests | 📊 Level: Intermediate | 🌐 Coding5s.com
**Concept:** Uploading Single Files (files parameter with open())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multipart file uploads by passing a dictionary mapping filenames to opened file objects via the files parameter in a requests.post() request..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9"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multipart file uploads by passing a dictionary mapping filenames to opened file objects via the files parameter in a requests.post() request.. Topic details: Uploading Single Files (files parameter with open())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#21 | Complete | Python - Requests | 📊 Level: Intermediate
**Topic:** Execute multipart file uploads by passing a dictionary mapping filenames to opened file objects via the files parameter in a requests.post() request.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9" s="53">
        <v>0</v>
      </c>
      <c r="T29" s="102" t="str">
        <f t="shared" si="8"/>
        <v>[ROLE] Tech Lead | [TASK] Provide intentionally messy but functional code for learning debugging and improvement | [TOPIC] Execute multipart file uploads by passing a dictionary mapping filenames to opened file objects via the files parameter in a requests.post() request. | [LEVEL] Intermediate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#21 | Stage 4 🧹 Refactor | Python - Requests | 📊 Level: Intermediate | 🌐 Coding5s.com
**Concept:** Uploading Single Files (files parameter with open())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Execute multipart file uploads by passing a dictionary mapping filenames to opened file objects via the files parameter in a requests.post() request.. Topic details: Uploading Single Files (files parameter with open())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#21 | Refactor | Python - Requests | 📊 Level: Intermediate
**Topic:** Execute multipart file uploads by passing a dictionary mapping filenames to opened file objects via the files parameter in a requests.post() request.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9" s="53">
        <v>0</v>
      </c>
      <c r="W29" s="87" t="str">
        <f t="shared" si="10"/>
        <v>[ROLE] Tech Product Manager assigning a Python Jira Ticket | [TASK] Provide a guided implementation exercise with full solution for learning purposes | [TOPIC] Execute multipart file uploads by passing a dictionary mapping filenames to opened file objects via the files parameter in a requests.post() request. | [LEVEL] Intermediate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#21 | Stage 5 | Python - Requests | 📊 Level: Intermediate | 🌐 Coding5s.com
**Concept:** Uploading Single Files (files parameter with open())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multipart file uploads by passing a dictionary mapping filenames to opened file objects via the files parameter in a requests.post() request.. Goal: Uploading Single Files (files parameter with open())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#21 | Extend | Python - Requests | 📊 Level: Intermediate
**Topic:** Execute multipart file uploads by passing a dictionary mapping filenames to opened file objects via the files parameter in a requests.post() request.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9" s="53">
        <v>0</v>
      </c>
      <c r="Z29" s="56" t="str">
        <f t="shared" si="12"/>
        <v/>
      </c>
      <c r="AA29" s="56" t="str">
        <f t="shared" si="13"/>
        <v/>
      </c>
      <c r="AB29" s="56" t="str">
        <f t="shared" si="14"/>
        <v/>
      </c>
      <c r="AC29" s="56" t="str">
        <f t="shared" si="15"/>
        <v/>
      </c>
      <c r="AD29" s="56" t="str">
        <f t="shared" si="16"/>
        <v/>
      </c>
      <c r="AE29" s="40" t="s">
        <v>149</v>
      </c>
      <c r="AF29" s="40" t="s">
        <v>150</v>
      </c>
      <c r="AG29" s="40" t="s">
        <v>151</v>
      </c>
      <c r="AH29" s="56" t="str">
        <f t="shared" si="0"/>
        <v/>
      </c>
      <c r="AI29" s="54"/>
      <c r="AJ29" s="54"/>
      <c r="AK29" s="54">
        <v>21</v>
      </c>
      <c r="AL29" s="54" t="s">
        <v>113</v>
      </c>
      <c r="AM29" s="54" t="s">
        <v>114</v>
      </c>
    </row>
    <row r="30" spans="1:39">
      <c r="A30" s="45" t="str" cm="1">
        <f t="array" ref="A30">IF(H30="PROJECT", CHAR(10) &amp; "- " &amp; _xlfn.TEXTJOIN(CHAR(10) &amp; "- ", TRUE, _xlfn._xlws.FILTER($I$9:$I$1000, ($B$9:$B$1000=B30) * ($H$9:$H$1000="Topic"))), "")</f>
        <v/>
      </c>
      <c r="B30" s="45">
        <f t="shared" si="1"/>
        <v>4</v>
      </c>
      <c r="C30" s="95">
        <v>10</v>
      </c>
      <c r="D30" s="57">
        <v>5</v>
      </c>
      <c r="E30" s="58" t="s">
        <v>723</v>
      </c>
      <c r="F30" s="59">
        <v>22</v>
      </c>
      <c r="G30" s="60" t="s">
        <v>158</v>
      </c>
      <c r="H30" s="60" t="s">
        <v>48</v>
      </c>
      <c r="I30" s="61" t="s">
        <v>827</v>
      </c>
      <c r="J30" s="62" t="s">
        <v>828</v>
      </c>
      <c r="K30" s="129" t="str">
        <f t="shared" si="2"/>
        <v xml:space="preserve">[ROLE] Friendly tutor specializing in Python | [TOPIC] Construct complex multipart/form-data requests by simultaneously supplying multiple file objects to the files parameter alongside string key-value pairs in the data parameter. | [LEVEL] Intermediate | [COUNT] 5 examples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10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#22 | Stage 1 📖 Practice | Python - Requests | 📊 Level: Intermediate | 🌐 Coding5s.com
**Concept:** Uploading Multiple Files and Form Data Simultaneously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0" s="103" t="str">
        <f t="shared" si="3"/>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complex multipart/form-data requests by simultaneously supplying multiple file objects to the files parameter alongside string key-value pairs in the data parameter.. Topic details: Uploading Multiple Files and Form Data Simultaneously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#22 | Practice | Python - Requests | 📊 Level: Intermediate
**Topic:** Construct complex multipart/form-data requests by simultaneously supplying multiple file objects to the files parameter alongside string key-value pairs in the data parameter.
---
 | [FOOTER RULE - STRICT] End your response with: '--- ⚡ *Coding5s Mentor System — Eliminating Epistemic Debt*' | </v>
      </c>
      <c r="M30" s="52">
        <v>0</v>
      </c>
      <c r="N30" s="102" t="str">
        <f t="shared" si="4"/>
        <v>[ROLE] Careless Python Developer | [TASK] Generate debugging challenges in Python | | [TOPIC] Construct complex multipart/form-data requests by simultaneously supplying multiple file objects to the files parameter alongside string key-value pairs in the data parameter. | | [LEVEL] Intermediate |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#22 | Stage 2 🐛 Debug | Python - Requests | 📊 Level: Intermediate | 🌐 Coding5s.com
Concept: Uploading Multiple Files and Form Data Simultaneously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0"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complex multipart/form-data requests by simultaneously supplying multiple file objects to the files parameter alongside string key-value pairs in the data parameter.. Topic details: Uploading Multiple Files and Form Data Simultaneously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#22 | Debug | Python - Requests | 📊 Level: Intermediate
**Topic:** Construct complex multipart/form-data requests by simultaneously supplying multiple file objects to the files parameter alongside string key-value pairs in the data parameter.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0" s="52">
        <v>0</v>
      </c>
      <c r="Q30" s="102" t="str">
        <f t="shared" si="6"/>
        <v>[ROLE] Tech Lead | [TASK] Assign incomplete Python script challenges | [TOPIC] Construct complex multipart/form-data requests by simultaneously supplying multiple file objects to the files parameter alongside string key-value pairs in the data parameter. | [LEVEL] Intermediate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#22 | Stage 3 🧩 Complete | Python - Requests | 📊 Level: Intermediate | 🌐 Coding5s.com
**Concept:** Uploading Multiple Files and Form Data Simultaneously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complex multipart/form-data requests by simultaneously supplying multiple file objects to the files parameter alongside string key-value pairs in the data parameter..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0"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complex multipart/form-data requests by simultaneously supplying multiple file objects to the files parameter alongside string key-value pairs in the data parameter.. Topic details: Uploading Multiple Files and Form Data Simultaneously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#22 | Complete | Python - Requests | 📊 Level: Intermediate
**Topic:** Construct complex multipart/form-data requests by simultaneously supplying multiple file objects to the files parameter alongside string key-value pairs in the data parameter.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0" s="52">
        <v>0</v>
      </c>
      <c r="T30" s="102" t="str">
        <f t="shared" si="8"/>
        <v>[ROLE] Tech Lead | [TASK] Provide intentionally messy but functional code for learning debugging and improvement | [TOPIC] Construct complex multipart/form-data requests by simultaneously supplying multiple file objects to the files parameter alongside string key-value pairs in the data parameter. | [LEVEL] Intermediate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#22 | Stage 4 🧹 Refactor | Python - Requests | 📊 Level: Intermediate | 🌐 Coding5s.com
**Concept:** Uploading Multiple Files and Form Data Simultaneously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Construct complex multipart/form-data requests by simultaneously supplying multiple file objects to the files parameter alongside string key-value pairs in the data parameter.. Topic details: Uploading Multiple Files and Form Data Simultaneously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#22 | Refactor | Python - Requests | 📊 Level: Intermediate
**Topic:** Construct complex multipart/form-data requests by simultaneously supplying multiple file objects to the files parameter alongside string key-value pairs in the data parameter.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0" s="52">
        <v>0</v>
      </c>
      <c r="W30" s="87" t="str">
        <f t="shared" si="10"/>
        <v>[ROLE] Tech Product Manager assigning a Python Jira Ticket | [TASK] Provide a guided implementation exercise with full solution for learning purposes | [TOPIC] Construct complex multipart/form-data requests by simultaneously supplying multiple file objects to the files parameter alongside string key-value pairs in the data parameter. | [LEVEL] Intermediate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#22 | Stage 5 | Python - Requests | 📊 Level: Intermediate | 🌐 Coding5s.com
**Concept:** Uploading Multiple Files and Form Data Simultaneously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complex multipart/form-data requests by simultaneously supplying multiple file objects to the files parameter alongside string key-value pairs in the data parameter.. Goal: Uploading Multiple Files and Form Data Simultaneously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#22 | Extend | Python - Requests | 📊 Level: Intermediate
**Topic:** Construct complex multipart/form-data requests by simultaneously supplying multiple file objects to the files parameter alongside string key-value pairs in the data parameter.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0" s="52">
        <v>0</v>
      </c>
      <c r="Z30" s="56" t="str">
        <f t="shared" si="12"/>
        <v/>
      </c>
      <c r="AA30" s="56" t="str">
        <f t="shared" si="13"/>
        <v/>
      </c>
      <c r="AB30" s="56" t="str">
        <f t="shared" si="14"/>
        <v/>
      </c>
      <c r="AC30" s="56" t="str">
        <f t="shared" si="15"/>
        <v/>
      </c>
      <c r="AD30" s="56" t="str">
        <f t="shared" si="16"/>
        <v/>
      </c>
      <c r="AE30" s="40" t="s">
        <v>152</v>
      </c>
      <c r="AF30" s="40" t="s">
        <v>153</v>
      </c>
      <c r="AG30" s="40" t="s">
        <v>154</v>
      </c>
      <c r="AH30" s="56" t="str">
        <f t="shared" si="0"/>
        <v/>
      </c>
      <c r="AI30" s="54"/>
      <c r="AJ30" s="54"/>
      <c r="AK30" s="54">
        <v>22</v>
      </c>
      <c r="AL30" s="54" t="s">
        <v>118</v>
      </c>
      <c r="AM30" s="54" t="s">
        <v>119</v>
      </c>
    </row>
    <row r="31" spans="1:39">
      <c r="A31" s="45" t="str" cm="1">
        <f t="array" ref="A31">IF(H31="PROJECT", CHAR(10) &amp; "- " &amp; _xlfn.TEXTJOIN(CHAR(10) &amp; "- ", TRUE, _xlfn._xlws.FILTER($I$9:$I$1000, ($B$9:$B$1000=B31) * ($H$9:$H$1000="Topic"))), "")</f>
        <v/>
      </c>
      <c r="B31" s="45">
        <f t="shared" si="1"/>
        <v>4</v>
      </c>
      <c r="C31" s="95">
        <v>8</v>
      </c>
      <c r="D31" s="46">
        <v>3</v>
      </c>
      <c r="E31" s="58" t="s">
        <v>46</v>
      </c>
      <c r="F31" s="48">
        <v>23</v>
      </c>
      <c r="G31" s="49" t="s">
        <v>158</v>
      </c>
      <c r="H31" s="49" t="s">
        <v>48</v>
      </c>
      <c r="I31" s="50" t="s">
        <v>829</v>
      </c>
      <c r="J31" s="51" t="s">
        <v>830</v>
      </c>
      <c r="K31" s="129" t="str">
        <f t="shared" si="2"/>
        <v xml:space="preserve">[ROLE] Friendly tutor specializing in Python | [TOPIC] Control SSL certificate validation during HTTPS requests by setting the verify parameter to a custom Certificate Authority bundle path or disabling it entirely for local testing environments. | [LEVEL] Intermediate | [COUNT] 3 examples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#23 | Stage 1 📖 Practice | Python - Requests | 📊 Level: Intermediate | 🌐 Coding5s.com
**Concept:** Managing SSL Certificate Verification (verify parameter)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1" s="103" t="str">
        <f t="shared" si="3"/>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Control SSL certificate validation during HTTPS requests by setting the verify parameter to a custom Certificate Authority bundle path or disabling it entirely for local testing environments.. Topic details: Managing SSL Certificate Verification (verify parameter)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#23 | Practice | Python - Requests | 📊 Level: Intermediate
**Topic:** Control SSL certificate validation during HTTPS requests by setting the verify parameter to a custom Certificate Authority bundle path or disabling it entirely for local testing environments.
---
 | [FOOTER RULE - STRICT] End your response with: '--- ⚡ *Coding5s Mentor System — Eliminating Epistemic Debt*' | </v>
      </c>
      <c r="M31" s="53">
        <v>0</v>
      </c>
      <c r="N31" s="102" t="str">
        <f t="shared" si="4"/>
        <v>[ROLE] Careless Python Developer | [TASK] Generate debugging challenges in Python | | [TOPIC] Control SSL certificate validation during HTTPS requests by setting the verify parameter to a custom Certificate Authority bundle path or disabling it entirely for local testing environments. | | [LEVEL] Intermediate | | [COUNT] 3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#23 | Stage 2 🐛 Debug | Python - Requests | 📊 Level: Intermediate | 🌐 Coding5s.com
Concept: Managing SSL Certificate Verification (verify parameter)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1"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Control SSL certificate validation during HTTPS requests by setting the verify parameter to a custom Certificate Authority bundle path or disabling it entirely for local testing environments.. Topic details: Managing SSL Certificate Verification (verify parameter)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#23 | Debug | Python - Requests | 📊 Level: Intermediate
**Topic:** Control SSL certificate validation during HTTPS requests by setting the verify parameter to a custom Certificate Authority bundle path or disabling it entirely for local testing environments.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1" s="53">
        <v>0</v>
      </c>
      <c r="Q31" s="102" t="str">
        <f t="shared" si="6"/>
        <v>[ROLE] Tech Lead | [TASK] Assign incomplete Python script challenges | [TOPIC] Control SSL certificate validation during HTTPS requests by setting the verify parameter to a custom Certificate Authority bundle path or disabling it entirely for local testing environments. | [LEVEL] Intermediate | [COUNT] 3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#23 | Stage 3 🧩 Complete | Python - Requests | 📊 Level: Intermediate | 🌐 Coding5s.com
**Concept:** Managing SSL Certificate Verification (verify parameter)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Control SSL certificate validation during HTTPS requests by setting the verify parameter to a custom Certificate Authority bundle path or disabling it entirely for local testing environments..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1"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Control SSL certificate validation during HTTPS requests by setting the verify parameter to a custom Certificate Authority bundle path or disabling it entirely for local testing environments.. Topic details: Managing SSL Certificate Verification (verify parameter)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#23 | Complete | Python - Requests | 📊 Level: Intermediate
**Topic:** Control SSL certificate validation during HTTPS requests by setting the verify parameter to a custom Certificate Authority bundle path or disabling it entirely for local testing environments.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1" s="53">
        <v>0</v>
      </c>
      <c r="T31" s="102" t="str">
        <f t="shared" si="8"/>
        <v>[ROLE] Tech Lead | [TASK] Provide intentionally messy but functional code for learning debugging and improvement | [TOPIC] Control SSL certificate validation during HTTPS requests by setting the verify parameter to a custom Certificate Authority bundle path or disabling it entirely for local testing environments. | [LEVEL] Intermediate | [COUNT] 3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#23 | Stage 4 🧹 Refactor | Python - Requests | 📊 Level: Intermediate | 🌐 Coding5s.com
**Concept:** Managing SSL Certificate Verification (verify parameter)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Control SSL certificate validation during HTTPS requests by setting the verify parameter to a custom Certificate Authority bundle path or disabling it entirely for local testing environments.. Topic details: Managing SSL Certificate Verification (verify parameter)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#23 | Refactor | Python - Requests | 📊 Level: Intermediate
**Topic:** Control SSL certificate validation during HTTPS requests by setting the verify parameter to a custom Certificate Authority bundle path or disabling it entirely for local testing environments.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1" s="53">
        <v>0</v>
      </c>
      <c r="W31" s="87" t="str">
        <f t="shared" si="10"/>
        <v>[ROLE] Tech Product Manager assigning a Python Jira Ticket | [TASK] Provide a guided implementation exercise with full solution for learning purposes | [TOPIC] Control SSL certificate validation during HTTPS requests by setting the verify parameter to a custom Certificate Authority bundle path or disabling it entirely for local testing environments. | [LEVEL] Intermediate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#23 | Stage 5 | Python - Requests | 📊 Level: Intermediate | 🌐 Coding5s.com
**Concept:** Managing SSL Certificate Verification (verify parameter)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Control SSL certificate validation during HTTPS requests by setting the verify parameter to a custom Certificate Authority bundle path or disabling it entirely for local testing environments.. Goal: Managing SSL Certificate Verification (verify parameter)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#23 | Extend | Python - Requests | 📊 Level: Intermediate
**Topic:** Control SSL certificate validation during HTTPS requests by setting the verify parameter to a custom Certificate Authority bundle path or disabling it entirely for local testing environments.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1" s="53">
        <v>0</v>
      </c>
      <c r="Z31" s="56" t="str">
        <f t="shared" si="12"/>
        <v/>
      </c>
      <c r="AA31" s="56" t="str">
        <f t="shared" si="13"/>
        <v/>
      </c>
      <c r="AB31" s="56" t="str">
        <f t="shared" si="14"/>
        <v/>
      </c>
      <c r="AC31" s="56" t="str">
        <f t="shared" si="15"/>
        <v/>
      </c>
      <c r="AD31" s="56" t="str">
        <f t="shared" si="16"/>
        <v/>
      </c>
      <c r="AE31" s="40" t="s">
        <v>155</v>
      </c>
      <c r="AF31" s="40" t="s">
        <v>156</v>
      </c>
      <c r="AG31" s="40" t="s">
        <v>157</v>
      </c>
      <c r="AH31" s="56" t="str">
        <f t="shared" si="0"/>
        <v/>
      </c>
      <c r="AI31" s="54"/>
      <c r="AJ31" s="54"/>
      <c r="AK31" s="54">
        <v>23</v>
      </c>
      <c r="AL31" s="54" t="s">
        <v>123</v>
      </c>
      <c r="AM31" s="54" t="s">
        <v>124</v>
      </c>
    </row>
    <row r="32" spans="1:39">
      <c r="A32" s="45" t="str" cm="1">
        <f t="array" ref="A32">IF(H32="PROJECT", CHAR(10) &amp; "- " &amp; _xlfn.TEXTJOIN(CHAR(10) &amp; "- ", TRUE, _xlfn._xlws.FILTER($I$9:$I$1000, ($B$9:$B$1000=B32) * ($H$9:$H$1000="Topic"))), "")</f>
        <v xml:space="preserve">
- Control URL redirection behavior by toggling the allow_redirects parameter and trace the routing path by iterating through the response.history list in the requests library.
- Optimize memory usage when downloading large binary files by setting stream=True and iterating over the response using .iter_content() to write data in discrete chunk sizes.
- Execute multipart file uploads by passing a dictionary mapping filenames to opened file objects via the files parameter in a requests.post() request.
- Construct complex multipart/form-data requests by simultaneously supplying multiple file objects to the files parameter alongside string key-value pairs in the data parameter.
- Control SSL certificate validation during HTTPS requests by setting the verify parameter to a custom Certificate Authority bundle path or disabling it entirely for local testing environments.</v>
      </c>
      <c r="B32" s="45">
        <f t="shared" si="1"/>
        <v>4</v>
      </c>
      <c r="C32" s="95" t="s">
        <v>857</v>
      </c>
      <c r="D32" s="57">
        <v>0</v>
      </c>
      <c r="E32" s="58" t="s">
        <v>723</v>
      </c>
      <c r="F32" s="59">
        <v>24</v>
      </c>
      <c r="G32" s="60" t="s">
        <v>158</v>
      </c>
      <c r="H32" s="60" t="s">
        <v>77</v>
      </c>
      <c r="I32" s="61" t="s">
        <v>831</v>
      </c>
      <c r="J32" s="62" t="s">
        <v>832</v>
      </c>
      <c r="K32" s="129" t="str">
        <f t="shared" si="2"/>
        <v>[TASK] Teach through a practical Python - Requests project following the micro-learning methodology, acting as a supportive tutor, creating a project about  Build a robust file transfer utility that takes local file paths or remote URLs as input, processes large transfers utilizing chunked streaming and multipart uploads with explicit SSL verification control, and outputs progress indicators and final transfer statuses. | [TOPICS USED] 
- Control URL redirection behavior by toggling the allow_redirects parameter and trace the routing path by iterating through the response.history list in the requests library.
- Optimize memory usage when downloading large binary files by setting stream=True and iterating over the response using .iter_content() to write data in discrete chunk sizes.
- Execute multipart file uploads by passing a dictionary mapping filenames to opened file objects via the files parameter in a requests.post() request.
- Construct complex multipart/form-data requests by simultaneously supplying multiple file objects to the files parameter alongside string key-value pairs in the data parameter.
- Control SSL certificate validation during HTTPS requests by setting the verify parameter to a custom Certificate Authority bundle path or disabling it entirely for local testing environments. | [LEVEL] Intermediate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#24 | Stage 1 | Python - Requests | 📊 Level: Intermediate | 🌐 Coding5s.com
**Project:** Robust File Transfer Utility (Chunked downloads, multipart uploads, SSL control)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32" s="103" t="str">
        <f t="shared" si="3"/>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robust file transfer utility that takes local file paths or remote URLs as input, processes large transfers utilizing chunked streaming and multipart uploads with explicit SSL verification control, and outputs progress indicators and final transfer statuses.. Topics applied in this project: 
- Control URL redirection behavior by toggling the allow_redirects parameter and trace the routing path by iterating through the response.history list in the requests library.
- Optimize memory usage when downloading large binary files by setting stream=True and iterating over the response using .iter_content() to write data in discrete chunk sizes.
- Execute multipart file uploads by passing a dictionary mapping filenames to opened file objects via the files parameter in a requests.post() request.
- Construct complex multipart/form-data requests by simultaneously supplying multiple file objects to the files parameter alongside string key-value pairs in the data parameter.
- Control SSL certificate validation during HTTPS requests by setting the verify parameter to a custom Certificate Authority bundle path or disabling it entirely for local testing environments.. Project objective: Robust File Transfer Utility (Chunked downloads, multipart uploads, SSL control)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#24 | Practice | Python - Requests | 📊 Level: Intermediate
**Project:** Build a robust file transfer utility that takes local file paths or remote URLs as input, processes large transfers utilizing chunked streaming and multipart uploads with explicit SSL verification control, and outputs progress indicators and final transfer statuses.
---
 | [FOOTER RULE - STRICT] End your response with: '--- ⚡ *Coding5s Mentor System — Eliminating Epistemic Debt*' | </v>
      </c>
      <c r="M32" s="52">
        <v>0</v>
      </c>
      <c r="N32" s="102" t="str">
        <f t="shared" si="4"/>
        <v>[ROLE] Careless Python Developer | [TASK] Generate debugging project in Python | [PROJECT] Build a robust file transfer utility that takes local file paths or remote URLs as input, processes large transfers utilizing chunked streaming and multipart uploads with explicit SSL verification control, and outputs progress indicators and final transfer statuses. | [TOPICS USED] 
- Control URL redirection behavior by toggling the allow_redirects parameter and trace the routing path by iterating through the response.history list in the requests library.
- Optimize memory usage when downloading large binary files by setting stream=True and iterating over the response using .iter_content() to write data in discrete chunk sizes.
- Execute multipart file uploads by passing a dictionary mapping filenames to opened file objects via the files parameter in a requests.post() request.
- Construct complex multipart/form-data requests by simultaneously supplying multiple file objects to the files parameter alongside string key-value pairs in the data parameter.
- Control SSL certificate validation during HTTPS requests by setting the verify parameter to a custom Certificate Authority bundle path or disabling it entirely for local testing environments. | [LEVEL] Intermediate | [OUTPUT] Only header, dataset summary or statement (if any), email intro, objective, expected output, broken code, and footer | [HEADER RULE - STRICT] You MUST start your entire response EXACTLY with this markdown block (do not print anything before it):
### 🚀 Project #24 | Stage 2 | Python - Requests | 📊 Level: Intermediate | 🌐 Coding5s.com
Project: Robust File Transfer Utility (Chunked downloads, multipart uploads, SSL control)
---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Oromo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32"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robust file transfer utility that takes local file paths or remote URLs as input, processes large transfers utilizing chunked streaming and multipart uploads with explicit SSL verification control, and outputs progress indicators and final transfer statuses.. Topics involved: 
- Control URL redirection behavior by toggling the allow_redirects parameter and trace the routing path by iterating through the response.history list in the requests library.
- Optimize memory usage when downloading large binary files by setting stream=True and iterating over the response using .iter_content() to write data in discrete chunk sizes.
- Execute multipart file uploads by passing a dictionary mapping filenames to opened file objects via the files parameter in a requests.post() request.
- Construct complex multipart/form-data requests by simultaneously supplying multiple file objects to the files parameter alongside string key-value pairs in the data parameter.
- Control SSL certificate validation during HTTPS requests by setting the verify parameter to a custom Certificate Authority bundle path or disabling it entirely for local testing environments.. Project objective: Robust File Transfer Utility (Chunked downloads, multipart uploads, SSL control)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#24 | Debug | Python - Requests | 📊 Level: Intermediate
**Project:** Build a robust file transfer utility that takes local file paths or remote URLs as input, processes large transfers utilizing chunked streaming and multipart uploads with explicit SSL verification control, and outputs progress indicators and final transfer statuses.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2" s="52">
        <v>0</v>
      </c>
      <c r="Q32" s="102" t="str">
        <f t="shared" si="6"/>
        <v>[ROLE] Tech Lead | [TASK] Assign incomplete project script | [PROJECT] Build a robust file transfer utility that takes local file paths or remote URLs as input, processes large transfers utilizing chunked streaming and multipart uploads with explicit SSL verification control, and outputs progress indicators and final transfer statuses. | [TOPICS USED] 
- Control URL redirection behavior by toggling the allow_redirects parameter and trace the routing path by iterating through the response.history list in the requests library.
- Optimize memory usage when downloading large binary files by setting stream=True and iterating over the response using .iter_content() to write data in discrete chunk sizes.
- Execute multipart file uploads by passing a dictionary mapping filenames to opened file objects via the files parameter in a requests.post() request.
- Construct complex multipart/form-data requests by simultaneously supplying multiple file objects to the files parameter alongside string key-value pairs in the data parameter.
- Control SSL certificate validation during HTTPS requests by setting the verify parameter to a custom Certificate Authority bundle path or disabling it entirely for local testing environments. | [LEVEL] Intermediate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#24 | Stage 3 | Python - Requests | 📊 Level: Intermediate | 🌐 Coding5s.com
**Project:** Robust File Transfer Utility (Chunked downloads, multipart uploads, SSL control)
---
 | [EXTERNAL_PACKAGE_PROTOCOL] Require standard pip tooling and requirements.txt for dependencies. | [CHALLENGE_CONSTRAINTS_POLICY] MUST be between 30–60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32"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robust file transfer utility that takes local file paths or remote URLs as input, processes large transfers utilizing chunked streaming and multipart uploads with explicit SSL verification control, and outputs progress indicators and final transfer statuses.. Topics involved: 
- Control URL redirection behavior by toggling the allow_redirects parameter and trace the routing path by iterating through the response.history list in the requests library.
- Optimize memory usage when downloading large binary files by setting stream=True and iterating over the response using .iter_content() to write data in discrete chunk sizes.
- Execute multipart file uploads by passing a dictionary mapping filenames to opened file objects via the files parameter in a requests.post() request.
- Construct complex multipart/form-data requests by simultaneously supplying multiple file objects to the files parameter alongside string key-value pairs in the data parameter.
- Control SSL certificate validation during HTTPS requests by setting the verify parameter to a custom Certificate Authority bundle path or disabling it entirely for local testing environments.. Project objective: Robust File Transfer Utility (Chunked downloads, multipart uploads, SSL control)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#24 | Complete | Python - Requests | 📊 Level: Intermediate
**Project:** Build a robust file transfer utility that takes local file paths or remote URLs as input, processes large transfers utilizing chunked streaming and multipart uploads with explicit SSL verification control, and outputs progress indicators and final transfer statuses.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2" s="52">
        <v>0</v>
      </c>
      <c r="T32" s="102" t="str">
        <f t="shared" si="8"/>
        <v>[ROLE] Tech Lead | [TASK] Provide a messy but functional project for refactoring | [PROJECT] Build a robust file transfer utility that takes local file paths or remote URLs as input, processes large transfers utilizing chunked streaming and multipart uploads with explicit SSL verification control, and outputs progress indicators and final transfer statuses. | [TOPICS USED] 
- Control URL redirection behavior by toggling the allow_redirects parameter and trace the routing path by iterating through the response.history list in the requests library.
- Optimize memory usage when downloading large binary files by setting stream=True and iterating over the response using .iter_content() to write data in discrete chunk sizes.
- Execute multipart file uploads by passing a dictionary mapping filenames to opened file objects via the files parameter in a requests.post() request.
- Construct complex multipart/form-data requests by simultaneously supplying multiple file objects to the files parameter alongside string key-value pairs in the data parameter.
- Control SSL certificate validation during HTTPS requests by setting the verify parameter to a custom Certificate Authority bundle path or disabling it entirely for local testing environments. | [LEVEL] Intermediate | [PERSONA RULE] Act as a Tech Lead. A junior wrote this working but messy code. Tone: professional but exhausted | [HEADER RULE - STRICT] You MUST start your entire response EXACTLY with this markdown block (do not print anything before it):
### 🚀 Project #24 | Stage 4 | Python - Requests | 📊 Level: Intermediate | 🌐 Coding5s.com
**Project:** Robust File Transfer Utility (Chunked downloads, multipart uploads, SSL control)
---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3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robust file transfer utility that takes local file paths or remote URLs as input, processes large transfers utilizing chunked streaming and multipart uploads with explicit SSL verification control, and outputs progress indicators and final transfer statuses.. Topics involved: 
- Control URL redirection behavior by toggling the allow_redirects parameter and trace the routing path by iterating through the response.history list in the requests library.
- Optimize memory usage when downloading large binary files by setting stream=True and iterating over the response using .iter_content() to write data in discrete chunk sizes.
- Execute multipart file uploads by passing a dictionary mapping filenames to opened file objects via the files parameter in a requests.post() request.
- Construct complex multipart/form-data requests by simultaneously supplying multiple file objects to the files parameter alongside string key-value pairs in the data parameter.
- Control SSL certificate validation during HTTPS requests by setting the verify parameter to a custom Certificate Authority bundle path or disabling it entirely for local testing environments.. Project objective: Robust File Transfer Utility (Chunked downloads, multipart uploads, SSL control)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#24 | Refactor | Python - Requests | 📊 Level: Intermediate
**Project:** Build a robust file transfer utility that takes local file paths or remote URLs as input, processes large transfers utilizing chunked streaming and multipart uploads with explicit SSL verification control, and outputs progress indicators and final transfer statuses.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2" s="52">
        <v>0</v>
      </c>
      <c r="W32" s="87" t="str">
        <f t="shared" si="10"/>
        <v>[ROLE] Tech Product Manager assigning a Python Jira Ticket | [TASK] Provide a guided project implementation with full solution | [PROJECT] Build a robust file transfer utility that takes local file paths or remote URLs as input, processes large transfers utilizing chunked streaming and multipart uploads with explicit SSL verification control, and outputs progress indicators and final transfer statuses. | [TOPICS USED] 
- Control URL redirection behavior by toggling the allow_redirects parameter and trace the routing path by iterating through the response.history list in the requests library.
- Optimize memory usage when downloading large binary files by setting stream=True and iterating over the response using .iter_content() to write data in discrete chunk sizes.
- Execute multipart file uploads by passing a dictionary mapping filenames to opened file objects via the files parameter in a requests.post() request.
- Construct complex multipart/form-data requests by simultaneously supplying multiple file objects to the files parameter alongside string key-value pairs in the data parameter.
- Control SSL certificate validation during HTTPS requests by setting the verify parameter to a custom Certificate Authority bundle path or disabling it entirely for local testing environments. | [LEVEL] Intermediate | [PERSONA RULE] Act as a professional Tech Product Manager defining a project ticket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#24 | Stage 5 | Python - Requests | 📊 Level: Intermediate | 🌐 Coding5s.com
**Project:** Robust File Transfer Utility (Chunked downloads, multipart uploads, SSL control)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3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robust file transfer utility that takes local file paths or remote URLs as input, processes large transfers utilizing chunked streaming and multipart uploads with explicit SSL verification control, and outputs progress indicators and final transfer statuses.. Topics integrated: 
- Control URL redirection behavior by toggling the allow_redirects parameter and trace the routing path by iterating through the response.history list in the requests library.
- Optimize memory usage when downloading large binary files by setting stream=True and iterating over the response using .iter_content() to write data in discrete chunk sizes.
- Execute multipart file uploads by passing a dictionary mapping filenames to opened file objects via the files parameter in a requests.post() request.
- Construct complex multipart/form-data requests by simultaneously supplying multiple file objects to the files parameter alongside string key-value pairs in the data parameter.
- Control SSL certificate validation during HTTPS requests by setting the verify parameter to a custom Certificate Authority bundle path or disabling it entirely for local testing environments.. Business Goal: Robust File Transfer Utility (Chunked downloads, multipart uploads, SSL control)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#24 | Extend | Python - Requests | 📊 Level: Intermediate
**Project:** Build a robust file transfer utility that takes local file paths or remote URLs as input, processes large transfers utilizing chunked streaming and multipart uploads with explicit SSL verification control, and outputs progress indicators and final transfer statuses.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2" s="52">
        <v>0</v>
      </c>
      <c r="Z32" s="56" t="str">
        <f t="shared" si="12"/>
        <v>[TASK] Teach through a practical Python - Requests project following the micro-learning methodology, acting as a supportive tutor, creating a project about  Build a robust file transfer utility that takes local file paths or remote URLs as input, processes large transfers utilizing chunked streaming and multipart uploads with explicit SSL verification control, and outputs progress indicators and final transfer statuses. | [TOPICS USED] 
- Control URL redirection behavior by toggling the allow_redirects parameter and trace the routing path by iterating through the response.history list in the requests library.
- Optimize memory usage when downloading large binary files by setting stream=True and iterating over the response using .iter_content() to write data in discrete chunk sizes.
- Execute multipart file uploads by passing a dictionary mapping filenames to opened file objects via the files parameter in a requests.post() request.
- Construct complex multipart/form-data requests by simultaneously supplying multiple file objects to the files parameter alongside string key-value pairs in the data parameter.
- Control SSL certificate validation during HTTPS requests by setting the verify parameter to a custom Certificate Authority bundle path or disabling it entirely for local testing environments. | [LEVEL] Intermediate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#24 | Stage 1 | Python - Requests | 📊 Level: Intermediate | 🌐 Coding5s.com
**Project:** Robust File Transfer Utility (Chunked downloads, multipart uploads, SSL control)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32" s="56" t="str">
        <f t="shared" si="13"/>
        <v>[ROLE] Careless Python Developer | [TASK] Generate debugging project in Python | [PROJECT] Build a robust file transfer utility that takes local file paths or remote URLs as input, processes large transfers utilizing chunked streaming and multipart uploads with explicit SSL verification control, and outputs progress indicators and final transfer statuses. | [TOPICS USED] 
- Control URL redirection behavior by toggling the allow_redirects parameter and trace the routing path by iterating through the response.history list in the requests library.
- Optimize memory usage when downloading large binary files by setting stream=True and iterating over the response using .iter_content() to write data in discrete chunk sizes.
- Execute multipart file uploads by passing a dictionary mapping filenames to opened file objects via the files parameter in a requests.post() request.
- Construct complex multipart/form-data requests by simultaneously supplying multiple file objects to the files parameter alongside string key-value pairs in the data parameter.
- Control SSL certificate validation during HTTPS requests by setting the verify parameter to a custom Certificate Authority bundle path or disabling it entirely for local testing environments. | [LEVEL] Intermediate | [OUTPUT] Only header, dataset summary or statement (if any), email intro, objective, expected output, broken code, and footer | [HEADER RULE - STRICT] You MUST start your entire response EXACTLY with this markdown block (do not print anything before it):
### 🚀 Project #24 | Stage 2 | Python - Requests | 📊 Level: Intermediate | 🌐 Coding5s.com
Project: Robust File Transfer Utility (Chunked downloads, multipart uploads, SSL control)
---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Oromo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32" s="56" t="str">
        <f t="shared" si="14"/>
        <v>[ROLE] Tech Lead | [TASK] Assign incomplete project script | [PROJECT] Build a robust file transfer utility that takes local file paths or remote URLs as input, processes large transfers utilizing chunked streaming and multipart uploads with explicit SSL verification control, and outputs progress indicators and final transfer statuses. | [TOPICS USED] 
- Control URL redirection behavior by toggling the allow_redirects parameter and trace the routing path by iterating through the response.history list in the requests library.
- Optimize memory usage when downloading large binary files by setting stream=True and iterating over the response using .iter_content() to write data in discrete chunk sizes.
- Execute multipart file uploads by passing a dictionary mapping filenames to opened file objects via the files parameter in a requests.post() request.
- Construct complex multipart/form-data requests by simultaneously supplying multiple file objects to the files parameter alongside string key-value pairs in the data parameter.
- Control SSL certificate validation during HTTPS requests by setting the verify parameter to a custom Certificate Authority bundle path or disabling it entirely for local testing environments. | [LEVEL] Intermediate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#24 | Stage 3 | Python - Requests | 📊 Level: Intermediate | 🌐 Coding5s.com
**Project:** Robust File Transfer Utility (Chunked downloads, multipart uploads, SSL control)
---
 | [EXTERNAL_PACKAGE_PROTOCOL] Require standard pip tooling and requirements.txt for dependencies. | [CHALLENGE_CONSTRAINTS_POLICY] MUST be between 30–60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32" s="56" t="str">
        <f t="shared" si="15"/>
        <v>[ROLE] Tech Lead | [TASK] Provide a messy but functional project for refactoring | [PROJECT] Build a robust file transfer utility that takes local file paths or remote URLs as input, processes large transfers utilizing chunked streaming and multipart uploads with explicit SSL verification control, and outputs progress indicators and final transfer statuses. | [TOPICS USED] 
- Control URL redirection behavior by toggling the allow_redirects parameter and trace the routing path by iterating through the response.history list in the requests library.
- Optimize memory usage when downloading large binary files by setting stream=True and iterating over the response using .iter_content() to write data in discrete chunk sizes.
- Execute multipart file uploads by passing a dictionary mapping filenames to opened file objects via the files parameter in a requests.post() request.
- Construct complex multipart/form-data requests by simultaneously supplying multiple file objects to the files parameter alongside string key-value pairs in the data parameter.
- Control SSL certificate validation during HTTPS requests by setting the verify parameter to a custom Certificate Authority bundle path or disabling it entirely for local testing environments. | [LEVEL] Intermediate | [PERSONA RULE] Act as a Tech Lead. A junior wrote this working but messy code. Tone: professional but exhausted | [HEADER RULE - STRICT] You MUST start your entire response EXACTLY with this markdown block (do not print anything before it):
### 🚀 Project #24 | Stage 4 | Python - Requests | 📊 Level: Intermediate | 🌐 Coding5s.com
**Project:** Robust File Transfer Utility (Chunked downloads, multipart uploads, SSL control)
---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32" s="56" t="str">
        <f t="shared" si="16"/>
        <v>[ROLE] Tech Product Manager assigning a Python Jira Ticket | [TASK] Provide a guided project implementation with full solution | [PROJECT] Build a robust file transfer utility that takes local file paths or remote URLs as input, processes large transfers utilizing chunked streaming and multipart uploads with explicit SSL verification control, and outputs progress indicators and final transfer statuses. | [TOPICS USED] 
- Control URL redirection behavior by toggling the allow_redirects parameter and trace the routing path by iterating through the response.history list in the requests library.
- Optimize memory usage when downloading large binary files by setting stream=True and iterating over the response using .iter_content() to write data in discrete chunk sizes.
- Execute multipart file uploads by passing a dictionary mapping filenames to opened file objects via the files parameter in a requests.post() request.
- Construct complex multipart/form-data requests by simultaneously supplying multiple file objects to the files parameter alongside string key-value pairs in the data parameter.
- Control SSL certificate validation during HTTPS requests by setting the verify parameter to a custom Certificate Authority bundle path or disabling it entirely for local testing environments. | [LEVEL] Intermediate | [PERSONA RULE] Act as a professional Tech Product Manager defining a project ticket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#24 | Stage 5 | Python - Requests | 📊 Level: Intermediate | 🌐 Coding5s.com
**Project:** Robust File Transfer Utility (Chunked downloads, multipart uploads, SSL control)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32" s="40"/>
      <c r="AF32" s="40"/>
      <c r="AG32" s="40"/>
      <c r="AH32" s="56" t="str">
        <f t="shared" si="0"/>
        <v/>
      </c>
      <c r="AI32" s="54"/>
      <c r="AJ32" s="54"/>
      <c r="AK32" s="54">
        <v>24</v>
      </c>
      <c r="AL32" s="54" t="s">
        <v>128</v>
      </c>
      <c r="AM32" s="54" t="s">
        <v>129</v>
      </c>
    </row>
    <row r="33" spans="1:39">
      <c r="A33" s="45" t="str" cm="1">
        <f t="array" ref="A33">IF(H33="PROJECT", CHAR(10) &amp; "- " &amp; _xlfn.TEXTJOIN(CHAR(10) &amp; "- ", TRUE, _xlfn._xlws.FILTER($I$9:$I$1000, ($B$9:$B$1000=B33) * ($H$9:$H$1000="Topic"))), "")</f>
        <v/>
      </c>
      <c r="B33" s="45">
        <f t="shared" si="1"/>
        <v>5</v>
      </c>
      <c r="C33" s="95">
        <v>12</v>
      </c>
      <c r="D33" s="46">
        <v>5</v>
      </c>
      <c r="E33" s="58" t="s">
        <v>46</v>
      </c>
      <c r="F33" s="48">
        <v>25</v>
      </c>
      <c r="G33" s="49" t="s">
        <v>159</v>
      </c>
      <c r="H33" s="49" t="s">
        <v>48</v>
      </c>
      <c r="I33" s="50" t="s">
        <v>833</v>
      </c>
      <c r="J33" s="51" t="s">
        <v>834</v>
      </c>
      <c r="K33" s="129" t="str">
        <f t="shared" si="2"/>
        <v xml:space="preserve">[ROLE] Friendly tutor specializing in Python | [TOPIC] Optimize network performance by initializing a requests.Session() object to leverage HTTP connection pooling and persist parameters across multiple requests to the same host. | [LEVEL] Advanced | [COUNT] 5 examples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#25 | Stage 1 📖 Practice | Python - Requests | 📊 Level: Advanced | 🌐 Coding5s.com
**Concept:** Initializing Connection Pooling and State (requests.Session())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3" s="103" t="str">
        <f t="shared" si="3"/>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Optimize network performance by initializing a requests.Session() object to leverage HTTP connection pooling and persist parameters across multiple requests to the same host.. Topic details: Initializing Connection Pooling and State (requests.Session())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#25 | Practice | Python - Requests | 📊 Level: Advanced
**Topic:** Optimize network performance by initializing a requests.Session() object to leverage HTTP connection pooling and persist parameters across multiple requests to the same host.
---
 | [FOOTER RULE - STRICT] End your response with: '--- ⚡ *Coding5s Mentor System — Eliminating Epistemic Debt*' | </v>
      </c>
      <c r="M33" s="53">
        <v>0</v>
      </c>
      <c r="N33" s="102" t="str">
        <f t="shared" si="4"/>
        <v>[ROLE] Careless Python Developer | [TASK] Generate debugging challenges in Python | | [TOPIC] Optimize network performance by initializing a requests.Session() object to leverage HTTP connection pooling and persist parameters across multiple requests to the same host. | | [LEVEL] Advanced |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#25 | Stage 2 🐛 Debug | Python - Requests | 📊 Level: Advanced | 🌐 Coding5s.com
Concept: Initializing Connection Pooling and State (requests.Session())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3"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Optimize network performance by initializing a requests.Session() object to leverage HTTP connection pooling and persist parameters across multiple requests to the same host.. Topic details: Initializing Connection Pooling and State (requests.Session())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#25 | Debug | Python - Requests | 📊 Level: Advanced
**Topic:** Optimize network performance by initializing a requests.Session() object to leverage HTTP connection pooling and persist parameters across multiple requests to the same host.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3" s="53">
        <v>0</v>
      </c>
      <c r="Q33" s="102" t="str">
        <f t="shared" si="6"/>
        <v>[ROLE] Tech Lead | [TASK] Assign incomplete Python script challenges | [TOPIC] Optimize network performance by initializing a requests.Session() object to leverage HTTP connection pooling and persist parameters across multiple requests to the same host. | [LEVEL] Advanced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#25 | Stage 3 🧩 Complete | Python - Requests | 📊 Level: Advanced | 🌐 Coding5s.com
**Concept:** Initializing Connection Pooling and State (requests.Session())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Optimize network performance by initializing a requests.Session() object to leverage HTTP connection pooling and persist parameters across multiple requests to the same host..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3"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Optimize network performance by initializing a requests.Session() object to leverage HTTP connection pooling and persist parameters across multiple requests to the same host.. Topic details: Initializing Connection Pooling and State (requests.Session())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#25 | Complete | Python - Requests | 📊 Level: Advanced
**Topic:** Optimize network performance by initializing a requests.Session() object to leverage HTTP connection pooling and persist parameters across multiple requests to the same host.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3" s="53">
        <v>0</v>
      </c>
      <c r="T33" s="102" t="str">
        <f t="shared" si="8"/>
        <v>[ROLE] Tech Lead | [TASK] Provide intentionally messy but functional code for learning debugging and improvement | [TOPIC] Optimize network performance by initializing a requests.Session() object to leverage HTTP connection pooling and persist parameters across multiple requests to the same host. | [LEVEL] Advanced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#25 | Stage 4 🧹 Refactor | Python - Requests | 📊 Level: Advanced | 🌐 Coding5s.com
**Concept:** Initializing Connection Pooling and State (requests.Session())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Optimize network performance by initializing a requests.Session() object to leverage HTTP connection pooling and persist parameters across multiple requests to the same host.. Topic details: Initializing Connection Pooling and State (requests.Session())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#25 | Refactor | Python - Requests | 📊 Level: Advanced
**Topic:** Optimize network performance by initializing a requests.Session() object to leverage HTTP connection pooling and persist parameters across multiple requests to the same host.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3" s="53">
        <v>0</v>
      </c>
      <c r="W33" s="87" t="str">
        <f t="shared" si="10"/>
        <v>[ROLE] Tech Product Manager assigning a Python Jira Ticket | [TASK] Provide a guided implementation exercise with full solution for learning purposes | [TOPIC] Optimize network performance by initializing a requests.Session() object to leverage HTTP connection pooling and persist parameters across multiple requests to the same host. | [LEVEL] Advanced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#25 | Stage 5 | Python - Requests | 📊 Level: Advanced | 🌐 Coding5s.com
**Concept:** Initializing Connection Pooling and State (requests.Session())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Optimize network performance by initializing a requests.Session() object to leverage HTTP connection pooling and persist parameters across multiple requests to the same host.. Goal: Initializing Connection Pooling and State (requests.Session())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#25 | Extend | Python - Requests | 📊 Level: Advanced
**Topic:** Optimize network performance by initializing a requests.Session() object to leverage HTTP connection pooling and persist parameters across multiple requests to the same host.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3" s="53">
        <v>0</v>
      </c>
      <c r="Z33" s="56" t="str">
        <f t="shared" si="12"/>
        <v/>
      </c>
      <c r="AA33" s="56" t="str">
        <f t="shared" si="13"/>
        <v/>
      </c>
      <c r="AB33" s="56" t="str">
        <f t="shared" si="14"/>
        <v/>
      </c>
      <c r="AC33" s="56" t="str">
        <f t="shared" si="15"/>
        <v/>
      </c>
      <c r="AD33" s="56" t="str">
        <f t="shared" si="16"/>
        <v/>
      </c>
      <c r="AE33" s="40"/>
      <c r="AF33" s="40"/>
      <c r="AG33" s="40"/>
      <c r="AH33" s="56" t="str">
        <f t="shared" si="0"/>
        <v/>
      </c>
      <c r="AI33" s="54"/>
      <c r="AJ33" s="54"/>
      <c r="AK33" s="54">
        <v>25</v>
      </c>
      <c r="AL33" s="54" t="s">
        <v>133</v>
      </c>
      <c r="AM33" s="54" t="s">
        <v>134</v>
      </c>
    </row>
    <row r="34" spans="1:39">
      <c r="A34" s="45" t="str" cm="1">
        <f t="array" ref="A34">IF(H34="PROJECT", CHAR(10) &amp; "- " &amp; _xlfn.TEXTJOIN(CHAR(10) &amp; "- ", TRUE, _xlfn._xlws.FILTER($I$9:$I$1000, ($B$9:$B$1000=B34) * ($H$9:$H$1000="Topic"))), "")</f>
        <v/>
      </c>
      <c r="B34" s="45">
        <f t="shared" si="1"/>
        <v>5</v>
      </c>
      <c r="C34" s="95">
        <v>8</v>
      </c>
      <c r="D34" s="57">
        <v>5</v>
      </c>
      <c r="E34" s="58" t="s">
        <v>46</v>
      </c>
      <c r="F34" s="59">
        <v>26</v>
      </c>
      <c r="G34" s="60" t="s">
        <v>159</v>
      </c>
      <c r="H34" s="60" t="s">
        <v>48</v>
      </c>
      <c r="I34" s="61" t="s">
        <v>835</v>
      </c>
      <c r="J34" s="62" t="s">
        <v>836</v>
      </c>
      <c r="K34" s="129" t="str">
        <f t="shared" si="2"/>
        <v xml:space="preserve">[ROLE] Friendly tutor specializing in Python | [TOPIC] Streamline API interactions by setting session-level default headers and authentication mechanisms on a requests.Session() instance to automatically apply them to all outbound requests. | [LEVEL] Advanced | [COUNT] 5 examples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#26 | Stage 1 📖 Practice | Python - Requests | 📊 Level: Advanced | 🌐 Coding5s.com
**Concept:** Configuring Session-Level Defaults (Default headers, default auth)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4" s="103" t="str">
        <f t="shared" si="3"/>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Streamline API interactions by setting session-level default headers and authentication mechanisms on a requests.Session() instance to automatically apply them to all outbound requests.. Topic details: Configuring Session-Level Defaults (Default headers, default auth)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#26 | Practice | Python - Requests | 📊 Level: Advanced
**Topic:** Streamline API interactions by setting session-level default headers and authentication mechanisms on a requests.Session() instance to automatically apply them to all outbound requests.
---
 | [FOOTER RULE - STRICT] End your response with: '--- ⚡ *Coding5s Mentor System — Eliminating Epistemic Debt*' | </v>
      </c>
      <c r="M34" s="52">
        <v>0</v>
      </c>
      <c r="N34" s="102" t="str">
        <f t="shared" si="4"/>
        <v>[ROLE] Careless Python Developer | [TASK] Generate debugging challenges in Python | | [TOPIC] Streamline API interactions by setting session-level default headers and authentication mechanisms on a requests.Session() instance to automatically apply them to all outbound requests. | | [LEVEL] Advanced |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#26 | Stage 2 🐛 Debug | Python - Requests | 📊 Level: Advanced | 🌐 Coding5s.com
Concept: Configuring Session-Level Defaults (Default headers, default auth)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4"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Streamline API interactions by setting session-level default headers and authentication mechanisms on a requests.Session() instance to automatically apply them to all outbound requests.. Topic details: Configuring Session-Level Defaults (Default headers, default auth)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#26 | Debug | Python - Requests | 📊 Level: Advanced
**Topic:** Streamline API interactions by setting session-level default headers and authentication mechanisms on a requests.Session() instance to automatically apply them to all outbound requests.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4" s="52">
        <v>0</v>
      </c>
      <c r="Q34" s="102" t="str">
        <f t="shared" si="6"/>
        <v>[ROLE] Tech Lead | [TASK] Assign incomplete Python script challenges | [TOPIC] Streamline API interactions by setting session-level default headers and authentication mechanisms on a requests.Session() instance to automatically apply them to all outbound requests. | [LEVEL] Advanced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#26 | Stage 3 🧩 Complete | Python - Requests | 📊 Level: Advanced | 🌐 Coding5s.com
**Concept:** Configuring Session-Level Defaults (Default headers, default auth)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Streamline API interactions by setting session-level default headers and authentication mechanisms on a requests.Session() instance to automatically apply them to all outbound requests..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4"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Streamline API interactions by setting session-level default headers and authentication mechanisms on a requests.Session() instance to automatically apply them to all outbound requests.. Topic details: Configuring Session-Level Defaults (Default headers, default auth)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#26 | Complete | Python - Requests | 📊 Level: Advanced
**Topic:** Streamline API interactions by setting session-level default headers and authentication mechanisms on a requests.Session() instance to automatically apply them to all outbound requests.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4" s="52">
        <v>0</v>
      </c>
      <c r="T34" s="102" t="str">
        <f t="shared" si="8"/>
        <v>[ROLE] Tech Lead | [TASK] Provide intentionally messy but functional code for learning debugging and improvement | [TOPIC] Streamline API interactions by setting session-level default headers and authentication mechanisms on a requests.Session() instance to automatically apply them to all outbound requests. | [LEVEL] Advanced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#26 | Stage 4 🧹 Refactor | Python - Requests | 📊 Level: Advanced | 🌐 Coding5s.com
**Concept:** Configuring Session-Level Defaults (Default headers, default auth)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Streamline API interactions by setting session-level default headers and authentication mechanisms on a requests.Session() instance to automatically apply them to all outbound requests.. Topic details: Configuring Session-Level Defaults (Default headers, default auth)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#26 | Refactor | Python - Requests | 📊 Level: Advanced
**Topic:** Streamline API interactions by setting session-level default headers and authentication mechanisms on a requests.Session() instance to automatically apply them to all outbound requests.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4" s="52">
        <v>0</v>
      </c>
      <c r="W34" s="87" t="str">
        <f t="shared" si="10"/>
        <v>[ROLE] Tech Product Manager assigning a Python Jira Ticket | [TASK] Provide a guided implementation exercise with full solution for learning purposes | [TOPIC] Streamline API interactions by setting session-level default headers and authentication mechanisms on a requests.Session() instance to automatically apply them to all outbound requests. | [LEVEL] Advanced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#26 | Stage 5 | Python - Requests | 📊 Level: Advanced | 🌐 Coding5s.com
**Concept:** Configuring Session-Level Defaults (Default headers, default auth)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Streamline API interactions by setting session-level default headers and authentication mechanisms on a requests.Session() instance to automatically apply them to all outbound requests.. Goal: Configuring Session-Level Defaults (Default headers, default auth)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#26 | Extend | Python - Requests | 📊 Level: Advanced
**Topic:** Streamline API interactions by setting session-level default headers and authentication mechanisms on a requests.Session() instance to automatically apply them to all outbound requests.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4" s="52">
        <v>0</v>
      </c>
      <c r="Z34" s="56" t="str">
        <f t="shared" si="12"/>
        <v/>
      </c>
      <c r="AA34" s="56" t="str">
        <f t="shared" si="13"/>
        <v/>
      </c>
      <c r="AB34" s="56" t="str">
        <f t="shared" si="14"/>
        <v/>
      </c>
      <c r="AC34" s="56" t="str">
        <f t="shared" si="15"/>
        <v/>
      </c>
      <c r="AD34" s="56" t="str">
        <f t="shared" si="16"/>
        <v/>
      </c>
      <c r="AE34" s="40"/>
      <c r="AF34" s="40"/>
      <c r="AG34" s="40"/>
      <c r="AH34" s="56" t="str">
        <f t="shared" si="0"/>
        <v/>
      </c>
      <c r="AI34" s="54"/>
      <c r="AJ34" s="54"/>
      <c r="AK34" s="54">
        <v>26</v>
      </c>
      <c r="AL34" s="54" t="s">
        <v>138</v>
      </c>
      <c r="AM34" s="54" t="s">
        <v>139</v>
      </c>
    </row>
    <row r="35" spans="1:39">
      <c r="A35" s="45" t="str" cm="1">
        <f t="array" ref="A35">IF(H35="PROJECT", CHAR(10) &amp; "- " &amp; _xlfn.TEXTJOIN(CHAR(10) &amp; "- ", TRUE, _xlfn._xlws.FILTER($I$9:$I$1000, ($B$9:$B$1000=B35) * ($H$9:$H$1000="Topic"))), "")</f>
        <v/>
      </c>
      <c r="B35" s="45">
        <f t="shared" si="1"/>
        <v>5</v>
      </c>
      <c r="C35" s="95">
        <v>10</v>
      </c>
      <c r="D35" s="46">
        <v>5</v>
      </c>
      <c r="E35" s="58" t="s">
        <v>46</v>
      </c>
      <c r="F35" s="48">
        <v>27</v>
      </c>
      <c r="G35" s="49" t="s">
        <v>159</v>
      </c>
      <c r="H35" s="49" t="s">
        <v>48</v>
      </c>
      <c r="I35" s="50" t="s">
        <v>837</v>
      </c>
      <c r="J35" s="51" t="s">
        <v>838</v>
      </c>
      <c r="K35" s="129" t="str">
        <f t="shared" si="2"/>
        <v xml:space="preserve">[ROLE] Friendly tutor specializing in Python | [TOPIC] Manipulate and persist HTTP cookies across requests by extracting them from response.cookies, passing them via the cookies parameter, or utilizing a RequestsCookieJar within a session. | [LEVEL] Advanced | [COUNT] 5 examples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10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#27 | Stage 1 📖 Practice | Python - Requests | 📊 Level: Advanced | 🌐 Coding5s.com
**Concept:** Managing Cookies (cookies param, response.cookies, RequestsCookieJar)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5" s="103" t="str">
        <f t="shared" si="3"/>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and persist HTTP cookies across requests by extracting them from response.cookies, passing them via the cookies parameter, or utilizing a RequestsCookieJar within a session.. Topic details: Managing Cookies (cookies param, response.cookies, RequestsCookieJar)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#27 | Practice | Python - Requests | 📊 Level: Advanced
**Topic:** Manipulate and persist HTTP cookies across requests by extracting them from response.cookies, passing them via the cookies parameter, or utilizing a RequestsCookieJar within a session.
---
 | [FOOTER RULE - STRICT] End your response with: '--- ⚡ *Coding5s Mentor System — Eliminating Epistemic Debt*' | </v>
      </c>
      <c r="M35" s="53">
        <v>0</v>
      </c>
      <c r="N35" s="102" t="str">
        <f t="shared" si="4"/>
        <v>[ROLE] Careless Python Developer | [TASK] Generate debugging challenges in Python | | [TOPIC] Manipulate and persist HTTP cookies across requests by extracting them from response.cookies, passing them via the cookies parameter, or utilizing a RequestsCookieJar within a session. | | [LEVEL] Advanced |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#27 | Stage 2 🐛 Debug | Python - Requests | 📊 Level: Advanced | 🌐 Coding5s.com
Concept: Managing Cookies (cookies param, response.cookies, RequestsCookieJar)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5"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and persist HTTP cookies across requests by extracting them from response.cookies, passing them via the cookies parameter, or utilizing a RequestsCookieJar within a session.. Topic details: Managing Cookies (cookies param, response.cookies, RequestsCookieJar)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#27 | Debug | Python - Requests | 📊 Level: Advanced
**Topic:** Manipulate and persist HTTP cookies across requests by extracting them from response.cookies, passing them via the cookies parameter, or utilizing a RequestsCookieJar within a session.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5" s="53">
        <v>0</v>
      </c>
      <c r="Q35" s="102" t="str">
        <f t="shared" si="6"/>
        <v>[ROLE] Tech Lead | [TASK] Assign incomplete Python script challenges | [TOPIC] Manipulate and persist HTTP cookies across requests by extracting them from response.cookies, passing them via the cookies parameter, or utilizing a RequestsCookieJar within a session. | [LEVEL] Advanced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#27 | Stage 3 🧩 Complete | Python - Requests | 📊 Level: Advanced | 🌐 Coding5s.com
**Concept:** Managing Cookies (cookies param, response.cookies, RequestsCookieJar)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and persist HTTP cookies across requests by extracting them from response.cookies, passing them via the cookies parameter, or utilizing a RequestsCookieJar within a session..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5"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and persist HTTP cookies across requests by extracting them from response.cookies, passing them via the cookies parameter, or utilizing a RequestsCookieJar within a session.. Topic details: Managing Cookies (cookies param, response.cookies, RequestsCookieJar)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#27 | Complete | Python - Requests | 📊 Level: Advanced
**Topic:** Manipulate and persist HTTP cookies across requests by extracting them from response.cookies, passing them via the cookies parameter, or utilizing a RequestsCookieJar within a session.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5" s="53">
        <v>0</v>
      </c>
      <c r="T35" s="102" t="str">
        <f t="shared" si="8"/>
        <v>[ROLE] Tech Lead | [TASK] Provide intentionally messy but functional code for learning debugging and improvement | [TOPIC] Manipulate and persist HTTP cookies across requests by extracting them from response.cookies, passing them via the cookies parameter, or utilizing a RequestsCookieJar within a session. | [LEVEL] Advanced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#27 | Stage 4 🧹 Refactor | Python - Requests | 📊 Level: Advanced | 🌐 Coding5s.com
**Concept:** Managing Cookies (cookies param, response.cookies, RequestsCookieJar)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Manipulate and persist HTTP cookies across requests by extracting them from response.cookies, passing them via the cookies parameter, or utilizing a RequestsCookieJar within a session.. Topic details: Managing Cookies (cookies param, response.cookies, RequestsCookieJar)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#27 | Refactor | Python - Requests | 📊 Level: Advanced
**Topic:** Manipulate and persist HTTP cookies across requests by extracting them from response.cookies, passing them via the cookies parameter, or utilizing a RequestsCookieJar within a session.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5" s="53">
        <v>0</v>
      </c>
      <c r="W35" s="87" t="str">
        <f t="shared" si="10"/>
        <v>[ROLE] Tech Product Manager assigning a Python Jira Ticket | [TASK] Provide a guided implementation exercise with full solution for learning purposes | [TOPIC] Manipulate and persist HTTP cookies across requests by extracting them from response.cookies, passing them via the cookies parameter, or utilizing a RequestsCookieJar within a session. | [LEVEL] Advanced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#27 | Stage 5 | Python - Requests | 📊 Level: Advanced | 🌐 Coding5s.com
**Concept:** Managing Cookies (cookies param, response.cookies, RequestsCookieJar)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and persist HTTP cookies across requests by extracting them from response.cookies, passing them via the cookies parameter, or utilizing a RequestsCookieJar within a session.. Goal: Managing Cookies (cookies param, response.cookies, RequestsCookieJar)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#27 | Extend | Python - Requests | 📊 Level: Advanced
**Topic:** Manipulate and persist HTTP cookies across requests by extracting them from response.cookies, passing them via the cookies parameter, or utilizing a RequestsCookieJar within a session.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5" s="53">
        <v>0</v>
      </c>
      <c r="Z35" s="56" t="str">
        <f t="shared" si="12"/>
        <v/>
      </c>
      <c r="AA35" s="56" t="str">
        <f t="shared" si="13"/>
        <v/>
      </c>
      <c r="AB35" s="56" t="str">
        <f t="shared" si="14"/>
        <v/>
      </c>
      <c r="AC35" s="56" t="str">
        <f t="shared" si="15"/>
        <v/>
      </c>
      <c r="AD35" s="56" t="str">
        <f t="shared" si="16"/>
        <v/>
      </c>
      <c r="AE35" s="40"/>
      <c r="AF35" s="40"/>
      <c r="AG35" s="40"/>
      <c r="AH35" s="56" t="str">
        <f t="shared" si="0"/>
        <v/>
      </c>
      <c r="AI35" s="54"/>
      <c r="AJ35" s="54"/>
      <c r="AK35" s="54">
        <v>27</v>
      </c>
      <c r="AL35" s="54" t="s">
        <v>143</v>
      </c>
      <c r="AM35" s="54" t="s">
        <v>144</v>
      </c>
    </row>
    <row r="36" spans="1:39">
      <c r="A36" s="45" t="str" cm="1">
        <f t="array" ref="A36">IF(H36="PROJECT", CHAR(10) &amp; "- " &amp; _xlfn.TEXTJOIN(CHAR(10) &amp; "- ", TRUE, _xlfn._xlws.FILTER($I$9:$I$1000, ($B$9:$B$1000=B36) * ($H$9:$H$1000="Topic"))), "")</f>
        <v/>
      </c>
      <c r="B36" s="45">
        <f t="shared" si="1"/>
        <v>5</v>
      </c>
      <c r="C36" s="95">
        <v>8</v>
      </c>
      <c r="D36" s="57">
        <v>4</v>
      </c>
      <c r="E36" s="58" t="s">
        <v>46</v>
      </c>
      <c r="F36" s="59">
        <v>28</v>
      </c>
      <c r="G36" s="60" t="s">
        <v>159</v>
      </c>
      <c r="H36" s="60" t="s">
        <v>48</v>
      </c>
      <c r="I36" s="61" t="s">
        <v>839</v>
      </c>
      <c r="J36" s="62" t="s">
        <v>840</v>
      </c>
      <c r="K36" s="129" t="str">
        <f t="shared" si="2"/>
        <v xml:space="preserve">[ROLE] Friendly tutor specializing in Python | [TOPIC] Route outward HTTP and HTTPS traffic through intermediate proxy servers by passing a protocol-mapped dictionary to the proxies parameter in the requests library. | [LEVEL] Advanced | [COUNT] 4 examples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#28 | Stage 1 📖 Practice | Python - Requests | 📊 Level: Advanced | 🌐 Coding5s.com
**Concept:** Routing Traffic through Proxies (proxies dictionary)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6" s="103" t="str">
        <f t="shared" si="3"/>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Route outward HTTP and HTTPS traffic through intermediate proxy servers by passing a protocol-mapped dictionary to the proxies parameter in the requests library.. Topic details: Routing Traffic through Proxies (proxies dictionary)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#28 | Practice | Python - Requests | 📊 Level: Advanced
**Topic:** Route outward HTTP and HTTPS traffic through intermediate proxy servers by passing a protocol-mapped dictionary to the proxies parameter in the requests library.
---
 | [FOOTER RULE - STRICT] End your response with: '--- ⚡ *Coding5s Mentor System — Eliminating Epistemic Debt*' | </v>
      </c>
      <c r="M36" s="52">
        <v>0</v>
      </c>
      <c r="N36" s="102" t="str">
        <f t="shared" si="4"/>
        <v>[ROLE] Careless Python Developer | [TASK] Generate debugging challenges in Python | | [TOPIC] Route outward HTTP and HTTPS traffic through intermediate proxy servers by passing a protocol-mapped dictionary to the proxies parameter in the requests library. | | [LEVEL] Advanced | | [COUNT] 4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#28 | Stage 2 🐛 Debug | Python - Requests | 📊 Level: Advanced | 🌐 Coding5s.com
Concept: Routing Traffic through Proxies (proxies dictionary)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6"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Route outward HTTP and HTTPS traffic through intermediate proxy servers by passing a protocol-mapped dictionary to the proxies parameter in the requests library.. Topic details: Routing Traffic through Proxies (proxies dictionary)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#28 | Debug | Python - Requests | 📊 Level: Advanced
**Topic:** Route outward HTTP and HTTPS traffic through intermediate proxy servers by passing a protocol-mapped dictionary to the proxies parameter in the requests library.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6" s="52">
        <v>0</v>
      </c>
      <c r="Q36" s="102" t="str">
        <f t="shared" si="6"/>
        <v>[ROLE] Tech Lead | [TASK] Assign incomplete Python script challenges | [TOPIC] Route outward HTTP and HTTPS traffic through intermediate proxy servers by passing a protocol-mapped dictionary to the proxies parameter in the requests library. | [LEVEL] Advanced | [COUNT] 4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#28 | Stage 3 🧩 Complete | Python - Requests | 📊 Level: Advanced | 🌐 Coding5s.com
**Concept:** Routing Traffic through Proxies (proxies dictionary)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Route outward HTTP and HTTPS traffic through intermediate proxy servers by passing a protocol-mapped dictionary to the proxies parameter in the requests library..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6"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Route outward HTTP and HTTPS traffic through intermediate proxy servers by passing a protocol-mapped dictionary to the proxies parameter in the requests library.. Topic details: Routing Traffic through Proxies (proxies dictionary)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#28 | Complete | Python - Requests | 📊 Level: Advanced
**Topic:** Route outward HTTP and HTTPS traffic through intermediate proxy servers by passing a protocol-mapped dictionary to the proxies parameter in the requests library.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6" s="52">
        <v>0</v>
      </c>
      <c r="T36" s="102" t="str">
        <f t="shared" si="8"/>
        <v>[ROLE] Tech Lead | [TASK] Provide intentionally messy but functional code for learning debugging and improvement | [TOPIC] Route outward HTTP and HTTPS traffic through intermediate proxy servers by passing a protocol-mapped dictionary to the proxies parameter in the requests library. | [LEVEL] Advanced | [COUNT] 4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#28 | Stage 4 🧹 Refactor | Python - Requests | 📊 Level: Advanced | 🌐 Coding5s.com
**Concept:** Routing Traffic through Proxies (proxies dictionary)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Route outward HTTP and HTTPS traffic through intermediate proxy servers by passing a protocol-mapped dictionary to the proxies parameter in the requests library.. Topic details: Routing Traffic through Proxies (proxies dictionary)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#28 | Refactor | Python - Requests | 📊 Level: Advanced
**Topic:** Route outward HTTP and HTTPS traffic through intermediate proxy servers by passing a protocol-mapped dictionary to the proxies parameter in the requests library.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6" s="52">
        <v>0</v>
      </c>
      <c r="W36" s="87" t="str">
        <f t="shared" si="10"/>
        <v>[ROLE] Tech Product Manager assigning a Python Jira Ticket | [TASK] Provide a guided implementation exercise with full solution for learning purposes | [TOPIC] Route outward HTTP and HTTPS traffic through intermediate proxy servers by passing a protocol-mapped dictionary to the proxies parameter in the requests library. | [LEVEL] Advanced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#28 | Stage 5 | Python - Requests | 📊 Level: Advanced | 🌐 Coding5s.com
**Concept:** Routing Traffic through Proxies (proxies dictionary)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Route outward HTTP and HTTPS traffic through intermediate proxy servers by passing a protocol-mapped dictionary to the proxies parameter in the requests library.. Goal: Routing Traffic through Proxies (proxies dictionary)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#28 | Extend | Python - Requests | 📊 Level: Advanced
**Topic:** Route outward HTTP and HTTPS traffic through intermediate proxy servers by passing a protocol-mapped dictionary to the proxies parameter in the requests library.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6" s="52">
        <v>0</v>
      </c>
      <c r="Z36" s="56" t="str">
        <f t="shared" si="12"/>
        <v/>
      </c>
      <c r="AA36" s="56" t="str">
        <f t="shared" si="13"/>
        <v/>
      </c>
      <c r="AB36" s="56" t="str">
        <f t="shared" si="14"/>
        <v/>
      </c>
      <c r="AC36" s="56" t="str">
        <f t="shared" si="15"/>
        <v/>
      </c>
      <c r="AD36" s="56" t="str">
        <f t="shared" si="16"/>
        <v/>
      </c>
      <c r="AE36" s="40"/>
      <c r="AF36" s="40"/>
      <c r="AG36" s="40"/>
      <c r="AH36" s="56" t="str">
        <f t="shared" si="0"/>
        <v/>
      </c>
      <c r="AI36" s="54"/>
      <c r="AJ36" s="54"/>
      <c r="AK36" s="54">
        <v>28</v>
      </c>
      <c r="AL36" s="54" t="s">
        <v>146</v>
      </c>
      <c r="AM36" s="54" t="s">
        <v>147</v>
      </c>
    </row>
    <row r="37" spans="1:39">
      <c r="A37" s="45" t="str" cm="1">
        <f t="array" ref="A37">IF(H37="PROJECT", CHAR(10) &amp; "- " &amp; _xlfn.TEXTJOIN(CHAR(10) &amp; "- ", TRUE, _xlfn._xlws.FILTER($I$9:$I$1000, ($B$9:$B$1000=B37) * ($H$9:$H$1000="Topic"))), "")</f>
        <v/>
      </c>
      <c r="B37" s="45">
        <f t="shared" si="1"/>
        <v>5</v>
      </c>
      <c r="C37" s="95">
        <v>10</v>
      </c>
      <c r="D37" s="46">
        <v>5</v>
      </c>
      <c r="E37" s="58" t="s">
        <v>46</v>
      </c>
      <c r="F37" s="48">
        <v>29</v>
      </c>
      <c r="G37" s="49" t="s">
        <v>159</v>
      </c>
      <c r="H37" s="49" t="s">
        <v>48</v>
      </c>
      <c r="I37" s="50" t="s">
        <v>841</v>
      </c>
      <c r="J37" s="51" t="s">
        <v>842</v>
      </c>
      <c r="K37" s="129" t="str">
        <f t="shared" si="2"/>
        <v xml:space="preserve">[ROLE] Friendly tutor specializing in Python | [TOPIC] Implement advanced error handling architectures by catching specific requests.exceptions such as Timeout or ConnectionError to execute targeted fallback logic instead of generic failures. | [LEVEL] Advanced | [COUNT] 5 examples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10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#29 | Stage 1 📖 Practice | Python - Requests | 📊 Level: Advanced | 🌐 Coding5s.com
**Concept:** Catching Specific Network Exceptions (Timeout, ConnectionError, RequestException)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7" s="103" t="str">
        <f t="shared" si="3"/>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advanced error handling architectures by catching specific requests.exceptions such as Timeout or ConnectionError to execute targeted fallback logic instead of generic failures.. Topic details: Catching Specific Network Exceptions (Timeout, ConnectionError, RequestException)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#29 | Practice | Python - Requests | 📊 Level: Advanced
**Topic:** Implement advanced error handling architectures by catching specific requests.exceptions such as Timeout or ConnectionError to execute targeted fallback logic instead of generic failures.
---
 | [FOOTER RULE - STRICT] End your response with: '--- ⚡ *Coding5s Mentor System — Eliminating Epistemic Debt*' | </v>
      </c>
      <c r="M37" s="53">
        <v>0</v>
      </c>
      <c r="N37" s="102" t="str">
        <f t="shared" si="4"/>
        <v>[ROLE] Careless Python Developer | [TASK] Generate debugging challenges in Python | | [TOPIC] Implement advanced error handling architectures by catching specific requests.exceptions such as Timeout or ConnectionError to execute targeted fallback logic instead of generic failures. | | [LEVEL] Advanced |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#29 | Stage 2 🐛 Debug | Python - Requests | 📊 Level: Advanced | 🌐 Coding5s.com
Concept: Catching Specific Network Exceptions (Timeout, ConnectionError, RequestException)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7"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advanced error handling architectures by catching specific requests.exceptions such as Timeout or ConnectionError to execute targeted fallback logic instead of generic failures.. Topic details: Catching Specific Network Exceptions (Timeout, ConnectionError, RequestException)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#29 | Debug | Python - Requests | 📊 Level: Advanced
**Topic:** Implement advanced error handling architectures by catching specific requests.exceptions such as Timeout or ConnectionError to execute targeted fallback logic instead of generic failures.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7" s="53">
        <v>0</v>
      </c>
      <c r="Q37" s="102" t="str">
        <f t="shared" si="6"/>
        <v>[ROLE] Tech Lead | [TASK] Assign incomplete Python script challenges | [TOPIC] Implement advanced error handling architectures by catching specific requests.exceptions such as Timeout or ConnectionError to execute targeted fallback logic instead of generic failures. | [LEVEL] Advanced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#29 | Stage 3 🧩 Complete | Python - Requests | 📊 Level: Advanced | 🌐 Coding5s.com
**Concept:** Catching Specific Network Exceptions (Timeout, ConnectionError, RequestException)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advanced error handling architectures by catching specific requests.exceptions such as Timeout or ConnectionError to execute targeted fallback logic instead of generic failures..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7"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advanced error handling architectures by catching specific requests.exceptions such as Timeout or ConnectionError to execute targeted fallback logic instead of generic failures.. Topic details: Catching Specific Network Exceptions (Timeout, ConnectionError, RequestException)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#29 | Complete | Python - Requests | 📊 Level: Advanced
**Topic:** Implement advanced error handling architectures by catching specific requests.exceptions such as Timeout or ConnectionError to execute targeted fallback logic instead of generic failures.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7" s="53">
        <v>0</v>
      </c>
      <c r="T37" s="102" t="str">
        <f t="shared" si="8"/>
        <v>[ROLE] Tech Lead | [TASK] Provide intentionally messy but functional code for learning debugging and improvement | [TOPIC] Implement advanced error handling architectures by catching specific requests.exceptions such as Timeout or ConnectionError to execute targeted fallback logic instead of generic failures. | [LEVEL] Advanced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#29 | Stage 4 🧹 Refactor | Python - Requests | 📊 Level: Advanced | 🌐 Coding5s.com
**Concept:** Catching Specific Network Exceptions (Timeout, ConnectionError, RequestException)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Implement advanced error handling architectures by catching specific requests.exceptions such as Timeout or ConnectionError to execute targeted fallback logic instead of generic failures.. Topic details: Catching Specific Network Exceptions (Timeout, ConnectionError, RequestException)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#29 | Refactor | Python - Requests | 📊 Level: Advanced
**Topic:** Implement advanced error handling architectures by catching specific requests.exceptions such as Timeout or ConnectionError to execute targeted fallback logic instead of generic failures.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7" s="53">
        <v>0</v>
      </c>
      <c r="W37" s="87" t="str">
        <f t="shared" si="10"/>
        <v>[ROLE] Tech Product Manager assigning a Python Jira Ticket | [TASK] Provide a guided implementation exercise with full solution for learning purposes | [TOPIC] Implement advanced error handling architectures by catching specific requests.exceptions such as Timeout or ConnectionError to execute targeted fallback logic instead of generic failures. | [LEVEL] Advanced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#29 | Stage 5 | Python - Requests | 📊 Level: Advanced | 🌐 Coding5s.com
**Concept:** Catching Specific Network Exceptions (Timeout, ConnectionError, RequestException)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advanced error handling architectures by catching specific requests.exceptions such as Timeout or ConnectionError to execute targeted fallback logic instead of generic failures.. Goal: Catching Specific Network Exceptions (Timeout, ConnectionError, RequestException)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#29 | Extend | Python - Requests | 📊 Level: Advanced
**Topic:** Implement advanced error handling architectures by catching specific requests.exceptions such as Timeout or ConnectionError to execute targeted fallback logic instead of generic failures.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7" s="53">
        <v>0</v>
      </c>
      <c r="Z37" s="56" t="str">
        <f t="shared" si="12"/>
        <v/>
      </c>
      <c r="AA37" s="56" t="str">
        <f t="shared" si="13"/>
        <v/>
      </c>
      <c r="AB37" s="56" t="str">
        <f t="shared" si="14"/>
        <v/>
      </c>
      <c r="AC37" s="56" t="str">
        <f t="shared" si="15"/>
        <v/>
      </c>
      <c r="AD37" s="56" t="str">
        <f t="shared" si="16"/>
        <v/>
      </c>
      <c r="AE37" s="40"/>
      <c r="AF37" s="40"/>
      <c r="AG37" s="40"/>
      <c r="AH37" s="56" t="str">
        <f t="shared" si="0"/>
        <v/>
      </c>
      <c r="AI37" s="54"/>
      <c r="AJ37" s="54"/>
      <c r="AK37" s="54">
        <v>29</v>
      </c>
      <c r="AL37" s="54" t="s">
        <v>149</v>
      </c>
      <c r="AM37" s="54" t="s">
        <v>150</v>
      </c>
    </row>
    <row r="38" spans="1:39">
      <c r="A38" s="45" t="str" cm="1">
        <f t="array" ref="A38">IF(H38="PROJECT", CHAR(10) &amp; "- " &amp; _xlfn.TEXTJOIN(CHAR(10) &amp; "- ", TRUE, _xlfn._xlws.FILTER($I$9:$I$1000, ($B$9:$B$1000=B38) * ($H$9:$H$1000="Topic"))), "")</f>
        <v xml:space="preserve">
- Optimize network performance by initializing a requests.Session() object to leverage HTTP connection pooling and persist parameters across multiple requests to the same host.
- Streamline API interactions by setting session-level default headers and authentication mechanisms on a requests.Session() instance to automatically apply them to all outbound requests.
- Manipulate and persist HTTP cookies across requests by extracting them from response.cookies, passing them via the cookies parameter, or utilizing a RequestsCookieJar within a session.
- Route outward HTTP and HTTPS traffic through intermediate proxy servers by passing a protocol-mapped dictionary to the proxies parameter in the requests library.
- Implement advanced error handling architectures by catching specific requests.exceptions such as Timeout or ConnectionError to execute targeted fallback logic instead of generic failures.</v>
      </c>
      <c r="B38" s="45">
        <f t="shared" si="1"/>
        <v>5</v>
      </c>
      <c r="C38" s="95" t="s">
        <v>857</v>
      </c>
      <c r="D38" s="57">
        <v>0</v>
      </c>
      <c r="E38" s="58" t="s">
        <v>723</v>
      </c>
      <c r="F38" s="59">
        <v>30</v>
      </c>
      <c r="G38" s="60" t="s">
        <v>159</v>
      </c>
      <c r="H38" s="60" t="s">
        <v>77</v>
      </c>
      <c r="I38" s="61" t="s">
        <v>843</v>
      </c>
      <c r="J38" s="62" t="s">
        <v>844</v>
      </c>
      <c r="K38" s="129" t="str">
        <f t="shared" si="2"/>
        <v>[TASK] Teach through a practical Python - Requests project following the micro-learning methodology, acting as a supportive tutor, creating a project about  Build a stateful API crawler application that takes an initial seed URL as input, processes the navigation of paginated endpoints utilizing a persistent Session with rotating proxies and resilient exception handling, and outputs an aggregated dataset of extracted resources. | [TOPICS USED] 
- Optimize network performance by initializing a requests.Session() object to leverage HTTP connection pooling and persist parameters across multiple requests to the same host.
- Streamline API interactions by setting session-level default headers and authentication mechanisms on a requests.Session() instance to automatically apply them to all outbound requests.
- Manipulate and persist HTTP cookies across requests by extracting them from response.cookies, passing them via the cookies parameter, or utilizing a RequestsCookieJar within a session.
- Route outward HTTP and HTTPS traffic through intermediate proxy servers by passing a protocol-mapped dictionary to the proxies parameter in the requests library.
- Implement advanced error handling architectures by catching specific requests.exceptions such as Timeout or ConnectionError to execute targeted fallback logic instead of generic failures. | [LEVEL] Advanced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#30 | Stage 1 | Python - Requests | 📊 Level: Advanced | 🌐 Coding5s.com
**Project:** Stateful API Crawler (Sessions, persistence, proxy rotation, resilient error catching)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38" s="103" t="str">
        <f t="shared" si="3"/>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Topics applied in this project: 
- Optimize network performance by initializing a requests.Session() object to leverage HTTP connection pooling and persist parameters across multiple requests to the same host.
- Streamline API interactions by setting session-level default headers and authentication mechanisms on a requests.Session() instance to automatically apply them to all outbound requests.
- Manipulate and persist HTTP cookies across requests by extracting them from response.cookies, passing them via the cookies parameter, or utilizing a RequestsCookieJar within a session.
- Route outward HTTP and HTTPS traffic through intermediate proxy servers by passing a protocol-mapped dictionary to the proxies parameter in the requests library.
- Implement advanced error handling architectures by catching specific requests.exceptions such as Timeout or ConnectionError to execute targeted fallback logic instead of generic failures.. Project objective: Stateful API Crawler (Sessions, persistence, proxy rotation, resilient error catching)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#30 | Practice | Python - Requests | 📊 Level: Advanced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
 | [FOOTER RULE - STRICT] End your response with: '--- ⚡ *Coding5s Mentor System — Eliminating Epistemic Debt*' | </v>
      </c>
      <c r="M38" s="52">
        <v>0</v>
      </c>
      <c r="N38" s="102" t="str">
        <f t="shared" si="4"/>
        <v>[ROLE] Careless Python Developer | [TASK] Generate debugging project in Python |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 [TOPICS USED] 
- Optimize network performance by initializing a requests.Session() object to leverage HTTP connection pooling and persist parameters across multiple requests to the same host.
- Streamline API interactions by setting session-level default headers and authentication mechanisms on a requests.Session() instance to automatically apply them to all outbound requests.
- Manipulate and persist HTTP cookies across requests by extracting them from response.cookies, passing them via the cookies parameter, or utilizing a RequestsCookieJar within a session.
- Route outward HTTP and HTTPS traffic through intermediate proxy servers by passing a protocol-mapped dictionary to the proxies parameter in the requests library.
- Implement advanced error handling architectures by catching specific requests.exceptions such as Timeout or ConnectionError to execute targeted fallback logic instead of generic failures. | [LEVEL] Advanced | [OUTPUT] Only header, dataset summary or statement (if any), email intro, objective, expected output, broken code, and footer | [HEADER RULE - STRICT] You MUST start your entire response EXACTLY with this markdown block (do not print anything before it):
### 🚀 Project #30 | Stage 2 | Python - Requests | 📊 Level: Advanced | 🌐 Coding5s.com
Project: Stateful API Crawler (Sessions, persistence, proxy rotation, resilient error catching)
---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38"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Topics involved: 
- Optimize network performance by initializing a requests.Session() object to leverage HTTP connection pooling and persist parameters across multiple requests to the same host.
- Streamline API interactions by setting session-level default headers and authentication mechanisms on a requests.Session() instance to automatically apply them to all outbound requests.
- Manipulate and persist HTTP cookies across requests by extracting them from response.cookies, passing them via the cookies parameter, or utilizing a RequestsCookieJar within a session.
- Route outward HTTP and HTTPS traffic through intermediate proxy servers by passing a protocol-mapped dictionary to the proxies parameter in the requests library.
- Implement advanced error handling architectures by catching specific requests.exceptions such as Timeout or ConnectionError to execute targeted fallback logic instead of generic failures.. Project objective: Stateful API Crawler (Sessions, persistence, proxy rotation, resilient error catching)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#30 | Debug | Python - Requests | 📊 Level: Advanced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8" s="52">
        <v>0</v>
      </c>
      <c r="Q38" s="102" t="str">
        <f t="shared" si="6"/>
        <v>[ROLE] Tech Lead | [TASK] Assign incomplete project script |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 [TOPICS USED] 
- Optimize network performance by initializing a requests.Session() object to leverage HTTP connection pooling and persist parameters across multiple requests to the same host.
- Streamline API interactions by setting session-level default headers and authentication mechanisms on a requests.Session() instance to automatically apply them to all outbound requests.
- Manipulate and persist HTTP cookies across requests by extracting them from response.cookies, passing them via the cookies parameter, or utilizing a RequestsCookieJar within a session.
- Route outward HTTP and HTTPS traffic through intermediate proxy servers by passing a protocol-mapped dictionary to the proxies parameter in the requests library.
- Implement advanced error handling architectures by catching specific requests.exceptions such as Timeout or ConnectionError to execute targeted fallback logic instead of generic failures. | [LEVEL] Advanced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#30 | Stage 3 | Python - Requests | 📊 Level: Advanced | 🌐 Coding5s.com
**Project:** Stateful API Crawler (Sessions, persistence, proxy rotation, resilient error catching)
---
 | [EXTERNAL_PACKAGE_PROTOCOL] Require standard pip tooling and requirements.txt for dependencies. | [CHALLENGE_CONSTRAINTS_POLICY] MUST be between 40–100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38"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Topics involved: 
- Optimize network performance by initializing a requests.Session() object to leverage HTTP connection pooling and persist parameters across multiple requests to the same host.
- Streamline API interactions by setting session-level default headers and authentication mechanisms on a requests.Session() instance to automatically apply them to all outbound requests.
- Manipulate and persist HTTP cookies across requests by extracting them from response.cookies, passing them via the cookies parameter, or utilizing a RequestsCookieJar within a session.
- Route outward HTTP and HTTPS traffic through intermediate proxy servers by passing a protocol-mapped dictionary to the proxies parameter in the requests library.
- Implement advanced error handling architectures by catching specific requests.exceptions such as Timeout or ConnectionError to execute targeted fallback logic instead of generic failures.. Project objective: Stateful API Crawler (Sessions, persistence, proxy rotation, resilient error catching)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#30 | Complete | Python - Requests | 📊 Level: Advanced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8" s="52">
        <v>0</v>
      </c>
      <c r="T38" s="102" t="str">
        <f t="shared" si="8"/>
        <v>[ROLE] Tech Lead | [TASK] Provide a messy but functional project for refactoring |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 [TOPICS USED] 
- Optimize network performance by initializing a requests.Session() object to leverage HTTP connection pooling and persist parameters across multiple requests to the same host.
- Streamline API interactions by setting session-level default headers and authentication mechanisms on a requests.Session() instance to automatically apply them to all outbound requests.
- Manipulate and persist HTTP cookies across requests by extracting them from response.cookies, passing them via the cookies parameter, or utilizing a RequestsCookieJar within a session.
- Route outward HTTP and HTTPS traffic through intermediate proxy servers by passing a protocol-mapped dictionary to the proxies parameter in the requests library.
- Implement advanced error handling architectures by catching specific requests.exceptions such as Timeout or ConnectionError to execute targeted fallback logic instead of generic failures. | [LEVEL] Advanced | [PERSONA RULE] Act as a Tech Lead. A junior wrote this working but messy code. Tone: professional but exhausted | [HEADER RULE - STRICT] You MUST start your entire response EXACTLY with this markdown block (do not print anything before it):
### 🚀 Project #30 | Stage 4 | Python - Requests | 📊 Level: Advanced | 🌐 Coding5s.com
**Project:** Stateful API Crawler (Sessions, persistence, proxy rotation, resilient error catching)
---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3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Topics involved: 
- Optimize network performance by initializing a requests.Session() object to leverage HTTP connection pooling and persist parameters across multiple requests to the same host.
- Streamline API interactions by setting session-level default headers and authentication mechanisms on a requests.Session() instance to automatically apply them to all outbound requests.
- Manipulate and persist HTTP cookies across requests by extracting them from response.cookies, passing them via the cookies parameter, or utilizing a RequestsCookieJar within a session.
- Route outward HTTP and HTTPS traffic through intermediate proxy servers by passing a protocol-mapped dictionary to the proxies parameter in the requests library.
- Implement advanced error handling architectures by catching specific requests.exceptions such as Timeout or ConnectionError to execute targeted fallback logic instead of generic failures.. Project objective: Stateful API Crawler (Sessions, persistence, proxy rotation, resilient error catching)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#30 | Refactor | Python - Requests | 📊 Level: Advanced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8" s="52">
        <v>0</v>
      </c>
      <c r="W38" s="87" t="str">
        <f t="shared" si="10"/>
        <v>[ROLE] Tech Product Manager assigning a Python Jira Ticket | [TASK] Provide a guided project implementation with full solution |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 [TOPICS USED] 
- Optimize network performance by initializing a requests.Session() object to leverage HTTP connection pooling and persist parameters across multiple requests to the same host.
- Streamline API interactions by setting session-level default headers and authentication mechanisms on a requests.Session() instance to automatically apply them to all outbound requests.
- Manipulate and persist HTTP cookies across requests by extracting them from response.cookies, passing them via the cookies parameter, or utilizing a RequestsCookieJar within a session.
- Route outward HTTP and HTTPS traffic through intermediate proxy servers by passing a protocol-mapped dictionary to the proxies parameter in the requests library.
- Implement advanced error handling architectures by catching specific requests.exceptions such as Timeout or ConnectionError to execute targeted fallback logic instead of generic failures. | [LEVEL] Advanced | [PERSONA RULE] Act as a professional Tech Product Manager defining a project ticket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#30 | Stage 5 | Python - Requests | 📊 Level: Advanced | 🌐 Coding5s.com
**Project:** Stateful API Crawler (Sessions, persistence, proxy rotation, resilient error catching)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3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Topics integrated: 
- Optimize network performance by initializing a requests.Session() object to leverage HTTP connection pooling and persist parameters across multiple requests to the same host.
- Streamline API interactions by setting session-level default headers and authentication mechanisms on a requests.Session() instance to automatically apply them to all outbound requests.
- Manipulate and persist HTTP cookies across requests by extracting them from response.cookies, passing them via the cookies parameter, or utilizing a RequestsCookieJar within a session.
- Route outward HTTP and HTTPS traffic through intermediate proxy servers by passing a protocol-mapped dictionary to the proxies parameter in the requests library.
- Implement advanced error handling architectures by catching specific requests.exceptions such as Timeout or ConnectionError to execute targeted fallback logic instead of generic failures.. Business Goal: Stateful API Crawler (Sessions, persistence, proxy rotation, resilient error catching)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#30 | Extend | Python - Requests | 📊 Level: Advanced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8" s="52">
        <v>0</v>
      </c>
      <c r="Z38" s="56" t="str">
        <f t="shared" si="12"/>
        <v>[TASK] Teach through a practical Python - Requests project following the micro-learning methodology, acting as a supportive tutor, creating a project about  Build a stateful API crawler application that takes an initial seed URL as input, processes the navigation of paginated endpoints utilizing a persistent Session with rotating proxies and resilient exception handling, and outputs an aggregated dataset of extracted resources. | [TOPICS USED] 
- Optimize network performance by initializing a requests.Session() object to leverage HTTP connection pooling and persist parameters across multiple requests to the same host.
- Streamline API interactions by setting session-level default headers and authentication mechanisms on a requests.Session() instance to automatically apply them to all outbound requests.
- Manipulate and persist HTTP cookies across requests by extracting them from response.cookies, passing them via the cookies parameter, or utilizing a RequestsCookieJar within a session.
- Route outward HTTP and HTTPS traffic through intermediate proxy servers by passing a protocol-mapped dictionary to the proxies parameter in the requests library.
- Implement advanced error handling architectures by catching specific requests.exceptions such as Timeout or ConnectionError to execute targeted fallback logic instead of generic failures. | [LEVEL] Advanced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#30 | Stage 1 | Python - Requests | 📊 Level: Advanced | 🌐 Coding5s.com
**Project:** Stateful API Crawler (Sessions, persistence, proxy rotation, resilient error catching)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38" s="56" t="str">
        <f t="shared" si="13"/>
        <v>[ROLE] Careless Python Developer | [TASK] Generate debugging project in Python |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 [TOPICS USED] 
- Optimize network performance by initializing a requests.Session() object to leverage HTTP connection pooling and persist parameters across multiple requests to the same host.
- Streamline API interactions by setting session-level default headers and authentication mechanisms on a requests.Session() instance to automatically apply them to all outbound requests.
- Manipulate and persist HTTP cookies across requests by extracting them from response.cookies, passing them via the cookies parameter, or utilizing a RequestsCookieJar within a session.
- Route outward HTTP and HTTPS traffic through intermediate proxy servers by passing a protocol-mapped dictionary to the proxies parameter in the requests library.
- Implement advanced error handling architectures by catching specific requests.exceptions such as Timeout or ConnectionError to execute targeted fallback logic instead of generic failures. | [LEVEL] Advanced | [OUTPUT] Only header, dataset summary or statement (if any), email intro, objective, expected output, broken code, and footer | [HEADER RULE - STRICT] You MUST start your entire response EXACTLY with this markdown block (do not print anything before it):
### 🚀 Project #30 | Stage 2 | Python - Requests | 📊 Level: Advanced | 🌐 Coding5s.com
Project: Stateful API Crawler (Sessions, persistence, proxy rotation, resilient error catching)
---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38" s="56" t="str">
        <f t="shared" si="14"/>
        <v>[ROLE] Tech Lead | [TASK] Assign incomplete project script |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 [TOPICS USED] 
- Optimize network performance by initializing a requests.Session() object to leverage HTTP connection pooling and persist parameters across multiple requests to the same host.
- Streamline API interactions by setting session-level default headers and authentication mechanisms on a requests.Session() instance to automatically apply them to all outbound requests.
- Manipulate and persist HTTP cookies across requests by extracting them from response.cookies, passing them via the cookies parameter, or utilizing a RequestsCookieJar within a session.
- Route outward HTTP and HTTPS traffic through intermediate proxy servers by passing a protocol-mapped dictionary to the proxies parameter in the requests library.
- Implement advanced error handling architectures by catching specific requests.exceptions such as Timeout or ConnectionError to execute targeted fallback logic instead of generic failures. | [LEVEL] Advanced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#30 | Stage 3 | Python - Requests | 📊 Level: Advanced | 🌐 Coding5s.com
**Project:** Stateful API Crawler (Sessions, persistence, proxy rotation, resilient error catching)
---
 | [EXTERNAL_PACKAGE_PROTOCOL] Require standard pip tooling and requirements.txt for dependencies. | [CHALLENGE_CONSTRAINTS_POLICY] MUST be between 40–100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38" s="56" t="str">
        <f t="shared" si="15"/>
        <v>[ROLE] Tech Lead | [TASK] Provide a messy but functional project for refactoring |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 [TOPICS USED] 
- Optimize network performance by initializing a requests.Session() object to leverage HTTP connection pooling and persist parameters across multiple requests to the same host.
- Streamline API interactions by setting session-level default headers and authentication mechanisms on a requests.Session() instance to automatically apply them to all outbound requests.
- Manipulate and persist HTTP cookies across requests by extracting them from response.cookies, passing them via the cookies parameter, or utilizing a RequestsCookieJar within a session.
- Route outward HTTP and HTTPS traffic through intermediate proxy servers by passing a protocol-mapped dictionary to the proxies parameter in the requests library.
- Implement advanced error handling architectures by catching specific requests.exceptions such as Timeout or ConnectionError to execute targeted fallback logic instead of generic failures. | [LEVEL] Advanced | [PERSONA RULE] Act as a Tech Lead. A junior wrote this working but messy code. Tone: professional but exhausted | [HEADER RULE - STRICT] You MUST start your entire response EXACTLY with this markdown block (do not print anything before it):
### 🚀 Project #30 | Stage 4 | Python - Requests | 📊 Level: Advanced | 🌐 Coding5s.com
**Project:** Stateful API Crawler (Sessions, persistence, proxy rotation, resilient error catching)
---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38" s="56" t="str">
        <f t="shared" si="16"/>
        <v>[ROLE] Tech Product Manager assigning a Python Jira Ticket | [TASK] Provide a guided project implementation with full solution |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 [TOPICS USED] 
- Optimize network performance by initializing a requests.Session() object to leverage HTTP connection pooling and persist parameters across multiple requests to the same host.
- Streamline API interactions by setting session-level default headers and authentication mechanisms on a requests.Session() instance to automatically apply them to all outbound requests.
- Manipulate and persist HTTP cookies across requests by extracting them from response.cookies, passing them via the cookies parameter, or utilizing a RequestsCookieJar within a session.
- Route outward HTTP and HTTPS traffic through intermediate proxy servers by passing a protocol-mapped dictionary to the proxies parameter in the requests library.
- Implement advanced error handling architectures by catching specific requests.exceptions such as Timeout or ConnectionError to execute targeted fallback logic instead of generic failures. | [LEVEL] Advanced | [PERSONA RULE] Act as a professional Tech Product Manager defining a project ticket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#30 | Stage 5 | Python - Requests | 📊 Level: Advanced | 🌐 Coding5s.com
**Project:** Stateful API Crawler (Sessions, persistence, proxy rotation, resilient error catching)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38" s="40"/>
      <c r="AF38" s="40"/>
      <c r="AG38" s="40"/>
      <c r="AH38" s="56" t="str">
        <f t="shared" si="0"/>
        <v/>
      </c>
      <c r="AI38" s="54"/>
      <c r="AJ38" s="54"/>
      <c r="AK38" s="54">
        <v>30</v>
      </c>
      <c r="AL38" s="54" t="s">
        <v>152</v>
      </c>
      <c r="AM38" s="54" t="s">
        <v>153</v>
      </c>
    </row>
    <row r="39" spans="1:39">
      <c r="A39" s="45" t="str" cm="1">
        <f t="array" ref="A39">IF(H39="PROJECT", CHAR(10) &amp; "- " &amp; _xlfn.TEXTJOIN(CHAR(10) &amp; "- ", TRUE, _xlfn._xlws.FILTER($I$9:$I$1000, ($B$9:$B$1000=B39) * ($H$9:$H$1000="Topic"))), "")</f>
        <v/>
      </c>
      <c r="B39" s="45">
        <f t="shared" si="1"/>
        <v>6</v>
      </c>
      <c r="C39" s="95">
        <v>8</v>
      </c>
      <c r="D39" s="46">
        <v>5</v>
      </c>
      <c r="E39" s="58" t="s">
        <v>723</v>
      </c>
      <c r="F39" s="48">
        <v>31</v>
      </c>
      <c r="G39" s="49" t="s">
        <v>159</v>
      </c>
      <c r="H39" s="49" t="s">
        <v>48</v>
      </c>
      <c r="I39" s="50" t="s">
        <v>845</v>
      </c>
      <c r="J39" s="51" t="s">
        <v>846</v>
      </c>
      <c r="K39" s="129" t="str">
        <f t="shared" si="2"/>
        <v xml:space="preserve">[ROLE] Friendly tutor specializing in Python | [TOPIC] Consume Server-Sent Events (SSE) or continuous text streams by enabling stream=True and processing the incoming data line-by-line using the .iter_lines() method. | [LEVEL] Advanced | [COUNT] 5 examples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#31 | Stage 1 📖 Practice | Python - Requests | 📊 Level: Advanced | 🌐 Coding5s.com
**Concept:** Streaming Text Lines and SSE (stream=True, .iter_lines())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9" s="103" t="str">
        <f t="shared" si="3"/>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Consume Server-Sent Events (SSE) or continuous text streams by enabling stream=True and processing the incoming data line-by-line using the .iter_lines() method.. Topic details: Streaming Text Lines and SSE (stream=True, .iter_lines())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#31 | Practice | Python - Requests | 📊 Level: Advanced
**Topic:** Consume Server-Sent Events (SSE) or continuous text streams by enabling stream=True and processing the incoming data line-by-line using the .iter_lines() method.
---
 | [FOOTER RULE - STRICT] End your response with: '--- ⚡ *Coding5s Mentor System — Eliminating Epistemic Debt*' | </v>
      </c>
      <c r="M39" s="53">
        <v>0</v>
      </c>
      <c r="N39" s="102" t="str">
        <f t="shared" si="4"/>
        <v>[ROLE] Careless Python Developer | [TASK] Generate debugging challenges in Python | | [TOPIC] Consume Server-Sent Events (SSE) or continuous text streams by enabling stream=True and processing the incoming data line-by-line using the .iter_lines() method. | | [LEVEL] Advanced |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#31 | Stage 2 🐛 Debug | Python - Requests | 📊 Level: Advanced | 🌐 Coding5s.com
Concept: Streaming Text Lines and SSE (stream=True, .iter_lines())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9"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Consume Server-Sent Events (SSE) or continuous text streams by enabling stream=True and processing the incoming data line-by-line using the .iter_lines() method.. Topic details: Streaming Text Lines and SSE (stream=True, .iter_lines())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#31 | Debug | Python - Requests | 📊 Level: Advanced
**Topic:** Consume Server-Sent Events (SSE) or continuous text streams by enabling stream=True and processing the incoming data line-by-line using the .iter_lines() method.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9" s="53">
        <v>0</v>
      </c>
      <c r="Q39" s="102" t="str">
        <f t="shared" si="6"/>
        <v>[ROLE] Tech Lead | [TASK] Assign incomplete Python script challenges | [TOPIC] Consume Server-Sent Events (SSE) or continuous text streams by enabling stream=True and processing the incoming data line-by-line using the .iter_lines() method. | [LEVEL] Advanced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#31 | Stage 3 🧩 Complete | Python - Requests | 📊 Level: Advanced | 🌐 Coding5s.com
**Concept:** Streaming Text Lines and SSE (stream=True, .iter_lines())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Consume Server-Sent Events (SSE) or continuous text streams by enabling stream=True and processing the incoming data line-by-line using the .iter_lines() method..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9"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Consume Server-Sent Events (SSE) or continuous text streams by enabling stream=True and processing the incoming data line-by-line using the .iter_lines() method.. Topic details: Streaming Text Lines and SSE (stream=True, .iter_lines())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#31 | Complete | Python - Requests | 📊 Level: Advanced
**Topic:** Consume Server-Sent Events (SSE) or continuous text streams by enabling stream=True and processing the incoming data line-by-line using the .iter_lines() method.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9" s="53">
        <v>0</v>
      </c>
      <c r="T39" s="102" t="str">
        <f t="shared" si="8"/>
        <v>[ROLE] Tech Lead | [TASK] Provide intentionally messy but functional code for learning debugging and improvement | [TOPIC] Consume Server-Sent Events (SSE) or continuous text streams by enabling stream=True and processing the incoming data line-by-line using the .iter_lines() method. | [LEVEL] Advanced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#31 | Stage 4 🧹 Refactor | Python - Requests | 📊 Level: Advanced | 🌐 Coding5s.com
**Concept:** Streaming Text Lines and SSE (stream=True, .iter_lines())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Consume Server-Sent Events (SSE) or continuous text streams by enabling stream=True and processing the incoming data line-by-line using the .iter_lines() method.. Topic details: Streaming Text Lines and SSE (stream=True, .iter_lines())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#31 | Refactor | Python - Requests | 📊 Level: Advanced
**Topic:** Consume Server-Sent Events (SSE) or continuous text streams by enabling stream=True and processing the incoming data line-by-line using the .iter_lines() method.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9" s="53">
        <v>0</v>
      </c>
      <c r="W39" s="87" t="str">
        <f t="shared" si="10"/>
        <v>[ROLE] Tech Product Manager assigning a Python Jira Ticket | [TASK] Provide a guided implementation exercise with full solution for learning purposes | [TOPIC] Consume Server-Sent Events (SSE) or continuous text streams by enabling stream=True and processing the incoming data line-by-line using the .iter_lines() method. | [LEVEL] Advanced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#31 | Stage 5 | Python - Requests | 📊 Level: Advanced | 🌐 Coding5s.com
**Concept:** Streaming Text Lines and SSE (stream=True, .iter_lines())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Consume Server-Sent Events (SSE) or continuous text streams by enabling stream=True and processing the incoming data line-by-line using the .iter_lines() method.. Goal: Streaming Text Lines and SSE (stream=True, .iter_lines())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#31 | Extend | Python - Requests | 📊 Level: Advanced
**Topic:** Consume Server-Sent Events (SSE) or continuous text streams by enabling stream=True and processing the incoming data line-by-line using the .iter_lines() method.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9" s="53">
        <v>0</v>
      </c>
      <c r="Z39" s="56" t="str">
        <f t="shared" si="12"/>
        <v/>
      </c>
      <c r="AA39" s="56" t="str">
        <f t="shared" si="13"/>
        <v/>
      </c>
      <c r="AB39" s="56" t="str">
        <f t="shared" si="14"/>
        <v/>
      </c>
      <c r="AC39" s="56" t="str">
        <f t="shared" si="15"/>
        <v/>
      </c>
      <c r="AD39" s="56" t="str">
        <f t="shared" si="16"/>
        <v/>
      </c>
      <c r="AE39" s="40"/>
      <c r="AF39" s="40"/>
      <c r="AG39" s="40"/>
      <c r="AH39" s="56" t="str">
        <f t="shared" si="0"/>
        <v/>
      </c>
      <c r="AI39" s="54"/>
      <c r="AJ39" s="54"/>
      <c r="AK39" s="54">
        <v>31</v>
      </c>
      <c r="AL39" s="54" t="s">
        <v>49</v>
      </c>
      <c r="AM39" s="54" t="s">
        <v>50</v>
      </c>
    </row>
    <row r="40" spans="1:39">
      <c r="A40" s="45" t="str" cm="1">
        <f t="array" ref="A40">IF(H40="PROJECT", CHAR(10) &amp; "- " &amp; _xlfn.TEXTJOIN(CHAR(10) &amp; "- ", TRUE, _xlfn._xlws.FILTER($I$9:$I$1000, ($B$9:$B$1000=B40) * ($H$9:$H$1000="Topic"))), "")</f>
        <v/>
      </c>
      <c r="B40" s="45">
        <f t="shared" si="1"/>
        <v>6</v>
      </c>
      <c r="C40" s="95">
        <v>10</v>
      </c>
      <c r="D40" s="57">
        <v>5</v>
      </c>
      <c r="E40" s="58" t="s">
        <v>46</v>
      </c>
      <c r="F40" s="59">
        <v>32</v>
      </c>
      <c r="G40" s="60" t="s">
        <v>159</v>
      </c>
      <c r="H40" s="60" t="s">
        <v>48</v>
      </c>
      <c r="I40" s="61" t="s">
        <v>847</v>
      </c>
      <c r="J40" s="62" t="s">
        <v>848</v>
      </c>
      <c r="K40" s="129" t="str">
        <f t="shared" si="2"/>
        <v xml:space="preserve">[ROLE] Friendly tutor specializing in Python | [TOPIC] Automate post-request processing logic by attaching custom Python callback functions to the hooks parameter to implicitly modify or log response objects immediately upon receipt. | [LEVEL] Advanced | [COUNT] 5 examples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10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#32 | Stage 1 📖 Practice | Python - Requests | 📊 Level: Advanced | 🌐 Coding5s.com
**Concept:** Attaching Callbacks to Responses (hooks={'response': callback_function})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0" s="103" t="str">
        <f t="shared" si="3"/>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Automate post-request processing logic by attaching custom Python callback functions to the hooks parameter to implicitly modify or log response objects immediately upon receipt.. Topic details: Attaching Callbacks to Responses (hooks={'response': callback_function})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#32 | Practice | Python - Requests | 📊 Level: Advanced
**Topic:** Automate post-request processing logic by attaching custom Python callback functions to the hooks parameter to implicitly modify or log response objects immediately upon receipt.
---
 | [FOOTER RULE - STRICT] End your response with: '--- ⚡ *Coding5s Mentor System — Eliminating Epistemic Debt*' | </v>
      </c>
      <c r="M40" s="52">
        <v>0</v>
      </c>
      <c r="N40" s="102" t="str">
        <f t="shared" si="4"/>
        <v>[ROLE] Careless Python Developer | [TASK] Generate debugging challenges in Python | | [TOPIC] Automate post-request processing logic by attaching custom Python callback functions to the hooks parameter to implicitly modify or log response objects immediately upon receipt. | | [LEVEL] Advanced |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#32 | Stage 2 🐛 Debug | Python - Requests | 📊 Level: Advanced | 🌐 Coding5s.com
Concept: Attaching Callbacks to Responses (hooks={'response': callback_function})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0"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Automate post-request processing logic by attaching custom Python callback functions to the hooks parameter to implicitly modify or log response objects immediately upon receipt.. Topic details: Attaching Callbacks to Responses (hooks={'response': callback_function})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#32 | Debug | Python - Requests | 📊 Level: Advanced
**Topic:** Automate post-request processing logic by attaching custom Python callback functions to the hooks parameter to implicitly modify or log response objects immediately upon receipt.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0" s="52">
        <v>0</v>
      </c>
      <c r="Q40" s="102" t="str">
        <f t="shared" si="6"/>
        <v>[ROLE] Tech Lead | [TASK] Assign incomplete Python script challenges | [TOPIC] Automate post-request processing logic by attaching custom Python callback functions to the hooks parameter to implicitly modify or log response objects immediately upon receipt. | [LEVEL] Advanced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#32 | Stage 3 🧩 Complete | Python - Requests | 📊 Level: Advanced | 🌐 Coding5s.com
**Concept:** Attaching Callbacks to Responses (hooks={'response': callback_function})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Automate post-request processing logic by attaching custom Python callback functions to the hooks parameter to implicitly modify or log response objects immediately upon receipt..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0"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Automate post-request processing logic by attaching custom Python callback functions to the hooks parameter to implicitly modify or log response objects immediately upon receipt.. Topic details: Attaching Callbacks to Responses (hooks={'response': callback_function})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#32 | Complete | Python - Requests | 📊 Level: Advanced
**Topic:** Automate post-request processing logic by attaching custom Python callback functions to the hooks parameter to implicitly modify or log response objects immediately upon receipt.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0" s="52">
        <v>0</v>
      </c>
      <c r="T40" s="102" t="str">
        <f t="shared" si="8"/>
        <v>[ROLE] Tech Lead | [TASK] Provide intentionally messy but functional code for learning debugging and improvement | [TOPIC] Automate post-request processing logic by attaching custom Python callback functions to the hooks parameter to implicitly modify or log response objects immediately upon receipt. | [LEVEL] Advanced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#32 | Stage 4 🧹 Refactor | Python - Requests | 📊 Level: Advanced | 🌐 Coding5s.com
**Concept:** Attaching Callbacks to Responses (hooks={'response': callback_function})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Automate post-request processing logic by attaching custom Python callback functions to the hooks parameter to implicitly modify or log response objects immediately upon receipt.. Topic details: Attaching Callbacks to Responses (hooks={'response': callback_function})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#32 | Refactor | Python - Requests | 📊 Level: Advanced
**Topic:** Automate post-request processing logic by attaching custom Python callback functions to the hooks parameter to implicitly modify or log response objects immediately upon receipt.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0" s="52">
        <v>0</v>
      </c>
      <c r="W40" s="87" t="str">
        <f t="shared" si="10"/>
        <v>[ROLE] Tech Product Manager assigning a Python Jira Ticket | [TASK] Provide a guided implementation exercise with full solution for learning purposes | [TOPIC] Automate post-request processing logic by attaching custom Python callback functions to the hooks parameter to implicitly modify or log response objects immediately upon receipt. | [LEVEL] Advanced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#32 | Stage 5 | Python - Requests | 📊 Level: Advanced | 🌐 Coding5s.com
**Concept:** Attaching Callbacks to Responses (hooks={'response': callback_function})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Automate post-request processing logic by attaching custom Python callback functions to the hooks parameter to implicitly modify or log response objects immediately upon receipt.. Goal: Attaching Callbacks to Responses (hooks={'response': callback_function})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#32 | Extend | Python - Requests | 📊 Level: Advanced
**Topic:** Automate post-request processing logic by attaching custom Python callback functions to the hooks parameter to implicitly modify or log response objects immediately upon receipt.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0" s="52">
        <v>0</v>
      </c>
      <c r="Z40" s="56" t="str">
        <f t="shared" si="12"/>
        <v/>
      </c>
      <c r="AA40" s="56" t="str">
        <f t="shared" si="13"/>
        <v/>
      </c>
      <c r="AB40" s="56" t="str">
        <f t="shared" si="14"/>
        <v/>
      </c>
      <c r="AC40" s="56" t="str">
        <f t="shared" si="15"/>
        <v/>
      </c>
      <c r="AD40" s="56" t="str">
        <f t="shared" si="16"/>
        <v/>
      </c>
      <c r="AE40" s="40"/>
      <c r="AF40" s="40"/>
      <c r="AG40" s="40"/>
      <c r="AH40" s="56" t="str">
        <f t="shared" si="0"/>
        <v/>
      </c>
      <c r="AI40" s="54"/>
      <c r="AJ40" s="54"/>
      <c r="AK40" s="54">
        <v>32</v>
      </c>
      <c r="AL40" s="54" t="s">
        <v>55</v>
      </c>
      <c r="AM40" s="54" t="s">
        <v>56</v>
      </c>
    </row>
    <row r="41" spans="1:39">
      <c r="A41" s="45" t="str" cm="1">
        <f t="array" ref="A41">IF(H41="PROJECT", CHAR(10) &amp; "- " &amp; _xlfn.TEXTJOIN(CHAR(10) &amp; "- ", TRUE, _xlfn._xlws.FILTER($I$9:$I$1000, ($B$9:$B$1000=B41) * ($H$9:$H$1000="Topic"))), "")</f>
        <v/>
      </c>
      <c r="B41" s="45">
        <f t="shared" si="1"/>
        <v>6</v>
      </c>
      <c r="C41" s="95">
        <v>12</v>
      </c>
      <c r="D41" s="46">
        <v>5</v>
      </c>
      <c r="E41" s="58" t="s">
        <v>46</v>
      </c>
      <c r="F41" s="48">
        <v>33</v>
      </c>
      <c r="G41" s="49" t="s">
        <v>159</v>
      </c>
      <c r="H41" s="49" t="s">
        <v>48</v>
      </c>
      <c r="I41" s="50" t="s">
        <v>849</v>
      </c>
      <c r="J41" s="51" t="s">
        <v>850</v>
      </c>
      <c r="K41" s="129" t="str">
        <f t="shared" si="2"/>
        <v xml:space="preserve">[ROLE] Friendly tutor specializing in Python | [TOPIC] Construct highly customized HTTP requests by manually instantiating a Request object, compiling it using Session.prepare_request(), and executing it via Session.send() for absolute control over network payloads. | [LEVEL] Advanced | [COUNT] 5 examples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#33 | Stage 1 📖 Practice | Python - Requests | 📊 Level: Advanced | 🌐 Coding5s.com
**Concept:** Manual Request Crafting (Request, Session.prepare_request, Session.send)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1" s="103" t="str">
        <f t="shared" si="3"/>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highly customized HTTP requests by manually instantiating a Request object, compiling it using Session.prepare_request(), and executing it via Session.send() for absolute control over network payloads.. Topic details: Manual Request Crafting (Request, Session.prepare_request, Session.send)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#33 | Practice | Python - Requests | 📊 Level: Advanced
**Topic:** Construct highly customized HTTP requests by manually instantiating a Request object, compiling it using Session.prepare_request(), and executing it via Session.send() for absolute control over network payloads.
---
 | [FOOTER RULE - STRICT] End your response with: '--- ⚡ *Coding5s Mentor System — Eliminating Epistemic Debt*' | </v>
      </c>
      <c r="M41" s="53">
        <v>0</v>
      </c>
      <c r="N41" s="102" t="str">
        <f t="shared" si="4"/>
        <v>[ROLE] Careless Python Developer | [TASK] Generate debugging challenges in Python | | [TOPIC] Construct highly customized HTTP requests by manually instantiating a Request object, compiling it using Session.prepare_request(), and executing it via Session.send() for absolute control over network payloads. | | [LEVEL] Advanced |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#33 | Stage 2 🐛 Debug | Python - Requests | 📊 Level: Advanced | 🌐 Coding5s.com
Concept: Manual Request Crafting (Request, Session.prepare_request, Session.send)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1"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highly customized HTTP requests by manually instantiating a Request object, compiling it using Session.prepare_request(), and executing it via Session.send() for absolute control over network payloads.. Topic details: Manual Request Crafting (Request, Session.prepare_request, Session.send)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#33 | Debug | Python - Requests | 📊 Level: Advanced
**Topic:** Construct highly customized HTTP requests by manually instantiating a Request object, compiling it using Session.prepare_request(), and executing it via Session.send() for absolute control over network payloads.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1" s="53">
        <v>0</v>
      </c>
      <c r="Q41" s="102" t="str">
        <f t="shared" si="6"/>
        <v>[ROLE] Tech Lead | [TASK] Assign incomplete Python script challenges | [TOPIC] Construct highly customized HTTP requests by manually instantiating a Request object, compiling it using Session.prepare_request(), and executing it via Session.send() for absolute control over network payloads. | [LEVEL] Advanced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#33 | Stage 3 🧩 Complete | Python - Requests | 📊 Level: Advanced | 🌐 Coding5s.com
**Concept:** Manual Request Crafting (Request, Session.prepare_request, Session.send)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highly customized HTTP requests by manually instantiating a Request object, compiling it using Session.prepare_request(), and executing it via Session.send() for absolute control over network payloads..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1"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highly customized HTTP requests by manually instantiating a Request object, compiling it using Session.prepare_request(), and executing it via Session.send() for absolute control over network payloads.. Topic details: Manual Request Crafting (Request, Session.prepare_request, Session.send)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#33 | Complete | Python - Requests | 📊 Level: Advanced
**Topic:** Construct highly customized HTTP requests by manually instantiating a Request object, compiling it using Session.prepare_request(), and executing it via Session.send() for absolute control over network payloads.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1" s="53">
        <v>0</v>
      </c>
      <c r="T41" s="102" t="str">
        <f t="shared" si="8"/>
        <v>[ROLE] Tech Lead | [TASK] Provide intentionally messy but functional code for learning debugging and improvement | [TOPIC] Construct highly customized HTTP requests by manually instantiating a Request object, compiling it using Session.prepare_request(), and executing it via Session.send() for absolute control over network payloads. | [LEVEL] Advanced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#33 | Stage 4 🧹 Refactor | Python - Requests | 📊 Level: Advanced | 🌐 Coding5s.com
**Concept:** Manual Request Crafting (Request, Session.prepare_request, Session.send)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Construct highly customized HTTP requests by manually instantiating a Request object, compiling it using Session.prepare_request(), and executing it via Session.send() for absolute control over network payloads.. Topic details: Manual Request Crafting (Request, Session.prepare_request, Session.send)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#33 | Refactor | Python - Requests | 📊 Level: Advanced
**Topic:** Construct highly customized HTTP requests by manually instantiating a Request object, compiling it using Session.prepare_request(), and executing it via Session.send() for absolute control over network payloads.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1" s="53">
        <v>0</v>
      </c>
      <c r="W41" s="87" t="str">
        <f t="shared" si="10"/>
        <v>[ROLE] Tech Product Manager assigning a Python Jira Ticket | [TASK] Provide a guided implementation exercise with full solution for learning purposes | [TOPIC] Construct highly customized HTTP requests by manually instantiating a Request object, compiling it using Session.prepare_request(), and executing it via Session.send() for absolute control over network payloads. | [LEVEL] Advanced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#33 | Stage 5 | Python - Requests | 📊 Level: Advanced | 🌐 Coding5s.com
**Concept:** Manual Request Crafting (Request, Session.prepare_request, Session.send)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highly customized HTTP requests by manually instantiating a Request object, compiling it using Session.prepare_request(), and executing it via Session.send() for absolute control over network payloads.. Goal: Manual Request Crafting (Request, Session.prepare_request, Session.send)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#33 | Extend | Python - Requests | 📊 Level: Advanced
**Topic:** Construct highly customized HTTP requests by manually instantiating a Request object, compiling it using Session.prepare_request(), and executing it via Session.send() for absolute control over network payloads.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1" s="53">
        <v>0</v>
      </c>
      <c r="Z41" s="56" t="str">
        <f t="shared" si="12"/>
        <v/>
      </c>
      <c r="AA41" s="56" t="str">
        <f t="shared" si="13"/>
        <v/>
      </c>
      <c r="AB41" s="56" t="str">
        <f t="shared" si="14"/>
        <v/>
      </c>
      <c r="AC41" s="56" t="str">
        <f t="shared" si="15"/>
        <v/>
      </c>
      <c r="AD41" s="56" t="str">
        <f t="shared" si="16"/>
        <v/>
      </c>
      <c r="AE41" s="40"/>
      <c r="AF41" s="40"/>
      <c r="AG41" s="40"/>
      <c r="AH41" s="56" t="str">
        <f t="shared" ref="AH41:AH72" si="17">IF(AE41=$B$6,AG41,"")</f>
        <v/>
      </c>
      <c r="AI41" s="54"/>
      <c r="AJ41" s="54"/>
      <c r="AK41" s="54">
        <v>33</v>
      </c>
      <c r="AL41" s="54" t="s">
        <v>60</v>
      </c>
      <c r="AM41" s="54" t="s">
        <v>61</v>
      </c>
    </row>
    <row r="42" spans="1:39">
      <c r="A42" s="45" t="str" cm="1">
        <f t="array" ref="A42">IF(H42="PROJECT", CHAR(10) &amp; "- " &amp; _xlfn.TEXTJOIN(CHAR(10) &amp; "- ", TRUE, _xlfn._xlws.FILTER($I$9:$I$1000, ($B$9:$B$1000=B42) * ($H$9:$H$1000="Topic"))), "")</f>
        <v/>
      </c>
      <c r="B42" s="45">
        <f t="shared" si="1"/>
        <v>6</v>
      </c>
      <c r="C42" s="95">
        <v>10</v>
      </c>
      <c r="D42" s="57">
        <v>5</v>
      </c>
      <c r="E42" s="58" t="s">
        <v>46</v>
      </c>
      <c r="F42" s="59">
        <v>34</v>
      </c>
      <c r="G42" s="60" t="s">
        <v>159</v>
      </c>
      <c r="H42" s="60" t="s">
        <v>48</v>
      </c>
      <c r="I42" s="61" t="s">
        <v>851</v>
      </c>
      <c r="J42" s="62" t="s">
        <v>852</v>
      </c>
      <c r="K42" s="129" t="str">
        <f t="shared" si="2"/>
        <v xml:space="preserve">[ROLE] Friendly tutor specializing in Python | [TOPIC] Engineer resilient HTTP clients by configuring automatic procedural retries for transient failures using urllib3.util.Retry, wrapping it in an HTTPAdapter, and mounting it to a specific URL prefix via session.mount(). | [LEVEL] Advanced | [COUNT] 5 examples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10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#34 | Stage 1 📖 Practice | Python - Requests | 📊 Level: Advanced | 🌐 Coding5s.com
**Concept:** Configuring Procedural Retries (urllib3.util.Retry, HTTPAdapter, session.mount)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2" s="103" t="str">
        <f t="shared" si="3"/>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Engineer resilient HTTP clients by configuring automatic procedural retries for transient failures using urllib3.util.Retry, wrapping it in an HTTPAdapter, and mounting it to a specific URL prefix via session.mount().. Topic details: Configuring Procedural Retries (urllib3.util.Retry, HTTPAdapter, session.mount)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#34 | Practice | Python - Requests | 📊 Level: Advanced
**Topic:** Engineer resilient HTTP clients by configuring automatic procedural retries for transient failures using urllib3.util.Retry, wrapping it in an HTTPAdapter, and mounting it to a specific URL prefix via session.mount().
---
 | [FOOTER RULE - STRICT] End your response with: '--- ⚡ *Coding5s Mentor System — Eliminating Epistemic Debt*' | </v>
      </c>
      <c r="M42" s="52">
        <v>0</v>
      </c>
      <c r="N42" s="102" t="str">
        <f t="shared" si="4"/>
        <v>[ROLE] Careless Python Developer | [TASK] Generate debugging challenges in Python | | [TOPIC] Engineer resilient HTTP clients by configuring automatic procedural retries for transient failures using urllib3.util.Retry, wrapping it in an HTTPAdapter, and mounting it to a specific URL prefix via session.mount(). | | [LEVEL] Advanced |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#34 | Stage 2 🐛 Debug | Python - Requests | 📊 Level: Advanced | 🌐 Coding5s.com
Concept: Configuring Procedural Retries (urllib3.util.Retry, HTTPAdapter, session.mount)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2"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Engineer resilient HTTP clients by configuring automatic procedural retries for transient failures using urllib3.util.Retry, wrapping it in an HTTPAdapter, and mounting it to a specific URL prefix via session.mount().. Topic details: Configuring Procedural Retries (urllib3.util.Retry, HTTPAdapter, session.mount)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#34 | Debug | Python - Requests | 📊 Level: Advanced
**Topic:** Engineer resilient HTTP clients by configuring automatic procedural retries for transient failures using urllib3.util.Retry, wrapping it in an HTTPAdapter, and mounting it to a specific URL prefix via session.mount().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2" s="52">
        <v>0</v>
      </c>
      <c r="Q42" s="102" t="str">
        <f t="shared" si="6"/>
        <v>[ROLE] Tech Lead | [TASK] Assign incomplete Python script challenges | [TOPIC] Engineer resilient HTTP clients by configuring automatic procedural retries for transient failures using urllib3.util.Retry, wrapping it in an HTTPAdapter, and mounting it to a specific URL prefix via session.mount(). | [LEVEL] Advanced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#34 | Stage 3 🧩 Complete | Python - Requests | 📊 Level: Advanced | 🌐 Coding5s.com
**Concept:** Configuring Procedural Retries (urllib3.util.Retry, HTTPAdapter, session.mount)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Engineer resilient HTTP clients by configuring automatic procedural retries for transient failures using urllib3.util.Retry, wrapping it in an HTTPAdapter, and mounting it to a specific URL prefix via session.mount()..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2"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Engineer resilient HTTP clients by configuring automatic procedural retries for transient failures using urllib3.util.Retry, wrapping it in an HTTPAdapter, and mounting it to a specific URL prefix via session.mount().. Topic details: Configuring Procedural Retries (urllib3.util.Retry, HTTPAdapter, session.mount)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#34 | Complete | Python - Requests | 📊 Level: Advanced
**Topic:** Engineer resilient HTTP clients by configuring automatic procedural retries for transient failures using urllib3.util.Retry, wrapping it in an HTTPAdapter, and mounting it to a specific URL prefix via session.mount().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2" s="52">
        <v>0</v>
      </c>
      <c r="T42" s="102" t="str">
        <f t="shared" si="8"/>
        <v>[ROLE] Tech Lead | [TASK] Provide intentionally messy but functional code for learning debugging and improvement | [TOPIC] Engineer resilient HTTP clients by configuring automatic procedural retries for transient failures using urllib3.util.Retry, wrapping it in an HTTPAdapter, and mounting it to a specific URL prefix via session.mount(). | [LEVEL] Advanced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#34 | Stage 4 🧹 Refactor | Python - Requests | 📊 Level: Advanced | 🌐 Coding5s.com
**Concept:** Configuring Procedural Retries (urllib3.util.Retry, HTTPAdapter, session.mount)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Engineer resilient HTTP clients by configuring automatic procedural retries for transient failures using urllib3.util.Retry, wrapping it in an HTTPAdapter, and mounting it to a specific URL prefix via session.mount().. Topic details: Configuring Procedural Retries (urllib3.util.Retry, HTTPAdapter, session.mount)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#34 | Refactor | Python - Requests | 📊 Level: Advanced
**Topic:** Engineer resilient HTTP clients by configuring automatic procedural retries for transient failures using urllib3.util.Retry, wrapping it in an HTTPAdapter, and mounting it to a specific URL prefix via session.mount().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2" s="52">
        <v>0</v>
      </c>
      <c r="W42" s="87" t="str">
        <f t="shared" si="10"/>
        <v>[ROLE] Tech Product Manager assigning a Python Jira Ticket | [TASK] Provide a guided implementation exercise with full solution for learning purposes | [TOPIC] Engineer resilient HTTP clients by configuring automatic procedural retries for transient failures using urllib3.util.Retry, wrapping it in an HTTPAdapter, and mounting it to a specific URL prefix via session.mount(). | [LEVEL] Advanced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#34 | Stage 5 | Python - Requests | 📊 Level: Advanced | 🌐 Coding5s.com
**Concept:** Configuring Procedural Retries (urllib3.util.Retry, HTTPAdapter, session.mount)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Engineer resilient HTTP clients by configuring automatic procedural retries for transient failures using urllib3.util.Retry, wrapping it in an HTTPAdapter, and mounting it to a specific URL prefix via session.mount().. Goal: Configuring Procedural Retries (urllib3.util.Retry, HTTPAdapter, session.mount)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#34 | Extend | Python - Requests | 📊 Level: Advanced
**Topic:** Engineer resilient HTTP clients by configuring automatic procedural retries for transient failures using urllib3.util.Retry, wrapping it in an HTTPAdapter, and mounting it to a specific URL prefix via session.mount().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2" s="52">
        <v>0</v>
      </c>
      <c r="Z42" s="56" t="str">
        <f t="shared" si="12"/>
        <v/>
      </c>
      <c r="AA42" s="56" t="str">
        <f t="shared" si="13"/>
        <v/>
      </c>
      <c r="AB42" s="56" t="str">
        <f t="shared" si="14"/>
        <v/>
      </c>
      <c r="AC42" s="56" t="str">
        <f t="shared" si="15"/>
        <v/>
      </c>
      <c r="AD42" s="56" t="str">
        <f t="shared" si="16"/>
        <v/>
      </c>
      <c r="AE42" s="40"/>
      <c r="AF42" s="40"/>
      <c r="AG42" s="40"/>
      <c r="AH42" s="56" t="str">
        <f t="shared" si="17"/>
        <v/>
      </c>
      <c r="AI42" s="54"/>
      <c r="AJ42" s="54"/>
      <c r="AK42" s="54">
        <v>34</v>
      </c>
      <c r="AL42" s="54" t="s">
        <v>66</v>
      </c>
      <c r="AM42" s="54" t="s">
        <v>67</v>
      </c>
    </row>
    <row r="43" spans="1:39">
      <c r="A43" s="45" t="str" cm="1">
        <f t="array" ref="A43">IF(H43="PROJECT", CHAR(10) &amp; "- " &amp; _xlfn.TEXTJOIN(CHAR(10) &amp; "- ", TRUE, _xlfn._xlws.FILTER($I$9:$I$1000, ($B$9:$B$1000=B43) * ($H$9:$H$1000="Topic"))), "")</f>
        <v/>
      </c>
      <c r="B43" s="45">
        <f t="shared" si="1"/>
        <v>6</v>
      </c>
      <c r="C43" s="95">
        <v>12</v>
      </c>
      <c r="D43" s="46">
        <v>5</v>
      </c>
      <c r="E43" s="58" t="s">
        <v>723</v>
      </c>
      <c r="F43" s="48">
        <v>35</v>
      </c>
      <c r="G43" s="49" t="s">
        <v>159</v>
      </c>
      <c r="H43" s="49" t="s">
        <v>48</v>
      </c>
      <c r="I43" s="50" t="s">
        <v>853</v>
      </c>
      <c r="J43" s="51" t="s">
        <v>854</v>
      </c>
      <c r="K43" s="129" t="str">
        <f t="shared" si="2"/>
        <v xml:space="preserve">[ROLE] Friendly tutor specializing in Python | [TOPIC] Bypass standard requests data parsing by setting stream=True and accessing the underlying urllib3 socket response directly via response.raw, utilizing decode_content to handle gzip/deflate decompression manually. | [LEVEL] Advanced | [COUNT] 5 examples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#35 | Stage 1 📖 Practice | Python - Requests | 📊 Level: Advanced | 🌐 Coding5s.com
**Concept:** Accessing the Underlying Socket Response (response.raw, decode_content)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3" s="103" t="str">
        <f t="shared" si="3"/>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Bypass standard requests data parsing by setting stream=True and accessing the underlying urllib3 socket response directly via response.raw, utilizing decode_content to handle gzip/deflate decompression manually.. Topic details: Accessing the Underlying Socket Response (response.raw, decode_content)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#35 | Practice | Python - Requests | 📊 Level: Advanced
**Topic:** Bypass standard requests data parsing by setting stream=True and accessing the underlying urllib3 socket response directly via response.raw, utilizing decode_content to handle gzip/deflate decompression manually.
---
 | [FOOTER RULE - STRICT] End your response with: '--- ⚡ *Coding5s Mentor System — Eliminating Epistemic Debt*' | </v>
      </c>
      <c r="M43" s="53">
        <v>0</v>
      </c>
      <c r="N43" s="102" t="str">
        <f t="shared" si="4"/>
        <v>[ROLE] Careless Python Developer | [TASK] Generate debugging challenges in Python | | [TOPIC] Bypass standard requests data parsing by setting stream=True and accessing the underlying urllib3 socket response directly via response.raw, utilizing decode_content to handle gzip/deflate decompression manually. | | [LEVEL] Advanced |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#35 | Stage 2 🐛 Debug | Python - Requests | 📊 Level: Advanced | 🌐 Coding5s.com
Concept: Accessing the Underlying Socket Response (response.raw, decode_content)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3"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Bypass standard requests data parsing by setting stream=True and accessing the underlying urllib3 socket response directly via response.raw, utilizing decode_content to handle gzip/deflate decompression manually.. Topic details: Accessing the Underlying Socket Response (response.raw, decode_content)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#35 | Debug | Python - Requests | 📊 Level: Advanced
**Topic:** Bypass standard requests data parsing by setting stream=True and accessing the underlying urllib3 socket response directly via response.raw, utilizing decode_content to handle gzip/deflate decompression manually.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3" s="53">
        <v>0</v>
      </c>
      <c r="Q43" s="102" t="str">
        <f t="shared" si="6"/>
        <v>[ROLE] Tech Lead | [TASK] Assign incomplete Python script challenges | [TOPIC] Bypass standard requests data parsing by setting stream=True and accessing the underlying urllib3 socket response directly via response.raw, utilizing decode_content to handle gzip/deflate decompression manually. | [LEVEL] Advanced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#35 | Stage 3 🧩 Complete | Python - Requests | 📊 Level: Advanced | 🌐 Coding5s.com
**Concept:** Accessing the Underlying Socket Response (response.raw, decode_content)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Bypass standard requests data parsing by setting stream=True and accessing the underlying urllib3 socket response directly via response.raw, utilizing decode_content to handle gzip/deflate decompression manually..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3"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Bypass standard requests data parsing by setting stream=True and accessing the underlying urllib3 socket response directly via response.raw, utilizing decode_content to handle gzip/deflate decompression manually.. Topic details: Accessing the Underlying Socket Response (response.raw, decode_content)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#35 | Complete | Python - Requests | 📊 Level: Advanced
**Topic:** Bypass standard requests data parsing by setting stream=True and accessing the underlying urllib3 socket response directly via response.raw, utilizing decode_content to handle gzip/deflate decompression manually.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3" s="53">
        <v>0</v>
      </c>
      <c r="T43" s="102" t="str">
        <f t="shared" si="8"/>
        <v>[ROLE] Tech Lead | [TASK] Provide intentionally messy but functional code for learning debugging and improvement | [TOPIC] Bypass standard requests data parsing by setting stream=True and accessing the underlying urllib3 socket response directly via response.raw, utilizing decode_content to handle gzip/deflate decompression manually. | [LEVEL] Advanced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#35 | Stage 4 🧹 Refactor | Python - Requests | 📊 Level: Advanced | 🌐 Coding5s.com
**Concept:** Accessing the Underlying Socket Response (response.raw, decode_content)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Bypass standard requests data parsing by setting stream=True and accessing the underlying urllib3 socket response directly via response.raw, utilizing decode_content to handle gzip/deflate decompression manually.. Topic details: Accessing the Underlying Socket Response (response.raw, decode_content)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#35 | Refactor | Python - Requests | 📊 Level: Advanced
**Topic:** Bypass standard requests data parsing by setting stream=True and accessing the underlying urllib3 socket response directly via response.raw, utilizing decode_content to handle gzip/deflate decompression manually.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3" s="53">
        <v>0</v>
      </c>
      <c r="W43" s="87" t="str">
        <f t="shared" si="10"/>
        <v>[ROLE] Tech Product Manager assigning a Python Jira Ticket | [TASK] Provide a guided implementation exercise with full solution for learning purposes | [TOPIC] Bypass standard requests data parsing by setting stream=True and accessing the underlying urllib3 socket response directly via response.raw, utilizing decode_content to handle gzip/deflate decompression manually. | [LEVEL] Advanced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#35 | Stage 5 | Python - Requests | 📊 Level: Advanced | 🌐 Coding5s.com
**Concept:** Accessing the Underlying Socket Response (response.raw, decode_content)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Bypass standard requests data parsing by setting stream=True and accessing the underlying urllib3 socket response directly via response.raw, utilizing decode_content to handle gzip/deflate decompression manually.. Goal: Accessing the Underlying Socket Response (response.raw, decode_content)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#35 | Extend | Python - Requests | 📊 Level: Advanced
**Topic:** Bypass standard requests data parsing by setting stream=True and accessing the underlying urllib3 socket response directly via response.raw, utilizing decode_content to handle gzip/deflate decompression manually.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3" s="53">
        <v>0</v>
      </c>
      <c r="Z43" s="56" t="str">
        <f t="shared" si="12"/>
        <v/>
      </c>
      <c r="AA43" s="56" t="str">
        <f t="shared" si="13"/>
        <v/>
      </c>
      <c r="AB43" s="56" t="str">
        <f t="shared" si="14"/>
        <v/>
      </c>
      <c r="AC43" s="56" t="str">
        <f t="shared" si="15"/>
        <v/>
      </c>
      <c r="AD43" s="56" t="str">
        <f t="shared" si="16"/>
        <v/>
      </c>
      <c r="AE43" s="40"/>
      <c r="AF43" s="40"/>
      <c r="AG43" s="40"/>
      <c r="AH43" s="56" t="str">
        <f t="shared" si="17"/>
        <v/>
      </c>
      <c r="AI43" s="54"/>
      <c r="AJ43" s="54"/>
      <c r="AK43" s="54">
        <v>35</v>
      </c>
      <c r="AL43" s="54" t="s">
        <v>72</v>
      </c>
      <c r="AM43" s="54" t="s">
        <v>73</v>
      </c>
    </row>
    <row r="44" spans="1:39">
      <c r="A44" s="45" t="str" cm="1">
        <f t="array" ref="A44">IF(H44="PROJECT", CHAR(10) &amp; "- " &amp; _xlfn.TEXTJOIN(CHAR(10) &amp; "- ", TRUE, _xlfn._xlws.FILTER($I$9:$I$1000, ($B$9:$B$1000=B44) * ($H$9:$H$1000="Topic"))), "")</f>
        <v xml:space="preserve">
- Consume Server-Sent Events (SSE) or continuous text streams by enabling stream=True and processing the incoming data line-by-line using the .iter_lines() method.
- Automate post-request processing logic by attaching custom Python callback functions to the hooks parameter to implicitly modify or log response objects immediately upon receipt.
- Construct highly customized HTTP requests by manually instantiating a Request object, compiling it using Session.prepare_request(), and executing it via Session.send() for absolute control over network payloads.
- Engineer resilient HTTP clients by configuring automatic procedural retries for transient failures using urllib3.util.Retry, wrapping it in an HTTPAdapter, and mounting it to a specific URL prefix via session.mount().
- Bypass standard requests data parsing by setting stream=True and accessing the underlying urllib3 socket response directly via response.raw, utilizing decode_content to handle gzip/deflate decompression manually.</v>
      </c>
      <c r="B44" s="45">
        <f t="shared" si="1"/>
        <v>6</v>
      </c>
      <c r="C44" s="95" t="s">
        <v>857</v>
      </c>
      <c r="D44" s="57">
        <v>0</v>
      </c>
      <c r="E44" s="58" t="s">
        <v>723</v>
      </c>
      <c r="F44" s="59">
        <v>36</v>
      </c>
      <c r="G44" s="60" t="s">
        <v>159</v>
      </c>
      <c r="H44" s="60" t="s">
        <v>77</v>
      </c>
      <c r="I44" s="61" t="s">
        <v>855</v>
      </c>
      <c r="J44" s="62" t="s">
        <v>856</v>
      </c>
      <c r="K44" s="129" t="str">
        <f t="shared" si="2"/>
        <v>[TASK] Teach through a practical Python - Requests project following the micro-learning methodology, acting as a supportive tutor, creating a project about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 [TOPICS USED] 
- Consume Server-Sent Events (SSE) or continuous text streams by enabling stream=True and processing the incoming data line-by-line using the .iter_lines() method.
- Automate post-request processing logic by attaching custom Python callback functions to the hooks parameter to implicitly modify or log response objects immediately upon receipt.
- Construct highly customized HTTP requests by manually instantiating a Request object, compiling it using Session.prepare_request(), and executing it via Session.send() for absolute control over network payloads.
- Engineer resilient HTTP clients by configuring automatic procedural retries for transient failures using urllib3.util.Retry, wrapping it in an HTTPAdapter, and mounting it to a specific URL prefix via session.mount().
- Bypass standard requests data parsing by setting stream=True and accessing the underlying urllib3 socket response directly via response.raw, utilizing decode_content to handle gzip/deflate decompression manually. | [LEVEL] Advanced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#36 | Stage 1 | Python - Requests | 📊 Level: Advanced | 🌐 Coding5s.com
**Project:** Resilient Data Pipeline (Prepared requests, event hooks, retries, and streaming streams)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44" s="103" t="str">
        <f t="shared" si="3"/>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Topics applied in this project: 
- Consume Server-Sent Events (SSE) or continuous text streams by enabling stream=True and processing the incoming data line-by-line using the .iter_lines() method.
- Automate post-request processing logic by attaching custom Python callback functions to the hooks parameter to implicitly modify or log response objects immediately upon receipt.
- Construct highly customized HTTP requests by manually instantiating a Request object, compiling it using Session.prepare_request(), and executing it via Session.send() for absolute control over network payloads.
- Engineer resilient HTTP clients by configuring automatic procedural retries for transient failures using urllib3.util.Retry, wrapping it in an HTTPAdapter, and mounting it to a specific URL prefix via session.mount().
- Bypass standard requests data parsing by setting stream=True and accessing the underlying urllib3 socket response directly via response.raw, utilizing decode_content to handle gzip/deflate decompression manually.. Project objective: Resilient Data Pipeline (Prepared requests, event hooks, retries, and streaming streams)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#36 | Practice | Python - Requests | 📊 Level: Advanced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
 | [FOOTER RULE - STRICT] End your response with: '--- ⚡ *Coding5s Mentor System — Eliminating Epistemic Debt*' | </v>
      </c>
      <c r="M44" s="52">
        <v>0</v>
      </c>
      <c r="N44" s="102" t="str">
        <f t="shared" si="4"/>
        <v>[ROLE] Careless Python Developer | [TASK] Generate debugging project in Python |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 [TOPICS USED] 
- Consume Server-Sent Events (SSE) or continuous text streams by enabling stream=True and processing the incoming data line-by-line using the .iter_lines() method.
- Automate post-request processing logic by attaching custom Python callback functions to the hooks parameter to implicitly modify or log response objects immediately upon receipt.
- Construct highly customized HTTP requests by manually instantiating a Request object, compiling it using Session.prepare_request(), and executing it via Session.send() for absolute control over network payloads.
- Engineer resilient HTTP clients by configuring automatic procedural retries for transient failures using urllib3.util.Retry, wrapping it in an HTTPAdapter, and mounting it to a specific URL prefix via session.mount().
- Bypass standard requests data parsing by setting stream=True and accessing the underlying urllib3 socket response directly via response.raw, utilizing decode_content to handle gzip/deflate decompression manually. | [LEVEL] Advanced | [OUTPUT] Only header, dataset summary or statement (if any), email intro, objective, expected output, broken code, and footer | [HEADER RULE - STRICT] You MUST start your entire response EXACTLY with this markdown block (do not print anything before it):
### 🚀 Project #36 | Stage 2 | Python - Requests | 📊 Level: Advanced | 🌐 Coding5s.com
Project: Resilient Data Pipeline (Prepared requests, event hooks, retries, and streaming streams)
---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44"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Topics involved: 
- Consume Server-Sent Events (SSE) or continuous text streams by enabling stream=True and processing the incoming data line-by-line using the .iter_lines() method.
- Automate post-request processing logic by attaching custom Python callback functions to the hooks parameter to implicitly modify or log response objects immediately upon receipt.
- Construct highly customized HTTP requests by manually instantiating a Request object, compiling it using Session.prepare_request(), and executing it via Session.send() for absolute control over network payloads.
- Engineer resilient HTTP clients by configuring automatic procedural retries for transient failures using urllib3.util.Retry, wrapping it in an HTTPAdapter, and mounting it to a specific URL prefix via session.mount().
- Bypass standard requests data parsing by setting stream=True and accessing the underlying urllib3 socket response directly via response.raw, utilizing decode_content to handle gzip/deflate decompression manually.. Project objective: Resilient Data Pipeline (Prepared requests, event hooks, retries, and streaming streams)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#36 | Debug | Python - Requests | 📊 Level: Advanced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4" s="52">
        <v>0</v>
      </c>
      <c r="Q44" s="102" t="str">
        <f t="shared" si="6"/>
        <v>[ROLE] Tech Lead | [TASK] Assign incomplete project script |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 [TOPICS USED] 
- Consume Server-Sent Events (SSE) or continuous text streams by enabling stream=True and processing the incoming data line-by-line using the .iter_lines() method.
- Automate post-request processing logic by attaching custom Python callback functions to the hooks parameter to implicitly modify or log response objects immediately upon receipt.
- Construct highly customized HTTP requests by manually instantiating a Request object, compiling it using Session.prepare_request(), and executing it via Session.send() for absolute control over network payloads.
- Engineer resilient HTTP clients by configuring automatic procedural retries for transient failures using urllib3.util.Retry, wrapping it in an HTTPAdapter, and mounting it to a specific URL prefix via session.mount().
- Bypass standard requests data parsing by setting stream=True and accessing the underlying urllib3 socket response directly via response.raw, utilizing decode_content to handle gzip/deflate decompression manually. | [LEVEL] Advanced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#36 | Stage 3 | Python - Requests | 📊 Level: Advanced | 🌐 Coding5s.com
**Project:** Resilient Data Pipeline (Prepared requests, event hooks, retries, and streaming streams)
---
 | [EXTERNAL_PACKAGE_PROTOCOL] Require standard pip tooling and requirements.txt for dependencies. | [CHALLENGE_CONSTRAINTS_POLICY] MUST be between 40–100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44"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Topics involved: 
- Consume Server-Sent Events (SSE) or continuous text streams by enabling stream=True and processing the incoming data line-by-line using the .iter_lines() method.
- Automate post-request processing logic by attaching custom Python callback functions to the hooks parameter to implicitly modify or log response objects immediately upon receipt.
- Construct highly customized HTTP requests by manually instantiating a Request object, compiling it using Session.prepare_request(), and executing it via Session.send() for absolute control over network payloads.
- Engineer resilient HTTP clients by configuring automatic procedural retries for transient failures using urllib3.util.Retry, wrapping it in an HTTPAdapter, and mounting it to a specific URL prefix via session.mount().
- Bypass standard requests data parsing by setting stream=True and accessing the underlying urllib3 socket response directly via response.raw, utilizing decode_content to handle gzip/deflate decompression manually.. Project objective: Resilient Data Pipeline (Prepared requests, event hooks, retries, and streaming streams)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#36 | Complete | Python - Requests | 📊 Level: Advanced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4" s="52">
        <v>0</v>
      </c>
      <c r="T44" s="102" t="str">
        <f t="shared" si="8"/>
        <v>[ROLE] Tech Lead | [TASK] Provide a messy but functional project for refactoring |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 [TOPICS USED] 
- Consume Server-Sent Events (SSE) or continuous text streams by enabling stream=True and processing the incoming data line-by-line using the .iter_lines() method.
- Automate post-request processing logic by attaching custom Python callback functions to the hooks parameter to implicitly modify or log response objects immediately upon receipt.
- Construct highly customized HTTP requests by manually instantiating a Request object, compiling it using Session.prepare_request(), and executing it via Session.send() for absolute control over network payloads.
- Engineer resilient HTTP clients by configuring automatic procedural retries for transient failures using urllib3.util.Retry, wrapping it in an HTTPAdapter, and mounting it to a specific URL prefix via session.mount().
- Bypass standard requests data parsing by setting stream=True and accessing the underlying urllib3 socket response directly via response.raw, utilizing decode_content to handle gzip/deflate decompression manually. | [LEVEL] Advanced | [PERSONA RULE] Act as a Tech Lead. A junior wrote this working but messy code. Tone: professional but exhausted | [HEADER RULE - STRICT] You MUST start your entire response EXACTLY with this markdown block (do not print anything before it):
### 🚀 Project #36 | Stage 4 | Python - Requests | 📊 Level: Advanced | 🌐 Coding5s.com
**Project:** Resilient Data Pipeline (Prepared requests, event hooks, retries, and streaming streams)
---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4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Topics involved: 
- Consume Server-Sent Events (SSE) or continuous text streams by enabling stream=True and processing the incoming data line-by-line using the .iter_lines() method.
- Automate post-request processing logic by attaching custom Python callback functions to the hooks parameter to implicitly modify or log response objects immediately upon receipt.
- Construct highly customized HTTP requests by manually instantiating a Request object, compiling it using Session.prepare_request(), and executing it via Session.send() for absolute control over network payloads.
- Engineer resilient HTTP clients by configuring automatic procedural retries for transient failures using urllib3.util.Retry, wrapping it in an HTTPAdapter, and mounting it to a specific URL prefix via session.mount().
- Bypass standard requests data parsing by setting stream=True and accessing the underlying urllib3 socket response directly via response.raw, utilizing decode_content to handle gzip/deflate decompression manually.. Project objective: Resilient Data Pipeline (Prepared requests, event hooks, retries, and streaming streams)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#36 | Refactor | Python - Requests | 📊 Level: Advanced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4" s="52">
        <v>0</v>
      </c>
      <c r="W44" s="87" t="str">
        <f t="shared" si="10"/>
        <v>[ROLE] Tech Product Manager assigning a Python Jira Ticket | [TASK] Provide a guided project implementation with full solution |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 [TOPICS USED] 
- Consume Server-Sent Events (SSE) or continuous text streams by enabling stream=True and processing the incoming data line-by-line using the .iter_lines() method.
- Automate post-request processing logic by attaching custom Python callback functions to the hooks parameter to implicitly modify or log response objects immediately upon receipt.
- Construct highly customized HTTP requests by manually instantiating a Request object, compiling it using Session.prepare_request(), and executing it via Session.send() for absolute control over network payloads.
- Engineer resilient HTTP clients by configuring automatic procedural retries for transient failures using urllib3.util.Retry, wrapping it in an HTTPAdapter, and mounting it to a specific URL prefix via session.mount().
- Bypass standard requests data parsing by setting stream=True and accessing the underlying urllib3 socket response directly via response.raw, utilizing decode_content to handle gzip/deflate decompression manually. | [LEVEL] Advanced | [PERSONA RULE] Act as a professional Tech Product Manager defining a project ticket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#36 | Stage 5 | Python - Requests | 📊 Level: Advanced | 🌐 Coding5s.com
**Project:** Resilient Data Pipeline (Prepared requests, event hooks, retries, and streaming streams)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4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Topics integrated: 
- Consume Server-Sent Events (SSE) or continuous text streams by enabling stream=True and processing the incoming data line-by-line using the .iter_lines() method.
- Automate post-request processing logic by attaching custom Python callback functions to the hooks parameter to implicitly modify or log response objects immediately upon receipt.
- Construct highly customized HTTP requests by manually instantiating a Request object, compiling it using Session.prepare_request(), and executing it via Session.send() for absolute control over network payloads.
- Engineer resilient HTTP clients by configuring automatic procedural retries for transient failures using urllib3.util.Retry, wrapping it in an HTTPAdapter, and mounting it to a specific URL prefix via session.mount().
- Bypass standard requests data parsing by setting stream=True and accessing the underlying urllib3 socket response directly via response.raw, utilizing decode_content to handle gzip/deflate decompression manually.. Business Goal: Resilient Data Pipeline (Prepared requests, event hooks, retries, and streaming streams)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#36 | Extend | Python - Requests | 📊 Level: Advanced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4" s="52">
        <v>0</v>
      </c>
      <c r="Z44" s="56" t="str">
        <f t="shared" si="12"/>
        <v>[TASK] Teach through a practical Python - Requests project following the micro-learning methodology, acting as a supportive tutor, creating a project about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 [TOPICS USED] 
- Consume Server-Sent Events (SSE) or continuous text streams by enabling stream=True and processing the incoming data line-by-line using the .iter_lines() method.
- Automate post-request processing logic by attaching custom Python callback functions to the hooks parameter to implicitly modify or log response objects immediately upon receipt.
- Construct highly customized HTTP requests by manually instantiating a Request object, compiling it using Session.prepare_request(), and executing it via Session.send() for absolute control over network payloads.
- Engineer resilient HTTP clients by configuring automatic procedural retries for transient failures using urllib3.util.Retry, wrapping it in an HTTPAdapter, and mounting it to a specific URL prefix via session.mount().
- Bypass standard requests data parsing by setting stream=True and accessing the underlying urllib3 socket response directly via response.raw, utilizing decode_content to handle gzip/deflate decompression manually. | [LEVEL] Advanced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#36 | Stage 1 | Python - Requests | 📊 Level: Advanced | 🌐 Coding5s.com
**Project:** Resilient Data Pipeline (Prepared requests, event hooks, retries, and streaming streams)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44" s="56" t="str">
        <f t="shared" si="13"/>
        <v>[ROLE] Careless Python Developer | [TASK] Generate debugging project in Python |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 [TOPICS USED] 
- Consume Server-Sent Events (SSE) or continuous text streams by enabling stream=True and processing the incoming data line-by-line using the .iter_lines() method.
- Automate post-request processing logic by attaching custom Python callback functions to the hooks parameter to implicitly modify or log response objects immediately upon receipt.
- Construct highly customized HTTP requests by manually instantiating a Request object, compiling it using Session.prepare_request(), and executing it via Session.send() for absolute control over network payloads.
- Engineer resilient HTTP clients by configuring automatic procedural retries for transient failures using urllib3.util.Retry, wrapping it in an HTTPAdapter, and mounting it to a specific URL prefix via session.mount().
- Bypass standard requests data parsing by setting stream=True and accessing the underlying urllib3 socket response directly via response.raw, utilizing decode_content to handle gzip/deflate decompression manually. | [LEVEL] Advanced | [OUTPUT] Only header, dataset summary or statement (if any), email intro, objective, expected output, broken code, and footer | [HEADER RULE - STRICT] You MUST start your entire response EXACTLY with this markdown block (do not print anything before it):
### 🚀 Project #36 | Stage 2 | Python - Requests | 📊 Level: Advanced | 🌐 Coding5s.com
Project: Resilient Data Pipeline (Prepared requests, event hooks, retries, and streaming streams)
---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44" s="56" t="str">
        <f t="shared" si="14"/>
        <v>[ROLE] Tech Lead | [TASK] Assign incomplete project script |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 [TOPICS USED] 
- Consume Server-Sent Events (SSE) or continuous text streams by enabling stream=True and processing the incoming data line-by-line using the .iter_lines() method.
- Automate post-request processing logic by attaching custom Python callback functions to the hooks parameter to implicitly modify or log response objects immediately upon receipt.
- Construct highly customized HTTP requests by manually instantiating a Request object, compiling it using Session.prepare_request(), and executing it via Session.send() for absolute control over network payloads.
- Engineer resilient HTTP clients by configuring automatic procedural retries for transient failures using urllib3.util.Retry, wrapping it in an HTTPAdapter, and mounting it to a specific URL prefix via session.mount().
- Bypass standard requests data parsing by setting stream=True and accessing the underlying urllib3 socket response directly via response.raw, utilizing decode_content to handle gzip/deflate decompression manually. | [LEVEL] Advanced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#36 | Stage 3 | Python - Requests | 📊 Level: Advanced | 🌐 Coding5s.com
**Project:** Resilient Data Pipeline (Prepared requests, event hooks, retries, and streaming streams)
---
 | [EXTERNAL_PACKAGE_PROTOCOL] Require standard pip tooling and requirements.txt for dependencies. | [CHALLENGE_CONSTRAINTS_POLICY] MUST be between 40–100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44" s="56" t="str">
        <f t="shared" si="15"/>
        <v>[ROLE] Tech Lead | [TASK] Provide a messy but functional project for refactoring |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 [TOPICS USED] 
- Consume Server-Sent Events (SSE) or continuous text streams by enabling stream=True and processing the incoming data line-by-line using the .iter_lines() method.
- Automate post-request processing logic by attaching custom Python callback functions to the hooks parameter to implicitly modify or log response objects immediately upon receipt.
- Construct highly customized HTTP requests by manually instantiating a Request object, compiling it using Session.prepare_request(), and executing it via Session.send() for absolute control over network payloads.
- Engineer resilient HTTP clients by configuring automatic procedural retries for transient failures using urllib3.util.Retry, wrapping it in an HTTPAdapter, and mounting it to a specific URL prefix via session.mount().
- Bypass standard requests data parsing by setting stream=True and accessing the underlying urllib3 socket response directly via response.raw, utilizing decode_content to handle gzip/deflate decompression manually. | [LEVEL] Advanced | [PERSONA RULE] Act as a Tech Lead. A junior wrote this working but messy code. Tone: professional but exhausted | [HEADER RULE - STRICT] You MUST start your entire response EXACTLY with this markdown block (do not print anything before it):
### 🚀 Project #36 | Stage 4 | Python - Requests | 📊 Level: Advanced | 🌐 Coding5s.com
**Project:** Resilient Data Pipeline (Prepared requests, event hooks, retries, and streaming streams)
---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44" s="56" t="str">
        <f t="shared" si="16"/>
        <v>[ROLE] Tech Product Manager assigning a Python Jira Ticket | [TASK] Provide a guided project implementation with full solution |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 [TOPICS USED] 
- Consume Server-Sent Events (SSE) or continuous text streams by enabling stream=True and processing the incoming data line-by-line using the .iter_lines() method.
- Automate post-request processing logic by attaching custom Python callback functions to the hooks parameter to implicitly modify or log response objects immediately upon receipt.
- Construct highly customized HTTP requests by manually instantiating a Request object, compiling it using Session.prepare_request(), and executing it via Session.send() for absolute control over network payloads.
- Engineer resilient HTTP clients by configuring automatic procedural retries for transient failures using urllib3.util.Retry, wrapping it in an HTTPAdapter, and mounting it to a specific URL prefix via session.mount().
- Bypass standard requests data parsing by setting stream=True and accessing the underlying urllib3 socket response directly via response.raw, utilizing decode_content to handle gzip/deflate decompression manually. | [LEVEL] Advanced | [PERSONA RULE] Act as a professional Tech Product Manager defining a project ticket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#36 | Stage 5 | Python - Requests | 📊 Level: Advanced | 🌐 Coding5s.com
**Project:** Resilient Data Pipeline (Prepared requests, event hooks, retries, and streaming streams)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44" s="40"/>
      <c r="AF44" s="40"/>
      <c r="AG44" s="40"/>
      <c r="AH44" s="56" t="str">
        <f t="shared" si="17"/>
        <v/>
      </c>
      <c r="AI44" s="54"/>
      <c r="AJ44" s="54"/>
      <c r="AK44" s="54">
        <v>36</v>
      </c>
      <c r="AL44" s="54" t="s">
        <v>78</v>
      </c>
      <c r="AM44" s="54" t="s">
        <v>79</v>
      </c>
    </row>
    <row r="45" spans="1:39">
      <c r="A45" s="45" t="str" cm="1">
        <f t="array" ref="A45">IF(H45="PROJECT", CHAR(10) &amp; "- " &amp; _xlfn.TEXTJOIN(CHAR(10) &amp; "- ", TRUE, _xlfn._xlws.FILTER($I$9:$I$1000, ($B$9:$B$1000=B45) * ($H$9:$H$1000="Topic"))), "")</f>
        <v/>
      </c>
      <c r="B45" s="45" t="str">
        <f t="shared" si="1"/>
        <v/>
      </c>
      <c r="C45" s="95"/>
      <c r="D45" s="46"/>
      <c r="E45" s="58"/>
      <c r="F45" s="48"/>
      <c r="G45" s="49"/>
      <c r="H45" s="49"/>
      <c r="I45" s="50"/>
      <c r="J45" s="51"/>
      <c r="K45" s="129" t="str">
        <f t="shared" si="2"/>
        <v/>
      </c>
      <c r="L45" s="103" t="str">
        <f t="shared" si="3"/>
        <v/>
      </c>
      <c r="M45" s="53">
        <v>0</v>
      </c>
      <c r="N45" s="102" t="str">
        <f t="shared" si="4"/>
        <v/>
      </c>
      <c r="O45" s="103" t="str">
        <f t="shared" si="5"/>
        <v/>
      </c>
      <c r="P45" s="53">
        <v>0</v>
      </c>
      <c r="Q45" s="102" t="str">
        <f t="shared" si="6"/>
        <v/>
      </c>
      <c r="R45" s="103" t="str">
        <f t="shared" si="7"/>
        <v/>
      </c>
      <c r="S45" s="53">
        <v>0</v>
      </c>
      <c r="T45" s="102" t="str">
        <f t="shared" si="8"/>
        <v/>
      </c>
      <c r="U45" s="103" t="str">
        <f t="shared" si="9"/>
        <v/>
      </c>
      <c r="V45" s="53">
        <v>0</v>
      </c>
      <c r="W45" s="87" t="str">
        <f t="shared" si="10"/>
        <v/>
      </c>
      <c r="X45" s="103" t="str">
        <f t="shared" si="11"/>
        <v/>
      </c>
      <c r="Y45" s="53">
        <v>0</v>
      </c>
      <c r="Z45" s="56" t="str">
        <f t="shared" si="12"/>
        <v/>
      </c>
      <c r="AA45" s="56" t="str">
        <f t="shared" si="13"/>
        <v/>
      </c>
      <c r="AB45" s="56" t="str">
        <f t="shared" si="14"/>
        <v/>
      </c>
      <c r="AC45" s="56" t="str">
        <f t="shared" si="15"/>
        <v/>
      </c>
      <c r="AD45" s="56" t="str">
        <f t="shared" si="16"/>
        <v/>
      </c>
      <c r="AE45" s="40"/>
      <c r="AF45" s="40"/>
      <c r="AG45" s="40"/>
      <c r="AH45" s="56" t="str">
        <f t="shared" si="17"/>
        <v/>
      </c>
      <c r="AI45" s="54"/>
      <c r="AJ45" s="54"/>
      <c r="AK45" s="54">
        <v>37</v>
      </c>
      <c r="AL45" s="54" t="s">
        <v>83</v>
      </c>
      <c r="AM45" s="54" t="s">
        <v>84</v>
      </c>
    </row>
    <row r="46" spans="1:39">
      <c r="A46" s="45" t="str" cm="1">
        <f t="array" ref="A46">IF(H46="PROJECT", CHAR(10) &amp; "- " &amp; _xlfn.TEXTJOIN(CHAR(10) &amp; "- ", TRUE, _xlfn._xlws.FILTER($I$9:$I$1000, ($B$9:$B$1000=B46) * ($H$9:$H$1000="Topic"))), "")</f>
        <v/>
      </c>
      <c r="B46" s="45" t="str">
        <f t="shared" si="1"/>
        <v/>
      </c>
      <c r="C46" s="95"/>
      <c r="D46" s="57"/>
      <c r="E46" s="58"/>
      <c r="F46" s="59"/>
      <c r="G46" s="60"/>
      <c r="H46" s="60"/>
      <c r="I46" s="61"/>
      <c r="J46" s="62"/>
      <c r="K46" s="129" t="str">
        <f t="shared" si="2"/>
        <v/>
      </c>
      <c r="L46" s="103" t="str">
        <f t="shared" si="3"/>
        <v/>
      </c>
      <c r="M46" s="52">
        <v>0</v>
      </c>
      <c r="N46" s="102" t="str">
        <f t="shared" si="4"/>
        <v/>
      </c>
      <c r="O46" s="103" t="str">
        <f t="shared" si="5"/>
        <v/>
      </c>
      <c r="P46" s="52">
        <v>0</v>
      </c>
      <c r="Q46" s="102" t="str">
        <f t="shared" si="6"/>
        <v/>
      </c>
      <c r="R46" s="103" t="str">
        <f t="shared" si="7"/>
        <v/>
      </c>
      <c r="S46" s="52">
        <v>0</v>
      </c>
      <c r="T46" s="102" t="str">
        <f t="shared" si="8"/>
        <v/>
      </c>
      <c r="U46" s="103" t="str">
        <f t="shared" si="9"/>
        <v/>
      </c>
      <c r="V46" s="52">
        <v>0</v>
      </c>
      <c r="W46" s="87" t="str">
        <f t="shared" si="10"/>
        <v/>
      </c>
      <c r="X46" s="103" t="str">
        <f t="shared" si="11"/>
        <v/>
      </c>
      <c r="Y46" s="52">
        <v>0</v>
      </c>
      <c r="Z46" s="56" t="str">
        <f t="shared" si="12"/>
        <v/>
      </c>
      <c r="AA46" s="56" t="str">
        <f t="shared" si="13"/>
        <v/>
      </c>
      <c r="AB46" s="56" t="str">
        <f t="shared" si="14"/>
        <v/>
      </c>
      <c r="AC46" s="56" t="str">
        <f t="shared" si="15"/>
        <v/>
      </c>
      <c r="AD46" s="56" t="str">
        <f t="shared" si="16"/>
        <v/>
      </c>
      <c r="AE46" s="40"/>
      <c r="AF46" s="40"/>
      <c r="AG46" s="40"/>
      <c r="AH46" s="56" t="str">
        <f t="shared" si="17"/>
        <v/>
      </c>
      <c r="AI46" s="54"/>
      <c r="AJ46" s="54"/>
      <c r="AK46" s="54">
        <v>38</v>
      </c>
      <c r="AL46" s="54" t="s">
        <v>88</v>
      </c>
      <c r="AM46" s="54" t="s">
        <v>89</v>
      </c>
    </row>
    <row r="47" spans="1:39">
      <c r="A47" s="45" t="str" cm="1">
        <f t="array" ref="A47">IF(H47="PROJECT", CHAR(10) &amp; "- " &amp; _xlfn.TEXTJOIN(CHAR(10) &amp; "- ", TRUE, _xlfn._xlws.FILTER($I$9:$I$1000, ($B$9:$B$1000=B47) * ($H$9:$H$1000="Topic"))), "")</f>
        <v/>
      </c>
      <c r="B47" s="45" t="str">
        <f t="shared" si="1"/>
        <v/>
      </c>
      <c r="C47" s="95"/>
      <c r="D47" s="46"/>
      <c r="E47" s="58"/>
      <c r="F47" s="48"/>
      <c r="G47" s="49"/>
      <c r="H47" s="49"/>
      <c r="I47" s="50"/>
      <c r="J47" s="51"/>
      <c r="K47" s="129" t="str">
        <f t="shared" si="2"/>
        <v/>
      </c>
      <c r="L47" s="103" t="str">
        <f t="shared" si="3"/>
        <v/>
      </c>
      <c r="M47" s="53">
        <v>0</v>
      </c>
      <c r="N47" s="102" t="str">
        <f t="shared" si="4"/>
        <v/>
      </c>
      <c r="O47" s="103" t="str">
        <f t="shared" si="5"/>
        <v/>
      </c>
      <c r="P47" s="53">
        <v>0</v>
      </c>
      <c r="Q47" s="102" t="str">
        <f t="shared" si="6"/>
        <v/>
      </c>
      <c r="R47" s="103" t="str">
        <f t="shared" si="7"/>
        <v/>
      </c>
      <c r="S47" s="53">
        <v>0</v>
      </c>
      <c r="T47" s="102" t="str">
        <f t="shared" si="8"/>
        <v/>
      </c>
      <c r="U47" s="103" t="str">
        <f t="shared" si="9"/>
        <v/>
      </c>
      <c r="V47" s="53">
        <v>0</v>
      </c>
      <c r="W47" s="87" t="str">
        <f t="shared" si="10"/>
        <v/>
      </c>
      <c r="X47" s="103" t="str">
        <f t="shared" si="11"/>
        <v/>
      </c>
      <c r="Y47" s="53">
        <v>0</v>
      </c>
      <c r="Z47" s="56" t="str">
        <f t="shared" si="12"/>
        <v/>
      </c>
      <c r="AA47" s="56" t="str">
        <f t="shared" si="13"/>
        <v/>
      </c>
      <c r="AB47" s="56" t="str">
        <f t="shared" si="14"/>
        <v/>
      </c>
      <c r="AC47" s="56" t="str">
        <f t="shared" si="15"/>
        <v/>
      </c>
      <c r="AD47" s="56" t="str">
        <f t="shared" si="16"/>
        <v/>
      </c>
      <c r="AE47" s="40"/>
      <c r="AF47" s="40"/>
      <c r="AG47" s="40"/>
      <c r="AH47" s="56" t="str">
        <f t="shared" si="17"/>
        <v/>
      </c>
      <c r="AI47" s="54"/>
      <c r="AJ47" s="54"/>
      <c r="AK47" s="54">
        <v>39</v>
      </c>
      <c r="AL47" s="54" t="s">
        <v>93</v>
      </c>
      <c r="AM47" s="54" t="s">
        <v>94</v>
      </c>
    </row>
    <row r="48" spans="1:39">
      <c r="A48" s="45" t="str" cm="1">
        <f t="array" ref="A48">IF(H48="PROJECT", CHAR(10) &amp; "- " &amp; _xlfn.TEXTJOIN(CHAR(10) &amp; "- ", TRUE, _xlfn._xlws.FILTER($I$9:$I$1000, ($B$9:$B$1000=B48) * ($H$9:$H$1000="Topic"))), "")</f>
        <v/>
      </c>
      <c r="B48" s="45" t="str">
        <f t="shared" si="1"/>
        <v/>
      </c>
      <c r="C48" s="95"/>
      <c r="D48" s="57"/>
      <c r="E48" s="58"/>
      <c r="F48" s="59"/>
      <c r="G48" s="60"/>
      <c r="H48" s="60"/>
      <c r="I48" s="61"/>
      <c r="J48" s="62"/>
      <c r="K48" s="129" t="str">
        <f t="shared" si="2"/>
        <v/>
      </c>
      <c r="L48" s="103" t="str">
        <f t="shared" si="3"/>
        <v/>
      </c>
      <c r="M48" s="52">
        <v>0</v>
      </c>
      <c r="N48" s="102" t="str">
        <f t="shared" si="4"/>
        <v/>
      </c>
      <c r="O48" s="103" t="str">
        <f t="shared" si="5"/>
        <v/>
      </c>
      <c r="P48" s="52">
        <v>0</v>
      </c>
      <c r="Q48" s="102" t="str">
        <f t="shared" si="6"/>
        <v/>
      </c>
      <c r="R48" s="103" t="str">
        <f t="shared" si="7"/>
        <v/>
      </c>
      <c r="S48" s="52">
        <v>0</v>
      </c>
      <c r="T48" s="102" t="str">
        <f t="shared" si="8"/>
        <v/>
      </c>
      <c r="U48" s="103" t="str">
        <f t="shared" si="9"/>
        <v/>
      </c>
      <c r="V48" s="52">
        <v>0</v>
      </c>
      <c r="W48" s="87" t="str">
        <f t="shared" si="10"/>
        <v/>
      </c>
      <c r="X48" s="103" t="str">
        <f t="shared" si="11"/>
        <v/>
      </c>
      <c r="Y48" s="52">
        <v>0</v>
      </c>
      <c r="Z48" s="56" t="str">
        <f t="shared" si="12"/>
        <v/>
      </c>
      <c r="AA48" s="56" t="str">
        <f t="shared" si="13"/>
        <v/>
      </c>
      <c r="AB48" s="56" t="str">
        <f t="shared" si="14"/>
        <v/>
      </c>
      <c r="AC48" s="56" t="str">
        <f t="shared" si="15"/>
        <v/>
      </c>
      <c r="AD48" s="56" t="str">
        <f t="shared" si="16"/>
        <v/>
      </c>
      <c r="AE48" s="40"/>
      <c r="AF48" s="40"/>
      <c r="AG48" s="40"/>
      <c r="AH48" s="56" t="str">
        <f t="shared" si="17"/>
        <v/>
      </c>
      <c r="AI48" s="54"/>
      <c r="AJ48" s="54"/>
      <c r="AK48" s="54">
        <v>40</v>
      </c>
      <c r="AL48" s="54" t="s">
        <v>98</v>
      </c>
      <c r="AM48" s="54" t="s">
        <v>99</v>
      </c>
    </row>
    <row r="49" spans="1:39">
      <c r="A49" s="45" t="str" cm="1">
        <f t="array" ref="A49">IF(H49="PROJECT", CHAR(10) &amp; "- " &amp; _xlfn.TEXTJOIN(CHAR(10) &amp; "- ", TRUE, _xlfn._xlws.FILTER($I$9:$I$1000, ($B$9:$B$1000=B49) * ($H$9:$H$1000="Topic"))), "")</f>
        <v/>
      </c>
      <c r="B49" s="45" t="str">
        <f t="shared" si="1"/>
        <v/>
      </c>
      <c r="C49" s="95"/>
      <c r="D49" s="46"/>
      <c r="E49" s="58"/>
      <c r="F49" s="48"/>
      <c r="G49" s="49"/>
      <c r="H49" s="49"/>
      <c r="I49" s="50"/>
      <c r="J49" s="51"/>
      <c r="K49" s="129" t="str">
        <f t="shared" si="2"/>
        <v/>
      </c>
      <c r="L49" s="103" t="str">
        <f t="shared" si="3"/>
        <v/>
      </c>
      <c r="M49" s="53">
        <v>0</v>
      </c>
      <c r="N49" s="102" t="str">
        <f t="shared" si="4"/>
        <v/>
      </c>
      <c r="O49" s="103" t="str">
        <f t="shared" si="5"/>
        <v/>
      </c>
      <c r="P49" s="53">
        <v>0</v>
      </c>
      <c r="Q49" s="102" t="str">
        <f t="shared" si="6"/>
        <v/>
      </c>
      <c r="R49" s="103" t="str">
        <f t="shared" si="7"/>
        <v/>
      </c>
      <c r="S49" s="53">
        <v>0</v>
      </c>
      <c r="T49" s="102" t="str">
        <f t="shared" si="8"/>
        <v/>
      </c>
      <c r="U49" s="103" t="str">
        <f t="shared" si="9"/>
        <v/>
      </c>
      <c r="V49" s="53">
        <v>0</v>
      </c>
      <c r="W49" s="87" t="str">
        <f t="shared" si="10"/>
        <v/>
      </c>
      <c r="X49" s="103" t="str">
        <f t="shared" si="11"/>
        <v/>
      </c>
      <c r="Y49" s="53">
        <v>0</v>
      </c>
      <c r="Z49" s="56" t="str">
        <f t="shared" si="12"/>
        <v/>
      </c>
      <c r="AA49" s="56" t="str">
        <f t="shared" si="13"/>
        <v/>
      </c>
      <c r="AB49" s="56" t="str">
        <f t="shared" si="14"/>
        <v/>
      </c>
      <c r="AC49" s="56" t="str">
        <f t="shared" si="15"/>
        <v/>
      </c>
      <c r="AD49" s="56" t="str">
        <f t="shared" si="16"/>
        <v/>
      </c>
      <c r="AE49" s="40"/>
      <c r="AF49" s="40"/>
      <c r="AG49" s="40"/>
      <c r="AH49" s="56" t="str">
        <f t="shared" si="17"/>
        <v/>
      </c>
      <c r="AI49" s="54"/>
      <c r="AJ49" s="54"/>
      <c r="AK49" s="54"/>
      <c r="AL49" s="54"/>
      <c r="AM49" s="54"/>
    </row>
    <row r="50" spans="1:39">
      <c r="A50" s="45" t="str" cm="1">
        <f t="array" ref="A50">IF(H50="PROJECT", CHAR(10) &amp; "- " &amp; _xlfn.TEXTJOIN(CHAR(10) &amp; "- ", TRUE, _xlfn._xlws.FILTER($I$9:$I$1000, ($B$9:$B$1000=B50) * ($H$9:$H$1000="Topic"))), "")</f>
        <v/>
      </c>
      <c r="B50" s="45" t="str">
        <f t="shared" si="1"/>
        <v/>
      </c>
      <c r="C50" s="95"/>
      <c r="D50" s="57"/>
      <c r="E50" s="58"/>
      <c r="F50" s="59"/>
      <c r="G50" s="60"/>
      <c r="H50" s="60"/>
      <c r="I50" s="61"/>
      <c r="J50" s="62"/>
      <c r="K50" s="129" t="str">
        <f t="shared" si="2"/>
        <v/>
      </c>
      <c r="L50" s="103" t="str">
        <f t="shared" si="3"/>
        <v/>
      </c>
      <c r="M50" s="52">
        <v>0</v>
      </c>
      <c r="N50" s="102" t="str">
        <f t="shared" si="4"/>
        <v/>
      </c>
      <c r="O50" s="103" t="str">
        <f t="shared" si="5"/>
        <v/>
      </c>
      <c r="P50" s="52">
        <v>0</v>
      </c>
      <c r="Q50" s="102" t="str">
        <f t="shared" si="6"/>
        <v/>
      </c>
      <c r="R50" s="103" t="str">
        <f t="shared" si="7"/>
        <v/>
      </c>
      <c r="S50" s="52">
        <v>0</v>
      </c>
      <c r="T50" s="102" t="str">
        <f t="shared" si="8"/>
        <v/>
      </c>
      <c r="U50" s="103" t="str">
        <f t="shared" si="9"/>
        <v/>
      </c>
      <c r="V50" s="52">
        <v>0</v>
      </c>
      <c r="W50" s="87" t="str">
        <f t="shared" si="10"/>
        <v/>
      </c>
      <c r="X50" s="103" t="str">
        <f t="shared" si="11"/>
        <v/>
      </c>
      <c r="Y50" s="52">
        <v>0</v>
      </c>
      <c r="Z50" s="56" t="str">
        <f t="shared" si="12"/>
        <v/>
      </c>
      <c r="AA50" s="56" t="str">
        <f t="shared" si="13"/>
        <v/>
      </c>
      <c r="AB50" s="56" t="str">
        <f t="shared" si="14"/>
        <v/>
      </c>
      <c r="AC50" s="56" t="str">
        <f t="shared" si="15"/>
        <v/>
      </c>
      <c r="AD50" s="56" t="str">
        <f t="shared" si="16"/>
        <v/>
      </c>
      <c r="AE50" s="40"/>
      <c r="AF50" s="40"/>
      <c r="AG50" s="40"/>
      <c r="AH50" s="56" t="str">
        <f t="shared" si="17"/>
        <v/>
      </c>
      <c r="AI50" s="54"/>
      <c r="AJ50" s="54"/>
      <c r="AK50" s="54"/>
      <c r="AL50" s="54"/>
      <c r="AM50" s="54"/>
    </row>
    <row r="51" spans="1:39">
      <c r="A51" s="45" t="str" cm="1">
        <f t="array" ref="A51">IF(H51="PROJECT", CHAR(10) &amp; "- " &amp; _xlfn.TEXTJOIN(CHAR(10) &amp; "- ", TRUE, _xlfn._xlws.FILTER($I$9:$I$1000, ($B$9:$B$1000=B51) * ($H$9:$H$1000="Topic"))), "")</f>
        <v/>
      </c>
      <c r="B51" s="45" t="str">
        <f t="shared" si="1"/>
        <v/>
      </c>
      <c r="C51" s="95"/>
      <c r="D51" s="46"/>
      <c r="E51" s="58"/>
      <c r="F51" s="48"/>
      <c r="G51" s="49"/>
      <c r="H51" s="49"/>
      <c r="I51" s="50"/>
      <c r="J51" s="51"/>
      <c r="K51" s="129" t="str">
        <f t="shared" si="2"/>
        <v/>
      </c>
      <c r="L51" s="103" t="str">
        <f t="shared" si="3"/>
        <v/>
      </c>
      <c r="M51" s="53">
        <v>0</v>
      </c>
      <c r="N51" s="102" t="str">
        <f t="shared" si="4"/>
        <v/>
      </c>
      <c r="O51" s="103" t="str">
        <f t="shared" si="5"/>
        <v/>
      </c>
      <c r="P51" s="53">
        <v>0</v>
      </c>
      <c r="Q51" s="102" t="str">
        <f t="shared" si="6"/>
        <v/>
      </c>
      <c r="R51" s="103" t="str">
        <f t="shared" si="7"/>
        <v/>
      </c>
      <c r="S51" s="53">
        <v>0</v>
      </c>
      <c r="T51" s="102" t="str">
        <f t="shared" si="8"/>
        <v/>
      </c>
      <c r="U51" s="103" t="str">
        <f t="shared" si="9"/>
        <v/>
      </c>
      <c r="V51" s="53">
        <v>0</v>
      </c>
      <c r="W51" s="87" t="str">
        <f t="shared" si="10"/>
        <v/>
      </c>
      <c r="X51" s="103" t="str">
        <f t="shared" si="11"/>
        <v/>
      </c>
      <c r="Y51" s="53">
        <v>0</v>
      </c>
      <c r="Z51" s="56" t="str">
        <f t="shared" si="12"/>
        <v/>
      </c>
      <c r="AA51" s="56" t="str">
        <f t="shared" si="13"/>
        <v/>
      </c>
      <c r="AB51" s="56" t="str">
        <f t="shared" si="14"/>
        <v/>
      </c>
      <c r="AC51" s="56" t="str">
        <f t="shared" si="15"/>
        <v/>
      </c>
      <c r="AD51" s="56" t="str">
        <f t="shared" si="16"/>
        <v/>
      </c>
      <c r="AE51" s="40"/>
      <c r="AF51" s="40"/>
      <c r="AG51" s="40"/>
      <c r="AH51" s="56" t="str">
        <f t="shared" si="17"/>
        <v/>
      </c>
      <c r="AI51" s="54"/>
      <c r="AJ51" s="54"/>
      <c r="AK51" s="54"/>
      <c r="AL51" s="54"/>
      <c r="AM51" s="54"/>
    </row>
    <row r="52" spans="1:39">
      <c r="A52" s="45" t="str" cm="1">
        <f t="array" ref="A52">IF(H52="PROJECT", CHAR(10) &amp; "- " &amp; _xlfn.TEXTJOIN(CHAR(10) &amp; "- ", TRUE, _xlfn._xlws.FILTER($I$9:$I$1000, ($B$9:$B$1000=B52) * ($H$9:$H$1000="Topic"))), "")</f>
        <v/>
      </c>
      <c r="B52" s="45" t="str">
        <f t="shared" si="1"/>
        <v/>
      </c>
      <c r="C52" s="95"/>
      <c r="D52" s="57"/>
      <c r="E52" s="58"/>
      <c r="F52" s="59"/>
      <c r="G52" s="60"/>
      <c r="H52" s="60"/>
      <c r="I52" s="61"/>
      <c r="J52" s="62"/>
      <c r="K52" s="129" t="str">
        <f t="shared" si="2"/>
        <v/>
      </c>
      <c r="L52" s="103" t="str">
        <f t="shared" si="3"/>
        <v/>
      </c>
      <c r="M52" s="52">
        <v>0</v>
      </c>
      <c r="N52" s="102" t="str">
        <f t="shared" si="4"/>
        <v/>
      </c>
      <c r="O52" s="103" t="str">
        <f t="shared" si="5"/>
        <v/>
      </c>
      <c r="P52" s="52">
        <v>0</v>
      </c>
      <c r="Q52" s="102" t="str">
        <f t="shared" si="6"/>
        <v/>
      </c>
      <c r="R52" s="103" t="str">
        <f t="shared" si="7"/>
        <v/>
      </c>
      <c r="S52" s="52">
        <v>0</v>
      </c>
      <c r="T52" s="102" t="str">
        <f t="shared" si="8"/>
        <v/>
      </c>
      <c r="U52" s="103" t="str">
        <f t="shared" si="9"/>
        <v/>
      </c>
      <c r="V52" s="52">
        <v>0</v>
      </c>
      <c r="W52" s="87" t="str">
        <f t="shared" si="10"/>
        <v/>
      </c>
      <c r="X52" s="103" t="str">
        <f t="shared" si="11"/>
        <v/>
      </c>
      <c r="Y52" s="52">
        <v>0</v>
      </c>
      <c r="Z52" s="56" t="str">
        <f t="shared" si="12"/>
        <v/>
      </c>
      <c r="AA52" s="56" t="str">
        <f t="shared" si="13"/>
        <v/>
      </c>
      <c r="AB52" s="56" t="str">
        <f t="shared" si="14"/>
        <v/>
      </c>
      <c r="AC52" s="56" t="str">
        <f t="shared" si="15"/>
        <v/>
      </c>
      <c r="AD52" s="56" t="str">
        <f t="shared" si="16"/>
        <v/>
      </c>
      <c r="AE52" s="40"/>
      <c r="AF52" s="40"/>
      <c r="AG52" s="40"/>
      <c r="AH52" s="56" t="str">
        <f t="shared" si="17"/>
        <v/>
      </c>
      <c r="AI52" s="54"/>
      <c r="AJ52" s="54"/>
      <c r="AK52" s="54"/>
      <c r="AL52" s="54"/>
      <c r="AM52" s="54"/>
    </row>
    <row r="53" spans="1:39">
      <c r="A53" s="45" t="str" cm="1">
        <f t="array" ref="A53">IF(H53="PROJECT", CHAR(10) &amp; "- " &amp; _xlfn.TEXTJOIN(CHAR(10) &amp; "- ", TRUE, _xlfn._xlws.FILTER($I$9:$I$1000, ($B$9:$B$1000=B53) * ($H$9:$H$1000="Topic"))), "")</f>
        <v/>
      </c>
      <c r="B53" s="45" t="str">
        <f t="shared" si="1"/>
        <v/>
      </c>
      <c r="C53" s="95"/>
      <c r="D53" s="46"/>
      <c r="E53" s="58"/>
      <c r="F53" s="48"/>
      <c r="G53" s="49"/>
      <c r="H53" s="49"/>
      <c r="I53" s="50"/>
      <c r="J53" s="51"/>
      <c r="K53" s="129" t="str">
        <f t="shared" si="2"/>
        <v/>
      </c>
      <c r="L53" s="103" t="str">
        <f t="shared" si="3"/>
        <v/>
      </c>
      <c r="M53" s="53">
        <v>0</v>
      </c>
      <c r="N53" s="102" t="str">
        <f t="shared" si="4"/>
        <v/>
      </c>
      <c r="O53" s="103" t="str">
        <f t="shared" si="5"/>
        <v/>
      </c>
      <c r="P53" s="53">
        <v>0</v>
      </c>
      <c r="Q53" s="102" t="str">
        <f t="shared" si="6"/>
        <v/>
      </c>
      <c r="R53" s="103" t="str">
        <f t="shared" si="7"/>
        <v/>
      </c>
      <c r="S53" s="53">
        <v>0</v>
      </c>
      <c r="T53" s="102" t="str">
        <f t="shared" si="8"/>
        <v/>
      </c>
      <c r="U53" s="103" t="str">
        <f t="shared" si="9"/>
        <v/>
      </c>
      <c r="V53" s="53">
        <v>0</v>
      </c>
      <c r="W53" s="87" t="str">
        <f t="shared" si="10"/>
        <v/>
      </c>
      <c r="X53" s="103" t="str">
        <f t="shared" si="11"/>
        <v/>
      </c>
      <c r="Y53" s="53">
        <v>0</v>
      </c>
      <c r="Z53" s="56" t="str">
        <f t="shared" si="12"/>
        <v/>
      </c>
      <c r="AA53" s="56" t="str">
        <f t="shared" si="13"/>
        <v/>
      </c>
      <c r="AB53" s="56" t="str">
        <f t="shared" si="14"/>
        <v/>
      </c>
      <c r="AC53" s="56" t="str">
        <f t="shared" si="15"/>
        <v/>
      </c>
      <c r="AD53" s="56" t="str">
        <f t="shared" si="16"/>
        <v/>
      </c>
      <c r="AE53" s="40"/>
      <c r="AF53" s="40"/>
      <c r="AG53" s="40"/>
      <c r="AH53" s="56" t="str">
        <f t="shared" si="17"/>
        <v/>
      </c>
      <c r="AI53" s="54"/>
      <c r="AJ53" s="54"/>
      <c r="AK53" s="54"/>
      <c r="AL53" s="54"/>
      <c r="AM53" s="54"/>
    </row>
    <row r="54" spans="1:39">
      <c r="A54" s="45" t="str" cm="1">
        <f t="array" ref="A54">IF(H54="PROJECT", CHAR(10) &amp; "- " &amp; _xlfn.TEXTJOIN(CHAR(10) &amp; "- ", TRUE, _xlfn._xlws.FILTER($I$9:$I$1000, ($B$9:$B$1000=B54) * ($H$9:$H$1000="Topic"))), "")</f>
        <v/>
      </c>
      <c r="B54" s="45" t="str">
        <f t="shared" si="1"/>
        <v/>
      </c>
      <c r="C54" s="95"/>
      <c r="D54" s="57"/>
      <c r="E54" s="58"/>
      <c r="F54" s="59"/>
      <c r="G54" s="60"/>
      <c r="H54" s="60"/>
      <c r="I54" s="61"/>
      <c r="J54" s="62"/>
      <c r="K54" s="129" t="str">
        <f t="shared" si="2"/>
        <v/>
      </c>
      <c r="L54" s="103" t="str">
        <f t="shared" si="3"/>
        <v/>
      </c>
      <c r="M54" s="52">
        <v>0</v>
      </c>
      <c r="N54" s="102" t="str">
        <f t="shared" si="4"/>
        <v/>
      </c>
      <c r="O54" s="103" t="str">
        <f t="shared" si="5"/>
        <v/>
      </c>
      <c r="P54" s="52">
        <v>0</v>
      </c>
      <c r="Q54" s="102" t="str">
        <f t="shared" si="6"/>
        <v/>
      </c>
      <c r="R54" s="103" t="str">
        <f t="shared" si="7"/>
        <v/>
      </c>
      <c r="S54" s="52">
        <v>0</v>
      </c>
      <c r="T54" s="102" t="str">
        <f t="shared" si="8"/>
        <v/>
      </c>
      <c r="U54" s="103" t="str">
        <f t="shared" si="9"/>
        <v/>
      </c>
      <c r="V54" s="52">
        <v>0</v>
      </c>
      <c r="W54" s="87" t="str">
        <f t="shared" si="10"/>
        <v/>
      </c>
      <c r="X54" s="103" t="str">
        <f t="shared" si="11"/>
        <v/>
      </c>
      <c r="Y54" s="52">
        <v>0</v>
      </c>
      <c r="Z54" s="56" t="str">
        <f t="shared" si="12"/>
        <v/>
      </c>
      <c r="AA54" s="56" t="str">
        <f t="shared" si="13"/>
        <v/>
      </c>
      <c r="AB54" s="56" t="str">
        <f t="shared" si="14"/>
        <v/>
      </c>
      <c r="AC54" s="56" t="str">
        <f t="shared" si="15"/>
        <v/>
      </c>
      <c r="AD54" s="56" t="str">
        <f t="shared" si="16"/>
        <v/>
      </c>
      <c r="AE54" s="40"/>
      <c r="AF54" s="40"/>
      <c r="AG54" s="40"/>
      <c r="AH54" s="56" t="str">
        <f t="shared" si="17"/>
        <v/>
      </c>
      <c r="AI54" s="54"/>
      <c r="AJ54" s="54"/>
      <c r="AK54" s="54"/>
      <c r="AL54" s="54"/>
      <c r="AM54" s="54"/>
    </row>
    <row r="55" spans="1:39">
      <c r="A55" s="45" t="str" cm="1">
        <f t="array" ref="A55">IF(H55="PROJECT", CHAR(10) &amp; "- " &amp; _xlfn.TEXTJOIN(CHAR(10) &amp; "- ", TRUE, _xlfn._xlws.FILTER($I$9:$I$1000, ($B$9:$B$1000=B55) * ($H$9:$H$1000="Topic"))), "")</f>
        <v/>
      </c>
      <c r="B55" s="45" t="str">
        <f t="shared" si="1"/>
        <v/>
      </c>
      <c r="C55" s="95"/>
      <c r="D55" s="46"/>
      <c r="E55" s="58"/>
      <c r="F55" s="48"/>
      <c r="G55" s="49"/>
      <c r="H55" s="49"/>
      <c r="I55" s="50"/>
      <c r="J55" s="51"/>
      <c r="K55" s="129" t="str">
        <f t="shared" si="2"/>
        <v/>
      </c>
      <c r="L55" s="103" t="str">
        <f t="shared" si="3"/>
        <v/>
      </c>
      <c r="M55" s="53">
        <v>0</v>
      </c>
      <c r="N55" s="102" t="str">
        <f t="shared" si="4"/>
        <v/>
      </c>
      <c r="O55" s="103" t="str">
        <f t="shared" si="5"/>
        <v/>
      </c>
      <c r="P55" s="53">
        <v>0</v>
      </c>
      <c r="Q55" s="102" t="str">
        <f t="shared" si="6"/>
        <v/>
      </c>
      <c r="R55" s="103" t="str">
        <f t="shared" si="7"/>
        <v/>
      </c>
      <c r="S55" s="53">
        <v>0</v>
      </c>
      <c r="T55" s="102" t="str">
        <f t="shared" si="8"/>
        <v/>
      </c>
      <c r="U55" s="103" t="str">
        <f t="shared" si="9"/>
        <v/>
      </c>
      <c r="V55" s="53">
        <v>0</v>
      </c>
      <c r="W55" s="87" t="str">
        <f t="shared" si="10"/>
        <v/>
      </c>
      <c r="X55" s="103" t="str">
        <f t="shared" si="11"/>
        <v/>
      </c>
      <c r="Y55" s="53">
        <v>0</v>
      </c>
      <c r="Z55" s="56" t="str">
        <f t="shared" si="12"/>
        <v/>
      </c>
      <c r="AA55" s="56" t="str">
        <f t="shared" si="13"/>
        <v/>
      </c>
      <c r="AB55" s="56" t="str">
        <f t="shared" si="14"/>
        <v/>
      </c>
      <c r="AC55" s="56" t="str">
        <f t="shared" si="15"/>
        <v/>
      </c>
      <c r="AD55" s="56" t="str">
        <f t="shared" si="16"/>
        <v/>
      </c>
      <c r="AE55" s="40"/>
      <c r="AF55" s="40"/>
      <c r="AG55" s="40"/>
      <c r="AH55" s="56" t="str">
        <f t="shared" si="17"/>
        <v/>
      </c>
      <c r="AI55" s="54"/>
      <c r="AJ55" s="54"/>
      <c r="AK55" s="54"/>
      <c r="AL55" s="54"/>
      <c r="AM55" s="54"/>
    </row>
    <row r="56" spans="1:39">
      <c r="A56" s="45" t="str" cm="1">
        <f t="array" ref="A56">IF(H56="PROJECT", CHAR(10) &amp; "- " &amp; _xlfn.TEXTJOIN(CHAR(10) &amp; "- ", TRUE, _xlfn._xlws.FILTER($I$9:$I$1000, ($B$9:$B$1000=B56) * ($H$9:$H$1000="Topic"))), "")</f>
        <v/>
      </c>
      <c r="B56" s="45" t="str">
        <f t="shared" si="1"/>
        <v/>
      </c>
      <c r="C56" s="95"/>
      <c r="D56" s="57"/>
      <c r="E56" s="58"/>
      <c r="F56" s="63"/>
      <c r="G56" s="60"/>
      <c r="H56" s="64"/>
      <c r="I56" s="61"/>
      <c r="J56" s="62"/>
      <c r="K56" s="129" t="str">
        <f t="shared" si="2"/>
        <v/>
      </c>
      <c r="L56" s="103" t="str">
        <f t="shared" si="3"/>
        <v/>
      </c>
      <c r="M56" s="52">
        <v>0</v>
      </c>
      <c r="N56" s="102" t="str">
        <f t="shared" si="4"/>
        <v/>
      </c>
      <c r="O56" s="103" t="str">
        <f t="shared" si="5"/>
        <v/>
      </c>
      <c r="P56" s="52">
        <v>0</v>
      </c>
      <c r="Q56" s="102" t="str">
        <f t="shared" si="6"/>
        <v/>
      </c>
      <c r="R56" s="103" t="str">
        <f t="shared" si="7"/>
        <v/>
      </c>
      <c r="S56" s="52">
        <v>0</v>
      </c>
      <c r="T56" s="102" t="str">
        <f t="shared" si="8"/>
        <v/>
      </c>
      <c r="U56" s="103" t="str">
        <f t="shared" si="9"/>
        <v/>
      </c>
      <c r="V56" s="52">
        <v>0</v>
      </c>
      <c r="W56" s="87" t="str">
        <f t="shared" si="10"/>
        <v/>
      </c>
      <c r="X56" s="103" t="str">
        <f t="shared" si="11"/>
        <v/>
      </c>
      <c r="Y56" s="52">
        <v>0</v>
      </c>
      <c r="Z56" s="56" t="str">
        <f t="shared" si="12"/>
        <v/>
      </c>
      <c r="AA56" s="56" t="str">
        <f t="shared" si="13"/>
        <v/>
      </c>
      <c r="AB56" s="56" t="str">
        <f t="shared" si="14"/>
        <v/>
      </c>
      <c r="AC56" s="56" t="str">
        <f t="shared" si="15"/>
        <v/>
      </c>
      <c r="AD56" s="56" t="str">
        <f t="shared" si="16"/>
        <v/>
      </c>
      <c r="AE56" s="40"/>
      <c r="AF56" s="40"/>
      <c r="AG56" s="40"/>
      <c r="AH56" s="56" t="str">
        <f t="shared" si="17"/>
        <v/>
      </c>
      <c r="AI56" s="54"/>
      <c r="AJ56" s="54"/>
      <c r="AK56" s="54"/>
      <c r="AL56" s="54"/>
      <c r="AM56" s="54"/>
    </row>
    <row r="57" spans="1:39">
      <c r="A57" s="45" t="str" cm="1">
        <f t="array" ref="A57">IF(H57="PROJECT", CHAR(10) &amp; "- " &amp; _xlfn.TEXTJOIN(CHAR(10) &amp; "- ", TRUE, _xlfn._xlws.FILTER($I$9:$I$1000, ($B$9:$B$1000=B57) * ($H$9:$H$1000="Topic"))), "")</f>
        <v/>
      </c>
      <c r="B57" s="45" t="str">
        <f t="shared" si="1"/>
        <v/>
      </c>
      <c r="C57" s="95"/>
      <c r="D57" s="46"/>
      <c r="E57" s="58"/>
      <c r="F57" s="65"/>
      <c r="G57" s="49"/>
      <c r="H57" s="66"/>
      <c r="I57" s="50"/>
      <c r="J57" s="51"/>
      <c r="K57" s="129" t="str">
        <f t="shared" si="2"/>
        <v/>
      </c>
      <c r="L57" s="103" t="str">
        <f t="shared" si="3"/>
        <v/>
      </c>
      <c r="M57" s="53">
        <v>0</v>
      </c>
      <c r="N57" s="102" t="str">
        <f t="shared" si="4"/>
        <v/>
      </c>
      <c r="O57" s="103" t="str">
        <f t="shared" si="5"/>
        <v/>
      </c>
      <c r="P57" s="53">
        <v>0</v>
      </c>
      <c r="Q57" s="102" t="str">
        <f t="shared" si="6"/>
        <v/>
      </c>
      <c r="R57" s="103" t="str">
        <f t="shared" si="7"/>
        <v/>
      </c>
      <c r="S57" s="53">
        <v>0</v>
      </c>
      <c r="T57" s="102" t="str">
        <f t="shared" si="8"/>
        <v/>
      </c>
      <c r="U57" s="103" t="str">
        <f t="shared" si="9"/>
        <v/>
      </c>
      <c r="V57" s="53">
        <v>0</v>
      </c>
      <c r="W57" s="87" t="str">
        <f t="shared" si="10"/>
        <v/>
      </c>
      <c r="X57" s="103" t="str">
        <f t="shared" si="11"/>
        <v/>
      </c>
      <c r="Y57" s="53">
        <v>0</v>
      </c>
      <c r="Z57" s="56" t="str">
        <f t="shared" si="12"/>
        <v/>
      </c>
      <c r="AA57" s="56" t="str">
        <f t="shared" si="13"/>
        <v/>
      </c>
      <c r="AB57" s="56" t="str">
        <f t="shared" si="14"/>
        <v/>
      </c>
      <c r="AC57" s="56" t="str">
        <f t="shared" si="15"/>
        <v/>
      </c>
      <c r="AD57" s="56" t="str">
        <f t="shared" si="16"/>
        <v/>
      </c>
      <c r="AE57" s="40"/>
      <c r="AF57" s="40"/>
      <c r="AG57" s="40"/>
      <c r="AH57" s="56" t="str">
        <f t="shared" si="17"/>
        <v/>
      </c>
      <c r="AI57" s="54"/>
      <c r="AJ57" s="54"/>
      <c r="AK57" s="54"/>
      <c r="AL57" s="54"/>
      <c r="AM57" s="54"/>
    </row>
    <row r="58" spans="1:39">
      <c r="A58" s="45" t="str" cm="1">
        <f t="array" ref="A58">IF(H58="PROJECT", CHAR(10) &amp; "- " &amp; _xlfn.TEXTJOIN(CHAR(10) &amp; "- ", TRUE, _xlfn._xlws.FILTER($I$9:$I$1000, ($B$9:$B$1000=B58) * ($H$9:$H$1000="Topic"))), "")</f>
        <v/>
      </c>
      <c r="B58" s="45" t="str">
        <f t="shared" si="1"/>
        <v/>
      </c>
      <c r="C58" s="95"/>
      <c r="D58" s="57"/>
      <c r="E58" s="58"/>
      <c r="F58" s="63"/>
      <c r="G58" s="60"/>
      <c r="H58" s="64"/>
      <c r="I58" s="61"/>
      <c r="J58" s="62"/>
      <c r="K58" s="129" t="str">
        <f t="shared" si="2"/>
        <v/>
      </c>
      <c r="L58" s="103" t="str">
        <f t="shared" si="3"/>
        <v/>
      </c>
      <c r="M58" s="52">
        <v>0</v>
      </c>
      <c r="N58" s="102" t="str">
        <f t="shared" si="4"/>
        <v/>
      </c>
      <c r="O58" s="103" t="str">
        <f t="shared" si="5"/>
        <v/>
      </c>
      <c r="P58" s="52">
        <v>0</v>
      </c>
      <c r="Q58" s="102" t="str">
        <f t="shared" si="6"/>
        <v/>
      </c>
      <c r="R58" s="103" t="str">
        <f t="shared" si="7"/>
        <v/>
      </c>
      <c r="S58" s="52">
        <v>0</v>
      </c>
      <c r="T58" s="102" t="str">
        <f t="shared" si="8"/>
        <v/>
      </c>
      <c r="U58" s="103" t="str">
        <f t="shared" si="9"/>
        <v/>
      </c>
      <c r="V58" s="52">
        <v>0</v>
      </c>
      <c r="W58" s="87" t="str">
        <f t="shared" si="10"/>
        <v/>
      </c>
      <c r="X58" s="103" t="str">
        <f t="shared" si="11"/>
        <v/>
      </c>
      <c r="Y58" s="52">
        <v>0</v>
      </c>
      <c r="Z58" s="56" t="str">
        <f t="shared" si="12"/>
        <v/>
      </c>
      <c r="AA58" s="56" t="str">
        <f t="shared" si="13"/>
        <v/>
      </c>
      <c r="AB58" s="56" t="str">
        <f t="shared" si="14"/>
        <v/>
      </c>
      <c r="AC58" s="56" t="str">
        <f t="shared" si="15"/>
        <v/>
      </c>
      <c r="AD58" s="56" t="str">
        <f t="shared" si="16"/>
        <v/>
      </c>
      <c r="AE58" s="40"/>
      <c r="AF58" s="40"/>
      <c r="AG58" s="40"/>
      <c r="AH58" s="56" t="str">
        <f t="shared" si="17"/>
        <v/>
      </c>
      <c r="AI58" s="54"/>
      <c r="AJ58" s="54"/>
      <c r="AK58" s="54"/>
      <c r="AL58" s="54"/>
      <c r="AM58" s="54"/>
    </row>
    <row r="59" spans="1:39">
      <c r="A59" s="45" t="str" cm="1">
        <f t="array" ref="A59">IF(H59="PROJECT", CHAR(10) &amp; "- " &amp; _xlfn.TEXTJOIN(CHAR(10) &amp; "- ", TRUE, _xlfn._xlws.FILTER($I$9:$I$1000, ($B$9:$B$1000=B59) * ($H$9:$H$1000="Topic"))), "")</f>
        <v/>
      </c>
      <c r="B59" s="45" t="str">
        <f t="shared" si="1"/>
        <v/>
      </c>
      <c r="C59" s="95"/>
      <c r="D59" s="46"/>
      <c r="E59" s="58"/>
      <c r="F59" s="65"/>
      <c r="G59" s="49"/>
      <c r="H59" s="66"/>
      <c r="I59" s="50"/>
      <c r="J59" s="51"/>
      <c r="K59" s="129" t="str">
        <f t="shared" si="2"/>
        <v/>
      </c>
      <c r="L59" s="103" t="str">
        <f t="shared" si="3"/>
        <v/>
      </c>
      <c r="M59" s="53">
        <v>0</v>
      </c>
      <c r="N59" s="102" t="str">
        <f t="shared" si="4"/>
        <v/>
      </c>
      <c r="O59" s="103" t="str">
        <f t="shared" si="5"/>
        <v/>
      </c>
      <c r="P59" s="53">
        <v>0</v>
      </c>
      <c r="Q59" s="102" t="str">
        <f t="shared" si="6"/>
        <v/>
      </c>
      <c r="R59" s="103" t="str">
        <f t="shared" si="7"/>
        <v/>
      </c>
      <c r="S59" s="53">
        <v>0</v>
      </c>
      <c r="T59" s="102" t="str">
        <f t="shared" si="8"/>
        <v/>
      </c>
      <c r="U59" s="103" t="str">
        <f t="shared" si="9"/>
        <v/>
      </c>
      <c r="V59" s="53">
        <v>0</v>
      </c>
      <c r="W59" s="87" t="str">
        <f t="shared" si="10"/>
        <v/>
      </c>
      <c r="X59" s="103" t="str">
        <f t="shared" si="11"/>
        <v/>
      </c>
      <c r="Y59" s="53">
        <v>0</v>
      </c>
      <c r="Z59" s="56" t="str">
        <f t="shared" si="12"/>
        <v/>
      </c>
      <c r="AA59" s="56" t="str">
        <f t="shared" si="13"/>
        <v/>
      </c>
      <c r="AB59" s="56" t="str">
        <f t="shared" si="14"/>
        <v/>
      </c>
      <c r="AC59" s="56" t="str">
        <f t="shared" si="15"/>
        <v/>
      </c>
      <c r="AD59" s="56" t="str">
        <f t="shared" si="16"/>
        <v/>
      </c>
      <c r="AE59" s="40"/>
      <c r="AF59" s="40"/>
      <c r="AG59" s="40"/>
      <c r="AH59" s="56" t="str">
        <f t="shared" si="17"/>
        <v/>
      </c>
      <c r="AI59" s="54"/>
      <c r="AJ59" s="54"/>
      <c r="AK59" s="54"/>
      <c r="AL59" s="54"/>
      <c r="AM59" s="54"/>
    </row>
    <row r="60" spans="1:39">
      <c r="A60" s="45" t="str" cm="1">
        <f t="array" ref="A60">IF(H60="PROJECT", CHAR(10) &amp; "- " &amp; _xlfn.TEXTJOIN(CHAR(10) &amp; "- ", TRUE, _xlfn._xlws.FILTER($I$9:$I$1000, ($B$9:$B$1000=B60) * ($H$9:$H$1000="Topic"))), "")</f>
        <v/>
      </c>
      <c r="B60" s="45" t="str">
        <f t="shared" si="1"/>
        <v/>
      </c>
      <c r="C60" s="95"/>
      <c r="D60" s="57"/>
      <c r="E60" s="58"/>
      <c r="F60" s="63"/>
      <c r="G60" s="60"/>
      <c r="H60" s="64"/>
      <c r="I60" s="61"/>
      <c r="J60" s="62"/>
      <c r="K60" s="129" t="str">
        <f t="shared" si="2"/>
        <v/>
      </c>
      <c r="L60" s="103" t="str">
        <f t="shared" si="3"/>
        <v/>
      </c>
      <c r="M60" s="52">
        <v>0</v>
      </c>
      <c r="N60" s="102" t="str">
        <f t="shared" si="4"/>
        <v/>
      </c>
      <c r="O60" s="103" t="str">
        <f t="shared" si="5"/>
        <v/>
      </c>
      <c r="P60" s="52">
        <v>0</v>
      </c>
      <c r="Q60" s="102" t="str">
        <f t="shared" si="6"/>
        <v/>
      </c>
      <c r="R60" s="103" t="str">
        <f t="shared" si="7"/>
        <v/>
      </c>
      <c r="S60" s="52">
        <v>0</v>
      </c>
      <c r="T60" s="102" t="str">
        <f t="shared" si="8"/>
        <v/>
      </c>
      <c r="U60" s="103" t="str">
        <f t="shared" si="9"/>
        <v/>
      </c>
      <c r="V60" s="52">
        <v>0</v>
      </c>
      <c r="W60" s="87" t="str">
        <f t="shared" si="10"/>
        <v/>
      </c>
      <c r="X60" s="103" t="str">
        <f t="shared" si="11"/>
        <v/>
      </c>
      <c r="Y60" s="52">
        <v>0</v>
      </c>
      <c r="Z60" s="56" t="str">
        <f t="shared" si="12"/>
        <v/>
      </c>
      <c r="AA60" s="56" t="str">
        <f t="shared" si="13"/>
        <v/>
      </c>
      <c r="AB60" s="56" t="str">
        <f t="shared" si="14"/>
        <v/>
      </c>
      <c r="AC60" s="56" t="str">
        <f t="shared" si="15"/>
        <v/>
      </c>
      <c r="AD60" s="56" t="str">
        <f t="shared" si="16"/>
        <v/>
      </c>
      <c r="AE60" s="40"/>
      <c r="AF60" s="40"/>
      <c r="AG60" s="40"/>
      <c r="AH60" s="56" t="str">
        <f t="shared" si="17"/>
        <v/>
      </c>
      <c r="AI60" s="54"/>
      <c r="AJ60" s="54"/>
      <c r="AK60" s="54"/>
      <c r="AL60" s="54"/>
      <c r="AM60" s="54"/>
    </row>
    <row r="61" spans="1:39">
      <c r="A61" s="45" t="str" cm="1">
        <f t="array" ref="A61">IF(H61="PROJECT", CHAR(10) &amp; "- " &amp; _xlfn.TEXTJOIN(CHAR(10) &amp; "- ", TRUE, _xlfn._xlws.FILTER($I$9:$I$1000, ($B$9:$B$1000=B61) * ($H$9:$H$1000="Topic"))), "")</f>
        <v/>
      </c>
      <c r="B61" s="45" t="str">
        <f t="shared" si="1"/>
        <v/>
      </c>
      <c r="C61" s="95"/>
      <c r="D61" s="46"/>
      <c r="E61" s="58"/>
      <c r="F61" s="65"/>
      <c r="G61" s="49"/>
      <c r="H61" s="66"/>
      <c r="I61" s="50"/>
      <c r="J61" s="51"/>
      <c r="K61" s="129" t="str">
        <f t="shared" si="2"/>
        <v/>
      </c>
      <c r="L61" s="103" t="str">
        <f t="shared" si="3"/>
        <v/>
      </c>
      <c r="M61" s="53">
        <v>0</v>
      </c>
      <c r="N61" s="102" t="str">
        <f t="shared" si="4"/>
        <v/>
      </c>
      <c r="O61" s="103" t="str">
        <f t="shared" si="5"/>
        <v/>
      </c>
      <c r="P61" s="53">
        <v>0</v>
      </c>
      <c r="Q61" s="102" t="str">
        <f t="shared" si="6"/>
        <v/>
      </c>
      <c r="R61" s="103" t="str">
        <f t="shared" si="7"/>
        <v/>
      </c>
      <c r="S61" s="53">
        <v>0</v>
      </c>
      <c r="T61" s="102" t="str">
        <f t="shared" si="8"/>
        <v/>
      </c>
      <c r="U61" s="103" t="str">
        <f t="shared" si="9"/>
        <v/>
      </c>
      <c r="V61" s="53">
        <v>0</v>
      </c>
      <c r="W61" s="87" t="str">
        <f t="shared" si="10"/>
        <v/>
      </c>
      <c r="X61" s="103" t="str">
        <f t="shared" si="11"/>
        <v/>
      </c>
      <c r="Y61" s="53">
        <v>0</v>
      </c>
      <c r="Z61" s="56" t="str">
        <f t="shared" si="12"/>
        <v/>
      </c>
      <c r="AA61" s="56" t="str">
        <f t="shared" si="13"/>
        <v/>
      </c>
      <c r="AB61" s="56" t="str">
        <f t="shared" si="14"/>
        <v/>
      </c>
      <c r="AC61" s="56" t="str">
        <f t="shared" si="15"/>
        <v/>
      </c>
      <c r="AD61" s="56" t="str">
        <f t="shared" si="16"/>
        <v/>
      </c>
      <c r="AE61" s="40"/>
      <c r="AF61" s="40"/>
      <c r="AG61" s="40"/>
      <c r="AH61" s="56" t="str">
        <f t="shared" si="17"/>
        <v/>
      </c>
      <c r="AI61" s="54"/>
      <c r="AJ61" s="54"/>
      <c r="AK61" s="54"/>
      <c r="AL61" s="54"/>
      <c r="AM61" s="54"/>
    </row>
    <row r="62" spans="1:39">
      <c r="A62" s="45" t="str" cm="1">
        <f t="array" ref="A62">IF(H62="PROJECT", CHAR(10) &amp; "- " &amp; _xlfn.TEXTJOIN(CHAR(10) &amp; "- ", TRUE, _xlfn._xlws.FILTER($I$9:$I$1000, ($B$9:$B$1000=B62) * ($H$9:$H$1000="Topic"))), "")</f>
        <v/>
      </c>
      <c r="B62" s="45" t="str">
        <f t="shared" si="1"/>
        <v/>
      </c>
      <c r="C62" s="95"/>
      <c r="D62" s="57"/>
      <c r="E62" s="58"/>
      <c r="F62" s="63"/>
      <c r="G62" s="60"/>
      <c r="H62" s="64"/>
      <c r="I62" s="61"/>
      <c r="J62" s="62"/>
      <c r="K62" s="129" t="str">
        <f t="shared" si="2"/>
        <v/>
      </c>
      <c r="L62" s="103" t="str">
        <f t="shared" si="3"/>
        <v/>
      </c>
      <c r="M62" s="52">
        <v>0</v>
      </c>
      <c r="N62" s="102" t="str">
        <f t="shared" si="4"/>
        <v/>
      </c>
      <c r="O62" s="103" t="str">
        <f t="shared" si="5"/>
        <v/>
      </c>
      <c r="P62" s="52">
        <v>0</v>
      </c>
      <c r="Q62" s="102" t="str">
        <f t="shared" si="6"/>
        <v/>
      </c>
      <c r="R62" s="103" t="str">
        <f t="shared" si="7"/>
        <v/>
      </c>
      <c r="S62" s="52">
        <v>0</v>
      </c>
      <c r="T62" s="102" t="str">
        <f t="shared" si="8"/>
        <v/>
      </c>
      <c r="U62" s="103" t="str">
        <f t="shared" si="9"/>
        <v/>
      </c>
      <c r="V62" s="52">
        <v>0</v>
      </c>
      <c r="W62" s="87" t="str">
        <f t="shared" si="10"/>
        <v/>
      </c>
      <c r="X62" s="103" t="str">
        <f t="shared" si="11"/>
        <v/>
      </c>
      <c r="Y62" s="52">
        <v>0</v>
      </c>
      <c r="Z62" s="56" t="str">
        <f t="shared" si="12"/>
        <v/>
      </c>
      <c r="AA62" s="56" t="str">
        <f t="shared" si="13"/>
        <v/>
      </c>
      <c r="AB62" s="56" t="str">
        <f t="shared" si="14"/>
        <v/>
      </c>
      <c r="AC62" s="56" t="str">
        <f t="shared" si="15"/>
        <v/>
      </c>
      <c r="AD62" s="56" t="str">
        <f t="shared" si="16"/>
        <v/>
      </c>
      <c r="AE62" s="40"/>
      <c r="AF62" s="40"/>
      <c r="AG62" s="40"/>
      <c r="AH62" s="56" t="str">
        <f t="shared" si="17"/>
        <v/>
      </c>
      <c r="AI62" s="54"/>
      <c r="AJ62" s="54"/>
      <c r="AK62" s="54"/>
      <c r="AL62" s="54"/>
      <c r="AM62" s="54"/>
    </row>
    <row r="63" spans="1:39">
      <c r="A63" s="45" t="str" cm="1">
        <f t="array" ref="A63">IF(H63="PROJECT", CHAR(10) &amp; "- " &amp; _xlfn.TEXTJOIN(CHAR(10) &amp; "- ", TRUE, _xlfn._xlws.FILTER($I$9:$I$1000, ($B$9:$B$1000=B63) * ($H$9:$H$1000="Topic"))), "")</f>
        <v/>
      </c>
      <c r="B63" s="45" t="str">
        <f t="shared" si="1"/>
        <v/>
      </c>
      <c r="C63" s="95"/>
      <c r="D63" s="46"/>
      <c r="E63" s="58"/>
      <c r="F63" s="65"/>
      <c r="G63" s="49"/>
      <c r="H63" s="66"/>
      <c r="I63" s="50"/>
      <c r="J63" s="51"/>
      <c r="K63" s="129" t="str">
        <f t="shared" si="2"/>
        <v/>
      </c>
      <c r="L63" s="103" t="str">
        <f t="shared" si="3"/>
        <v/>
      </c>
      <c r="M63" s="53">
        <v>0</v>
      </c>
      <c r="N63" s="102" t="str">
        <f t="shared" si="4"/>
        <v/>
      </c>
      <c r="O63" s="103" t="str">
        <f t="shared" si="5"/>
        <v/>
      </c>
      <c r="P63" s="53">
        <v>0</v>
      </c>
      <c r="Q63" s="102" t="str">
        <f t="shared" si="6"/>
        <v/>
      </c>
      <c r="R63" s="103" t="str">
        <f t="shared" si="7"/>
        <v/>
      </c>
      <c r="S63" s="53">
        <v>0</v>
      </c>
      <c r="T63" s="102" t="str">
        <f t="shared" si="8"/>
        <v/>
      </c>
      <c r="U63" s="103" t="str">
        <f t="shared" si="9"/>
        <v/>
      </c>
      <c r="V63" s="53">
        <v>0</v>
      </c>
      <c r="W63" s="87" t="str">
        <f t="shared" si="10"/>
        <v/>
      </c>
      <c r="X63" s="103" t="str">
        <f t="shared" si="11"/>
        <v/>
      </c>
      <c r="Y63" s="53">
        <v>0</v>
      </c>
      <c r="Z63" s="56" t="str">
        <f t="shared" si="12"/>
        <v/>
      </c>
      <c r="AA63" s="56" t="str">
        <f t="shared" si="13"/>
        <v/>
      </c>
      <c r="AB63" s="56" t="str">
        <f t="shared" si="14"/>
        <v/>
      </c>
      <c r="AC63" s="56" t="str">
        <f t="shared" si="15"/>
        <v/>
      </c>
      <c r="AD63" s="56" t="str">
        <f t="shared" si="16"/>
        <v/>
      </c>
      <c r="AE63" s="40"/>
      <c r="AF63" s="40"/>
      <c r="AG63" s="40"/>
      <c r="AH63" s="56" t="str">
        <f t="shared" si="17"/>
        <v/>
      </c>
      <c r="AI63" s="54"/>
      <c r="AJ63" s="54"/>
      <c r="AK63" s="54"/>
      <c r="AL63" s="54"/>
      <c r="AM63" s="54"/>
    </row>
    <row r="64" spans="1:39">
      <c r="A64" s="45" t="str" cm="1">
        <f t="array" ref="A64">IF(H64="PROJECT", CHAR(10) &amp; "- " &amp; _xlfn.TEXTJOIN(CHAR(10) &amp; "- ", TRUE, _xlfn._xlws.FILTER($I$9:$I$1000, ($B$9:$B$1000=B64) * ($H$9:$H$1000="Topic"))), "")</f>
        <v/>
      </c>
      <c r="B64" s="45" t="str">
        <f t="shared" si="1"/>
        <v/>
      </c>
      <c r="C64" s="95"/>
      <c r="D64" s="57"/>
      <c r="E64" s="58"/>
      <c r="F64" s="63"/>
      <c r="G64" s="60"/>
      <c r="H64" s="64"/>
      <c r="I64" s="61"/>
      <c r="J64" s="62"/>
      <c r="K64" s="129" t="str">
        <f t="shared" si="2"/>
        <v/>
      </c>
      <c r="L64" s="103" t="str">
        <f t="shared" si="3"/>
        <v/>
      </c>
      <c r="M64" s="52">
        <v>0</v>
      </c>
      <c r="N64" s="102" t="str">
        <f t="shared" si="4"/>
        <v/>
      </c>
      <c r="O64" s="103" t="str">
        <f t="shared" si="5"/>
        <v/>
      </c>
      <c r="P64" s="52">
        <v>0</v>
      </c>
      <c r="Q64" s="102" t="str">
        <f t="shared" si="6"/>
        <v/>
      </c>
      <c r="R64" s="103" t="str">
        <f t="shared" si="7"/>
        <v/>
      </c>
      <c r="S64" s="52">
        <v>0</v>
      </c>
      <c r="T64" s="102" t="str">
        <f t="shared" si="8"/>
        <v/>
      </c>
      <c r="U64" s="103" t="str">
        <f t="shared" si="9"/>
        <v/>
      </c>
      <c r="V64" s="52">
        <v>0</v>
      </c>
      <c r="W64" s="87" t="str">
        <f t="shared" si="10"/>
        <v/>
      </c>
      <c r="X64" s="103" t="str">
        <f t="shared" si="11"/>
        <v/>
      </c>
      <c r="Y64" s="52">
        <v>0</v>
      </c>
      <c r="Z64" s="56" t="str">
        <f t="shared" si="12"/>
        <v/>
      </c>
      <c r="AA64" s="56" t="str">
        <f t="shared" si="13"/>
        <v/>
      </c>
      <c r="AB64" s="56" t="str">
        <f t="shared" si="14"/>
        <v/>
      </c>
      <c r="AC64" s="56" t="str">
        <f t="shared" si="15"/>
        <v/>
      </c>
      <c r="AD64" s="56" t="str">
        <f t="shared" si="16"/>
        <v/>
      </c>
      <c r="AE64" s="40"/>
      <c r="AF64" s="40"/>
      <c r="AG64" s="40"/>
      <c r="AH64" s="56" t="str">
        <f t="shared" si="17"/>
        <v/>
      </c>
      <c r="AI64" s="54"/>
      <c r="AJ64" s="54"/>
      <c r="AK64" s="54"/>
      <c r="AL64" s="54"/>
      <c r="AM64" s="54"/>
    </row>
    <row r="65" spans="1:39">
      <c r="A65" s="45" t="str" cm="1">
        <f t="array" ref="A65">IF(H65="PROJECT", CHAR(10) &amp; "- " &amp; _xlfn.TEXTJOIN(CHAR(10) &amp; "- ", TRUE, _xlfn._xlws.FILTER($I$9:$I$1000, ($B$9:$B$1000=B65) * ($H$9:$H$1000="Topic"))), "")</f>
        <v/>
      </c>
      <c r="B65" s="45" t="str">
        <f t="shared" si="1"/>
        <v/>
      </c>
      <c r="C65" s="95"/>
      <c r="D65" s="46"/>
      <c r="E65" s="58"/>
      <c r="F65" s="65"/>
      <c r="G65" s="49"/>
      <c r="H65" s="66"/>
      <c r="I65" s="50"/>
      <c r="J65" s="51"/>
      <c r="K65" s="129" t="str">
        <f t="shared" si="2"/>
        <v/>
      </c>
      <c r="L65" s="103" t="str">
        <f t="shared" si="3"/>
        <v/>
      </c>
      <c r="M65" s="53">
        <v>0</v>
      </c>
      <c r="N65" s="102" t="str">
        <f t="shared" si="4"/>
        <v/>
      </c>
      <c r="O65" s="103" t="str">
        <f t="shared" si="5"/>
        <v/>
      </c>
      <c r="P65" s="53">
        <v>0</v>
      </c>
      <c r="Q65" s="102" t="str">
        <f t="shared" si="6"/>
        <v/>
      </c>
      <c r="R65" s="103" t="str">
        <f t="shared" si="7"/>
        <v/>
      </c>
      <c r="S65" s="53">
        <v>0</v>
      </c>
      <c r="T65" s="102" t="str">
        <f t="shared" si="8"/>
        <v/>
      </c>
      <c r="U65" s="103" t="str">
        <f t="shared" si="9"/>
        <v/>
      </c>
      <c r="V65" s="53">
        <v>0</v>
      </c>
      <c r="W65" s="87" t="str">
        <f t="shared" si="10"/>
        <v/>
      </c>
      <c r="X65" s="103" t="str">
        <f t="shared" si="11"/>
        <v/>
      </c>
      <c r="Y65" s="53">
        <v>0</v>
      </c>
      <c r="Z65" s="56" t="str">
        <f t="shared" si="12"/>
        <v/>
      </c>
      <c r="AA65" s="56" t="str">
        <f t="shared" si="13"/>
        <v/>
      </c>
      <c r="AB65" s="56" t="str">
        <f t="shared" si="14"/>
        <v/>
      </c>
      <c r="AC65" s="56" t="str">
        <f t="shared" si="15"/>
        <v/>
      </c>
      <c r="AD65" s="56" t="str">
        <f t="shared" si="16"/>
        <v/>
      </c>
      <c r="AE65" s="40"/>
      <c r="AF65" s="40"/>
      <c r="AG65" s="40"/>
      <c r="AH65" s="56" t="str">
        <f t="shared" si="17"/>
        <v/>
      </c>
      <c r="AI65" s="54"/>
      <c r="AJ65" s="54"/>
      <c r="AK65" s="54"/>
      <c r="AL65" s="54"/>
      <c r="AM65" s="54"/>
    </row>
    <row r="66" spans="1:39">
      <c r="A66" s="45" t="str" cm="1">
        <f t="array" ref="A66">IF(H66="PROJECT", CHAR(10) &amp; "- " &amp; _xlfn.TEXTJOIN(CHAR(10) &amp; "- ", TRUE, _xlfn._xlws.FILTER($I$9:$I$1000, ($B$9:$B$1000=B66) * ($H$9:$H$1000="Topic"))), "")</f>
        <v/>
      </c>
      <c r="B66" s="45" t="str">
        <f t="shared" si="1"/>
        <v/>
      </c>
      <c r="C66" s="95"/>
      <c r="D66" s="57"/>
      <c r="E66" s="58"/>
      <c r="F66" s="63"/>
      <c r="G66" s="60"/>
      <c r="H66" s="64"/>
      <c r="I66" s="61"/>
      <c r="J66" s="62"/>
      <c r="K66" s="129" t="str">
        <f t="shared" si="2"/>
        <v/>
      </c>
      <c r="L66" s="103" t="str">
        <f t="shared" si="3"/>
        <v/>
      </c>
      <c r="M66" s="52">
        <v>0</v>
      </c>
      <c r="N66" s="102" t="str">
        <f t="shared" si="4"/>
        <v/>
      </c>
      <c r="O66" s="103" t="str">
        <f t="shared" si="5"/>
        <v/>
      </c>
      <c r="P66" s="52">
        <v>0</v>
      </c>
      <c r="Q66" s="102" t="str">
        <f t="shared" si="6"/>
        <v/>
      </c>
      <c r="R66" s="103" t="str">
        <f t="shared" si="7"/>
        <v/>
      </c>
      <c r="S66" s="52">
        <v>0</v>
      </c>
      <c r="T66" s="102" t="str">
        <f t="shared" si="8"/>
        <v/>
      </c>
      <c r="U66" s="103" t="str">
        <f t="shared" si="9"/>
        <v/>
      </c>
      <c r="V66" s="52">
        <v>0</v>
      </c>
      <c r="W66" s="87" t="str">
        <f t="shared" si="10"/>
        <v/>
      </c>
      <c r="X66" s="103" t="str">
        <f t="shared" si="11"/>
        <v/>
      </c>
      <c r="Y66" s="52">
        <v>0</v>
      </c>
      <c r="Z66" s="56" t="str">
        <f t="shared" si="12"/>
        <v/>
      </c>
      <c r="AA66" s="56" t="str">
        <f t="shared" si="13"/>
        <v/>
      </c>
      <c r="AB66" s="56" t="str">
        <f t="shared" si="14"/>
        <v/>
      </c>
      <c r="AC66" s="56" t="str">
        <f t="shared" si="15"/>
        <v/>
      </c>
      <c r="AD66" s="56" t="str">
        <f t="shared" si="16"/>
        <v/>
      </c>
      <c r="AE66" s="40"/>
      <c r="AF66" s="40"/>
      <c r="AG66" s="40"/>
      <c r="AH66" s="56" t="str">
        <f t="shared" si="17"/>
        <v/>
      </c>
      <c r="AI66" s="54"/>
      <c r="AJ66" s="54"/>
      <c r="AK66" s="54"/>
      <c r="AL66" s="54"/>
      <c r="AM66" s="54"/>
    </row>
    <row r="67" spans="1:39">
      <c r="A67" s="45" t="str" cm="1">
        <f t="array" ref="A67">IF(H67="PROJECT", CHAR(10) &amp; "- " &amp; _xlfn.TEXTJOIN(CHAR(10) &amp; "- ", TRUE, _xlfn._xlws.FILTER($I$9:$I$1000, ($B$9:$B$1000=B67) * ($H$9:$H$1000="Topic"))), "")</f>
        <v/>
      </c>
      <c r="B67" s="45" t="str">
        <f t="shared" si="1"/>
        <v/>
      </c>
      <c r="C67" s="95"/>
      <c r="D67" s="46"/>
      <c r="E67" s="58"/>
      <c r="F67" s="65"/>
      <c r="G67" s="49"/>
      <c r="H67" s="66"/>
      <c r="I67" s="50"/>
      <c r="J67" s="51"/>
      <c r="K67" s="129" t="str">
        <f t="shared" si="2"/>
        <v/>
      </c>
      <c r="L67" s="103" t="str">
        <f t="shared" si="3"/>
        <v/>
      </c>
      <c r="M67" s="53">
        <v>0</v>
      </c>
      <c r="N67" s="102" t="str">
        <f t="shared" si="4"/>
        <v/>
      </c>
      <c r="O67" s="103" t="str">
        <f t="shared" si="5"/>
        <v/>
      </c>
      <c r="P67" s="53">
        <v>0</v>
      </c>
      <c r="Q67" s="102" t="str">
        <f t="shared" si="6"/>
        <v/>
      </c>
      <c r="R67" s="103" t="str">
        <f t="shared" si="7"/>
        <v/>
      </c>
      <c r="S67" s="53">
        <v>0</v>
      </c>
      <c r="T67" s="102" t="str">
        <f t="shared" si="8"/>
        <v/>
      </c>
      <c r="U67" s="103" t="str">
        <f t="shared" si="9"/>
        <v/>
      </c>
      <c r="V67" s="53">
        <v>0</v>
      </c>
      <c r="W67" s="87" t="str">
        <f t="shared" si="10"/>
        <v/>
      </c>
      <c r="X67" s="103" t="str">
        <f t="shared" si="11"/>
        <v/>
      </c>
      <c r="Y67" s="53">
        <v>0</v>
      </c>
      <c r="Z67" s="56" t="str">
        <f t="shared" si="12"/>
        <v/>
      </c>
      <c r="AA67" s="56" t="str">
        <f t="shared" si="13"/>
        <v/>
      </c>
      <c r="AB67" s="56" t="str">
        <f t="shared" si="14"/>
        <v/>
      </c>
      <c r="AC67" s="56" t="str">
        <f t="shared" si="15"/>
        <v/>
      </c>
      <c r="AD67" s="56" t="str">
        <f t="shared" si="16"/>
        <v/>
      </c>
      <c r="AE67" s="40"/>
      <c r="AF67" s="40"/>
      <c r="AG67" s="40"/>
      <c r="AH67" s="56" t="str">
        <f t="shared" si="17"/>
        <v/>
      </c>
      <c r="AI67" s="54"/>
      <c r="AJ67" s="54"/>
      <c r="AK67" s="54"/>
      <c r="AL67" s="54"/>
      <c r="AM67" s="54"/>
    </row>
    <row r="68" spans="1:39">
      <c r="A68" s="45" t="str" cm="1">
        <f t="array" ref="A68">IF(H68="PROJECT", CHAR(10) &amp; "- " &amp; _xlfn.TEXTJOIN(CHAR(10) &amp; "- ", TRUE, _xlfn._xlws.FILTER($I$9:$I$1000, ($B$9:$B$1000=B68) * ($H$9:$H$1000="Topic"))), "")</f>
        <v/>
      </c>
      <c r="B68" s="45" t="str">
        <f t="shared" si="1"/>
        <v/>
      </c>
      <c r="C68" s="95"/>
      <c r="D68" s="57"/>
      <c r="E68" s="58"/>
      <c r="F68" s="63"/>
      <c r="G68" s="60"/>
      <c r="H68" s="60"/>
      <c r="I68" s="61"/>
      <c r="J68" s="62"/>
      <c r="K68" s="129" t="str">
        <f t="shared" si="2"/>
        <v/>
      </c>
      <c r="L68" s="103" t="str">
        <f t="shared" si="3"/>
        <v/>
      </c>
      <c r="M68" s="52">
        <v>0</v>
      </c>
      <c r="N68" s="102" t="str">
        <f t="shared" si="4"/>
        <v/>
      </c>
      <c r="O68" s="103" t="str">
        <f t="shared" si="5"/>
        <v/>
      </c>
      <c r="P68" s="52">
        <v>0</v>
      </c>
      <c r="Q68" s="102" t="str">
        <f t="shared" si="6"/>
        <v/>
      </c>
      <c r="R68" s="103" t="str">
        <f t="shared" si="7"/>
        <v/>
      </c>
      <c r="S68" s="52">
        <v>0</v>
      </c>
      <c r="T68" s="102" t="str">
        <f t="shared" si="8"/>
        <v/>
      </c>
      <c r="U68" s="103" t="str">
        <f t="shared" si="9"/>
        <v/>
      </c>
      <c r="V68" s="52">
        <v>0</v>
      </c>
      <c r="W68" s="87" t="str">
        <f t="shared" si="10"/>
        <v/>
      </c>
      <c r="X68" s="103" t="str">
        <f t="shared" si="11"/>
        <v/>
      </c>
      <c r="Y68" s="52">
        <v>0</v>
      </c>
      <c r="Z68" s="56" t="str">
        <f t="shared" si="12"/>
        <v/>
      </c>
      <c r="AA68" s="56" t="str">
        <f t="shared" si="13"/>
        <v/>
      </c>
      <c r="AB68" s="56" t="str">
        <f t="shared" si="14"/>
        <v/>
      </c>
      <c r="AC68" s="56" t="str">
        <f t="shared" si="15"/>
        <v/>
      </c>
      <c r="AD68" s="56" t="str">
        <f t="shared" si="16"/>
        <v/>
      </c>
      <c r="AE68" s="40"/>
      <c r="AF68" s="40"/>
      <c r="AG68" s="40"/>
      <c r="AH68" s="56" t="str">
        <f t="shared" si="17"/>
        <v/>
      </c>
      <c r="AI68" s="54"/>
      <c r="AJ68" s="54"/>
      <c r="AK68" s="54"/>
      <c r="AL68" s="54"/>
      <c r="AM68" s="54"/>
    </row>
    <row r="69" spans="1:39">
      <c r="A69" s="45" t="str" cm="1">
        <f t="array" ref="A69">IF(H69="PROJECT", CHAR(10) &amp; "- " &amp; _xlfn.TEXTJOIN(CHAR(10) &amp; "- ", TRUE, _xlfn._xlws.FILTER($I$9:$I$1000, ($B$9:$B$1000=B69) * ($H$9:$H$1000="Topic"))), "")</f>
        <v/>
      </c>
      <c r="B69" s="45" t="str">
        <f t="shared" si="1"/>
        <v/>
      </c>
      <c r="C69" s="95"/>
      <c r="D69" s="46"/>
      <c r="E69" s="58"/>
      <c r="F69" s="65"/>
      <c r="G69" s="49"/>
      <c r="H69" s="66"/>
      <c r="I69" s="50"/>
      <c r="J69" s="51"/>
      <c r="K69" s="129" t="str">
        <f t="shared" si="2"/>
        <v/>
      </c>
      <c r="L69" s="103" t="str">
        <f t="shared" si="3"/>
        <v/>
      </c>
      <c r="M69" s="53">
        <v>0</v>
      </c>
      <c r="N69" s="102" t="str">
        <f t="shared" si="4"/>
        <v/>
      </c>
      <c r="O69" s="103" t="str">
        <f t="shared" si="5"/>
        <v/>
      </c>
      <c r="P69" s="53">
        <v>0</v>
      </c>
      <c r="Q69" s="102" t="str">
        <f t="shared" si="6"/>
        <v/>
      </c>
      <c r="R69" s="103" t="str">
        <f t="shared" si="7"/>
        <v/>
      </c>
      <c r="S69" s="53">
        <v>0</v>
      </c>
      <c r="T69" s="102" t="str">
        <f t="shared" si="8"/>
        <v/>
      </c>
      <c r="U69" s="103" t="str">
        <f t="shared" si="9"/>
        <v/>
      </c>
      <c r="V69" s="53">
        <v>0</v>
      </c>
      <c r="W69" s="87" t="str">
        <f t="shared" si="10"/>
        <v/>
      </c>
      <c r="X69" s="103" t="str">
        <f t="shared" si="11"/>
        <v/>
      </c>
      <c r="Y69" s="53">
        <v>0</v>
      </c>
      <c r="Z69" s="56" t="str">
        <f t="shared" si="12"/>
        <v/>
      </c>
      <c r="AA69" s="56" t="str">
        <f t="shared" si="13"/>
        <v/>
      </c>
      <c r="AB69" s="56" t="str">
        <f t="shared" si="14"/>
        <v/>
      </c>
      <c r="AC69" s="56" t="str">
        <f t="shared" si="15"/>
        <v/>
      </c>
      <c r="AD69" s="56" t="str">
        <f t="shared" si="16"/>
        <v/>
      </c>
      <c r="AE69" s="40"/>
      <c r="AF69" s="40"/>
      <c r="AG69" s="40"/>
      <c r="AH69" s="56" t="str">
        <f t="shared" si="17"/>
        <v/>
      </c>
      <c r="AI69" s="54"/>
      <c r="AJ69" s="54"/>
      <c r="AK69" s="54"/>
      <c r="AL69" s="54"/>
      <c r="AM69" s="54"/>
    </row>
    <row r="70" spans="1:39">
      <c r="A70" s="45" t="str" cm="1">
        <f t="array" ref="A70">IF(H70="PROJECT", CHAR(10) &amp; "- " &amp; _xlfn.TEXTJOIN(CHAR(10) &amp; "- ", TRUE, _xlfn._xlws.FILTER($I$9:$I$1000, ($B$9:$B$1000=B70) * ($H$9:$H$1000="Topic"))), "")</f>
        <v/>
      </c>
      <c r="B70" s="45" t="str">
        <f t="shared" si="1"/>
        <v/>
      </c>
      <c r="C70" s="95"/>
      <c r="D70" s="57"/>
      <c r="E70" s="58"/>
      <c r="F70" s="63"/>
      <c r="G70" s="60"/>
      <c r="H70" s="64"/>
      <c r="I70" s="61"/>
      <c r="J70" s="62"/>
      <c r="K70" s="129" t="str">
        <f t="shared" si="2"/>
        <v/>
      </c>
      <c r="L70" s="103" t="str">
        <f t="shared" si="3"/>
        <v/>
      </c>
      <c r="M70" s="52">
        <v>0</v>
      </c>
      <c r="N70" s="102" t="str">
        <f t="shared" si="4"/>
        <v/>
      </c>
      <c r="O70" s="103" t="str">
        <f t="shared" si="5"/>
        <v/>
      </c>
      <c r="P70" s="52">
        <v>0</v>
      </c>
      <c r="Q70" s="102" t="str">
        <f t="shared" si="6"/>
        <v/>
      </c>
      <c r="R70" s="103" t="str">
        <f t="shared" si="7"/>
        <v/>
      </c>
      <c r="S70" s="52">
        <v>0</v>
      </c>
      <c r="T70" s="102" t="str">
        <f t="shared" si="8"/>
        <v/>
      </c>
      <c r="U70" s="103" t="str">
        <f t="shared" si="9"/>
        <v/>
      </c>
      <c r="V70" s="52">
        <v>0</v>
      </c>
      <c r="W70" s="87" t="str">
        <f t="shared" si="10"/>
        <v/>
      </c>
      <c r="X70" s="103" t="str">
        <f t="shared" si="11"/>
        <v/>
      </c>
      <c r="Y70" s="52">
        <v>0</v>
      </c>
      <c r="Z70" s="56" t="str">
        <f t="shared" si="12"/>
        <v/>
      </c>
      <c r="AA70" s="56" t="str">
        <f t="shared" si="13"/>
        <v/>
      </c>
      <c r="AB70" s="56" t="str">
        <f t="shared" si="14"/>
        <v/>
      </c>
      <c r="AC70" s="56" t="str">
        <f t="shared" si="15"/>
        <v/>
      </c>
      <c r="AD70" s="56" t="str">
        <f t="shared" si="16"/>
        <v/>
      </c>
      <c r="AE70" s="40"/>
      <c r="AF70" s="40"/>
      <c r="AG70" s="40"/>
      <c r="AH70" s="56" t="str">
        <f t="shared" si="17"/>
        <v/>
      </c>
      <c r="AI70" s="54"/>
      <c r="AJ70" s="54"/>
      <c r="AK70" s="54"/>
      <c r="AL70" s="54"/>
      <c r="AM70" s="54"/>
    </row>
    <row r="71" spans="1:39">
      <c r="A71" s="45" t="str" cm="1">
        <f t="array" ref="A71">IF(H71="PROJECT", CHAR(10) &amp; "- " &amp; _xlfn.TEXTJOIN(CHAR(10) &amp; "- ", TRUE, _xlfn._xlws.FILTER($I$9:$I$1000, ($B$9:$B$1000=B71) * ($H$9:$H$1000="Topic"))), "")</f>
        <v/>
      </c>
      <c r="B71" s="45" t="str">
        <f t="shared" si="1"/>
        <v/>
      </c>
      <c r="C71" s="95"/>
      <c r="D71" s="46"/>
      <c r="E71" s="58"/>
      <c r="F71" s="65"/>
      <c r="G71" s="49"/>
      <c r="H71" s="66"/>
      <c r="I71" s="50"/>
      <c r="J71" s="51"/>
      <c r="K71" s="129" t="str">
        <f t="shared" si="2"/>
        <v/>
      </c>
      <c r="L71" s="103" t="str">
        <f t="shared" si="3"/>
        <v/>
      </c>
      <c r="M71" s="53">
        <v>0</v>
      </c>
      <c r="N71" s="102" t="str">
        <f t="shared" si="4"/>
        <v/>
      </c>
      <c r="O71" s="103" t="str">
        <f t="shared" si="5"/>
        <v/>
      </c>
      <c r="P71" s="53">
        <v>0</v>
      </c>
      <c r="Q71" s="102" t="str">
        <f t="shared" si="6"/>
        <v/>
      </c>
      <c r="R71" s="103" t="str">
        <f t="shared" si="7"/>
        <v/>
      </c>
      <c r="S71" s="53">
        <v>0</v>
      </c>
      <c r="T71" s="102" t="str">
        <f t="shared" si="8"/>
        <v/>
      </c>
      <c r="U71" s="103" t="str">
        <f t="shared" si="9"/>
        <v/>
      </c>
      <c r="V71" s="53">
        <v>0</v>
      </c>
      <c r="W71" s="87" t="str">
        <f t="shared" si="10"/>
        <v/>
      </c>
      <c r="X71" s="103" t="str">
        <f t="shared" si="11"/>
        <v/>
      </c>
      <c r="Y71" s="53">
        <v>0</v>
      </c>
      <c r="Z71" s="56" t="str">
        <f t="shared" si="12"/>
        <v/>
      </c>
      <c r="AA71" s="56" t="str">
        <f t="shared" si="13"/>
        <v/>
      </c>
      <c r="AB71" s="56" t="str">
        <f t="shared" si="14"/>
        <v/>
      </c>
      <c r="AC71" s="56" t="str">
        <f t="shared" si="15"/>
        <v/>
      </c>
      <c r="AD71" s="56" t="str">
        <f t="shared" si="16"/>
        <v/>
      </c>
      <c r="AE71" s="40"/>
      <c r="AF71" s="40"/>
      <c r="AG71" s="40"/>
      <c r="AH71" s="56" t="str">
        <f t="shared" si="17"/>
        <v/>
      </c>
      <c r="AI71" s="54"/>
      <c r="AJ71" s="54"/>
      <c r="AK71" s="54"/>
      <c r="AL71" s="54"/>
      <c r="AM71" s="54"/>
    </row>
    <row r="72" spans="1:39">
      <c r="A72" s="45" t="str" cm="1">
        <f t="array" ref="A72">IF(H72="PROJECT", CHAR(10) &amp; "- " &amp; _xlfn.TEXTJOIN(CHAR(10) &amp; "- ", TRUE, _xlfn._xlws.FILTER($I$9:$I$1000, ($B$9:$B$1000=B72) * ($H$9:$H$1000="Topic"))), "")</f>
        <v/>
      </c>
      <c r="B72" s="45" t="str">
        <f t="shared" si="1"/>
        <v/>
      </c>
      <c r="C72" s="95"/>
      <c r="D72" s="57"/>
      <c r="E72" s="58"/>
      <c r="F72" s="63"/>
      <c r="G72" s="60"/>
      <c r="H72" s="64"/>
      <c r="I72" s="61"/>
      <c r="J72" s="62"/>
      <c r="K72" s="129" t="str">
        <f t="shared" si="2"/>
        <v/>
      </c>
      <c r="L72" s="103" t="str">
        <f t="shared" si="3"/>
        <v/>
      </c>
      <c r="M72" s="52">
        <v>0</v>
      </c>
      <c r="N72" s="102" t="str">
        <f t="shared" si="4"/>
        <v/>
      </c>
      <c r="O72" s="103" t="str">
        <f t="shared" si="5"/>
        <v/>
      </c>
      <c r="P72" s="52">
        <v>0</v>
      </c>
      <c r="Q72" s="102" t="str">
        <f t="shared" si="6"/>
        <v/>
      </c>
      <c r="R72" s="103" t="str">
        <f t="shared" si="7"/>
        <v/>
      </c>
      <c r="S72" s="52">
        <v>0</v>
      </c>
      <c r="T72" s="102" t="str">
        <f t="shared" si="8"/>
        <v/>
      </c>
      <c r="U72" s="103" t="str">
        <f t="shared" si="9"/>
        <v/>
      </c>
      <c r="V72" s="52">
        <v>0</v>
      </c>
      <c r="W72" s="87" t="str">
        <f t="shared" si="10"/>
        <v/>
      </c>
      <c r="X72" s="103" t="str">
        <f t="shared" si="11"/>
        <v/>
      </c>
      <c r="Y72" s="52">
        <v>0</v>
      </c>
      <c r="Z72" s="56" t="str">
        <f t="shared" si="12"/>
        <v/>
      </c>
      <c r="AA72" s="56" t="str">
        <f t="shared" si="13"/>
        <v/>
      </c>
      <c r="AB72" s="56" t="str">
        <f t="shared" si="14"/>
        <v/>
      </c>
      <c r="AC72" s="56" t="str">
        <f t="shared" si="15"/>
        <v/>
      </c>
      <c r="AD72" s="56" t="str">
        <f t="shared" si="16"/>
        <v/>
      </c>
      <c r="AE72" s="40"/>
      <c r="AF72" s="40"/>
      <c r="AG72" s="40"/>
      <c r="AH72" s="56" t="str">
        <f t="shared" si="17"/>
        <v/>
      </c>
      <c r="AI72" s="54"/>
      <c r="AJ72" s="54"/>
      <c r="AK72" s="54"/>
      <c r="AL72" s="54"/>
      <c r="AM72" s="54"/>
    </row>
    <row r="73" spans="1:39">
      <c r="A73" s="45" t="str" cm="1">
        <f t="array" ref="A73">IF(H73="PROJECT", CHAR(10) &amp; "- " &amp; _xlfn.TEXTJOIN(CHAR(10) &amp; "- ", TRUE, _xlfn._xlws.FILTER($I$9:$I$1000, ($B$9:$B$1000=B73) * ($H$9:$H$1000="Topic"))), "")</f>
        <v/>
      </c>
      <c r="B73" s="45" t="str">
        <f t="shared" si="1"/>
        <v/>
      </c>
      <c r="C73" s="95"/>
      <c r="D73" s="46"/>
      <c r="E73" s="58"/>
      <c r="F73" s="67"/>
      <c r="G73" s="53"/>
      <c r="H73" s="49"/>
      <c r="I73" s="50"/>
      <c r="J73" s="51"/>
      <c r="K73" s="129" t="str">
        <f t="shared" si="2"/>
        <v/>
      </c>
      <c r="L73" s="103" t="str">
        <f t="shared" si="3"/>
        <v/>
      </c>
      <c r="M73" s="53">
        <v>0</v>
      </c>
      <c r="N73" s="102" t="str">
        <f t="shared" si="4"/>
        <v/>
      </c>
      <c r="O73" s="103" t="str">
        <f t="shared" si="5"/>
        <v/>
      </c>
      <c r="P73" s="53">
        <v>0</v>
      </c>
      <c r="Q73" s="102" t="str">
        <f t="shared" si="6"/>
        <v/>
      </c>
      <c r="R73" s="103" t="str">
        <f t="shared" si="7"/>
        <v/>
      </c>
      <c r="S73" s="53">
        <v>0</v>
      </c>
      <c r="T73" s="102" t="str">
        <f t="shared" si="8"/>
        <v/>
      </c>
      <c r="U73" s="103" t="str">
        <f t="shared" si="9"/>
        <v/>
      </c>
      <c r="V73" s="53">
        <v>0</v>
      </c>
      <c r="W73" s="87" t="str">
        <f t="shared" si="10"/>
        <v/>
      </c>
      <c r="X73" s="103" t="str">
        <f t="shared" si="11"/>
        <v/>
      </c>
      <c r="Y73" s="53">
        <v>0</v>
      </c>
      <c r="Z73" s="56" t="str">
        <f t="shared" si="12"/>
        <v/>
      </c>
      <c r="AA73" s="56" t="str">
        <f t="shared" si="13"/>
        <v/>
      </c>
      <c r="AB73" s="56" t="str">
        <f t="shared" si="14"/>
        <v/>
      </c>
      <c r="AC73" s="56" t="str">
        <f t="shared" si="15"/>
        <v/>
      </c>
      <c r="AD73" s="56" t="str">
        <f t="shared" si="16"/>
        <v/>
      </c>
      <c r="AE73" s="40"/>
      <c r="AF73" s="40"/>
      <c r="AG73" s="40"/>
      <c r="AH73" s="56" t="str">
        <f t="shared" ref="AH73:AH104" si="18">IF(AE73=$B$6,AG73,"")</f>
        <v/>
      </c>
      <c r="AI73" s="54"/>
      <c r="AJ73" s="54"/>
      <c r="AK73" s="54"/>
      <c r="AL73" s="54"/>
      <c r="AM73" s="54"/>
    </row>
    <row r="74" spans="1:39">
      <c r="A74" s="45" t="str" cm="1">
        <f t="array" ref="A74">IF(H74="PROJECT", CHAR(10) &amp; "- " &amp; _xlfn.TEXTJOIN(CHAR(10) &amp; "- ", TRUE, _xlfn._xlws.FILTER($I$9:$I$1000, ($B$9:$B$1000=B74) * ($H$9:$H$1000="Topic"))), "")</f>
        <v/>
      </c>
      <c r="B74" s="45" t="str">
        <f t="shared" ref="B74:B137" si="19">IF(H74="","",IF(AND(H74="Topic",H73="PROJECT"),B73+1,IF(H74="PROJECT",B73,IF(AND(H74="Topic",H73="Topic"),B73,B73+1))))</f>
        <v/>
      </c>
      <c r="C74" s="95"/>
      <c r="D74" s="57"/>
      <c r="E74" s="58"/>
      <c r="F74" s="54"/>
      <c r="G74" s="52"/>
      <c r="H74" s="52"/>
      <c r="I74" s="61"/>
      <c r="J74" s="62"/>
      <c r="K74" s="129" t="str">
        <f t="shared" ref="K74:K137" si="20">IF(H74="Topic",
"[ROLE] Friendly tutor specializing in " &amp; $I$2 &amp; " | " &amp;
"[TOPIC] " &amp; I74 &amp; " | " &amp;
"[LEVEL] " &amp; G74 &amp; " | " &amp;
"[COUNT] " &amp; D74 &amp; " examples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$C74 &amp; " lines of EXECUTABLE code (STRICT: Do NOT count comments or blank lines). - NEVER exceed this limit. | " &amp;
"[FUNCTION RULE] Rule: " &amp; IF(G74="Beginner","Focus: basic function definitions, return values, positional/keyword arguments, and list/dict comprehensions.", IF(G74="Intermediate", "Integrate generator functions using yield, closures, functools utilities (partial, lru_cache), and decorators.", "Dictionaries, Tuples, Namedtuples, or TypedDicts with strict type hints")) &amp; " | " &amp;
"[CODE_CONSTRAINTS_RULE] Each example MUST: - Use Dictionaries, Tuples, Namedtuples, or TypedDicts with strict type hints - Print steps &amp; result via print() or logging.info()/logging.error() inside functional scopes or error handlers - MAX " &amp; $C74 &amp; " executable lines (comments/blanks excluded) - NEVER exceed limit. | " &amp;
"[I_O_PARADIGM] Use pathlib.Path, open() with context managers, or sys.stdin/sys.stdout streams and gracefully handle Typed Tuples like Tuple[bool, str], Namedtuples, or Dict[str, Any] with type annotations when applicable. | " &amp;
"[INLINE_PACKAGE_MANAGER] If using external packages, use Standard requirements.txt file or inline pip install comments (# requirements: package_name&gt;=version) at the top of the code block. Assume no project configuration file exists. | " &amp;
_xlfn._LONGTEXT("[TESTING_FRAMEWORK_LIMITS]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F74 &amp; " | Stage 1 📖 Practice | " &amp; IF($I$3="", $I$2, $I$2&amp; " - " &amp;$I$3) &amp; " | 📊 Level: " &amp; G74 &amp; " | 🌐 Coding5s.com" &amp; CHAR(10) &amp; "**Concept:** " &amp; J74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D74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IF(AJ74&lt;&gt;"", AJ74,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IF(H74="PROJECT", Z74, ""))</f>
        <v/>
      </c>
      <c r="L74" s="103" t="str">
        <f t="shared" ref="L74:L137" si="21">IF(OR(H74="Topic", UPPER(H74)="PROJECT"),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IF(UPPER(H74)="PROJECT", "building a PROJECT: " &amp; I74 &amp; ". Topics applied in this project: " &amp; A74 &amp; ". Project objective: " &amp; J74, "learning: " &amp; I74 &amp; ". Topic details: " &amp; J74)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IF(G74="Beginner", "Evaluate based on basic functions, data structures, and conditional logic. Do NOT expect decorators, generators, or asyncio unless explicitly demanded.", IF(G74="Intermediate",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
_xlfn._LONGTEXT("[CODE_QUALITY_POLICIES]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&amp; IF(AJ74&lt;&gt;"", "[MENTOR CONTEXT ALERT] Be aware of the following infrastructure limitation for this exercise: " &amp; AJ74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IF(UPPER(H74)="PROJECT",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IF(UPPER(H74)="PROJECT",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IF(UPPER(H74)="PROJECT", "Project #", "Topic #") &amp; F74 &amp; " | Practice | " &amp; IF($I$3="", $I$2, $I$2&amp; " - " &amp;$I$3) &amp; " | 📊 Level: " &amp; G74 &amp; CHAR(10) &amp; "**" &amp; IF(UPPER(H74)="PROJECT", "Project", "Topic") &amp; ":** " &amp; I74 &amp; CHAR(10) &amp; "---" &amp; CHAR(10) &amp; " | " &amp;
"[FOOTER RULE - STRICT] End your response with: '--- ⚡ *Coding5s Mentor System — Eliminating Epistemic Debt*' | ","")</f>
        <v/>
      </c>
      <c r="M74" s="52">
        <v>0</v>
      </c>
      <c r="N74" s="102" t="str">
        <f t="shared" ref="N74:N137" si="22">IF(H74="Topic",
"[ROLE] Careless " &amp; $I$2 &amp; " Developer | " &amp;
"[TASK] Generate debugging challenges in " &amp; $I$2 &amp; " | | " &amp;
"[TOPIC] " &amp; I74 &amp; " | | " &amp;
"[LEVEL] " &amp; G74 &amp; " | | " &amp;
"[COUNT] " &amp; D74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Topic #" &amp; F74 &amp; " | Stage 2 🐛 Debug | " &amp; IF($I$3="", $I$2, $I$2&amp; " - " &amp;$I$3) &amp; " | 📊 Level: " &amp; G74 &amp; " | 🌐 Coding5s.com" &amp; CHAR(10) &amp; "Concept: " &amp; J74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 &amp;
"[EXUNIT RULE] Always use pytest or native test functions. You MUST use native assert statements or pytest.raises() for exception testing. Avoid defining TestClasses or methods. | " &amp;
"[HEX DEPENDENCIES RULE] Assume a standard Python runtime context. External PyPI dependencies MUST be specified strictly within a requirements.txt file. | " &amp;
"[CODE CONSTRAINTS] Each challenge MUST include: - At least 1 functional iterator/generator or comprehension - Explicit type annotations - At least 1 error handling try/except block - " &amp; IF(G74="Beginner", "5–15", IF(G74="Intermediate", "10–25", "15–35")) &amp; " lines of EXECUTABLE broken Python code per example (STRICT: Do NOT count blank lines). Enforce PEP 8, type hints, and NO OOP class structures. | All challenges MUST have similar functional abstraction depth and architectural complexity.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D74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IF(H74="PROJECT", AA74, ""))</f>
        <v/>
      </c>
      <c r="O74" s="103" t="str">
        <f t="shared" ref="O74:O137" si="23">IF(OR(H74="Topic", UPPER(H74)="PROJECT"),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IF(UPPER(H74)="PROJECT", "PROJECT: " &amp; I74 &amp; ". Topics involved: " &amp; A74 &amp; ". Project objective: " &amp; J74, "TOPIC: " &amp; I74 &amp; ". Topic details: " &amp; J74)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IF(UPPER(H74)="PROJECT", "Project #", "Topic #") &amp; F74 &amp; " | Debug | " &amp; IF($I$3="", $I$2, $I$2&amp; " - " &amp;$I$3) &amp; " | 📊 Level: " &amp; G74 &amp; CHAR(10) &amp; "**" &amp; IF(UPPER(H74)="PROJECT", "Project", "Topic") &amp; ":** " &amp; I74 &amp; CHAR(10) &amp; "---" &amp; CHAR(10) &amp; " | " &amp;
_xlfn._LONGTEXT("[PYTHON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c>
      <c r="P74" s="52">
        <v>0</v>
      </c>
      <c r="Q74" s="102" t="str">
        <f t="shared" ref="Q74:Q137" si="24">IF(H74="Topic",
"[ROLE] Tech Lead | " &amp;
"[TASK] Assign incomplete " &amp; $I$2 &amp; " script challenges | " &amp;
"[TOPIC] " &amp; I74 &amp; " | " &amp;
"[LEVEL] " &amp; G74 &amp; " | " &amp;
"[COUNT] " &amp; D74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Topic #" &amp; F74 &amp; " | Stage 3 🧩 Complete | " &amp; IF($I$3="", $I$2, $I$2&amp; " - " &amp;$I$3) &amp; " | 📊 Level: " &amp; G74 &amp; " | 🌐 Coding5s.com" &amp; CHAR(10) &amp; "**Concept:** " &amp; J74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External PyPI packages MUST be specified inside a standard requirements.txt file. Do not use inline system pip commands. | " &amp;
"[TESTING_FRAMEWORK_PROTOCOL] Tests MUST isolate functional logic. NEVER mutate global state; use native assert statements or pytest fixtures to verify function outputs. | " &amp;
"[CHALLENGE_CONSTRAINTS_POLICY] Each challenge MUST include: - A functional module or script using closures, generators, or functools to manage continuous state with strict type hints. - " &amp; IF(G74="Beginner","5–15", IF(G74="Intermediate","10–25","15–35")) &amp; " lines of EXECUTABLE base Python code (STRICT: Do NOT count comments or TODOs). Length MUST vary. Enforce type hints, PEP 8, and NO classes.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D74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I74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IF(G74="Beginner", "Clear explicit hint (no code) | ", IF(G74="Intermediate",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IF(H74="PROJECT", AB74, ""))</f>
        <v/>
      </c>
      <c r="R74" s="103" t="str">
        <f t="shared" ref="R74:R137" si="25">IF(OR(H74="Topic", UPPER(H74)="PROJECT"),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IF(UPPER(H74)="PROJECT", "PROJECT: " &amp; I74 &amp; ". Topics involved: " &amp; A74 &amp; ". Project objective: " &amp; J74, "TOPIC: " &amp; I74 &amp; ". Topic details: " &amp; J74)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IF(UPPER(H74)="PROJECT", "Project #", "Topic #") &amp; F74 &amp; " | Complete | " &amp; IF($I$3="", $I$2, $I$2&amp; " - " &amp;$I$3) &amp; " | 📊 Level: " &amp; G74 &amp; CHAR(10) &amp; "**" &amp; IF(UPPER(H74)="PROJECT", "Project", "Topic") &amp; ":** " &amp; I74 &amp; CHAR(10) &amp; "---" &amp; CHAR(10) &amp; " | " &amp;
_xlfn._LONGTEXT("[PYTHON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c>
      <c r="S74" s="52">
        <v>0</v>
      </c>
      <c r="T74" s="102" t="str">
        <f t="shared" ref="T74:T137" si="26">IF(H74="Topic",
"[ROLE] Tech Lead | " &amp;
"[TASK] Provide intentionally messy but functional code for learning debugging and improvement | " &amp;
"[TOPIC] " &amp; I74 &amp; " | " &amp;
"[LEVEL] " &amp; G74 &amp; " | " &amp;
"[COUNT] " &amp; D74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F74 &amp; " | Stage 4 🧹 Refactor | " &amp; IF($I$3="", $I$2, $I$2&amp; " - " &amp;$I$3) &amp; " | 📊 Level: " &amp; G74 &amp; " | 🌐 Coding5s.com" &amp; CHAR(10) &amp; "**Concept:** " &amp; J74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D74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IF(G74="Beginner", "5–15", IF(G74="Intermediate",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IF(H74="PROJECT", AC74, ""))</f>
        <v/>
      </c>
      <c r="U74" s="103" t="str">
        <f t="shared" ref="U74:U137" si="27">IF(OR(H74="Topic", UPPER(H74)="PROJECT"),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IF(UPPER(H74)="PROJECT", "PROJECT: " &amp; I74 &amp; ". Topics involved: " &amp; A74 &amp; ". Project objective: " &amp; J74, "TOPIC: " &amp; I74 &amp; ". Topic details: " &amp; J74)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IF(UPPER(H74)="PROJECT", "Project #", "Topic #") &amp; F74 &amp; " | Refactor | " &amp; IF($I$3="", $I$2, $I$2&amp; " - " &amp;$I$3) &amp; " | 📊 Level: " &amp; G74 &amp; CHAR(10) &amp; "**" &amp; IF(UPPER(H74)="PROJECT", "Project", "Topic") &amp; ":** " &amp; I74 &amp; CHAR(10) &amp; "---" &amp; CHAR(10) &amp; " | " &amp;
_xlfn._LONGTEXT("[PYTHON QUALITY RULE - STRICT] Code MUST adhere strictly to PEP 8 guidelines. Use snake_case for variables/functions, UPPER_CASE for constants, snake_case for files. Avoid global state; emphasize strict type hints, functools, and clean functional architec","tures without OOP classes.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
      </c>
      <c r="V74" s="52">
        <v>0</v>
      </c>
      <c r="W74" s="87" t="str">
        <f t="shared" ref="W74:W137" si="28">IF(H74="Topic",
"[ROLE] Tech Product Manager assigning a " &amp; $I$2 &amp; " Jira Ticket | " &amp;
"[TASK] Provide a guided implementation exercise with full solution for learning purposes | " &amp;
"[TOPIC] " &amp; I74 &amp; " | " &amp;
"[LEVEL] " &amp; G74 &amp; "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F74 &amp; " | Stage 5 | " &amp; IF($I$3="", $I$2, $I$2&amp; " - " &amp;$I$3) &amp; " | 📊 Level: " &amp; G74 &amp; " | 🌐 Coding5s.com" &amp; CHAR(10) &amp; "**Concept:** " &amp; J74 &amp; CHAR(10) &amp; "---" &amp; CHAR(10) &amp; " | " &amp;
"[FUNCTIONAL_STRUCTURE_POLICY] Rule: " &amp; IF(G74="Beginner", "Use simple scripts or minimal functions. ", IF(G74="Intermediate",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IF(G74="Beginner", "10–20", IF(G74="Intermediate", "15–30", "25–40")) &amp; " lines of EXECUTABLE code (STRICT) - V1.1 MUST be between " &amp; IF(G74="Beginner", "15–30", IF(G74="Intermediate",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IF(H74="PROJECT", AD74, ""))</f>
        <v/>
      </c>
      <c r="X74" s="103" t="str">
        <f t="shared" ref="X74:X137" si="29">IF(OR(H74="Topic", UPPER(H74)="PROJECT"),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IF(UPPER(H74)="PROJECT", "PROJECT: " &amp; I74 &amp; ". Topics integrated: " &amp; A74 &amp; ". Business Goal: " &amp; J74, "TOPIC: " &amp; I74 &amp; ". Goal: " &amp; J74)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IF(UPPER(H74)="PROJECT", "Project #", "Topic #") &amp; F74 &amp; " | Extend | " &amp; IF($I$3="", $I$2, $I$2&amp; " - " &amp;$I$3) &amp; " | 📊 Level: " &amp; G74 &amp; CHAR(10) &amp; "**" &amp; IF(UPPER(H74)="PROJECT", "Project", "Topic") &amp; ":** " &amp; I74 &amp; CHAR(10) &amp; "---" &amp; CHAR(10) &amp; " | " &amp;
_xlfn._LONGTEXT("[CODE_QUALITY_PROTOCOL]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
      </c>
      <c r="Y74" s="52">
        <v>0</v>
      </c>
      <c r="Z74" s="56" t="str">
        <f t="shared" ref="Z74:Z137" si="30">IF(H74&lt;&gt;"PROJECT","",
"[TASK] Teach through a practical " &amp; $I$2 &amp; " - " &amp; $I$3 &amp; " project following the micro-learning methodology, acting as a supportive tutor, creating a project about  " &amp; I74 &amp; " | " &amp;
"[TOPICS USED] " &amp; A74 &amp; " | " &amp;
"[LEVEL] " &amp; G74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the project requires an external package, you MUST use Standard requirements.txt file or inline pip install comments (# requirements: package_name&gt;=version) at the top. | " &amp;
"[SCOPE_ARCHITECTURE_RULE] Rule: Build scripts: async/await coroutines with asyncio, subprocess execution, signal trapping, and custom context managers. | " &amp;
_xlfn._LONGTEXT("[VISUAL_ARCHITECTURE_COMMENTS]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 &amp;
"[DATA ROBUSTNESS RULE] Handle real-world data safely | " &amp;
"[CODE CONSTRAINTS] MUST be between " &amp; IF(G74="Beginner", "25–40", IF(G74="Intermediate",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F74 &amp; " | Stage 1 | " &amp; IF($I$3="", $I$2, $I$2&amp; " - " &amp;$I$3) &amp; " | 📊 Level: " &amp; G74 &amp; " | 🌐 Coding5s.com" &amp; CHAR(10) &amp; "**Project:** " &amp; J74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74" s="56" t="str">
        <f t="shared" ref="AA74:AA137" si="31">IF(H74&lt;&gt;"PROJECT","",
"[ROLE] Careless " &amp; $I$2 &amp; " Developer | " &amp;
"[TASK] Generate debugging project in " &amp; $I$2 &amp; " | " &amp;
"[PROJECT] " &amp; I74 &amp; " | " &amp;
"[TOPICS USED] " &amp; A74 &amp; " | " &amp;
"[LEVEL] " &amp; G74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F74 &amp; " | Stage 2 | " &amp; IF($I$3="", $I$2, $I$2&amp; " - " &amp;$I$3) &amp; " | 📊 Level: " &amp; G74 &amp; " | 🌐 Coding5s.com" &amp; CHAR(10) &amp; "Project: " &amp; J74 &amp; CHAR(10) &amp; "---" &amp; CHAR(10) &amp; "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AE72 &amp; " | " &amp;
"[LANGUAGE SEED CONTEXT] " &amp; IF($AE$7 = "", "Language Seed Not Necessary", "You MUST strictly follow this seed context to enhance, adapt, and naturalize your tone, vocabulary, and instructional quality in " &amp; $B$6 &amp; ": " &amp; $AE$7) &amp; " | " &amp;
_xlfn._LONGTEXT("[BUG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IF(G74="Beginner", "25–40", IF(G74="Intermediate", "30–60", "40–100")) &amp; " lines of EXECUTABLE code (STRICT: Do NOT count blank lines towards this limit) - Multi-step flow - 2–4 functions ONLY - main() as entry point " &amp; IF(G74&lt;&gt;"Advanced",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74" s="56" t="str">
        <f t="shared" ref="AB74:AB137" si="32">IF(H74&lt;&gt;"PROJECT","",
"[ROLE] Tech Lead | " &amp;
"[TASK] Assign incomplete project script | " &amp;
"[PROJECT] " &amp; I74 &amp; " | " &amp;
"[TOPICS USED] " &amp; A74 &amp; " | " &amp;
"[LEVEL] " &amp; G74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F74 &amp; " | Stage 3 | " &amp; IF($I$3="", $I$2, $I$2&amp; " - " &amp;$I$3) &amp; " | 📊 Level: " &amp; G74 &amp; " | 🌐 Coding5s.com" &amp; CHAR(10) &amp; "**Project:** " &amp; J74 &amp; CHAR(10) &amp; "---" &amp; CHAR(10) &amp; " | " &amp;
"[EXTERNAL_PACKAGE_PROTOCOL] Require standard pip tooling and requirements.txt for dependencies. | " &amp;
"[CHALLENGE_CONSTRAINTS_POLICY] MUST be between " &amp; IF(G74="Beginner","25–40", IF(G74="Intermediate","30–60","40–100")) &amp; " lines of EXECUTABLE base Python code (STRICT: Do NOT count comments or TODOs). Must feature functional data pipelines or asynchronous asyncio flows.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74" s="56" t="str">
        <f t="shared" ref="AC74:AC137" si="33">IF(H74&lt;&gt;"PROJECT","",
"[ROLE] Tech Lead | " &amp;
"[TASK] Provide a messy but functional project for refactoring | " &amp;
"[PROJECT] " &amp; I74 &amp; " | " &amp;
"[TOPICS USED] " &amp; A74 &amp; " | " &amp;
"[LEVEL] " &amp; G74 &amp; " | " &amp;
"[PERSONA RULE] Act as a Tech Lead. A junior wrote this working but messy code. Tone: professional but exhausted | " &amp;
"[HEADER RULE - STRICT] You MUST start your entire response EXACTLY with this markdown block (do not print anything before it):" &amp; CHAR(10) &amp; "### 🚀 Project #" &amp; F74 &amp; " | Stage 4 | " &amp; IF($I$3="", $I$2, $I$2&amp; " - " &amp;$I$3) &amp; " | 📊 Level: " &amp; G74 &amp; " | 🌐 Coding5s.com" &amp; CHAR(10) &amp; "**Project:** " &amp; J74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IF(G74="Beginner", "25–40", IF(G74="Intermediate",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74" s="56" t="str">
        <f t="shared" ref="AD74:AD137" si="34">IF(H74&lt;&gt;"PROJECT","",
"[ROLE] Tech Product Manager assigning a " &amp; $I$2 &amp; " Jira Ticket | " &amp;
"[TASK] Provide a guided project implementation with full solution | " &amp;
"[PROJECT] " &amp; I74 &amp; " | " &amp;
"[TOPICS USED] " &amp; A74 &amp; " | " &amp;
"[LEVEL] " &amp; G74 &amp; " | " &amp;
"[PERSONA RULE] Act as a professional Tech Product Manager defining a project ticket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Project #" &amp; F74 &amp; " | Stage 5 | " &amp; IF($I$3="", $I$2, $I$2&amp; " - " &amp;$I$3) &amp; " | 📊 Level: " &amp; G74 &amp; " | 🌐 Coding5s.com" &amp; CHAR(10) &amp; "**Project:** " &amp; J74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IF(G74="Beginner", "20–35", IF(G74="Intermediate", "30–50", "45–70")) &amp; " lines of EXECUTABLE code (STRICT) - V1.1 MUST be between " &amp; IF(G74="Beginner", "30–50", IF(G74="Intermediate",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IF(G74="Beginner", "Avoid complex structure. ", IF(G74="Intermediate",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74" s="40"/>
      <c r="AF74" s="40"/>
      <c r="AG74" s="40"/>
      <c r="AH74" s="56" t="str">
        <f t="shared" si="18"/>
        <v/>
      </c>
      <c r="AI74" s="54"/>
      <c r="AJ74" s="54"/>
      <c r="AK74" s="54"/>
      <c r="AL74" s="54"/>
      <c r="AM74" s="54"/>
    </row>
    <row r="75" spans="1:39">
      <c r="A75" s="45" t="str" cm="1">
        <f t="array" ref="A75">IF(H75="PROJECT", CHAR(10) &amp; "- " &amp; _xlfn.TEXTJOIN(CHAR(10) &amp; "- ", TRUE, _xlfn._xlws.FILTER($I$9:$I$1000, ($B$9:$B$1000=B75) * ($H$9:$H$1000="Topic"))), "")</f>
        <v/>
      </c>
      <c r="B75" s="45" t="str">
        <f t="shared" si="19"/>
        <v/>
      </c>
      <c r="C75" s="95"/>
      <c r="D75" s="46"/>
      <c r="E75" s="58"/>
      <c r="F75" s="67"/>
      <c r="G75" s="53"/>
      <c r="H75" s="53"/>
      <c r="I75" s="50"/>
      <c r="J75" s="51"/>
      <c r="K75" s="129" t="str">
        <f t="shared" si="20"/>
        <v/>
      </c>
      <c r="L75" s="103" t="str">
        <f t="shared" si="21"/>
        <v/>
      </c>
      <c r="M75" s="53">
        <v>0</v>
      </c>
      <c r="N75" s="102" t="str">
        <f t="shared" si="22"/>
        <v/>
      </c>
      <c r="O75" s="103" t="str">
        <f t="shared" si="23"/>
        <v/>
      </c>
      <c r="P75" s="53">
        <v>0</v>
      </c>
      <c r="Q75" s="102" t="str">
        <f t="shared" si="24"/>
        <v/>
      </c>
      <c r="R75" s="103" t="str">
        <f t="shared" si="25"/>
        <v/>
      </c>
      <c r="S75" s="53">
        <v>0</v>
      </c>
      <c r="T75" s="102" t="str">
        <f t="shared" si="26"/>
        <v/>
      </c>
      <c r="U75" s="103" t="str">
        <f t="shared" si="27"/>
        <v/>
      </c>
      <c r="V75" s="53">
        <v>0</v>
      </c>
      <c r="W75" s="87" t="str">
        <f t="shared" si="28"/>
        <v/>
      </c>
      <c r="X75" s="103" t="str">
        <f t="shared" si="29"/>
        <v/>
      </c>
      <c r="Y75" s="53">
        <v>0</v>
      </c>
      <c r="Z75" s="56" t="str">
        <f t="shared" si="30"/>
        <v/>
      </c>
      <c r="AA75" s="56" t="str">
        <f t="shared" si="31"/>
        <v/>
      </c>
      <c r="AB75" s="56" t="str">
        <f t="shared" si="32"/>
        <v/>
      </c>
      <c r="AC75" s="56" t="str">
        <f t="shared" si="33"/>
        <v/>
      </c>
      <c r="AD75" s="56" t="str">
        <f t="shared" si="34"/>
        <v/>
      </c>
      <c r="AE75" s="40"/>
      <c r="AF75" s="40"/>
      <c r="AG75" s="40"/>
      <c r="AH75" s="56" t="str">
        <f t="shared" si="18"/>
        <v/>
      </c>
      <c r="AI75" s="54"/>
      <c r="AJ75" s="54"/>
      <c r="AK75" s="54"/>
      <c r="AL75" s="54"/>
      <c r="AM75" s="54"/>
    </row>
    <row r="76" spans="1:39">
      <c r="A76" s="45" t="str" cm="1">
        <f t="array" ref="A76">IF(H76="PROJECT", CHAR(10) &amp; "- " &amp; _xlfn.TEXTJOIN(CHAR(10) &amp; "- ", TRUE, _xlfn._xlws.FILTER($I$9:$I$1000, ($B$9:$B$1000=B76) * ($H$9:$H$1000="Topic"))), "")</f>
        <v/>
      </c>
      <c r="B76" s="45" t="str">
        <f t="shared" si="19"/>
        <v/>
      </c>
      <c r="C76" s="95"/>
      <c r="D76" s="57"/>
      <c r="E76" s="58"/>
      <c r="F76" s="54"/>
      <c r="G76" s="52"/>
      <c r="H76" s="52"/>
      <c r="I76" s="61"/>
      <c r="J76" s="62"/>
      <c r="K76" s="129" t="str">
        <f t="shared" si="20"/>
        <v/>
      </c>
      <c r="L76" s="103" t="str">
        <f t="shared" si="21"/>
        <v/>
      </c>
      <c r="M76" s="52">
        <v>0</v>
      </c>
      <c r="N76" s="102" t="str">
        <f t="shared" si="22"/>
        <v/>
      </c>
      <c r="O76" s="103" t="str">
        <f t="shared" si="23"/>
        <v/>
      </c>
      <c r="P76" s="52">
        <v>0</v>
      </c>
      <c r="Q76" s="102" t="str">
        <f t="shared" si="24"/>
        <v/>
      </c>
      <c r="R76" s="103" t="str">
        <f t="shared" si="25"/>
        <v/>
      </c>
      <c r="S76" s="52">
        <v>0</v>
      </c>
      <c r="T76" s="102" t="str">
        <f t="shared" si="26"/>
        <v/>
      </c>
      <c r="U76" s="103" t="str">
        <f t="shared" si="27"/>
        <v/>
      </c>
      <c r="V76" s="52">
        <v>0</v>
      </c>
      <c r="W76" s="87" t="str">
        <f t="shared" si="28"/>
        <v/>
      </c>
      <c r="X76" s="103" t="str">
        <f t="shared" si="29"/>
        <v/>
      </c>
      <c r="Y76" s="52">
        <v>0</v>
      </c>
      <c r="Z76" s="56" t="str">
        <f t="shared" si="30"/>
        <v/>
      </c>
      <c r="AA76" s="56" t="str">
        <f t="shared" si="31"/>
        <v/>
      </c>
      <c r="AB76" s="56" t="str">
        <f t="shared" si="32"/>
        <v/>
      </c>
      <c r="AC76" s="56" t="str">
        <f t="shared" si="33"/>
        <v/>
      </c>
      <c r="AD76" s="56" t="str">
        <f t="shared" si="34"/>
        <v/>
      </c>
      <c r="AE76" s="40"/>
      <c r="AF76" s="40"/>
      <c r="AG76" s="40"/>
      <c r="AH76" s="56" t="str">
        <f t="shared" si="18"/>
        <v/>
      </c>
      <c r="AI76" s="54"/>
      <c r="AJ76" s="54"/>
      <c r="AK76" s="54"/>
      <c r="AL76" s="54"/>
      <c r="AM76" s="54"/>
    </row>
    <row r="77" spans="1:39">
      <c r="A77" s="45" t="str" cm="1">
        <f t="array" ref="A77">IF(H77="PROJECT", CHAR(10) &amp; "- " &amp; _xlfn.TEXTJOIN(CHAR(10) &amp; "- ", TRUE, _xlfn._xlws.FILTER($I$9:$I$1000, ($B$9:$B$1000=B77) * ($H$9:$H$1000="Topic"))), "")</f>
        <v/>
      </c>
      <c r="B77" s="45" t="str">
        <f t="shared" si="19"/>
        <v/>
      </c>
      <c r="C77" s="95"/>
      <c r="D77" s="46"/>
      <c r="E77" s="58"/>
      <c r="F77" s="67"/>
      <c r="G77" s="53"/>
      <c r="H77" s="53"/>
      <c r="I77" s="50"/>
      <c r="J77" s="51"/>
      <c r="K77" s="129" t="str">
        <f t="shared" si="20"/>
        <v/>
      </c>
      <c r="L77" s="103" t="str">
        <f t="shared" si="21"/>
        <v/>
      </c>
      <c r="M77" s="53">
        <v>0</v>
      </c>
      <c r="N77" s="102" t="str">
        <f t="shared" si="22"/>
        <v/>
      </c>
      <c r="O77" s="103" t="str">
        <f t="shared" si="23"/>
        <v/>
      </c>
      <c r="P77" s="53">
        <v>0</v>
      </c>
      <c r="Q77" s="102" t="str">
        <f t="shared" si="24"/>
        <v/>
      </c>
      <c r="R77" s="103" t="str">
        <f t="shared" si="25"/>
        <v/>
      </c>
      <c r="S77" s="53">
        <v>0</v>
      </c>
      <c r="T77" s="102" t="str">
        <f t="shared" si="26"/>
        <v/>
      </c>
      <c r="U77" s="103" t="str">
        <f t="shared" si="27"/>
        <v/>
      </c>
      <c r="V77" s="53">
        <v>0</v>
      </c>
      <c r="W77" s="87" t="str">
        <f t="shared" si="28"/>
        <v/>
      </c>
      <c r="X77" s="103" t="str">
        <f t="shared" si="29"/>
        <v/>
      </c>
      <c r="Y77" s="53">
        <v>0</v>
      </c>
      <c r="Z77" s="56" t="str">
        <f t="shared" si="30"/>
        <v/>
      </c>
      <c r="AA77" s="56" t="str">
        <f t="shared" si="31"/>
        <v/>
      </c>
      <c r="AB77" s="56" t="str">
        <f t="shared" si="32"/>
        <v/>
      </c>
      <c r="AC77" s="56" t="str">
        <f t="shared" si="33"/>
        <v/>
      </c>
      <c r="AD77" s="56" t="str">
        <f t="shared" si="34"/>
        <v/>
      </c>
      <c r="AE77" s="40"/>
      <c r="AF77" s="40"/>
      <c r="AG77" s="40"/>
      <c r="AH77" s="56" t="str">
        <f t="shared" si="18"/>
        <v/>
      </c>
      <c r="AI77" s="54"/>
      <c r="AJ77" s="54"/>
      <c r="AK77" s="54"/>
      <c r="AL77" s="54"/>
      <c r="AM77" s="54"/>
    </row>
    <row r="78" spans="1:39">
      <c r="A78" s="45" t="str" cm="1">
        <f t="array" ref="A78">IF(H78="PROJECT", CHAR(10) &amp; "- " &amp; _xlfn.TEXTJOIN(CHAR(10) &amp; "- ", TRUE, _xlfn._xlws.FILTER($I$9:$I$1000, ($B$9:$B$1000=B78) * ($H$9:$H$1000="Topic"))), "")</f>
        <v/>
      </c>
      <c r="B78" s="45" t="str">
        <f t="shared" si="19"/>
        <v/>
      </c>
      <c r="C78" s="95"/>
      <c r="D78" s="57"/>
      <c r="E78" s="58"/>
      <c r="F78" s="54"/>
      <c r="G78" s="52"/>
      <c r="H78" s="52"/>
      <c r="I78" s="61"/>
      <c r="J78" s="62"/>
      <c r="K78" s="129" t="str">
        <f t="shared" si="20"/>
        <v/>
      </c>
      <c r="L78" s="103" t="str">
        <f t="shared" si="21"/>
        <v/>
      </c>
      <c r="M78" s="52">
        <v>0</v>
      </c>
      <c r="N78" s="102" t="str">
        <f t="shared" si="22"/>
        <v/>
      </c>
      <c r="O78" s="103" t="str">
        <f t="shared" si="23"/>
        <v/>
      </c>
      <c r="P78" s="52">
        <v>0</v>
      </c>
      <c r="Q78" s="102" t="str">
        <f t="shared" si="24"/>
        <v/>
      </c>
      <c r="R78" s="103" t="str">
        <f t="shared" si="25"/>
        <v/>
      </c>
      <c r="S78" s="52">
        <v>0</v>
      </c>
      <c r="T78" s="102" t="str">
        <f t="shared" si="26"/>
        <v/>
      </c>
      <c r="U78" s="103" t="str">
        <f t="shared" si="27"/>
        <v/>
      </c>
      <c r="V78" s="52">
        <v>0</v>
      </c>
      <c r="W78" s="87" t="str">
        <f t="shared" si="28"/>
        <v/>
      </c>
      <c r="X78" s="103" t="str">
        <f t="shared" si="29"/>
        <v/>
      </c>
      <c r="Y78" s="52">
        <v>0</v>
      </c>
      <c r="Z78" s="56" t="str">
        <f t="shared" si="30"/>
        <v/>
      </c>
      <c r="AA78" s="56" t="str">
        <f t="shared" si="31"/>
        <v/>
      </c>
      <c r="AB78" s="56" t="str">
        <f t="shared" si="32"/>
        <v/>
      </c>
      <c r="AC78" s="56" t="str">
        <f t="shared" si="33"/>
        <v/>
      </c>
      <c r="AD78" s="56" t="str">
        <f t="shared" si="34"/>
        <v/>
      </c>
      <c r="AE78" s="40"/>
      <c r="AF78" s="40"/>
      <c r="AG78" s="40"/>
      <c r="AH78" s="56" t="str">
        <f t="shared" si="18"/>
        <v/>
      </c>
      <c r="AI78" s="54"/>
      <c r="AJ78" s="54"/>
      <c r="AK78" s="54"/>
      <c r="AL78" s="54"/>
      <c r="AM78" s="54"/>
    </row>
    <row r="79" spans="1:39">
      <c r="A79" s="45" t="str" cm="1">
        <f t="array" ref="A79">IF(H79="PROJECT", CHAR(10) &amp; "- " &amp; _xlfn.TEXTJOIN(CHAR(10) &amp; "- ", TRUE, _xlfn._xlws.FILTER($I$9:$I$1000, ($B$9:$B$1000=B79) * ($H$9:$H$1000="Topic"))), "")</f>
        <v/>
      </c>
      <c r="B79" s="45" t="str">
        <f t="shared" si="19"/>
        <v/>
      </c>
      <c r="C79" s="95"/>
      <c r="D79" s="46"/>
      <c r="E79" s="58"/>
      <c r="F79" s="67"/>
      <c r="G79" s="53"/>
      <c r="H79" s="53"/>
      <c r="I79" s="50"/>
      <c r="J79" s="51"/>
      <c r="K79" s="129" t="str">
        <f t="shared" si="20"/>
        <v/>
      </c>
      <c r="L79" s="103" t="str">
        <f t="shared" si="21"/>
        <v/>
      </c>
      <c r="M79" s="53">
        <v>0</v>
      </c>
      <c r="N79" s="102" t="str">
        <f t="shared" si="22"/>
        <v/>
      </c>
      <c r="O79" s="103" t="str">
        <f t="shared" si="23"/>
        <v/>
      </c>
      <c r="P79" s="53">
        <v>0</v>
      </c>
      <c r="Q79" s="102" t="str">
        <f t="shared" si="24"/>
        <v/>
      </c>
      <c r="R79" s="103" t="str">
        <f t="shared" si="25"/>
        <v/>
      </c>
      <c r="S79" s="53">
        <v>0</v>
      </c>
      <c r="T79" s="102" t="str">
        <f t="shared" si="26"/>
        <v/>
      </c>
      <c r="U79" s="103" t="str">
        <f t="shared" si="27"/>
        <v/>
      </c>
      <c r="V79" s="53">
        <v>0</v>
      </c>
      <c r="W79" s="87" t="str">
        <f t="shared" si="28"/>
        <v/>
      </c>
      <c r="X79" s="103" t="str">
        <f t="shared" si="29"/>
        <v/>
      </c>
      <c r="Y79" s="53">
        <v>0</v>
      </c>
      <c r="Z79" s="56" t="str">
        <f t="shared" si="30"/>
        <v/>
      </c>
      <c r="AA79" s="56" t="str">
        <f t="shared" si="31"/>
        <v/>
      </c>
      <c r="AB79" s="56" t="str">
        <f t="shared" si="32"/>
        <v/>
      </c>
      <c r="AC79" s="56" t="str">
        <f t="shared" si="33"/>
        <v/>
      </c>
      <c r="AD79" s="56" t="str">
        <f t="shared" si="34"/>
        <v/>
      </c>
      <c r="AE79" s="40"/>
      <c r="AF79" s="40"/>
      <c r="AG79" s="40"/>
      <c r="AH79" s="56" t="str">
        <f t="shared" si="18"/>
        <v/>
      </c>
      <c r="AI79" s="54"/>
      <c r="AJ79" s="54"/>
      <c r="AK79" s="54"/>
      <c r="AL79" s="54"/>
      <c r="AM79" s="54"/>
    </row>
    <row r="80" spans="1:39">
      <c r="A80" s="45" t="str" cm="1">
        <f t="array" ref="A80">IF(H80="PROJECT", CHAR(10) &amp; "- " &amp; _xlfn.TEXTJOIN(CHAR(10) &amp; "- ", TRUE, _xlfn._xlws.FILTER($I$9:$I$1000, ($B$9:$B$1000=B80) * ($H$9:$H$1000="Topic"))), "")</f>
        <v/>
      </c>
      <c r="B80" s="45" t="str">
        <f t="shared" si="19"/>
        <v/>
      </c>
      <c r="C80" s="95"/>
      <c r="D80" s="57"/>
      <c r="E80" s="58"/>
      <c r="F80" s="54"/>
      <c r="G80" s="52"/>
      <c r="H80" s="60"/>
      <c r="I80" s="61"/>
      <c r="J80" s="62"/>
      <c r="K80" s="129" t="str">
        <f t="shared" si="20"/>
        <v/>
      </c>
      <c r="L80" s="103" t="str">
        <f t="shared" si="21"/>
        <v/>
      </c>
      <c r="M80" s="52">
        <v>0</v>
      </c>
      <c r="N80" s="102" t="str">
        <f t="shared" si="22"/>
        <v/>
      </c>
      <c r="O80" s="103" t="str">
        <f t="shared" si="23"/>
        <v/>
      </c>
      <c r="P80" s="52">
        <v>0</v>
      </c>
      <c r="Q80" s="102" t="str">
        <f t="shared" si="24"/>
        <v/>
      </c>
      <c r="R80" s="103" t="str">
        <f t="shared" si="25"/>
        <v/>
      </c>
      <c r="S80" s="52">
        <v>0</v>
      </c>
      <c r="T80" s="102" t="str">
        <f t="shared" si="26"/>
        <v/>
      </c>
      <c r="U80" s="103" t="str">
        <f t="shared" si="27"/>
        <v/>
      </c>
      <c r="V80" s="52">
        <v>0</v>
      </c>
      <c r="W80" s="87" t="str">
        <f t="shared" si="28"/>
        <v/>
      </c>
      <c r="X80" s="103" t="str">
        <f t="shared" si="29"/>
        <v/>
      </c>
      <c r="Y80" s="52">
        <v>0</v>
      </c>
      <c r="Z80" s="56" t="str">
        <f t="shared" si="30"/>
        <v/>
      </c>
      <c r="AA80" s="56" t="str">
        <f t="shared" si="31"/>
        <v/>
      </c>
      <c r="AB80" s="56" t="str">
        <f t="shared" si="32"/>
        <v/>
      </c>
      <c r="AC80" s="56" t="str">
        <f t="shared" si="33"/>
        <v/>
      </c>
      <c r="AD80" s="56" t="str">
        <f t="shared" si="34"/>
        <v/>
      </c>
      <c r="AE80" s="40"/>
      <c r="AF80" s="40"/>
      <c r="AG80" s="40"/>
      <c r="AH80" s="56" t="str">
        <f t="shared" si="18"/>
        <v/>
      </c>
      <c r="AI80" s="54"/>
      <c r="AJ80" s="54"/>
      <c r="AK80" s="54"/>
      <c r="AL80" s="54"/>
      <c r="AM80" s="54"/>
    </row>
    <row r="81" spans="1:39">
      <c r="A81" s="45" t="str" cm="1">
        <f t="array" ref="A81">IF(H81="PROJECT", CHAR(10) &amp; "- " &amp; _xlfn.TEXTJOIN(CHAR(10) &amp; "- ", TRUE, _xlfn._xlws.FILTER($I$9:$I$1000, ($B$9:$B$1000=B81) * ($H$9:$H$1000="Topic"))), "")</f>
        <v/>
      </c>
      <c r="B81" s="45" t="str">
        <f t="shared" si="19"/>
        <v/>
      </c>
      <c r="C81" s="95"/>
      <c r="D81" s="46"/>
      <c r="E81" s="58"/>
      <c r="F81" s="67"/>
      <c r="G81" s="53"/>
      <c r="H81" s="53"/>
      <c r="I81" s="50"/>
      <c r="J81" s="51"/>
      <c r="K81" s="129" t="str">
        <f t="shared" si="20"/>
        <v/>
      </c>
      <c r="L81" s="103" t="str">
        <f t="shared" si="21"/>
        <v/>
      </c>
      <c r="M81" s="53">
        <v>0</v>
      </c>
      <c r="N81" s="102" t="str">
        <f t="shared" si="22"/>
        <v/>
      </c>
      <c r="O81" s="103" t="str">
        <f t="shared" si="23"/>
        <v/>
      </c>
      <c r="P81" s="53">
        <v>0</v>
      </c>
      <c r="Q81" s="102" t="str">
        <f t="shared" si="24"/>
        <v/>
      </c>
      <c r="R81" s="103" t="str">
        <f t="shared" si="25"/>
        <v/>
      </c>
      <c r="S81" s="53">
        <v>0</v>
      </c>
      <c r="T81" s="102" t="str">
        <f t="shared" si="26"/>
        <v/>
      </c>
      <c r="U81" s="103" t="str">
        <f t="shared" si="27"/>
        <v/>
      </c>
      <c r="V81" s="53">
        <v>0</v>
      </c>
      <c r="W81" s="87" t="str">
        <f t="shared" si="28"/>
        <v/>
      </c>
      <c r="X81" s="103" t="str">
        <f t="shared" si="29"/>
        <v/>
      </c>
      <c r="Y81" s="53">
        <v>0</v>
      </c>
      <c r="Z81" s="56" t="str">
        <f t="shared" si="30"/>
        <v/>
      </c>
      <c r="AA81" s="56" t="str">
        <f t="shared" si="31"/>
        <v/>
      </c>
      <c r="AB81" s="56" t="str">
        <f t="shared" si="32"/>
        <v/>
      </c>
      <c r="AC81" s="56" t="str">
        <f t="shared" si="33"/>
        <v/>
      </c>
      <c r="AD81" s="56" t="str">
        <f t="shared" si="34"/>
        <v/>
      </c>
      <c r="AE81" s="40"/>
      <c r="AF81" s="40"/>
      <c r="AG81" s="40"/>
      <c r="AH81" s="56" t="str">
        <f t="shared" si="18"/>
        <v/>
      </c>
      <c r="AI81" s="54"/>
      <c r="AJ81" s="54"/>
      <c r="AK81" s="54"/>
      <c r="AL81" s="54"/>
      <c r="AM81" s="54"/>
    </row>
    <row r="82" spans="1:39">
      <c r="A82" s="45" t="str" cm="1">
        <f t="array" ref="A82">IF(H82="PROJECT", CHAR(10) &amp; "- " &amp; _xlfn.TEXTJOIN(CHAR(10) &amp; "- ", TRUE, _xlfn._xlws.FILTER($I$9:$I$1000, ($B$9:$B$1000=B82) * ($H$9:$H$1000="Topic"))), "")</f>
        <v/>
      </c>
      <c r="B82" s="45" t="str">
        <f t="shared" si="19"/>
        <v/>
      </c>
      <c r="C82" s="95"/>
      <c r="D82" s="57"/>
      <c r="E82" s="58"/>
      <c r="F82" s="54"/>
      <c r="G82" s="52"/>
      <c r="H82" s="52"/>
      <c r="I82" s="61"/>
      <c r="J82" s="62"/>
      <c r="K82" s="129" t="str">
        <f t="shared" si="20"/>
        <v/>
      </c>
      <c r="L82" s="103" t="str">
        <f t="shared" si="21"/>
        <v/>
      </c>
      <c r="M82" s="52">
        <v>0</v>
      </c>
      <c r="N82" s="102" t="str">
        <f t="shared" si="22"/>
        <v/>
      </c>
      <c r="O82" s="103" t="str">
        <f t="shared" si="23"/>
        <v/>
      </c>
      <c r="P82" s="52">
        <v>0</v>
      </c>
      <c r="Q82" s="102" t="str">
        <f t="shared" si="24"/>
        <v/>
      </c>
      <c r="R82" s="103" t="str">
        <f t="shared" si="25"/>
        <v/>
      </c>
      <c r="S82" s="52">
        <v>0</v>
      </c>
      <c r="T82" s="102" t="str">
        <f t="shared" si="26"/>
        <v/>
      </c>
      <c r="U82" s="103" t="str">
        <f t="shared" si="27"/>
        <v/>
      </c>
      <c r="V82" s="52">
        <v>0</v>
      </c>
      <c r="W82" s="87" t="str">
        <f t="shared" si="28"/>
        <v/>
      </c>
      <c r="X82" s="103" t="str">
        <f t="shared" si="29"/>
        <v/>
      </c>
      <c r="Y82" s="52">
        <v>0</v>
      </c>
      <c r="Z82" s="56" t="str">
        <f t="shared" si="30"/>
        <v/>
      </c>
      <c r="AA82" s="56" t="str">
        <f t="shared" si="31"/>
        <v/>
      </c>
      <c r="AB82" s="56" t="str">
        <f t="shared" si="32"/>
        <v/>
      </c>
      <c r="AC82" s="56" t="str">
        <f t="shared" si="33"/>
        <v/>
      </c>
      <c r="AD82" s="56" t="str">
        <f t="shared" si="34"/>
        <v/>
      </c>
      <c r="AE82" s="40"/>
      <c r="AF82" s="40"/>
      <c r="AG82" s="40"/>
      <c r="AH82" s="56" t="str">
        <f t="shared" si="18"/>
        <v/>
      </c>
      <c r="AI82" s="54"/>
      <c r="AJ82" s="54"/>
      <c r="AK82" s="54"/>
      <c r="AL82" s="54"/>
      <c r="AM82" s="54"/>
    </row>
    <row r="83" spans="1:39">
      <c r="A83" s="45" t="str" cm="1">
        <f t="array" ref="A83">IF(H83="PROJECT", CHAR(10) &amp; "- " &amp; _xlfn.TEXTJOIN(CHAR(10) &amp; "- ", TRUE, _xlfn._xlws.FILTER($I$9:$I$1000, ($B$9:$B$1000=B83) * ($H$9:$H$1000="Topic"))), "")</f>
        <v/>
      </c>
      <c r="B83" s="45" t="str">
        <f t="shared" si="19"/>
        <v/>
      </c>
      <c r="C83" s="95"/>
      <c r="D83" s="46"/>
      <c r="E83" s="58"/>
      <c r="F83" s="67"/>
      <c r="G83" s="53"/>
      <c r="H83" s="53"/>
      <c r="I83" s="50"/>
      <c r="J83" s="51"/>
      <c r="K83" s="129" t="str">
        <f t="shared" si="20"/>
        <v/>
      </c>
      <c r="L83" s="103" t="str">
        <f t="shared" si="21"/>
        <v/>
      </c>
      <c r="M83" s="53">
        <v>0</v>
      </c>
      <c r="N83" s="102" t="str">
        <f t="shared" si="22"/>
        <v/>
      </c>
      <c r="O83" s="103" t="str">
        <f t="shared" si="23"/>
        <v/>
      </c>
      <c r="P83" s="53">
        <v>0</v>
      </c>
      <c r="Q83" s="102" t="str">
        <f t="shared" si="24"/>
        <v/>
      </c>
      <c r="R83" s="103" t="str">
        <f t="shared" si="25"/>
        <v/>
      </c>
      <c r="S83" s="53">
        <v>0</v>
      </c>
      <c r="T83" s="102" t="str">
        <f t="shared" si="26"/>
        <v/>
      </c>
      <c r="U83" s="103" t="str">
        <f t="shared" si="27"/>
        <v/>
      </c>
      <c r="V83" s="53">
        <v>0</v>
      </c>
      <c r="W83" s="87" t="str">
        <f t="shared" si="28"/>
        <v/>
      </c>
      <c r="X83" s="103" t="str">
        <f t="shared" si="29"/>
        <v/>
      </c>
      <c r="Y83" s="53">
        <v>0</v>
      </c>
      <c r="Z83" s="56" t="str">
        <f t="shared" si="30"/>
        <v/>
      </c>
      <c r="AA83" s="56" t="str">
        <f t="shared" si="31"/>
        <v/>
      </c>
      <c r="AB83" s="56" t="str">
        <f t="shared" si="32"/>
        <v/>
      </c>
      <c r="AC83" s="56" t="str">
        <f t="shared" si="33"/>
        <v/>
      </c>
      <c r="AD83" s="56" t="str">
        <f t="shared" si="34"/>
        <v/>
      </c>
      <c r="AE83" s="40"/>
      <c r="AF83" s="40"/>
      <c r="AG83" s="40"/>
      <c r="AH83" s="56" t="str">
        <f t="shared" si="18"/>
        <v/>
      </c>
      <c r="AI83" s="54"/>
      <c r="AJ83" s="54"/>
      <c r="AK83" s="54"/>
      <c r="AL83" s="54"/>
      <c r="AM83" s="54"/>
    </row>
    <row r="84" spans="1:39">
      <c r="A84" s="45" t="str" cm="1">
        <f t="array" ref="A84">IF(H84="PROJECT", CHAR(10) &amp; "- " &amp; _xlfn.TEXTJOIN(CHAR(10) &amp; "- ", TRUE, _xlfn._xlws.FILTER($I$9:$I$1000, ($B$9:$B$1000=B84) * ($H$9:$H$1000="Topic"))), "")</f>
        <v/>
      </c>
      <c r="B84" s="45" t="str">
        <f t="shared" si="19"/>
        <v/>
      </c>
      <c r="C84" s="95"/>
      <c r="D84" s="57"/>
      <c r="E84" s="58"/>
      <c r="F84" s="54"/>
      <c r="G84" s="52"/>
      <c r="H84" s="52"/>
      <c r="I84" s="61"/>
      <c r="J84" s="62"/>
      <c r="K84" s="129" t="str">
        <f t="shared" si="20"/>
        <v/>
      </c>
      <c r="L84" s="103" t="str">
        <f t="shared" si="21"/>
        <v/>
      </c>
      <c r="M84" s="52">
        <v>0</v>
      </c>
      <c r="N84" s="102" t="str">
        <f t="shared" si="22"/>
        <v/>
      </c>
      <c r="O84" s="103" t="str">
        <f t="shared" si="23"/>
        <v/>
      </c>
      <c r="P84" s="52">
        <v>0</v>
      </c>
      <c r="Q84" s="102" t="str">
        <f t="shared" si="24"/>
        <v/>
      </c>
      <c r="R84" s="103" t="str">
        <f t="shared" si="25"/>
        <v/>
      </c>
      <c r="S84" s="52">
        <v>0</v>
      </c>
      <c r="T84" s="102" t="str">
        <f t="shared" si="26"/>
        <v/>
      </c>
      <c r="U84" s="103" t="str">
        <f t="shared" si="27"/>
        <v/>
      </c>
      <c r="V84" s="52">
        <v>0</v>
      </c>
      <c r="W84" s="87" t="str">
        <f t="shared" si="28"/>
        <v/>
      </c>
      <c r="X84" s="103" t="str">
        <f t="shared" si="29"/>
        <v/>
      </c>
      <c r="Y84" s="52">
        <v>0</v>
      </c>
      <c r="Z84" s="56" t="str">
        <f t="shared" si="30"/>
        <v/>
      </c>
      <c r="AA84" s="56" t="str">
        <f t="shared" si="31"/>
        <v/>
      </c>
      <c r="AB84" s="56" t="str">
        <f t="shared" si="32"/>
        <v/>
      </c>
      <c r="AC84" s="56" t="str">
        <f t="shared" si="33"/>
        <v/>
      </c>
      <c r="AD84" s="56" t="str">
        <f t="shared" si="34"/>
        <v/>
      </c>
      <c r="AE84" s="40"/>
      <c r="AF84" s="40"/>
      <c r="AG84" s="40"/>
      <c r="AH84" s="56" t="str">
        <f t="shared" si="18"/>
        <v/>
      </c>
      <c r="AI84" s="54"/>
      <c r="AJ84" s="54"/>
      <c r="AK84" s="54"/>
      <c r="AL84" s="54"/>
      <c r="AM84" s="54"/>
    </row>
    <row r="85" spans="1:39">
      <c r="A85" s="45" t="str" cm="1">
        <f t="array" ref="A85">IF(H85="PROJECT", CHAR(10) &amp; "- " &amp; _xlfn.TEXTJOIN(CHAR(10) &amp; "- ", TRUE, _xlfn._xlws.FILTER($I$9:$I$1000, ($B$9:$B$1000=B85) * ($H$9:$H$1000="Topic"))), "")</f>
        <v/>
      </c>
      <c r="B85" s="45" t="str">
        <f t="shared" si="19"/>
        <v/>
      </c>
      <c r="C85" s="95"/>
      <c r="D85" s="46"/>
      <c r="E85" s="58"/>
      <c r="F85" s="67"/>
      <c r="G85" s="53"/>
      <c r="H85" s="53"/>
      <c r="I85" s="50"/>
      <c r="J85" s="51"/>
      <c r="K85" s="129" t="str">
        <f t="shared" si="20"/>
        <v/>
      </c>
      <c r="L85" s="103" t="str">
        <f t="shared" si="21"/>
        <v/>
      </c>
      <c r="M85" s="53">
        <v>0</v>
      </c>
      <c r="N85" s="102" t="str">
        <f t="shared" si="22"/>
        <v/>
      </c>
      <c r="O85" s="103" t="str">
        <f t="shared" si="23"/>
        <v/>
      </c>
      <c r="P85" s="53">
        <v>0</v>
      </c>
      <c r="Q85" s="102" t="str">
        <f t="shared" si="24"/>
        <v/>
      </c>
      <c r="R85" s="103" t="str">
        <f t="shared" si="25"/>
        <v/>
      </c>
      <c r="S85" s="53">
        <v>0</v>
      </c>
      <c r="T85" s="102" t="str">
        <f t="shared" si="26"/>
        <v/>
      </c>
      <c r="U85" s="103" t="str">
        <f t="shared" si="27"/>
        <v/>
      </c>
      <c r="V85" s="53">
        <v>0</v>
      </c>
      <c r="W85" s="87" t="str">
        <f t="shared" si="28"/>
        <v/>
      </c>
      <c r="X85" s="103" t="str">
        <f t="shared" si="29"/>
        <v/>
      </c>
      <c r="Y85" s="53">
        <v>0</v>
      </c>
      <c r="Z85" s="56" t="str">
        <f t="shared" si="30"/>
        <v/>
      </c>
      <c r="AA85" s="56" t="str">
        <f t="shared" si="31"/>
        <v/>
      </c>
      <c r="AB85" s="56" t="str">
        <f t="shared" si="32"/>
        <v/>
      </c>
      <c r="AC85" s="56" t="str">
        <f t="shared" si="33"/>
        <v/>
      </c>
      <c r="AD85" s="56" t="str">
        <f t="shared" si="34"/>
        <v/>
      </c>
      <c r="AE85" s="40"/>
      <c r="AF85" s="40"/>
      <c r="AG85" s="40"/>
      <c r="AH85" s="56" t="str">
        <f t="shared" si="18"/>
        <v/>
      </c>
      <c r="AI85" s="54"/>
      <c r="AJ85" s="54"/>
      <c r="AK85" s="54"/>
      <c r="AL85" s="54"/>
      <c r="AM85" s="54"/>
    </row>
    <row r="86" spans="1:39">
      <c r="A86" s="45" t="str" cm="1">
        <f t="array" ref="A86">IF(H86="PROJECT", CHAR(10) &amp; "- " &amp; _xlfn.TEXTJOIN(CHAR(10) &amp; "- ", TRUE, _xlfn._xlws.FILTER($I$9:$I$1000, ($B$9:$B$1000=B86) * ($H$9:$H$1000="Topic"))), "")</f>
        <v/>
      </c>
      <c r="B86" s="45" t="str">
        <f t="shared" si="19"/>
        <v/>
      </c>
      <c r="C86" s="95"/>
      <c r="D86" s="57"/>
      <c r="E86" s="58"/>
      <c r="F86" s="54"/>
      <c r="G86" s="52"/>
      <c r="H86" s="52"/>
      <c r="I86" s="61"/>
      <c r="J86" s="62"/>
      <c r="K86" s="129" t="str">
        <f t="shared" si="20"/>
        <v/>
      </c>
      <c r="L86" s="103" t="str">
        <f t="shared" si="21"/>
        <v/>
      </c>
      <c r="M86" s="52">
        <v>0</v>
      </c>
      <c r="N86" s="102" t="str">
        <f t="shared" si="22"/>
        <v/>
      </c>
      <c r="O86" s="103" t="str">
        <f t="shared" si="23"/>
        <v/>
      </c>
      <c r="P86" s="52">
        <v>0</v>
      </c>
      <c r="Q86" s="102" t="str">
        <f t="shared" si="24"/>
        <v/>
      </c>
      <c r="R86" s="103" t="str">
        <f t="shared" si="25"/>
        <v/>
      </c>
      <c r="S86" s="52">
        <v>0</v>
      </c>
      <c r="T86" s="102" t="str">
        <f t="shared" si="26"/>
        <v/>
      </c>
      <c r="U86" s="103" t="str">
        <f t="shared" si="27"/>
        <v/>
      </c>
      <c r="V86" s="52">
        <v>0</v>
      </c>
      <c r="W86" s="87" t="str">
        <f t="shared" si="28"/>
        <v/>
      </c>
      <c r="X86" s="103" t="str">
        <f t="shared" si="29"/>
        <v/>
      </c>
      <c r="Y86" s="52">
        <v>0</v>
      </c>
      <c r="Z86" s="56" t="str">
        <f t="shared" si="30"/>
        <v/>
      </c>
      <c r="AA86" s="56" t="str">
        <f t="shared" si="31"/>
        <v/>
      </c>
      <c r="AB86" s="56" t="str">
        <f t="shared" si="32"/>
        <v/>
      </c>
      <c r="AC86" s="56" t="str">
        <f t="shared" si="33"/>
        <v/>
      </c>
      <c r="AD86" s="56" t="str">
        <f t="shared" si="34"/>
        <v/>
      </c>
      <c r="AE86" s="40"/>
      <c r="AF86" s="40"/>
      <c r="AG86" s="40"/>
      <c r="AH86" s="56" t="str">
        <f t="shared" si="18"/>
        <v/>
      </c>
      <c r="AI86" s="54"/>
      <c r="AJ86" s="54"/>
      <c r="AK86" s="54"/>
      <c r="AL86" s="54"/>
      <c r="AM86" s="54"/>
    </row>
    <row r="87" spans="1:39">
      <c r="A87" s="45" t="str" cm="1">
        <f t="array" ref="A87">IF(H87="PROJECT", CHAR(10) &amp; "- " &amp; _xlfn.TEXTJOIN(CHAR(10) &amp; "- ", TRUE, _xlfn._xlws.FILTER($I$9:$I$1000, ($B$9:$B$1000=B87) * ($H$9:$H$1000="Topic"))), "")</f>
        <v/>
      </c>
      <c r="B87" s="45" t="str">
        <f t="shared" si="19"/>
        <v/>
      </c>
      <c r="C87" s="95"/>
      <c r="D87" s="46"/>
      <c r="E87" s="58"/>
      <c r="F87" s="67"/>
      <c r="G87" s="53"/>
      <c r="H87" s="53"/>
      <c r="I87" s="50"/>
      <c r="J87" s="51"/>
      <c r="K87" s="129" t="str">
        <f t="shared" si="20"/>
        <v/>
      </c>
      <c r="L87" s="103" t="str">
        <f t="shared" si="21"/>
        <v/>
      </c>
      <c r="M87" s="53">
        <v>0</v>
      </c>
      <c r="N87" s="102" t="str">
        <f t="shared" si="22"/>
        <v/>
      </c>
      <c r="O87" s="103" t="str">
        <f t="shared" si="23"/>
        <v/>
      </c>
      <c r="P87" s="53">
        <v>0</v>
      </c>
      <c r="Q87" s="102" t="str">
        <f t="shared" si="24"/>
        <v/>
      </c>
      <c r="R87" s="103" t="str">
        <f t="shared" si="25"/>
        <v/>
      </c>
      <c r="S87" s="53">
        <v>0</v>
      </c>
      <c r="T87" s="102" t="str">
        <f t="shared" si="26"/>
        <v/>
      </c>
      <c r="U87" s="103" t="str">
        <f t="shared" si="27"/>
        <v/>
      </c>
      <c r="V87" s="53">
        <v>0</v>
      </c>
      <c r="W87" s="87" t="str">
        <f t="shared" si="28"/>
        <v/>
      </c>
      <c r="X87" s="103" t="str">
        <f t="shared" si="29"/>
        <v/>
      </c>
      <c r="Y87" s="53">
        <v>0</v>
      </c>
      <c r="Z87" s="56" t="str">
        <f t="shared" si="30"/>
        <v/>
      </c>
      <c r="AA87" s="56" t="str">
        <f t="shared" si="31"/>
        <v/>
      </c>
      <c r="AB87" s="56" t="str">
        <f t="shared" si="32"/>
        <v/>
      </c>
      <c r="AC87" s="56" t="str">
        <f t="shared" si="33"/>
        <v/>
      </c>
      <c r="AD87" s="56" t="str">
        <f t="shared" si="34"/>
        <v/>
      </c>
      <c r="AE87" s="40"/>
      <c r="AF87" s="40"/>
      <c r="AG87" s="40"/>
      <c r="AH87" s="56" t="str">
        <f t="shared" si="18"/>
        <v/>
      </c>
      <c r="AI87" s="54"/>
      <c r="AJ87" s="54"/>
      <c r="AK87" s="54"/>
      <c r="AL87" s="54"/>
      <c r="AM87" s="54"/>
    </row>
    <row r="88" spans="1:39">
      <c r="A88" s="45" t="str" cm="1">
        <f t="array" ref="A88">IF(H88="PROJECT", CHAR(10) &amp; "- " &amp; _xlfn.TEXTJOIN(CHAR(10) &amp; "- ", TRUE, _xlfn._xlws.FILTER($I$9:$I$1000, ($B$9:$B$1000=B88) * ($H$9:$H$1000="Topic"))), "")</f>
        <v/>
      </c>
      <c r="B88" s="45" t="str">
        <f t="shared" si="19"/>
        <v/>
      </c>
      <c r="C88" s="95"/>
      <c r="D88" s="57"/>
      <c r="E88" s="58"/>
      <c r="F88" s="54"/>
      <c r="G88" s="52"/>
      <c r="H88" s="52"/>
      <c r="I88" s="61"/>
      <c r="J88" s="62"/>
      <c r="K88" s="129" t="str">
        <f t="shared" si="20"/>
        <v/>
      </c>
      <c r="L88" s="103" t="str">
        <f t="shared" si="21"/>
        <v/>
      </c>
      <c r="M88" s="52">
        <v>0</v>
      </c>
      <c r="N88" s="102" t="str">
        <f t="shared" si="22"/>
        <v/>
      </c>
      <c r="O88" s="103" t="str">
        <f t="shared" si="23"/>
        <v/>
      </c>
      <c r="P88" s="52">
        <v>0</v>
      </c>
      <c r="Q88" s="102" t="str">
        <f t="shared" si="24"/>
        <v/>
      </c>
      <c r="R88" s="103" t="str">
        <f t="shared" si="25"/>
        <v/>
      </c>
      <c r="S88" s="52">
        <v>0</v>
      </c>
      <c r="T88" s="102" t="str">
        <f t="shared" si="26"/>
        <v/>
      </c>
      <c r="U88" s="103" t="str">
        <f t="shared" si="27"/>
        <v/>
      </c>
      <c r="V88" s="52">
        <v>0</v>
      </c>
      <c r="W88" s="87" t="str">
        <f t="shared" si="28"/>
        <v/>
      </c>
      <c r="X88" s="103" t="str">
        <f t="shared" si="29"/>
        <v/>
      </c>
      <c r="Y88" s="52">
        <v>0</v>
      </c>
      <c r="Z88" s="56" t="str">
        <f t="shared" si="30"/>
        <v/>
      </c>
      <c r="AA88" s="56" t="str">
        <f t="shared" si="31"/>
        <v/>
      </c>
      <c r="AB88" s="56" t="str">
        <f t="shared" si="32"/>
        <v/>
      </c>
      <c r="AC88" s="56" t="str">
        <f t="shared" si="33"/>
        <v/>
      </c>
      <c r="AD88" s="56" t="str">
        <f t="shared" si="34"/>
        <v/>
      </c>
      <c r="AE88" s="40"/>
      <c r="AF88" s="40"/>
      <c r="AG88" s="40"/>
      <c r="AH88" s="56" t="str">
        <f t="shared" si="18"/>
        <v/>
      </c>
      <c r="AI88" s="54"/>
      <c r="AJ88" s="54"/>
      <c r="AK88" s="54"/>
      <c r="AL88" s="54"/>
      <c r="AM88" s="54"/>
    </row>
    <row r="89" spans="1:39">
      <c r="A89" s="45" t="str" cm="1">
        <f t="array" ref="A89">IF(H89="PROJECT", CHAR(10) &amp; "- " &amp; _xlfn.TEXTJOIN(CHAR(10) &amp; "- ", TRUE, _xlfn._xlws.FILTER($I$9:$I$1000, ($B$9:$B$1000=B89) * ($H$9:$H$1000="Topic"))), "")</f>
        <v/>
      </c>
      <c r="B89" s="45" t="str">
        <f t="shared" si="19"/>
        <v/>
      </c>
      <c r="C89" s="95"/>
      <c r="D89" s="46"/>
      <c r="E89" s="58"/>
      <c r="F89" s="67"/>
      <c r="G89" s="53"/>
      <c r="H89" s="53"/>
      <c r="I89" s="50"/>
      <c r="J89" s="51"/>
      <c r="K89" s="129" t="str">
        <f t="shared" si="20"/>
        <v/>
      </c>
      <c r="L89" s="103" t="str">
        <f t="shared" si="21"/>
        <v/>
      </c>
      <c r="M89" s="53">
        <v>0</v>
      </c>
      <c r="N89" s="102" t="str">
        <f t="shared" si="22"/>
        <v/>
      </c>
      <c r="O89" s="103" t="str">
        <f t="shared" si="23"/>
        <v/>
      </c>
      <c r="P89" s="53">
        <v>0</v>
      </c>
      <c r="Q89" s="102" t="str">
        <f t="shared" si="24"/>
        <v/>
      </c>
      <c r="R89" s="103" t="str">
        <f t="shared" si="25"/>
        <v/>
      </c>
      <c r="S89" s="53">
        <v>0</v>
      </c>
      <c r="T89" s="102" t="str">
        <f t="shared" si="26"/>
        <v/>
      </c>
      <c r="U89" s="103" t="str">
        <f t="shared" si="27"/>
        <v/>
      </c>
      <c r="V89" s="53">
        <v>0</v>
      </c>
      <c r="W89" s="87" t="str">
        <f t="shared" si="28"/>
        <v/>
      </c>
      <c r="X89" s="103" t="str">
        <f t="shared" si="29"/>
        <v/>
      </c>
      <c r="Y89" s="53">
        <v>0</v>
      </c>
      <c r="Z89" s="56" t="str">
        <f t="shared" si="30"/>
        <v/>
      </c>
      <c r="AA89" s="56" t="str">
        <f t="shared" si="31"/>
        <v/>
      </c>
      <c r="AB89" s="56" t="str">
        <f t="shared" si="32"/>
        <v/>
      </c>
      <c r="AC89" s="56" t="str">
        <f t="shared" si="33"/>
        <v/>
      </c>
      <c r="AD89" s="56" t="str">
        <f t="shared" si="34"/>
        <v/>
      </c>
      <c r="AE89" s="40"/>
      <c r="AF89" s="40"/>
      <c r="AG89" s="40"/>
      <c r="AH89" s="56" t="str">
        <f t="shared" si="18"/>
        <v/>
      </c>
      <c r="AI89" s="54"/>
      <c r="AJ89" s="54"/>
      <c r="AK89" s="54"/>
      <c r="AL89" s="54"/>
      <c r="AM89" s="54"/>
    </row>
    <row r="90" spans="1:39">
      <c r="A90" s="45" t="str" cm="1">
        <f t="array" ref="A90">IF(H90="PROJECT", CHAR(10) &amp; "- " &amp; _xlfn.TEXTJOIN(CHAR(10) &amp; "- ", TRUE, _xlfn._xlws.FILTER($I$9:$I$1000, ($B$9:$B$1000=B90) * ($H$9:$H$1000="Topic"))), "")</f>
        <v/>
      </c>
      <c r="B90" s="45" t="str">
        <f t="shared" si="19"/>
        <v/>
      </c>
      <c r="C90" s="95"/>
      <c r="D90" s="57"/>
      <c r="E90" s="58"/>
      <c r="F90" s="54"/>
      <c r="G90" s="52"/>
      <c r="H90" s="52"/>
      <c r="I90" s="61"/>
      <c r="J90" s="62"/>
      <c r="K90" s="129" t="str">
        <f t="shared" si="20"/>
        <v/>
      </c>
      <c r="L90" s="103" t="str">
        <f t="shared" si="21"/>
        <v/>
      </c>
      <c r="M90" s="52">
        <v>0</v>
      </c>
      <c r="N90" s="102" t="str">
        <f t="shared" si="22"/>
        <v/>
      </c>
      <c r="O90" s="103" t="str">
        <f t="shared" si="23"/>
        <v/>
      </c>
      <c r="P90" s="52">
        <v>0</v>
      </c>
      <c r="Q90" s="102" t="str">
        <f t="shared" si="24"/>
        <v/>
      </c>
      <c r="R90" s="103" t="str">
        <f t="shared" si="25"/>
        <v/>
      </c>
      <c r="S90" s="52">
        <v>0</v>
      </c>
      <c r="T90" s="102" t="str">
        <f t="shared" si="26"/>
        <v/>
      </c>
      <c r="U90" s="103" t="str">
        <f t="shared" si="27"/>
        <v/>
      </c>
      <c r="V90" s="52">
        <v>0</v>
      </c>
      <c r="W90" s="87" t="str">
        <f t="shared" si="28"/>
        <v/>
      </c>
      <c r="X90" s="103" t="str">
        <f t="shared" si="29"/>
        <v/>
      </c>
      <c r="Y90" s="52">
        <v>0</v>
      </c>
      <c r="Z90" s="56" t="str">
        <f t="shared" si="30"/>
        <v/>
      </c>
      <c r="AA90" s="56" t="str">
        <f t="shared" si="31"/>
        <v/>
      </c>
      <c r="AB90" s="56" t="str">
        <f t="shared" si="32"/>
        <v/>
      </c>
      <c r="AC90" s="56" t="str">
        <f t="shared" si="33"/>
        <v/>
      </c>
      <c r="AD90" s="56" t="str">
        <f t="shared" si="34"/>
        <v/>
      </c>
      <c r="AE90" s="40"/>
      <c r="AF90" s="40"/>
      <c r="AG90" s="40"/>
      <c r="AH90" s="56" t="str">
        <f t="shared" si="18"/>
        <v/>
      </c>
      <c r="AI90" s="54"/>
      <c r="AJ90" s="54"/>
      <c r="AK90" s="54"/>
      <c r="AL90" s="54"/>
      <c r="AM90" s="54"/>
    </row>
    <row r="91" spans="1:39">
      <c r="A91" s="45" t="str" cm="1">
        <f t="array" ref="A91">IF(H91="PROJECT", CHAR(10) &amp; "- " &amp; _xlfn.TEXTJOIN(CHAR(10) &amp; "- ", TRUE, _xlfn._xlws.FILTER($I$9:$I$1000, ($B$9:$B$1000=B91) * ($H$9:$H$1000="Topic"))), "")</f>
        <v/>
      </c>
      <c r="B91" s="45" t="str">
        <f t="shared" si="19"/>
        <v/>
      </c>
      <c r="C91" s="95"/>
      <c r="D91" s="46"/>
      <c r="E91" s="58"/>
      <c r="F91" s="67"/>
      <c r="G91" s="53"/>
      <c r="H91" s="53"/>
      <c r="I91" s="50"/>
      <c r="J91" s="51"/>
      <c r="K91" s="129" t="str">
        <f t="shared" si="20"/>
        <v/>
      </c>
      <c r="L91" s="103" t="str">
        <f t="shared" si="21"/>
        <v/>
      </c>
      <c r="M91" s="53">
        <v>0</v>
      </c>
      <c r="N91" s="102" t="str">
        <f t="shared" si="22"/>
        <v/>
      </c>
      <c r="O91" s="103" t="str">
        <f t="shared" si="23"/>
        <v/>
      </c>
      <c r="P91" s="53">
        <v>0</v>
      </c>
      <c r="Q91" s="102" t="str">
        <f t="shared" si="24"/>
        <v/>
      </c>
      <c r="R91" s="103" t="str">
        <f t="shared" si="25"/>
        <v/>
      </c>
      <c r="S91" s="53">
        <v>0</v>
      </c>
      <c r="T91" s="102" t="str">
        <f t="shared" si="26"/>
        <v/>
      </c>
      <c r="U91" s="103" t="str">
        <f t="shared" si="27"/>
        <v/>
      </c>
      <c r="V91" s="53">
        <v>0</v>
      </c>
      <c r="W91" s="87" t="str">
        <f t="shared" si="28"/>
        <v/>
      </c>
      <c r="X91" s="103" t="str">
        <f t="shared" si="29"/>
        <v/>
      </c>
      <c r="Y91" s="53">
        <v>0</v>
      </c>
      <c r="Z91" s="56" t="str">
        <f t="shared" si="30"/>
        <v/>
      </c>
      <c r="AA91" s="56" t="str">
        <f t="shared" si="31"/>
        <v/>
      </c>
      <c r="AB91" s="56" t="str">
        <f t="shared" si="32"/>
        <v/>
      </c>
      <c r="AC91" s="56" t="str">
        <f t="shared" si="33"/>
        <v/>
      </c>
      <c r="AD91" s="56" t="str">
        <f t="shared" si="34"/>
        <v/>
      </c>
      <c r="AE91" s="40"/>
      <c r="AF91" s="40"/>
      <c r="AG91" s="40"/>
      <c r="AH91" s="56" t="str">
        <f t="shared" si="18"/>
        <v/>
      </c>
      <c r="AI91" s="54"/>
      <c r="AJ91" s="54"/>
      <c r="AK91" s="54"/>
      <c r="AL91" s="54"/>
      <c r="AM91" s="54"/>
    </row>
    <row r="92" spans="1:39">
      <c r="A92" s="45" t="str" cm="1">
        <f t="array" ref="A92">IF(H92="PROJECT", CHAR(10) &amp; "- " &amp; _xlfn.TEXTJOIN(CHAR(10) &amp; "- ", TRUE, _xlfn._xlws.FILTER($I$9:$I$1000, ($B$9:$B$1000=B92) * ($H$9:$H$1000="Topic"))), "")</f>
        <v/>
      </c>
      <c r="B92" s="45" t="str">
        <f t="shared" si="19"/>
        <v/>
      </c>
      <c r="C92" s="95"/>
      <c r="D92" s="57"/>
      <c r="E92" s="58"/>
      <c r="F92" s="54"/>
      <c r="G92" s="52"/>
      <c r="H92" s="52"/>
      <c r="I92" s="61"/>
      <c r="J92" s="62"/>
      <c r="K92" s="129" t="str">
        <f t="shared" si="20"/>
        <v/>
      </c>
      <c r="L92" s="103" t="str">
        <f t="shared" si="21"/>
        <v/>
      </c>
      <c r="M92" s="52">
        <v>0</v>
      </c>
      <c r="N92" s="102" t="str">
        <f t="shared" si="22"/>
        <v/>
      </c>
      <c r="O92" s="103" t="str">
        <f t="shared" si="23"/>
        <v/>
      </c>
      <c r="P92" s="52">
        <v>0</v>
      </c>
      <c r="Q92" s="102" t="str">
        <f t="shared" si="24"/>
        <v/>
      </c>
      <c r="R92" s="103" t="str">
        <f t="shared" si="25"/>
        <v/>
      </c>
      <c r="S92" s="52">
        <v>0</v>
      </c>
      <c r="T92" s="102" t="str">
        <f t="shared" si="26"/>
        <v/>
      </c>
      <c r="U92" s="103" t="str">
        <f t="shared" si="27"/>
        <v/>
      </c>
      <c r="V92" s="52">
        <v>0</v>
      </c>
      <c r="W92" s="87" t="str">
        <f t="shared" si="28"/>
        <v/>
      </c>
      <c r="X92" s="103" t="str">
        <f t="shared" si="29"/>
        <v/>
      </c>
      <c r="Y92" s="52">
        <v>0</v>
      </c>
      <c r="Z92" s="56" t="str">
        <f t="shared" si="30"/>
        <v/>
      </c>
      <c r="AA92" s="56" t="str">
        <f t="shared" si="31"/>
        <v/>
      </c>
      <c r="AB92" s="56" t="str">
        <f t="shared" si="32"/>
        <v/>
      </c>
      <c r="AC92" s="56" t="str">
        <f t="shared" si="33"/>
        <v/>
      </c>
      <c r="AD92" s="56" t="str">
        <f t="shared" si="34"/>
        <v/>
      </c>
      <c r="AE92" s="40"/>
      <c r="AF92" s="40"/>
      <c r="AG92" s="40"/>
      <c r="AH92" s="56" t="str">
        <f t="shared" si="18"/>
        <v/>
      </c>
      <c r="AI92" s="54"/>
      <c r="AJ92" s="54"/>
      <c r="AK92" s="54"/>
      <c r="AL92" s="54"/>
      <c r="AM92" s="54"/>
    </row>
    <row r="93" spans="1:39">
      <c r="A93" s="45" t="str" cm="1">
        <f t="array" ref="A93">IF(H93="PROJECT", CHAR(10) &amp; "- " &amp; _xlfn.TEXTJOIN(CHAR(10) &amp; "- ", TRUE, _xlfn._xlws.FILTER($I$9:$I$1000, ($B$9:$B$1000=B93) * ($H$9:$H$1000="Topic"))), "")</f>
        <v/>
      </c>
      <c r="B93" s="45" t="str">
        <f t="shared" si="19"/>
        <v/>
      </c>
      <c r="C93" s="95"/>
      <c r="D93" s="46"/>
      <c r="E93" s="58"/>
      <c r="F93" s="67"/>
      <c r="G93" s="53"/>
      <c r="H93" s="53"/>
      <c r="I93" s="50"/>
      <c r="J93" s="51"/>
      <c r="K93" s="129" t="str">
        <f t="shared" si="20"/>
        <v/>
      </c>
      <c r="L93" s="103" t="str">
        <f t="shared" si="21"/>
        <v/>
      </c>
      <c r="M93" s="53">
        <v>0</v>
      </c>
      <c r="N93" s="102" t="str">
        <f t="shared" si="22"/>
        <v/>
      </c>
      <c r="O93" s="103" t="str">
        <f t="shared" si="23"/>
        <v/>
      </c>
      <c r="P93" s="53">
        <v>0</v>
      </c>
      <c r="Q93" s="102" t="str">
        <f t="shared" si="24"/>
        <v/>
      </c>
      <c r="R93" s="103" t="str">
        <f t="shared" si="25"/>
        <v/>
      </c>
      <c r="S93" s="53">
        <v>0</v>
      </c>
      <c r="T93" s="102" t="str">
        <f t="shared" si="26"/>
        <v/>
      </c>
      <c r="U93" s="103" t="str">
        <f t="shared" si="27"/>
        <v/>
      </c>
      <c r="V93" s="53">
        <v>0</v>
      </c>
      <c r="W93" s="87" t="str">
        <f t="shared" si="28"/>
        <v/>
      </c>
      <c r="X93" s="103" t="str">
        <f t="shared" si="29"/>
        <v/>
      </c>
      <c r="Y93" s="53">
        <v>0</v>
      </c>
      <c r="Z93" s="56" t="str">
        <f t="shared" si="30"/>
        <v/>
      </c>
      <c r="AA93" s="56" t="str">
        <f t="shared" si="31"/>
        <v/>
      </c>
      <c r="AB93" s="56" t="str">
        <f t="shared" si="32"/>
        <v/>
      </c>
      <c r="AC93" s="56" t="str">
        <f t="shared" si="33"/>
        <v/>
      </c>
      <c r="AD93" s="56" t="str">
        <f t="shared" si="34"/>
        <v/>
      </c>
      <c r="AE93" s="40"/>
      <c r="AF93" s="40"/>
      <c r="AG93" s="40"/>
      <c r="AH93" s="56" t="str">
        <f t="shared" si="18"/>
        <v/>
      </c>
      <c r="AI93" s="54"/>
      <c r="AJ93" s="54"/>
      <c r="AK93" s="54"/>
      <c r="AL93" s="54"/>
      <c r="AM93" s="54"/>
    </row>
    <row r="94" spans="1:39">
      <c r="A94" s="45" t="str" cm="1">
        <f t="array" ref="A94">IF(H94="PROJECT", CHAR(10) &amp; "- " &amp; _xlfn.TEXTJOIN(CHAR(10) &amp; "- ", TRUE, _xlfn._xlws.FILTER($I$9:$I$1000, ($B$9:$B$1000=B94) * ($H$9:$H$1000="Topic"))), "")</f>
        <v/>
      </c>
      <c r="B94" s="45" t="str">
        <f t="shared" si="19"/>
        <v/>
      </c>
      <c r="C94" s="95"/>
      <c r="D94" s="57"/>
      <c r="E94" s="58"/>
      <c r="F94" s="54"/>
      <c r="G94" s="52"/>
      <c r="H94" s="52"/>
      <c r="I94" s="61"/>
      <c r="J94" s="62"/>
      <c r="K94" s="129" t="str">
        <f t="shared" si="20"/>
        <v/>
      </c>
      <c r="L94" s="103" t="str">
        <f t="shared" si="21"/>
        <v/>
      </c>
      <c r="M94" s="52">
        <v>0</v>
      </c>
      <c r="N94" s="102" t="str">
        <f t="shared" si="22"/>
        <v/>
      </c>
      <c r="O94" s="103" t="str">
        <f t="shared" si="23"/>
        <v/>
      </c>
      <c r="P94" s="52">
        <v>0</v>
      </c>
      <c r="Q94" s="102" t="str">
        <f t="shared" si="24"/>
        <v/>
      </c>
      <c r="R94" s="103" t="str">
        <f t="shared" si="25"/>
        <v/>
      </c>
      <c r="S94" s="52">
        <v>0</v>
      </c>
      <c r="T94" s="102" t="str">
        <f t="shared" si="26"/>
        <v/>
      </c>
      <c r="U94" s="103" t="str">
        <f t="shared" si="27"/>
        <v/>
      </c>
      <c r="V94" s="52">
        <v>0</v>
      </c>
      <c r="W94" s="87" t="str">
        <f t="shared" si="28"/>
        <v/>
      </c>
      <c r="X94" s="103" t="str">
        <f t="shared" si="29"/>
        <v/>
      </c>
      <c r="Y94" s="52">
        <v>0</v>
      </c>
      <c r="Z94" s="56" t="str">
        <f t="shared" si="30"/>
        <v/>
      </c>
      <c r="AA94" s="56" t="str">
        <f t="shared" si="31"/>
        <v/>
      </c>
      <c r="AB94" s="56" t="str">
        <f t="shared" si="32"/>
        <v/>
      </c>
      <c r="AC94" s="56" t="str">
        <f t="shared" si="33"/>
        <v/>
      </c>
      <c r="AD94" s="56" t="str">
        <f t="shared" si="34"/>
        <v/>
      </c>
      <c r="AE94" s="40"/>
      <c r="AF94" s="40"/>
      <c r="AG94" s="40"/>
      <c r="AH94" s="56" t="str">
        <f t="shared" si="18"/>
        <v/>
      </c>
      <c r="AI94" s="54"/>
      <c r="AJ94" s="54"/>
      <c r="AK94" s="54"/>
      <c r="AL94" s="54"/>
      <c r="AM94" s="54"/>
    </row>
    <row r="95" spans="1:39">
      <c r="A95" s="45" t="str" cm="1">
        <f t="array" ref="A95">IF(H95="PROJECT", CHAR(10) &amp; "- " &amp; _xlfn.TEXTJOIN(CHAR(10) &amp; "- ", TRUE, _xlfn._xlws.FILTER($I$9:$I$1000, ($B$9:$B$1000=B95) * ($H$9:$H$1000="Topic"))), "")</f>
        <v/>
      </c>
      <c r="B95" s="45" t="str">
        <f t="shared" si="19"/>
        <v/>
      </c>
      <c r="C95" s="95"/>
      <c r="D95" s="46"/>
      <c r="E95" s="58"/>
      <c r="F95" s="67"/>
      <c r="G95" s="53"/>
      <c r="H95" s="53"/>
      <c r="I95" s="50"/>
      <c r="J95" s="51"/>
      <c r="K95" s="129" t="str">
        <f t="shared" si="20"/>
        <v/>
      </c>
      <c r="L95" s="103" t="str">
        <f t="shared" si="21"/>
        <v/>
      </c>
      <c r="M95" s="53">
        <v>0</v>
      </c>
      <c r="N95" s="102" t="str">
        <f t="shared" si="22"/>
        <v/>
      </c>
      <c r="O95" s="103" t="str">
        <f t="shared" si="23"/>
        <v/>
      </c>
      <c r="P95" s="53">
        <v>0</v>
      </c>
      <c r="Q95" s="102" t="str">
        <f t="shared" si="24"/>
        <v/>
      </c>
      <c r="R95" s="103" t="str">
        <f t="shared" si="25"/>
        <v/>
      </c>
      <c r="S95" s="53">
        <v>0</v>
      </c>
      <c r="T95" s="102" t="str">
        <f t="shared" si="26"/>
        <v/>
      </c>
      <c r="U95" s="103" t="str">
        <f t="shared" si="27"/>
        <v/>
      </c>
      <c r="V95" s="53">
        <v>0</v>
      </c>
      <c r="W95" s="87" t="str">
        <f t="shared" si="28"/>
        <v/>
      </c>
      <c r="X95" s="103" t="str">
        <f t="shared" si="29"/>
        <v/>
      </c>
      <c r="Y95" s="53">
        <v>0</v>
      </c>
      <c r="Z95" s="56" t="str">
        <f t="shared" si="30"/>
        <v/>
      </c>
      <c r="AA95" s="56" t="str">
        <f t="shared" si="31"/>
        <v/>
      </c>
      <c r="AB95" s="56" t="str">
        <f t="shared" si="32"/>
        <v/>
      </c>
      <c r="AC95" s="56" t="str">
        <f t="shared" si="33"/>
        <v/>
      </c>
      <c r="AD95" s="56" t="str">
        <f t="shared" si="34"/>
        <v/>
      </c>
      <c r="AE95" s="40"/>
      <c r="AF95" s="40"/>
      <c r="AG95" s="40"/>
      <c r="AH95" s="56" t="str">
        <f t="shared" si="18"/>
        <v/>
      </c>
      <c r="AI95" s="54"/>
      <c r="AJ95" s="54"/>
      <c r="AK95" s="54"/>
      <c r="AL95" s="54"/>
      <c r="AM95" s="54"/>
    </row>
    <row r="96" spans="1:39">
      <c r="A96" s="45" t="str" cm="1">
        <f t="array" ref="A96">IF(H96="PROJECT", CHAR(10) &amp; "- " &amp; _xlfn.TEXTJOIN(CHAR(10) &amp; "- ", TRUE, _xlfn._xlws.FILTER($I$9:$I$1000, ($B$9:$B$1000=B96) * ($H$9:$H$1000="Topic"))), "")</f>
        <v/>
      </c>
      <c r="B96" s="45" t="str">
        <f t="shared" si="19"/>
        <v/>
      </c>
      <c r="C96" s="95"/>
      <c r="D96" s="57"/>
      <c r="E96" s="58"/>
      <c r="F96" s="54"/>
      <c r="G96" s="52"/>
      <c r="H96" s="52"/>
      <c r="I96" s="61"/>
      <c r="J96" s="62"/>
      <c r="K96" s="129" t="str">
        <f t="shared" si="20"/>
        <v/>
      </c>
      <c r="L96" s="103" t="str">
        <f t="shared" si="21"/>
        <v/>
      </c>
      <c r="M96" s="52">
        <v>0</v>
      </c>
      <c r="N96" s="102" t="str">
        <f t="shared" si="22"/>
        <v/>
      </c>
      <c r="O96" s="103" t="str">
        <f t="shared" si="23"/>
        <v/>
      </c>
      <c r="P96" s="52">
        <v>0</v>
      </c>
      <c r="Q96" s="102" t="str">
        <f t="shared" si="24"/>
        <v/>
      </c>
      <c r="R96" s="103" t="str">
        <f t="shared" si="25"/>
        <v/>
      </c>
      <c r="S96" s="52">
        <v>0</v>
      </c>
      <c r="T96" s="102" t="str">
        <f t="shared" si="26"/>
        <v/>
      </c>
      <c r="U96" s="103" t="str">
        <f t="shared" si="27"/>
        <v/>
      </c>
      <c r="V96" s="52">
        <v>0</v>
      </c>
      <c r="W96" s="87" t="str">
        <f t="shared" si="28"/>
        <v/>
      </c>
      <c r="X96" s="103" t="str">
        <f t="shared" si="29"/>
        <v/>
      </c>
      <c r="Y96" s="52">
        <v>0</v>
      </c>
      <c r="Z96" s="56" t="str">
        <f t="shared" si="30"/>
        <v/>
      </c>
      <c r="AA96" s="56" t="str">
        <f t="shared" si="31"/>
        <v/>
      </c>
      <c r="AB96" s="56" t="str">
        <f t="shared" si="32"/>
        <v/>
      </c>
      <c r="AC96" s="56" t="str">
        <f t="shared" si="33"/>
        <v/>
      </c>
      <c r="AD96" s="56" t="str">
        <f t="shared" si="34"/>
        <v/>
      </c>
      <c r="AE96" s="40"/>
      <c r="AF96" s="40"/>
      <c r="AG96" s="40"/>
      <c r="AH96" s="56" t="str">
        <f t="shared" si="18"/>
        <v/>
      </c>
      <c r="AI96" s="54"/>
      <c r="AJ96" s="54"/>
      <c r="AK96" s="54"/>
      <c r="AL96" s="54"/>
      <c r="AM96" s="54"/>
    </row>
    <row r="97" spans="1:39">
      <c r="A97" s="45" t="str" cm="1">
        <f t="array" ref="A97">IF(H97="PROJECT", CHAR(10) &amp; "- " &amp; _xlfn.TEXTJOIN(CHAR(10) &amp; "- ", TRUE, _xlfn._xlws.FILTER($I$9:$I$1000, ($B$9:$B$1000=B97) * ($H$9:$H$1000="Topic"))), "")</f>
        <v/>
      </c>
      <c r="B97" s="45" t="str">
        <f t="shared" si="19"/>
        <v/>
      </c>
      <c r="C97" s="95"/>
      <c r="D97" s="46"/>
      <c r="E97" s="58"/>
      <c r="F97" s="67"/>
      <c r="G97" s="53"/>
      <c r="H97" s="53"/>
      <c r="I97" s="50"/>
      <c r="J97" s="51"/>
      <c r="K97" s="129" t="str">
        <f t="shared" si="20"/>
        <v/>
      </c>
      <c r="L97" s="103" t="str">
        <f t="shared" si="21"/>
        <v/>
      </c>
      <c r="M97" s="53">
        <v>0</v>
      </c>
      <c r="N97" s="102" t="str">
        <f t="shared" si="22"/>
        <v/>
      </c>
      <c r="O97" s="103" t="str">
        <f t="shared" si="23"/>
        <v/>
      </c>
      <c r="P97" s="53">
        <v>0</v>
      </c>
      <c r="Q97" s="102" t="str">
        <f t="shared" si="24"/>
        <v/>
      </c>
      <c r="R97" s="103" t="str">
        <f t="shared" si="25"/>
        <v/>
      </c>
      <c r="S97" s="53">
        <v>0</v>
      </c>
      <c r="T97" s="102" t="str">
        <f t="shared" si="26"/>
        <v/>
      </c>
      <c r="U97" s="103" t="str">
        <f t="shared" si="27"/>
        <v/>
      </c>
      <c r="V97" s="53">
        <v>0</v>
      </c>
      <c r="W97" s="87" t="str">
        <f t="shared" si="28"/>
        <v/>
      </c>
      <c r="X97" s="103" t="str">
        <f t="shared" si="29"/>
        <v/>
      </c>
      <c r="Y97" s="53">
        <v>0</v>
      </c>
      <c r="Z97" s="56" t="str">
        <f t="shared" si="30"/>
        <v/>
      </c>
      <c r="AA97" s="56" t="str">
        <f t="shared" si="31"/>
        <v/>
      </c>
      <c r="AB97" s="56" t="str">
        <f t="shared" si="32"/>
        <v/>
      </c>
      <c r="AC97" s="56" t="str">
        <f t="shared" si="33"/>
        <v/>
      </c>
      <c r="AD97" s="56" t="str">
        <f t="shared" si="34"/>
        <v/>
      </c>
      <c r="AE97" s="40"/>
      <c r="AF97" s="40"/>
      <c r="AG97" s="40"/>
      <c r="AH97" s="56" t="str">
        <f t="shared" si="18"/>
        <v/>
      </c>
      <c r="AI97" s="54"/>
      <c r="AJ97" s="54"/>
      <c r="AK97" s="54"/>
      <c r="AL97" s="54"/>
      <c r="AM97" s="54"/>
    </row>
    <row r="98" spans="1:39">
      <c r="A98" s="45" t="str" cm="1">
        <f t="array" ref="A98">IF(H98="PROJECT", CHAR(10) &amp; "- " &amp; _xlfn.TEXTJOIN(CHAR(10) &amp; "- ", TRUE, _xlfn._xlws.FILTER($I$9:$I$1000, ($B$9:$B$1000=B98) * ($H$9:$H$1000="Topic"))), "")</f>
        <v/>
      </c>
      <c r="B98" s="45" t="str">
        <f t="shared" si="19"/>
        <v/>
      </c>
      <c r="C98" s="95"/>
      <c r="D98" s="57"/>
      <c r="E98" s="58"/>
      <c r="F98" s="54"/>
      <c r="G98" s="52"/>
      <c r="H98" s="52"/>
      <c r="I98" s="61"/>
      <c r="J98" s="62"/>
      <c r="K98" s="129" t="str">
        <f t="shared" si="20"/>
        <v/>
      </c>
      <c r="L98" s="103" t="str">
        <f t="shared" si="21"/>
        <v/>
      </c>
      <c r="M98" s="52">
        <v>0</v>
      </c>
      <c r="N98" s="102" t="str">
        <f t="shared" si="22"/>
        <v/>
      </c>
      <c r="O98" s="103" t="str">
        <f t="shared" si="23"/>
        <v/>
      </c>
      <c r="P98" s="52">
        <v>0</v>
      </c>
      <c r="Q98" s="102" t="str">
        <f t="shared" si="24"/>
        <v/>
      </c>
      <c r="R98" s="103" t="str">
        <f t="shared" si="25"/>
        <v/>
      </c>
      <c r="S98" s="52">
        <v>0</v>
      </c>
      <c r="T98" s="102" t="str">
        <f t="shared" si="26"/>
        <v/>
      </c>
      <c r="U98" s="103" t="str">
        <f t="shared" si="27"/>
        <v/>
      </c>
      <c r="V98" s="52">
        <v>0</v>
      </c>
      <c r="W98" s="87" t="str">
        <f t="shared" si="28"/>
        <v/>
      </c>
      <c r="X98" s="103" t="str">
        <f t="shared" si="29"/>
        <v/>
      </c>
      <c r="Y98" s="52">
        <v>0</v>
      </c>
      <c r="Z98" s="56" t="str">
        <f t="shared" si="30"/>
        <v/>
      </c>
      <c r="AA98" s="56" t="str">
        <f t="shared" si="31"/>
        <v/>
      </c>
      <c r="AB98" s="56" t="str">
        <f t="shared" si="32"/>
        <v/>
      </c>
      <c r="AC98" s="56" t="str">
        <f t="shared" si="33"/>
        <v/>
      </c>
      <c r="AD98" s="56" t="str">
        <f t="shared" si="34"/>
        <v/>
      </c>
      <c r="AE98" s="40"/>
      <c r="AF98" s="40"/>
      <c r="AG98" s="40"/>
      <c r="AH98" s="56" t="str">
        <f t="shared" si="18"/>
        <v/>
      </c>
      <c r="AI98" s="54"/>
      <c r="AJ98" s="54"/>
      <c r="AK98" s="54"/>
      <c r="AL98" s="54"/>
      <c r="AM98" s="54"/>
    </row>
    <row r="99" spans="1:39">
      <c r="A99" s="45" t="str" cm="1">
        <f t="array" ref="A99">IF(H99="PROJECT", CHAR(10) &amp; "- " &amp; _xlfn.TEXTJOIN(CHAR(10) &amp; "- ", TRUE, _xlfn._xlws.FILTER($I$9:$I$1000, ($B$9:$B$1000=B99) * ($H$9:$H$1000="Topic"))), "")</f>
        <v/>
      </c>
      <c r="B99" s="45" t="str">
        <f t="shared" si="19"/>
        <v/>
      </c>
      <c r="C99" s="95"/>
      <c r="D99" s="46"/>
      <c r="E99" s="58"/>
      <c r="F99" s="67"/>
      <c r="G99" s="53"/>
      <c r="H99" s="53"/>
      <c r="I99" s="50"/>
      <c r="J99" s="51"/>
      <c r="K99" s="129" t="str">
        <f t="shared" si="20"/>
        <v/>
      </c>
      <c r="L99" s="103" t="str">
        <f t="shared" si="21"/>
        <v/>
      </c>
      <c r="M99" s="53">
        <v>0</v>
      </c>
      <c r="N99" s="102" t="str">
        <f t="shared" si="22"/>
        <v/>
      </c>
      <c r="O99" s="103" t="str">
        <f t="shared" si="23"/>
        <v/>
      </c>
      <c r="P99" s="53">
        <v>0</v>
      </c>
      <c r="Q99" s="102" t="str">
        <f t="shared" si="24"/>
        <v/>
      </c>
      <c r="R99" s="103" t="str">
        <f t="shared" si="25"/>
        <v/>
      </c>
      <c r="S99" s="53">
        <v>0</v>
      </c>
      <c r="T99" s="102" t="str">
        <f t="shared" si="26"/>
        <v/>
      </c>
      <c r="U99" s="103" t="str">
        <f t="shared" si="27"/>
        <v/>
      </c>
      <c r="V99" s="53">
        <v>0</v>
      </c>
      <c r="W99" s="87" t="str">
        <f t="shared" si="28"/>
        <v/>
      </c>
      <c r="X99" s="103" t="str">
        <f t="shared" si="29"/>
        <v/>
      </c>
      <c r="Y99" s="53">
        <v>0</v>
      </c>
      <c r="Z99" s="56" t="str">
        <f t="shared" si="30"/>
        <v/>
      </c>
      <c r="AA99" s="56" t="str">
        <f t="shared" si="31"/>
        <v/>
      </c>
      <c r="AB99" s="56" t="str">
        <f t="shared" si="32"/>
        <v/>
      </c>
      <c r="AC99" s="56" t="str">
        <f t="shared" si="33"/>
        <v/>
      </c>
      <c r="AD99" s="56" t="str">
        <f t="shared" si="34"/>
        <v/>
      </c>
      <c r="AE99" s="40"/>
      <c r="AF99" s="40"/>
      <c r="AG99" s="40"/>
      <c r="AH99" s="56" t="str">
        <f t="shared" si="18"/>
        <v/>
      </c>
      <c r="AI99" s="54"/>
      <c r="AJ99" s="54"/>
      <c r="AK99" s="54"/>
      <c r="AL99" s="54"/>
      <c r="AM99" s="54"/>
    </row>
    <row r="100" spans="1:39">
      <c r="A100" s="45" t="str" cm="1">
        <f t="array" ref="A100">IF(H100="PROJECT", CHAR(10) &amp; "- " &amp; _xlfn.TEXTJOIN(CHAR(10) &amp; "- ", TRUE, _xlfn._xlws.FILTER($I$9:$I$1000, ($B$9:$B$1000=B100) * ($H$9:$H$1000="Topic"))), "")</f>
        <v/>
      </c>
      <c r="B100" s="45" t="str">
        <f t="shared" si="19"/>
        <v/>
      </c>
      <c r="C100" s="95"/>
      <c r="D100" s="57"/>
      <c r="E100" s="58"/>
      <c r="F100" s="54"/>
      <c r="G100" s="52"/>
      <c r="H100" s="52"/>
      <c r="I100" s="61"/>
      <c r="J100" s="62"/>
      <c r="K100" s="129" t="str">
        <f t="shared" si="20"/>
        <v/>
      </c>
      <c r="L100" s="103" t="str">
        <f t="shared" si="21"/>
        <v/>
      </c>
      <c r="M100" s="52">
        <v>0</v>
      </c>
      <c r="N100" s="102" t="str">
        <f t="shared" si="22"/>
        <v/>
      </c>
      <c r="O100" s="103" t="str">
        <f t="shared" si="23"/>
        <v/>
      </c>
      <c r="P100" s="52">
        <v>0</v>
      </c>
      <c r="Q100" s="102" t="str">
        <f t="shared" si="24"/>
        <v/>
      </c>
      <c r="R100" s="103" t="str">
        <f t="shared" si="25"/>
        <v/>
      </c>
      <c r="S100" s="52">
        <v>0</v>
      </c>
      <c r="T100" s="102" t="str">
        <f t="shared" si="26"/>
        <v/>
      </c>
      <c r="U100" s="103" t="str">
        <f t="shared" si="27"/>
        <v/>
      </c>
      <c r="V100" s="52">
        <v>0</v>
      </c>
      <c r="W100" s="87" t="str">
        <f t="shared" si="28"/>
        <v/>
      </c>
      <c r="X100" s="103" t="str">
        <f t="shared" si="29"/>
        <v/>
      </c>
      <c r="Y100" s="52">
        <v>0</v>
      </c>
      <c r="Z100" s="56" t="str">
        <f t="shared" si="30"/>
        <v/>
      </c>
      <c r="AA100" s="56" t="str">
        <f t="shared" si="31"/>
        <v/>
      </c>
      <c r="AB100" s="56" t="str">
        <f t="shared" si="32"/>
        <v/>
      </c>
      <c r="AC100" s="56" t="str">
        <f t="shared" si="33"/>
        <v/>
      </c>
      <c r="AD100" s="56" t="str">
        <f t="shared" si="34"/>
        <v/>
      </c>
      <c r="AE100" s="40"/>
      <c r="AF100" s="40"/>
      <c r="AG100" s="40"/>
      <c r="AH100" s="56" t="str">
        <f t="shared" si="18"/>
        <v/>
      </c>
      <c r="AI100" s="54"/>
      <c r="AJ100" s="54"/>
      <c r="AK100" s="54"/>
      <c r="AL100" s="54"/>
      <c r="AM100" s="54"/>
    </row>
    <row r="101" spans="1:39">
      <c r="A101" s="45" t="str" cm="1">
        <f t="array" ref="A101">IF(H101="PROJECT", CHAR(10) &amp; "- " &amp; _xlfn.TEXTJOIN(CHAR(10) &amp; "- ", TRUE, _xlfn._xlws.FILTER($I$9:$I$1000, ($B$9:$B$1000=B101) * ($H$9:$H$1000="Topic"))), "")</f>
        <v/>
      </c>
      <c r="B101" s="45" t="str">
        <f t="shared" si="19"/>
        <v/>
      </c>
      <c r="C101" s="95"/>
      <c r="D101" s="46"/>
      <c r="E101" s="58"/>
      <c r="F101" s="67"/>
      <c r="G101" s="53"/>
      <c r="H101" s="53"/>
      <c r="I101" s="50"/>
      <c r="J101" s="51"/>
      <c r="K101" s="129" t="str">
        <f t="shared" si="20"/>
        <v/>
      </c>
      <c r="L101" s="103" t="str">
        <f t="shared" si="21"/>
        <v/>
      </c>
      <c r="M101" s="53">
        <v>0</v>
      </c>
      <c r="N101" s="102" t="str">
        <f t="shared" si="22"/>
        <v/>
      </c>
      <c r="O101" s="103" t="str">
        <f t="shared" si="23"/>
        <v/>
      </c>
      <c r="P101" s="53">
        <v>0</v>
      </c>
      <c r="Q101" s="102" t="str">
        <f t="shared" si="24"/>
        <v/>
      </c>
      <c r="R101" s="103" t="str">
        <f t="shared" si="25"/>
        <v/>
      </c>
      <c r="S101" s="53">
        <v>0</v>
      </c>
      <c r="T101" s="102" t="str">
        <f t="shared" si="26"/>
        <v/>
      </c>
      <c r="U101" s="103" t="str">
        <f t="shared" si="27"/>
        <v/>
      </c>
      <c r="V101" s="53">
        <v>0</v>
      </c>
      <c r="W101" s="87" t="str">
        <f t="shared" si="28"/>
        <v/>
      </c>
      <c r="X101" s="103" t="str">
        <f t="shared" si="29"/>
        <v/>
      </c>
      <c r="Y101" s="53">
        <v>0</v>
      </c>
      <c r="Z101" s="56" t="str">
        <f t="shared" si="30"/>
        <v/>
      </c>
      <c r="AA101" s="56" t="str">
        <f t="shared" si="31"/>
        <v/>
      </c>
      <c r="AB101" s="56" t="str">
        <f t="shared" si="32"/>
        <v/>
      </c>
      <c r="AC101" s="56" t="str">
        <f t="shared" si="33"/>
        <v/>
      </c>
      <c r="AD101" s="56" t="str">
        <f t="shared" si="34"/>
        <v/>
      </c>
      <c r="AE101" s="40"/>
      <c r="AF101" s="40"/>
      <c r="AG101" s="40"/>
      <c r="AH101" s="56" t="str">
        <f t="shared" si="18"/>
        <v/>
      </c>
      <c r="AI101" s="54"/>
      <c r="AJ101" s="54"/>
      <c r="AK101" s="54"/>
      <c r="AL101" s="54"/>
      <c r="AM101" s="54"/>
    </row>
    <row r="102" spans="1:39">
      <c r="A102" s="45" t="str" cm="1">
        <f t="array" ref="A102">IF(H102="PROJECT", CHAR(10) &amp; "- " &amp; _xlfn.TEXTJOIN(CHAR(10) &amp; "- ", TRUE, _xlfn._xlws.FILTER($I$9:$I$1000, ($B$9:$B$1000=B102) * ($H$9:$H$1000="Topic"))), "")</f>
        <v/>
      </c>
      <c r="B102" s="45" t="str">
        <f t="shared" si="19"/>
        <v/>
      </c>
      <c r="C102" s="95"/>
      <c r="D102" s="57"/>
      <c r="E102" s="58"/>
      <c r="F102" s="54"/>
      <c r="G102" s="52"/>
      <c r="H102" s="52"/>
      <c r="I102" s="61"/>
      <c r="J102" s="62"/>
      <c r="K102" s="129" t="str">
        <f t="shared" si="20"/>
        <v/>
      </c>
      <c r="L102" s="103" t="str">
        <f t="shared" si="21"/>
        <v/>
      </c>
      <c r="M102" s="52">
        <v>0</v>
      </c>
      <c r="N102" s="102" t="str">
        <f t="shared" si="22"/>
        <v/>
      </c>
      <c r="O102" s="103" t="str">
        <f t="shared" si="23"/>
        <v/>
      </c>
      <c r="P102" s="52">
        <v>0</v>
      </c>
      <c r="Q102" s="102" t="str">
        <f t="shared" si="24"/>
        <v/>
      </c>
      <c r="R102" s="103" t="str">
        <f t="shared" si="25"/>
        <v/>
      </c>
      <c r="S102" s="52">
        <v>0</v>
      </c>
      <c r="T102" s="102" t="str">
        <f t="shared" si="26"/>
        <v/>
      </c>
      <c r="U102" s="103" t="str">
        <f t="shared" si="27"/>
        <v/>
      </c>
      <c r="V102" s="52">
        <v>0</v>
      </c>
      <c r="W102" s="87" t="str">
        <f t="shared" si="28"/>
        <v/>
      </c>
      <c r="X102" s="103" t="str">
        <f t="shared" si="29"/>
        <v/>
      </c>
      <c r="Y102" s="52">
        <v>0</v>
      </c>
      <c r="Z102" s="56" t="str">
        <f t="shared" si="30"/>
        <v/>
      </c>
      <c r="AA102" s="56" t="str">
        <f t="shared" si="31"/>
        <v/>
      </c>
      <c r="AB102" s="56" t="str">
        <f t="shared" si="32"/>
        <v/>
      </c>
      <c r="AC102" s="56" t="str">
        <f t="shared" si="33"/>
        <v/>
      </c>
      <c r="AD102" s="56" t="str">
        <f t="shared" si="34"/>
        <v/>
      </c>
      <c r="AE102" s="40"/>
      <c r="AF102" s="40"/>
      <c r="AG102" s="40"/>
      <c r="AH102" s="56" t="str">
        <f t="shared" si="18"/>
        <v/>
      </c>
      <c r="AI102" s="54"/>
      <c r="AJ102" s="54"/>
      <c r="AK102" s="54"/>
      <c r="AL102" s="54"/>
      <c r="AM102" s="54"/>
    </row>
    <row r="103" spans="1:39">
      <c r="A103" s="45" t="str" cm="1">
        <f t="array" ref="A103">IF(H103="PROJECT", CHAR(10) &amp; "- " &amp; _xlfn.TEXTJOIN(CHAR(10) &amp; "- ", TRUE, _xlfn._xlws.FILTER($I$9:$I$1000, ($B$9:$B$1000=B103) * ($H$9:$H$1000="Topic"))), "")</f>
        <v/>
      </c>
      <c r="B103" s="45" t="str">
        <f t="shared" si="19"/>
        <v/>
      </c>
      <c r="C103" s="95"/>
      <c r="D103" s="46"/>
      <c r="E103" s="58"/>
      <c r="F103" s="67"/>
      <c r="G103" s="53"/>
      <c r="H103" s="53"/>
      <c r="I103" s="50"/>
      <c r="J103" s="51"/>
      <c r="K103" s="129" t="str">
        <f t="shared" si="20"/>
        <v/>
      </c>
      <c r="L103" s="103" t="str">
        <f t="shared" si="21"/>
        <v/>
      </c>
      <c r="M103" s="53">
        <v>0</v>
      </c>
      <c r="N103" s="102" t="str">
        <f t="shared" si="22"/>
        <v/>
      </c>
      <c r="O103" s="103" t="str">
        <f t="shared" si="23"/>
        <v/>
      </c>
      <c r="P103" s="53">
        <v>0</v>
      </c>
      <c r="Q103" s="102" t="str">
        <f t="shared" si="24"/>
        <v/>
      </c>
      <c r="R103" s="103" t="str">
        <f t="shared" si="25"/>
        <v/>
      </c>
      <c r="S103" s="53">
        <v>0</v>
      </c>
      <c r="T103" s="102" t="str">
        <f t="shared" si="26"/>
        <v/>
      </c>
      <c r="U103" s="103" t="str">
        <f t="shared" si="27"/>
        <v/>
      </c>
      <c r="V103" s="53">
        <v>0</v>
      </c>
      <c r="W103" s="87" t="str">
        <f t="shared" si="28"/>
        <v/>
      </c>
      <c r="X103" s="103" t="str">
        <f t="shared" si="29"/>
        <v/>
      </c>
      <c r="Y103" s="53">
        <v>0</v>
      </c>
      <c r="Z103" s="56" t="str">
        <f t="shared" si="30"/>
        <v/>
      </c>
      <c r="AA103" s="56" t="str">
        <f t="shared" si="31"/>
        <v/>
      </c>
      <c r="AB103" s="56" t="str">
        <f t="shared" si="32"/>
        <v/>
      </c>
      <c r="AC103" s="56" t="str">
        <f t="shared" si="33"/>
        <v/>
      </c>
      <c r="AD103" s="56" t="str">
        <f t="shared" si="34"/>
        <v/>
      </c>
      <c r="AE103" s="40"/>
      <c r="AF103" s="40"/>
      <c r="AG103" s="40"/>
      <c r="AH103" s="56" t="str">
        <f t="shared" si="18"/>
        <v/>
      </c>
      <c r="AI103" s="54"/>
      <c r="AJ103" s="54"/>
      <c r="AK103" s="54"/>
      <c r="AL103" s="54"/>
      <c r="AM103" s="54"/>
    </row>
    <row r="104" spans="1:39">
      <c r="A104" s="45" t="str" cm="1">
        <f t="array" ref="A104">IF(H104="PROJECT", CHAR(10) &amp; "- " &amp; _xlfn.TEXTJOIN(CHAR(10) &amp; "- ", TRUE, _xlfn._xlws.FILTER($I$9:$I$1000, ($B$9:$B$1000=B104) * ($H$9:$H$1000="Topic"))), "")</f>
        <v/>
      </c>
      <c r="B104" s="45" t="str">
        <f t="shared" si="19"/>
        <v/>
      </c>
      <c r="C104" s="95"/>
      <c r="D104" s="57"/>
      <c r="E104" s="58"/>
      <c r="F104" s="54"/>
      <c r="G104" s="52"/>
      <c r="H104" s="52"/>
      <c r="I104" s="61"/>
      <c r="J104" s="62"/>
      <c r="K104" s="129" t="str">
        <f t="shared" si="20"/>
        <v/>
      </c>
      <c r="L104" s="103" t="str">
        <f t="shared" si="21"/>
        <v/>
      </c>
      <c r="M104" s="52">
        <v>0</v>
      </c>
      <c r="N104" s="102" t="str">
        <f t="shared" si="22"/>
        <v/>
      </c>
      <c r="O104" s="103" t="str">
        <f t="shared" si="23"/>
        <v/>
      </c>
      <c r="P104" s="52">
        <v>0</v>
      </c>
      <c r="Q104" s="102" t="str">
        <f t="shared" si="24"/>
        <v/>
      </c>
      <c r="R104" s="103" t="str">
        <f t="shared" si="25"/>
        <v/>
      </c>
      <c r="S104" s="52">
        <v>0</v>
      </c>
      <c r="T104" s="102" t="str">
        <f t="shared" si="26"/>
        <v/>
      </c>
      <c r="U104" s="103" t="str">
        <f t="shared" si="27"/>
        <v/>
      </c>
      <c r="V104" s="52">
        <v>0</v>
      </c>
      <c r="W104" s="87" t="str">
        <f t="shared" si="28"/>
        <v/>
      </c>
      <c r="X104" s="103" t="str">
        <f t="shared" si="29"/>
        <v/>
      </c>
      <c r="Y104" s="52">
        <v>0</v>
      </c>
      <c r="Z104" s="56" t="str">
        <f t="shared" si="30"/>
        <v/>
      </c>
      <c r="AA104" s="56" t="str">
        <f t="shared" si="31"/>
        <v/>
      </c>
      <c r="AB104" s="56" t="str">
        <f t="shared" si="32"/>
        <v/>
      </c>
      <c r="AC104" s="56" t="str">
        <f t="shared" si="33"/>
        <v/>
      </c>
      <c r="AD104" s="56" t="str">
        <f t="shared" si="34"/>
        <v/>
      </c>
      <c r="AE104" s="40"/>
      <c r="AF104" s="40"/>
      <c r="AG104" s="40"/>
      <c r="AH104" s="56" t="str">
        <f t="shared" si="18"/>
        <v/>
      </c>
      <c r="AI104" s="54"/>
      <c r="AJ104" s="54"/>
      <c r="AK104" s="54"/>
      <c r="AL104" s="54"/>
      <c r="AM104" s="54"/>
    </row>
    <row r="105" spans="1:39">
      <c r="A105" s="45" t="str" cm="1">
        <f t="array" ref="A105">IF(H105="PROJECT", CHAR(10) &amp; "- " &amp; _xlfn.TEXTJOIN(CHAR(10) &amp; "- ", TRUE, _xlfn._xlws.FILTER($I$9:$I$1000, ($B$9:$B$1000=B105) * ($H$9:$H$1000="Topic"))), "")</f>
        <v/>
      </c>
      <c r="B105" s="45" t="str">
        <f t="shared" si="19"/>
        <v/>
      </c>
      <c r="C105" s="95"/>
      <c r="D105" s="46"/>
      <c r="E105" s="58"/>
      <c r="F105" s="67"/>
      <c r="G105" s="53"/>
      <c r="H105" s="53"/>
      <c r="I105" s="50"/>
      <c r="J105" s="51"/>
      <c r="K105" s="129" t="str">
        <f t="shared" si="20"/>
        <v/>
      </c>
      <c r="L105" s="103" t="str">
        <f t="shared" si="21"/>
        <v/>
      </c>
      <c r="M105" s="53">
        <v>0</v>
      </c>
      <c r="N105" s="102" t="str">
        <f t="shared" si="22"/>
        <v/>
      </c>
      <c r="O105" s="103" t="str">
        <f t="shared" si="23"/>
        <v/>
      </c>
      <c r="P105" s="53">
        <v>0</v>
      </c>
      <c r="Q105" s="102" t="str">
        <f t="shared" si="24"/>
        <v/>
      </c>
      <c r="R105" s="103" t="str">
        <f t="shared" si="25"/>
        <v/>
      </c>
      <c r="S105" s="53">
        <v>0</v>
      </c>
      <c r="T105" s="102" t="str">
        <f t="shared" si="26"/>
        <v/>
      </c>
      <c r="U105" s="103" t="str">
        <f t="shared" si="27"/>
        <v/>
      </c>
      <c r="V105" s="53">
        <v>0</v>
      </c>
      <c r="W105" s="87" t="str">
        <f t="shared" si="28"/>
        <v/>
      </c>
      <c r="X105" s="103" t="str">
        <f t="shared" si="29"/>
        <v/>
      </c>
      <c r="Y105" s="53">
        <v>0</v>
      </c>
      <c r="Z105" s="56" t="str">
        <f t="shared" si="30"/>
        <v/>
      </c>
      <c r="AA105" s="56" t="str">
        <f t="shared" si="31"/>
        <v/>
      </c>
      <c r="AB105" s="56" t="str">
        <f t="shared" si="32"/>
        <v/>
      </c>
      <c r="AC105" s="56" t="str">
        <f t="shared" si="33"/>
        <v/>
      </c>
      <c r="AD105" s="56" t="str">
        <f t="shared" si="34"/>
        <v/>
      </c>
      <c r="AE105" s="40"/>
      <c r="AF105" s="40"/>
      <c r="AG105" s="40"/>
      <c r="AH105" s="56" t="str">
        <f t="shared" ref="AH105:AH136" si="35">IF(AE105=$B$6,AG105,"")</f>
        <v/>
      </c>
      <c r="AI105" s="54"/>
      <c r="AJ105" s="54"/>
      <c r="AK105" s="54"/>
      <c r="AL105" s="54"/>
      <c r="AM105" s="54"/>
    </row>
    <row r="106" spans="1:39">
      <c r="A106" s="45" t="str" cm="1">
        <f t="array" ref="A106">IF(H106="PROJECT", CHAR(10) &amp; "- " &amp; _xlfn.TEXTJOIN(CHAR(10) &amp; "- ", TRUE, _xlfn._xlws.FILTER($I$9:$I$1000, ($B$9:$B$1000=B106) * ($H$9:$H$1000="Topic"))), "")</f>
        <v/>
      </c>
      <c r="B106" s="45" t="str">
        <f t="shared" si="19"/>
        <v/>
      </c>
      <c r="C106" s="95"/>
      <c r="D106" s="57"/>
      <c r="E106" s="58"/>
      <c r="F106" s="54"/>
      <c r="G106" s="52"/>
      <c r="H106" s="52"/>
      <c r="I106" s="61"/>
      <c r="J106" s="62"/>
      <c r="K106" s="129" t="str">
        <f t="shared" si="20"/>
        <v/>
      </c>
      <c r="L106" s="103" t="str">
        <f t="shared" si="21"/>
        <v/>
      </c>
      <c r="M106" s="52">
        <v>0</v>
      </c>
      <c r="N106" s="102" t="str">
        <f t="shared" si="22"/>
        <v/>
      </c>
      <c r="O106" s="103" t="str">
        <f t="shared" si="23"/>
        <v/>
      </c>
      <c r="P106" s="52">
        <v>0</v>
      </c>
      <c r="Q106" s="102" t="str">
        <f t="shared" si="24"/>
        <v/>
      </c>
      <c r="R106" s="103" t="str">
        <f t="shared" si="25"/>
        <v/>
      </c>
      <c r="S106" s="52">
        <v>0</v>
      </c>
      <c r="T106" s="102" t="str">
        <f t="shared" si="26"/>
        <v/>
      </c>
      <c r="U106" s="103" t="str">
        <f t="shared" si="27"/>
        <v/>
      </c>
      <c r="V106" s="52">
        <v>0</v>
      </c>
      <c r="W106" s="87" t="str">
        <f t="shared" si="28"/>
        <v/>
      </c>
      <c r="X106" s="103" t="str">
        <f t="shared" si="29"/>
        <v/>
      </c>
      <c r="Y106" s="52">
        <v>0</v>
      </c>
      <c r="Z106" s="56" t="str">
        <f t="shared" si="30"/>
        <v/>
      </c>
      <c r="AA106" s="56" t="str">
        <f t="shared" si="31"/>
        <v/>
      </c>
      <c r="AB106" s="56" t="str">
        <f t="shared" si="32"/>
        <v/>
      </c>
      <c r="AC106" s="56" t="str">
        <f t="shared" si="33"/>
        <v/>
      </c>
      <c r="AD106" s="56" t="str">
        <f t="shared" si="34"/>
        <v/>
      </c>
      <c r="AE106" s="40"/>
      <c r="AF106" s="40"/>
      <c r="AG106" s="40"/>
      <c r="AH106" s="56" t="str">
        <f t="shared" si="35"/>
        <v/>
      </c>
      <c r="AI106" s="54"/>
      <c r="AJ106" s="54"/>
      <c r="AK106" s="54"/>
      <c r="AL106" s="54"/>
      <c r="AM106" s="54"/>
    </row>
    <row r="107" spans="1:39">
      <c r="A107" s="45" t="str" cm="1">
        <f t="array" ref="A107">IF(H107="PROJECT", CHAR(10) &amp; "- " &amp; _xlfn.TEXTJOIN(CHAR(10) &amp; "- ", TRUE, _xlfn._xlws.FILTER($I$9:$I$1000, ($B$9:$B$1000=B107) * ($H$9:$H$1000="Topic"))), "")</f>
        <v/>
      </c>
      <c r="B107" s="45" t="str">
        <f t="shared" si="19"/>
        <v/>
      </c>
      <c r="C107" s="95"/>
      <c r="D107" s="46"/>
      <c r="E107" s="58"/>
      <c r="F107" s="67"/>
      <c r="G107" s="53"/>
      <c r="H107" s="53"/>
      <c r="I107" s="50"/>
      <c r="J107" s="51"/>
      <c r="K107" s="129" t="str">
        <f t="shared" si="20"/>
        <v/>
      </c>
      <c r="L107" s="103" t="str">
        <f t="shared" si="21"/>
        <v/>
      </c>
      <c r="M107" s="53">
        <v>0</v>
      </c>
      <c r="N107" s="102" t="str">
        <f t="shared" si="22"/>
        <v/>
      </c>
      <c r="O107" s="103" t="str">
        <f t="shared" si="23"/>
        <v/>
      </c>
      <c r="P107" s="53">
        <v>0</v>
      </c>
      <c r="Q107" s="102" t="str">
        <f t="shared" si="24"/>
        <v/>
      </c>
      <c r="R107" s="103" t="str">
        <f t="shared" si="25"/>
        <v/>
      </c>
      <c r="S107" s="53">
        <v>0</v>
      </c>
      <c r="T107" s="102" t="str">
        <f t="shared" si="26"/>
        <v/>
      </c>
      <c r="U107" s="103" t="str">
        <f t="shared" si="27"/>
        <v/>
      </c>
      <c r="V107" s="53">
        <v>0</v>
      </c>
      <c r="W107" s="87" t="str">
        <f t="shared" si="28"/>
        <v/>
      </c>
      <c r="X107" s="103" t="str">
        <f t="shared" si="29"/>
        <v/>
      </c>
      <c r="Y107" s="53">
        <v>0</v>
      </c>
      <c r="Z107" s="56" t="str">
        <f t="shared" si="30"/>
        <v/>
      </c>
      <c r="AA107" s="56" t="str">
        <f t="shared" si="31"/>
        <v/>
      </c>
      <c r="AB107" s="56" t="str">
        <f t="shared" si="32"/>
        <v/>
      </c>
      <c r="AC107" s="56" t="str">
        <f t="shared" si="33"/>
        <v/>
      </c>
      <c r="AD107" s="56" t="str">
        <f t="shared" si="34"/>
        <v/>
      </c>
      <c r="AE107" s="40"/>
      <c r="AF107" s="40"/>
      <c r="AG107" s="40"/>
      <c r="AH107" s="56" t="str">
        <f t="shared" si="35"/>
        <v/>
      </c>
      <c r="AI107" s="54"/>
      <c r="AJ107" s="54"/>
      <c r="AK107" s="54"/>
      <c r="AL107" s="54"/>
      <c r="AM107" s="54"/>
    </row>
    <row r="108" spans="1:39">
      <c r="A108" s="45" t="str" cm="1">
        <f t="array" ref="A108">IF(H108="PROJECT", CHAR(10) &amp; "- " &amp; _xlfn.TEXTJOIN(CHAR(10) &amp; "- ", TRUE, _xlfn._xlws.FILTER($I$9:$I$1000, ($B$9:$B$1000=B108) * ($H$9:$H$1000="Topic"))), "")</f>
        <v/>
      </c>
      <c r="B108" s="45" t="str">
        <f t="shared" si="19"/>
        <v/>
      </c>
      <c r="C108" s="95"/>
      <c r="D108" s="57"/>
      <c r="E108" s="58"/>
      <c r="F108" s="54"/>
      <c r="G108" s="52"/>
      <c r="H108" s="52"/>
      <c r="I108" s="61"/>
      <c r="J108" s="62"/>
      <c r="K108" s="129" t="str">
        <f t="shared" si="20"/>
        <v/>
      </c>
      <c r="L108" s="103" t="str">
        <f t="shared" si="21"/>
        <v/>
      </c>
      <c r="M108" s="52">
        <v>0</v>
      </c>
      <c r="N108" s="102" t="str">
        <f t="shared" si="22"/>
        <v/>
      </c>
      <c r="O108" s="103" t="str">
        <f t="shared" si="23"/>
        <v/>
      </c>
      <c r="P108" s="52">
        <v>0</v>
      </c>
      <c r="Q108" s="102" t="str">
        <f t="shared" si="24"/>
        <v/>
      </c>
      <c r="R108" s="103" t="str">
        <f t="shared" si="25"/>
        <v/>
      </c>
      <c r="S108" s="52">
        <v>0</v>
      </c>
      <c r="T108" s="102" t="str">
        <f t="shared" si="26"/>
        <v/>
      </c>
      <c r="U108" s="103" t="str">
        <f t="shared" si="27"/>
        <v/>
      </c>
      <c r="V108" s="52">
        <v>0</v>
      </c>
      <c r="W108" s="87" t="str">
        <f t="shared" si="28"/>
        <v/>
      </c>
      <c r="X108" s="103" t="str">
        <f t="shared" si="29"/>
        <v/>
      </c>
      <c r="Y108" s="52">
        <v>0</v>
      </c>
      <c r="Z108" s="56" t="str">
        <f t="shared" si="30"/>
        <v/>
      </c>
      <c r="AA108" s="56" t="str">
        <f t="shared" si="31"/>
        <v/>
      </c>
      <c r="AB108" s="56" t="str">
        <f t="shared" si="32"/>
        <v/>
      </c>
      <c r="AC108" s="56" t="str">
        <f t="shared" si="33"/>
        <v/>
      </c>
      <c r="AD108" s="56" t="str">
        <f t="shared" si="34"/>
        <v/>
      </c>
      <c r="AE108" s="40"/>
      <c r="AF108" s="40"/>
      <c r="AG108" s="40"/>
      <c r="AH108" s="56" t="str">
        <f t="shared" si="35"/>
        <v/>
      </c>
      <c r="AI108" s="54"/>
      <c r="AJ108" s="54"/>
      <c r="AK108" s="54"/>
      <c r="AL108" s="54"/>
      <c r="AM108" s="54"/>
    </row>
    <row r="109" spans="1:39">
      <c r="A109" s="45" t="str" cm="1">
        <f t="array" ref="A109">IF(H109="PROJECT", CHAR(10) &amp; "- " &amp; _xlfn.TEXTJOIN(CHAR(10) &amp; "- ", TRUE, _xlfn._xlws.FILTER($I$9:$I$1000, ($B$9:$B$1000=B109) * ($H$9:$H$1000="Topic"))), "")</f>
        <v/>
      </c>
      <c r="B109" s="45" t="str">
        <f t="shared" si="19"/>
        <v/>
      </c>
      <c r="C109" s="95"/>
      <c r="D109" s="46"/>
      <c r="E109" s="58"/>
      <c r="F109" s="67"/>
      <c r="G109" s="53"/>
      <c r="H109" s="53"/>
      <c r="I109" s="50"/>
      <c r="J109" s="51"/>
      <c r="K109" s="129" t="str">
        <f t="shared" si="20"/>
        <v/>
      </c>
      <c r="L109" s="103" t="str">
        <f t="shared" si="21"/>
        <v/>
      </c>
      <c r="M109" s="53">
        <v>0</v>
      </c>
      <c r="N109" s="102" t="str">
        <f t="shared" si="22"/>
        <v/>
      </c>
      <c r="O109" s="103" t="str">
        <f t="shared" si="23"/>
        <v/>
      </c>
      <c r="P109" s="53">
        <v>0</v>
      </c>
      <c r="Q109" s="102" t="str">
        <f t="shared" si="24"/>
        <v/>
      </c>
      <c r="R109" s="103" t="str">
        <f t="shared" si="25"/>
        <v/>
      </c>
      <c r="S109" s="53">
        <v>0</v>
      </c>
      <c r="T109" s="102" t="str">
        <f t="shared" si="26"/>
        <v/>
      </c>
      <c r="U109" s="103" t="str">
        <f t="shared" si="27"/>
        <v/>
      </c>
      <c r="V109" s="53">
        <v>0</v>
      </c>
      <c r="W109" s="87" t="str">
        <f t="shared" si="28"/>
        <v/>
      </c>
      <c r="X109" s="103" t="str">
        <f t="shared" si="29"/>
        <v/>
      </c>
      <c r="Y109" s="53">
        <v>0</v>
      </c>
      <c r="Z109" s="56" t="str">
        <f t="shared" si="30"/>
        <v/>
      </c>
      <c r="AA109" s="56" t="str">
        <f t="shared" si="31"/>
        <v/>
      </c>
      <c r="AB109" s="56" t="str">
        <f t="shared" si="32"/>
        <v/>
      </c>
      <c r="AC109" s="56" t="str">
        <f t="shared" si="33"/>
        <v/>
      </c>
      <c r="AD109" s="56" t="str">
        <f t="shared" si="34"/>
        <v/>
      </c>
      <c r="AE109" s="40"/>
      <c r="AF109" s="40"/>
      <c r="AG109" s="40"/>
      <c r="AH109" s="56" t="str">
        <f t="shared" si="35"/>
        <v/>
      </c>
      <c r="AI109" s="54"/>
      <c r="AJ109" s="54"/>
      <c r="AK109" s="54"/>
      <c r="AL109" s="54"/>
      <c r="AM109" s="54"/>
    </row>
    <row r="110" spans="1:39">
      <c r="A110" s="45" t="str" cm="1">
        <f t="array" ref="A110">IF(H110="PROJECT", CHAR(10) &amp; "- " &amp; _xlfn.TEXTJOIN(CHAR(10) &amp; "- ", TRUE, _xlfn._xlws.FILTER($I$9:$I$1000, ($B$9:$B$1000=B110) * ($H$9:$H$1000="Topic"))), "")</f>
        <v/>
      </c>
      <c r="B110" s="45" t="str">
        <f t="shared" si="19"/>
        <v/>
      </c>
      <c r="C110" s="95"/>
      <c r="D110" s="57"/>
      <c r="E110" s="58"/>
      <c r="F110" s="54"/>
      <c r="G110" s="52"/>
      <c r="H110" s="52"/>
      <c r="I110" s="61"/>
      <c r="J110" s="62"/>
      <c r="K110" s="129" t="str">
        <f t="shared" si="20"/>
        <v/>
      </c>
      <c r="L110" s="103" t="str">
        <f t="shared" si="21"/>
        <v/>
      </c>
      <c r="M110" s="52">
        <v>0</v>
      </c>
      <c r="N110" s="102" t="str">
        <f t="shared" si="22"/>
        <v/>
      </c>
      <c r="O110" s="103" t="str">
        <f t="shared" si="23"/>
        <v/>
      </c>
      <c r="P110" s="52">
        <v>0</v>
      </c>
      <c r="Q110" s="102" t="str">
        <f t="shared" si="24"/>
        <v/>
      </c>
      <c r="R110" s="103" t="str">
        <f t="shared" si="25"/>
        <v/>
      </c>
      <c r="S110" s="52">
        <v>0</v>
      </c>
      <c r="T110" s="102" t="str">
        <f t="shared" si="26"/>
        <v/>
      </c>
      <c r="U110" s="103" t="str">
        <f t="shared" si="27"/>
        <v/>
      </c>
      <c r="V110" s="52">
        <v>0</v>
      </c>
      <c r="W110" s="87" t="str">
        <f t="shared" si="28"/>
        <v/>
      </c>
      <c r="X110" s="103" t="str">
        <f t="shared" si="29"/>
        <v/>
      </c>
      <c r="Y110" s="52">
        <v>0</v>
      </c>
      <c r="Z110" s="56" t="str">
        <f t="shared" si="30"/>
        <v/>
      </c>
      <c r="AA110" s="56" t="str">
        <f t="shared" si="31"/>
        <v/>
      </c>
      <c r="AB110" s="56" t="str">
        <f t="shared" si="32"/>
        <v/>
      </c>
      <c r="AC110" s="56" t="str">
        <f t="shared" si="33"/>
        <v/>
      </c>
      <c r="AD110" s="56" t="str">
        <f t="shared" si="34"/>
        <v/>
      </c>
      <c r="AE110" s="40"/>
      <c r="AF110" s="40"/>
      <c r="AG110" s="40"/>
      <c r="AH110" s="56" t="str">
        <f t="shared" si="35"/>
        <v/>
      </c>
      <c r="AI110" s="54"/>
      <c r="AJ110" s="54"/>
      <c r="AK110" s="54"/>
      <c r="AL110" s="54"/>
      <c r="AM110" s="54"/>
    </row>
    <row r="111" spans="1:39">
      <c r="A111" s="45" t="str" cm="1">
        <f t="array" ref="A111">IF(H111="PROJECT", CHAR(10) &amp; "- " &amp; _xlfn.TEXTJOIN(CHAR(10) &amp; "- ", TRUE, _xlfn._xlws.FILTER($I$9:$I$1000, ($B$9:$B$1000=B111) * ($H$9:$H$1000="Topic"))), "")</f>
        <v/>
      </c>
      <c r="B111" s="45" t="str">
        <f t="shared" si="19"/>
        <v/>
      </c>
      <c r="C111" s="95"/>
      <c r="D111" s="46"/>
      <c r="E111" s="58"/>
      <c r="F111" s="67"/>
      <c r="G111" s="53"/>
      <c r="H111" s="53"/>
      <c r="I111" s="50"/>
      <c r="J111" s="51"/>
      <c r="K111" s="129" t="str">
        <f t="shared" si="20"/>
        <v/>
      </c>
      <c r="L111" s="103" t="str">
        <f t="shared" si="21"/>
        <v/>
      </c>
      <c r="M111" s="53">
        <v>0</v>
      </c>
      <c r="N111" s="102" t="str">
        <f t="shared" si="22"/>
        <v/>
      </c>
      <c r="O111" s="103" t="str">
        <f t="shared" si="23"/>
        <v/>
      </c>
      <c r="P111" s="53">
        <v>0</v>
      </c>
      <c r="Q111" s="102" t="str">
        <f t="shared" si="24"/>
        <v/>
      </c>
      <c r="R111" s="103" t="str">
        <f t="shared" si="25"/>
        <v/>
      </c>
      <c r="S111" s="53">
        <v>0</v>
      </c>
      <c r="T111" s="102" t="str">
        <f t="shared" si="26"/>
        <v/>
      </c>
      <c r="U111" s="103" t="str">
        <f t="shared" si="27"/>
        <v/>
      </c>
      <c r="V111" s="53">
        <v>0</v>
      </c>
      <c r="W111" s="87" t="str">
        <f t="shared" si="28"/>
        <v/>
      </c>
      <c r="X111" s="103" t="str">
        <f t="shared" si="29"/>
        <v/>
      </c>
      <c r="Y111" s="53">
        <v>0</v>
      </c>
      <c r="Z111" s="56" t="str">
        <f t="shared" si="30"/>
        <v/>
      </c>
      <c r="AA111" s="56" t="str">
        <f t="shared" si="31"/>
        <v/>
      </c>
      <c r="AB111" s="56" t="str">
        <f t="shared" si="32"/>
        <v/>
      </c>
      <c r="AC111" s="56" t="str">
        <f t="shared" si="33"/>
        <v/>
      </c>
      <c r="AD111" s="56" t="str">
        <f t="shared" si="34"/>
        <v/>
      </c>
      <c r="AE111" s="40"/>
      <c r="AF111" s="40"/>
      <c r="AG111" s="40"/>
      <c r="AH111" s="56" t="str">
        <f t="shared" si="35"/>
        <v/>
      </c>
      <c r="AI111" s="54"/>
      <c r="AJ111" s="54"/>
      <c r="AK111" s="54"/>
      <c r="AL111" s="54"/>
      <c r="AM111" s="54"/>
    </row>
    <row r="112" spans="1:39">
      <c r="A112" s="45" t="str" cm="1">
        <f t="array" ref="A112">IF(H112="PROJECT", CHAR(10) &amp; "- " &amp; _xlfn.TEXTJOIN(CHAR(10) &amp; "- ", TRUE, _xlfn._xlws.FILTER($I$9:$I$1000, ($B$9:$B$1000=B112) * ($H$9:$H$1000="Topic"))), "")</f>
        <v/>
      </c>
      <c r="B112" s="45" t="str">
        <f t="shared" si="19"/>
        <v/>
      </c>
      <c r="C112" s="95"/>
      <c r="D112" s="57"/>
      <c r="E112" s="58"/>
      <c r="F112" s="54"/>
      <c r="G112" s="52"/>
      <c r="H112" s="52"/>
      <c r="I112" s="61"/>
      <c r="J112" s="62"/>
      <c r="K112" s="129" t="str">
        <f t="shared" si="20"/>
        <v/>
      </c>
      <c r="L112" s="103" t="str">
        <f t="shared" si="21"/>
        <v/>
      </c>
      <c r="M112" s="52">
        <v>0</v>
      </c>
      <c r="N112" s="102" t="str">
        <f t="shared" si="22"/>
        <v/>
      </c>
      <c r="O112" s="103" t="str">
        <f t="shared" si="23"/>
        <v/>
      </c>
      <c r="P112" s="52">
        <v>0</v>
      </c>
      <c r="Q112" s="102" t="str">
        <f t="shared" si="24"/>
        <v/>
      </c>
      <c r="R112" s="103" t="str">
        <f t="shared" si="25"/>
        <v/>
      </c>
      <c r="S112" s="52">
        <v>0</v>
      </c>
      <c r="T112" s="102" t="str">
        <f t="shared" si="26"/>
        <v/>
      </c>
      <c r="U112" s="103" t="str">
        <f t="shared" si="27"/>
        <v/>
      </c>
      <c r="V112" s="52">
        <v>0</v>
      </c>
      <c r="W112" s="87" t="str">
        <f t="shared" si="28"/>
        <v/>
      </c>
      <c r="X112" s="103" t="str">
        <f t="shared" si="29"/>
        <v/>
      </c>
      <c r="Y112" s="52">
        <v>0</v>
      </c>
      <c r="Z112" s="56" t="str">
        <f t="shared" si="30"/>
        <v/>
      </c>
      <c r="AA112" s="56" t="str">
        <f t="shared" si="31"/>
        <v/>
      </c>
      <c r="AB112" s="56" t="str">
        <f t="shared" si="32"/>
        <v/>
      </c>
      <c r="AC112" s="56" t="str">
        <f t="shared" si="33"/>
        <v/>
      </c>
      <c r="AD112" s="56" t="str">
        <f t="shared" si="34"/>
        <v/>
      </c>
      <c r="AE112" s="40"/>
      <c r="AF112" s="40"/>
      <c r="AG112" s="40"/>
      <c r="AH112" s="56" t="str">
        <f t="shared" si="35"/>
        <v/>
      </c>
      <c r="AI112" s="54"/>
      <c r="AJ112" s="54"/>
      <c r="AK112" s="54"/>
      <c r="AL112" s="54"/>
      <c r="AM112" s="54"/>
    </row>
    <row r="113" spans="1:39">
      <c r="A113" s="45" t="str" cm="1">
        <f t="array" ref="A113">IF(H113="PROJECT", CHAR(10) &amp; "- " &amp; _xlfn.TEXTJOIN(CHAR(10) &amp; "- ", TRUE, _xlfn._xlws.FILTER($I$9:$I$1000, ($B$9:$B$1000=B113) * ($H$9:$H$1000="Topic"))), "")</f>
        <v/>
      </c>
      <c r="B113" s="45" t="str">
        <f t="shared" si="19"/>
        <v/>
      </c>
      <c r="C113" s="95"/>
      <c r="D113" s="46"/>
      <c r="E113" s="58"/>
      <c r="F113" s="67"/>
      <c r="G113" s="53"/>
      <c r="H113" s="53"/>
      <c r="I113" s="50"/>
      <c r="J113" s="51"/>
      <c r="K113" s="129" t="str">
        <f t="shared" si="20"/>
        <v/>
      </c>
      <c r="L113" s="103" t="str">
        <f t="shared" si="21"/>
        <v/>
      </c>
      <c r="M113" s="53">
        <v>0</v>
      </c>
      <c r="N113" s="102" t="str">
        <f t="shared" si="22"/>
        <v/>
      </c>
      <c r="O113" s="103" t="str">
        <f t="shared" si="23"/>
        <v/>
      </c>
      <c r="P113" s="53">
        <v>0</v>
      </c>
      <c r="Q113" s="102" t="str">
        <f t="shared" si="24"/>
        <v/>
      </c>
      <c r="R113" s="103" t="str">
        <f t="shared" si="25"/>
        <v/>
      </c>
      <c r="S113" s="53">
        <v>0</v>
      </c>
      <c r="T113" s="102" t="str">
        <f t="shared" si="26"/>
        <v/>
      </c>
      <c r="U113" s="103" t="str">
        <f t="shared" si="27"/>
        <v/>
      </c>
      <c r="V113" s="53">
        <v>0</v>
      </c>
      <c r="W113" s="87" t="str">
        <f t="shared" si="28"/>
        <v/>
      </c>
      <c r="X113" s="103" t="str">
        <f t="shared" si="29"/>
        <v/>
      </c>
      <c r="Y113" s="53">
        <v>0</v>
      </c>
      <c r="Z113" s="56" t="str">
        <f t="shared" si="30"/>
        <v/>
      </c>
      <c r="AA113" s="56" t="str">
        <f t="shared" si="31"/>
        <v/>
      </c>
      <c r="AB113" s="56" t="str">
        <f t="shared" si="32"/>
        <v/>
      </c>
      <c r="AC113" s="56" t="str">
        <f t="shared" si="33"/>
        <v/>
      </c>
      <c r="AD113" s="56" t="str">
        <f t="shared" si="34"/>
        <v/>
      </c>
      <c r="AE113" s="40"/>
      <c r="AF113" s="40"/>
      <c r="AG113" s="40"/>
      <c r="AH113" s="56" t="str">
        <f t="shared" si="35"/>
        <v/>
      </c>
      <c r="AI113" s="54"/>
      <c r="AJ113" s="54"/>
      <c r="AK113" s="54"/>
      <c r="AL113" s="54"/>
      <c r="AM113" s="54"/>
    </row>
    <row r="114" spans="1:39">
      <c r="A114" s="45" t="str" cm="1">
        <f t="array" ref="A114">IF(H114="PROJECT", CHAR(10) &amp; "- " &amp; _xlfn.TEXTJOIN(CHAR(10) &amp; "- ", TRUE, _xlfn._xlws.FILTER($I$9:$I$1000, ($B$9:$B$1000=B114) * ($H$9:$H$1000="Topic"))), "")</f>
        <v/>
      </c>
      <c r="B114" s="45" t="str">
        <f t="shared" si="19"/>
        <v/>
      </c>
      <c r="C114" s="95"/>
      <c r="D114" s="57"/>
      <c r="E114" s="58"/>
      <c r="F114" s="54"/>
      <c r="G114" s="52"/>
      <c r="H114" s="52"/>
      <c r="I114" s="61"/>
      <c r="J114" s="62"/>
      <c r="K114" s="129" t="str">
        <f t="shared" si="20"/>
        <v/>
      </c>
      <c r="L114" s="103" t="str">
        <f t="shared" si="21"/>
        <v/>
      </c>
      <c r="M114" s="52">
        <v>0</v>
      </c>
      <c r="N114" s="102" t="str">
        <f t="shared" si="22"/>
        <v/>
      </c>
      <c r="O114" s="103" t="str">
        <f t="shared" si="23"/>
        <v/>
      </c>
      <c r="P114" s="52">
        <v>0</v>
      </c>
      <c r="Q114" s="102" t="str">
        <f t="shared" si="24"/>
        <v/>
      </c>
      <c r="R114" s="103" t="str">
        <f t="shared" si="25"/>
        <v/>
      </c>
      <c r="S114" s="52">
        <v>0</v>
      </c>
      <c r="T114" s="102" t="str">
        <f t="shared" si="26"/>
        <v/>
      </c>
      <c r="U114" s="103" t="str">
        <f t="shared" si="27"/>
        <v/>
      </c>
      <c r="V114" s="52">
        <v>0</v>
      </c>
      <c r="W114" s="87" t="str">
        <f t="shared" si="28"/>
        <v/>
      </c>
      <c r="X114" s="103" t="str">
        <f t="shared" si="29"/>
        <v/>
      </c>
      <c r="Y114" s="52">
        <v>0</v>
      </c>
      <c r="Z114" s="56" t="str">
        <f t="shared" si="30"/>
        <v/>
      </c>
      <c r="AA114" s="56" t="str">
        <f t="shared" si="31"/>
        <v/>
      </c>
      <c r="AB114" s="56" t="str">
        <f t="shared" si="32"/>
        <v/>
      </c>
      <c r="AC114" s="56" t="str">
        <f t="shared" si="33"/>
        <v/>
      </c>
      <c r="AD114" s="56" t="str">
        <f t="shared" si="34"/>
        <v/>
      </c>
      <c r="AE114" s="40"/>
      <c r="AF114" s="40"/>
      <c r="AG114" s="40"/>
      <c r="AH114" s="56" t="str">
        <f t="shared" si="35"/>
        <v/>
      </c>
      <c r="AI114" s="54"/>
      <c r="AJ114" s="54"/>
      <c r="AK114" s="54"/>
      <c r="AL114" s="54"/>
      <c r="AM114" s="54"/>
    </row>
    <row r="115" spans="1:39">
      <c r="A115" s="45" t="str" cm="1">
        <f t="array" ref="A115">IF(H115="PROJECT", CHAR(10) &amp; "- " &amp; _xlfn.TEXTJOIN(CHAR(10) &amp; "- ", TRUE, _xlfn._xlws.FILTER($I$9:$I$1000, ($B$9:$B$1000=B115) * ($H$9:$H$1000="Topic"))), "")</f>
        <v/>
      </c>
      <c r="B115" s="45" t="str">
        <f t="shared" si="19"/>
        <v/>
      </c>
      <c r="C115" s="95"/>
      <c r="D115" s="46"/>
      <c r="E115" s="58"/>
      <c r="F115" s="67"/>
      <c r="G115" s="53"/>
      <c r="H115" s="53"/>
      <c r="I115" s="50"/>
      <c r="J115" s="51"/>
      <c r="K115" s="129" t="str">
        <f t="shared" si="20"/>
        <v/>
      </c>
      <c r="L115" s="103" t="str">
        <f t="shared" si="21"/>
        <v/>
      </c>
      <c r="M115" s="53">
        <v>0</v>
      </c>
      <c r="N115" s="102" t="str">
        <f t="shared" si="22"/>
        <v/>
      </c>
      <c r="O115" s="103" t="str">
        <f t="shared" si="23"/>
        <v/>
      </c>
      <c r="P115" s="53">
        <v>0</v>
      </c>
      <c r="Q115" s="102" t="str">
        <f t="shared" si="24"/>
        <v/>
      </c>
      <c r="R115" s="103" t="str">
        <f t="shared" si="25"/>
        <v/>
      </c>
      <c r="S115" s="53">
        <v>0</v>
      </c>
      <c r="T115" s="102" t="str">
        <f t="shared" si="26"/>
        <v/>
      </c>
      <c r="U115" s="103" t="str">
        <f t="shared" si="27"/>
        <v/>
      </c>
      <c r="V115" s="53">
        <v>0</v>
      </c>
      <c r="W115" s="87" t="str">
        <f t="shared" si="28"/>
        <v/>
      </c>
      <c r="X115" s="103" t="str">
        <f t="shared" si="29"/>
        <v/>
      </c>
      <c r="Y115" s="53">
        <v>0</v>
      </c>
      <c r="Z115" s="56" t="str">
        <f t="shared" si="30"/>
        <v/>
      </c>
      <c r="AA115" s="56" t="str">
        <f t="shared" si="31"/>
        <v/>
      </c>
      <c r="AB115" s="56" t="str">
        <f t="shared" si="32"/>
        <v/>
      </c>
      <c r="AC115" s="56" t="str">
        <f t="shared" si="33"/>
        <v/>
      </c>
      <c r="AD115" s="56" t="str">
        <f t="shared" si="34"/>
        <v/>
      </c>
      <c r="AE115" s="40"/>
      <c r="AF115" s="40"/>
      <c r="AG115" s="40"/>
      <c r="AH115" s="56" t="str">
        <f t="shared" si="35"/>
        <v/>
      </c>
      <c r="AI115" s="54"/>
      <c r="AJ115" s="54"/>
      <c r="AK115" s="54"/>
      <c r="AL115" s="54"/>
      <c r="AM115" s="54"/>
    </row>
    <row r="116" spans="1:39">
      <c r="A116" s="45" t="str" cm="1">
        <f t="array" ref="A116">IF(H116="PROJECT", CHAR(10) &amp; "- " &amp; _xlfn.TEXTJOIN(CHAR(10) &amp; "- ", TRUE, _xlfn._xlws.FILTER($I$9:$I$1000, ($B$9:$B$1000=B116) * ($H$9:$H$1000="Topic"))), "")</f>
        <v/>
      </c>
      <c r="B116" s="45" t="str">
        <f t="shared" si="19"/>
        <v/>
      </c>
      <c r="C116" s="95"/>
      <c r="D116" s="57"/>
      <c r="E116" s="58"/>
      <c r="F116" s="54"/>
      <c r="G116" s="52"/>
      <c r="H116" s="52"/>
      <c r="I116" s="61"/>
      <c r="J116" s="62"/>
      <c r="K116" s="129" t="str">
        <f t="shared" si="20"/>
        <v/>
      </c>
      <c r="L116" s="103" t="str">
        <f t="shared" si="21"/>
        <v/>
      </c>
      <c r="M116" s="52">
        <v>0</v>
      </c>
      <c r="N116" s="102" t="str">
        <f t="shared" si="22"/>
        <v/>
      </c>
      <c r="O116" s="103" t="str">
        <f t="shared" si="23"/>
        <v/>
      </c>
      <c r="P116" s="52">
        <v>0</v>
      </c>
      <c r="Q116" s="102" t="str">
        <f t="shared" si="24"/>
        <v/>
      </c>
      <c r="R116" s="103" t="str">
        <f t="shared" si="25"/>
        <v/>
      </c>
      <c r="S116" s="52">
        <v>0</v>
      </c>
      <c r="T116" s="102" t="str">
        <f t="shared" si="26"/>
        <v/>
      </c>
      <c r="U116" s="103" t="str">
        <f t="shared" si="27"/>
        <v/>
      </c>
      <c r="V116" s="52">
        <v>0</v>
      </c>
      <c r="W116" s="87" t="str">
        <f t="shared" si="28"/>
        <v/>
      </c>
      <c r="X116" s="103" t="str">
        <f t="shared" si="29"/>
        <v/>
      </c>
      <c r="Y116" s="52">
        <v>0</v>
      </c>
      <c r="Z116" s="56" t="str">
        <f t="shared" si="30"/>
        <v/>
      </c>
      <c r="AA116" s="56" t="str">
        <f t="shared" si="31"/>
        <v/>
      </c>
      <c r="AB116" s="56" t="str">
        <f t="shared" si="32"/>
        <v/>
      </c>
      <c r="AC116" s="56" t="str">
        <f t="shared" si="33"/>
        <v/>
      </c>
      <c r="AD116" s="56" t="str">
        <f t="shared" si="34"/>
        <v/>
      </c>
      <c r="AE116" s="40"/>
      <c r="AF116" s="40"/>
      <c r="AG116" s="40"/>
      <c r="AH116" s="56" t="str">
        <f t="shared" si="35"/>
        <v/>
      </c>
      <c r="AI116" s="54"/>
      <c r="AJ116" s="54"/>
      <c r="AK116" s="54"/>
      <c r="AL116" s="54"/>
      <c r="AM116" s="54"/>
    </row>
    <row r="117" spans="1:39">
      <c r="A117" s="45" t="str" cm="1">
        <f t="array" ref="A117">IF(H117="PROJECT", CHAR(10) &amp; "- " &amp; _xlfn.TEXTJOIN(CHAR(10) &amp; "- ", TRUE, _xlfn._xlws.FILTER($I$9:$I$1000, ($B$9:$B$1000=B117) * ($H$9:$H$1000="Topic"))), "")</f>
        <v/>
      </c>
      <c r="B117" s="45" t="str">
        <f t="shared" si="19"/>
        <v/>
      </c>
      <c r="C117" s="95"/>
      <c r="D117" s="46"/>
      <c r="E117" s="58"/>
      <c r="F117" s="67"/>
      <c r="G117" s="53"/>
      <c r="H117" s="53"/>
      <c r="I117" s="50"/>
      <c r="J117" s="51"/>
      <c r="K117" s="129" t="str">
        <f t="shared" si="20"/>
        <v/>
      </c>
      <c r="L117" s="103" t="str">
        <f t="shared" si="21"/>
        <v/>
      </c>
      <c r="M117" s="53">
        <v>0</v>
      </c>
      <c r="N117" s="102" t="str">
        <f t="shared" si="22"/>
        <v/>
      </c>
      <c r="O117" s="103" t="str">
        <f t="shared" si="23"/>
        <v/>
      </c>
      <c r="P117" s="53">
        <v>0</v>
      </c>
      <c r="Q117" s="102" t="str">
        <f t="shared" si="24"/>
        <v/>
      </c>
      <c r="R117" s="103" t="str">
        <f t="shared" si="25"/>
        <v/>
      </c>
      <c r="S117" s="53">
        <v>0</v>
      </c>
      <c r="T117" s="102" t="str">
        <f t="shared" si="26"/>
        <v/>
      </c>
      <c r="U117" s="103" t="str">
        <f t="shared" si="27"/>
        <v/>
      </c>
      <c r="V117" s="53">
        <v>0</v>
      </c>
      <c r="W117" s="87" t="str">
        <f t="shared" si="28"/>
        <v/>
      </c>
      <c r="X117" s="103" t="str">
        <f t="shared" si="29"/>
        <v/>
      </c>
      <c r="Y117" s="53">
        <v>0</v>
      </c>
      <c r="Z117" s="56" t="str">
        <f t="shared" si="30"/>
        <v/>
      </c>
      <c r="AA117" s="56" t="str">
        <f t="shared" si="31"/>
        <v/>
      </c>
      <c r="AB117" s="56" t="str">
        <f t="shared" si="32"/>
        <v/>
      </c>
      <c r="AC117" s="56" t="str">
        <f t="shared" si="33"/>
        <v/>
      </c>
      <c r="AD117" s="56" t="str">
        <f t="shared" si="34"/>
        <v/>
      </c>
      <c r="AE117" s="40"/>
      <c r="AF117" s="40"/>
      <c r="AG117" s="40"/>
      <c r="AH117" s="56" t="str">
        <f t="shared" si="35"/>
        <v/>
      </c>
      <c r="AI117" s="54"/>
      <c r="AJ117" s="54"/>
      <c r="AK117" s="54"/>
      <c r="AL117" s="54"/>
      <c r="AM117" s="54"/>
    </row>
    <row r="118" spans="1:39">
      <c r="A118" s="45" t="str" cm="1">
        <f t="array" ref="A118">IF(H118="PROJECT", CHAR(10) &amp; "- " &amp; _xlfn.TEXTJOIN(CHAR(10) &amp; "- ", TRUE, _xlfn._xlws.FILTER($I$9:$I$1000, ($B$9:$B$1000=B118) * ($H$9:$H$1000="Topic"))), "")</f>
        <v/>
      </c>
      <c r="B118" s="45" t="str">
        <f t="shared" si="19"/>
        <v/>
      </c>
      <c r="C118" s="95"/>
      <c r="D118" s="57"/>
      <c r="E118" s="58"/>
      <c r="F118" s="54"/>
      <c r="G118" s="52"/>
      <c r="H118" s="52"/>
      <c r="I118" s="61"/>
      <c r="J118" s="62"/>
      <c r="K118" s="129" t="str">
        <f t="shared" si="20"/>
        <v/>
      </c>
      <c r="L118" s="103" t="str">
        <f t="shared" si="21"/>
        <v/>
      </c>
      <c r="M118" s="52">
        <v>0</v>
      </c>
      <c r="N118" s="102" t="str">
        <f t="shared" si="22"/>
        <v/>
      </c>
      <c r="O118" s="103" t="str">
        <f t="shared" si="23"/>
        <v/>
      </c>
      <c r="P118" s="52">
        <v>0</v>
      </c>
      <c r="Q118" s="102" t="str">
        <f t="shared" si="24"/>
        <v/>
      </c>
      <c r="R118" s="103" t="str">
        <f t="shared" si="25"/>
        <v/>
      </c>
      <c r="S118" s="52">
        <v>0</v>
      </c>
      <c r="T118" s="102" t="str">
        <f t="shared" si="26"/>
        <v/>
      </c>
      <c r="U118" s="103" t="str">
        <f t="shared" si="27"/>
        <v/>
      </c>
      <c r="V118" s="52">
        <v>0</v>
      </c>
      <c r="W118" s="87" t="str">
        <f t="shared" si="28"/>
        <v/>
      </c>
      <c r="X118" s="103" t="str">
        <f t="shared" si="29"/>
        <v/>
      </c>
      <c r="Y118" s="52">
        <v>0</v>
      </c>
      <c r="Z118" s="56" t="str">
        <f t="shared" si="30"/>
        <v/>
      </c>
      <c r="AA118" s="56" t="str">
        <f t="shared" si="31"/>
        <v/>
      </c>
      <c r="AB118" s="56" t="str">
        <f t="shared" si="32"/>
        <v/>
      </c>
      <c r="AC118" s="56" t="str">
        <f t="shared" si="33"/>
        <v/>
      </c>
      <c r="AD118" s="56" t="str">
        <f t="shared" si="34"/>
        <v/>
      </c>
      <c r="AE118" s="40"/>
      <c r="AF118" s="40"/>
      <c r="AG118" s="40"/>
      <c r="AH118" s="56" t="str">
        <f t="shared" si="35"/>
        <v/>
      </c>
      <c r="AI118" s="54"/>
      <c r="AJ118" s="54"/>
      <c r="AK118" s="54"/>
      <c r="AL118" s="54"/>
      <c r="AM118" s="54"/>
    </row>
    <row r="119" spans="1:39">
      <c r="A119" s="45" t="str" cm="1">
        <f t="array" ref="A119">IF(H119="PROJECT", CHAR(10) &amp; "- " &amp; _xlfn.TEXTJOIN(CHAR(10) &amp; "- ", TRUE, _xlfn._xlws.FILTER($I$9:$I$1000, ($B$9:$B$1000=B119) * ($H$9:$H$1000="Topic"))), "")</f>
        <v/>
      </c>
      <c r="B119" s="45" t="str">
        <f t="shared" si="19"/>
        <v/>
      </c>
      <c r="C119" s="95"/>
      <c r="D119" s="46"/>
      <c r="E119" s="58"/>
      <c r="F119" s="67"/>
      <c r="G119" s="53"/>
      <c r="H119" s="53"/>
      <c r="I119" s="50"/>
      <c r="J119" s="51"/>
      <c r="K119" s="129" t="str">
        <f t="shared" si="20"/>
        <v/>
      </c>
      <c r="L119" s="103" t="str">
        <f t="shared" si="21"/>
        <v/>
      </c>
      <c r="M119" s="53">
        <v>0</v>
      </c>
      <c r="N119" s="102" t="str">
        <f t="shared" si="22"/>
        <v/>
      </c>
      <c r="O119" s="103" t="str">
        <f t="shared" si="23"/>
        <v/>
      </c>
      <c r="P119" s="53">
        <v>0</v>
      </c>
      <c r="Q119" s="102" t="str">
        <f t="shared" si="24"/>
        <v/>
      </c>
      <c r="R119" s="103" t="str">
        <f t="shared" si="25"/>
        <v/>
      </c>
      <c r="S119" s="53">
        <v>0</v>
      </c>
      <c r="T119" s="102" t="str">
        <f t="shared" si="26"/>
        <v/>
      </c>
      <c r="U119" s="103" t="str">
        <f t="shared" si="27"/>
        <v/>
      </c>
      <c r="V119" s="53">
        <v>0</v>
      </c>
      <c r="W119" s="87" t="str">
        <f t="shared" si="28"/>
        <v/>
      </c>
      <c r="X119" s="103" t="str">
        <f t="shared" si="29"/>
        <v/>
      </c>
      <c r="Y119" s="53">
        <v>0</v>
      </c>
      <c r="Z119" s="56" t="str">
        <f t="shared" si="30"/>
        <v/>
      </c>
      <c r="AA119" s="56" t="str">
        <f t="shared" si="31"/>
        <v/>
      </c>
      <c r="AB119" s="56" t="str">
        <f t="shared" si="32"/>
        <v/>
      </c>
      <c r="AC119" s="56" t="str">
        <f t="shared" si="33"/>
        <v/>
      </c>
      <c r="AD119" s="56" t="str">
        <f t="shared" si="34"/>
        <v/>
      </c>
      <c r="AE119" s="40"/>
      <c r="AF119" s="40"/>
      <c r="AG119" s="40"/>
      <c r="AH119" s="56" t="str">
        <f t="shared" si="35"/>
        <v/>
      </c>
      <c r="AI119" s="54"/>
      <c r="AJ119" s="54"/>
      <c r="AK119" s="54"/>
      <c r="AL119" s="54"/>
      <c r="AM119" s="54"/>
    </row>
    <row r="120" spans="1:39">
      <c r="A120" s="45" t="str" cm="1">
        <f t="array" ref="A120">IF(H120="PROJECT", CHAR(10) &amp; "- " &amp; _xlfn.TEXTJOIN(CHAR(10) &amp; "- ", TRUE, _xlfn._xlws.FILTER($I$9:$I$1000, ($B$9:$B$1000=B120) * ($H$9:$H$1000="Topic"))), "")</f>
        <v/>
      </c>
      <c r="B120" s="45" t="str">
        <f t="shared" si="19"/>
        <v/>
      </c>
      <c r="C120" s="95"/>
      <c r="D120" s="57"/>
      <c r="E120" s="58"/>
      <c r="F120" s="54"/>
      <c r="G120" s="52"/>
      <c r="H120" s="52"/>
      <c r="I120" s="61"/>
      <c r="J120" s="62"/>
      <c r="K120" s="129" t="str">
        <f t="shared" si="20"/>
        <v/>
      </c>
      <c r="L120" s="103" t="str">
        <f t="shared" si="21"/>
        <v/>
      </c>
      <c r="M120" s="52">
        <v>0</v>
      </c>
      <c r="N120" s="102" t="str">
        <f t="shared" si="22"/>
        <v/>
      </c>
      <c r="O120" s="103" t="str">
        <f t="shared" si="23"/>
        <v/>
      </c>
      <c r="P120" s="52">
        <v>0</v>
      </c>
      <c r="Q120" s="102" t="str">
        <f t="shared" si="24"/>
        <v/>
      </c>
      <c r="R120" s="103" t="str">
        <f t="shared" si="25"/>
        <v/>
      </c>
      <c r="S120" s="52">
        <v>0</v>
      </c>
      <c r="T120" s="102" t="str">
        <f t="shared" si="26"/>
        <v/>
      </c>
      <c r="U120" s="103" t="str">
        <f t="shared" si="27"/>
        <v/>
      </c>
      <c r="V120" s="52">
        <v>0</v>
      </c>
      <c r="W120" s="87" t="str">
        <f t="shared" si="28"/>
        <v/>
      </c>
      <c r="X120" s="103" t="str">
        <f t="shared" si="29"/>
        <v/>
      </c>
      <c r="Y120" s="52">
        <v>0</v>
      </c>
      <c r="Z120" s="56" t="str">
        <f t="shared" si="30"/>
        <v/>
      </c>
      <c r="AA120" s="56" t="str">
        <f t="shared" si="31"/>
        <v/>
      </c>
      <c r="AB120" s="56" t="str">
        <f t="shared" si="32"/>
        <v/>
      </c>
      <c r="AC120" s="56" t="str">
        <f t="shared" si="33"/>
        <v/>
      </c>
      <c r="AD120" s="56" t="str">
        <f t="shared" si="34"/>
        <v/>
      </c>
      <c r="AE120" s="40"/>
      <c r="AF120" s="40"/>
      <c r="AG120" s="40"/>
      <c r="AH120" s="56" t="str">
        <f t="shared" si="35"/>
        <v/>
      </c>
      <c r="AI120" s="54"/>
      <c r="AJ120" s="54"/>
      <c r="AK120" s="54"/>
      <c r="AL120" s="54"/>
      <c r="AM120" s="54"/>
    </row>
    <row r="121" spans="1:39">
      <c r="A121" s="45" t="str" cm="1">
        <f t="array" ref="A121">IF(H121="PROJECT", CHAR(10) &amp; "- " &amp; _xlfn.TEXTJOIN(CHAR(10) &amp; "- ", TRUE, _xlfn._xlws.FILTER($I$9:$I$1000, ($B$9:$B$1000=B121) * ($H$9:$H$1000="Topic"))), "")</f>
        <v/>
      </c>
      <c r="B121" s="45" t="str">
        <f t="shared" si="19"/>
        <v/>
      </c>
      <c r="C121" s="95"/>
      <c r="D121" s="46"/>
      <c r="E121" s="58"/>
      <c r="F121" s="67"/>
      <c r="G121" s="53"/>
      <c r="H121" s="53"/>
      <c r="I121" s="50"/>
      <c r="J121" s="51"/>
      <c r="K121" s="129" t="str">
        <f t="shared" si="20"/>
        <v/>
      </c>
      <c r="L121" s="103" t="str">
        <f t="shared" si="21"/>
        <v/>
      </c>
      <c r="M121" s="53">
        <v>0</v>
      </c>
      <c r="N121" s="102" t="str">
        <f t="shared" si="22"/>
        <v/>
      </c>
      <c r="O121" s="103" t="str">
        <f t="shared" si="23"/>
        <v/>
      </c>
      <c r="P121" s="53">
        <v>0</v>
      </c>
      <c r="Q121" s="102" t="str">
        <f t="shared" si="24"/>
        <v/>
      </c>
      <c r="R121" s="103" t="str">
        <f t="shared" si="25"/>
        <v/>
      </c>
      <c r="S121" s="53">
        <v>0</v>
      </c>
      <c r="T121" s="102" t="str">
        <f t="shared" si="26"/>
        <v/>
      </c>
      <c r="U121" s="103" t="str">
        <f t="shared" si="27"/>
        <v/>
      </c>
      <c r="V121" s="53">
        <v>0</v>
      </c>
      <c r="W121" s="87" t="str">
        <f t="shared" si="28"/>
        <v/>
      </c>
      <c r="X121" s="103" t="str">
        <f t="shared" si="29"/>
        <v/>
      </c>
      <c r="Y121" s="53">
        <v>0</v>
      </c>
      <c r="Z121" s="56" t="str">
        <f t="shared" si="30"/>
        <v/>
      </c>
      <c r="AA121" s="56" t="str">
        <f t="shared" si="31"/>
        <v/>
      </c>
      <c r="AB121" s="56" t="str">
        <f t="shared" si="32"/>
        <v/>
      </c>
      <c r="AC121" s="56" t="str">
        <f t="shared" si="33"/>
        <v/>
      </c>
      <c r="AD121" s="56" t="str">
        <f t="shared" si="34"/>
        <v/>
      </c>
      <c r="AE121" s="40"/>
      <c r="AF121" s="40"/>
      <c r="AG121" s="40"/>
      <c r="AH121" s="56" t="str">
        <f t="shared" si="35"/>
        <v/>
      </c>
      <c r="AI121" s="54"/>
      <c r="AJ121" s="54"/>
      <c r="AK121" s="54"/>
      <c r="AL121" s="54"/>
      <c r="AM121" s="54"/>
    </row>
    <row r="122" spans="1:39">
      <c r="A122" s="45" t="str" cm="1">
        <f t="array" ref="A122">IF(H122="PROJECT", CHAR(10) &amp; "- " &amp; _xlfn.TEXTJOIN(CHAR(10) &amp; "- ", TRUE, _xlfn._xlws.FILTER($I$9:$I$1000, ($B$9:$B$1000=B122) * ($H$9:$H$1000="Topic"))), "")</f>
        <v/>
      </c>
      <c r="B122" s="45" t="str">
        <f t="shared" si="19"/>
        <v/>
      </c>
      <c r="C122" s="95"/>
      <c r="D122" s="57"/>
      <c r="E122" s="58"/>
      <c r="F122" s="54"/>
      <c r="G122" s="52"/>
      <c r="H122" s="52"/>
      <c r="I122" s="61"/>
      <c r="J122" s="62"/>
      <c r="K122" s="129" t="str">
        <f t="shared" si="20"/>
        <v/>
      </c>
      <c r="L122" s="103" t="str">
        <f t="shared" si="21"/>
        <v/>
      </c>
      <c r="M122" s="52">
        <v>0</v>
      </c>
      <c r="N122" s="102" t="str">
        <f t="shared" si="22"/>
        <v/>
      </c>
      <c r="O122" s="103" t="str">
        <f t="shared" si="23"/>
        <v/>
      </c>
      <c r="P122" s="52">
        <v>0</v>
      </c>
      <c r="Q122" s="102" t="str">
        <f t="shared" si="24"/>
        <v/>
      </c>
      <c r="R122" s="103" t="str">
        <f t="shared" si="25"/>
        <v/>
      </c>
      <c r="S122" s="52">
        <v>0</v>
      </c>
      <c r="T122" s="102" t="str">
        <f t="shared" si="26"/>
        <v/>
      </c>
      <c r="U122" s="103" t="str">
        <f t="shared" si="27"/>
        <v/>
      </c>
      <c r="V122" s="52">
        <v>0</v>
      </c>
      <c r="W122" s="87" t="str">
        <f t="shared" si="28"/>
        <v/>
      </c>
      <c r="X122" s="103" t="str">
        <f t="shared" si="29"/>
        <v/>
      </c>
      <c r="Y122" s="52">
        <v>0</v>
      </c>
      <c r="Z122" s="56" t="str">
        <f t="shared" si="30"/>
        <v/>
      </c>
      <c r="AA122" s="56" t="str">
        <f t="shared" si="31"/>
        <v/>
      </c>
      <c r="AB122" s="56" t="str">
        <f t="shared" si="32"/>
        <v/>
      </c>
      <c r="AC122" s="56" t="str">
        <f t="shared" si="33"/>
        <v/>
      </c>
      <c r="AD122" s="56" t="str">
        <f t="shared" si="34"/>
        <v/>
      </c>
      <c r="AE122" s="40"/>
      <c r="AF122" s="40"/>
      <c r="AG122" s="40"/>
      <c r="AH122" s="56" t="str">
        <f t="shared" si="35"/>
        <v/>
      </c>
      <c r="AI122" s="54"/>
      <c r="AJ122" s="54"/>
      <c r="AK122" s="54"/>
      <c r="AL122" s="54"/>
      <c r="AM122" s="54"/>
    </row>
    <row r="123" spans="1:39">
      <c r="A123" s="45" t="str" cm="1">
        <f t="array" ref="A123">IF(H123="PROJECT", CHAR(10) &amp; "- " &amp; _xlfn.TEXTJOIN(CHAR(10) &amp; "- ", TRUE, _xlfn._xlws.FILTER($I$9:$I$1000, ($B$9:$B$1000=B123) * ($H$9:$H$1000="Topic"))), "")</f>
        <v/>
      </c>
      <c r="B123" s="45" t="str">
        <f t="shared" si="19"/>
        <v/>
      </c>
      <c r="C123" s="95"/>
      <c r="D123" s="46"/>
      <c r="E123" s="58"/>
      <c r="F123" s="67"/>
      <c r="G123" s="53"/>
      <c r="H123" s="53"/>
      <c r="I123" s="50"/>
      <c r="J123" s="51"/>
      <c r="K123" s="129" t="str">
        <f t="shared" si="20"/>
        <v/>
      </c>
      <c r="L123" s="103" t="str">
        <f t="shared" si="21"/>
        <v/>
      </c>
      <c r="M123" s="53">
        <v>0</v>
      </c>
      <c r="N123" s="102" t="str">
        <f t="shared" si="22"/>
        <v/>
      </c>
      <c r="O123" s="103" t="str">
        <f t="shared" si="23"/>
        <v/>
      </c>
      <c r="P123" s="53">
        <v>0</v>
      </c>
      <c r="Q123" s="102" t="str">
        <f t="shared" si="24"/>
        <v/>
      </c>
      <c r="R123" s="103" t="str">
        <f t="shared" si="25"/>
        <v/>
      </c>
      <c r="S123" s="53">
        <v>0</v>
      </c>
      <c r="T123" s="102" t="str">
        <f t="shared" si="26"/>
        <v/>
      </c>
      <c r="U123" s="103" t="str">
        <f t="shared" si="27"/>
        <v/>
      </c>
      <c r="V123" s="53">
        <v>0</v>
      </c>
      <c r="W123" s="87" t="str">
        <f t="shared" si="28"/>
        <v/>
      </c>
      <c r="X123" s="103" t="str">
        <f t="shared" si="29"/>
        <v/>
      </c>
      <c r="Y123" s="53">
        <v>0</v>
      </c>
      <c r="Z123" s="56" t="str">
        <f t="shared" si="30"/>
        <v/>
      </c>
      <c r="AA123" s="56" t="str">
        <f t="shared" si="31"/>
        <v/>
      </c>
      <c r="AB123" s="56" t="str">
        <f t="shared" si="32"/>
        <v/>
      </c>
      <c r="AC123" s="56" t="str">
        <f t="shared" si="33"/>
        <v/>
      </c>
      <c r="AD123" s="56" t="str">
        <f t="shared" si="34"/>
        <v/>
      </c>
      <c r="AE123" s="40"/>
      <c r="AF123" s="40"/>
      <c r="AG123" s="40"/>
      <c r="AH123" s="56" t="str">
        <f t="shared" si="35"/>
        <v/>
      </c>
      <c r="AI123" s="54"/>
      <c r="AJ123" s="54"/>
      <c r="AK123" s="54"/>
      <c r="AL123" s="54"/>
      <c r="AM123" s="54"/>
    </row>
    <row r="124" spans="1:39">
      <c r="A124" s="45" t="str" cm="1">
        <f t="array" ref="A124">IF(H124="PROJECT", CHAR(10) &amp; "- " &amp; _xlfn.TEXTJOIN(CHAR(10) &amp; "- ", TRUE, _xlfn._xlws.FILTER($I$9:$I$1000, ($B$9:$B$1000=B124) * ($H$9:$H$1000="Topic"))), "")</f>
        <v/>
      </c>
      <c r="B124" s="45" t="str">
        <f t="shared" si="19"/>
        <v/>
      </c>
      <c r="C124" s="95"/>
      <c r="D124" s="57"/>
      <c r="E124" s="58"/>
      <c r="F124" s="54"/>
      <c r="G124" s="52"/>
      <c r="H124" s="52"/>
      <c r="I124" s="61"/>
      <c r="J124" s="62"/>
      <c r="K124" s="129" t="str">
        <f t="shared" si="20"/>
        <v/>
      </c>
      <c r="L124" s="103" t="str">
        <f t="shared" si="21"/>
        <v/>
      </c>
      <c r="M124" s="52">
        <v>0</v>
      </c>
      <c r="N124" s="102" t="str">
        <f t="shared" si="22"/>
        <v/>
      </c>
      <c r="O124" s="103" t="str">
        <f t="shared" si="23"/>
        <v/>
      </c>
      <c r="P124" s="52">
        <v>0</v>
      </c>
      <c r="Q124" s="102" t="str">
        <f t="shared" si="24"/>
        <v/>
      </c>
      <c r="R124" s="103" t="str">
        <f t="shared" si="25"/>
        <v/>
      </c>
      <c r="S124" s="52">
        <v>0</v>
      </c>
      <c r="T124" s="102" t="str">
        <f t="shared" si="26"/>
        <v/>
      </c>
      <c r="U124" s="103" t="str">
        <f t="shared" si="27"/>
        <v/>
      </c>
      <c r="V124" s="52">
        <v>0</v>
      </c>
      <c r="W124" s="87" t="str">
        <f t="shared" si="28"/>
        <v/>
      </c>
      <c r="X124" s="103" t="str">
        <f t="shared" si="29"/>
        <v/>
      </c>
      <c r="Y124" s="52">
        <v>0</v>
      </c>
      <c r="Z124" s="56" t="str">
        <f t="shared" si="30"/>
        <v/>
      </c>
      <c r="AA124" s="56" t="str">
        <f t="shared" si="31"/>
        <v/>
      </c>
      <c r="AB124" s="56" t="str">
        <f t="shared" si="32"/>
        <v/>
      </c>
      <c r="AC124" s="56" t="str">
        <f t="shared" si="33"/>
        <v/>
      </c>
      <c r="AD124" s="56" t="str">
        <f t="shared" si="34"/>
        <v/>
      </c>
      <c r="AE124" s="40"/>
      <c r="AF124" s="40"/>
      <c r="AG124" s="40"/>
      <c r="AH124" s="56" t="str">
        <f t="shared" si="35"/>
        <v/>
      </c>
      <c r="AI124" s="54"/>
      <c r="AJ124" s="54"/>
      <c r="AK124" s="54"/>
      <c r="AL124" s="54"/>
      <c r="AM124" s="54"/>
    </row>
    <row r="125" spans="1:39">
      <c r="A125" s="45" t="str" cm="1">
        <f t="array" ref="A125">IF(H125="PROJECT", CHAR(10) &amp; "- " &amp; _xlfn.TEXTJOIN(CHAR(10) &amp; "- ", TRUE, _xlfn._xlws.FILTER($I$9:$I$1000, ($B$9:$B$1000=B125) * ($H$9:$H$1000="Topic"))), "")</f>
        <v/>
      </c>
      <c r="B125" s="45" t="str">
        <f t="shared" si="19"/>
        <v/>
      </c>
      <c r="C125" s="95"/>
      <c r="D125" s="46"/>
      <c r="E125" s="58"/>
      <c r="F125" s="67"/>
      <c r="G125" s="53"/>
      <c r="H125" s="53"/>
      <c r="I125" s="50"/>
      <c r="J125" s="51"/>
      <c r="K125" s="129" t="str">
        <f t="shared" si="20"/>
        <v/>
      </c>
      <c r="L125" s="103" t="str">
        <f t="shared" si="21"/>
        <v/>
      </c>
      <c r="M125" s="53">
        <v>0</v>
      </c>
      <c r="N125" s="102" t="str">
        <f t="shared" si="22"/>
        <v/>
      </c>
      <c r="O125" s="103" t="str">
        <f t="shared" si="23"/>
        <v/>
      </c>
      <c r="P125" s="53">
        <v>0</v>
      </c>
      <c r="Q125" s="102" t="str">
        <f t="shared" si="24"/>
        <v/>
      </c>
      <c r="R125" s="103" t="str">
        <f t="shared" si="25"/>
        <v/>
      </c>
      <c r="S125" s="53">
        <v>0</v>
      </c>
      <c r="T125" s="102" t="str">
        <f t="shared" si="26"/>
        <v/>
      </c>
      <c r="U125" s="103" t="str">
        <f t="shared" si="27"/>
        <v/>
      </c>
      <c r="V125" s="53">
        <v>0</v>
      </c>
      <c r="W125" s="87" t="str">
        <f t="shared" si="28"/>
        <v/>
      </c>
      <c r="X125" s="103" t="str">
        <f t="shared" si="29"/>
        <v/>
      </c>
      <c r="Y125" s="53">
        <v>0</v>
      </c>
      <c r="Z125" s="56" t="str">
        <f t="shared" si="30"/>
        <v/>
      </c>
      <c r="AA125" s="56" t="str">
        <f t="shared" si="31"/>
        <v/>
      </c>
      <c r="AB125" s="56" t="str">
        <f t="shared" si="32"/>
        <v/>
      </c>
      <c r="AC125" s="56" t="str">
        <f t="shared" si="33"/>
        <v/>
      </c>
      <c r="AD125" s="56" t="str">
        <f t="shared" si="34"/>
        <v/>
      </c>
      <c r="AE125" s="40"/>
      <c r="AF125" s="40"/>
      <c r="AG125" s="40"/>
      <c r="AH125" s="56" t="str">
        <f t="shared" si="35"/>
        <v/>
      </c>
      <c r="AI125" s="54"/>
      <c r="AJ125" s="54"/>
      <c r="AK125" s="54"/>
      <c r="AL125" s="54"/>
      <c r="AM125" s="54"/>
    </row>
    <row r="126" spans="1:39">
      <c r="A126" s="45" t="str" cm="1">
        <f t="array" ref="A126">IF(H126="PROJECT", CHAR(10) &amp; "- " &amp; _xlfn.TEXTJOIN(CHAR(10) &amp; "- ", TRUE, _xlfn._xlws.FILTER($I$9:$I$1000, ($B$9:$B$1000=B126) * ($H$9:$H$1000="Topic"))), "")</f>
        <v/>
      </c>
      <c r="B126" s="45" t="str">
        <f t="shared" si="19"/>
        <v/>
      </c>
      <c r="C126" s="95"/>
      <c r="D126" s="57"/>
      <c r="E126" s="58"/>
      <c r="F126" s="54"/>
      <c r="G126" s="52"/>
      <c r="H126" s="52"/>
      <c r="I126" s="61"/>
      <c r="J126" s="62"/>
      <c r="K126" s="129" t="str">
        <f t="shared" si="20"/>
        <v/>
      </c>
      <c r="L126" s="103" t="str">
        <f t="shared" si="21"/>
        <v/>
      </c>
      <c r="M126" s="52">
        <v>0</v>
      </c>
      <c r="N126" s="102" t="str">
        <f t="shared" si="22"/>
        <v/>
      </c>
      <c r="O126" s="103" t="str">
        <f t="shared" si="23"/>
        <v/>
      </c>
      <c r="P126" s="52">
        <v>0</v>
      </c>
      <c r="Q126" s="102" t="str">
        <f t="shared" si="24"/>
        <v/>
      </c>
      <c r="R126" s="103" t="str">
        <f t="shared" si="25"/>
        <v/>
      </c>
      <c r="S126" s="52">
        <v>0</v>
      </c>
      <c r="T126" s="102" t="str">
        <f t="shared" si="26"/>
        <v/>
      </c>
      <c r="U126" s="103" t="str">
        <f t="shared" si="27"/>
        <v/>
      </c>
      <c r="V126" s="52">
        <v>0</v>
      </c>
      <c r="W126" s="87" t="str">
        <f t="shared" si="28"/>
        <v/>
      </c>
      <c r="X126" s="103" t="str">
        <f t="shared" si="29"/>
        <v/>
      </c>
      <c r="Y126" s="52">
        <v>0</v>
      </c>
      <c r="Z126" s="56" t="str">
        <f t="shared" si="30"/>
        <v/>
      </c>
      <c r="AA126" s="56" t="str">
        <f t="shared" si="31"/>
        <v/>
      </c>
      <c r="AB126" s="56" t="str">
        <f t="shared" si="32"/>
        <v/>
      </c>
      <c r="AC126" s="56" t="str">
        <f t="shared" si="33"/>
        <v/>
      </c>
      <c r="AD126" s="56" t="str">
        <f t="shared" si="34"/>
        <v/>
      </c>
      <c r="AE126" s="40"/>
      <c r="AF126" s="40"/>
      <c r="AG126" s="40"/>
      <c r="AH126" s="56" t="str">
        <f t="shared" si="35"/>
        <v/>
      </c>
      <c r="AI126" s="54"/>
      <c r="AJ126" s="54"/>
      <c r="AK126" s="54"/>
      <c r="AL126" s="54"/>
      <c r="AM126" s="54"/>
    </row>
    <row r="127" spans="1:39">
      <c r="A127" s="45" t="str" cm="1">
        <f t="array" ref="A127">IF(H127="PROJECT", CHAR(10) &amp; "- " &amp; _xlfn.TEXTJOIN(CHAR(10) &amp; "- ", TRUE, _xlfn._xlws.FILTER($I$9:$I$1000, ($B$9:$B$1000=B127) * ($H$9:$H$1000="Topic"))), "")</f>
        <v/>
      </c>
      <c r="B127" s="45" t="str">
        <f t="shared" si="19"/>
        <v/>
      </c>
      <c r="C127" s="95"/>
      <c r="D127" s="46"/>
      <c r="E127" s="58"/>
      <c r="F127" s="67"/>
      <c r="G127" s="53"/>
      <c r="H127" s="53"/>
      <c r="I127" s="50"/>
      <c r="J127" s="51"/>
      <c r="K127" s="129" t="str">
        <f t="shared" si="20"/>
        <v/>
      </c>
      <c r="L127" s="103" t="str">
        <f t="shared" si="21"/>
        <v/>
      </c>
      <c r="M127" s="53">
        <v>0</v>
      </c>
      <c r="N127" s="102" t="str">
        <f t="shared" si="22"/>
        <v/>
      </c>
      <c r="O127" s="103" t="str">
        <f t="shared" si="23"/>
        <v/>
      </c>
      <c r="P127" s="53">
        <v>0</v>
      </c>
      <c r="Q127" s="102" t="str">
        <f t="shared" si="24"/>
        <v/>
      </c>
      <c r="R127" s="103" t="str">
        <f t="shared" si="25"/>
        <v/>
      </c>
      <c r="S127" s="53">
        <v>0</v>
      </c>
      <c r="T127" s="102" t="str">
        <f t="shared" si="26"/>
        <v/>
      </c>
      <c r="U127" s="103" t="str">
        <f t="shared" si="27"/>
        <v/>
      </c>
      <c r="V127" s="53">
        <v>0</v>
      </c>
      <c r="W127" s="87" t="str">
        <f t="shared" si="28"/>
        <v/>
      </c>
      <c r="X127" s="103" t="str">
        <f t="shared" si="29"/>
        <v/>
      </c>
      <c r="Y127" s="53">
        <v>0</v>
      </c>
      <c r="Z127" s="56" t="str">
        <f t="shared" si="30"/>
        <v/>
      </c>
      <c r="AA127" s="56" t="str">
        <f t="shared" si="31"/>
        <v/>
      </c>
      <c r="AB127" s="56" t="str">
        <f t="shared" si="32"/>
        <v/>
      </c>
      <c r="AC127" s="56" t="str">
        <f t="shared" si="33"/>
        <v/>
      </c>
      <c r="AD127" s="56" t="str">
        <f t="shared" si="34"/>
        <v/>
      </c>
      <c r="AE127" s="40"/>
      <c r="AF127" s="40"/>
      <c r="AG127" s="40"/>
      <c r="AH127" s="56" t="str">
        <f t="shared" si="35"/>
        <v/>
      </c>
      <c r="AI127" s="54"/>
      <c r="AJ127" s="54"/>
      <c r="AK127" s="54"/>
      <c r="AL127" s="54"/>
      <c r="AM127" s="54"/>
    </row>
    <row r="128" spans="1:39">
      <c r="A128" s="45" t="str" cm="1">
        <f t="array" ref="A128">IF(H128="PROJECT", CHAR(10) &amp; "- " &amp; _xlfn.TEXTJOIN(CHAR(10) &amp; "- ", TRUE, _xlfn._xlws.FILTER($I$9:$I$1000, ($B$9:$B$1000=B128) * ($H$9:$H$1000="Topic"))), "")</f>
        <v/>
      </c>
      <c r="B128" s="45" t="str">
        <f t="shared" si="19"/>
        <v/>
      </c>
      <c r="C128" s="95"/>
      <c r="D128" s="57"/>
      <c r="E128" s="58"/>
      <c r="F128" s="54"/>
      <c r="G128" s="52"/>
      <c r="H128" s="52"/>
      <c r="I128" s="61"/>
      <c r="J128" s="62"/>
      <c r="K128" s="129" t="str">
        <f t="shared" si="20"/>
        <v/>
      </c>
      <c r="L128" s="103" t="str">
        <f t="shared" si="21"/>
        <v/>
      </c>
      <c r="M128" s="52">
        <v>0</v>
      </c>
      <c r="N128" s="102" t="str">
        <f t="shared" si="22"/>
        <v/>
      </c>
      <c r="O128" s="103" t="str">
        <f t="shared" si="23"/>
        <v/>
      </c>
      <c r="P128" s="52">
        <v>0</v>
      </c>
      <c r="Q128" s="102" t="str">
        <f t="shared" si="24"/>
        <v/>
      </c>
      <c r="R128" s="103" t="str">
        <f t="shared" si="25"/>
        <v/>
      </c>
      <c r="S128" s="52">
        <v>0</v>
      </c>
      <c r="T128" s="102" t="str">
        <f t="shared" si="26"/>
        <v/>
      </c>
      <c r="U128" s="103" t="str">
        <f t="shared" si="27"/>
        <v/>
      </c>
      <c r="V128" s="52">
        <v>0</v>
      </c>
      <c r="W128" s="87" t="str">
        <f t="shared" si="28"/>
        <v/>
      </c>
      <c r="X128" s="103" t="str">
        <f t="shared" si="29"/>
        <v/>
      </c>
      <c r="Y128" s="52">
        <v>0</v>
      </c>
      <c r="Z128" s="56" t="str">
        <f t="shared" si="30"/>
        <v/>
      </c>
      <c r="AA128" s="56" t="str">
        <f t="shared" si="31"/>
        <v/>
      </c>
      <c r="AB128" s="56" t="str">
        <f t="shared" si="32"/>
        <v/>
      </c>
      <c r="AC128" s="56" t="str">
        <f t="shared" si="33"/>
        <v/>
      </c>
      <c r="AD128" s="56" t="str">
        <f t="shared" si="34"/>
        <v/>
      </c>
      <c r="AE128" s="40"/>
      <c r="AF128" s="40"/>
      <c r="AG128" s="40"/>
      <c r="AH128" s="56" t="str">
        <f t="shared" si="35"/>
        <v/>
      </c>
      <c r="AI128" s="54"/>
      <c r="AJ128" s="54"/>
      <c r="AK128" s="54"/>
      <c r="AL128" s="54"/>
      <c r="AM128" s="54"/>
    </row>
    <row r="129" spans="1:39">
      <c r="A129" s="45" t="str" cm="1">
        <f t="array" ref="A129">IF(H129="PROJECT", CHAR(10) &amp; "- " &amp; _xlfn.TEXTJOIN(CHAR(10) &amp; "- ", TRUE, _xlfn._xlws.FILTER($I$9:$I$1000, ($B$9:$B$1000=B129) * ($H$9:$H$1000="Topic"))), "")</f>
        <v/>
      </c>
      <c r="B129" s="45" t="str">
        <f t="shared" si="19"/>
        <v/>
      </c>
      <c r="C129" s="95"/>
      <c r="D129" s="46"/>
      <c r="E129" s="58"/>
      <c r="F129" s="67"/>
      <c r="G129" s="53"/>
      <c r="H129" s="53"/>
      <c r="I129" s="50"/>
      <c r="J129" s="51"/>
      <c r="K129" s="129" t="str">
        <f t="shared" si="20"/>
        <v/>
      </c>
      <c r="L129" s="103" t="str">
        <f t="shared" si="21"/>
        <v/>
      </c>
      <c r="M129" s="53">
        <v>0</v>
      </c>
      <c r="N129" s="102" t="str">
        <f t="shared" si="22"/>
        <v/>
      </c>
      <c r="O129" s="103" t="str">
        <f t="shared" si="23"/>
        <v/>
      </c>
      <c r="P129" s="53">
        <v>0</v>
      </c>
      <c r="Q129" s="102" t="str">
        <f t="shared" si="24"/>
        <v/>
      </c>
      <c r="R129" s="103" t="str">
        <f t="shared" si="25"/>
        <v/>
      </c>
      <c r="S129" s="53">
        <v>0</v>
      </c>
      <c r="T129" s="102" t="str">
        <f t="shared" si="26"/>
        <v/>
      </c>
      <c r="U129" s="103" t="str">
        <f t="shared" si="27"/>
        <v/>
      </c>
      <c r="V129" s="53">
        <v>0</v>
      </c>
      <c r="W129" s="87" t="str">
        <f t="shared" si="28"/>
        <v/>
      </c>
      <c r="X129" s="103" t="str">
        <f t="shared" si="29"/>
        <v/>
      </c>
      <c r="Y129" s="53">
        <v>0</v>
      </c>
      <c r="Z129" s="56" t="str">
        <f t="shared" si="30"/>
        <v/>
      </c>
      <c r="AA129" s="56" t="str">
        <f t="shared" si="31"/>
        <v/>
      </c>
      <c r="AB129" s="56" t="str">
        <f t="shared" si="32"/>
        <v/>
      </c>
      <c r="AC129" s="56" t="str">
        <f t="shared" si="33"/>
        <v/>
      </c>
      <c r="AD129" s="56" t="str">
        <f t="shared" si="34"/>
        <v/>
      </c>
      <c r="AE129" s="40"/>
      <c r="AF129" s="40"/>
      <c r="AG129" s="40"/>
      <c r="AH129" s="56" t="str">
        <f t="shared" si="35"/>
        <v/>
      </c>
      <c r="AI129" s="54"/>
      <c r="AJ129" s="54"/>
      <c r="AK129" s="54"/>
      <c r="AL129" s="54"/>
      <c r="AM129" s="54"/>
    </row>
    <row r="130" spans="1:39">
      <c r="A130" s="45" t="str" cm="1">
        <f t="array" ref="A130">IF(H130="PROJECT", CHAR(10) &amp; "- " &amp; _xlfn.TEXTJOIN(CHAR(10) &amp; "- ", TRUE, _xlfn._xlws.FILTER($I$9:$I$1000, ($B$9:$B$1000=B130) * ($H$9:$H$1000="Topic"))), "")</f>
        <v/>
      </c>
      <c r="B130" s="45" t="str">
        <f t="shared" si="19"/>
        <v/>
      </c>
      <c r="C130" s="95"/>
      <c r="D130" s="57"/>
      <c r="E130" s="58"/>
      <c r="F130" s="54"/>
      <c r="G130" s="52"/>
      <c r="H130" s="52"/>
      <c r="I130" s="61"/>
      <c r="J130" s="62"/>
      <c r="K130" s="129" t="str">
        <f t="shared" si="20"/>
        <v/>
      </c>
      <c r="L130" s="103" t="str">
        <f t="shared" si="21"/>
        <v/>
      </c>
      <c r="M130" s="52">
        <v>0</v>
      </c>
      <c r="N130" s="102" t="str">
        <f t="shared" si="22"/>
        <v/>
      </c>
      <c r="O130" s="103" t="str">
        <f t="shared" si="23"/>
        <v/>
      </c>
      <c r="P130" s="52">
        <v>0</v>
      </c>
      <c r="Q130" s="102" t="str">
        <f t="shared" si="24"/>
        <v/>
      </c>
      <c r="R130" s="103" t="str">
        <f t="shared" si="25"/>
        <v/>
      </c>
      <c r="S130" s="52">
        <v>0</v>
      </c>
      <c r="T130" s="102" t="str">
        <f t="shared" si="26"/>
        <v/>
      </c>
      <c r="U130" s="103" t="str">
        <f t="shared" si="27"/>
        <v/>
      </c>
      <c r="V130" s="52">
        <v>0</v>
      </c>
      <c r="W130" s="87" t="str">
        <f t="shared" si="28"/>
        <v/>
      </c>
      <c r="X130" s="103" t="str">
        <f t="shared" si="29"/>
        <v/>
      </c>
      <c r="Y130" s="52">
        <v>0</v>
      </c>
      <c r="Z130" s="56" t="str">
        <f t="shared" si="30"/>
        <v/>
      </c>
      <c r="AA130" s="56" t="str">
        <f t="shared" si="31"/>
        <v/>
      </c>
      <c r="AB130" s="56" t="str">
        <f t="shared" si="32"/>
        <v/>
      </c>
      <c r="AC130" s="56" t="str">
        <f t="shared" si="33"/>
        <v/>
      </c>
      <c r="AD130" s="56" t="str">
        <f t="shared" si="34"/>
        <v/>
      </c>
      <c r="AE130" s="40"/>
      <c r="AF130" s="40"/>
      <c r="AG130" s="40"/>
      <c r="AH130" s="56" t="str">
        <f t="shared" si="35"/>
        <v/>
      </c>
      <c r="AI130" s="54"/>
      <c r="AJ130" s="54"/>
      <c r="AK130" s="54"/>
      <c r="AL130" s="54"/>
      <c r="AM130" s="54"/>
    </row>
    <row r="131" spans="1:39">
      <c r="A131" s="45" t="str" cm="1">
        <f t="array" ref="A131">IF(H131="PROJECT", CHAR(10) &amp; "- " &amp; _xlfn.TEXTJOIN(CHAR(10) &amp; "- ", TRUE, _xlfn._xlws.FILTER($I$9:$I$1000, ($B$9:$B$1000=B131) * ($H$9:$H$1000="Topic"))), "")</f>
        <v/>
      </c>
      <c r="B131" s="45" t="str">
        <f t="shared" si="19"/>
        <v/>
      </c>
      <c r="C131" s="95"/>
      <c r="D131" s="46"/>
      <c r="E131" s="58"/>
      <c r="F131" s="67"/>
      <c r="G131" s="53"/>
      <c r="H131" s="53"/>
      <c r="I131" s="50"/>
      <c r="J131" s="51"/>
      <c r="K131" s="129" t="str">
        <f t="shared" si="20"/>
        <v/>
      </c>
      <c r="L131" s="103" t="str">
        <f t="shared" si="21"/>
        <v/>
      </c>
      <c r="M131" s="53">
        <v>0</v>
      </c>
      <c r="N131" s="102" t="str">
        <f t="shared" si="22"/>
        <v/>
      </c>
      <c r="O131" s="103" t="str">
        <f t="shared" si="23"/>
        <v/>
      </c>
      <c r="P131" s="53">
        <v>0</v>
      </c>
      <c r="Q131" s="102" t="str">
        <f t="shared" si="24"/>
        <v/>
      </c>
      <c r="R131" s="103" t="str">
        <f t="shared" si="25"/>
        <v/>
      </c>
      <c r="S131" s="53">
        <v>0</v>
      </c>
      <c r="T131" s="102" t="str">
        <f t="shared" si="26"/>
        <v/>
      </c>
      <c r="U131" s="103" t="str">
        <f t="shared" si="27"/>
        <v/>
      </c>
      <c r="V131" s="53">
        <v>0</v>
      </c>
      <c r="W131" s="87" t="str">
        <f t="shared" si="28"/>
        <v/>
      </c>
      <c r="X131" s="103" t="str">
        <f t="shared" si="29"/>
        <v/>
      </c>
      <c r="Y131" s="53">
        <v>0</v>
      </c>
      <c r="Z131" s="56" t="str">
        <f t="shared" si="30"/>
        <v/>
      </c>
      <c r="AA131" s="56" t="str">
        <f t="shared" si="31"/>
        <v/>
      </c>
      <c r="AB131" s="56" t="str">
        <f t="shared" si="32"/>
        <v/>
      </c>
      <c r="AC131" s="56" t="str">
        <f t="shared" si="33"/>
        <v/>
      </c>
      <c r="AD131" s="56" t="str">
        <f t="shared" si="34"/>
        <v/>
      </c>
      <c r="AE131" s="40"/>
      <c r="AF131" s="40"/>
      <c r="AG131" s="40"/>
      <c r="AH131" s="56" t="str">
        <f t="shared" si="35"/>
        <v/>
      </c>
      <c r="AI131" s="54"/>
      <c r="AJ131" s="54"/>
      <c r="AK131" s="54"/>
      <c r="AL131" s="54"/>
      <c r="AM131" s="54"/>
    </row>
    <row r="132" spans="1:39">
      <c r="A132" s="45" t="str" cm="1">
        <f t="array" ref="A132">IF(H132="PROJECT", CHAR(10) &amp; "- " &amp; _xlfn.TEXTJOIN(CHAR(10) &amp; "- ", TRUE, _xlfn._xlws.FILTER($I$9:$I$1000, ($B$9:$B$1000=B132) * ($H$9:$H$1000="Topic"))), "")</f>
        <v/>
      </c>
      <c r="B132" s="45" t="str">
        <f t="shared" si="19"/>
        <v/>
      </c>
      <c r="C132" s="95"/>
      <c r="D132" s="57"/>
      <c r="E132" s="58"/>
      <c r="F132" s="54"/>
      <c r="G132" s="52"/>
      <c r="H132" s="52"/>
      <c r="I132" s="61"/>
      <c r="J132" s="62"/>
      <c r="K132" s="129" t="str">
        <f t="shared" si="20"/>
        <v/>
      </c>
      <c r="L132" s="103" t="str">
        <f t="shared" si="21"/>
        <v/>
      </c>
      <c r="M132" s="52">
        <v>0</v>
      </c>
      <c r="N132" s="102" t="str">
        <f t="shared" si="22"/>
        <v/>
      </c>
      <c r="O132" s="103" t="str">
        <f t="shared" si="23"/>
        <v/>
      </c>
      <c r="P132" s="52">
        <v>0</v>
      </c>
      <c r="Q132" s="102" t="str">
        <f t="shared" si="24"/>
        <v/>
      </c>
      <c r="R132" s="103" t="str">
        <f t="shared" si="25"/>
        <v/>
      </c>
      <c r="S132" s="52">
        <v>0</v>
      </c>
      <c r="T132" s="102" t="str">
        <f t="shared" si="26"/>
        <v/>
      </c>
      <c r="U132" s="103" t="str">
        <f t="shared" si="27"/>
        <v/>
      </c>
      <c r="V132" s="52">
        <v>0</v>
      </c>
      <c r="W132" s="87" t="str">
        <f t="shared" si="28"/>
        <v/>
      </c>
      <c r="X132" s="103" t="str">
        <f t="shared" si="29"/>
        <v/>
      </c>
      <c r="Y132" s="52">
        <v>0</v>
      </c>
      <c r="Z132" s="56" t="str">
        <f t="shared" si="30"/>
        <v/>
      </c>
      <c r="AA132" s="56" t="str">
        <f t="shared" si="31"/>
        <v/>
      </c>
      <c r="AB132" s="56" t="str">
        <f t="shared" si="32"/>
        <v/>
      </c>
      <c r="AC132" s="56" t="str">
        <f t="shared" si="33"/>
        <v/>
      </c>
      <c r="AD132" s="56" t="str">
        <f t="shared" si="34"/>
        <v/>
      </c>
      <c r="AE132" s="40"/>
      <c r="AF132" s="40"/>
      <c r="AG132" s="40"/>
      <c r="AH132" s="56" t="str">
        <f t="shared" si="35"/>
        <v/>
      </c>
      <c r="AI132" s="54"/>
      <c r="AJ132" s="54"/>
      <c r="AK132" s="54"/>
      <c r="AL132" s="54"/>
      <c r="AM132" s="54"/>
    </row>
    <row r="133" spans="1:39">
      <c r="A133" s="45" t="str" cm="1">
        <f t="array" ref="A133">IF(H133="PROJECT", CHAR(10) &amp; "- " &amp; _xlfn.TEXTJOIN(CHAR(10) &amp; "- ", TRUE, _xlfn._xlws.FILTER($I$9:$I$1000, ($B$9:$B$1000=B133) * ($H$9:$H$1000="Topic"))), "")</f>
        <v/>
      </c>
      <c r="B133" s="45" t="str">
        <f t="shared" si="19"/>
        <v/>
      </c>
      <c r="C133" s="95"/>
      <c r="D133" s="46"/>
      <c r="E133" s="58"/>
      <c r="F133" s="67"/>
      <c r="G133" s="53"/>
      <c r="H133" s="53"/>
      <c r="I133" s="50"/>
      <c r="J133" s="51"/>
      <c r="K133" s="129" t="str">
        <f t="shared" si="20"/>
        <v/>
      </c>
      <c r="L133" s="103" t="str">
        <f t="shared" si="21"/>
        <v/>
      </c>
      <c r="M133" s="53">
        <v>0</v>
      </c>
      <c r="N133" s="102" t="str">
        <f t="shared" si="22"/>
        <v/>
      </c>
      <c r="O133" s="103" t="str">
        <f t="shared" si="23"/>
        <v/>
      </c>
      <c r="P133" s="53">
        <v>0</v>
      </c>
      <c r="Q133" s="102" t="str">
        <f t="shared" si="24"/>
        <v/>
      </c>
      <c r="R133" s="103" t="str">
        <f t="shared" si="25"/>
        <v/>
      </c>
      <c r="S133" s="53">
        <v>0</v>
      </c>
      <c r="T133" s="102" t="str">
        <f t="shared" si="26"/>
        <v/>
      </c>
      <c r="U133" s="103" t="str">
        <f t="shared" si="27"/>
        <v/>
      </c>
      <c r="V133" s="53">
        <v>0</v>
      </c>
      <c r="W133" s="87" t="str">
        <f t="shared" si="28"/>
        <v/>
      </c>
      <c r="X133" s="103" t="str">
        <f t="shared" si="29"/>
        <v/>
      </c>
      <c r="Y133" s="53">
        <v>0</v>
      </c>
      <c r="Z133" s="56" t="str">
        <f t="shared" si="30"/>
        <v/>
      </c>
      <c r="AA133" s="56" t="str">
        <f t="shared" si="31"/>
        <v/>
      </c>
      <c r="AB133" s="56" t="str">
        <f t="shared" si="32"/>
        <v/>
      </c>
      <c r="AC133" s="56" t="str">
        <f t="shared" si="33"/>
        <v/>
      </c>
      <c r="AD133" s="56" t="str">
        <f t="shared" si="34"/>
        <v/>
      </c>
      <c r="AE133" s="40"/>
      <c r="AF133" s="40"/>
      <c r="AG133" s="40"/>
      <c r="AH133" s="56" t="str">
        <f t="shared" si="35"/>
        <v/>
      </c>
      <c r="AI133" s="54"/>
      <c r="AJ133" s="54"/>
      <c r="AK133" s="54"/>
      <c r="AL133" s="54"/>
      <c r="AM133" s="54"/>
    </row>
    <row r="134" spans="1:39">
      <c r="A134" s="45" t="str" cm="1">
        <f t="array" ref="A134">IF(H134="PROJECT", CHAR(10) &amp; "- " &amp; _xlfn.TEXTJOIN(CHAR(10) &amp; "- ", TRUE, _xlfn._xlws.FILTER($I$9:$I$1000, ($B$9:$B$1000=B134) * ($H$9:$H$1000="Topic"))), "")</f>
        <v/>
      </c>
      <c r="B134" s="45" t="str">
        <f t="shared" si="19"/>
        <v/>
      </c>
      <c r="C134" s="95"/>
      <c r="D134" s="57"/>
      <c r="E134" s="58"/>
      <c r="F134" s="54"/>
      <c r="G134" s="52"/>
      <c r="H134" s="52"/>
      <c r="I134" s="61"/>
      <c r="J134" s="62"/>
      <c r="K134" s="129" t="str">
        <f t="shared" si="20"/>
        <v/>
      </c>
      <c r="L134" s="103" t="str">
        <f t="shared" si="21"/>
        <v/>
      </c>
      <c r="M134" s="52">
        <v>0</v>
      </c>
      <c r="N134" s="102" t="str">
        <f t="shared" si="22"/>
        <v/>
      </c>
      <c r="O134" s="103" t="str">
        <f t="shared" si="23"/>
        <v/>
      </c>
      <c r="P134" s="52">
        <v>0</v>
      </c>
      <c r="Q134" s="102" t="str">
        <f t="shared" si="24"/>
        <v/>
      </c>
      <c r="R134" s="103" t="str">
        <f t="shared" si="25"/>
        <v/>
      </c>
      <c r="S134" s="52">
        <v>0</v>
      </c>
      <c r="T134" s="102" t="str">
        <f t="shared" si="26"/>
        <v/>
      </c>
      <c r="U134" s="103" t="str">
        <f t="shared" si="27"/>
        <v/>
      </c>
      <c r="V134" s="52">
        <v>0</v>
      </c>
      <c r="W134" s="87" t="str">
        <f t="shared" si="28"/>
        <v/>
      </c>
      <c r="X134" s="103" t="str">
        <f t="shared" si="29"/>
        <v/>
      </c>
      <c r="Y134" s="52">
        <v>0</v>
      </c>
      <c r="Z134" s="56" t="str">
        <f t="shared" si="30"/>
        <v/>
      </c>
      <c r="AA134" s="56" t="str">
        <f t="shared" si="31"/>
        <v/>
      </c>
      <c r="AB134" s="56" t="str">
        <f t="shared" si="32"/>
        <v/>
      </c>
      <c r="AC134" s="56" t="str">
        <f t="shared" si="33"/>
        <v/>
      </c>
      <c r="AD134" s="56" t="str">
        <f t="shared" si="34"/>
        <v/>
      </c>
      <c r="AE134" s="40"/>
      <c r="AF134" s="40"/>
      <c r="AG134" s="40"/>
      <c r="AH134" s="56" t="str">
        <f t="shared" si="35"/>
        <v/>
      </c>
      <c r="AI134" s="54"/>
      <c r="AJ134" s="54"/>
      <c r="AK134" s="54"/>
      <c r="AL134" s="54"/>
      <c r="AM134" s="54"/>
    </row>
    <row r="135" spans="1:39">
      <c r="A135" s="45" t="str" cm="1">
        <f t="array" ref="A135">IF(H135="PROJECT", CHAR(10) &amp; "- " &amp; _xlfn.TEXTJOIN(CHAR(10) &amp; "- ", TRUE, _xlfn._xlws.FILTER($I$9:$I$1000, ($B$9:$B$1000=B135) * ($H$9:$H$1000="Topic"))), "")</f>
        <v/>
      </c>
      <c r="B135" s="45" t="str">
        <f t="shared" si="19"/>
        <v/>
      </c>
      <c r="C135" s="95"/>
      <c r="D135" s="46"/>
      <c r="E135" s="58"/>
      <c r="F135" s="67"/>
      <c r="G135" s="53"/>
      <c r="H135" s="53"/>
      <c r="I135" s="50"/>
      <c r="J135" s="51"/>
      <c r="K135" s="129" t="str">
        <f t="shared" si="20"/>
        <v/>
      </c>
      <c r="L135" s="103" t="str">
        <f t="shared" si="21"/>
        <v/>
      </c>
      <c r="M135" s="53">
        <v>0</v>
      </c>
      <c r="N135" s="102" t="str">
        <f t="shared" si="22"/>
        <v/>
      </c>
      <c r="O135" s="103" t="str">
        <f t="shared" si="23"/>
        <v/>
      </c>
      <c r="P135" s="53">
        <v>0</v>
      </c>
      <c r="Q135" s="102" t="str">
        <f t="shared" si="24"/>
        <v/>
      </c>
      <c r="R135" s="103" t="str">
        <f t="shared" si="25"/>
        <v/>
      </c>
      <c r="S135" s="53">
        <v>0</v>
      </c>
      <c r="T135" s="102" t="str">
        <f t="shared" si="26"/>
        <v/>
      </c>
      <c r="U135" s="103" t="str">
        <f t="shared" si="27"/>
        <v/>
      </c>
      <c r="V135" s="53">
        <v>0</v>
      </c>
      <c r="W135" s="87" t="str">
        <f t="shared" si="28"/>
        <v/>
      </c>
      <c r="X135" s="103" t="str">
        <f t="shared" si="29"/>
        <v/>
      </c>
      <c r="Y135" s="53">
        <v>0</v>
      </c>
      <c r="Z135" s="56" t="str">
        <f t="shared" si="30"/>
        <v/>
      </c>
      <c r="AA135" s="56" t="str">
        <f t="shared" si="31"/>
        <v/>
      </c>
      <c r="AB135" s="56" t="str">
        <f t="shared" si="32"/>
        <v/>
      </c>
      <c r="AC135" s="56" t="str">
        <f t="shared" si="33"/>
        <v/>
      </c>
      <c r="AD135" s="56" t="str">
        <f t="shared" si="34"/>
        <v/>
      </c>
      <c r="AE135" s="40"/>
      <c r="AF135" s="40"/>
      <c r="AG135" s="40"/>
      <c r="AH135" s="56" t="str">
        <f t="shared" si="35"/>
        <v/>
      </c>
      <c r="AI135" s="54"/>
      <c r="AJ135" s="54"/>
      <c r="AK135" s="54"/>
      <c r="AL135" s="54"/>
      <c r="AM135" s="54"/>
    </row>
    <row r="136" spans="1:39">
      <c r="A136" s="45" t="str" cm="1">
        <f t="array" ref="A136">IF(H136="PROJECT", CHAR(10) &amp; "- " &amp; _xlfn.TEXTJOIN(CHAR(10) &amp; "- ", TRUE, _xlfn._xlws.FILTER($I$9:$I$1000, ($B$9:$B$1000=B136) * ($H$9:$H$1000="Topic"))), "")</f>
        <v/>
      </c>
      <c r="B136" s="45" t="str">
        <f t="shared" si="19"/>
        <v/>
      </c>
      <c r="C136" s="95"/>
      <c r="D136" s="57"/>
      <c r="E136" s="58"/>
      <c r="F136" s="54"/>
      <c r="G136" s="52"/>
      <c r="H136" s="52"/>
      <c r="I136" s="61"/>
      <c r="J136" s="62"/>
      <c r="K136" s="129" t="str">
        <f t="shared" si="20"/>
        <v/>
      </c>
      <c r="L136" s="103" t="str">
        <f t="shared" si="21"/>
        <v/>
      </c>
      <c r="M136" s="52">
        <v>0</v>
      </c>
      <c r="N136" s="102" t="str">
        <f t="shared" si="22"/>
        <v/>
      </c>
      <c r="O136" s="103" t="str">
        <f t="shared" si="23"/>
        <v/>
      </c>
      <c r="P136" s="52">
        <v>0</v>
      </c>
      <c r="Q136" s="102" t="str">
        <f t="shared" si="24"/>
        <v/>
      </c>
      <c r="R136" s="103" t="str">
        <f t="shared" si="25"/>
        <v/>
      </c>
      <c r="S136" s="52">
        <v>0</v>
      </c>
      <c r="T136" s="102" t="str">
        <f t="shared" si="26"/>
        <v/>
      </c>
      <c r="U136" s="103" t="str">
        <f t="shared" si="27"/>
        <v/>
      </c>
      <c r="V136" s="52">
        <v>0</v>
      </c>
      <c r="W136" s="87" t="str">
        <f t="shared" si="28"/>
        <v/>
      </c>
      <c r="X136" s="103" t="str">
        <f t="shared" si="29"/>
        <v/>
      </c>
      <c r="Y136" s="52">
        <v>0</v>
      </c>
      <c r="Z136" s="56" t="str">
        <f t="shared" si="30"/>
        <v/>
      </c>
      <c r="AA136" s="56" t="str">
        <f t="shared" si="31"/>
        <v/>
      </c>
      <c r="AB136" s="56" t="str">
        <f t="shared" si="32"/>
        <v/>
      </c>
      <c r="AC136" s="56" t="str">
        <f t="shared" si="33"/>
        <v/>
      </c>
      <c r="AD136" s="56" t="str">
        <f t="shared" si="34"/>
        <v/>
      </c>
      <c r="AE136" s="40"/>
      <c r="AF136" s="40"/>
      <c r="AG136" s="40"/>
      <c r="AH136" s="56" t="str">
        <f t="shared" si="35"/>
        <v/>
      </c>
      <c r="AI136" s="54"/>
      <c r="AJ136" s="54"/>
      <c r="AK136" s="54"/>
      <c r="AL136" s="54"/>
      <c r="AM136" s="54"/>
    </row>
    <row r="137" spans="1:39">
      <c r="A137" s="45" t="str" cm="1">
        <f t="array" ref="A137">IF(H137="PROJECT", CHAR(10) &amp; "- " &amp; _xlfn.TEXTJOIN(CHAR(10) &amp; "- ", TRUE, _xlfn._xlws.FILTER($I$9:$I$1000, ($B$9:$B$1000=B137) * ($H$9:$H$1000="Topic"))), "")</f>
        <v/>
      </c>
      <c r="B137" s="45" t="str">
        <f t="shared" si="19"/>
        <v/>
      </c>
      <c r="C137" s="95"/>
      <c r="D137" s="46"/>
      <c r="E137" s="58"/>
      <c r="F137" s="67"/>
      <c r="G137" s="53"/>
      <c r="H137" s="53"/>
      <c r="I137" s="50"/>
      <c r="J137" s="51"/>
      <c r="K137" s="129" t="str">
        <f t="shared" si="20"/>
        <v/>
      </c>
      <c r="L137" s="103" t="str">
        <f t="shared" si="21"/>
        <v/>
      </c>
      <c r="M137" s="53">
        <v>0</v>
      </c>
      <c r="N137" s="102" t="str">
        <f t="shared" si="22"/>
        <v/>
      </c>
      <c r="O137" s="103" t="str">
        <f t="shared" si="23"/>
        <v/>
      </c>
      <c r="P137" s="53">
        <v>0</v>
      </c>
      <c r="Q137" s="102" t="str">
        <f t="shared" si="24"/>
        <v/>
      </c>
      <c r="R137" s="103" t="str">
        <f t="shared" si="25"/>
        <v/>
      </c>
      <c r="S137" s="53">
        <v>0</v>
      </c>
      <c r="T137" s="102" t="str">
        <f t="shared" si="26"/>
        <v/>
      </c>
      <c r="U137" s="103" t="str">
        <f t="shared" si="27"/>
        <v/>
      </c>
      <c r="V137" s="53">
        <v>0</v>
      </c>
      <c r="W137" s="87" t="str">
        <f t="shared" si="28"/>
        <v/>
      </c>
      <c r="X137" s="103" t="str">
        <f t="shared" si="29"/>
        <v/>
      </c>
      <c r="Y137" s="53">
        <v>0</v>
      </c>
      <c r="Z137" s="56" t="str">
        <f t="shared" si="30"/>
        <v/>
      </c>
      <c r="AA137" s="56" t="str">
        <f t="shared" si="31"/>
        <v/>
      </c>
      <c r="AB137" s="56" t="str">
        <f t="shared" si="32"/>
        <v/>
      </c>
      <c r="AC137" s="56" t="str">
        <f t="shared" si="33"/>
        <v/>
      </c>
      <c r="AD137" s="56" t="str">
        <f t="shared" si="34"/>
        <v/>
      </c>
      <c r="AE137" s="40"/>
      <c r="AF137" s="40"/>
      <c r="AG137" s="40"/>
      <c r="AH137" s="56" t="str">
        <f t="shared" ref="AH137:AH168" si="36">IF(AE137=$B$6,AG137,"")</f>
        <v/>
      </c>
      <c r="AI137" s="54"/>
      <c r="AJ137" s="54"/>
      <c r="AK137" s="54"/>
      <c r="AL137" s="54"/>
      <c r="AM137" s="54"/>
    </row>
    <row r="138" spans="1:39">
      <c r="A138" s="45" t="str" cm="1">
        <f t="array" ref="A138">IF(H138="PROJECT", CHAR(10) &amp; "- " &amp; _xlfn.TEXTJOIN(CHAR(10) &amp; "- ", TRUE, _xlfn._xlws.FILTER($I$9:$I$1000, ($B$9:$B$1000=B138) * ($H$9:$H$1000="Topic"))), "")</f>
        <v/>
      </c>
      <c r="B138" s="45" t="str">
        <f t="shared" ref="B138:B200" si="37">IF(H138="","",IF(AND(H138="Topic",H137="PROJECT"),B137+1,IF(H138="PROJECT",B137,IF(AND(H138="Topic",H137="Topic"),B137,B137+1))))</f>
        <v/>
      </c>
      <c r="C138" s="95"/>
      <c r="D138" s="57"/>
      <c r="E138" s="58"/>
      <c r="F138" s="54"/>
      <c r="G138" s="52"/>
      <c r="H138" s="52"/>
      <c r="I138" s="61"/>
      <c r="J138" s="62"/>
      <c r="K138" s="129" t="str">
        <f t="shared" ref="K138:K200" si="38">IF(H138="Topic",
"[ROLE] Friendly tutor specializing in " &amp; $I$2 &amp; " | " &amp;
"[TOPIC] " &amp; I138 &amp; " | " &amp;
"[LEVEL] " &amp; G138 &amp; " | " &amp;
"[COUNT] " &amp; D138 &amp; " examples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$C138 &amp; " lines of EXECUTABLE code (STRICT: Do NOT count comments or blank lines). - NEVER exceed this limit. | " &amp;
"[FUNCTION RULE] Rule: " &amp; IF(G138="Beginner","Focus: basic function definitions, return values, positional/keyword arguments, and list/dict comprehensions.", IF(G138="Intermediate", "Integrate generator functions using yield, closures, functools utilities (partial, lru_cache), and decorators.", "Dictionaries, Tuples, Namedtuples, or TypedDicts with strict type hints")) &amp; " | " &amp;
"[CODE_CONSTRAINTS_RULE] Each example MUST: - Use Dictionaries, Tuples, Namedtuples, or TypedDicts with strict type hints - Print steps &amp; result via print() or logging.info()/logging.error() inside functional scopes or error handlers - MAX " &amp; $C138 &amp; " executable lines (comments/blanks excluded) - NEVER exceed limit. | " &amp;
"[I_O_PARADIGM] Use pathlib.Path, open() with context managers, or sys.stdin/sys.stdout streams and gracefully handle Typed Tuples like Tuple[bool, str], Namedtuples, or Dict[str, Any] with type annotations when applicable. | " &amp;
"[INLINE_PACKAGE_MANAGER] If using external packages, use Standard requirements.txt file or inline pip install comments (# requirements: package_name&gt;=version) at the top of the code block. Assume no project configuration file exists. | " &amp;
_xlfn._LONGTEXT("[TESTING_FRAMEWORK_LIMITS]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F138 &amp; " | Stage 1 📖 Practice | " &amp; IF($I$3="", $I$2, $I$2&amp; " - " &amp;$I$3) &amp; " | 📊 Level: " &amp; G138 &amp; " | 🌐 Coding5s.com" &amp; CHAR(10) &amp; "**Concept:** " &amp; J138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D138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IF(AJ138&lt;&gt;"", AJ138,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IF(H138="PROJECT", Z138, ""))</f>
        <v/>
      </c>
      <c r="L138" s="103" t="str">
        <f t="shared" ref="L138:L200" si="39">IF(OR(H138="Topic", UPPER(H138)="PROJECT"),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IF(UPPER(H138)="PROJECT", "building a PROJECT: " &amp; I138 &amp; ". Topics applied in this project: " &amp; A138 &amp; ". Project objective: " &amp; J138, "learning: " &amp; I138 &amp; ". Topic details: " &amp; J138)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IF(G138="Beginner", "Evaluate based on basic functions, data structures, and conditional logic. Do NOT expect decorators, generators, or asyncio unless explicitly demanded.", IF(G138="Intermediate",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
_xlfn._LONGTEXT("[CODE_QUALITY_POLICIES]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&amp; IF(AJ138&lt;&gt;"", "[MENTOR CONTEXT ALERT] Be aware of the following infrastructure limitation for this exercise: " &amp; AJ138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IF(UPPER(H138)="PROJECT",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IF(UPPER(H138)="PROJECT",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IF(UPPER(H138)="PROJECT", "Project #", "Topic #") &amp; F138 &amp; " | Practice | " &amp; IF($I$3="", $I$2, $I$2&amp; " - " &amp;$I$3) &amp; " | 📊 Level: " &amp; G138 &amp; CHAR(10) &amp; "**" &amp; IF(UPPER(H138)="PROJECT", "Project", "Topic") &amp; ":** " &amp; I138 &amp; CHAR(10) &amp; "---" &amp; CHAR(10) &amp; " | " &amp;
"[FOOTER RULE - STRICT] End your response with: '--- ⚡ *Coding5s Mentor System — Eliminating Epistemic Debt*' | ","")</f>
        <v/>
      </c>
      <c r="M138" s="52">
        <v>0</v>
      </c>
      <c r="N138" s="102" t="str">
        <f t="shared" ref="N138:N200" si="40">IF(H138="Topic",
"[ROLE] Careless " &amp; $I$2 &amp; " Developer | " &amp;
"[TASK] Generate debugging challenges in " &amp; $I$2 &amp; " | | " &amp;
"[TOPIC] " &amp; I138 &amp; " | | " &amp;
"[LEVEL] " &amp; G138 &amp; " | | " &amp;
"[COUNT] " &amp; D138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Topic #" &amp; F138 &amp; " | Stage 2 🐛 Debug | " &amp; IF($I$3="", $I$2, $I$2&amp; " - " &amp;$I$3) &amp; " | 📊 Level: " &amp; G138 &amp; " | 🌐 Coding5s.com" &amp; CHAR(10) &amp; "Concept: " &amp; J138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 &amp;
"[EXUNIT RULE] Always use pytest or native test functions. You MUST use native assert statements or pytest.raises() for exception testing. Avoid defining TestClasses or methods. | " &amp;
"[HEX DEPENDENCIES RULE] Assume a standard Python runtime context. External PyPI dependencies MUST be specified strictly within a requirements.txt file. | " &amp;
"[CODE CONSTRAINTS] Each challenge MUST include: - At least 1 functional iterator/generator or comprehension - Explicit type annotations - At least 1 error handling try/except block - " &amp; IF(G138="Beginner", "5–15", IF(G138="Intermediate", "10–25", "15–35")) &amp; " lines of EXECUTABLE broken Python code per example (STRICT: Do NOT count blank lines). Enforce PEP 8, type hints, and NO OOP class structures. | All challenges MUST have similar functional abstraction depth and architectural complexity.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D138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IF(H138="PROJECT", AA138, ""))</f>
        <v/>
      </c>
      <c r="O138" s="103" t="str">
        <f t="shared" ref="O138:O200" si="41">IF(OR(H138="Topic", UPPER(H138)="PROJECT"),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IF(UPPER(H138)="PROJECT", "PROJECT: " &amp; I138 &amp; ". Topics involved: " &amp; A138 &amp; ". Project objective: " &amp; J138, "TOPIC: " &amp; I138 &amp; ". Topic details: " &amp; J138)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IF(UPPER(H138)="PROJECT", "Project #", "Topic #") &amp; F138 &amp; " | Debug | " &amp; IF($I$3="", $I$2, $I$2&amp; " - " &amp;$I$3) &amp; " | 📊 Level: " &amp; G138 &amp; CHAR(10) &amp; "**" &amp; IF(UPPER(H138)="PROJECT", "Project", "Topic") &amp; ":** " &amp; I138 &amp; CHAR(10) &amp; "---" &amp; CHAR(10) &amp; " | " &amp;
_xlfn._LONGTEXT("[PYTHON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c>
      <c r="P138" s="52">
        <v>0</v>
      </c>
      <c r="Q138" s="102" t="str">
        <f t="shared" ref="Q138:Q200" si="42">IF(H138="Topic",
"[ROLE] Tech Lead | " &amp;
"[TASK] Assign incomplete " &amp; $I$2 &amp; " script challenges | " &amp;
"[TOPIC] " &amp; I138 &amp; " | " &amp;
"[LEVEL] " &amp; G138 &amp; " | " &amp;
"[COUNT] " &amp; D138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Topic #" &amp; F138 &amp; " | Stage 3 🧩 Complete | " &amp; IF($I$3="", $I$2, $I$2&amp; " - " &amp;$I$3) &amp; " | 📊 Level: " &amp; G138 &amp; " | 🌐 Coding5s.com" &amp; CHAR(10) &amp; "**Concept:** " &amp; J138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External PyPI packages MUST be specified inside a standard requirements.txt file. Do not use inline system pip commands. | " &amp;
"[TESTING_FRAMEWORK_PROTOCOL] Tests MUST isolate functional logic. NEVER mutate global state; use native assert statements or pytest fixtures to verify function outputs. | " &amp;
"[CHALLENGE_CONSTRAINTS_POLICY] Each challenge MUST include: - A functional module or script using closures, generators, or functools to manage continuous state with strict type hints. - " &amp; IF(G138="Beginner","5–15", IF(G138="Intermediate","10–25","15–35")) &amp; " lines of EXECUTABLE base Python code (STRICT: Do NOT count comments or TODOs). Length MUST vary. Enforce type hints, PEP 8, and NO classes.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D138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I138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IF(G138="Beginner", "Clear explicit hint (no code) | ", IF(G138="Intermediate",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IF(H138="PROJECT", AB138, ""))</f>
        <v/>
      </c>
      <c r="R138" s="103" t="str">
        <f t="shared" ref="R138:R200" si="43">IF(OR(H138="Topic", UPPER(H138)="PROJECT"),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IF(UPPER(H138)="PROJECT", "PROJECT: " &amp; I138 &amp; ". Topics involved: " &amp; A138 &amp; ". Project objective: " &amp; J138, "TOPIC: " &amp; I138 &amp; ". Topic details: " &amp; J138)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IF(UPPER(H138)="PROJECT", "Project #", "Topic #") &amp; F138 &amp; " | Complete | " &amp; IF($I$3="", $I$2, $I$2&amp; " - " &amp;$I$3) &amp; " | 📊 Level: " &amp; G138 &amp; CHAR(10) &amp; "**" &amp; IF(UPPER(H138)="PROJECT", "Project", "Topic") &amp; ":** " &amp; I138 &amp; CHAR(10) &amp; "---" &amp; CHAR(10) &amp; " | " &amp;
_xlfn._LONGTEXT("[PYTHON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c>
      <c r="S138" s="52">
        <v>0</v>
      </c>
      <c r="T138" s="102" t="str">
        <f t="shared" ref="T138:T200" si="44">IF(H138="Topic",
"[ROLE] Tech Lead | " &amp;
"[TASK] Provide intentionally messy but functional code for learning debugging and improvement | " &amp;
"[TOPIC] " &amp; I138 &amp; " | " &amp;
"[LEVEL] " &amp; G138 &amp; " | " &amp;
"[COUNT] " &amp; D138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F138 &amp; " | Stage 4 🧹 Refactor | " &amp; IF($I$3="", $I$2, $I$2&amp; " - " &amp;$I$3) &amp; " | 📊 Level: " &amp; G138 &amp; " | 🌐 Coding5s.com" &amp; CHAR(10) &amp; "**Concept:** " &amp; J138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D138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IF(G138="Beginner", "5–15", IF(G138="Intermediate",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IF(H138="PROJECT", AC138, ""))</f>
        <v/>
      </c>
      <c r="U138" s="103" t="str">
        <f t="shared" ref="U138:U200" si="45">IF(OR(H138="Topic", UPPER(H138)="PROJECT"),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IF(UPPER(H138)="PROJECT", "PROJECT: " &amp; I138 &amp; ". Topics involved: " &amp; A138 &amp; ". Project objective: " &amp; J138, "TOPIC: " &amp; I138 &amp; ". Topic details: " &amp; J138)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IF(UPPER(H138)="PROJECT", "Project #", "Topic #") &amp; F138 &amp; " | Refactor | " &amp; IF($I$3="", $I$2, $I$2&amp; " - " &amp;$I$3) &amp; " | 📊 Level: " &amp; G138 &amp; CHAR(10) &amp; "**" &amp; IF(UPPER(H138)="PROJECT", "Project", "Topic") &amp; ":** " &amp; I138 &amp; CHAR(10) &amp; "---" &amp; CHAR(10) &amp; " | " &amp;
_xlfn._LONGTEXT("[PYTHON QUALITY RULE - STRICT] Code MUST adhere strictly to PEP 8 guidelines. Use snake_case for variables/functions, UPPER_CASE for constants, snake_case for files. Avoid global state; emphasize strict type hints, functools, and clean functional architec","tures without OOP classes.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
      </c>
      <c r="V138" s="52">
        <v>0</v>
      </c>
      <c r="W138" s="87" t="str">
        <f t="shared" ref="W138:W200" si="46">IF(H138="Topic",
"[ROLE] Tech Product Manager assigning a " &amp; $I$2 &amp; " Jira Ticket | " &amp;
"[TASK] Provide a guided implementation exercise with full solution for learning purposes | " &amp;
"[TOPIC] " &amp; I138 &amp; " | " &amp;
"[LEVEL] " &amp; G138 &amp; "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F138 &amp; " | Stage 5 | " &amp; IF($I$3="", $I$2, $I$2&amp; " - " &amp;$I$3) &amp; " | 📊 Level: " &amp; G138 &amp; " | 🌐 Coding5s.com" &amp; CHAR(10) &amp; "**Concept:** " &amp; J138 &amp; CHAR(10) &amp; "---" &amp; CHAR(10) &amp; " | " &amp;
"[FUNCTIONAL_STRUCTURE_POLICY] Rule: " &amp; IF(G138="Beginner", "Use simple scripts or minimal functions. ", IF(G138="Intermediate",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IF(G138="Beginner", "10–20", IF(G138="Intermediate", "15–30", "25–40")) &amp; " lines of EXECUTABLE code (STRICT) - V1.1 MUST be between " &amp; IF(G138="Beginner", "15–30", IF(G138="Intermediate",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IF(H138="PROJECT", AD138, ""))</f>
        <v/>
      </c>
      <c r="X138" s="103" t="str">
        <f t="shared" ref="X138:X200" si="47">IF(OR(H138="Topic", UPPER(H138)="PROJECT"),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IF(UPPER(H138)="PROJECT", "PROJECT: " &amp; I138 &amp; ". Topics integrated: " &amp; A138 &amp; ". Business Goal: " &amp; J138, "TOPIC: " &amp; I138 &amp; ". Goal: " &amp; J138)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IF(UPPER(H138)="PROJECT", "Project #", "Topic #") &amp; F138 &amp; " | Extend | " &amp; IF($I$3="", $I$2, $I$2&amp; " - " &amp;$I$3) &amp; " | 📊 Level: " &amp; G138 &amp; CHAR(10) &amp; "**" &amp; IF(UPPER(H138)="PROJECT", "Project", "Topic") &amp; ":** " &amp; I138 &amp; CHAR(10) &amp; "---" &amp; CHAR(10) &amp; " | " &amp;
_xlfn._LONGTEXT("[CODE_QUALITY_PROTOCOL]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
      </c>
      <c r="Y138" s="52">
        <v>0</v>
      </c>
      <c r="Z138" s="56" t="str">
        <f t="shared" ref="Z138:Z200" si="48">IF(H138&lt;&gt;"PROJECT","",
"[TASK] Teach through a practical " &amp; $I$2 &amp; " - " &amp; $I$3 &amp; " project following the micro-learning methodology, acting as a supportive tutor, creating a project about  " &amp; I138 &amp; " | " &amp;
"[TOPICS USED] " &amp; A138 &amp; " | " &amp;
"[LEVEL] " &amp; G138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the project requires an external package, you MUST use Standard requirements.txt file or inline pip install comments (# requirements: package_name&gt;=version) at the top. | " &amp;
"[SCOPE_ARCHITECTURE_RULE] Rule: Build scripts: async/await coroutines with asyncio, subprocess execution, signal trapping, and custom context managers. | " &amp;
_xlfn._LONGTEXT("[VISUAL_ARCHITECTURE_COMMENTS]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 &amp;
"[DATA ROBUSTNESS RULE] Handle real-world data safely | " &amp;
"[CODE CONSTRAINTS] MUST be between " &amp; IF(G138="Beginner", "25–40", IF(G138="Intermediate",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F138 &amp; " | Stage 1 | " &amp; IF($I$3="", $I$2, $I$2&amp; " - " &amp;$I$3) &amp; " | 📊 Level: " &amp; G138 &amp; " | 🌐 Coding5s.com" &amp; CHAR(10) &amp; "**Project:** " &amp; J138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138" s="56" t="str">
        <f t="shared" ref="AA138:AA200" si="49">IF(H138&lt;&gt;"PROJECT","",
"[ROLE] Careless " &amp; $I$2 &amp; " Developer | " &amp;
"[TASK] Generate debugging project in " &amp; $I$2 &amp; " | " &amp;
"[PROJECT] " &amp; I138 &amp; " | " &amp;
"[TOPICS USED] " &amp; A138 &amp; " | " &amp;
"[LEVEL] " &amp; G138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F138 &amp; " | Stage 2 | " &amp; IF($I$3="", $I$2, $I$2&amp; " - " &amp;$I$3) &amp; " | 📊 Level: " &amp; G138 &amp; " | 🌐 Coding5s.com" &amp; CHAR(10) &amp; "Project: " &amp; J138 &amp; CHAR(10) &amp; "---" &amp; CHAR(10) &amp; "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AE136 &amp; " | " &amp;
"[LANGUAGE SEED CONTEXT] " &amp; IF($AE$7 = "", "Language Seed Not Necessary", "You MUST strictly follow this seed context to enhance, adapt, and naturalize your tone, vocabulary, and instructional quality in " &amp; $B$6 &amp; ": " &amp; $AE$7) &amp; " | " &amp;
_xlfn._LONGTEXT("[BUG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IF(G138="Beginner", "25–40", IF(G138="Intermediate", "30–60", "40–100")) &amp; " lines of EXECUTABLE code (STRICT: Do NOT count blank lines towards this limit) - Multi-step flow - 2–4 functions ONLY - main() as entry point " &amp; IF(G138&lt;&gt;"Advanced",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138" s="56" t="str">
        <f t="shared" ref="AB138:AB200" si="50">IF(H138&lt;&gt;"PROJECT","",
"[ROLE] Tech Lead | " &amp;
"[TASK] Assign incomplete project script | " &amp;
"[PROJECT] " &amp; I138 &amp; " | " &amp;
"[TOPICS USED] " &amp; A138 &amp; " | " &amp;
"[LEVEL] " &amp; G138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F138 &amp; " | Stage 3 | " &amp; IF($I$3="", $I$2, $I$2&amp; " - " &amp;$I$3) &amp; " | 📊 Level: " &amp; G138 &amp; " | 🌐 Coding5s.com" &amp; CHAR(10) &amp; "**Project:** " &amp; J138 &amp; CHAR(10) &amp; "---" &amp; CHAR(10) &amp; " | " &amp;
"[EXTERNAL_PACKAGE_PROTOCOL] Require standard pip tooling and requirements.txt for dependencies. | " &amp;
"[CHALLENGE_CONSTRAINTS_POLICY] MUST be between " &amp; IF(G138="Beginner","25–40", IF(G138="Intermediate","30–60","40–100")) &amp; " lines of EXECUTABLE base Python code (STRICT: Do NOT count comments or TODOs). Must feature functional data pipelines or asynchronous asyncio flows.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138" s="56" t="str">
        <f t="shared" ref="AC138:AC200" si="51">IF(H138&lt;&gt;"PROJECT","",
"[ROLE] Tech Lead | " &amp;
"[TASK] Provide a messy but functional project for refactoring | " &amp;
"[PROJECT] " &amp; I138 &amp; " | " &amp;
"[TOPICS USED] " &amp; A138 &amp; " | " &amp;
"[LEVEL] " &amp; G138 &amp; " | " &amp;
"[PERSONA RULE] Act as a Tech Lead. A junior wrote this working but messy code. Tone: professional but exhausted | " &amp;
"[HEADER RULE - STRICT] You MUST start your entire response EXACTLY with this markdown block (do not print anything before it):" &amp; CHAR(10) &amp; "### 🚀 Project #" &amp; F138 &amp; " | Stage 4 | " &amp; IF($I$3="", $I$2, $I$2&amp; " - " &amp;$I$3) &amp; " | 📊 Level: " &amp; G138 &amp; " | 🌐 Coding5s.com" &amp; CHAR(10) &amp; "**Project:** " &amp; J138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IF(G138="Beginner", "25–40", IF(G138="Intermediate",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138" s="56" t="str">
        <f t="shared" ref="AD138:AD200" si="52">IF(H138&lt;&gt;"PROJECT","",
"[ROLE] Tech Product Manager assigning a " &amp; $I$2 &amp; " Jira Ticket | " &amp;
"[TASK] Provide a guided project implementation with full solution | " &amp;
"[PROJECT] " &amp; I138 &amp; " | " &amp;
"[TOPICS USED] " &amp; A138 &amp; " | " &amp;
"[LEVEL] " &amp; G138 &amp; " | " &amp;
"[PERSONA RULE] Act as a professional Tech Product Manager defining a project ticket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Project #" &amp; F138 &amp; " | Stage 5 | " &amp; IF($I$3="", $I$2, $I$2&amp; " - " &amp;$I$3) &amp; " | 📊 Level: " &amp; G138 &amp; " | 🌐 Coding5s.com" &amp; CHAR(10) &amp; "**Project:** " &amp; J138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IF(G138="Beginner", "20–35", IF(G138="Intermediate", "30–50", "45–70")) &amp; " lines of EXECUTABLE code (STRICT) - V1.1 MUST be between " &amp; IF(G138="Beginner", "30–50", IF(G138="Intermediate",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IF(G138="Beginner", "Avoid complex structure. ", IF(G138="Intermediate",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138" s="40"/>
      <c r="AF138" s="40"/>
      <c r="AG138" s="40"/>
      <c r="AH138" s="56" t="str">
        <f t="shared" si="36"/>
        <v/>
      </c>
      <c r="AI138" s="54"/>
      <c r="AJ138" s="54"/>
      <c r="AK138" s="54"/>
      <c r="AL138" s="54"/>
      <c r="AM138" s="54"/>
    </row>
    <row r="139" spans="1:39">
      <c r="A139" s="45" t="str" cm="1">
        <f t="array" ref="A139">IF(H139="PROJECT", CHAR(10) &amp; "- " &amp; _xlfn.TEXTJOIN(CHAR(10) &amp; "- ", TRUE, _xlfn._xlws.FILTER($I$9:$I$1000, ($B$9:$B$1000=B139) * ($H$9:$H$1000="Topic"))), "")</f>
        <v/>
      </c>
      <c r="B139" s="45" t="str">
        <f t="shared" si="37"/>
        <v/>
      </c>
      <c r="C139" s="95"/>
      <c r="D139" s="46"/>
      <c r="E139" s="58"/>
      <c r="F139" s="67"/>
      <c r="G139" s="53"/>
      <c r="H139" s="53"/>
      <c r="I139" s="50"/>
      <c r="J139" s="51"/>
      <c r="K139" s="129" t="str">
        <f t="shared" si="38"/>
        <v/>
      </c>
      <c r="L139" s="103" t="str">
        <f t="shared" si="39"/>
        <v/>
      </c>
      <c r="M139" s="53">
        <v>0</v>
      </c>
      <c r="N139" s="102" t="str">
        <f t="shared" si="40"/>
        <v/>
      </c>
      <c r="O139" s="103" t="str">
        <f t="shared" si="41"/>
        <v/>
      </c>
      <c r="P139" s="53">
        <v>0</v>
      </c>
      <c r="Q139" s="102" t="str">
        <f t="shared" si="42"/>
        <v/>
      </c>
      <c r="R139" s="103" t="str">
        <f t="shared" si="43"/>
        <v/>
      </c>
      <c r="S139" s="53">
        <v>0</v>
      </c>
      <c r="T139" s="102" t="str">
        <f t="shared" si="44"/>
        <v/>
      </c>
      <c r="U139" s="103" t="str">
        <f t="shared" si="45"/>
        <v/>
      </c>
      <c r="V139" s="53">
        <v>0</v>
      </c>
      <c r="W139" s="87" t="str">
        <f t="shared" si="46"/>
        <v/>
      </c>
      <c r="X139" s="103" t="str">
        <f t="shared" si="47"/>
        <v/>
      </c>
      <c r="Y139" s="53">
        <v>0</v>
      </c>
      <c r="Z139" s="56" t="str">
        <f t="shared" si="48"/>
        <v/>
      </c>
      <c r="AA139" s="56" t="str">
        <f t="shared" si="49"/>
        <v/>
      </c>
      <c r="AB139" s="56" t="str">
        <f t="shared" si="50"/>
        <v/>
      </c>
      <c r="AC139" s="56" t="str">
        <f t="shared" si="51"/>
        <v/>
      </c>
      <c r="AD139" s="56" t="str">
        <f t="shared" si="52"/>
        <v/>
      </c>
      <c r="AE139" s="40"/>
      <c r="AF139" s="40"/>
      <c r="AG139" s="40"/>
      <c r="AH139" s="56" t="str">
        <f t="shared" si="36"/>
        <v/>
      </c>
      <c r="AI139" s="54"/>
      <c r="AJ139" s="54"/>
      <c r="AK139" s="54"/>
      <c r="AL139" s="54"/>
      <c r="AM139" s="54"/>
    </row>
    <row r="140" spans="1:39">
      <c r="A140" s="45" t="str" cm="1">
        <f t="array" ref="A140">IF(H140="PROJECT", CHAR(10) &amp; "- " &amp; _xlfn.TEXTJOIN(CHAR(10) &amp; "- ", TRUE, _xlfn._xlws.FILTER($I$9:$I$1000, ($B$9:$B$1000=B140) * ($H$9:$H$1000="Topic"))), "")</f>
        <v/>
      </c>
      <c r="B140" s="45" t="str">
        <f t="shared" si="37"/>
        <v/>
      </c>
      <c r="C140" s="95"/>
      <c r="D140" s="57"/>
      <c r="E140" s="58"/>
      <c r="F140" s="54"/>
      <c r="G140" s="52"/>
      <c r="H140" s="52"/>
      <c r="I140" s="61"/>
      <c r="J140" s="62"/>
      <c r="K140" s="129" t="str">
        <f t="shared" si="38"/>
        <v/>
      </c>
      <c r="L140" s="103" t="str">
        <f t="shared" si="39"/>
        <v/>
      </c>
      <c r="M140" s="52">
        <v>0</v>
      </c>
      <c r="N140" s="102" t="str">
        <f t="shared" si="40"/>
        <v/>
      </c>
      <c r="O140" s="103" t="str">
        <f t="shared" si="41"/>
        <v/>
      </c>
      <c r="P140" s="52">
        <v>0</v>
      </c>
      <c r="Q140" s="102" t="str">
        <f t="shared" si="42"/>
        <v/>
      </c>
      <c r="R140" s="103" t="str">
        <f t="shared" si="43"/>
        <v/>
      </c>
      <c r="S140" s="52">
        <v>0</v>
      </c>
      <c r="T140" s="102" t="str">
        <f t="shared" si="44"/>
        <v/>
      </c>
      <c r="U140" s="103" t="str">
        <f t="shared" si="45"/>
        <v/>
      </c>
      <c r="V140" s="52">
        <v>0</v>
      </c>
      <c r="W140" s="87" t="str">
        <f t="shared" si="46"/>
        <v/>
      </c>
      <c r="X140" s="103" t="str">
        <f t="shared" si="47"/>
        <v/>
      </c>
      <c r="Y140" s="52">
        <v>0</v>
      </c>
      <c r="Z140" s="56" t="str">
        <f t="shared" si="48"/>
        <v/>
      </c>
      <c r="AA140" s="56" t="str">
        <f t="shared" si="49"/>
        <v/>
      </c>
      <c r="AB140" s="56" t="str">
        <f t="shared" si="50"/>
        <v/>
      </c>
      <c r="AC140" s="56" t="str">
        <f t="shared" si="51"/>
        <v/>
      </c>
      <c r="AD140" s="56" t="str">
        <f t="shared" si="52"/>
        <v/>
      </c>
      <c r="AE140" s="40"/>
      <c r="AF140" s="40"/>
      <c r="AG140" s="40"/>
      <c r="AH140" s="56" t="str">
        <f t="shared" si="36"/>
        <v/>
      </c>
      <c r="AI140" s="54"/>
      <c r="AJ140" s="54"/>
      <c r="AK140" s="54"/>
      <c r="AL140" s="54"/>
      <c r="AM140" s="54"/>
    </row>
    <row r="141" spans="1:39">
      <c r="A141" s="45" t="str" cm="1">
        <f t="array" ref="A141">IF(H141="PROJECT", CHAR(10) &amp; "- " &amp; _xlfn.TEXTJOIN(CHAR(10) &amp; "- ", TRUE, _xlfn._xlws.FILTER($I$9:$I$1000, ($B$9:$B$1000=B141) * ($H$9:$H$1000="Topic"))), "")</f>
        <v/>
      </c>
      <c r="B141" s="45" t="str">
        <f t="shared" si="37"/>
        <v/>
      </c>
      <c r="C141" s="95"/>
      <c r="D141" s="46"/>
      <c r="E141" s="58"/>
      <c r="F141" s="67"/>
      <c r="G141" s="53"/>
      <c r="H141" s="53"/>
      <c r="I141" s="50"/>
      <c r="J141" s="51"/>
      <c r="K141" s="129" t="str">
        <f t="shared" si="38"/>
        <v/>
      </c>
      <c r="L141" s="103" t="str">
        <f t="shared" si="39"/>
        <v/>
      </c>
      <c r="M141" s="53">
        <v>0</v>
      </c>
      <c r="N141" s="102" t="str">
        <f t="shared" si="40"/>
        <v/>
      </c>
      <c r="O141" s="103" t="str">
        <f t="shared" si="41"/>
        <v/>
      </c>
      <c r="P141" s="53">
        <v>0</v>
      </c>
      <c r="Q141" s="102" t="str">
        <f t="shared" si="42"/>
        <v/>
      </c>
      <c r="R141" s="103" t="str">
        <f t="shared" si="43"/>
        <v/>
      </c>
      <c r="S141" s="53">
        <v>0</v>
      </c>
      <c r="T141" s="102" t="str">
        <f t="shared" si="44"/>
        <v/>
      </c>
      <c r="U141" s="103" t="str">
        <f t="shared" si="45"/>
        <v/>
      </c>
      <c r="V141" s="53">
        <v>0</v>
      </c>
      <c r="W141" s="87" t="str">
        <f t="shared" si="46"/>
        <v/>
      </c>
      <c r="X141" s="103" t="str">
        <f t="shared" si="47"/>
        <v/>
      </c>
      <c r="Y141" s="53">
        <v>0</v>
      </c>
      <c r="Z141" s="56" t="str">
        <f t="shared" si="48"/>
        <v/>
      </c>
      <c r="AA141" s="56" t="str">
        <f t="shared" si="49"/>
        <v/>
      </c>
      <c r="AB141" s="56" t="str">
        <f t="shared" si="50"/>
        <v/>
      </c>
      <c r="AC141" s="56" t="str">
        <f t="shared" si="51"/>
        <v/>
      </c>
      <c r="AD141" s="56" t="str">
        <f t="shared" si="52"/>
        <v/>
      </c>
      <c r="AE141" s="40"/>
      <c r="AF141" s="40"/>
      <c r="AG141" s="40"/>
      <c r="AH141" s="56" t="str">
        <f t="shared" si="36"/>
        <v/>
      </c>
      <c r="AI141" s="54"/>
      <c r="AJ141" s="54"/>
      <c r="AK141" s="54"/>
      <c r="AL141" s="54"/>
      <c r="AM141" s="54"/>
    </row>
    <row r="142" spans="1:39">
      <c r="A142" s="45" t="str" cm="1">
        <f t="array" ref="A142">IF(H142="PROJECT", CHAR(10) &amp; "- " &amp; _xlfn.TEXTJOIN(CHAR(10) &amp; "- ", TRUE, _xlfn._xlws.FILTER($I$9:$I$1000, ($B$9:$B$1000=B142) * ($H$9:$H$1000="Topic"))), "")</f>
        <v/>
      </c>
      <c r="B142" s="45" t="str">
        <f t="shared" si="37"/>
        <v/>
      </c>
      <c r="C142" s="95"/>
      <c r="D142" s="57"/>
      <c r="E142" s="58"/>
      <c r="F142" s="54"/>
      <c r="G142" s="52"/>
      <c r="H142" s="52"/>
      <c r="I142" s="61"/>
      <c r="J142" s="62"/>
      <c r="K142" s="129" t="str">
        <f t="shared" si="38"/>
        <v/>
      </c>
      <c r="L142" s="103" t="str">
        <f t="shared" si="39"/>
        <v/>
      </c>
      <c r="M142" s="52">
        <v>0</v>
      </c>
      <c r="N142" s="102" t="str">
        <f t="shared" si="40"/>
        <v/>
      </c>
      <c r="O142" s="103" t="str">
        <f t="shared" si="41"/>
        <v/>
      </c>
      <c r="P142" s="52">
        <v>0</v>
      </c>
      <c r="Q142" s="102" t="str">
        <f t="shared" si="42"/>
        <v/>
      </c>
      <c r="R142" s="103" t="str">
        <f t="shared" si="43"/>
        <v/>
      </c>
      <c r="S142" s="52">
        <v>0</v>
      </c>
      <c r="T142" s="102" t="str">
        <f t="shared" si="44"/>
        <v/>
      </c>
      <c r="U142" s="103" t="str">
        <f t="shared" si="45"/>
        <v/>
      </c>
      <c r="V142" s="52">
        <v>0</v>
      </c>
      <c r="W142" s="87" t="str">
        <f t="shared" si="46"/>
        <v/>
      </c>
      <c r="X142" s="103" t="str">
        <f t="shared" si="47"/>
        <v/>
      </c>
      <c r="Y142" s="52">
        <v>0</v>
      </c>
      <c r="Z142" s="56" t="str">
        <f t="shared" si="48"/>
        <v/>
      </c>
      <c r="AA142" s="56" t="str">
        <f t="shared" si="49"/>
        <v/>
      </c>
      <c r="AB142" s="56" t="str">
        <f t="shared" si="50"/>
        <v/>
      </c>
      <c r="AC142" s="56" t="str">
        <f t="shared" si="51"/>
        <v/>
      </c>
      <c r="AD142" s="56" t="str">
        <f t="shared" si="52"/>
        <v/>
      </c>
      <c r="AE142" s="40"/>
      <c r="AF142" s="40"/>
      <c r="AG142" s="40"/>
      <c r="AH142" s="56" t="str">
        <f t="shared" si="36"/>
        <v/>
      </c>
      <c r="AI142" s="54"/>
      <c r="AJ142" s="54"/>
      <c r="AK142" s="54"/>
      <c r="AL142" s="54"/>
      <c r="AM142" s="54"/>
    </row>
    <row r="143" spans="1:39">
      <c r="A143" s="45" t="str" cm="1">
        <f t="array" ref="A143">IF(H143="PROJECT", CHAR(10) &amp; "- " &amp; _xlfn.TEXTJOIN(CHAR(10) &amp; "- ", TRUE, _xlfn._xlws.FILTER($I$9:$I$1000, ($B$9:$B$1000=B143) * ($H$9:$H$1000="Topic"))), "")</f>
        <v/>
      </c>
      <c r="B143" s="45" t="str">
        <f t="shared" si="37"/>
        <v/>
      </c>
      <c r="C143" s="95"/>
      <c r="D143" s="46"/>
      <c r="E143" s="58"/>
      <c r="F143" s="67"/>
      <c r="G143" s="53"/>
      <c r="H143" s="53"/>
      <c r="I143" s="50"/>
      <c r="J143" s="51"/>
      <c r="K143" s="129" t="str">
        <f t="shared" si="38"/>
        <v/>
      </c>
      <c r="L143" s="103" t="str">
        <f t="shared" si="39"/>
        <v/>
      </c>
      <c r="M143" s="53">
        <v>0</v>
      </c>
      <c r="N143" s="102" t="str">
        <f t="shared" si="40"/>
        <v/>
      </c>
      <c r="O143" s="103" t="str">
        <f t="shared" si="41"/>
        <v/>
      </c>
      <c r="P143" s="53">
        <v>0</v>
      </c>
      <c r="Q143" s="102" t="str">
        <f t="shared" si="42"/>
        <v/>
      </c>
      <c r="R143" s="103" t="str">
        <f t="shared" si="43"/>
        <v/>
      </c>
      <c r="S143" s="53">
        <v>0</v>
      </c>
      <c r="T143" s="102" t="str">
        <f t="shared" si="44"/>
        <v/>
      </c>
      <c r="U143" s="103" t="str">
        <f t="shared" si="45"/>
        <v/>
      </c>
      <c r="V143" s="53">
        <v>0</v>
      </c>
      <c r="W143" s="87" t="str">
        <f t="shared" si="46"/>
        <v/>
      </c>
      <c r="X143" s="103" t="str">
        <f t="shared" si="47"/>
        <v/>
      </c>
      <c r="Y143" s="53">
        <v>0</v>
      </c>
      <c r="Z143" s="56" t="str">
        <f t="shared" si="48"/>
        <v/>
      </c>
      <c r="AA143" s="56" t="str">
        <f t="shared" si="49"/>
        <v/>
      </c>
      <c r="AB143" s="56" t="str">
        <f t="shared" si="50"/>
        <v/>
      </c>
      <c r="AC143" s="56" t="str">
        <f t="shared" si="51"/>
        <v/>
      </c>
      <c r="AD143" s="56" t="str">
        <f t="shared" si="52"/>
        <v/>
      </c>
      <c r="AE143" s="40"/>
      <c r="AF143" s="40"/>
      <c r="AG143" s="40"/>
      <c r="AH143" s="56" t="str">
        <f t="shared" si="36"/>
        <v/>
      </c>
      <c r="AI143" s="54"/>
      <c r="AJ143" s="54"/>
      <c r="AK143" s="54"/>
      <c r="AL143" s="54"/>
      <c r="AM143" s="54"/>
    </row>
    <row r="144" spans="1:39">
      <c r="A144" s="45" t="str" cm="1">
        <f t="array" ref="A144">IF(H144="PROJECT", CHAR(10) &amp; "- " &amp; _xlfn.TEXTJOIN(CHAR(10) &amp; "- ", TRUE, _xlfn._xlws.FILTER($I$9:$I$1000, ($B$9:$B$1000=B144) * ($H$9:$H$1000="Topic"))), "")</f>
        <v/>
      </c>
      <c r="B144" s="45" t="str">
        <f t="shared" si="37"/>
        <v/>
      </c>
      <c r="C144" s="95"/>
      <c r="D144" s="57"/>
      <c r="E144" s="58"/>
      <c r="F144" s="54"/>
      <c r="G144" s="52"/>
      <c r="H144" s="52"/>
      <c r="I144" s="61"/>
      <c r="J144" s="62"/>
      <c r="K144" s="129" t="str">
        <f t="shared" si="38"/>
        <v/>
      </c>
      <c r="L144" s="103" t="str">
        <f t="shared" si="39"/>
        <v/>
      </c>
      <c r="M144" s="52">
        <v>0</v>
      </c>
      <c r="N144" s="102" t="str">
        <f t="shared" si="40"/>
        <v/>
      </c>
      <c r="O144" s="103" t="str">
        <f t="shared" si="41"/>
        <v/>
      </c>
      <c r="P144" s="52">
        <v>0</v>
      </c>
      <c r="Q144" s="102" t="str">
        <f t="shared" si="42"/>
        <v/>
      </c>
      <c r="R144" s="103" t="str">
        <f t="shared" si="43"/>
        <v/>
      </c>
      <c r="S144" s="52">
        <v>0</v>
      </c>
      <c r="T144" s="102" t="str">
        <f t="shared" si="44"/>
        <v/>
      </c>
      <c r="U144" s="103" t="str">
        <f t="shared" si="45"/>
        <v/>
      </c>
      <c r="V144" s="52">
        <v>0</v>
      </c>
      <c r="W144" s="87" t="str">
        <f t="shared" si="46"/>
        <v/>
      </c>
      <c r="X144" s="103" t="str">
        <f t="shared" si="47"/>
        <v/>
      </c>
      <c r="Y144" s="52">
        <v>0</v>
      </c>
      <c r="Z144" s="56" t="str">
        <f t="shared" si="48"/>
        <v/>
      </c>
      <c r="AA144" s="56" t="str">
        <f t="shared" si="49"/>
        <v/>
      </c>
      <c r="AB144" s="56" t="str">
        <f t="shared" si="50"/>
        <v/>
      </c>
      <c r="AC144" s="56" t="str">
        <f t="shared" si="51"/>
        <v/>
      </c>
      <c r="AD144" s="56" t="str">
        <f t="shared" si="52"/>
        <v/>
      </c>
      <c r="AE144" s="40"/>
      <c r="AF144" s="40"/>
      <c r="AG144" s="40"/>
      <c r="AH144" s="56" t="str">
        <f t="shared" si="36"/>
        <v/>
      </c>
      <c r="AI144" s="54"/>
      <c r="AJ144" s="54"/>
      <c r="AK144" s="54"/>
      <c r="AL144" s="54"/>
      <c r="AM144" s="54"/>
    </row>
    <row r="145" spans="1:39">
      <c r="A145" s="45" t="str" cm="1">
        <f t="array" ref="A145">IF(H145="PROJECT", CHAR(10) &amp; "- " &amp; _xlfn.TEXTJOIN(CHAR(10) &amp; "- ", TRUE, _xlfn._xlws.FILTER($I$9:$I$1000, ($B$9:$B$1000=B145) * ($H$9:$H$1000="Topic"))), "")</f>
        <v/>
      </c>
      <c r="B145" s="45" t="str">
        <f t="shared" si="37"/>
        <v/>
      </c>
      <c r="C145" s="95"/>
      <c r="D145" s="46"/>
      <c r="E145" s="58"/>
      <c r="F145" s="67"/>
      <c r="G145" s="53"/>
      <c r="H145" s="53"/>
      <c r="I145" s="50"/>
      <c r="J145" s="51"/>
      <c r="K145" s="129" t="str">
        <f t="shared" si="38"/>
        <v/>
      </c>
      <c r="L145" s="103" t="str">
        <f t="shared" si="39"/>
        <v/>
      </c>
      <c r="M145" s="53">
        <v>0</v>
      </c>
      <c r="N145" s="102" t="str">
        <f t="shared" si="40"/>
        <v/>
      </c>
      <c r="O145" s="103" t="str">
        <f t="shared" si="41"/>
        <v/>
      </c>
      <c r="P145" s="53">
        <v>0</v>
      </c>
      <c r="Q145" s="102" t="str">
        <f t="shared" si="42"/>
        <v/>
      </c>
      <c r="R145" s="103" t="str">
        <f t="shared" si="43"/>
        <v/>
      </c>
      <c r="S145" s="53">
        <v>0</v>
      </c>
      <c r="T145" s="102" t="str">
        <f t="shared" si="44"/>
        <v/>
      </c>
      <c r="U145" s="103" t="str">
        <f t="shared" si="45"/>
        <v/>
      </c>
      <c r="V145" s="53">
        <v>0</v>
      </c>
      <c r="W145" s="87" t="str">
        <f t="shared" si="46"/>
        <v/>
      </c>
      <c r="X145" s="103" t="str">
        <f t="shared" si="47"/>
        <v/>
      </c>
      <c r="Y145" s="53">
        <v>0</v>
      </c>
      <c r="Z145" s="56" t="str">
        <f t="shared" si="48"/>
        <v/>
      </c>
      <c r="AA145" s="56" t="str">
        <f t="shared" si="49"/>
        <v/>
      </c>
      <c r="AB145" s="56" t="str">
        <f t="shared" si="50"/>
        <v/>
      </c>
      <c r="AC145" s="56" t="str">
        <f t="shared" si="51"/>
        <v/>
      </c>
      <c r="AD145" s="56" t="str">
        <f t="shared" si="52"/>
        <v/>
      </c>
      <c r="AE145" s="40"/>
      <c r="AF145" s="40"/>
      <c r="AG145" s="40"/>
      <c r="AH145" s="56" t="str">
        <f t="shared" si="36"/>
        <v/>
      </c>
      <c r="AI145" s="54"/>
      <c r="AJ145" s="54"/>
      <c r="AK145" s="54"/>
      <c r="AL145" s="54"/>
      <c r="AM145" s="54"/>
    </row>
    <row r="146" spans="1:39">
      <c r="A146" s="45" t="str" cm="1">
        <f t="array" ref="A146">IF(H146="PROJECT", CHAR(10) &amp; "- " &amp; _xlfn.TEXTJOIN(CHAR(10) &amp; "- ", TRUE, _xlfn._xlws.FILTER($I$9:$I$1000, ($B$9:$B$1000=B146) * ($H$9:$H$1000="Topic"))), "")</f>
        <v/>
      </c>
      <c r="B146" s="45" t="str">
        <f t="shared" si="37"/>
        <v/>
      </c>
      <c r="C146" s="95"/>
      <c r="D146" s="57"/>
      <c r="E146" s="58"/>
      <c r="F146" s="54"/>
      <c r="G146" s="52"/>
      <c r="H146" s="52"/>
      <c r="I146" s="61"/>
      <c r="J146" s="62"/>
      <c r="K146" s="129" t="str">
        <f t="shared" si="38"/>
        <v/>
      </c>
      <c r="L146" s="103" t="str">
        <f t="shared" si="39"/>
        <v/>
      </c>
      <c r="M146" s="52">
        <v>0</v>
      </c>
      <c r="N146" s="102" t="str">
        <f t="shared" si="40"/>
        <v/>
      </c>
      <c r="O146" s="103" t="str">
        <f t="shared" si="41"/>
        <v/>
      </c>
      <c r="P146" s="52">
        <v>0</v>
      </c>
      <c r="Q146" s="102" t="str">
        <f t="shared" si="42"/>
        <v/>
      </c>
      <c r="R146" s="103" t="str">
        <f t="shared" si="43"/>
        <v/>
      </c>
      <c r="S146" s="52">
        <v>0</v>
      </c>
      <c r="T146" s="102" t="str">
        <f t="shared" si="44"/>
        <v/>
      </c>
      <c r="U146" s="103" t="str">
        <f t="shared" si="45"/>
        <v/>
      </c>
      <c r="V146" s="52">
        <v>0</v>
      </c>
      <c r="W146" s="87" t="str">
        <f t="shared" si="46"/>
        <v/>
      </c>
      <c r="X146" s="103" t="str">
        <f t="shared" si="47"/>
        <v/>
      </c>
      <c r="Y146" s="52">
        <v>0</v>
      </c>
      <c r="Z146" s="56" t="str">
        <f t="shared" si="48"/>
        <v/>
      </c>
      <c r="AA146" s="56" t="str">
        <f t="shared" si="49"/>
        <v/>
      </c>
      <c r="AB146" s="56" t="str">
        <f t="shared" si="50"/>
        <v/>
      </c>
      <c r="AC146" s="56" t="str">
        <f t="shared" si="51"/>
        <v/>
      </c>
      <c r="AD146" s="56" t="str">
        <f t="shared" si="52"/>
        <v/>
      </c>
      <c r="AE146" s="40"/>
      <c r="AF146" s="40"/>
      <c r="AG146" s="40"/>
      <c r="AH146" s="56" t="str">
        <f t="shared" si="36"/>
        <v/>
      </c>
      <c r="AI146" s="54"/>
      <c r="AJ146" s="54"/>
      <c r="AK146" s="54"/>
      <c r="AL146" s="54"/>
      <c r="AM146" s="54"/>
    </row>
    <row r="147" spans="1:39">
      <c r="A147" s="45" t="str" cm="1">
        <f t="array" ref="A147">IF(H147="PROJECT", CHAR(10) &amp; "- " &amp; _xlfn.TEXTJOIN(CHAR(10) &amp; "- ", TRUE, _xlfn._xlws.FILTER($I$9:$I$1000, ($B$9:$B$1000=B147) * ($H$9:$H$1000="Topic"))), "")</f>
        <v/>
      </c>
      <c r="B147" s="45" t="str">
        <f t="shared" si="37"/>
        <v/>
      </c>
      <c r="C147" s="95"/>
      <c r="D147" s="46"/>
      <c r="E147" s="58"/>
      <c r="F147" s="67"/>
      <c r="G147" s="53"/>
      <c r="H147" s="53"/>
      <c r="I147" s="50"/>
      <c r="J147" s="51"/>
      <c r="K147" s="129" t="str">
        <f t="shared" si="38"/>
        <v/>
      </c>
      <c r="L147" s="103" t="str">
        <f t="shared" si="39"/>
        <v/>
      </c>
      <c r="M147" s="53">
        <v>0</v>
      </c>
      <c r="N147" s="102" t="str">
        <f t="shared" si="40"/>
        <v/>
      </c>
      <c r="O147" s="103" t="str">
        <f t="shared" si="41"/>
        <v/>
      </c>
      <c r="P147" s="53">
        <v>0</v>
      </c>
      <c r="Q147" s="102" t="str">
        <f t="shared" si="42"/>
        <v/>
      </c>
      <c r="R147" s="103" t="str">
        <f t="shared" si="43"/>
        <v/>
      </c>
      <c r="S147" s="53">
        <v>0</v>
      </c>
      <c r="T147" s="102" t="str">
        <f t="shared" si="44"/>
        <v/>
      </c>
      <c r="U147" s="103" t="str">
        <f t="shared" si="45"/>
        <v/>
      </c>
      <c r="V147" s="53">
        <v>0</v>
      </c>
      <c r="W147" s="87" t="str">
        <f t="shared" si="46"/>
        <v/>
      </c>
      <c r="X147" s="103" t="str">
        <f t="shared" si="47"/>
        <v/>
      </c>
      <c r="Y147" s="53">
        <v>0</v>
      </c>
      <c r="Z147" s="56" t="str">
        <f t="shared" si="48"/>
        <v/>
      </c>
      <c r="AA147" s="56" t="str">
        <f t="shared" si="49"/>
        <v/>
      </c>
      <c r="AB147" s="56" t="str">
        <f t="shared" si="50"/>
        <v/>
      </c>
      <c r="AC147" s="56" t="str">
        <f t="shared" si="51"/>
        <v/>
      </c>
      <c r="AD147" s="56" t="str">
        <f t="shared" si="52"/>
        <v/>
      </c>
      <c r="AE147" s="40"/>
      <c r="AF147" s="40"/>
      <c r="AG147" s="40"/>
      <c r="AH147" s="56" t="str">
        <f t="shared" si="36"/>
        <v/>
      </c>
      <c r="AI147" s="54"/>
      <c r="AJ147" s="54"/>
      <c r="AK147" s="54"/>
      <c r="AL147" s="54"/>
      <c r="AM147" s="54"/>
    </row>
    <row r="148" spans="1:39">
      <c r="A148" s="45" t="str" cm="1">
        <f t="array" ref="A148">IF(H148="PROJECT", CHAR(10) &amp; "- " &amp; _xlfn.TEXTJOIN(CHAR(10) &amp; "- ", TRUE, _xlfn._xlws.FILTER($I$9:$I$1000, ($B$9:$B$1000=B148) * ($H$9:$H$1000="Topic"))), "")</f>
        <v/>
      </c>
      <c r="B148" s="45" t="str">
        <f t="shared" si="37"/>
        <v/>
      </c>
      <c r="C148" s="95"/>
      <c r="D148" s="57"/>
      <c r="E148" s="58"/>
      <c r="F148" s="54"/>
      <c r="G148" s="52"/>
      <c r="H148" s="52"/>
      <c r="I148" s="61"/>
      <c r="J148" s="62"/>
      <c r="K148" s="129" t="str">
        <f t="shared" si="38"/>
        <v/>
      </c>
      <c r="L148" s="103" t="str">
        <f t="shared" si="39"/>
        <v/>
      </c>
      <c r="M148" s="52">
        <v>0</v>
      </c>
      <c r="N148" s="102" t="str">
        <f t="shared" si="40"/>
        <v/>
      </c>
      <c r="O148" s="103" t="str">
        <f t="shared" si="41"/>
        <v/>
      </c>
      <c r="P148" s="52">
        <v>0</v>
      </c>
      <c r="Q148" s="102" t="str">
        <f t="shared" si="42"/>
        <v/>
      </c>
      <c r="R148" s="103" t="str">
        <f t="shared" si="43"/>
        <v/>
      </c>
      <c r="S148" s="52">
        <v>0</v>
      </c>
      <c r="T148" s="102" t="str">
        <f t="shared" si="44"/>
        <v/>
      </c>
      <c r="U148" s="103" t="str">
        <f t="shared" si="45"/>
        <v/>
      </c>
      <c r="V148" s="52">
        <v>0</v>
      </c>
      <c r="W148" s="87" t="str">
        <f t="shared" si="46"/>
        <v/>
      </c>
      <c r="X148" s="103" t="str">
        <f t="shared" si="47"/>
        <v/>
      </c>
      <c r="Y148" s="52">
        <v>0</v>
      </c>
      <c r="Z148" s="56" t="str">
        <f t="shared" si="48"/>
        <v/>
      </c>
      <c r="AA148" s="56" t="str">
        <f t="shared" si="49"/>
        <v/>
      </c>
      <c r="AB148" s="56" t="str">
        <f t="shared" si="50"/>
        <v/>
      </c>
      <c r="AC148" s="56" t="str">
        <f t="shared" si="51"/>
        <v/>
      </c>
      <c r="AD148" s="56" t="str">
        <f t="shared" si="52"/>
        <v/>
      </c>
      <c r="AE148" s="40"/>
      <c r="AF148" s="40"/>
      <c r="AG148" s="40"/>
      <c r="AH148" s="56" t="str">
        <f t="shared" si="36"/>
        <v/>
      </c>
      <c r="AI148" s="54"/>
      <c r="AJ148" s="54"/>
      <c r="AK148" s="54"/>
      <c r="AL148" s="54"/>
      <c r="AM148" s="54"/>
    </row>
    <row r="149" spans="1:39">
      <c r="A149" s="45" t="str" cm="1">
        <f t="array" ref="A149">IF(H149="PROJECT", CHAR(10) &amp; "- " &amp; _xlfn.TEXTJOIN(CHAR(10) &amp; "- ", TRUE, _xlfn._xlws.FILTER($I$9:$I$1000, ($B$9:$B$1000=B149) * ($H$9:$H$1000="Topic"))), "")</f>
        <v/>
      </c>
      <c r="B149" s="45" t="str">
        <f t="shared" si="37"/>
        <v/>
      </c>
      <c r="C149" s="95"/>
      <c r="D149" s="46"/>
      <c r="E149" s="58"/>
      <c r="F149" s="67"/>
      <c r="G149" s="53"/>
      <c r="H149" s="53"/>
      <c r="I149" s="50"/>
      <c r="J149" s="51"/>
      <c r="K149" s="129" t="str">
        <f t="shared" si="38"/>
        <v/>
      </c>
      <c r="L149" s="103" t="str">
        <f t="shared" si="39"/>
        <v/>
      </c>
      <c r="M149" s="53">
        <v>0</v>
      </c>
      <c r="N149" s="102" t="str">
        <f t="shared" si="40"/>
        <v/>
      </c>
      <c r="O149" s="103" t="str">
        <f t="shared" si="41"/>
        <v/>
      </c>
      <c r="P149" s="53">
        <v>0</v>
      </c>
      <c r="Q149" s="102" t="str">
        <f t="shared" si="42"/>
        <v/>
      </c>
      <c r="R149" s="103" t="str">
        <f t="shared" si="43"/>
        <v/>
      </c>
      <c r="S149" s="53">
        <v>0</v>
      </c>
      <c r="T149" s="102" t="str">
        <f t="shared" si="44"/>
        <v/>
      </c>
      <c r="U149" s="103" t="str">
        <f t="shared" si="45"/>
        <v/>
      </c>
      <c r="V149" s="53">
        <v>0</v>
      </c>
      <c r="W149" s="87" t="str">
        <f t="shared" si="46"/>
        <v/>
      </c>
      <c r="X149" s="103" t="str">
        <f t="shared" si="47"/>
        <v/>
      </c>
      <c r="Y149" s="53">
        <v>0</v>
      </c>
      <c r="Z149" s="56" t="str">
        <f t="shared" si="48"/>
        <v/>
      </c>
      <c r="AA149" s="56" t="str">
        <f t="shared" si="49"/>
        <v/>
      </c>
      <c r="AB149" s="56" t="str">
        <f t="shared" si="50"/>
        <v/>
      </c>
      <c r="AC149" s="56" t="str">
        <f t="shared" si="51"/>
        <v/>
      </c>
      <c r="AD149" s="56" t="str">
        <f t="shared" si="52"/>
        <v/>
      </c>
      <c r="AE149" s="40"/>
      <c r="AF149" s="40"/>
      <c r="AG149" s="40"/>
      <c r="AH149" s="56" t="str">
        <f t="shared" si="36"/>
        <v/>
      </c>
      <c r="AI149" s="54"/>
      <c r="AJ149" s="54"/>
      <c r="AK149" s="54"/>
      <c r="AL149" s="54"/>
      <c r="AM149" s="54"/>
    </row>
    <row r="150" spans="1:39">
      <c r="A150" s="45" t="str" cm="1">
        <f t="array" ref="A150">IF(H150="PROJECT", CHAR(10) &amp; "- " &amp; _xlfn.TEXTJOIN(CHAR(10) &amp; "- ", TRUE, _xlfn._xlws.FILTER($I$9:$I$1000, ($B$9:$B$1000=B150) * ($H$9:$H$1000="Topic"))), "")</f>
        <v/>
      </c>
      <c r="B150" s="45" t="str">
        <f t="shared" si="37"/>
        <v/>
      </c>
      <c r="C150" s="95"/>
      <c r="D150" s="57"/>
      <c r="E150" s="58"/>
      <c r="F150" s="54"/>
      <c r="G150" s="52"/>
      <c r="H150" s="52"/>
      <c r="I150" s="61"/>
      <c r="J150" s="62"/>
      <c r="K150" s="129" t="str">
        <f t="shared" si="38"/>
        <v/>
      </c>
      <c r="L150" s="103" t="str">
        <f t="shared" si="39"/>
        <v/>
      </c>
      <c r="M150" s="52">
        <v>0</v>
      </c>
      <c r="N150" s="102" t="str">
        <f t="shared" si="40"/>
        <v/>
      </c>
      <c r="O150" s="103" t="str">
        <f t="shared" si="41"/>
        <v/>
      </c>
      <c r="P150" s="52">
        <v>0</v>
      </c>
      <c r="Q150" s="102" t="str">
        <f t="shared" si="42"/>
        <v/>
      </c>
      <c r="R150" s="103" t="str">
        <f t="shared" si="43"/>
        <v/>
      </c>
      <c r="S150" s="52">
        <v>0</v>
      </c>
      <c r="T150" s="102" t="str">
        <f t="shared" si="44"/>
        <v/>
      </c>
      <c r="U150" s="103" t="str">
        <f t="shared" si="45"/>
        <v/>
      </c>
      <c r="V150" s="52">
        <v>0</v>
      </c>
      <c r="W150" s="87" t="str">
        <f t="shared" si="46"/>
        <v/>
      </c>
      <c r="X150" s="103" t="str">
        <f t="shared" si="47"/>
        <v/>
      </c>
      <c r="Y150" s="52">
        <v>0</v>
      </c>
      <c r="Z150" s="56" t="str">
        <f t="shared" si="48"/>
        <v/>
      </c>
      <c r="AA150" s="56" t="str">
        <f t="shared" si="49"/>
        <v/>
      </c>
      <c r="AB150" s="56" t="str">
        <f t="shared" si="50"/>
        <v/>
      </c>
      <c r="AC150" s="56" t="str">
        <f t="shared" si="51"/>
        <v/>
      </c>
      <c r="AD150" s="56" t="str">
        <f t="shared" si="52"/>
        <v/>
      </c>
      <c r="AE150" s="40"/>
      <c r="AF150" s="40"/>
      <c r="AG150" s="40"/>
      <c r="AH150" s="56" t="str">
        <f t="shared" si="36"/>
        <v/>
      </c>
      <c r="AI150" s="54"/>
      <c r="AJ150" s="54"/>
      <c r="AK150" s="54"/>
      <c r="AL150" s="54"/>
      <c r="AM150" s="54"/>
    </row>
    <row r="151" spans="1:39">
      <c r="A151" s="45" t="str" cm="1">
        <f t="array" ref="A151">IF(H151="PROJECT", CHAR(10) &amp; "- " &amp; _xlfn.TEXTJOIN(CHAR(10) &amp; "- ", TRUE, _xlfn._xlws.FILTER($I$9:$I$1000, ($B$9:$B$1000=B151) * ($H$9:$H$1000="Topic"))), "")</f>
        <v/>
      </c>
      <c r="B151" s="45" t="str">
        <f t="shared" si="37"/>
        <v/>
      </c>
      <c r="C151" s="95"/>
      <c r="D151" s="46"/>
      <c r="E151" s="58"/>
      <c r="F151" s="67"/>
      <c r="G151" s="53"/>
      <c r="H151" s="53"/>
      <c r="I151" s="50"/>
      <c r="J151" s="51"/>
      <c r="K151" s="129" t="str">
        <f t="shared" si="38"/>
        <v/>
      </c>
      <c r="L151" s="103" t="str">
        <f t="shared" si="39"/>
        <v/>
      </c>
      <c r="M151" s="53">
        <v>0</v>
      </c>
      <c r="N151" s="102" t="str">
        <f t="shared" si="40"/>
        <v/>
      </c>
      <c r="O151" s="103" t="str">
        <f t="shared" si="41"/>
        <v/>
      </c>
      <c r="P151" s="53">
        <v>0</v>
      </c>
      <c r="Q151" s="102" t="str">
        <f t="shared" si="42"/>
        <v/>
      </c>
      <c r="R151" s="103" t="str">
        <f t="shared" si="43"/>
        <v/>
      </c>
      <c r="S151" s="53">
        <v>0</v>
      </c>
      <c r="T151" s="102" t="str">
        <f t="shared" si="44"/>
        <v/>
      </c>
      <c r="U151" s="103" t="str">
        <f t="shared" si="45"/>
        <v/>
      </c>
      <c r="V151" s="53">
        <v>0</v>
      </c>
      <c r="W151" s="87" t="str">
        <f t="shared" si="46"/>
        <v/>
      </c>
      <c r="X151" s="103" t="str">
        <f t="shared" si="47"/>
        <v/>
      </c>
      <c r="Y151" s="53">
        <v>0</v>
      </c>
      <c r="Z151" s="56" t="str">
        <f t="shared" si="48"/>
        <v/>
      </c>
      <c r="AA151" s="56" t="str">
        <f t="shared" si="49"/>
        <v/>
      </c>
      <c r="AB151" s="56" t="str">
        <f t="shared" si="50"/>
        <v/>
      </c>
      <c r="AC151" s="56" t="str">
        <f t="shared" si="51"/>
        <v/>
      </c>
      <c r="AD151" s="56" t="str">
        <f t="shared" si="52"/>
        <v/>
      </c>
      <c r="AE151" s="40"/>
      <c r="AF151" s="40"/>
      <c r="AG151" s="40"/>
      <c r="AH151" s="56" t="str">
        <f t="shared" si="36"/>
        <v/>
      </c>
      <c r="AI151" s="54"/>
      <c r="AJ151" s="54"/>
      <c r="AK151" s="54"/>
      <c r="AL151" s="54"/>
      <c r="AM151" s="54"/>
    </row>
    <row r="152" spans="1:39">
      <c r="A152" s="45" t="str" cm="1">
        <f t="array" ref="A152">IF(H152="PROJECT", CHAR(10) &amp; "- " &amp; _xlfn.TEXTJOIN(CHAR(10) &amp; "- ", TRUE, _xlfn._xlws.FILTER($I$9:$I$1000, ($B$9:$B$1000=B152) * ($H$9:$H$1000="Topic"))), "")</f>
        <v/>
      </c>
      <c r="B152" s="45" t="str">
        <f t="shared" si="37"/>
        <v/>
      </c>
      <c r="C152" s="95"/>
      <c r="D152" s="57"/>
      <c r="E152" s="58"/>
      <c r="F152" s="54"/>
      <c r="G152" s="52"/>
      <c r="H152" s="52"/>
      <c r="I152" s="61"/>
      <c r="J152" s="62"/>
      <c r="K152" s="129" t="str">
        <f t="shared" si="38"/>
        <v/>
      </c>
      <c r="L152" s="103" t="str">
        <f t="shared" si="39"/>
        <v/>
      </c>
      <c r="M152" s="52">
        <v>0</v>
      </c>
      <c r="N152" s="102" t="str">
        <f t="shared" si="40"/>
        <v/>
      </c>
      <c r="O152" s="103" t="str">
        <f t="shared" si="41"/>
        <v/>
      </c>
      <c r="P152" s="52">
        <v>0</v>
      </c>
      <c r="Q152" s="102" t="str">
        <f t="shared" si="42"/>
        <v/>
      </c>
      <c r="R152" s="103" t="str">
        <f t="shared" si="43"/>
        <v/>
      </c>
      <c r="S152" s="52">
        <v>0</v>
      </c>
      <c r="T152" s="102" t="str">
        <f t="shared" si="44"/>
        <v/>
      </c>
      <c r="U152" s="103" t="str">
        <f t="shared" si="45"/>
        <v/>
      </c>
      <c r="V152" s="52">
        <v>0</v>
      </c>
      <c r="W152" s="87" t="str">
        <f t="shared" si="46"/>
        <v/>
      </c>
      <c r="X152" s="103" t="str">
        <f t="shared" si="47"/>
        <v/>
      </c>
      <c r="Y152" s="52">
        <v>0</v>
      </c>
      <c r="Z152" s="56" t="str">
        <f t="shared" si="48"/>
        <v/>
      </c>
      <c r="AA152" s="56" t="str">
        <f t="shared" si="49"/>
        <v/>
      </c>
      <c r="AB152" s="56" t="str">
        <f t="shared" si="50"/>
        <v/>
      </c>
      <c r="AC152" s="56" t="str">
        <f t="shared" si="51"/>
        <v/>
      </c>
      <c r="AD152" s="56" t="str">
        <f t="shared" si="52"/>
        <v/>
      </c>
      <c r="AE152" s="40"/>
      <c r="AF152" s="40"/>
      <c r="AG152" s="40"/>
      <c r="AH152" s="56" t="str">
        <f t="shared" si="36"/>
        <v/>
      </c>
      <c r="AI152" s="54"/>
      <c r="AJ152" s="54"/>
      <c r="AK152" s="54"/>
      <c r="AL152" s="54"/>
      <c r="AM152" s="54"/>
    </row>
    <row r="153" spans="1:39">
      <c r="A153" s="45" t="str" cm="1">
        <f t="array" ref="A153">IF(H153="PROJECT", CHAR(10) &amp; "- " &amp; _xlfn.TEXTJOIN(CHAR(10) &amp; "- ", TRUE, _xlfn._xlws.FILTER($I$9:$I$1000, ($B$9:$B$1000=B153) * ($H$9:$H$1000="Topic"))), "")</f>
        <v/>
      </c>
      <c r="B153" s="45" t="str">
        <f t="shared" si="37"/>
        <v/>
      </c>
      <c r="C153" s="95"/>
      <c r="D153" s="46"/>
      <c r="E153" s="58"/>
      <c r="F153" s="67"/>
      <c r="G153" s="53"/>
      <c r="H153" s="53"/>
      <c r="I153" s="50"/>
      <c r="J153" s="51"/>
      <c r="K153" s="129" t="str">
        <f t="shared" si="38"/>
        <v/>
      </c>
      <c r="L153" s="103" t="str">
        <f t="shared" si="39"/>
        <v/>
      </c>
      <c r="M153" s="53">
        <v>0</v>
      </c>
      <c r="N153" s="102" t="str">
        <f t="shared" si="40"/>
        <v/>
      </c>
      <c r="O153" s="103" t="str">
        <f t="shared" si="41"/>
        <v/>
      </c>
      <c r="P153" s="53">
        <v>0</v>
      </c>
      <c r="Q153" s="102" t="str">
        <f t="shared" si="42"/>
        <v/>
      </c>
      <c r="R153" s="103" t="str">
        <f t="shared" si="43"/>
        <v/>
      </c>
      <c r="S153" s="53">
        <v>0</v>
      </c>
      <c r="T153" s="102" t="str">
        <f t="shared" si="44"/>
        <v/>
      </c>
      <c r="U153" s="103" t="str">
        <f t="shared" si="45"/>
        <v/>
      </c>
      <c r="V153" s="53">
        <v>0</v>
      </c>
      <c r="W153" s="87" t="str">
        <f t="shared" si="46"/>
        <v/>
      </c>
      <c r="X153" s="103" t="str">
        <f t="shared" si="47"/>
        <v/>
      </c>
      <c r="Y153" s="53">
        <v>0</v>
      </c>
      <c r="Z153" s="56" t="str">
        <f t="shared" si="48"/>
        <v/>
      </c>
      <c r="AA153" s="56" t="str">
        <f t="shared" si="49"/>
        <v/>
      </c>
      <c r="AB153" s="56" t="str">
        <f t="shared" si="50"/>
        <v/>
      </c>
      <c r="AC153" s="56" t="str">
        <f t="shared" si="51"/>
        <v/>
      </c>
      <c r="AD153" s="56" t="str">
        <f t="shared" si="52"/>
        <v/>
      </c>
      <c r="AE153" s="40"/>
      <c r="AF153" s="40"/>
      <c r="AG153" s="40"/>
      <c r="AH153" s="56" t="str">
        <f t="shared" si="36"/>
        <v/>
      </c>
      <c r="AI153" s="54"/>
      <c r="AJ153" s="54"/>
      <c r="AK153" s="54"/>
      <c r="AL153" s="54"/>
      <c r="AM153" s="54"/>
    </row>
    <row r="154" spans="1:39">
      <c r="A154" s="45" t="str" cm="1">
        <f t="array" ref="A154">IF(H154="PROJECT", CHAR(10) &amp; "- " &amp; _xlfn.TEXTJOIN(CHAR(10) &amp; "- ", TRUE, _xlfn._xlws.FILTER($I$9:$I$1000, ($B$9:$B$1000=B154) * ($H$9:$H$1000="Topic"))), "")</f>
        <v/>
      </c>
      <c r="B154" s="45" t="str">
        <f t="shared" si="37"/>
        <v/>
      </c>
      <c r="C154" s="95"/>
      <c r="D154" s="57"/>
      <c r="E154" s="58"/>
      <c r="F154" s="54"/>
      <c r="G154" s="52"/>
      <c r="H154" s="52"/>
      <c r="I154" s="61"/>
      <c r="J154" s="62"/>
      <c r="K154" s="129" t="str">
        <f t="shared" si="38"/>
        <v/>
      </c>
      <c r="L154" s="103" t="str">
        <f t="shared" si="39"/>
        <v/>
      </c>
      <c r="M154" s="52">
        <v>0</v>
      </c>
      <c r="N154" s="102" t="str">
        <f t="shared" si="40"/>
        <v/>
      </c>
      <c r="O154" s="103" t="str">
        <f t="shared" si="41"/>
        <v/>
      </c>
      <c r="P154" s="52">
        <v>0</v>
      </c>
      <c r="Q154" s="102" t="str">
        <f t="shared" si="42"/>
        <v/>
      </c>
      <c r="R154" s="103" t="str">
        <f t="shared" si="43"/>
        <v/>
      </c>
      <c r="S154" s="52">
        <v>0</v>
      </c>
      <c r="T154" s="102" t="str">
        <f t="shared" si="44"/>
        <v/>
      </c>
      <c r="U154" s="103" t="str">
        <f t="shared" si="45"/>
        <v/>
      </c>
      <c r="V154" s="52">
        <v>0</v>
      </c>
      <c r="W154" s="87" t="str">
        <f t="shared" si="46"/>
        <v/>
      </c>
      <c r="X154" s="103" t="str">
        <f t="shared" si="47"/>
        <v/>
      </c>
      <c r="Y154" s="52">
        <v>0</v>
      </c>
      <c r="Z154" s="56" t="str">
        <f t="shared" si="48"/>
        <v/>
      </c>
      <c r="AA154" s="56" t="str">
        <f t="shared" si="49"/>
        <v/>
      </c>
      <c r="AB154" s="56" t="str">
        <f t="shared" si="50"/>
        <v/>
      </c>
      <c r="AC154" s="56" t="str">
        <f t="shared" si="51"/>
        <v/>
      </c>
      <c r="AD154" s="56" t="str">
        <f t="shared" si="52"/>
        <v/>
      </c>
      <c r="AE154" s="40"/>
      <c r="AF154" s="40"/>
      <c r="AG154" s="40"/>
      <c r="AH154" s="56" t="str">
        <f t="shared" si="36"/>
        <v/>
      </c>
      <c r="AI154" s="54"/>
      <c r="AJ154" s="54"/>
      <c r="AK154" s="54"/>
      <c r="AL154" s="54"/>
      <c r="AM154" s="54"/>
    </row>
    <row r="155" spans="1:39">
      <c r="A155" s="45" t="str" cm="1">
        <f t="array" ref="A155">IF(H155="PROJECT", CHAR(10) &amp; "- " &amp; _xlfn.TEXTJOIN(CHAR(10) &amp; "- ", TRUE, _xlfn._xlws.FILTER($I$9:$I$1000, ($B$9:$B$1000=B155) * ($H$9:$H$1000="Topic"))), "")</f>
        <v/>
      </c>
      <c r="B155" s="45" t="str">
        <f t="shared" si="37"/>
        <v/>
      </c>
      <c r="C155" s="95"/>
      <c r="D155" s="46"/>
      <c r="E155" s="58"/>
      <c r="F155" s="67"/>
      <c r="G155" s="53"/>
      <c r="H155" s="53"/>
      <c r="I155" s="50"/>
      <c r="J155" s="51"/>
      <c r="K155" s="129" t="str">
        <f t="shared" si="38"/>
        <v/>
      </c>
      <c r="L155" s="103" t="str">
        <f t="shared" si="39"/>
        <v/>
      </c>
      <c r="M155" s="53">
        <v>0</v>
      </c>
      <c r="N155" s="102" t="str">
        <f t="shared" si="40"/>
        <v/>
      </c>
      <c r="O155" s="103" t="str">
        <f t="shared" si="41"/>
        <v/>
      </c>
      <c r="P155" s="53">
        <v>0</v>
      </c>
      <c r="Q155" s="102" t="str">
        <f t="shared" si="42"/>
        <v/>
      </c>
      <c r="R155" s="103" t="str">
        <f t="shared" si="43"/>
        <v/>
      </c>
      <c r="S155" s="53">
        <v>0</v>
      </c>
      <c r="T155" s="102" t="str">
        <f t="shared" si="44"/>
        <v/>
      </c>
      <c r="U155" s="103" t="str">
        <f t="shared" si="45"/>
        <v/>
      </c>
      <c r="V155" s="53">
        <v>0</v>
      </c>
      <c r="W155" s="87" t="str">
        <f t="shared" si="46"/>
        <v/>
      </c>
      <c r="X155" s="103" t="str">
        <f t="shared" si="47"/>
        <v/>
      </c>
      <c r="Y155" s="53">
        <v>0</v>
      </c>
      <c r="Z155" s="56" t="str">
        <f t="shared" si="48"/>
        <v/>
      </c>
      <c r="AA155" s="56" t="str">
        <f t="shared" si="49"/>
        <v/>
      </c>
      <c r="AB155" s="56" t="str">
        <f t="shared" si="50"/>
        <v/>
      </c>
      <c r="AC155" s="56" t="str">
        <f t="shared" si="51"/>
        <v/>
      </c>
      <c r="AD155" s="56" t="str">
        <f t="shared" si="52"/>
        <v/>
      </c>
      <c r="AE155" s="40"/>
      <c r="AF155" s="40"/>
      <c r="AG155" s="40"/>
      <c r="AH155" s="56" t="str">
        <f t="shared" si="36"/>
        <v/>
      </c>
      <c r="AI155" s="54"/>
      <c r="AJ155" s="54"/>
      <c r="AK155" s="54"/>
      <c r="AL155" s="54"/>
      <c r="AM155" s="54"/>
    </row>
    <row r="156" spans="1:39">
      <c r="A156" s="45" t="str" cm="1">
        <f t="array" ref="A156">IF(H156="PROJECT", CHAR(10) &amp; "- " &amp; _xlfn.TEXTJOIN(CHAR(10) &amp; "- ", TRUE, _xlfn._xlws.FILTER($I$9:$I$1000, ($B$9:$B$1000=B156) * ($H$9:$H$1000="Topic"))), "")</f>
        <v/>
      </c>
      <c r="B156" s="45" t="str">
        <f t="shared" si="37"/>
        <v/>
      </c>
      <c r="C156" s="95"/>
      <c r="D156" s="57"/>
      <c r="E156" s="58"/>
      <c r="F156" s="54"/>
      <c r="G156" s="52"/>
      <c r="H156" s="52"/>
      <c r="I156" s="61"/>
      <c r="J156" s="62"/>
      <c r="K156" s="129" t="str">
        <f t="shared" si="38"/>
        <v/>
      </c>
      <c r="L156" s="103" t="str">
        <f t="shared" si="39"/>
        <v/>
      </c>
      <c r="M156" s="52">
        <v>0</v>
      </c>
      <c r="N156" s="102" t="str">
        <f t="shared" si="40"/>
        <v/>
      </c>
      <c r="O156" s="103" t="str">
        <f t="shared" si="41"/>
        <v/>
      </c>
      <c r="P156" s="52">
        <v>0</v>
      </c>
      <c r="Q156" s="102" t="str">
        <f t="shared" si="42"/>
        <v/>
      </c>
      <c r="R156" s="103" t="str">
        <f t="shared" si="43"/>
        <v/>
      </c>
      <c r="S156" s="52">
        <v>0</v>
      </c>
      <c r="T156" s="102" t="str">
        <f t="shared" si="44"/>
        <v/>
      </c>
      <c r="U156" s="103" t="str">
        <f t="shared" si="45"/>
        <v/>
      </c>
      <c r="V156" s="52">
        <v>0</v>
      </c>
      <c r="W156" s="87" t="str">
        <f t="shared" si="46"/>
        <v/>
      </c>
      <c r="X156" s="103" t="str">
        <f t="shared" si="47"/>
        <v/>
      </c>
      <c r="Y156" s="52">
        <v>0</v>
      </c>
      <c r="Z156" s="56" t="str">
        <f t="shared" si="48"/>
        <v/>
      </c>
      <c r="AA156" s="56" t="str">
        <f t="shared" si="49"/>
        <v/>
      </c>
      <c r="AB156" s="56" t="str">
        <f t="shared" si="50"/>
        <v/>
      </c>
      <c r="AC156" s="56" t="str">
        <f t="shared" si="51"/>
        <v/>
      </c>
      <c r="AD156" s="56" t="str">
        <f t="shared" si="52"/>
        <v/>
      </c>
      <c r="AE156" s="40"/>
      <c r="AF156" s="40"/>
      <c r="AG156" s="40"/>
      <c r="AH156" s="56" t="str">
        <f t="shared" si="36"/>
        <v/>
      </c>
      <c r="AI156" s="54"/>
      <c r="AJ156" s="54"/>
      <c r="AK156" s="54"/>
      <c r="AL156" s="54"/>
      <c r="AM156" s="54"/>
    </row>
    <row r="157" spans="1:39">
      <c r="A157" s="45" t="str" cm="1">
        <f t="array" ref="A157">IF(H157="PROJECT", CHAR(10) &amp; "- " &amp; _xlfn.TEXTJOIN(CHAR(10) &amp; "- ", TRUE, _xlfn._xlws.FILTER($I$9:$I$1000, ($B$9:$B$1000=B157) * ($H$9:$H$1000="Topic"))), "")</f>
        <v/>
      </c>
      <c r="B157" s="45" t="str">
        <f t="shared" si="37"/>
        <v/>
      </c>
      <c r="C157" s="95"/>
      <c r="D157" s="46"/>
      <c r="E157" s="58"/>
      <c r="F157" s="67"/>
      <c r="G157" s="53"/>
      <c r="H157" s="53"/>
      <c r="I157" s="50"/>
      <c r="J157" s="51"/>
      <c r="K157" s="129" t="str">
        <f t="shared" si="38"/>
        <v/>
      </c>
      <c r="L157" s="103" t="str">
        <f t="shared" si="39"/>
        <v/>
      </c>
      <c r="M157" s="53">
        <v>0</v>
      </c>
      <c r="N157" s="102" t="str">
        <f t="shared" si="40"/>
        <v/>
      </c>
      <c r="O157" s="103" t="str">
        <f t="shared" si="41"/>
        <v/>
      </c>
      <c r="P157" s="53">
        <v>0</v>
      </c>
      <c r="Q157" s="102" t="str">
        <f t="shared" si="42"/>
        <v/>
      </c>
      <c r="R157" s="103" t="str">
        <f t="shared" si="43"/>
        <v/>
      </c>
      <c r="S157" s="53">
        <v>0</v>
      </c>
      <c r="T157" s="102" t="str">
        <f t="shared" si="44"/>
        <v/>
      </c>
      <c r="U157" s="103" t="str">
        <f t="shared" si="45"/>
        <v/>
      </c>
      <c r="V157" s="53">
        <v>0</v>
      </c>
      <c r="W157" s="87" t="str">
        <f t="shared" si="46"/>
        <v/>
      </c>
      <c r="X157" s="103" t="str">
        <f t="shared" si="47"/>
        <v/>
      </c>
      <c r="Y157" s="53">
        <v>0</v>
      </c>
      <c r="Z157" s="56" t="str">
        <f t="shared" si="48"/>
        <v/>
      </c>
      <c r="AA157" s="56" t="str">
        <f t="shared" si="49"/>
        <v/>
      </c>
      <c r="AB157" s="56" t="str">
        <f t="shared" si="50"/>
        <v/>
      </c>
      <c r="AC157" s="56" t="str">
        <f t="shared" si="51"/>
        <v/>
      </c>
      <c r="AD157" s="56" t="str">
        <f t="shared" si="52"/>
        <v/>
      </c>
      <c r="AE157" s="40"/>
      <c r="AF157" s="40"/>
      <c r="AG157" s="40"/>
      <c r="AH157" s="56" t="str">
        <f t="shared" si="36"/>
        <v/>
      </c>
      <c r="AI157" s="54"/>
      <c r="AJ157" s="54"/>
      <c r="AK157" s="54"/>
      <c r="AL157" s="54"/>
      <c r="AM157" s="54"/>
    </row>
    <row r="158" spans="1:39">
      <c r="A158" s="45" t="str" cm="1">
        <f t="array" ref="A158">IF(H158="PROJECT", CHAR(10) &amp; "- " &amp; _xlfn.TEXTJOIN(CHAR(10) &amp; "- ", TRUE, _xlfn._xlws.FILTER($I$9:$I$1000, ($B$9:$B$1000=B158) * ($H$9:$H$1000="Topic"))), "")</f>
        <v/>
      </c>
      <c r="B158" s="45" t="str">
        <f t="shared" si="37"/>
        <v/>
      </c>
      <c r="C158" s="95"/>
      <c r="D158" s="57"/>
      <c r="E158" s="58"/>
      <c r="F158" s="54"/>
      <c r="G158" s="52"/>
      <c r="H158" s="52"/>
      <c r="I158" s="61"/>
      <c r="J158" s="62"/>
      <c r="K158" s="129" t="str">
        <f t="shared" si="38"/>
        <v/>
      </c>
      <c r="L158" s="103" t="str">
        <f t="shared" si="39"/>
        <v/>
      </c>
      <c r="M158" s="52">
        <v>0</v>
      </c>
      <c r="N158" s="102" t="str">
        <f t="shared" si="40"/>
        <v/>
      </c>
      <c r="O158" s="103" t="str">
        <f t="shared" si="41"/>
        <v/>
      </c>
      <c r="P158" s="52">
        <v>0</v>
      </c>
      <c r="Q158" s="102" t="str">
        <f t="shared" si="42"/>
        <v/>
      </c>
      <c r="R158" s="103" t="str">
        <f t="shared" si="43"/>
        <v/>
      </c>
      <c r="S158" s="52">
        <v>0</v>
      </c>
      <c r="T158" s="102" t="str">
        <f t="shared" si="44"/>
        <v/>
      </c>
      <c r="U158" s="103" t="str">
        <f t="shared" si="45"/>
        <v/>
      </c>
      <c r="V158" s="52">
        <v>0</v>
      </c>
      <c r="W158" s="87" t="str">
        <f t="shared" si="46"/>
        <v/>
      </c>
      <c r="X158" s="103" t="str">
        <f t="shared" si="47"/>
        <v/>
      </c>
      <c r="Y158" s="52">
        <v>0</v>
      </c>
      <c r="Z158" s="56" t="str">
        <f t="shared" si="48"/>
        <v/>
      </c>
      <c r="AA158" s="56" t="str">
        <f t="shared" si="49"/>
        <v/>
      </c>
      <c r="AB158" s="56" t="str">
        <f t="shared" si="50"/>
        <v/>
      </c>
      <c r="AC158" s="56" t="str">
        <f t="shared" si="51"/>
        <v/>
      </c>
      <c r="AD158" s="56" t="str">
        <f t="shared" si="52"/>
        <v/>
      </c>
      <c r="AE158" s="40"/>
      <c r="AF158" s="40"/>
      <c r="AG158" s="40"/>
      <c r="AH158" s="56" t="str">
        <f t="shared" si="36"/>
        <v/>
      </c>
      <c r="AI158" s="54"/>
      <c r="AJ158" s="54"/>
      <c r="AK158" s="54"/>
      <c r="AL158" s="54"/>
      <c r="AM158" s="54"/>
    </row>
    <row r="159" spans="1:39">
      <c r="A159" s="45" t="str" cm="1">
        <f t="array" ref="A159">IF(H159="PROJECT", CHAR(10) &amp; "- " &amp; _xlfn.TEXTJOIN(CHAR(10) &amp; "- ", TRUE, _xlfn._xlws.FILTER($I$9:$I$1000, ($B$9:$B$1000=B159) * ($H$9:$H$1000="Topic"))), "")</f>
        <v/>
      </c>
      <c r="B159" s="45" t="str">
        <f t="shared" si="37"/>
        <v/>
      </c>
      <c r="C159" s="95"/>
      <c r="D159" s="46"/>
      <c r="E159" s="58"/>
      <c r="F159" s="67"/>
      <c r="G159" s="53"/>
      <c r="H159" s="53"/>
      <c r="I159" s="50"/>
      <c r="J159" s="51"/>
      <c r="K159" s="129" t="str">
        <f t="shared" si="38"/>
        <v/>
      </c>
      <c r="L159" s="103" t="str">
        <f t="shared" si="39"/>
        <v/>
      </c>
      <c r="M159" s="53">
        <v>0</v>
      </c>
      <c r="N159" s="102" t="str">
        <f t="shared" si="40"/>
        <v/>
      </c>
      <c r="O159" s="103" t="str">
        <f t="shared" si="41"/>
        <v/>
      </c>
      <c r="P159" s="53">
        <v>0</v>
      </c>
      <c r="Q159" s="102" t="str">
        <f t="shared" si="42"/>
        <v/>
      </c>
      <c r="R159" s="103" t="str">
        <f t="shared" si="43"/>
        <v/>
      </c>
      <c r="S159" s="53">
        <v>0</v>
      </c>
      <c r="T159" s="102" t="str">
        <f t="shared" si="44"/>
        <v/>
      </c>
      <c r="U159" s="103" t="str">
        <f t="shared" si="45"/>
        <v/>
      </c>
      <c r="V159" s="53">
        <v>0</v>
      </c>
      <c r="W159" s="87" t="str">
        <f t="shared" si="46"/>
        <v/>
      </c>
      <c r="X159" s="103" t="str">
        <f t="shared" si="47"/>
        <v/>
      </c>
      <c r="Y159" s="53">
        <v>0</v>
      </c>
      <c r="Z159" s="56" t="str">
        <f t="shared" si="48"/>
        <v/>
      </c>
      <c r="AA159" s="56" t="str">
        <f t="shared" si="49"/>
        <v/>
      </c>
      <c r="AB159" s="56" t="str">
        <f t="shared" si="50"/>
        <v/>
      </c>
      <c r="AC159" s="56" t="str">
        <f t="shared" si="51"/>
        <v/>
      </c>
      <c r="AD159" s="56" t="str">
        <f t="shared" si="52"/>
        <v/>
      </c>
      <c r="AE159" s="40"/>
      <c r="AF159" s="40"/>
      <c r="AG159" s="40"/>
      <c r="AH159" s="56" t="str">
        <f t="shared" si="36"/>
        <v/>
      </c>
      <c r="AI159" s="54"/>
      <c r="AJ159" s="54"/>
      <c r="AK159" s="54"/>
      <c r="AL159" s="54"/>
      <c r="AM159" s="54"/>
    </row>
    <row r="160" spans="1:39">
      <c r="A160" s="45" t="str" cm="1">
        <f t="array" ref="A160">IF(H160="PROJECT", CHAR(10) &amp; "- " &amp; _xlfn.TEXTJOIN(CHAR(10) &amp; "- ", TRUE, _xlfn._xlws.FILTER($I$9:$I$1000, ($B$9:$B$1000=B160) * ($H$9:$H$1000="Topic"))), "")</f>
        <v/>
      </c>
      <c r="B160" s="45" t="str">
        <f t="shared" si="37"/>
        <v/>
      </c>
      <c r="C160" s="95"/>
      <c r="D160" s="57"/>
      <c r="E160" s="58"/>
      <c r="F160" s="54"/>
      <c r="G160" s="52"/>
      <c r="H160" s="52"/>
      <c r="I160" s="61"/>
      <c r="J160" s="62"/>
      <c r="K160" s="129" t="str">
        <f t="shared" si="38"/>
        <v/>
      </c>
      <c r="L160" s="103" t="str">
        <f t="shared" si="39"/>
        <v/>
      </c>
      <c r="M160" s="52">
        <v>0</v>
      </c>
      <c r="N160" s="102" t="str">
        <f t="shared" si="40"/>
        <v/>
      </c>
      <c r="O160" s="103" t="str">
        <f t="shared" si="41"/>
        <v/>
      </c>
      <c r="P160" s="52">
        <v>0</v>
      </c>
      <c r="Q160" s="102" t="str">
        <f t="shared" si="42"/>
        <v/>
      </c>
      <c r="R160" s="103" t="str">
        <f t="shared" si="43"/>
        <v/>
      </c>
      <c r="S160" s="52">
        <v>0</v>
      </c>
      <c r="T160" s="102" t="str">
        <f t="shared" si="44"/>
        <v/>
      </c>
      <c r="U160" s="103" t="str">
        <f t="shared" si="45"/>
        <v/>
      </c>
      <c r="V160" s="52">
        <v>0</v>
      </c>
      <c r="W160" s="87" t="str">
        <f t="shared" si="46"/>
        <v/>
      </c>
      <c r="X160" s="103" t="str">
        <f t="shared" si="47"/>
        <v/>
      </c>
      <c r="Y160" s="52">
        <v>0</v>
      </c>
      <c r="Z160" s="56" t="str">
        <f t="shared" si="48"/>
        <v/>
      </c>
      <c r="AA160" s="56" t="str">
        <f t="shared" si="49"/>
        <v/>
      </c>
      <c r="AB160" s="56" t="str">
        <f t="shared" si="50"/>
        <v/>
      </c>
      <c r="AC160" s="56" t="str">
        <f t="shared" si="51"/>
        <v/>
      </c>
      <c r="AD160" s="56" t="str">
        <f t="shared" si="52"/>
        <v/>
      </c>
      <c r="AE160" s="40"/>
      <c r="AF160" s="40"/>
      <c r="AG160" s="40"/>
      <c r="AH160" s="56" t="str">
        <f t="shared" si="36"/>
        <v/>
      </c>
      <c r="AI160" s="54"/>
      <c r="AJ160" s="54"/>
      <c r="AK160" s="54"/>
      <c r="AL160" s="54"/>
      <c r="AM160" s="54"/>
    </row>
    <row r="161" spans="1:39">
      <c r="A161" s="45" t="str" cm="1">
        <f t="array" ref="A161">IF(H161="PROJECT", CHAR(10) &amp; "- " &amp; _xlfn.TEXTJOIN(CHAR(10) &amp; "- ", TRUE, _xlfn._xlws.FILTER($I$9:$I$1000, ($B$9:$B$1000=B161) * ($H$9:$H$1000="Topic"))), "")</f>
        <v/>
      </c>
      <c r="B161" s="45" t="str">
        <f t="shared" si="37"/>
        <v/>
      </c>
      <c r="C161" s="95"/>
      <c r="D161" s="46"/>
      <c r="E161" s="58"/>
      <c r="F161" s="67"/>
      <c r="G161" s="53"/>
      <c r="H161" s="53"/>
      <c r="I161" s="50"/>
      <c r="J161" s="51"/>
      <c r="K161" s="129" t="str">
        <f t="shared" si="38"/>
        <v/>
      </c>
      <c r="L161" s="103" t="str">
        <f t="shared" si="39"/>
        <v/>
      </c>
      <c r="M161" s="53">
        <v>0</v>
      </c>
      <c r="N161" s="102" t="str">
        <f t="shared" si="40"/>
        <v/>
      </c>
      <c r="O161" s="103" t="str">
        <f t="shared" si="41"/>
        <v/>
      </c>
      <c r="P161" s="53">
        <v>0</v>
      </c>
      <c r="Q161" s="102" t="str">
        <f t="shared" si="42"/>
        <v/>
      </c>
      <c r="R161" s="103" t="str">
        <f t="shared" si="43"/>
        <v/>
      </c>
      <c r="S161" s="53">
        <v>0</v>
      </c>
      <c r="T161" s="102" t="str">
        <f t="shared" si="44"/>
        <v/>
      </c>
      <c r="U161" s="103" t="str">
        <f t="shared" si="45"/>
        <v/>
      </c>
      <c r="V161" s="53">
        <v>0</v>
      </c>
      <c r="W161" s="87" t="str">
        <f t="shared" si="46"/>
        <v/>
      </c>
      <c r="X161" s="103" t="str">
        <f t="shared" si="47"/>
        <v/>
      </c>
      <c r="Y161" s="53">
        <v>0</v>
      </c>
      <c r="Z161" s="56" t="str">
        <f t="shared" si="48"/>
        <v/>
      </c>
      <c r="AA161" s="56" t="str">
        <f t="shared" si="49"/>
        <v/>
      </c>
      <c r="AB161" s="56" t="str">
        <f t="shared" si="50"/>
        <v/>
      </c>
      <c r="AC161" s="56" t="str">
        <f t="shared" si="51"/>
        <v/>
      </c>
      <c r="AD161" s="56" t="str">
        <f t="shared" si="52"/>
        <v/>
      </c>
      <c r="AE161" s="40"/>
      <c r="AF161" s="40"/>
      <c r="AG161" s="40"/>
      <c r="AH161" s="56" t="str">
        <f t="shared" si="36"/>
        <v/>
      </c>
      <c r="AI161" s="54"/>
      <c r="AJ161" s="54"/>
      <c r="AK161" s="54"/>
      <c r="AL161" s="54"/>
      <c r="AM161" s="54"/>
    </row>
    <row r="162" spans="1:39">
      <c r="A162" s="45" t="str" cm="1">
        <f t="array" ref="A162">IF(H162="PROJECT", CHAR(10) &amp; "- " &amp; _xlfn.TEXTJOIN(CHAR(10) &amp; "- ", TRUE, _xlfn._xlws.FILTER($I$9:$I$1000, ($B$9:$B$1000=B162) * ($H$9:$H$1000="Topic"))), "")</f>
        <v/>
      </c>
      <c r="B162" s="45" t="str">
        <f t="shared" si="37"/>
        <v/>
      </c>
      <c r="C162" s="95"/>
      <c r="D162" s="57"/>
      <c r="E162" s="58"/>
      <c r="F162" s="54"/>
      <c r="G162" s="52"/>
      <c r="H162" s="52"/>
      <c r="I162" s="61"/>
      <c r="J162" s="62"/>
      <c r="K162" s="129" t="str">
        <f t="shared" si="38"/>
        <v/>
      </c>
      <c r="L162" s="103" t="str">
        <f t="shared" si="39"/>
        <v/>
      </c>
      <c r="M162" s="52">
        <v>0</v>
      </c>
      <c r="N162" s="102" t="str">
        <f t="shared" si="40"/>
        <v/>
      </c>
      <c r="O162" s="103" t="str">
        <f t="shared" si="41"/>
        <v/>
      </c>
      <c r="P162" s="52">
        <v>0</v>
      </c>
      <c r="Q162" s="102" t="str">
        <f t="shared" si="42"/>
        <v/>
      </c>
      <c r="R162" s="103" t="str">
        <f t="shared" si="43"/>
        <v/>
      </c>
      <c r="S162" s="52">
        <v>0</v>
      </c>
      <c r="T162" s="102" t="str">
        <f t="shared" si="44"/>
        <v/>
      </c>
      <c r="U162" s="103" t="str">
        <f t="shared" si="45"/>
        <v/>
      </c>
      <c r="V162" s="52">
        <v>0</v>
      </c>
      <c r="W162" s="87" t="str">
        <f t="shared" si="46"/>
        <v/>
      </c>
      <c r="X162" s="103" t="str">
        <f t="shared" si="47"/>
        <v/>
      </c>
      <c r="Y162" s="52">
        <v>0</v>
      </c>
      <c r="Z162" s="56" t="str">
        <f t="shared" si="48"/>
        <v/>
      </c>
      <c r="AA162" s="56" t="str">
        <f t="shared" si="49"/>
        <v/>
      </c>
      <c r="AB162" s="56" t="str">
        <f t="shared" si="50"/>
        <v/>
      </c>
      <c r="AC162" s="56" t="str">
        <f t="shared" si="51"/>
        <v/>
      </c>
      <c r="AD162" s="56" t="str">
        <f t="shared" si="52"/>
        <v/>
      </c>
      <c r="AE162" s="40"/>
      <c r="AF162" s="40"/>
      <c r="AG162" s="40"/>
      <c r="AH162" s="56" t="str">
        <f t="shared" si="36"/>
        <v/>
      </c>
      <c r="AI162" s="54"/>
      <c r="AJ162" s="54"/>
      <c r="AK162" s="54"/>
      <c r="AL162" s="54"/>
      <c r="AM162" s="54"/>
    </row>
    <row r="163" spans="1:39">
      <c r="A163" s="45" t="str" cm="1">
        <f t="array" ref="A163">IF(H163="PROJECT", CHAR(10) &amp; "- " &amp; _xlfn.TEXTJOIN(CHAR(10) &amp; "- ", TRUE, _xlfn._xlws.FILTER($I$9:$I$1000, ($B$9:$B$1000=B163) * ($H$9:$H$1000="Topic"))), "")</f>
        <v/>
      </c>
      <c r="B163" s="45" t="str">
        <f t="shared" si="37"/>
        <v/>
      </c>
      <c r="C163" s="95"/>
      <c r="D163" s="46"/>
      <c r="E163" s="58"/>
      <c r="F163" s="67"/>
      <c r="G163" s="53"/>
      <c r="H163" s="53"/>
      <c r="I163" s="50"/>
      <c r="J163" s="51"/>
      <c r="K163" s="129" t="str">
        <f t="shared" si="38"/>
        <v/>
      </c>
      <c r="L163" s="103" t="str">
        <f t="shared" si="39"/>
        <v/>
      </c>
      <c r="M163" s="53">
        <v>0</v>
      </c>
      <c r="N163" s="102" t="str">
        <f t="shared" si="40"/>
        <v/>
      </c>
      <c r="O163" s="103" t="str">
        <f t="shared" si="41"/>
        <v/>
      </c>
      <c r="P163" s="53">
        <v>0</v>
      </c>
      <c r="Q163" s="102" t="str">
        <f t="shared" si="42"/>
        <v/>
      </c>
      <c r="R163" s="103" t="str">
        <f t="shared" si="43"/>
        <v/>
      </c>
      <c r="S163" s="53">
        <v>0</v>
      </c>
      <c r="T163" s="102" t="str">
        <f t="shared" si="44"/>
        <v/>
      </c>
      <c r="U163" s="103" t="str">
        <f t="shared" si="45"/>
        <v/>
      </c>
      <c r="V163" s="53">
        <v>0</v>
      </c>
      <c r="W163" s="87" t="str">
        <f t="shared" si="46"/>
        <v/>
      </c>
      <c r="X163" s="103" t="str">
        <f t="shared" si="47"/>
        <v/>
      </c>
      <c r="Y163" s="53">
        <v>0</v>
      </c>
      <c r="Z163" s="56" t="str">
        <f t="shared" si="48"/>
        <v/>
      </c>
      <c r="AA163" s="56" t="str">
        <f t="shared" si="49"/>
        <v/>
      </c>
      <c r="AB163" s="56" t="str">
        <f t="shared" si="50"/>
        <v/>
      </c>
      <c r="AC163" s="56" t="str">
        <f t="shared" si="51"/>
        <v/>
      </c>
      <c r="AD163" s="56" t="str">
        <f t="shared" si="52"/>
        <v/>
      </c>
      <c r="AE163" s="40"/>
      <c r="AF163" s="40"/>
      <c r="AG163" s="40"/>
      <c r="AH163" s="56" t="str">
        <f t="shared" si="36"/>
        <v/>
      </c>
      <c r="AI163" s="54"/>
      <c r="AJ163" s="54"/>
      <c r="AK163" s="54"/>
      <c r="AL163" s="54"/>
      <c r="AM163" s="54"/>
    </row>
    <row r="164" spans="1:39">
      <c r="A164" s="45" t="str" cm="1">
        <f t="array" ref="A164">IF(H164="PROJECT", CHAR(10) &amp; "- " &amp; _xlfn.TEXTJOIN(CHAR(10) &amp; "- ", TRUE, _xlfn._xlws.FILTER($I$9:$I$1000, ($B$9:$B$1000=B164) * ($H$9:$H$1000="Topic"))), "")</f>
        <v/>
      </c>
      <c r="B164" s="45" t="str">
        <f t="shared" si="37"/>
        <v/>
      </c>
      <c r="C164" s="95"/>
      <c r="D164" s="57"/>
      <c r="E164" s="58"/>
      <c r="F164" s="54"/>
      <c r="G164" s="52"/>
      <c r="H164" s="52"/>
      <c r="I164" s="61"/>
      <c r="J164" s="62"/>
      <c r="K164" s="129" t="str">
        <f t="shared" si="38"/>
        <v/>
      </c>
      <c r="L164" s="103" t="str">
        <f t="shared" si="39"/>
        <v/>
      </c>
      <c r="M164" s="52">
        <v>0</v>
      </c>
      <c r="N164" s="102" t="str">
        <f t="shared" si="40"/>
        <v/>
      </c>
      <c r="O164" s="103" t="str">
        <f t="shared" si="41"/>
        <v/>
      </c>
      <c r="P164" s="52">
        <v>0</v>
      </c>
      <c r="Q164" s="102" t="str">
        <f t="shared" si="42"/>
        <v/>
      </c>
      <c r="R164" s="103" t="str">
        <f t="shared" si="43"/>
        <v/>
      </c>
      <c r="S164" s="52">
        <v>0</v>
      </c>
      <c r="T164" s="102" t="str">
        <f t="shared" si="44"/>
        <v/>
      </c>
      <c r="U164" s="103" t="str">
        <f t="shared" si="45"/>
        <v/>
      </c>
      <c r="V164" s="52">
        <v>0</v>
      </c>
      <c r="W164" s="87" t="str">
        <f t="shared" si="46"/>
        <v/>
      </c>
      <c r="X164" s="103" t="str">
        <f t="shared" si="47"/>
        <v/>
      </c>
      <c r="Y164" s="52">
        <v>0</v>
      </c>
      <c r="Z164" s="56" t="str">
        <f t="shared" si="48"/>
        <v/>
      </c>
      <c r="AA164" s="56" t="str">
        <f t="shared" si="49"/>
        <v/>
      </c>
      <c r="AB164" s="56" t="str">
        <f t="shared" si="50"/>
        <v/>
      </c>
      <c r="AC164" s="56" t="str">
        <f t="shared" si="51"/>
        <v/>
      </c>
      <c r="AD164" s="56" t="str">
        <f t="shared" si="52"/>
        <v/>
      </c>
      <c r="AE164" s="40"/>
      <c r="AF164" s="40"/>
      <c r="AG164" s="40"/>
      <c r="AH164" s="56" t="str">
        <f t="shared" si="36"/>
        <v/>
      </c>
      <c r="AI164" s="54"/>
      <c r="AJ164" s="54"/>
      <c r="AK164" s="54"/>
      <c r="AL164" s="54"/>
      <c r="AM164" s="54"/>
    </row>
    <row r="165" spans="1:39">
      <c r="A165" s="45" t="str" cm="1">
        <f t="array" ref="A165">IF(H165="PROJECT", CHAR(10) &amp; "- " &amp; _xlfn.TEXTJOIN(CHAR(10) &amp; "- ", TRUE, _xlfn._xlws.FILTER($I$9:$I$1000, ($B$9:$B$1000=B165) * ($H$9:$H$1000="Topic"))), "")</f>
        <v/>
      </c>
      <c r="B165" s="45" t="str">
        <f t="shared" si="37"/>
        <v/>
      </c>
      <c r="C165" s="95"/>
      <c r="D165" s="46"/>
      <c r="E165" s="58"/>
      <c r="F165" s="67"/>
      <c r="G165" s="53"/>
      <c r="H165" s="53"/>
      <c r="I165" s="50"/>
      <c r="J165" s="51"/>
      <c r="K165" s="129" t="str">
        <f t="shared" si="38"/>
        <v/>
      </c>
      <c r="L165" s="103" t="str">
        <f t="shared" si="39"/>
        <v/>
      </c>
      <c r="M165" s="53">
        <v>0</v>
      </c>
      <c r="N165" s="102" t="str">
        <f t="shared" si="40"/>
        <v/>
      </c>
      <c r="O165" s="103" t="str">
        <f t="shared" si="41"/>
        <v/>
      </c>
      <c r="P165" s="53">
        <v>0</v>
      </c>
      <c r="Q165" s="102" t="str">
        <f t="shared" si="42"/>
        <v/>
      </c>
      <c r="R165" s="103" t="str">
        <f t="shared" si="43"/>
        <v/>
      </c>
      <c r="S165" s="53">
        <v>0</v>
      </c>
      <c r="T165" s="102" t="str">
        <f t="shared" si="44"/>
        <v/>
      </c>
      <c r="U165" s="103" t="str">
        <f t="shared" si="45"/>
        <v/>
      </c>
      <c r="V165" s="53">
        <v>0</v>
      </c>
      <c r="W165" s="87" t="str">
        <f t="shared" si="46"/>
        <v/>
      </c>
      <c r="X165" s="103" t="str">
        <f t="shared" si="47"/>
        <v/>
      </c>
      <c r="Y165" s="53">
        <v>0</v>
      </c>
      <c r="Z165" s="56" t="str">
        <f t="shared" si="48"/>
        <v/>
      </c>
      <c r="AA165" s="56" t="str">
        <f t="shared" si="49"/>
        <v/>
      </c>
      <c r="AB165" s="56" t="str">
        <f t="shared" si="50"/>
        <v/>
      </c>
      <c r="AC165" s="56" t="str">
        <f t="shared" si="51"/>
        <v/>
      </c>
      <c r="AD165" s="56" t="str">
        <f t="shared" si="52"/>
        <v/>
      </c>
      <c r="AE165" s="40"/>
      <c r="AF165" s="40"/>
      <c r="AG165" s="40"/>
      <c r="AH165" s="56" t="str">
        <f t="shared" si="36"/>
        <v/>
      </c>
      <c r="AI165" s="54"/>
      <c r="AJ165" s="54"/>
      <c r="AK165" s="54"/>
      <c r="AL165" s="54"/>
      <c r="AM165" s="54"/>
    </row>
    <row r="166" spans="1:39">
      <c r="A166" s="45" t="str" cm="1">
        <f t="array" ref="A166">IF(H166="PROJECT", CHAR(10) &amp; "- " &amp; _xlfn.TEXTJOIN(CHAR(10) &amp; "- ", TRUE, _xlfn._xlws.FILTER($I$9:$I$1000, ($B$9:$B$1000=B166) * ($H$9:$H$1000="Topic"))), "")</f>
        <v/>
      </c>
      <c r="B166" s="45" t="str">
        <f t="shared" si="37"/>
        <v/>
      </c>
      <c r="C166" s="95"/>
      <c r="D166" s="57"/>
      <c r="E166" s="58"/>
      <c r="F166" s="54"/>
      <c r="G166" s="52"/>
      <c r="H166" s="52"/>
      <c r="I166" s="61"/>
      <c r="J166" s="62"/>
      <c r="K166" s="129" t="str">
        <f t="shared" si="38"/>
        <v/>
      </c>
      <c r="L166" s="103" t="str">
        <f t="shared" si="39"/>
        <v/>
      </c>
      <c r="M166" s="52">
        <v>0</v>
      </c>
      <c r="N166" s="102" t="str">
        <f t="shared" si="40"/>
        <v/>
      </c>
      <c r="O166" s="103" t="str">
        <f t="shared" si="41"/>
        <v/>
      </c>
      <c r="P166" s="52">
        <v>0</v>
      </c>
      <c r="Q166" s="102" t="str">
        <f t="shared" si="42"/>
        <v/>
      </c>
      <c r="R166" s="103" t="str">
        <f t="shared" si="43"/>
        <v/>
      </c>
      <c r="S166" s="52">
        <v>0</v>
      </c>
      <c r="T166" s="102" t="str">
        <f t="shared" si="44"/>
        <v/>
      </c>
      <c r="U166" s="103" t="str">
        <f t="shared" si="45"/>
        <v/>
      </c>
      <c r="V166" s="52">
        <v>0</v>
      </c>
      <c r="W166" s="87" t="str">
        <f t="shared" si="46"/>
        <v/>
      </c>
      <c r="X166" s="103" t="str">
        <f t="shared" si="47"/>
        <v/>
      </c>
      <c r="Y166" s="52">
        <v>0</v>
      </c>
      <c r="Z166" s="56" t="str">
        <f t="shared" si="48"/>
        <v/>
      </c>
      <c r="AA166" s="56" t="str">
        <f t="shared" si="49"/>
        <v/>
      </c>
      <c r="AB166" s="56" t="str">
        <f t="shared" si="50"/>
        <v/>
      </c>
      <c r="AC166" s="56" t="str">
        <f t="shared" si="51"/>
        <v/>
      </c>
      <c r="AD166" s="56" t="str">
        <f t="shared" si="52"/>
        <v/>
      </c>
      <c r="AE166" s="40"/>
      <c r="AF166" s="40"/>
      <c r="AG166" s="40"/>
      <c r="AH166" s="56" t="str">
        <f t="shared" si="36"/>
        <v/>
      </c>
      <c r="AI166" s="54"/>
      <c r="AJ166" s="54"/>
      <c r="AK166" s="54"/>
      <c r="AL166" s="54"/>
      <c r="AM166" s="54"/>
    </row>
    <row r="167" spans="1:39">
      <c r="A167" s="45" t="str" cm="1">
        <f t="array" ref="A167">IF(H167="PROJECT", CHAR(10) &amp; "- " &amp; _xlfn.TEXTJOIN(CHAR(10) &amp; "- ", TRUE, _xlfn._xlws.FILTER($I$9:$I$1000, ($B$9:$B$1000=B167) * ($H$9:$H$1000="Topic"))), "")</f>
        <v/>
      </c>
      <c r="B167" s="45" t="str">
        <f t="shared" si="37"/>
        <v/>
      </c>
      <c r="C167" s="95"/>
      <c r="D167" s="46"/>
      <c r="E167" s="58"/>
      <c r="F167" s="67"/>
      <c r="G167" s="53"/>
      <c r="H167" s="53"/>
      <c r="I167" s="50"/>
      <c r="J167" s="51"/>
      <c r="K167" s="129" t="str">
        <f t="shared" si="38"/>
        <v/>
      </c>
      <c r="L167" s="103" t="str">
        <f t="shared" si="39"/>
        <v/>
      </c>
      <c r="M167" s="53">
        <v>0</v>
      </c>
      <c r="N167" s="102" t="str">
        <f t="shared" si="40"/>
        <v/>
      </c>
      <c r="O167" s="103" t="str">
        <f t="shared" si="41"/>
        <v/>
      </c>
      <c r="P167" s="53">
        <v>0</v>
      </c>
      <c r="Q167" s="102" t="str">
        <f t="shared" si="42"/>
        <v/>
      </c>
      <c r="R167" s="103" t="str">
        <f t="shared" si="43"/>
        <v/>
      </c>
      <c r="S167" s="53">
        <v>0</v>
      </c>
      <c r="T167" s="102" t="str">
        <f t="shared" si="44"/>
        <v/>
      </c>
      <c r="U167" s="103" t="str">
        <f t="shared" si="45"/>
        <v/>
      </c>
      <c r="V167" s="53">
        <v>0</v>
      </c>
      <c r="W167" s="87" t="str">
        <f t="shared" si="46"/>
        <v/>
      </c>
      <c r="X167" s="103" t="str">
        <f t="shared" si="47"/>
        <v/>
      </c>
      <c r="Y167" s="53">
        <v>0</v>
      </c>
      <c r="Z167" s="56" t="str">
        <f t="shared" si="48"/>
        <v/>
      </c>
      <c r="AA167" s="56" t="str">
        <f t="shared" si="49"/>
        <v/>
      </c>
      <c r="AB167" s="56" t="str">
        <f t="shared" si="50"/>
        <v/>
      </c>
      <c r="AC167" s="56" t="str">
        <f t="shared" si="51"/>
        <v/>
      </c>
      <c r="AD167" s="56" t="str">
        <f t="shared" si="52"/>
        <v/>
      </c>
      <c r="AE167" s="40"/>
      <c r="AF167" s="40"/>
      <c r="AG167" s="40"/>
      <c r="AH167" s="56" t="str">
        <f t="shared" si="36"/>
        <v/>
      </c>
      <c r="AI167" s="54"/>
      <c r="AJ167" s="54"/>
      <c r="AK167" s="54"/>
      <c r="AL167" s="54"/>
      <c r="AM167" s="54"/>
    </row>
    <row r="168" spans="1:39">
      <c r="A168" s="45" t="str" cm="1">
        <f t="array" ref="A168">IF(H168="PROJECT", CHAR(10) &amp; "- " &amp; _xlfn.TEXTJOIN(CHAR(10) &amp; "- ", TRUE, _xlfn._xlws.FILTER($I$9:$I$1000, ($B$9:$B$1000=B168) * ($H$9:$H$1000="Topic"))), "")</f>
        <v/>
      </c>
      <c r="B168" s="45" t="str">
        <f t="shared" si="37"/>
        <v/>
      </c>
      <c r="C168" s="95"/>
      <c r="D168" s="57"/>
      <c r="E168" s="58"/>
      <c r="F168" s="54"/>
      <c r="G168" s="52"/>
      <c r="H168" s="52"/>
      <c r="I168" s="61"/>
      <c r="J168" s="62"/>
      <c r="K168" s="129" t="str">
        <f t="shared" si="38"/>
        <v/>
      </c>
      <c r="L168" s="103" t="str">
        <f t="shared" si="39"/>
        <v/>
      </c>
      <c r="M168" s="52">
        <v>0</v>
      </c>
      <c r="N168" s="102" t="str">
        <f t="shared" si="40"/>
        <v/>
      </c>
      <c r="O168" s="103" t="str">
        <f t="shared" si="41"/>
        <v/>
      </c>
      <c r="P168" s="52">
        <v>0</v>
      </c>
      <c r="Q168" s="102" t="str">
        <f t="shared" si="42"/>
        <v/>
      </c>
      <c r="R168" s="103" t="str">
        <f t="shared" si="43"/>
        <v/>
      </c>
      <c r="S168" s="52">
        <v>0</v>
      </c>
      <c r="T168" s="102" t="str">
        <f t="shared" si="44"/>
        <v/>
      </c>
      <c r="U168" s="103" t="str">
        <f t="shared" si="45"/>
        <v/>
      </c>
      <c r="V168" s="52">
        <v>0</v>
      </c>
      <c r="W168" s="87" t="str">
        <f t="shared" si="46"/>
        <v/>
      </c>
      <c r="X168" s="103" t="str">
        <f t="shared" si="47"/>
        <v/>
      </c>
      <c r="Y168" s="52">
        <v>0</v>
      </c>
      <c r="Z168" s="56" t="str">
        <f t="shared" si="48"/>
        <v/>
      </c>
      <c r="AA168" s="56" t="str">
        <f t="shared" si="49"/>
        <v/>
      </c>
      <c r="AB168" s="56" t="str">
        <f t="shared" si="50"/>
        <v/>
      </c>
      <c r="AC168" s="56" t="str">
        <f t="shared" si="51"/>
        <v/>
      </c>
      <c r="AD168" s="56" t="str">
        <f t="shared" si="52"/>
        <v/>
      </c>
      <c r="AE168" s="40"/>
      <c r="AF168" s="40"/>
      <c r="AG168" s="40"/>
      <c r="AH168" s="56" t="str">
        <f t="shared" si="36"/>
        <v/>
      </c>
      <c r="AI168" s="54"/>
      <c r="AJ168" s="54"/>
      <c r="AK168" s="54"/>
      <c r="AL168" s="54"/>
      <c r="AM168" s="54"/>
    </row>
    <row r="169" spans="1:39">
      <c r="A169" s="45" t="str" cm="1">
        <f t="array" ref="A169">IF(H169="PROJECT", CHAR(10) &amp; "- " &amp; _xlfn.TEXTJOIN(CHAR(10) &amp; "- ", TRUE, _xlfn._xlws.FILTER($I$9:$I$1000, ($B$9:$B$1000=B169) * ($H$9:$H$1000="Topic"))), "")</f>
        <v/>
      </c>
      <c r="B169" s="45" t="str">
        <f t="shared" si="37"/>
        <v/>
      </c>
      <c r="C169" s="95"/>
      <c r="D169" s="46"/>
      <c r="E169" s="58"/>
      <c r="F169" s="67"/>
      <c r="G169" s="53"/>
      <c r="H169" s="53"/>
      <c r="I169" s="50"/>
      <c r="J169" s="51"/>
      <c r="K169" s="129" t="str">
        <f t="shared" si="38"/>
        <v/>
      </c>
      <c r="L169" s="103" t="str">
        <f t="shared" si="39"/>
        <v/>
      </c>
      <c r="M169" s="53">
        <v>0</v>
      </c>
      <c r="N169" s="102" t="str">
        <f t="shared" si="40"/>
        <v/>
      </c>
      <c r="O169" s="103" t="str">
        <f t="shared" si="41"/>
        <v/>
      </c>
      <c r="P169" s="53">
        <v>0</v>
      </c>
      <c r="Q169" s="102" t="str">
        <f t="shared" si="42"/>
        <v/>
      </c>
      <c r="R169" s="103" t="str">
        <f t="shared" si="43"/>
        <v/>
      </c>
      <c r="S169" s="53">
        <v>0</v>
      </c>
      <c r="T169" s="102" t="str">
        <f t="shared" si="44"/>
        <v/>
      </c>
      <c r="U169" s="103" t="str">
        <f t="shared" si="45"/>
        <v/>
      </c>
      <c r="V169" s="53">
        <v>0</v>
      </c>
      <c r="W169" s="87" t="str">
        <f t="shared" si="46"/>
        <v/>
      </c>
      <c r="X169" s="103" t="str">
        <f t="shared" si="47"/>
        <v/>
      </c>
      <c r="Y169" s="53">
        <v>0</v>
      </c>
      <c r="Z169" s="56" t="str">
        <f t="shared" si="48"/>
        <v/>
      </c>
      <c r="AA169" s="56" t="str">
        <f t="shared" si="49"/>
        <v/>
      </c>
      <c r="AB169" s="56" t="str">
        <f t="shared" si="50"/>
        <v/>
      </c>
      <c r="AC169" s="56" t="str">
        <f t="shared" si="51"/>
        <v/>
      </c>
      <c r="AD169" s="56" t="str">
        <f t="shared" si="52"/>
        <v/>
      </c>
      <c r="AE169" s="40"/>
      <c r="AF169" s="40"/>
      <c r="AG169" s="40"/>
      <c r="AH169" s="56" t="str">
        <f t="shared" ref="AH169:AH200" si="53">IF(AE169=$B$6,AG169,"")</f>
        <v/>
      </c>
      <c r="AI169" s="54"/>
      <c r="AJ169" s="54"/>
      <c r="AK169" s="54"/>
      <c r="AL169" s="54"/>
      <c r="AM169" s="54"/>
    </row>
    <row r="170" spans="1:39">
      <c r="A170" s="45" t="str" cm="1">
        <f t="array" ref="A170">IF(H170="PROJECT", CHAR(10) &amp; "- " &amp; _xlfn.TEXTJOIN(CHAR(10) &amp; "- ", TRUE, _xlfn._xlws.FILTER($I$9:$I$1000, ($B$9:$B$1000=B170) * ($H$9:$H$1000="Topic"))), "")</f>
        <v/>
      </c>
      <c r="B170" s="45" t="str">
        <f t="shared" si="37"/>
        <v/>
      </c>
      <c r="C170" s="95"/>
      <c r="D170" s="57"/>
      <c r="E170" s="58"/>
      <c r="F170" s="54"/>
      <c r="G170" s="52"/>
      <c r="H170" s="52"/>
      <c r="I170" s="61"/>
      <c r="J170" s="62"/>
      <c r="K170" s="129" t="str">
        <f t="shared" si="38"/>
        <v/>
      </c>
      <c r="L170" s="103" t="str">
        <f t="shared" si="39"/>
        <v/>
      </c>
      <c r="M170" s="52">
        <v>0</v>
      </c>
      <c r="N170" s="102" t="str">
        <f t="shared" si="40"/>
        <v/>
      </c>
      <c r="O170" s="103" t="str">
        <f t="shared" si="41"/>
        <v/>
      </c>
      <c r="P170" s="52">
        <v>0</v>
      </c>
      <c r="Q170" s="102" t="str">
        <f t="shared" si="42"/>
        <v/>
      </c>
      <c r="R170" s="103" t="str">
        <f t="shared" si="43"/>
        <v/>
      </c>
      <c r="S170" s="52">
        <v>0</v>
      </c>
      <c r="T170" s="102" t="str">
        <f t="shared" si="44"/>
        <v/>
      </c>
      <c r="U170" s="103" t="str">
        <f t="shared" si="45"/>
        <v/>
      </c>
      <c r="V170" s="52">
        <v>0</v>
      </c>
      <c r="W170" s="87" t="str">
        <f t="shared" si="46"/>
        <v/>
      </c>
      <c r="X170" s="103" t="str">
        <f t="shared" si="47"/>
        <v/>
      </c>
      <c r="Y170" s="52">
        <v>0</v>
      </c>
      <c r="Z170" s="56" t="str">
        <f t="shared" si="48"/>
        <v/>
      </c>
      <c r="AA170" s="56" t="str">
        <f t="shared" si="49"/>
        <v/>
      </c>
      <c r="AB170" s="56" t="str">
        <f t="shared" si="50"/>
        <v/>
      </c>
      <c r="AC170" s="56" t="str">
        <f t="shared" si="51"/>
        <v/>
      </c>
      <c r="AD170" s="56" t="str">
        <f t="shared" si="52"/>
        <v/>
      </c>
      <c r="AE170" s="40"/>
      <c r="AF170" s="40"/>
      <c r="AG170" s="40"/>
      <c r="AH170" s="56" t="str">
        <f t="shared" si="53"/>
        <v/>
      </c>
      <c r="AI170" s="54"/>
      <c r="AJ170" s="54"/>
      <c r="AK170" s="54"/>
      <c r="AL170" s="54"/>
      <c r="AM170" s="54"/>
    </row>
    <row r="171" spans="1:39">
      <c r="A171" s="45" t="str" cm="1">
        <f t="array" ref="A171">IF(H171="PROJECT", CHAR(10) &amp; "- " &amp; _xlfn.TEXTJOIN(CHAR(10) &amp; "- ", TRUE, _xlfn._xlws.FILTER($I$9:$I$1000, ($B$9:$B$1000=B171) * ($H$9:$H$1000="Topic"))), "")</f>
        <v/>
      </c>
      <c r="B171" s="45" t="str">
        <f t="shared" si="37"/>
        <v/>
      </c>
      <c r="C171" s="95"/>
      <c r="D171" s="46"/>
      <c r="E171" s="58"/>
      <c r="F171" s="67"/>
      <c r="G171" s="53"/>
      <c r="H171" s="53"/>
      <c r="I171" s="50"/>
      <c r="J171" s="51"/>
      <c r="K171" s="129" t="str">
        <f t="shared" si="38"/>
        <v/>
      </c>
      <c r="L171" s="103" t="str">
        <f t="shared" si="39"/>
        <v/>
      </c>
      <c r="M171" s="53">
        <v>0</v>
      </c>
      <c r="N171" s="102" t="str">
        <f t="shared" si="40"/>
        <v/>
      </c>
      <c r="O171" s="103" t="str">
        <f t="shared" si="41"/>
        <v/>
      </c>
      <c r="P171" s="53">
        <v>0</v>
      </c>
      <c r="Q171" s="102" t="str">
        <f t="shared" si="42"/>
        <v/>
      </c>
      <c r="R171" s="103" t="str">
        <f t="shared" si="43"/>
        <v/>
      </c>
      <c r="S171" s="53">
        <v>0</v>
      </c>
      <c r="T171" s="102" t="str">
        <f t="shared" si="44"/>
        <v/>
      </c>
      <c r="U171" s="103" t="str">
        <f t="shared" si="45"/>
        <v/>
      </c>
      <c r="V171" s="53">
        <v>0</v>
      </c>
      <c r="W171" s="87" t="str">
        <f t="shared" si="46"/>
        <v/>
      </c>
      <c r="X171" s="103" t="str">
        <f t="shared" si="47"/>
        <v/>
      </c>
      <c r="Y171" s="53">
        <v>0</v>
      </c>
      <c r="Z171" s="56" t="str">
        <f t="shared" si="48"/>
        <v/>
      </c>
      <c r="AA171" s="56" t="str">
        <f t="shared" si="49"/>
        <v/>
      </c>
      <c r="AB171" s="56" t="str">
        <f t="shared" si="50"/>
        <v/>
      </c>
      <c r="AC171" s="56" t="str">
        <f t="shared" si="51"/>
        <v/>
      </c>
      <c r="AD171" s="56" t="str">
        <f t="shared" si="52"/>
        <v/>
      </c>
      <c r="AE171" s="40"/>
      <c r="AF171" s="40"/>
      <c r="AG171" s="40"/>
      <c r="AH171" s="56" t="str">
        <f t="shared" si="53"/>
        <v/>
      </c>
      <c r="AI171" s="54"/>
      <c r="AJ171" s="54"/>
      <c r="AK171" s="54"/>
      <c r="AL171" s="54"/>
      <c r="AM171" s="54"/>
    </row>
    <row r="172" spans="1:39">
      <c r="A172" s="45" t="str" cm="1">
        <f t="array" ref="A172">IF(H172="PROJECT", CHAR(10) &amp; "- " &amp; _xlfn.TEXTJOIN(CHAR(10) &amp; "- ", TRUE, _xlfn._xlws.FILTER($I$9:$I$1000, ($B$9:$B$1000=B172) * ($H$9:$H$1000="Topic"))), "")</f>
        <v/>
      </c>
      <c r="B172" s="45" t="str">
        <f t="shared" si="37"/>
        <v/>
      </c>
      <c r="C172" s="95"/>
      <c r="D172" s="57"/>
      <c r="E172" s="58"/>
      <c r="F172" s="54"/>
      <c r="G172" s="52"/>
      <c r="H172" s="52"/>
      <c r="I172" s="61"/>
      <c r="J172" s="62"/>
      <c r="K172" s="129" t="str">
        <f t="shared" si="38"/>
        <v/>
      </c>
      <c r="L172" s="103" t="str">
        <f t="shared" si="39"/>
        <v/>
      </c>
      <c r="M172" s="52">
        <v>0</v>
      </c>
      <c r="N172" s="102" t="str">
        <f t="shared" si="40"/>
        <v/>
      </c>
      <c r="O172" s="103" t="str">
        <f t="shared" si="41"/>
        <v/>
      </c>
      <c r="P172" s="52">
        <v>0</v>
      </c>
      <c r="Q172" s="102" t="str">
        <f t="shared" si="42"/>
        <v/>
      </c>
      <c r="R172" s="103" t="str">
        <f t="shared" si="43"/>
        <v/>
      </c>
      <c r="S172" s="52">
        <v>0</v>
      </c>
      <c r="T172" s="102" t="str">
        <f t="shared" si="44"/>
        <v/>
      </c>
      <c r="U172" s="103" t="str">
        <f t="shared" si="45"/>
        <v/>
      </c>
      <c r="V172" s="52">
        <v>0</v>
      </c>
      <c r="W172" s="87" t="str">
        <f t="shared" si="46"/>
        <v/>
      </c>
      <c r="X172" s="103" t="str">
        <f t="shared" si="47"/>
        <v/>
      </c>
      <c r="Y172" s="52">
        <v>0</v>
      </c>
      <c r="Z172" s="56" t="str">
        <f t="shared" si="48"/>
        <v/>
      </c>
      <c r="AA172" s="56" t="str">
        <f t="shared" si="49"/>
        <v/>
      </c>
      <c r="AB172" s="56" t="str">
        <f t="shared" si="50"/>
        <v/>
      </c>
      <c r="AC172" s="56" t="str">
        <f t="shared" si="51"/>
        <v/>
      </c>
      <c r="AD172" s="56" t="str">
        <f t="shared" si="52"/>
        <v/>
      </c>
      <c r="AE172" s="40"/>
      <c r="AF172" s="40"/>
      <c r="AG172" s="40"/>
      <c r="AH172" s="56" t="str">
        <f t="shared" si="53"/>
        <v/>
      </c>
      <c r="AI172" s="54"/>
      <c r="AJ172" s="54"/>
      <c r="AK172" s="54"/>
      <c r="AL172" s="54"/>
      <c r="AM172" s="54"/>
    </row>
    <row r="173" spans="1:39">
      <c r="A173" s="45" t="str" cm="1">
        <f t="array" ref="A173">IF(H173="PROJECT", CHAR(10) &amp; "- " &amp; _xlfn.TEXTJOIN(CHAR(10) &amp; "- ", TRUE, _xlfn._xlws.FILTER($I$9:$I$1000, ($B$9:$B$1000=B173) * ($H$9:$H$1000="Topic"))), "")</f>
        <v/>
      </c>
      <c r="B173" s="45" t="str">
        <f t="shared" si="37"/>
        <v/>
      </c>
      <c r="C173" s="95"/>
      <c r="D173" s="46"/>
      <c r="E173" s="58"/>
      <c r="F173" s="67"/>
      <c r="G173" s="53"/>
      <c r="H173" s="53"/>
      <c r="I173" s="50"/>
      <c r="J173" s="51"/>
      <c r="K173" s="129" t="str">
        <f t="shared" si="38"/>
        <v/>
      </c>
      <c r="L173" s="103" t="str">
        <f t="shared" si="39"/>
        <v/>
      </c>
      <c r="M173" s="53">
        <v>0</v>
      </c>
      <c r="N173" s="102" t="str">
        <f t="shared" si="40"/>
        <v/>
      </c>
      <c r="O173" s="103" t="str">
        <f t="shared" si="41"/>
        <v/>
      </c>
      <c r="P173" s="53">
        <v>0</v>
      </c>
      <c r="Q173" s="102" t="str">
        <f t="shared" si="42"/>
        <v/>
      </c>
      <c r="R173" s="103" t="str">
        <f t="shared" si="43"/>
        <v/>
      </c>
      <c r="S173" s="53">
        <v>0</v>
      </c>
      <c r="T173" s="102" t="str">
        <f t="shared" si="44"/>
        <v/>
      </c>
      <c r="U173" s="103" t="str">
        <f t="shared" si="45"/>
        <v/>
      </c>
      <c r="V173" s="53">
        <v>0</v>
      </c>
      <c r="W173" s="87" t="str">
        <f t="shared" si="46"/>
        <v/>
      </c>
      <c r="X173" s="103" t="str">
        <f t="shared" si="47"/>
        <v/>
      </c>
      <c r="Y173" s="53">
        <v>0</v>
      </c>
      <c r="Z173" s="56" t="str">
        <f t="shared" si="48"/>
        <v/>
      </c>
      <c r="AA173" s="56" t="str">
        <f t="shared" si="49"/>
        <v/>
      </c>
      <c r="AB173" s="56" t="str">
        <f t="shared" si="50"/>
        <v/>
      </c>
      <c r="AC173" s="56" t="str">
        <f t="shared" si="51"/>
        <v/>
      </c>
      <c r="AD173" s="56" t="str">
        <f t="shared" si="52"/>
        <v/>
      </c>
      <c r="AE173" s="40"/>
      <c r="AF173" s="40"/>
      <c r="AG173" s="40"/>
      <c r="AH173" s="56" t="str">
        <f t="shared" si="53"/>
        <v/>
      </c>
      <c r="AI173" s="54"/>
      <c r="AJ173" s="54"/>
      <c r="AK173" s="54"/>
      <c r="AL173" s="54"/>
      <c r="AM173" s="54"/>
    </row>
    <row r="174" spans="1:39">
      <c r="A174" s="45" t="str" cm="1">
        <f t="array" ref="A174">IF(H174="PROJECT", CHAR(10) &amp; "- " &amp; _xlfn.TEXTJOIN(CHAR(10) &amp; "- ", TRUE, _xlfn._xlws.FILTER($I$9:$I$1000, ($B$9:$B$1000=B174) * ($H$9:$H$1000="Topic"))), "")</f>
        <v/>
      </c>
      <c r="B174" s="45" t="str">
        <f t="shared" si="37"/>
        <v/>
      </c>
      <c r="C174" s="95"/>
      <c r="D174" s="57"/>
      <c r="E174" s="58"/>
      <c r="F174" s="54"/>
      <c r="G174" s="52"/>
      <c r="H174" s="52"/>
      <c r="I174" s="61"/>
      <c r="J174" s="62"/>
      <c r="K174" s="129" t="str">
        <f t="shared" si="38"/>
        <v/>
      </c>
      <c r="L174" s="103" t="str">
        <f t="shared" si="39"/>
        <v/>
      </c>
      <c r="M174" s="52">
        <v>0</v>
      </c>
      <c r="N174" s="102" t="str">
        <f t="shared" si="40"/>
        <v/>
      </c>
      <c r="O174" s="103" t="str">
        <f t="shared" si="41"/>
        <v/>
      </c>
      <c r="P174" s="52">
        <v>0</v>
      </c>
      <c r="Q174" s="102" t="str">
        <f t="shared" si="42"/>
        <v/>
      </c>
      <c r="R174" s="103" t="str">
        <f t="shared" si="43"/>
        <v/>
      </c>
      <c r="S174" s="52">
        <v>0</v>
      </c>
      <c r="T174" s="102" t="str">
        <f t="shared" si="44"/>
        <v/>
      </c>
      <c r="U174" s="103" t="str">
        <f t="shared" si="45"/>
        <v/>
      </c>
      <c r="V174" s="52">
        <v>0</v>
      </c>
      <c r="W174" s="87" t="str">
        <f t="shared" si="46"/>
        <v/>
      </c>
      <c r="X174" s="103" t="str">
        <f t="shared" si="47"/>
        <v/>
      </c>
      <c r="Y174" s="52">
        <v>0</v>
      </c>
      <c r="Z174" s="56" t="str">
        <f t="shared" si="48"/>
        <v/>
      </c>
      <c r="AA174" s="56" t="str">
        <f t="shared" si="49"/>
        <v/>
      </c>
      <c r="AB174" s="56" t="str">
        <f t="shared" si="50"/>
        <v/>
      </c>
      <c r="AC174" s="56" t="str">
        <f t="shared" si="51"/>
        <v/>
      </c>
      <c r="AD174" s="56" t="str">
        <f t="shared" si="52"/>
        <v/>
      </c>
      <c r="AE174" s="40"/>
      <c r="AF174" s="40"/>
      <c r="AG174" s="40"/>
      <c r="AH174" s="56" t="str">
        <f t="shared" si="53"/>
        <v/>
      </c>
      <c r="AI174" s="54"/>
      <c r="AJ174" s="54"/>
      <c r="AK174" s="54"/>
      <c r="AL174" s="54"/>
      <c r="AM174" s="54"/>
    </row>
    <row r="175" spans="1:39">
      <c r="A175" s="45" t="str" cm="1">
        <f t="array" ref="A175">IF(H175="PROJECT", CHAR(10) &amp; "- " &amp; _xlfn.TEXTJOIN(CHAR(10) &amp; "- ", TRUE, _xlfn._xlws.FILTER($I$9:$I$1000, ($B$9:$B$1000=B175) * ($H$9:$H$1000="Topic"))), "")</f>
        <v/>
      </c>
      <c r="B175" s="45" t="str">
        <f t="shared" si="37"/>
        <v/>
      </c>
      <c r="C175" s="95"/>
      <c r="D175" s="46"/>
      <c r="E175" s="58"/>
      <c r="F175" s="67"/>
      <c r="G175" s="53"/>
      <c r="H175" s="53"/>
      <c r="I175" s="50"/>
      <c r="J175" s="51"/>
      <c r="K175" s="129" t="str">
        <f t="shared" si="38"/>
        <v/>
      </c>
      <c r="L175" s="103" t="str">
        <f t="shared" si="39"/>
        <v/>
      </c>
      <c r="M175" s="53">
        <v>0</v>
      </c>
      <c r="N175" s="102" t="str">
        <f t="shared" si="40"/>
        <v/>
      </c>
      <c r="O175" s="103" t="str">
        <f t="shared" si="41"/>
        <v/>
      </c>
      <c r="P175" s="53">
        <v>0</v>
      </c>
      <c r="Q175" s="102" t="str">
        <f t="shared" si="42"/>
        <v/>
      </c>
      <c r="R175" s="103" t="str">
        <f t="shared" si="43"/>
        <v/>
      </c>
      <c r="S175" s="53">
        <v>0</v>
      </c>
      <c r="T175" s="102" t="str">
        <f t="shared" si="44"/>
        <v/>
      </c>
      <c r="U175" s="103" t="str">
        <f t="shared" si="45"/>
        <v/>
      </c>
      <c r="V175" s="53">
        <v>0</v>
      </c>
      <c r="W175" s="87" t="str">
        <f t="shared" si="46"/>
        <v/>
      </c>
      <c r="X175" s="103" t="str">
        <f t="shared" si="47"/>
        <v/>
      </c>
      <c r="Y175" s="53">
        <v>0</v>
      </c>
      <c r="Z175" s="56" t="str">
        <f t="shared" si="48"/>
        <v/>
      </c>
      <c r="AA175" s="56" t="str">
        <f t="shared" si="49"/>
        <v/>
      </c>
      <c r="AB175" s="56" t="str">
        <f t="shared" si="50"/>
        <v/>
      </c>
      <c r="AC175" s="56" t="str">
        <f t="shared" si="51"/>
        <v/>
      </c>
      <c r="AD175" s="56" t="str">
        <f t="shared" si="52"/>
        <v/>
      </c>
      <c r="AE175" s="40"/>
      <c r="AF175" s="40"/>
      <c r="AG175" s="40"/>
      <c r="AH175" s="56" t="str">
        <f t="shared" si="53"/>
        <v/>
      </c>
      <c r="AI175" s="54"/>
      <c r="AJ175" s="54"/>
      <c r="AK175" s="54"/>
      <c r="AL175" s="54"/>
      <c r="AM175" s="54"/>
    </row>
    <row r="176" spans="1:39">
      <c r="A176" s="45" t="str" cm="1">
        <f t="array" ref="A176">IF(H176="PROJECT", CHAR(10) &amp; "- " &amp; _xlfn.TEXTJOIN(CHAR(10) &amp; "- ", TRUE, _xlfn._xlws.FILTER($I$9:$I$1000, ($B$9:$B$1000=B176) * ($H$9:$H$1000="Topic"))), "")</f>
        <v/>
      </c>
      <c r="B176" s="45" t="str">
        <f t="shared" si="37"/>
        <v/>
      </c>
      <c r="C176" s="95"/>
      <c r="D176" s="57"/>
      <c r="E176" s="58"/>
      <c r="F176" s="54"/>
      <c r="G176" s="52"/>
      <c r="H176" s="52"/>
      <c r="I176" s="61"/>
      <c r="J176" s="62"/>
      <c r="K176" s="129" t="str">
        <f t="shared" si="38"/>
        <v/>
      </c>
      <c r="L176" s="103" t="str">
        <f t="shared" si="39"/>
        <v/>
      </c>
      <c r="M176" s="52">
        <v>0</v>
      </c>
      <c r="N176" s="102" t="str">
        <f t="shared" si="40"/>
        <v/>
      </c>
      <c r="O176" s="103" t="str">
        <f t="shared" si="41"/>
        <v/>
      </c>
      <c r="P176" s="52">
        <v>0</v>
      </c>
      <c r="Q176" s="102" t="str">
        <f t="shared" si="42"/>
        <v/>
      </c>
      <c r="R176" s="103" t="str">
        <f t="shared" si="43"/>
        <v/>
      </c>
      <c r="S176" s="52">
        <v>0</v>
      </c>
      <c r="T176" s="102" t="str">
        <f t="shared" si="44"/>
        <v/>
      </c>
      <c r="U176" s="103" t="str">
        <f t="shared" si="45"/>
        <v/>
      </c>
      <c r="V176" s="52">
        <v>0</v>
      </c>
      <c r="W176" s="87" t="str">
        <f t="shared" si="46"/>
        <v/>
      </c>
      <c r="X176" s="103" t="str">
        <f t="shared" si="47"/>
        <v/>
      </c>
      <c r="Y176" s="52">
        <v>0</v>
      </c>
      <c r="Z176" s="56" t="str">
        <f t="shared" si="48"/>
        <v/>
      </c>
      <c r="AA176" s="56" t="str">
        <f t="shared" si="49"/>
        <v/>
      </c>
      <c r="AB176" s="56" t="str">
        <f t="shared" si="50"/>
        <v/>
      </c>
      <c r="AC176" s="56" t="str">
        <f t="shared" si="51"/>
        <v/>
      </c>
      <c r="AD176" s="56" t="str">
        <f t="shared" si="52"/>
        <v/>
      </c>
      <c r="AE176" s="40"/>
      <c r="AF176" s="40"/>
      <c r="AG176" s="40"/>
      <c r="AH176" s="56" t="str">
        <f t="shared" si="53"/>
        <v/>
      </c>
      <c r="AI176" s="54"/>
      <c r="AJ176" s="54"/>
      <c r="AK176" s="54"/>
      <c r="AL176" s="54"/>
      <c r="AM176" s="54"/>
    </row>
    <row r="177" spans="1:39">
      <c r="A177" s="45" t="str" cm="1">
        <f t="array" ref="A177">IF(H177="PROJECT", CHAR(10) &amp; "- " &amp; _xlfn.TEXTJOIN(CHAR(10) &amp; "- ", TRUE, _xlfn._xlws.FILTER($I$9:$I$1000, ($B$9:$B$1000=B177) * ($H$9:$H$1000="Topic"))), "")</f>
        <v/>
      </c>
      <c r="B177" s="45" t="str">
        <f t="shared" si="37"/>
        <v/>
      </c>
      <c r="C177" s="95"/>
      <c r="D177" s="46"/>
      <c r="E177" s="58"/>
      <c r="F177" s="67"/>
      <c r="G177" s="53"/>
      <c r="H177" s="53"/>
      <c r="I177" s="50"/>
      <c r="J177" s="51"/>
      <c r="K177" s="129" t="str">
        <f t="shared" si="38"/>
        <v/>
      </c>
      <c r="L177" s="103" t="str">
        <f t="shared" si="39"/>
        <v/>
      </c>
      <c r="M177" s="53">
        <v>0</v>
      </c>
      <c r="N177" s="102" t="str">
        <f t="shared" si="40"/>
        <v/>
      </c>
      <c r="O177" s="103" t="str">
        <f t="shared" si="41"/>
        <v/>
      </c>
      <c r="P177" s="53">
        <v>0</v>
      </c>
      <c r="Q177" s="102" t="str">
        <f t="shared" si="42"/>
        <v/>
      </c>
      <c r="R177" s="103" t="str">
        <f t="shared" si="43"/>
        <v/>
      </c>
      <c r="S177" s="53">
        <v>0</v>
      </c>
      <c r="T177" s="102" t="str">
        <f t="shared" si="44"/>
        <v/>
      </c>
      <c r="U177" s="103" t="str">
        <f t="shared" si="45"/>
        <v/>
      </c>
      <c r="V177" s="53">
        <v>0</v>
      </c>
      <c r="W177" s="87" t="str">
        <f t="shared" si="46"/>
        <v/>
      </c>
      <c r="X177" s="103" t="str">
        <f t="shared" si="47"/>
        <v/>
      </c>
      <c r="Y177" s="53">
        <v>0</v>
      </c>
      <c r="Z177" s="56" t="str">
        <f t="shared" si="48"/>
        <v/>
      </c>
      <c r="AA177" s="56" t="str">
        <f t="shared" si="49"/>
        <v/>
      </c>
      <c r="AB177" s="56" t="str">
        <f t="shared" si="50"/>
        <v/>
      </c>
      <c r="AC177" s="56" t="str">
        <f t="shared" si="51"/>
        <v/>
      </c>
      <c r="AD177" s="56" t="str">
        <f t="shared" si="52"/>
        <v/>
      </c>
      <c r="AE177" s="40"/>
      <c r="AF177" s="40"/>
      <c r="AG177" s="40"/>
      <c r="AH177" s="56" t="str">
        <f t="shared" si="53"/>
        <v/>
      </c>
      <c r="AI177" s="54"/>
      <c r="AJ177" s="54"/>
      <c r="AK177" s="54"/>
      <c r="AL177" s="54"/>
      <c r="AM177" s="54"/>
    </row>
    <row r="178" spans="1:39">
      <c r="A178" s="45" t="str" cm="1">
        <f t="array" ref="A178">IF(H178="PROJECT", CHAR(10) &amp; "- " &amp; _xlfn.TEXTJOIN(CHAR(10) &amp; "- ", TRUE, _xlfn._xlws.FILTER($I$9:$I$1000, ($B$9:$B$1000=B178) * ($H$9:$H$1000="Topic"))), "")</f>
        <v/>
      </c>
      <c r="B178" s="45" t="str">
        <f t="shared" si="37"/>
        <v/>
      </c>
      <c r="C178" s="95"/>
      <c r="D178" s="57"/>
      <c r="E178" s="58"/>
      <c r="F178" s="54"/>
      <c r="G178" s="52"/>
      <c r="H178" s="52"/>
      <c r="I178" s="61"/>
      <c r="J178" s="62"/>
      <c r="K178" s="129" t="str">
        <f t="shared" si="38"/>
        <v/>
      </c>
      <c r="L178" s="103" t="str">
        <f t="shared" si="39"/>
        <v/>
      </c>
      <c r="M178" s="52">
        <v>0</v>
      </c>
      <c r="N178" s="102" t="str">
        <f t="shared" si="40"/>
        <v/>
      </c>
      <c r="O178" s="103" t="str">
        <f t="shared" si="41"/>
        <v/>
      </c>
      <c r="P178" s="52">
        <v>0</v>
      </c>
      <c r="Q178" s="102" t="str">
        <f t="shared" si="42"/>
        <v/>
      </c>
      <c r="R178" s="103" t="str">
        <f t="shared" si="43"/>
        <v/>
      </c>
      <c r="S178" s="52">
        <v>0</v>
      </c>
      <c r="T178" s="102" t="str">
        <f t="shared" si="44"/>
        <v/>
      </c>
      <c r="U178" s="103" t="str">
        <f t="shared" si="45"/>
        <v/>
      </c>
      <c r="V178" s="52">
        <v>0</v>
      </c>
      <c r="W178" s="87" t="str">
        <f t="shared" si="46"/>
        <v/>
      </c>
      <c r="X178" s="103" t="str">
        <f t="shared" si="47"/>
        <v/>
      </c>
      <c r="Y178" s="52">
        <v>0</v>
      </c>
      <c r="Z178" s="56" t="str">
        <f t="shared" si="48"/>
        <v/>
      </c>
      <c r="AA178" s="56" t="str">
        <f t="shared" si="49"/>
        <v/>
      </c>
      <c r="AB178" s="56" t="str">
        <f t="shared" si="50"/>
        <v/>
      </c>
      <c r="AC178" s="56" t="str">
        <f t="shared" si="51"/>
        <v/>
      </c>
      <c r="AD178" s="56" t="str">
        <f t="shared" si="52"/>
        <v/>
      </c>
      <c r="AE178" s="40"/>
      <c r="AF178" s="40"/>
      <c r="AG178" s="40"/>
      <c r="AH178" s="56" t="str">
        <f t="shared" si="53"/>
        <v/>
      </c>
      <c r="AI178" s="54"/>
      <c r="AJ178" s="54"/>
      <c r="AK178" s="54"/>
      <c r="AL178" s="54"/>
      <c r="AM178" s="54"/>
    </row>
    <row r="179" spans="1:39">
      <c r="A179" s="45" t="str" cm="1">
        <f t="array" ref="A179">IF(H179="PROJECT", CHAR(10) &amp; "- " &amp; _xlfn.TEXTJOIN(CHAR(10) &amp; "- ", TRUE, _xlfn._xlws.FILTER($I$9:$I$1000, ($B$9:$B$1000=B179) * ($H$9:$H$1000="Topic"))), "")</f>
        <v/>
      </c>
      <c r="B179" s="45" t="str">
        <f t="shared" si="37"/>
        <v/>
      </c>
      <c r="C179" s="95"/>
      <c r="D179" s="46"/>
      <c r="E179" s="58"/>
      <c r="F179" s="67"/>
      <c r="G179" s="53"/>
      <c r="H179" s="53"/>
      <c r="I179" s="50"/>
      <c r="J179" s="51"/>
      <c r="K179" s="129" t="str">
        <f t="shared" si="38"/>
        <v/>
      </c>
      <c r="L179" s="103" t="str">
        <f t="shared" si="39"/>
        <v/>
      </c>
      <c r="M179" s="53">
        <v>0</v>
      </c>
      <c r="N179" s="102" t="str">
        <f t="shared" si="40"/>
        <v/>
      </c>
      <c r="O179" s="103" t="str">
        <f t="shared" si="41"/>
        <v/>
      </c>
      <c r="P179" s="53">
        <v>0</v>
      </c>
      <c r="Q179" s="102" t="str">
        <f t="shared" si="42"/>
        <v/>
      </c>
      <c r="R179" s="103" t="str">
        <f t="shared" si="43"/>
        <v/>
      </c>
      <c r="S179" s="53">
        <v>0</v>
      </c>
      <c r="T179" s="102" t="str">
        <f t="shared" si="44"/>
        <v/>
      </c>
      <c r="U179" s="103" t="str">
        <f t="shared" si="45"/>
        <v/>
      </c>
      <c r="V179" s="53">
        <v>0</v>
      </c>
      <c r="W179" s="87" t="str">
        <f t="shared" si="46"/>
        <v/>
      </c>
      <c r="X179" s="103" t="str">
        <f t="shared" si="47"/>
        <v/>
      </c>
      <c r="Y179" s="53">
        <v>0</v>
      </c>
      <c r="Z179" s="56" t="str">
        <f t="shared" si="48"/>
        <v/>
      </c>
      <c r="AA179" s="56" t="str">
        <f t="shared" si="49"/>
        <v/>
      </c>
      <c r="AB179" s="56" t="str">
        <f t="shared" si="50"/>
        <v/>
      </c>
      <c r="AC179" s="56" t="str">
        <f t="shared" si="51"/>
        <v/>
      </c>
      <c r="AD179" s="56" t="str">
        <f t="shared" si="52"/>
        <v/>
      </c>
      <c r="AE179" s="40"/>
      <c r="AF179" s="40"/>
      <c r="AG179" s="40"/>
      <c r="AH179" s="56" t="str">
        <f t="shared" si="53"/>
        <v/>
      </c>
      <c r="AI179" s="54"/>
      <c r="AJ179" s="54"/>
      <c r="AK179" s="54"/>
      <c r="AL179" s="54"/>
      <c r="AM179" s="54"/>
    </row>
    <row r="180" spans="1:39">
      <c r="A180" s="45" t="str" cm="1">
        <f t="array" ref="A180">IF(H180="PROJECT", CHAR(10) &amp; "- " &amp; _xlfn.TEXTJOIN(CHAR(10) &amp; "- ", TRUE, _xlfn._xlws.FILTER($I$9:$I$1000, ($B$9:$B$1000=B180) * ($H$9:$H$1000="Topic"))), "")</f>
        <v/>
      </c>
      <c r="B180" s="45" t="str">
        <f t="shared" si="37"/>
        <v/>
      </c>
      <c r="C180" s="95"/>
      <c r="D180" s="57"/>
      <c r="E180" s="58"/>
      <c r="F180" s="54"/>
      <c r="G180" s="52"/>
      <c r="H180" s="52"/>
      <c r="I180" s="61"/>
      <c r="J180" s="62"/>
      <c r="K180" s="129" t="str">
        <f t="shared" si="38"/>
        <v/>
      </c>
      <c r="L180" s="103" t="str">
        <f t="shared" si="39"/>
        <v/>
      </c>
      <c r="M180" s="52">
        <v>0</v>
      </c>
      <c r="N180" s="102" t="str">
        <f t="shared" si="40"/>
        <v/>
      </c>
      <c r="O180" s="103" t="str">
        <f t="shared" si="41"/>
        <v/>
      </c>
      <c r="P180" s="52">
        <v>0</v>
      </c>
      <c r="Q180" s="102" t="str">
        <f t="shared" si="42"/>
        <v/>
      </c>
      <c r="R180" s="103" t="str">
        <f t="shared" si="43"/>
        <v/>
      </c>
      <c r="S180" s="52">
        <v>0</v>
      </c>
      <c r="T180" s="102" t="str">
        <f t="shared" si="44"/>
        <v/>
      </c>
      <c r="U180" s="103" t="str">
        <f t="shared" si="45"/>
        <v/>
      </c>
      <c r="V180" s="52">
        <v>0</v>
      </c>
      <c r="W180" s="87" t="str">
        <f t="shared" si="46"/>
        <v/>
      </c>
      <c r="X180" s="103" t="str">
        <f t="shared" si="47"/>
        <v/>
      </c>
      <c r="Y180" s="52">
        <v>0</v>
      </c>
      <c r="Z180" s="56" t="str">
        <f t="shared" si="48"/>
        <v/>
      </c>
      <c r="AA180" s="56" t="str">
        <f t="shared" si="49"/>
        <v/>
      </c>
      <c r="AB180" s="56" t="str">
        <f t="shared" si="50"/>
        <v/>
      </c>
      <c r="AC180" s="56" t="str">
        <f t="shared" si="51"/>
        <v/>
      </c>
      <c r="AD180" s="56" t="str">
        <f t="shared" si="52"/>
        <v/>
      </c>
      <c r="AE180" s="40"/>
      <c r="AF180" s="40"/>
      <c r="AG180" s="40"/>
      <c r="AH180" s="56" t="str">
        <f t="shared" si="53"/>
        <v/>
      </c>
      <c r="AI180" s="54"/>
      <c r="AJ180" s="54"/>
      <c r="AK180" s="54"/>
      <c r="AL180" s="54"/>
      <c r="AM180" s="54"/>
    </row>
    <row r="181" spans="1:39">
      <c r="A181" s="45" t="str" cm="1">
        <f t="array" ref="A181">IF(H181="PROJECT", CHAR(10) &amp; "- " &amp; _xlfn.TEXTJOIN(CHAR(10) &amp; "- ", TRUE, _xlfn._xlws.FILTER($I$9:$I$1000, ($B$9:$B$1000=B181) * ($H$9:$H$1000="Topic"))), "")</f>
        <v/>
      </c>
      <c r="B181" s="45" t="str">
        <f t="shared" si="37"/>
        <v/>
      </c>
      <c r="C181" s="95"/>
      <c r="D181" s="46"/>
      <c r="E181" s="58"/>
      <c r="F181" s="67"/>
      <c r="G181" s="53"/>
      <c r="H181" s="53"/>
      <c r="I181" s="50"/>
      <c r="J181" s="51"/>
      <c r="K181" s="129" t="str">
        <f t="shared" si="38"/>
        <v/>
      </c>
      <c r="L181" s="103" t="str">
        <f t="shared" si="39"/>
        <v/>
      </c>
      <c r="M181" s="53">
        <v>0</v>
      </c>
      <c r="N181" s="102" t="str">
        <f t="shared" si="40"/>
        <v/>
      </c>
      <c r="O181" s="103" t="str">
        <f t="shared" si="41"/>
        <v/>
      </c>
      <c r="P181" s="53">
        <v>0</v>
      </c>
      <c r="Q181" s="102" t="str">
        <f t="shared" si="42"/>
        <v/>
      </c>
      <c r="R181" s="103" t="str">
        <f t="shared" si="43"/>
        <v/>
      </c>
      <c r="S181" s="53">
        <v>0</v>
      </c>
      <c r="T181" s="102" t="str">
        <f t="shared" si="44"/>
        <v/>
      </c>
      <c r="U181" s="103" t="str">
        <f t="shared" si="45"/>
        <v/>
      </c>
      <c r="V181" s="53">
        <v>0</v>
      </c>
      <c r="W181" s="87" t="str">
        <f t="shared" si="46"/>
        <v/>
      </c>
      <c r="X181" s="103" t="str">
        <f t="shared" si="47"/>
        <v/>
      </c>
      <c r="Y181" s="53">
        <v>0</v>
      </c>
      <c r="Z181" s="56" t="str">
        <f t="shared" si="48"/>
        <v/>
      </c>
      <c r="AA181" s="56" t="str">
        <f t="shared" si="49"/>
        <v/>
      </c>
      <c r="AB181" s="56" t="str">
        <f t="shared" si="50"/>
        <v/>
      </c>
      <c r="AC181" s="56" t="str">
        <f t="shared" si="51"/>
        <v/>
      </c>
      <c r="AD181" s="56" t="str">
        <f t="shared" si="52"/>
        <v/>
      </c>
      <c r="AE181" s="40"/>
      <c r="AF181" s="40"/>
      <c r="AG181" s="40"/>
      <c r="AH181" s="56" t="str">
        <f t="shared" si="53"/>
        <v/>
      </c>
      <c r="AI181" s="54"/>
      <c r="AJ181" s="54"/>
      <c r="AK181" s="54"/>
      <c r="AL181" s="54"/>
      <c r="AM181" s="54"/>
    </row>
    <row r="182" spans="1:39">
      <c r="A182" s="45" t="str" cm="1">
        <f t="array" ref="A182">IF(H182="PROJECT", CHAR(10) &amp; "- " &amp; _xlfn.TEXTJOIN(CHAR(10) &amp; "- ", TRUE, _xlfn._xlws.FILTER($I$9:$I$1000, ($B$9:$B$1000=B182) * ($H$9:$H$1000="Topic"))), "")</f>
        <v/>
      </c>
      <c r="B182" s="45" t="str">
        <f t="shared" si="37"/>
        <v/>
      </c>
      <c r="C182" s="95"/>
      <c r="D182" s="57"/>
      <c r="E182" s="58"/>
      <c r="F182" s="54"/>
      <c r="G182" s="52"/>
      <c r="H182" s="52"/>
      <c r="I182" s="61"/>
      <c r="J182" s="62"/>
      <c r="K182" s="129" t="str">
        <f t="shared" si="38"/>
        <v/>
      </c>
      <c r="L182" s="103" t="str">
        <f t="shared" si="39"/>
        <v/>
      </c>
      <c r="M182" s="52">
        <v>0</v>
      </c>
      <c r="N182" s="102" t="str">
        <f t="shared" si="40"/>
        <v/>
      </c>
      <c r="O182" s="103" t="str">
        <f t="shared" si="41"/>
        <v/>
      </c>
      <c r="P182" s="52">
        <v>0</v>
      </c>
      <c r="Q182" s="102" t="str">
        <f t="shared" si="42"/>
        <v/>
      </c>
      <c r="R182" s="103" t="str">
        <f t="shared" si="43"/>
        <v/>
      </c>
      <c r="S182" s="52">
        <v>0</v>
      </c>
      <c r="T182" s="102" t="str">
        <f t="shared" si="44"/>
        <v/>
      </c>
      <c r="U182" s="103" t="str">
        <f t="shared" si="45"/>
        <v/>
      </c>
      <c r="V182" s="52">
        <v>0</v>
      </c>
      <c r="W182" s="87" t="str">
        <f t="shared" si="46"/>
        <v/>
      </c>
      <c r="X182" s="103" t="str">
        <f t="shared" si="47"/>
        <v/>
      </c>
      <c r="Y182" s="52">
        <v>0</v>
      </c>
      <c r="Z182" s="56" t="str">
        <f t="shared" si="48"/>
        <v/>
      </c>
      <c r="AA182" s="56" t="str">
        <f t="shared" si="49"/>
        <v/>
      </c>
      <c r="AB182" s="56" t="str">
        <f t="shared" si="50"/>
        <v/>
      </c>
      <c r="AC182" s="56" t="str">
        <f t="shared" si="51"/>
        <v/>
      </c>
      <c r="AD182" s="56" t="str">
        <f t="shared" si="52"/>
        <v/>
      </c>
      <c r="AE182" s="40"/>
      <c r="AF182" s="40"/>
      <c r="AG182" s="40"/>
      <c r="AH182" s="56" t="str">
        <f t="shared" si="53"/>
        <v/>
      </c>
      <c r="AI182" s="54"/>
      <c r="AJ182" s="54"/>
      <c r="AK182" s="54"/>
      <c r="AL182" s="54"/>
      <c r="AM182" s="54"/>
    </row>
    <row r="183" spans="1:39">
      <c r="A183" s="45" t="str" cm="1">
        <f t="array" ref="A183">IF(H183="PROJECT", CHAR(10) &amp; "- " &amp; _xlfn.TEXTJOIN(CHAR(10) &amp; "- ", TRUE, _xlfn._xlws.FILTER($I$9:$I$1000, ($B$9:$B$1000=B183) * ($H$9:$H$1000="Topic"))), "")</f>
        <v/>
      </c>
      <c r="B183" s="45" t="str">
        <f t="shared" si="37"/>
        <v/>
      </c>
      <c r="C183" s="95"/>
      <c r="D183" s="46"/>
      <c r="E183" s="58"/>
      <c r="F183" s="67"/>
      <c r="G183" s="53"/>
      <c r="H183" s="53"/>
      <c r="I183" s="50"/>
      <c r="J183" s="51"/>
      <c r="K183" s="129" t="str">
        <f t="shared" si="38"/>
        <v/>
      </c>
      <c r="L183" s="103" t="str">
        <f t="shared" si="39"/>
        <v/>
      </c>
      <c r="M183" s="53">
        <v>0</v>
      </c>
      <c r="N183" s="102" t="str">
        <f t="shared" si="40"/>
        <v/>
      </c>
      <c r="O183" s="103" t="str">
        <f t="shared" si="41"/>
        <v/>
      </c>
      <c r="P183" s="53">
        <v>0</v>
      </c>
      <c r="Q183" s="102" t="str">
        <f t="shared" si="42"/>
        <v/>
      </c>
      <c r="R183" s="103" t="str">
        <f t="shared" si="43"/>
        <v/>
      </c>
      <c r="S183" s="53">
        <v>0</v>
      </c>
      <c r="T183" s="102" t="str">
        <f t="shared" si="44"/>
        <v/>
      </c>
      <c r="U183" s="103" t="str">
        <f t="shared" si="45"/>
        <v/>
      </c>
      <c r="V183" s="53">
        <v>0</v>
      </c>
      <c r="W183" s="87" t="str">
        <f t="shared" si="46"/>
        <v/>
      </c>
      <c r="X183" s="103" t="str">
        <f t="shared" si="47"/>
        <v/>
      </c>
      <c r="Y183" s="53">
        <v>0</v>
      </c>
      <c r="Z183" s="56" t="str">
        <f t="shared" si="48"/>
        <v/>
      </c>
      <c r="AA183" s="56" t="str">
        <f t="shared" si="49"/>
        <v/>
      </c>
      <c r="AB183" s="56" t="str">
        <f t="shared" si="50"/>
        <v/>
      </c>
      <c r="AC183" s="56" t="str">
        <f t="shared" si="51"/>
        <v/>
      </c>
      <c r="AD183" s="56" t="str">
        <f t="shared" si="52"/>
        <v/>
      </c>
      <c r="AE183" s="40"/>
      <c r="AF183" s="40"/>
      <c r="AG183" s="40"/>
      <c r="AH183" s="56" t="str">
        <f t="shared" si="53"/>
        <v/>
      </c>
      <c r="AI183" s="54"/>
      <c r="AJ183" s="54"/>
      <c r="AK183" s="54"/>
      <c r="AL183" s="54"/>
      <c r="AM183" s="54"/>
    </row>
    <row r="184" spans="1:39">
      <c r="A184" s="45" t="str" cm="1">
        <f t="array" ref="A184">IF(H184="PROJECT", CHAR(10) &amp; "- " &amp; _xlfn.TEXTJOIN(CHAR(10) &amp; "- ", TRUE, _xlfn._xlws.FILTER($I$9:$I$1000, ($B$9:$B$1000=B184) * ($H$9:$H$1000="Topic"))), "")</f>
        <v/>
      </c>
      <c r="B184" s="45" t="str">
        <f t="shared" si="37"/>
        <v/>
      </c>
      <c r="C184" s="95"/>
      <c r="D184" s="57"/>
      <c r="E184" s="58"/>
      <c r="F184" s="54"/>
      <c r="G184" s="52"/>
      <c r="H184" s="52"/>
      <c r="I184" s="61"/>
      <c r="J184" s="62"/>
      <c r="K184" s="129" t="str">
        <f t="shared" si="38"/>
        <v/>
      </c>
      <c r="L184" s="103" t="str">
        <f t="shared" si="39"/>
        <v/>
      </c>
      <c r="M184" s="52">
        <v>0</v>
      </c>
      <c r="N184" s="102" t="str">
        <f t="shared" si="40"/>
        <v/>
      </c>
      <c r="O184" s="103" t="str">
        <f t="shared" si="41"/>
        <v/>
      </c>
      <c r="P184" s="52">
        <v>0</v>
      </c>
      <c r="Q184" s="102" t="str">
        <f t="shared" si="42"/>
        <v/>
      </c>
      <c r="R184" s="103" t="str">
        <f t="shared" si="43"/>
        <v/>
      </c>
      <c r="S184" s="52">
        <v>0</v>
      </c>
      <c r="T184" s="102" t="str">
        <f t="shared" si="44"/>
        <v/>
      </c>
      <c r="U184" s="103" t="str">
        <f t="shared" si="45"/>
        <v/>
      </c>
      <c r="V184" s="52">
        <v>0</v>
      </c>
      <c r="W184" s="87" t="str">
        <f t="shared" si="46"/>
        <v/>
      </c>
      <c r="X184" s="103" t="str">
        <f t="shared" si="47"/>
        <v/>
      </c>
      <c r="Y184" s="52">
        <v>0</v>
      </c>
      <c r="Z184" s="56" t="str">
        <f t="shared" si="48"/>
        <v/>
      </c>
      <c r="AA184" s="56" t="str">
        <f t="shared" si="49"/>
        <v/>
      </c>
      <c r="AB184" s="56" t="str">
        <f t="shared" si="50"/>
        <v/>
      </c>
      <c r="AC184" s="56" t="str">
        <f t="shared" si="51"/>
        <v/>
      </c>
      <c r="AD184" s="56" t="str">
        <f t="shared" si="52"/>
        <v/>
      </c>
      <c r="AE184" s="40"/>
      <c r="AF184" s="40"/>
      <c r="AG184" s="40"/>
      <c r="AH184" s="56" t="str">
        <f t="shared" si="53"/>
        <v/>
      </c>
      <c r="AI184" s="54"/>
      <c r="AJ184" s="54"/>
      <c r="AK184" s="54"/>
      <c r="AL184" s="54"/>
      <c r="AM184" s="54"/>
    </row>
    <row r="185" spans="1:39">
      <c r="A185" s="45" t="str" cm="1">
        <f t="array" ref="A185">IF(H185="PROJECT", CHAR(10) &amp; "- " &amp; _xlfn.TEXTJOIN(CHAR(10) &amp; "- ", TRUE, _xlfn._xlws.FILTER($I$9:$I$1000, ($B$9:$B$1000=B185) * ($H$9:$H$1000="Topic"))), "")</f>
        <v/>
      </c>
      <c r="B185" s="45" t="str">
        <f t="shared" si="37"/>
        <v/>
      </c>
      <c r="C185" s="95"/>
      <c r="D185" s="46"/>
      <c r="E185" s="58"/>
      <c r="F185" s="67"/>
      <c r="G185" s="53"/>
      <c r="H185" s="53"/>
      <c r="I185" s="50"/>
      <c r="J185" s="51"/>
      <c r="K185" s="129" t="str">
        <f t="shared" si="38"/>
        <v/>
      </c>
      <c r="L185" s="103" t="str">
        <f t="shared" si="39"/>
        <v/>
      </c>
      <c r="M185" s="53">
        <v>0</v>
      </c>
      <c r="N185" s="102" t="str">
        <f t="shared" si="40"/>
        <v/>
      </c>
      <c r="O185" s="103" t="str">
        <f t="shared" si="41"/>
        <v/>
      </c>
      <c r="P185" s="53">
        <v>0</v>
      </c>
      <c r="Q185" s="102" t="str">
        <f t="shared" si="42"/>
        <v/>
      </c>
      <c r="R185" s="103" t="str">
        <f t="shared" si="43"/>
        <v/>
      </c>
      <c r="S185" s="53">
        <v>0</v>
      </c>
      <c r="T185" s="102" t="str">
        <f t="shared" si="44"/>
        <v/>
      </c>
      <c r="U185" s="103" t="str">
        <f t="shared" si="45"/>
        <v/>
      </c>
      <c r="V185" s="53">
        <v>0</v>
      </c>
      <c r="W185" s="87" t="str">
        <f t="shared" si="46"/>
        <v/>
      </c>
      <c r="X185" s="103" t="str">
        <f t="shared" si="47"/>
        <v/>
      </c>
      <c r="Y185" s="53">
        <v>0</v>
      </c>
      <c r="Z185" s="56" t="str">
        <f t="shared" si="48"/>
        <v/>
      </c>
      <c r="AA185" s="56" t="str">
        <f t="shared" si="49"/>
        <v/>
      </c>
      <c r="AB185" s="56" t="str">
        <f t="shared" si="50"/>
        <v/>
      </c>
      <c r="AC185" s="56" t="str">
        <f t="shared" si="51"/>
        <v/>
      </c>
      <c r="AD185" s="56" t="str">
        <f t="shared" si="52"/>
        <v/>
      </c>
      <c r="AE185" s="40"/>
      <c r="AF185" s="40"/>
      <c r="AG185" s="40"/>
      <c r="AH185" s="56" t="str">
        <f t="shared" si="53"/>
        <v/>
      </c>
      <c r="AI185" s="54"/>
      <c r="AJ185" s="54"/>
      <c r="AK185" s="54"/>
      <c r="AL185" s="54"/>
      <c r="AM185" s="54"/>
    </row>
    <row r="186" spans="1:39">
      <c r="A186" s="45" t="str" cm="1">
        <f t="array" ref="A186">IF(H186="PROJECT", CHAR(10) &amp; "- " &amp; _xlfn.TEXTJOIN(CHAR(10) &amp; "- ", TRUE, _xlfn._xlws.FILTER($I$9:$I$1000, ($B$9:$B$1000=B186) * ($H$9:$H$1000="Topic"))), "")</f>
        <v/>
      </c>
      <c r="B186" s="45" t="str">
        <f t="shared" si="37"/>
        <v/>
      </c>
      <c r="C186" s="95"/>
      <c r="D186" s="57"/>
      <c r="E186" s="58"/>
      <c r="F186" s="54"/>
      <c r="G186" s="52"/>
      <c r="H186" s="52"/>
      <c r="I186" s="61"/>
      <c r="J186" s="62"/>
      <c r="K186" s="129" t="str">
        <f t="shared" si="38"/>
        <v/>
      </c>
      <c r="L186" s="103" t="str">
        <f t="shared" si="39"/>
        <v/>
      </c>
      <c r="M186" s="52">
        <v>0</v>
      </c>
      <c r="N186" s="102" t="str">
        <f t="shared" si="40"/>
        <v/>
      </c>
      <c r="O186" s="103" t="str">
        <f t="shared" si="41"/>
        <v/>
      </c>
      <c r="P186" s="52">
        <v>0</v>
      </c>
      <c r="Q186" s="102" t="str">
        <f t="shared" si="42"/>
        <v/>
      </c>
      <c r="R186" s="103" t="str">
        <f t="shared" si="43"/>
        <v/>
      </c>
      <c r="S186" s="52">
        <v>0</v>
      </c>
      <c r="T186" s="102" t="str">
        <f t="shared" si="44"/>
        <v/>
      </c>
      <c r="U186" s="103" t="str">
        <f t="shared" si="45"/>
        <v/>
      </c>
      <c r="V186" s="52">
        <v>0</v>
      </c>
      <c r="W186" s="87" t="str">
        <f t="shared" si="46"/>
        <v/>
      </c>
      <c r="X186" s="103" t="str">
        <f t="shared" si="47"/>
        <v/>
      </c>
      <c r="Y186" s="52">
        <v>0</v>
      </c>
      <c r="Z186" s="56" t="str">
        <f t="shared" si="48"/>
        <v/>
      </c>
      <c r="AA186" s="56" t="str">
        <f t="shared" si="49"/>
        <v/>
      </c>
      <c r="AB186" s="56" t="str">
        <f t="shared" si="50"/>
        <v/>
      </c>
      <c r="AC186" s="56" t="str">
        <f t="shared" si="51"/>
        <v/>
      </c>
      <c r="AD186" s="56" t="str">
        <f t="shared" si="52"/>
        <v/>
      </c>
      <c r="AE186" s="40"/>
      <c r="AF186" s="40"/>
      <c r="AG186" s="40"/>
      <c r="AH186" s="56" t="str">
        <f t="shared" si="53"/>
        <v/>
      </c>
      <c r="AI186" s="54"/>
      <c r="AJ186" s="54"/>
      <c r="AK186" s="54"/>
      <c r="AL186" s="54"/>
      <c r="AM186" s="54"/>
    </row>
    <row r="187" spans="1:39">
      <c r="A187" s="45" t="str" cm="1">
        <f t="array" ref="A187">IF(H187="PROJECT", CHAR(10) &amp; "- " &amp; _xlfn.TEXTJOIN(CHAR(10) &amp; "- ", TRUE, _xlfn._xlws.FILTER($I$9:$I$1000, ($B$9:$B$1000=B187) * ($H$9:$H$1000="Topic"))), "")</f>
        <v/>
      </c>
      <c r="B187" s="45" t="str">
        <f t="shared" si="37"/>
        <v/>
      </c>
      <c r="C187" s="95"/>
      <c r="D187" s="46"/>
      <c r="E187" s="58"/>
      <c r="F187" s="67"/>
      <c r="G187" s="53"/>
      <c r="H187" s="53"/>
      <c r="I187" s="50"/>
      <c r="J187" s="51"/>
      <c r="K187" s="129" t="str">
        <f t="shared" si="38"/>
        <v/>
      </c>
      <c r="L187" s="103" t="str">
        <f t="shared" si="39"/>
        <v/>
      </c>
      <c r="M187" s="53">
        <v>0</v>
      </c>
      <c r="N187" s="102" t="str">
        <f t="shared" si="40"/>
        <v/>
      </c>
      <c r="O187" s="103" t="str">
        <f t="shared" si="41"/>
        <v/>
      </c>
      <c r="P187" s="53">
        <v>0</v>
      </c>
      <c r="Q187" s="102" t="str">
        <f t="shared" si="42"/>
        <v/>
      </c>
      <c r="R187" s="103" t="str">
        <f t="shared" si="43"/>
        <v/>
      </c>
      <c r="S187" s="53">
        <v>0</v>
      </c>
      <c r="T187" s="102" t="str">
        <f t="shared" si="44"/>
        <v/>
      </c>
      <c r="U187" s="103" t="str">
        <f t="shared" si="45"/>
        <v/>
      </c>
      <c r="V187" s="53">
        <v>0</v>
      </c>
      <c r="W187" s="87" t="str">
        <f t="shared" si="46"/>
        <v/>
      </c>
      <c r="X187" s="103" t="str">
        <f t="shared" si="47"/>
        <v/>
      </c>
      <c r="Y187" s="53">
        <v>0</v>
      </c>
      <c r="Z187" s="56" t="str">
        <f t="shared" si="48"/>
        <v/>
      </c>
      <c r="AA187" s="56" t="str">
        <f t="shared" si="49"/>
        <v/>
      </c>
      <c r="AB187" s="56" t="str">
        <f t="shared" si="50"/>
        <v/>
      </c>
      <c r="AC187" s="56" t="str">
        <f t="shared" si="51"/>
        <v/>
      </c>
      <c r="AD187" s="56" t="str">
        <f t="shared" si="52"/>
        <v/>
      </c>
      <c r="AE187" s="40"/>
      <c r="AF187" s="40"/>
      <c r="AG187" s="40"/>
      <c r="AH187" s="56" t="str">
        <f t="shared" si="53"/>
        <v/>
      </c>
      <c r="AI187" s="54"/>
      <c r="AJ187" s="54"/>
      <c r="AK187" s="54"/>
      <c r="AL187" s="54"/>
      <c r="AM187" s="54"/>
    </row>
    <row r="188" spans="1:39">
      <c r="A188" s="45" t="str" cm="1">
        <f t="array" ref="A188">IF(H188="PROJECT", CHAR(10) &amp; "- " &amp; _xlfn.TEXTJOIN(CHAR(10) &amp; "- ", TRUE, _xlfn._xlws.FILTER($I$9:$I$1000, ($B$9:$B$1000=B188) * ($H$9:$H$1000="Topic"))), "")</f>
        <v/>
      </c>
      <c r="B188" s="45" t="str">
        <f t="shared" si="37"/>
        <v/>
      </c>
      <c r="C188" s="95"/>
      <c r="D188" s="57"/>
      <c r="E188" s="58"/>
      <c r="F188" s="54"/>
      <c r="G188" s="52"/>
      <c r="H188" s="52"/>
      <c r="I188" s="61"/>
      <c r="J188" s="62"/>
      <c r="K188" s="129" t="str">
        <f t="shared" si="38"/>
        <v/>
      </c>
      <c r="L188" s="103" t="str">
        <f t="shared" si="39"/>
        <v/>
      </c>
      <c r="M188" s="52">
        <v>0</v>
      </c>
      <c r="N188" s="102" t="str">
        <f t="shared" si="40"/>
        <v/>
      </c>
      <c r="O188" s="103" t="str">
        <f t="shared" si="41"/>
        <v/>
      </c>
      <c r="P188" s="52">
        <v>0</v>
      </c>
      <c r="Q188" s="102" t="str">
        <f t="shared" si="42"/>
        <v/>
      </c>
      <c r="R188" s="103" t="str">
        <f t="shared" si="43"/>
        <v/>
      </c>
      <c r="S188" s="52">
        <v>0</v>
      </c>
      <c r="T188" s="102" t="str">
        <f t="shared" si="44"/>
        <v/>
      </c>
      <c r="U188" s="103" t="str">
        <f t="shared" si="45"/>
        <v/>
      </c>
      <c r="V188" s="52">
        <v>0</v>
      </c>
      <c r="W188" s="87" t="str">
        <f t="shared" si="46"/>
        <v/>
      </c>
      <c r="X188" s="103" t="str">
        <f t="shared" si="47"/>
        <v/>
      </c>
      <c r="Y188" s="52">
        <v>0</v>
      </c>
      <c r="Z188" s="56" t="str">
        <f t="shared" si="48"/>
        <v/>
      </c>
      <c r="AA188" s="56" t="str">
        <f t="shared" si="49"/>
        <v/>
      </c>
      <c r="AB188" s="56" t="str">
        <f t="shared" si="50"/>
        <v/>
      </c>
      <c r="AC188" s="56" t="str">
        <f t="shared" si="51"/>
        <v/>
      </c>
      <c r="AD188" s="56" t="str">
        <f t="shared" si="52"/>
        <v/>
      </c>
      <c r="AE188" s="40"/>
      <c r="AF188" s="40"/>
      <c r="AG188" s="40"/>
      <c r="AH188" s="56" t="str">
        <f t="shared" si="53"/>
        <v/>
      </c>
      <c r="AI188" s="54"/>
      <c r="AJ188" s="54"/>
      <c r="AK188" s="54"/>
      <c r="AL188" s="54"/>
      <c r="AM188" s="54"/>
    </row>
    <row r="189" spans="1:39">
      <c r="A189" s="45" t="str" cm="1">
        <f t="array" ref="A189">IF(H189="PROJECT", CHAR(10) &amp; "- " &amp; _xlfn.TEXTJOIN(CHAR(10) &amp; "- ", TRUE, _xlfn._xlws.FILTER($I$9:$I$1000, ($B$9:$B$1000=B189) * ($H$9:$H$1000="Topic"))), "")</f>
        <v/>
      </c>
      <c r="B189" s="45" t="str">
        <f t="shared" si="37"/>
        <v/>
      </c>
      <c r="C189" s="95"/>
      <c r="D189" s="46"/>
      <c r="E189" s="58"/>
      <c r="F189" s="67"/>
      <c r="G189" s="53"/>
      <c r="H189" s="53"/>
      <c r="I189" s="50"/>
      <c r="J189" s="51"/>
      <c r="K189" s="129" t="str">
        <f t="shared" si="38"/>
        <v/>
      </c>
      <c r="L189" s="103" t="str">
        <f t="shared" si="39"/>
        <v/>
      </c>
      <c r="M189" s="53">
        <v>0</v>
      </c>
      <c r="N189" s="102" t="str">
        <f t="shared" si="40"/>
        <v/>
      </c>
      <c r="O189" s="103" t="str">
        <f t="shared" si="41"/>
        <v/>
      </c>
      <c r="P189" s="53">
        <v>0</v>
      </c>
      <c r="Q189" s="102" t="str">
        <f t="shared" si="42"/>
        <v/>
      </c>
      <c r="R189" s="103" t="str">
        <f t="shared" si="43"/>
        <v/>
      </c>
      <c r="S189" s="53">
        <v>0</v>
      </c>
      <c r="T189" s="102" t="str">
        <f t="shared" si="44"/>
        <v/>
      </c>
      <c r="U189" s="103" t="str">
        <f t="shared" si="45"/>
        <v/>
      </c>
      <c r="V189" s="53">
        <v>0</v>
      </c>
      <c r="W189" s="87" t="str">
        <f t="shared" si="46"/>
        <v/>
      </c>
      <c r="X189" s="103" t="str">
        <f t="shared" si="47"/>
        <v/>
      </c>
      <c r="Y189" s="53">
        <v>0</v>
      </c>
      <c r="Z189" s="56" t="str">
        <f t="shared" si="48"/>
        <v/>
      </c>
      <c r="AA189" s="56" t="str">
        <f t="shared" si="49"/>
        <v/>
      </c>
      <c r="AB189" s="56" t="str">
        <f t="shared" si="50"/>
        <v/>
      </c>
      <c r="AC189" s="56" t="str">
        <f t="shared" si="51"/>
        <v/>
      </c>
      <c r="AD189" s="56" t="str">
        <f t="shared" si="52"/>
        <v/>
      </c>
      <c r="AE189" s="40"/>
      <c r="AF189" s="40"/>
      <c r="AG189" s="40"/>
      <c r="AH189" s="56" t="str">
        <f t="shared" si="53"/>
        <v/>
      </c>
      <c r="AI189" s="54"/>
      <c r="AJ189" s="54"/>
      <c r="AK189" s="54"/>
      <c r="AL189" s="54"/>
      <c r="AM189" s="54"/>
    </row>
    <row r="190" spans="1:39">
      <c r="A190" s="45" t="str" cm="1">
        <f t="array" ref="A190">IF(H190="PROJECT", CHAR(10) &amp; "- " &amp; _xlfn.TEXTJOIN(CHAR(10) &amp; "- ", TRUE, _xlfn._xlws.FILTER($I$9:$I$1000, ($B$9:$B$1000=B190) * ($H$9:$H$1000="Topic"))), "")</f>
        <v/>
      </c>
      <c r="B190" s="45" t="str">
        <f t="shared" si="37"/>
        <v/>
      </c>
      <c r="C190" s="95"/>
      <c r="D190" s="57"/>
      <c r="E190" s="58"/>
      <c r="F190" s="54"/>
      <c r="G190" s="52"/>
      <c r="H190" s="52"/>
      <c r="I190" s="61"/>
      <c r="J190" s="62"/>
      <c r="K190" s="129" t="str">
        <f t="shared" si="38"/>
        <v/>
      </c>
      <c r="L190" s="103" t="str">
        <f t="shared" si="39"/>
        <v/>
      </c>
      <c r="M190" s="52">
        <v>0</v>
      </c>
      <c r="N190" s="102" t="str">
        <f t="shared" si="40"/>
        <v/>
      </c>
      <c r="O190" s="103" t="str">
        <f t="shared" si="41"/>
        <v/>
      </c>
      <c r="P190" s="52">
        <v>0</v>
      </c>
      <c r="Q190" s="102" t="str">
        <f t="shared" si="42"/>
        <v/>
      </c>
      <c r="R190" s="103" t="str">
        <f t="shared" si="43"/>
        <v/>
      </c>
      <c r="S190" s="52">
        <v>0</v>
      </c>
      <c r="T190" s="102" t="str">
        <f t="shared" si="44"/>
        <v/>
      </c>
      <c r="U190" s="103" t="str">
        <f t="shared" si="45"/>
        <v/>
      </c>
      <c r="V190" s="52">
        <v>0</v>
      </c>
      <c r="W190" s="87" t="str">
        <f t="shared" si="46"/>
        <v/>
      </c>
      <c r="X190" s="103" t="str">
        <f t="shared" si="47"/>
        <v/>
      </c>
      <c r="Y190" s="52">
        <v>0</v>
      </c>
      <c r="Z190" s="56" t="str">
        <f t="shared" si="48"/>
        <v/>
      </c>
      <c r="AA190" s="56" t="str">
        <f t="shared" si="49"/>
        <v/>
      </c>
      <c r="AB190" s="56" t="str">
        <f t="shared" si="50"/>
        <v/>
      </c>
      <c r="AC190" s="56" t="str">
        <f t="shared" si="51"/>
        <v/>
      </c>
      <c r="AD190" s="56" t="str">
        <f t="shared" si="52"/>
        <v/>
      </c>
      <c r="AE190" s="40"/>
      <c r="AF190" s="40"/>
      <c r="AG190" s="40"/>
      <c r="AH190" s="56" t="str">
        <f t="shared" si="53"/>
        <v/>
      </c>
      <c r="AI190" s="54"/>
      <c r="AJ190" s="54"/>
      <c r="AK190" s="54"/>
      <c r="AL190" s="54"/>
      <c r="AM190" s="54"/>
    </row>
    <row r="191" spans="1:39">
      <c r="A191" s="45" t="str" cm="1">
        <f t="array" ref="A191">IF(H191="PROJECT", CHAR(10) &amp; "- " &amp; _xlfn.TEXTJOIN(CHAR(10) &amp; "- ", TRUE, _xlfn._xlws.FILTER($I$9:$I$1000, ($B$9:$B$1000=B191) * ($H$9:$H$1000="Topic"))), "")</f>
        <v/>
      </c>
      <c r="B191" s="45" t="str">
        <f t="shared" si="37"/>
        <v/>
      </c>
      <c r="C191" s="95"/>
      <c r="D191" s="46"/>
      <c r="E191" s="58"/>
      <c r="F191" s="67"/>
      <c r="G191" s="53"/>
      <c r="H191" s="53"/>
      <c r="I191" s="50"/>
      <c r="J191" s="51"/>
      <c r="K191" s="129" t="str">
        <f t="shared" si="38"/>
        <v/>
      </c>
      <c r="L191" s="103" t="str">
        <f t="shared" si="39"/>
        <v/>
      </c>
      <c r="M191" s="53">
        <v>0</v>
      </c>
      <c r="N191" s="102" t="str">
        <f t="shared" si="40"/>
        <v/>
      </c>
      <c r="O191" s="103" t="str">
        <f t="shared" si="41"/>
        <v/>
      </c>
      <c r="P191" s="53">
        <v>0</v>
      </c>
      <c r="Q191" s="102" t="str">
        <f t="shared" si="42"/>
        <v/>
      </c>
      <c r="R191" s="103" t="str">
        <f t="shared" si="43"/>
        <v/>
      </c>
      <c r="S191" s="53">
        <v>0</v>
      </c>
      <c r="T191" s="102" t="str">
        <f t="shared" si="44"/>
        <v/>
      </c>
      <c r="U191" s="103" t="str">
        <f t="shared" si="45"/>
        <v/>
      </c>
      <c r="V191" s="53">
        <v>0</v>
      </c>
      <c r="W191" s="87" t="str">
        <f t="shared" si="46"/>
        <v/>
      </c>
      <c r="X191" s="103" t="str">
        <f t="shared" si="47"/>
        <v/>
      </c>
      <c r="Y191" s="53">
        <v>0</v>
      </c>
      <c r="Z191" s="56" t="str">
        <f t="shared" si="48"/>
        <v/>
      </c>
      <c r="AA191" s="56" t="str">
        <f t="shared" si="49"/>
        <v/>
      </c>
      <c r="AB191" s="56" t="str">
        <f t="shared" si="50"/>
        <v/>
      </c>
      <c r="AC191" s="56" t="str">
        <f t="shared" si="51"/>
        <v/>
      </c>
      <c r="AD191" s="56" t="str">
        <f t="shared" si="52"/>
        <v/>
      </c>
      <c r="AE191" s="40"/>
      <c r="AF191" s="40"/>
      <c r="AG191" s="40"/>
      <c r="AH191" s="56" t="str">
        <f t="shared" si="53"/>
        <v/>
      </c>
      <c r="AI191" s="54"/>
      <c r="AJ191" s="54"/>
      <c r="AK191" s="54"/>
      <c r="AL191" s="54"/>
      <c r="AM191" s="54"/>
    </row>
    <row r="192" spans="1:39">
      <c r="A192" s="45" t="str" cm="1">
        <f t="array" ref="A192">IF(H192="PROJECT", CHAR(10) &amp; "- " &amp; _xlfn.TEXTJOIN(CHAR(10) &amp; "- ", TRUE, _xlfn._xlws.FILTER($I$9:$I$1000, ($B$9:$B$1000=B192) * ($H$9:$H$1000="Topic"))), "")</f>
        <v/>
      </c>
      <c r="B192" s="45" t="str">
        <f t="shared" si="37"/>
        <v/>
      </c>
      <c r="C192" s="95"/>
      <c r="D192" s="57"/>
      <c r="E192" s="58"/>
      <c r="F192" s="54"/>
      <c r="G192" s="52"/>
      <c r="H192" s="52"/>
      <c r="I192" s="61"/>
      <c r="J192" s="62"/>
      <c r="K192" s="129" t="str">
        <f t="shared" si="38"/>
        <v/>
      </c>
      <c r="L192" s="103" t="str">
        <f t="shared" si="39"/>
        <v/>
      </c>
      <c r="M192" s="52">
        <v>0</v>
      </c>
      <c r="N192" s="102" t="str">
        <f t="shared" si="40"/>
        <v/>
      </c>
      <c r="O192" s="103" t="str">
        <f t="shared" si="41"/>
        <v/>
      </c>
      <c r="P192" s="52">
        <v>0</v>
      </c>
      <c r="Q192" s="102" t="str">
        <f t="shared" si="42"/>
        <v/>
      </c>
      <c r="R192" s="103" t="str">
        <f t="shared" si="43"/>
        <v/>
      </c>
      <c r="S192" s="52">
        <v>0</v>
      </c>
      <c r="T192" s="102" t="str">
        <f t="shared" si="44"/>
        <v/>
      </c>
      <c r="U192" s="103" t="str">
        <f t="shared" si="45"/>
        <v/>
      </c>
      <c r="V192" s="52">
        <v>0</v>
      </c>
      <c r="W192" s="87" t="str">
        <f t="shared" si="46"/>
        <v/>
      </c>
      <c r="X192" s="103" t="str">
        <f t="shared" si="47"/>
        <v/>
      </c>
      <c r="Y192" s="52">
        <v>0</v>
      </c>
      <c r="Z192" s="56" t="str">
        <f t="shared" si="48"/>
        <v/>
      </c>
      <c r="AA192" s="56" t="str">
        <f t="shared" si="49"/>
        <v/>
      </c>
      <c r="AB192" s="56" t="str">
        <f t="shared" si="50"/>
        <v/>
      </c>
      <c r="AC192" s="56" t="str">
        <f t="shared" si="51"/>
        <v/>
      </c>
      <c r="AD192" s="56" t="str">
        <f t="shared" si="52"/>
        <v/>
      </c>
      <c r="AE192" s="40"/>
      <c r="AF192" s="40"/>
      <c r="AG192" s="40"/>
      <c r="AH192" s="56" t="str">
        <f t="shared" si="53"/>
        <v/>
      </c>
      <c r="AI192" s="54"/>
      <c r="AJ192" s="54"/>
      <c r="AK192" s="54"/>
      <c r="AL192" s="54"/>
      <c r="AM192" s="54"/>
    </row>
    <row r="193" spans="1:39">
      <c r="A193" s="45" t="str" cm="1">
        <f t="array" ref="A193">IF(H193="PROJECT", CHAR(10) &amp; "- " &amp; _xlfn.TEXTJOIN(CHAR(10) &amp; "- ", TRUE, _xlfn._xlws.FILTER($I$9:$I$1000, ($B$9:$B$1000=B193) * ($H$9:$H$1000="Topic"))), "")</f>
        <v/>
      </c>
      <c r="B193" s="45" t="str">
        <f t="shared" si="37"/>
        <v/>
      </c>
      <c r="C193" s="95"/>
      <c r="D193" s="46"/>
      <c r="E193" s="58"/>
      <c r="F193" s="67"/>
      <c r="G193" s="53"/>
      <c r="H193" s="53"/>
      <c r="I193" s="50"/>
      <c r="J193" s="51"/>
      <c r="K193" s="129" t="str">
        <f t="shared" si="38"/>
        <v/>
      </c>
      <c r="L193" s="103" t="str">
        <f t="shared" si="39"/>
        <v/>
      </c>
      <c r="M193" s="53">
        <v>0</v>
      </c>
      <c r="N193" s="102" t="str">
        <f t="shared" si="40"/>
        <v/>
      </c>
      <c r="O193" s="103" t="str">
        <f t="shared" si="41"/>
        <v/>
      </c>
      <c r="P193" s="53">
        <v>0</v>
      </c>
      <c r="Q193" s="102" t="str">
        <f t="shared" si="42"/>
        <v/>
      </c>
      <c r="R193" s="103" t="str">
        <f t="shared" si="43"/>
        <v/>
      </c>
      <c r="S193" s="53">
        <v>0</v>
      </c>
      <c r="T193" s="102" t="str">
        <f t="shared" si="44"/>
        <v/>
      </c>
      <c r="U193" s="103" t="str">
        <f t="shared" si="45"/>
        <v/>
      </c>
      <c r="V193" s="53">
        <v>0</v>
      </c>
      <c r="W193" s="87" t="str">
        <f t="shared" si="46"/>
        <v/>
      </c>
      <c r="X193" s="103" t="str">
        <f t="shared" si="47"/>
        <v/>
      </c>
      <c r="Y193" s="53">
        <v>0</v>
      </c>
      <c r="Z193" s="56" t="str">
        <f t="shared" si="48"/>
        <v/>
      </c>
      <c r="AA193" s="56" t="str">
        <f t="shared" si="49"/>
        <v/>
      </c>
      <c r="AB193" s="56" t="str">
        <f t="shared" si="50"/>
        <v/>
      </c>
      <c r="AC193" s="56" t="str">
        <f t="shared" si="51"/>
        <v/>
      </c>
      <c r="AD193" s="56" t="str">
        <f t="shared" si="52"/>
        <v/>
      </c>
      <c r="AE193" s="40"/>
      <c r="AF193" s="40"/>
      <c r="AG193" s="40"/>
      <c r="AH193" s="56" t="str">
        <f t="shared" si="53"/>
        <v/>
      </c>
      <c r="AI193" s="54"/>
      <c r="AJ193" s="54"/>
      <c r="AK193" s="54"/>
      <c r="AL193" s="54"/>
      <c r="AM193" s="54"/>
    </row>
    <row r="194" spans="1:39">
      <c r="A194" s="45" t="str" cm="1">
        <f t="array" ref="A194">IF(H194="PROJECT", CHAR(10) &amp; "- " &amp; _xlfn.TEXTJOIN(CHAR(10) &amp; "- ", TRUE, _xlfn._xlws.FILTER($I$9:$I$1000, ($B$9:$B$1000=B194) * ($H$9:$H$1000="Topic"))), "")</f>
        <v/>
      </c>
      <c r="B194" s="45" t="str">
        <f t="shared" si="37"/>
        <v/>
      </c>
      <c r="C194" s="95"/>
      <c r="D194" s="57"/>
      <c r="E194" s="58"/>
      <c r="F194" s="54"/>
      <c r="G194" s="52"/>
      <c r="H194" s="52"/>
      <c r="I194" s="61"/>
      <c r="J194" s="62"/>
      <c r="K194" s="129" t="str">
        <f t="shared" si="38"/>
        <v/>
      </c>
      <c r="L194" s="103" t="str">
        <f t="shared" si="39"/>
        <v/>
      </c>
      <c r="M194" s="52">
        <v>0</v>
      </c>
      <c r="N194" s="102" t="str">
        <f t="shared" si="40"/>
        <v/>
      </c>
      <c r="O194" s="103" t="str">
        <f t="shared" si="41"/>
        <v/>
      </c>
      <c r="P194" s="52">
        <v>0</v>
      </c>
      <c r="Q194" s="102" t="str">
        <f t="shared" si="42"/>
        <v/>
      </c>
      <c r="R194" s="103" t="str">
        <f t="shared" si="43"/>
        <v/>
      </c>
      <c r="S194" s="52">
        <v>0</v>
      </c>
      <c r="T194" s="102" t="str">
        <f t="shared" si="44"/>
        <v/>
      </c>
      <c r="U194" s="103" t="str">
        <f t="shared" si="45"/>
        <v/>
      </c>
      <c r="V194" s="52">
        <v>0</v>
      </c>
      <c r="W194" s="87" t="str">
        <f t="shared" si="46"/>
        <v/>
      </c>
      <c r="X194" s="103" t="str">
        <f t="shared" si="47"/>
        <v/>
      </c>
      <c r="Y194" s="52">
        <v>0</v>
      </c>
      <c r="Z194" s="56" t="str">
        <f t="shared" si="48"/>
        <v/>
      </c>
      <c r="AA194" s="56" t="str">
        <f t="shared" si="49"/>
        <v/>
      </c>
      <c r="AB194" s="56" t="str">
        <f t="shared" si="50"/>
        <v/>
      </c>
      <c r="AC194" s="56" t="str">
        <f t="shared" si="51"/>
        <v/>
      </c>
      <c r="AD194" s="56" t="str">
        <f t="shared" si="52"/>
        <v/>
      </c>
      <c r="AE194" s="40"/>
      <c r="AF194" s="40"/>
      <c r="AG194" s="40"/>
      <c r="AH194" s="56" t="str">
        <f t="shared" si="53"/>
        <v/>
      </c>
      <c r="AI194" s="54"/>
      <c r="AJ194" s="54"/>
      <c r="AK194" s="54"/>
      <c r="AL194" s="54"/>
      <c r="AM194" s="54"/>
    </row>
    <row r="195" spans="1:39">
      <c r="A195" s="45" t="str" cm="1">
        <f t="array" ref="A195">IF(H195="PROJECT", CHAR(10) &amp; "- " &amp; _xlfn.TEXTJOIN(CHAR(10) &amp; "- ", TRUE, _xlfn._xlws.FILTER($I$9:$I$1000, ($B$9:$B$1000=B195) * ($H$9:$H$1000="Topic"))), "")</f>
        <v/>
      </c>
      <c r="B195" s="45" t="str">
        <f t="shared" si="37"/>
        <v/>
      </c>
      <c r="C195" s="95"/>
      <c r="D195" s="46"/>
      <c r="E195" s="58"/>
      <c r="F195" s="67"/>
      <c r="G195" s="53"/>
      <c r="H195" s="53"/>
      <c r="I195" s="50"/>
      <c r="J195" s="51"/>
      <c r="K195" s="129" t="str">
        <f t="shared" si="38"/>
        <v/>
      </c>
      <c r="L195" s="103" t="str">
        <f t="shared" si="39"/>
        <v/>
      </c>
      <c r="M195" s="53">
        <v>0</v>
      </c>
      <c r="N195" s="102" t="str">
        <f t="shared" si="40"/>
        <v/>
      </c>
      <c r="O195" s="103" t="str">
        <f t="shared" si="41"/>
        <v/>
      </c>
      <c r="P195" s="53">
        <v>0</v>
      </c>
      <c r="Q195" s="102" t="str">
        <f t="shared" si="42"/>
        <v/>
      </c>
      <c r="R195" s="103" t="str">
        <f t="shared" si="43"/>
        <v/>
      </c>
      <c r="S195" s="53">
        <v>0</v>
      </c>
      <c r="T195" s="102" t="str">
        <f t="shared" si="44"/>
        <v/>
      </c>
      <c r="U195" s="103" t="str">
        <f t="shared" si="45"/>
        <v/>
      </c>
      <c r="V195" s="53">
        <v>0</v>
      </c>
      <c r="W195" s="87" t="str">
        <f t="shared" si="46"/>
        <v/>
      </c>
      <c r="X195" s="103" t="str">
        <f t="shared" si="47"/>
        <v/>
      </c>
      <c r="Y195" s="53">
        <v>0</v>
      </c>
      <c r="Z195" s="56" t="str">
        <f t="shared" si="48"/>
        <v/>
      </c>
      <c r="AA195" s="56" t="str">
        <f t="shared" si="49"/>
        <v/>
      </c>
      <c r="AB195" s="56" t="str">
        <f t="shared" si="50"/>
        <v/>
      </c>
      <c r="AC195" s="56" t="str">
        <f t="shared" si="51"/>
        <v/>
      </c>
      <c r="AD195" s="56" t="str">
        <f t="shared" si="52"/>
        <v/>
      </c>
      <c r="AE195" s="40"/>
      <c r="AF195" s="40"/>
      <c r="AG195" s="40"/>
      <c r="AH195" s="56" t="str">
        <f t="shared" si="53"/>
        <v/>
      </c>
      <c r="AI195" s="54"/>
      <c r="AJ195" s="54"/>
      <c r="AK195" s="54"/>
      <c r="AL195" s="54"/>
      <c r="AM195" s="54"/>
    </row>
    <row r="196" spans="1:39">
      <c r="A196" s="45" t="str" cm="1">
        <f t="array" ref="A196">IF(H196="PROJECT", CHAR(10) &amp; "- " &amp; _xlfn.TEXTJOIN(CHAR(10) &amp; "- ", TRUE, _xlfn._xlws.FILTER($I$9:$I$1000, ($B$9:$B$1000=B196) * ($H$9:$H$1000="Topic"))), "")</f>
        <v/>
      </c>
      <c r="B196" s="45" t="str">
        <f t="shared" si="37"/>
        <v/>
      </c>
      <c r="C196" s="95"/>
      <c r="D196" s="57"/>
      <c r="E196" s="58"/>
      <c r="F196" s="54"/>
      <c r="G196" s="52"/>
      <c r="H196" s="52"/>
      <c r="I196" s="61"/>
      <c r="J196" s="62"/>
      <c r="K196" s="129" t="str">
        <f t="shared" si="38"/>
        <v/>
      </c>
      <c r="L196" s="103" t="str">
        <f t="shared" si="39"/>
        <v/>
      </c>
      <c r="M196" s="52">
        <v>0</v>
      </c>
      <c r="N196" s="102" t="str">
        <f t="shared" si="40"/>
        <v/>
      </c>
      <c r="O196" s="103" t="str">
        <f t="shared" si="41"/>
        <v/>
      </c>
      <c r="P196" s="52">
        <v>0</v>
      </c>
      <c r="Q196" s="102" t="str">
        <f t="shared" si="42"/>
        <v/>
      </c>
      <c r="R196" s="103" t="str">
        <f t="shared" si="43"/>
        <v/>
      </c>
      <c r="S196" s="52">
        <v>0</v>
      </c>
      <c r="T196" s="102" t="str">
        <f t="shared" si="44"/>
        <v/>
      </c>
      <c r="U196" s="103" t="str">
        <f t="shared" si="45"/>
        <v/>
      </c>
      <c r="V196" s="52">
        <v>0</v>
      </c>
      <c r="W196" s="87" t="str">
        <f t="shared" si="46"/>
        <v/>
      </c>
      <c r="X196" s="103" t="str">
        <f t="shared" si="47"/>
        <v/>
      </c>
      <c r="Y196" s="52">
        <v>0</v>
      </c>
      <c r="Z196" s="56" t="str">
        <f t="shared" si="48"/>
        <v/>
      </c>
      <c r="AA196" s="56" t="str">
        <f t="shared" si="49"/>
        <v/>
      </c>
      <c r="AB196" s="56" t="str">
        <f t="shared" si="50"/>
        <v/>
      </c>
      <c r="AC196" s="56" t="str">
        <f t="shared" si="51"/>
        <v/>
      </c>
      <c r="AD196" s="56" t="str">
        <f t="shared" si="52"/>
        <v/>
      </c>
      <c r="AE196" s="40"/>
      <c r="AF196" s="40"/>
      <c r="AG196" s="40"/>
      <c r="AH196" s="56" t="str">
        <f t="shared" si="53"/>
        <v/>
      </c>
      <c r="AI196" s="54"/>
      <c r="AJ196" s="54"/>
      <c r="AK196" s="54"/>
      <c r="AL196" s="54"/>
      <c r="AM196" s="54"/>
    </row>
    <row r="197" spans="1:39">
      <c r="A197" s="45" t="str" cm="1">
        <f t="array" ref="A197">IF(H197="PROJECT", CHAR(10) &amp; "- " &amp; _xlfn.TEXTJOIN(CHAR(10) &amp; "- ", TRUE, _xlfn._xlws.FILTER($I$9:$I$1000, ($B$9:$B$1000=B197) * ($H$9:$H$1000="Topic"))), "")</f>
        <v/>
      </c>
      <c r="B197" s="45" t="str">
        <f t="shared" si="37"/>
        <v/>
      </c>
      <c r="C197" s="95"/>
      <c r="D197" s="46"/>
      <c r="E197" s="58"/>
      <c r="F197" s="67"/>
      <c r="G197" s="53"/>
      <c r="H197" s="53"/>
      <c r="I197" s="50"/>
      <c r="J197" s="51"/>
      <c r="K197" s="129" t="str">
        <f t="shared" si="38"/>
        <v/>
      </c>
      <c r="L197" s="103" t="str">
        <f t="shared" si="39"/>
        <v/>
      </c>
      <c r="M197" s="53">
        <v>0</v>
      </c>
      <c r="N197" s="102" t="str">
        <f t="shared" si="40"/>
        <v/>
      </c>
      <c r="O197" s="103" t="str">
        <f t="shared" si="41"/>
        <v/>
      </c>
      <c r="P197" s="53">
        <v>0</v>
      </c>
      <c r="Q197" s="102" t="str">
        <f t="shared" si="42"/>
        <v/>
      </c>
      <c r="R197" s="103" t="str">
        <f t="shared" si="43"/>
        <v/>
      </c>
      <c r="S197" s="53">
        <v>0</v>
      </c>
      <c r="T197" s="102" t="str">
        <f t="shared" si="44"/>
        <v/>
      </c>
      <c r="U197" s="103" t="str">
        <f t="shared" si="45"/>
        <v/>
      </c>
      <c r="V197" s="53">
        <v>0</v>
      </c>
      <c r="W197" s="87" t="str">
        <f t="shared" si="46"/>
        <v/>
      </c>
      <c r="X197" s="103" t="str">
        <f t="shared" si="47"/>
        <v/>
      </c>
      <c r="Y197" s="53">
        <v>0</v>
      </c>
      <c r="Z197" s="56" t="str">
        <f t="shared" si="48"/>
        <v/>
      </c>
      <c r="AA197" s="56" t="str">
        <f t="shared" si="49"/>
        <v/>
      </c>
      <c r="AB197" s="56" t="str">
        <f t="shared" si="50"/>
        <v/>
      </c>
      <c r="AC197" s="56" t="str">
        <f t="shared" si="51"/>
        <v/>
      </c>
      <c r="AD197" s="56" t="str">
        <f t="shared" si="52"/>
        <v/>
      </c>
      <c r="AE197" s="40"/>
      <c r="AF197" s="40"/>
      <c r="AG197" s="40"/>
      <c r="AH197" s="56" t="str">
        <f t="shared" si="53"/>
        <v/>
      </c>
      <c r="AI197" s="54"/>
      <c r="AJ197" s="54"/>
      <c r="AK197" s="54"/>
      <c r="AL197" s="54"/>
      <c r="AM197" s="54"/>
    </row>
    <row r="198" spans="1:39">
      <c r="A198" s="45" t="str" cm="1">
        <f t="array" ref="A198">IF(H198="PROJECT", CHAR(10) &amp; "- " &amp; _xlfn.TEXTJOIN(CHAR(10) &amp; "- ", TRUE, _xlfn._xlws.FILTER($I$9:$I$1000, ($B$9:$B$1000=B198) * ($H$9:$H$1000="Topic"))), "")</f>
        <v/>
      </c>
      <c r="B198" s="45" t="str">
        <f t="shared" si="37"/>
        <v/>
      </c>
      <c r="C198" s="95"/>
      <c r="D198" s="57"/>
      <c r="E198" s="58"/>
      <c r="F198" s="54"/>
      <c r="G198" s="52"/>
      <c r="H198" s="52"/>
      <c r="I198" s="61"/>
      <c r="J198" s="62"/>
      <c r="K198" s="129" t="str">
        <f t="shared" si="38"/>
        <v/>
      </c>
      <c r="L198" s="103" t="str">
        <f t="shared" si="39"/>
        <v/>
      </c>
      <c r="M198" s="52">
        <v>0</v>
      </c>
      <c r="N198" s="102" t="str">
        <f t="shared" si="40"/>
        <v/>
      </c>
      <c r="O198" s="103" t="str">
        <f t="shared" si="41"/>
        <v/>
      </c>
      <c r="P198" s="52">
        <v>0</v>
      </c>
      <c r="Q198" s="102" t="str">
        <f t="shared" si="42"/>
        <v/>
      </c>
      <c r="R198" s="103" t="str">
        <f t="shared" si="43"/>
        <v/>
      </c>
      <c r="S198" s="52">
        <v>0</v>
      </c>
      <c r="T198" s="102" t="str">
        <f t="shared" si="44"/>
        <v/>
      </c>
      <c r="U198" s="103" t="str">
        <f t="shared" si="45"/>
        <v/>
      </c>
      <c r="V198" s="52">
        <v>0</v>
      </c>
      <c r="W198" s="87" t="str">
        <f t="shared" si="46"/>
        <v/>
      </c>
      <c r="X198" s="103" t="str">
        <f t="shared" si="47"/>
        <v/>
      </c>
      <c r="Y198" s="52">
        <v>0</v>
      </c>
      <c r="Z198" s="56" t="str">
        <f t="shared" si="48"/>
        <v/>
      </c>
      <c r="AA198" s="56" t="str">
        <f t="shared" si="49"/>
        <v/>
      </c>
      <c r="AB198" s="56" t="str">
        <f t="shared" si="50"/>
        <v/>
      </c>
      <c r="AC198" s="56" t="str">
        <f t="shared" si="51"/>
        <v/>
      </c>
      <c r="AD198" s="56" t="str">
        <f t="shared" si="52"/>
        <v/>
      </c>
      <c r="AE198" s="40"/>
      <c r="AF198" s="40"/>
      <c r="AG198" s="40"/>
      <c r="AH198" s="56" t="str">
        <f t="shared" si="53"/>
        <v/>
      </c>
      <c r="AI198" s="54"/>
      <c r="AJ198" s="54"/>
      <c r="AK198" s="54"/>
      <c r="AL198" s="54"/>
      <c r="AM198" s="54"/>
    </row>
    <row r="199" spans="1:39">
      <c r="A199" s="45" t="str" cm="1">
        <f t="array" ref="A199">IF(H199="PROJECT", CHAR(10) &amp; "- " &amp; _xlfn.TEXTJOIN(CHAR(10) &amp; "- ", TRUE, _xlfn._xlws.FILTER($I$9:$I$1000, ($B$9:$B$1000=B199) * ($H$9:$H$1000="Topic"))), "")</f>
        <v/>
      </c>
      <c r="B199" s="45" t="str">
        <f t="shared" si="37"/>
        <v/>
      </c>
      <c r="C199" s="95"/>
      <c r="D199" s="46"/>
      <c r="E199" s="58"/>
      <c r="F199" s="67"/>
      <c r="G199" s="53"/>
      <c r="H199" s="53"/>
      <c r="I199" s="50"/>
      <c r="J199" s="51"/>
      <c r="K199" s="129" t="str">
        <f t="shared" si="38"/>
        <v/>
      </c>
      <c r="L199" s="103" t="str">
        <f t="shared" si="39"/>
        <v/>
      </c>
      <c r="M199" s="53">
        <v>0</v>
      </c>
      <c r="N199" s="102" t="str">
        <f t="shared" si="40"/>
        <v/>
      </c>
      <c r="O199" s="103" t="str">
        <f t="shared" si="41"/>
        <v/>
      </c>
      <c r="P199" s="53">
        <v>0</v>
      </c>
      <c r="Q199" s="102" t="str">
        <f t="shared" si="42"/>
        <v/>
      </c>
      <c r="R199" s="103" t="str">
        <f t="shared" si="43"/>
        <v/>
      </c>
      <c r="S199" s="53">
        <v>0</v>
      </c>
      <c r="T199" s="102" t="str">
        <f t="shared" si="44"/>
        <v/>
      </c>
      <c r="U199" s="103" t="str">
        <f t="shared" si="45"/>
        <v/>
      </c>
      <c r="V199" s="53">
        <v>0</v>
      </c>
      <c r="W199" s="87" t="str">
        <f t="shared" si="46"/>
        <v/>
      </c>
      <c r="X199" s="103" t="str">
        <f t="shared" si="47"/>
        <v/>
      </c>
      <c r="Y199" s="53">
        <v>0</v>
      </c>
      <c r="Z199" s="56" t="str">
        <f t="shared" si="48"/>
        <v/>
      </c>
      <c r="AA199" s="56" t="str">
        <f t="shared" si="49"/>
        <v/>
      </c>
      <c r="AB199" s="56" t="str">
        <f t="shared" si="50"/>
        <v/>
      </c>
      <c r="AC199" s="56" t="str">
        <f t="shared" si="51"/>
        <v/>
      </c>
      <c r="AD199" s="56" t="str">
        <f t="shared" si="52"/>
        <v/>
      </c>
      <c r="AE199" s="40"/>
      <c r="AF199" s="40"/>
      <c r="AG199" s="40"/>
      <c r="AH199" s="56" t="str">
        <f t="shared" si="53"/>
        <v/>
      </c>
      <c r="AI199" s="54"/>
      <c r="AJ199" s="54"/>
      <c r="AK199" s="54"/>
      <c r="AL199" s="54"/>
      <c r="AM199" s="54"/>
    </row>
    <row r="200" spans="1:39">
      <c r="A200" s="45" t="str" cm="1">
        <f t="array" ref="A200">IF(H200="PROJECT", CHAR(10) &amp; "- " &amp; _xlfn.TEXTJOIN(CHAR(10) &amp; "- ", TRUE, _xlfn._xlws.FILTER($I$9:$I$1000, ($B$9:$B$1000=B200) * ($H$9:$H$1000="Topic"))), "")</f>
        <v/>
      </c>
      <c r="B200" s="45" t="str">
        <f t="shared" si="37"/>
        <v/>
      </c>
      <c r="C200" s="95"/>
      <c r="D200" s="68"/>
      <c r="E200" s="58"/>
      <c r="F200" s="54"/>
      <c r="G200" s="69"/>
      <c r="H200" s="69"/>
      <c r="I200" s="70"/>
      <c r="J200" s="71"/>
      <c r="K200" s="129" t="str">
        <f t="shared" si="38"/>
        <v/>
      </c>
      <c r="L200" s="103" t="str">
        <f t="shared" si="39"/>
        <v/>
      </c>
      <c r="M200" s="69">
        <v>0</v>
      </c>
      <c r="N200" s="102" t="str">
        <f t="shared" si="40"/>
        <v/>
      </c>
      <c r="O200" s="103" t="str">
        <f t="shared" si="41"/>
        <v/>
      </c>
      <c r="P200" s="69">
        <v>0</v>
      </c>
      <c r="Q200" s="102" t="str">
        <f t="shared" si="42"/>
        <v/>
      </c>
      <c r="R200" s="103" t="str">
        <f t="shared" si="43"/>
        <v/>
      </c>
      <c r="S200" s="69">
        <v>0</v>
      </c>
      <c r="T200" s="102" t="str">
        <f t="shared" si="44"/>
        <v/>
      </c>
      <c r="U200" s="103" t="str">
        <f t="shared" si="45"/>
        <v/>
      </c>
      <c r="V200" s="69">
        <v>0</v>
      </c>
      <c r="W200" s="87" t="str">
        <f t="shared" si="46"/>
        <v/>
      </c>
      <c r="X200" s="103" t="str">
        <f t="shared" si="47"/>
        <v/>
      </c>
      <c r="Y200" s="69">
        <v>0</v>
      </c>
      <c r="Z200" s="56" t="str">
        <f t="shared" si="48"/>
        <v/>
      </c>
      <c r="AA200" s="56" t="str">
        <f t="shared" si="49"/>
        <v/>
      </c>
      <c r="AB200" s="56" t="str">
        <f t="shared" si="50"/>
        <v/>
      </c>
      <c r="AC200" s="56" t="str">
        <f t="shared" si="51"/>
        <v/>
      </c>
      <c r="AD200" s="56" t="str">
        <f t="shared" si="52"/>
        <v/>
      </c>
      <c r="AE200" s="40"/>
      <c r="AF200" s="40"/>
      <c r="AG200" s="40"/>
      <c r="AH200" s="56" t="str">
        <f t="shared" si="53"/>
        <v/>
      </c>
      <c r="AI200" s="54"/>
      <c r="AJ200" s="54"/>
      <c r="AK200" s="54"/>
      <c r="AL200" s="54"/>
      <c r="AM200" s="54"/>
    </row>
    <row r="201" spans="1:39">
      <c r="D201" s="72"/>
      <c r="F201" s="72"/>
      <c r="G201" s="72"/>
      <c r="H201" s="72"/>
      <c r="I201" s="72"/>
      <c r="J201" s="72"/>
      <c r="K201" s="72"/>
      <c r="L201" s="72"/>
      <c r="M201" s="72"/>
      <c r="N201" s="72"/>
      <c r="O201" s="72"/>
      <c r="P201" s="72"/>
      <c r="Q201" s="72"/>
      <c r="R201" s="72"/>
      <c r="S201" s="72"/>
      <c r="T201" s="72"/>
      <c r="U201" s="72"/>
      <c r="V201" s="72"/>
      <c r="W201" s="72"/>
      <c r="X201" s="72"/>
      <c r="Y201" s="72"/>
      <c r="Z201" s="72"/>
      <c r="AA201" s="72"/>
      <c r="AB201" s="72"/>
      <c r="AC201" s="72"/>
      <c r="AD201" s="72"/>
      <c r="AE201" s="72"/>
      <c r="AF201" s="72"/>
      <c r="AG201" s="72"/>
    </row>
    <row r="202" spans="1:39">
      <c r="D202" s="72"/>
      <c r="F202" s="72"/>
      <c r="G202" s="72"/>
      <c r="H202" s="72"/>
      <c r="I202" s="72"/>
      <c r="J202" s="72"/>
      <c r="K202" s="72"/>
      <c r="L202" s="72"/>
      <c r="M202" s="72"/>
      <c r="N202" s="72"/>
      <c r="O202" s="72"/>
      <c r="P202" s="72"/>
      <c r="Q202" s="72"/>
      <c r="R202" s="72"/>
      <c r="S202" s="72"/>
      <c r="T202" s="72"/>
      <c r="U202" s="72"/>
      <c r="V202" s="72"/>
      <c r="W202" s="72"/>
      <c r="X202" s="72"/>
      <c r="Y202" s="72"/>
      <c r="Z202" s="72"/>
      <c r="AA202" s="72"/>
      <c r="AB202" s="72"/>
      <c r="AC202" s="72"/>
      <c r="AD202" s="72"/>
      <c r="AE202" s="72"/>
      <c r="AF202" s="72"/>
      <c r="AG202" s="72"/>
    </row>
    <row r="203" spans="1:39">
      <c r="D203" s="72"/>
      <c r="F203" s="72"/>
      <c r="G203" s="72"/>
      <c r="H203" s="72"/>
      <c r="I203" s="72"/>
      <c r="J203" s="72"/>
      <c r="K203" s="72"/>
      <c r="L203" s="72"/>
      <c r="M203" s="72"/>
      <c r="N203" s="72"/>
      <c r="O203" s="72"/>
      <c r="P203" s="72"/>
      <c r="Q203" s="72"/>
      <c r="R203" s="72"/>
      <c r="S203" s="72"/>
      <c r="T203" s="72"/>
      <c r="U203" s="72"/>
      <c r="V203" s="72"/>
      <c r="W203" s="72"/>
      <c r="X203" s="72"/>
      <c r="Y203" s="72"/>
      <c r="Z203" s="72"/>
      <c r="AA203" s="72"/>
      <c r="AB203" s="72"/>
      <c r="AC203" s="72"/>
      <c r="AD203" s="72"/>
      <c r="AE203" s="72"/>
      <c r="AF203" s="72"/>
      <c r="AG203" s="72"/>
    </row>
    <row r="204" spans="1:39">
      <c r="D204" s="72"/>
      <c r="F204" s="72"/>
      <c r="G204" s="72"/>
      <c r="H204" s="72"/>
      <c r="I204" s="72"/>
      <c r="J204" s="72"/>
      <c r="K204" s="72"/>
      <c r="L204" s="72"/>
      <c r="M204" s="72"/>
      <c r="N204" s="72"/>
      <c r="O204" s="72"/>
      <c r="P204" s="72"/>
      <c r="Q204" s="72"/>
      <c r="R204" s="72"/>
      <c r="S204" s="72"/>
      <c r="T204" s="72"/>
      <c r="U204" s="72"/>
      <c r="V204" s="72"/>
      <c r="W204" s="72"/>
      <c r="X204" s="72"/>
      <c r="Y204" s="72"/>
      <c r="Z204" s="72"/>
      <c r="AA204" s="72"/>
      <c r="AB204" s="72"/>
      <c r="AC204" s="72"/>
      <c r="AD204" s="72"/>
      <c r="AE204" s="72"/>
      <c r="AF204" s="72"/>
      <c r="AG204" s="72"/>
    </row>
    <row r="205" spans="1:39">
      <c r="D205" s="72"/>
      <c r="F205" s="72"/>
      <c r="G205" s="72"/>
      <c r="H205" s="72"/>
      <c r="I205" s="72"/>
      <c r="J205" s="72"/>
      <c r="K205" s="72"/>
      <c r="L205" s="72"/>
      <c r="M205" s="72"/>
      <c r="N205" s="72"/>
      <c r="O205" s="72"/>
      <c r="P205" s="72"/>
      <c r="Q205" s="72"/>
      <c r="R205" s="72"/>
      <c r="S205" s="72"/>
      <c r="T205" s="72"/>
      <c r="U205" s="72"/>
      <c r="V205" s="72"/>
      <c r="W205" s="72"/>
      <c r="X205" s="72"/>
      <c r="Y205" s="72"/>
      <c r="Z205" s="72"/>
      <c r="AA205" s="72"/>
      <c r="AB205" s="72"/>
      <c r="AC205" s="72"/>
      <c r="AD205" s="72"/>
      <c r="AE205" s="72"/>
      <c r="AF205" s="72"/>
      <c r="AG205" s="72"/>
    </row>
    <row r="206" spans="1:39">
      <c r="D206" s="72"/>
      <c r="F206" s="72"/>
      <c r="G206" s="72"/>
      <c r="H206" s="72"/>
      <c r="I206" s="72"/>
      <c r="J206" s="72"/>
      <c r="K206" s="72"/>
      <c r="L206" s="72"/>
      <c r="M206" s="72"/>
      <c r="N206" s="72"/>
      <c r="O206" s="72"/>
      <c r="P206" s="72"/>
      <c r="Q206" s="72"/>
      <c r="R206" s="72"/>
      <c r="S206" s="72"/>
      <c r="T206" s="72"/>
      <c r="U206" s="72"/>
      <c r="V206" s="72"/>
      <c r="W206" s="72"/>
      <c r="X206" s="72"/>
      <c r="Y206" s="72"/>
      <c r="Z206" s="72"/>
      <c r="AA206" s="72"/>
      <c r="AB206" s="72"/>
      <c r="AC206" s="72"/>
      <c r="AD206" s="72"/>
      <c r="AE206" s="72"/>
      <c r="AF206" s="72"/>
      <c r="AG206" s="72"/>
    </row>
    <row r="207" spans="1:39">
      <c r="D207" s="72"/>
      <c r="F207" s="72"/>
      <c r="G207" s="72"/>
      <c r="H207" s="72"/>
      <c r="I207" s="72"/>
      <c r="J207" s="72"/>
      <c r="K207" s="72"/>
      <c r="L207" s="72"/>
      <c r="M207" s="72"/>
      <c r="N207" s="72"/>
      <c r="O207" s="72"/>
      <c r="P207" s="72"/>
      <c r="Q207" s="72"/>
      <c r="R207" s="72"/>
      <c r="S207" s="72"/>
      <c r="T207" s="72"/>
      <c r="U207" s="72"/>
      <c r="V207" s="72"/>
      <c r="W207" s="72"/>
      <c r="X207" s="72"/>
      <c r="Y207" s="72"/>
      <c r="Z207" s="72"/>
      <c r="AA207" s="72"/>
      <c r="AB207" s="72"/>
      <c r="AC207" s="72"/>
      <c r="AD207" s="72"/>
      <c r="AE207" s="72"/>
      <c r="AF207" s="72"/>
      <c r="AG207" s="72"/>
    </row>
    <row r="208" spans="1:39">
      <c r="D208" s="72"/>
      <c r="F208" s="72"/>
      <c r="G208" s="72"/>
      <c r="H208" s="72"/>
      <c r="I208" s="72"/>
      <c r="J208" s="72"/>
      <c r="K208" s="72"/>
      <c r="L208" s="72"/>
      <c r="M208" s="72"/>
      <c r="N208" s="72"/>
      <c r="O208" s="72"/>
      <c r="P208" s="72"/>
      <c r="Q208" s="72"/>
      <c r="R208" s="72"/>
      <c r="S208" s="72"/>
      <c r="T208" s="72"/>
      <c r="U208" s="72"/>
      <c r="V208" s="72"/>
      <c r="W208" s="72"/>
      <c r="X208" s="72"/>
      <c r="Y208" s="72"/>
      <c r="Z208" s="72"/>
      <c r="AA208" s="72"/>
      <c r="AB208" s="72"/>
      <c r="AC208" s="72"/>
      <c r="AD208" s="72"/>
      <c r="AE208" s="72"/>
      <c r="AF208" s="72"/>
      <c r="AG208" s="72"/>
    </row>
    <row r="209" spans="4:33">
      <c r="D209" s="72"/>
      <c r="F209" s="72"/>
      <c r="G209" s="72"/>
      <c r="H209" s="72"/>
      <c r="I209" s="72"/>
      <c r="J209" s="72"/>
      <c r="K209" s="72"/>
      <c r="L209" s="72"/>
      <c r="M209" s="72"/>
      <c r="N209" s="72"/>
      <c r="O209" s="72"/>
      <c r="P209" s="72"/>
      <c r="Q209" s="72"/>
      <c r="R209" s="72"/>
      <c r="S209" s="72"/>
      <c r="T209" s="72"/>
      <c r="U209" s="72"/>
      <c r="V209" s="72"/>
      <c r="W209" s="72"/>
      <c r="X209" s="72"/>
      <c r="Y209" s="72"/>
      <c r="Z209" s="72"/>
      <c r="AA209" s="72"/>
      <c r="AB209" s="72"/>
      <c r="AC209" s="72"/>
      <c r="AD209" s="72"/>
      <c r="AE209" s="72"/>
      <c r="AF209" s="72"/>
      <c r="AG209" s="72"/>
    </row>
  </sheetData>
  <mergeCells count="6">
    <mergeCell ref="AK7:AM7"/>
    <mergeCell ref="K2:M2"/>
    <mergeCell ref="N2:P2"/>
    <mergeCell ref="Q2:S2"/>
    <mergeCell ref="T2:V2"/>
    <mergeCell ref="W2:Y2"/>
  </mergeCells>
  <conditionalFormatting sqref="D1:D2 D3:E4 D5:D6 D7:E1048576">
    <cfRule type="cellIs" dxfId="82" priority="17" operator="equal">
      <formula>"No"</formula>
    </cfRule>
  </conditionalFormatting>
  <conditionalFormatting sqref="D9:D200 I9:L200">
    <cfRule type="expression" dxfId="81" priority="18">
      <formula>$H9="PROJECT"</formula>
    </cfRule>
  </conditionalFormatting>
  <conditionalFormatting sqref="G9:G200">
    <cfRule type="cellIs" dxfId="80" priority="24" operator="equal">
      <formula>"Beginner"</formula>
    </cfRule>
    <cfRule type="cellIs" dxfId="79" priority="25" operator="equal">
      <formula>"Intermediate"</formula>
    </cfRule>
    <cfRule type="cellIs" dxfId="78" priority="26" operator="equal">
      <formula>"Advanced"</formula>
    </cfRule>
  </conditionalFormatting>
  <conditionalFormatting sqref="H9:H200">
    <cfRule type="cellIs" dxfId="77" priority="23" operator="equal">
      <formula>"PROJECT"</formula>
    </cfRule>
  </conditionalFormatting>
  <conditionalFormatting sqref="K9:L200">
    <cfRule type="expression" dxfId="76" priority="27">
      <formula>M9=1</formula>
    </cfRule>
    <cfRule type="expression" dxfId="75" priority="28">
      <formula>M9=-1</formula>
    </cfRule>
  </conditionalFormatting>
  <conditionalFormatting sqref="N9:O200">
    <cfRule type="expression" dxfId="74" priority="14">
      <formula>$H9="PROJECT"</formula>
    </cfRule>
    <cfRule type="expression" dxfId="73" priority="15">
      <formula>P9=1</formula>
    </cfRule>
    <cfRule type="expression" dxfId="72" priority="16">
      <formula>P9=-1</formula>
    </cfRule>
  </conditionalFormatting>
  <conditionalFormatting sqref="O41:O200">
    <cfRule type="expression" dxfId="71" priority="30">
      <formula>Q41=1</formula>
    </cfRule>
    <cfRule type="expression" dxfId="70" priority="31">
      <formula>Q41=-1</formula>
    </cfRule>
  </conditionalFormatting>
  <conditionalFormatting sqref="Q9:R200">
    <cfRule type="expression" dxfId="69" priority="11">
      <formula>$H9="PROJECT"</formula>
    </cfRule>
    <cfRule type="expression" dxfId="68" priority="12">
      <formula>S9=1</formula>
    </cfRule>
    <cfRule type="expression" dxfId="67" priority="13">
      <formula>S9=-1</formula>
    </cfRule>
  </conditionalFormatting>
  <conditionalFormatting sqref="T9:U200">
    <cfRule type="expression" dxfId="66" priority="6">
      <formula>$H9="PROJECT"</formula>
    </cfRule>
    <cfRule type="expression" dxfId="65" priority="7">
      <formula>V9=1</formula>
    </cfRule>
    <cfRule type="expression" dxfId="64" priority="8">
      <formula>V9=-1</formula>
    </cfRule>
  </conditionalFormatting>
  <conditionalFormatting sqref="U10:U200">
    <cfRule type="expression" dxfId="63" priority="9">
      <formula>W10=1</formula>
    </cfRule>
    <cfRule type="expression" dxfId="62" priority="10">
      <formula>W10=-1</formula>
    </cfRule>
  </conditionalFormatting>
  <conditionalFormatting sqref="W9:X200">
    <cfRule type="expression" dxfId="61" priority="1">
      <formula>$H9="PROJECT"</formula>
    </cfRule>
    <cfRule type="expression" dxfId="60" priority="2">
      <formula>Y9=1</formula>
    </cfRule>
    <cfRule type="expression" dxfId="59" priority="3">
      <formula>Y9=-1</formula>
    </cfRule>
  </conditionalFormatting>
  <conditionalFormatting sqref="X10:X200">
    <cfRule type="expression" dxfId="58" priority="4">
      <formula>Z10=1</formula>
    </cfRule>
    <cfRule type="expression" dxfId="57" priority="5">
      <formula>Z10=-1</formula>
    </cfRule>
  </conditionalFormatting>
  <pageMargins left="0.7" right="0.7" top="0.75" bottom="0.75" header="0.3" footer="0.3"/>
  <pageSetup orientation="portrait" horizontalDpi="4294967292" verticalDpi="0" r:id="rId1"/>
  <extLst>
    <ext xmlns:x14="http://schemas.microsoft.com/office/spreadsheetml/2009/9/main" uri="{78C0D931-6437-407d-A8EE-F0AAD7539E65}">
      <x14:conditionalFormattings>
        <x14:conditionalFormatting xmlns:xm="http://schemas.microsoft.com/office/excel/2006/main">
          <x14:cfRule type="iconSet" priority="29" id="{2FEE3AD7-75A2-4C8C-AD82-90792546F0BA}">
            <x14:iconSet iconSet="3Symbols" custom="1">
              <x14:cfvo type="percent">
                <xm:f>0</xm:f>
              </x14:cfvo>
              <x14:cfvo type="num">
                <xm:f>0</xm:f>
              </x14:cfvo>
              <x14:cfvo type="num">
                <xm:f>1</xm:f>
              </x14:cfvo>
              <x14:cfIcon iconSet="3Symbols" iconId="1"/>
              <x14:cfIcon iconSet="3Symbols" iconId="0"/>
              <x14:cfIcon iconSet="3Symbols" iconId="2"/>
            </x14:iconSet>
          </x14:cfRule>
          <xm:sqref>M9:M200</xm:sqref>
        </x14:conditionalFormatting>
        <x14:conditionalFormatting xmlns:xm="http://schemas.microsoft.com/office/excel/2006/main">
          <x14:cfRule type="iconSet" priority="22" id="{B7488BBE-D70E-4F1D-85BE-6C9D08F208F3}">
            <x14:iconSet iconSet="3Symbols" custom="1">
              <x14:cfvo type="percent">
                <xm:f>0</xm:f>
              </x14:cfvo>
              <x14:cfvo type="num">
                <xm:f>0</xm:f>
              </x14:cfvo>
              <x14:cfvo type="num">
                <xm:f>1</xm:f>
              </x14:cfvo>
              <x14:cfIcon iconSet="3Symbols" iconId="1"/>
              <x14:cfIcon iconSet="3Symbols" iconId="0"/>
              <x14:cfIcon iconSet="3Symbols" iconId="2"/>
            </x14:iconSet>
          </x14:cfRule>
          <xm:sqref>P9:P200</xm:sqref>
        </x14:conditionalFormatting>
        <x14:conditionalFormatting xmlns:xm="http://schemas.microsoft.com/office/excel/2006/main">
          <x14:cfRule type="iconSet" priority="21" id="{4BFCED17-17B1-4960-9B24-2860EF943BE1}">
            <x14:iconSet iconSet="3Symbols" custom="1">
              <x14:cfvo type="percent">
                <xm:f>0</xm:f>
              </x14:cfvo>
              <x14:cfvo type="num">
                <xm:f>0</xm:f>
              </x14:cfvo>
              <x14:cfvo type="num">
                <xm:f>1</xm:f>
              </x14:cfvo>
              <x14:cfIcon iconSet="3Symbols" iconId="1"/>
              <x14:cfIcon iconSet="3Symbols" iconId="0"/>
              <x14:cfIcon iconSet="3Symbols" iconId="2"/>
            </x14:iconSet>
          </x14:cfRule>
          <xm:sqref>S9:S200</xm:sqref>
        </x14:conditionalFormatting>
        <x14:conditionalFormatting xmlns:xm="http://schemas.microsoft.com/office/excel/2006/main">
          <x14:cfRule type="iconSet" priority="20" id="{315FC449-DBE3-44EA-8770-3733BE24B105}">
            <x14:iconSet iconSet="3Symbols" custom="1">
              <x14:cfvo type="percent">
                <xm:f>0</xm:f>
              </x14:cfvo>
              <x14:cfvo type="num">
                <xm:f>0</xm:f>
              </x14:cfvo>
              <x14:cfvo type="num">
                <xm:f>1</xm:f>
              </x14:cfvo>
              <x14:cfIcon iconSet="3Symbols" iconId="1"/>
              <x14:cfIcon iconSet="3Symbols" iconId="0"/>
              <x14:cfIcon iconSet="3Symbols" iconId="2"/>
            </x14:iconSet>
          </x14:cfRule>
          <xm:sqref>V9:V200</xm:sqref>
        </x14:conditionalFormatting>
        <x14:conditionalFormatting xmlns:xm="http://schemas.microsoft.com/office/excel/2006/main">
          <x14:cfRule type="iconSet" priority="19" id="{ACD46CE9-0FEE-4DE3-8069-ACD4BD26B0E3}">
            <x14:iconSet iconSet="3Symbols" custom="1">
              <x14:cfvo type="percent">
                <xm:f>0</xm:f>
              </x14:cfvo>
              <x14:cfvo type="num">
                <xm:f>0</xm:f>
              </x14:cfvo>
              <x14:cfvo type="num">
                <xm:f>1</xm:f>
              </x14:cfvo>
              <x14:cfIcon iconSet="3Symbols" iconId="1"/>
              <x14:cfIcon iconSet="3Symbols" iconId="0"/>
              <x14:cfIcon iconSet="3Symbols" iconId="2"/>
            </x14:iconSet>
          </x14:cfRule>
          <xm:sqref>Y9:Y200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531A8-3589-45B0-96FB-9083488683FC}">
  <dimension ref="A1:A47"/>
  <sheetViews>
    <sheetView showGridLines="0" workbookViewId="0">
      <selection activeCell="A9" sqref="A9"/>
    </sheetView>
  </sheetViews>
  <sheetFormatPr defaultRowHeight="15"/>
  <sheetData>
    <row r="1" spans="1:1" ht="31.5">
      <c r="A1" s="131" t="s">
        <v>688</v>
      </c>
    </row>
    <row r="3" spans="1:1">
      <c r="A3" t="s">
        <v>689</v>
      </c>
    </row>
    <row r="5" spans="1:1" ht="18">
      <c r="A5" s="115" t="s">
        <v>690</v>
      </c>
    </row>
    <row r="7" spans="1:1" ht="21">
      <c r="A7" s="132" t="s">
        <v>691</v>
      </c>
    </row>
    <row r="8" spans="1:1">
      <c r="A8" s="116"/>
    </row>
    <row r="9" spans="1:1">
      <c r="A9" s="116" t="s">
        <v>692</v>
      </c>
    </row>
    <row r="10" spans="1:1">
      <c r="A10" s="116" t="s">
        <v>693</v>
      </c>
    </row>
    <row r="11" spans="1:1">
      <c r="A11" s="116" t="s">
        <v>694</v>
      </c>
    </row>
    <row r="12" spans="1:1">
      <c r="A12" s="116" t="s">
        <v>695</v>
      </c>
    </row>
    <row r="13" spans="1:1">
      <c r="A13" s="116" t="s">
        <v>696</v>
      </c>
    </row>
    <row r="15" spans="1:1" ht="21">
      <c r="A15" s="132" t="s">
        <v>697</v>
      </c>
    </row>
    <row r="17" spans="1:1">
      <c r="A17" t="s">
        <v>698</v>
      </c>
    </row>
    <row r="18" spans="1:1">
      <c r="A18" s="116"/>
    </row>
    <row r="19" spans="1:1">
      <c r="A19" s="117" t="s">
        <v>699</v>
      </c>
    </row>
    <row r="20" spans="1:1">
      <c r="A20" s="118" t="s">
        <v>700</v>
      </c>
    </row>
    <row r="21" spans="1:1">
      <c r="A21" s="118" t="s">
        <v>701</v>
      </c>
    </row>
    <row r="22" spans="1:1">
      <c r="A22" s="118" t="s">
        <v>702</v>
      </c>
    </row>
    <row r="23" spans="1:1">
      <c r="A23" s="118" t="s">
        <v>703</v>
      </c>
    </row>
    <row r="24" spans="1:1">
      <c r="A24" s="116"/>
    </row>
    <row r="25" spans="1:1">
      <c r="A25" s="117" t="s">
        <v>704</v>
      </c>
    </row>
    <row r="29" spans="1:1">
      <c r="A29" s="133"/>
    </row>
    <row r="30" spans="1:1">
      <c r="A30" s="134"/>
    </row>
    <row r="31" spans="1:1">
      <c r="A31" s="133"/>
    </row>
    <row r="32" spans="1:1">
      <c r="A32" s="133"/>
    </row>
    <row r="33" spans="1:1">
      <c r="A33" s="134"/>
    </row>
    <row r="34" spans="1:1">
      <c r="A34" s="133"/>
    </row>
    <row r="35" spans="1:1">
      <c r="A35" s="133"/>
    </row>
    <row r="36" spans="1:1" ht="21">
      <c r="A36" s="132" t="s">
        <v>705</v>
      </c>
    </row>
    <row r="38" spans="1:1">
      <c r="A38" t="s">
        <v>706</v>
      </c>
    </row>
    <row r="39" spans="1:1">
      <c r="A39" s="116"/>
    </row>
    <row r="40" spans="1:1">
      <c r="A40" s="116" t="s">
        <v>707</v>
      </c>
    </row>
    <row r="41" spans="1:1">
      <c r="A41" s="116" t="s">
        <v>708</v>
      </c>
    </row>
    <row r="42" spans="1:1">
      <c r="A42" s="116" t="s">
        <v>709</v>
      </c>
    </row>
    <row r="44" spans="1:1" ht="18">
      <c r="A44" s="115" t="s">
        <v>710</v>
      </c>
    </row>
    <row r="45" spans="1:1">
      <c r="A45" s="116"/>
    </row>
    <row r="46" spans="1:1">
      <c r="A46" s="116" t="s">
        <v>711</v>
      </c>
    </row>
    <row r="47" spans="1:1">
      <c r="A47" s="116" t="s">
        <v>712</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A426C-0703-4CCF-9307-A257CA10E54B}">
  <sheetPr>
    <tabColor theme="9" tint="-0.499984740745262"/>
  </sheetPr>
  <dimension ref="A1:E59"/>
  <sheetViews>
    <sheetView workbookViewId="0">
      <selection activeCell="A6" sqref="A6:E59"/>
    </sheetView>
  </sheetViews>
  <sheetFormatPr defaultRowHeight="15"/>
  <cols>
    <col min="3" max="3" width="34.7109375" bestFit="1" customWidth="1"/>
    <col min="4" max="4" width="33.42578125" bestFit="1" customWidth="1"/>
    <col min="5" max="5" width="66.7109375" bestFit="1" customWidth="1"/>
  </cols>
  <sheetData>
    <row r="1" spans="1:5" ht="26.25">
      <c r="C1" s="122" t="s">
        <v>8</v>
      </c>
      <c r="D1" s="123" t="str">
        <f>PromptGenerator!I2</f>
        <v>Python</v>
      </c>
    </row>
    <row r="2" spans="1:5" ht="26.25">
      <c r="C2" s="122" t="s">
        <v>266</v>
      </c>
      <c r="D2" s="123" t="str">
        <f>IF(PromptGenerator!I3="","",PromptGenerator!I3)</f>
        <v>Requests</v>
      </c>
    </row>
    <row r="5" spans="1:5">
      <c r="A5" s="124" t="s">
        <v>647</v>
      </c>
      <c r="B5" s="124" t="s">
        <v>23</v>
      </c>
      <c r="C5" s="124" t="s">
        <v>579</v>
      </c>
      <c r="D5" s="124" t="s">
        <v>622</v>
      </c>
      <c r="E5" s="124" t="s">
        <v>621</v>
      </c>
    </row>
    <row r="6" spans="1:5">
      <c r="A6" s="125" t="s">
        <v>0</v>
      </c>
      <c r="B6" t="s">
        <v>48</v>
      </c>
      <c r="C6" t="s">
        <v>225</v>
      </c>
      <c r="D6" t="s">
        <v>606</v>
      </c>
      <c r="E6" s="120" t="s">
        <v>724</v>
      </c>
    </row>
    <row r="7" spans="1:5">
      <c r="A7" s="125" t="s">
        <v>0</v>
      </c>
      <c r="B7" t="s">
        <v>48</v>
      </c>
      <c r="C7" t="s">
        <v>225</v>
      </c>
      <c r="D7" t="s">
        <v>229</v>
      </c>
      <c r="E7" s="121" t="s">
        <v>725</v>
      </c>
    </row>
    <row r="8" spans="1:5">
      <c r="A8" s="125" t="s">
        <v>0</v>
      </c>
      <c r="B8" t="s">
        <v>48</v>
      </c>
      <c r="C8" t="s">
        <v>225</v>
      </c>
      <c r="D8" t="s">
        <v>607</v>
      </c>
      <c r="E8" t="s">
        <v>726</v>
      </c>
    </row>
    <row r="9" spans="1:5">
      <c r="A9" s="125" t="s">
        <v>0</v>
      </c>
      <c r="B9" t="s">
        <v>48</v>
      </c>
      <c r="C9" t="s">
        <v>225</v>
      </c>
      <c r="D9" t="s">
        <v>608</v>
      </c>
      <c r="E9" t="s">
        <v>727</v>
      </c>
    </row>
    <row r="10" spans="1:5">
      <c r="A10" s="125" t="s">
        <v>0</v>
      </c>
      <c r="B10" t="s">
        <v>48</v>
      </c>
      <c r="C10" t="s">
        <v>179</v>
      </c>
      <c r="D10" t="s">
        <v>609</v>
      </c>
      <c r="E10" s="120" t="s">
        <v>728</v>
      </c>
    </row>
    <row r="11" spans="1:5">
      <c r="A11" s="125" t="s">
        <v>0</v>
      </c>
      <c r="B11" t="s">
        <v>48</v>
      </c>
      <c r="C11" t="s">
        <v>179</v>
      </c>
      <c r="D11" t="s">
        <v>610</v>
      </c>
      <c r="E11" t="s">
        <v>729</v>
      </c>
    </row>
    <row r="12" spans="1:5">
      <c r="A12" s="125" t="s">
        <v>0</v>
      </c>
      <c r="B12" t="s">
        <v>48</v>
      </c>
      <c r="C12" t="s">
        <v>179</v>
      </c>
      <c r="D12" t="s">
        <v>611</v>
      </c>
      <c r="E12" s="120" t="s">
        <v>730</v>
      </c>
    </row>
    <row r="13" spans="1:5">
      <c r="A13" s="125" t="s">
        <v>0</v>
      </c>
      <c r="B13" t="s">
        <v>48</v>
      </c>
      <c r="C13" t="s">
        <v>612</v>
      </c>
      <c r="D13" t="s">
        <v>613</v>
      </c>
      <c r="E13" t="s">
        <v>731</v>
      </c>
    </row>
    <row r="14" spans="1:5">
      <c r="A14" s="125" t="s">
        <v>0</v>
      </c>
      <c r="B14" t="s">
        <v>48</v>
      </c>
      <c r="C14" t="s">
        <v>612</v>
      </c>
      <c r="D14" t="s">
        <v>614</v>
      </c>
      <c r="E14" t="s">
        <v>732</v>
      </c>
    </row>
    <row r="15" spans="1:5">
      <c r="A15" s="125" t="s">
        <v>0</v>
      </c>
      <c r="B15" t="s">
        <v>48</v>
      </c>
      <c r="C15" t="s">
        <v>602</v>
      </c>
      <c r="D15" t="s">
        <v>615</v>
      </c>
      <c r="E15" t="s">
        <v>733</v>
      </c>
    </row>
    <row r="16" spans="1:5">
      <c r="A16" s="125" t="s">
        <v>0</v>
      </c>
      <c r="B16" t="s">
        <v>48</v>
      </c>
      <c r="C16" t="s">
        <v>602</v>
      </c>
      <c r="D16" t="s">
        <v>616</v>
      </c>
      <c r="E16" t="s">
        <v>734</v>
      </c>
    </row>
    <row r="17" spans="1:5">
      <c r="A17" s="125" t="s">
        <v>0</v>
      </c>
      <c r="B17" t="s">
        <v>48</v>
      </c>
      <c r="C17" t="s">
        <v>603</v>
      </c>
      <c r="D17" t="s">
        <v>617</v>
      </c>
      <c r="E17" t="s">
        <v>735</v>
      </c>
    </row>
    <row r="18" spans="1:5">
      <c r="A18" s="125" t="s">
        <v>0</v>
      </c>
      <c r="B18" t="s">
        <v>48</v>
      </c>
      <c r="C18" t="s">
        <v>604</v>
      </c>
      <c r="D18" t="s">
        <v>618</v>
      </c>
      <c r="E18" t="s">
        <v>736</v>
      </c>
    </row>
    <row r="19" spans="1:5">
      <c r="A19" s="125" t="s">
        <v>0</v>
      </c>
      <c r="B19" t="s">
        <v>48</v>
      </c>
      <c r="C19" t="s">
        <v>604</v>
      </c>
      <c r="D19" t="s">
        <v>619</v>
      </c>
      <c r="E19" t="s">
        <v>737</v>
      </c>
    </row>
    <row r="20" spans="1:5">
      <c r="A20" s="125" t="s">
        <v>0</v>
      </c>
      <c r="B20" t="s">
        <v>48</v>
      </c>
      <c r="C20" t="s">
        <v>604</v>
      </c>
      <c r="D20" t="s">
        <v>620</v>
      </c>
      <c r="E20" t="s">
        <v>738</v>
      </c>
    </row>
    <row r="21" spans="1:5">
      <c r="A21" s="125" t="s">
        <v>0</v>
      </c>
      <c r="B21" t="s">
        <v>623</v>
      </c>
      <c r="C21" t="s">
        <v>625</v>
      </c>
      <c r="D21" t="s">
        <v>626</v>
      </c>
      <c r="E21" t="s">
        <v>739</v>
      </c>
    </row>
    <row r="22" spans="1:5">
      <c r="A22" s="125" t="s">
        <v>0</v>
      </c>
      <c r="B22" t="s">
        <v>623</v>
      </c>
      <c r="C22" t="s">
        <v>625</v>
      </c>
      <c r="D22" t="s">
        <v>627</v>
      </c>
      <c r="E22" t="s">
        <v>740</v>
      </c>
    </row>
    <row r="23" spans="1:5">
      <c r="A23" s="125" t="s">
        <v>0</v>
      </c>
      <c r="B23" t="s">
        <v>623</v>
      </c>
      <c r="C23" t="s">
        <v>625</v>
      </c>
      <c r="D23" t="s">
        <v>628</v>
      </c>
      <c r="E23" t="s">
        <v>741</v>
      </c>
    </row>
    <row r="24" spans="1:5">
      <c r="A24" s="125" t="s">
        <v>0</v>
      </c>
      <c r="B24" t="s">
        <v>605</v>
      </c>
      <c r="C24" t="s">
        <v>629</v>
      </c>
      <c r="D24" t="s">
        <v>47</v>
      </c>
      <c r="E24" t="s">
        <v>742</v>
      </c>
    </row>
    <row r="25" spans="1:5">
      <c r="A25" s="125" t="s">
        <v>0</v>
      </c>
      <c r="B25" t="s">
        <v>605</v>
      </c>
      <c r="C25" t="s">
        <v>629</v>
      </c>
      <c r="D25" t="s">
        <v>158</v>
      </c>
      <c r="E25" t="s">
        <v>743</v>
      </c>
    </row>
    <row r="26" spans="1:5">
      <c r="A26" s="125" t="s">
        <v>0</v>
      </c>
      <c r="B26" t="s">
        <v>605</v>
      </c>
      <c r="C26" t="s">
        <v>629</v>
      </c>
      <c r="D26" t="s">
        <v>159</v>
      </c>
      <c r="E26" t="s">
        <v>744</v>
      </c>
    </row>
    <row r="27" spans="1:5">
      <c r="A27" s="125" t="s">
        <v>0</v>
      </c>
      <c r="B27" t="s">
        <v>605</v>
      </c>
      <c r="C27" t="s">
        <v>630</v>
      </c>
      <c r="D27" t="s">
        <v>631</v>
      </c>
      <c r="E27" t="s">
        <v>745</v>
      </c>
    </row>
    <row r="28" spans="1:5">
      <c r="A28" s="125" t="s">
        <v>0</v>
      </c>
      <c r="B28" t="s">
        <v>605</v>
      </c>
      <c r="C28" t="s">
        <v>630</v>
      </c>
      <c r="D28" t="s">
        <v>632</v>
      </c>
      <c r="E28" t="s">
        <v>746</v>
      </c>
    </row>
    <row r="29" spans="1:5">
      <c r="A29" s="125" t="s">
        <v>0</v>
      </c>
      <c r="B29" t="s">
        <v>605</v>
      </c>
      <c r="C29" t="s">
        <v>630</v>
      </c>
      <c r="D29" t="s">
        <v>633</v>
      </c>
      <c r="E29" t="s">
        <v>747</v>
      </c>
    </row>
    <row r="30" spans="1:5">
      <c r="A30" s="125" t="s">
        <v>0</v>
      </c>
      <c r="B30" t="s">
        <v>605</v>
      </c>
      <c r="C30" t="s">
        <v>630</v>
      </c>
      <c r="D30" t="s">
        <v>634</v>
      </c>
      <c r="E30" t="s">
        <v>748</v>
      </c>
    </row>
    <row r="31" spans="1:5">
      <c r="A31" s="126" t="s">
        <v>270</v>
      </c>
      <c r="B31" t="s">
        <v>48</v>
      </c>
      <c r="C31" t="s">
        <v>635</v>
      </c>
      <c r="D31" t="s">
        <v>636</v>
      </c>
      <c r="E31" t="s">
        <v>749</v>
      </c>
    </row>
    <row r="32" spans="1:5">
      <c r="A32" s="126" t="s">
        <v>270</v>
      </c>
      <c r="B32" t="s">
        <v>48</v>
      </c>
      <c r="C32" t="s">
        <v>635</v>
      </c>
      <c r="D32" t="s">
        <v>637</v>
      </c>
      <c r="E32" t="s">
        <v>750</v>
      </c>
    </row>
    <row r="33" spans="1:5">
      <c r="A33" s="126" t="s">
        <v>270</v>
      </c>
      <c r="B33" t="s">
        <v>48</v>
      </c>
      <c r="C33" t="s">
        <v>635</v>
      </c>
      <c r="D33" t="s">
        <v>638</v>
      </c>
      <c r="E33" t="s">
        <v>751</v>
      </c>
    </row>
    <row r="34" spans="1:5">
      <c r="A34" s="126" t="s">
        <v>270</v>
      </c>
      <c r="B34" t="s">
        <v>48</v>
      </c>
      <c r="C34" t="s">
        <v>639</v>
      </c>
      <c r="D34" t="s">
        <v>640</v>
      </c>
      <c r="E34" t="s">
        <v>752</v>
      </c>
    </row>
    <row r="35" spans="1:5">
      <c r="A35" s="126" t="s">
        <v>270</v>
      </c>
      <c r="B35" t="s">
        <v>48</v>
      </c>
      <c r="C35" t="s">
        <v>641</v>
      </c>
      <c r="D35" t="s">
        <v>642</v>
      </c>
      <c r="E35" t="s">
        <v>753</v>
      </c>
    </row>
    <row r="36" spans="1:5">
      <c r="A36" s="126" t="s">
        <v>270</v>
      </c>
      <c r="B36" t="s">
        <v>48</v>
      </c>
      <c r="C36" t="s">
        <v>643</v>
      </c>
      <c r="D36" t="s">
        <v>644</v>
      </c>
      <c r="E36" t="s">
        <v>754</v>
      </c>
    </row>
    <row r="37" spans="1:5">
      <c r="A37" s="126" t="s">
        <v>270</v>
      </c>
      <c r="B37" t="s">
        <v>48</v>
      </c>
      <c r="C37" t="s">
        <v>643</v>
      </c>
      <c r="D37" t="s">
        <v>645</v>
      </c>
      <c r="E37" t="s">
        <v>755</v>
      </c>
    </row>
    <row r="38" spans="1:5">
      <c r="A38" s="126" t="s">
        <v>270</v>
      </c>
      <c r="B38" t="s">
        <v>48</v>
      </c>
      <c r="C38" t="s">
        <v>643</v>
      </c>
      <c r="D38" t="s">
        <v>646</v>
      </c>
      <c r="E38" t="s">
        <v>756</v>
      </c>
    </row>
    <row r="39" spans="1:5">
      <c r="A39" s="126" t="s">
        <v>270</v>
      </c>
      <c r="B39" t="s">
        <v>623</v>
      </c>
      <c r="C39" t="s">
        <v>648</v>
      </c>
      <c r="D39" t="s">
        <v>649</v>
      </c>
      <c r="E39" t="s">
        <v>757</v>
      </c>
    </row>
    <row r="40" spans="1:5">
      <c r="A40" s="126" t="s">
        <v>270</v>
      </c>
      <c r="B40" t="s">
        <v>623</v>
      </c>
      <c r="C40" t="s">
        <v>648</v>
      </c>
      <c r="D40" t="s">
        <v>650</v>
      </c>
      <c r="E40" t="s">
        <v>758</v>
      </c>
    </row>
    <row r="41" spans="1:5">
      <c r="A41" s="126" t="s">
        <v>270</v>
      </c>
      <c r="B41" t="s">
        <v>623</v>
      </c>
      <c r="C41" t="s">
        <v>648</v>
      </c>
      <c r="D41" t="s">
        <v>651</v>
      </c>
      <c r="E41" t="s">
        <v>759</v>
      </c>
    </row>
    <row r="42" spans="1:5">
      <c r="A42" s="126" t="s">
        <v>270</v>
      </c>
      <c r="B42" t="s">
        <v>623</v>
      </c>
      <c r="C42" t="s">
        <v>648</v>
      </c>
      <c r="D42" t="s">
        <v>652</v>
      </c>
      <c r="E42" t="s">
        <v>760</v>
      </c>
    </row>
    <row r="43" spans="1:5">
      <c r="A43" s="126" t="s">
        <v>270</v>
      </c>
      <c r="B43" t="s">
        <v>605</v>
      </c>
      <c r="C43" t="s">
        <v>653</v>
      </c>
      <c r="D43" t="s">
        <v>654</v>
      </c>
      <c r="E43" t="s">
        <v>761</v>
      </c>
    </row>
    <row r="44" spans="1:5">
      <c r="A44" s="126" t="s">
        <v>270</v>
      </c>
      <c r="B44" t="s">
        <v>605</v>
      </c>
      <c r="C44" t="s">
        <v>653</v>
      </c>
      <c r="D44" t="s">
        <v>655</v>
      </c>
      <c r="E44" t="s">
        <v>762</v>
      </c>
    </row>
    <row r="45" spans="1:5">
      <c r="A45" s="126" t="s">
        <v>270</v>
      </c>
      <c r="B45" t="s">
        <v>605</v>
      </c>
      <c r="C45" t="s">
        <v>653</v>
      </c>
      <c r="D45" t="s">
        <v>656</v>
      </c>
      <c r="E45" t="s">
        <v>763</v>
      </c>
    </row>
    <row r="46" spans="1:5">
      <c r="A46" s="126" t="s">
        <v>270</v>
      </c>
      <c r="B46" t="s">
        <v>605</v>
      </c>
      <c r="C46" t="s">
        <v>653</v>
      </c>
      <c r="D46" t="s">
        <v>657</v>
      </c>
      <c r="E46" t="s">
        <v>764</v>
      </c>
    </row>
    <row r="47" spans="1:5">
      <c r="A47" s="127" t="s">
        <v>337</v>
      </c>
      <c r="B47" t="s">
        <v>48</v>
      </c>
      <c r="C47" t="s">
        <v>641</v>
      </c>
      <c r="D47" t="s">
        <v>659</v>
      </c>
      <c r="E47" t="s">
        <v>765</v>
      </c>
    </row>
    <row r="48" spans="1:5">
      <c r="A48" s="127" t="s">
        <v>337</v>
      </c>
      <c r="B48" t="s">
        <v>48</v>
      </c>
      <c r="C48" t="s">
        <v>639</v>
      </c>
      <c r="D48" t="s">
        <v>660</v>
      </c>
      <c r="E48" t="s">
        <v>766</v>
      </c>
    </row>
    <row r="49" spans="1:5">
      <c r="A49" s="127" t="s">
        <v>337</v>
      </c>
      <c r="B49" t="s">
        <v>48</v>
      </c>
      <c r="C49" t="s">
        <v>643</v>
      </c>
      <c r="D49" t="s">
        <v>661</v>
      </c>
      <c r="E49" t="s">
        <v>767</v>
      </c>
    </row>
    <row r="50" spans="1:5">
      <c r="A50" s="127" t="s">
        <v>337</v>
      </c>
      <c r="B50" t="s">
        <v>48</v>
      </c>
      <c r="C50" t="s">
        <v>643</v>
      </c>
      <c r="D50" t="s">
        <v>662</v>
      </c>
      <c r="E50" t="s">
        <v>768</v>
      </c>
    </row>
    <row r="51" spans="1:5">
      <c r="A51" s="127" t="s">
        <v>337</v>
      </c>
      <c r="B51" t="s">
        <v>623</v>
      </c>
      <c r="C51" t="s">
        <v>663</v>
      </c>
      <c r="D51" t="s">
        <v>666</v>
      </c>
      <c r="E51" t="s">
        <v>769</v>
      </c>
    </row>
    <row r="52" spans="1:5">
      <c r="A52" s="127" t="s">
        <v>337</v>
      </c>
      <c r="B52" t="s">
        <v>623</v>
      </c>
      <c r="C52" t="s">
        <v>665</v>
      </c>
      <c r="D52" t="s">
        <v>667</v>
      </c>
      <c r="E52" t="s">
        <v>668</v>
      </c>
    </row>
    <row r="53" spans="1:5">
      <c r="A53" s="127" t="s">
        <v>337</v>
      </c>
      <c r="B53" t="s">
        <v>623</v>
      </c>
      <c r="C53" t="s">
        <v>665</v>
      </c>
      <c r="D53" t="s">
        <v>669</v>
      </c>
      <c r="E53" t="s">
        <v>770</v>
      </c>
    </row>
    <row r="54" spans="1:5">
      <c r="A54" s="127" t="s">
        <v>337</v>
      </c>
      <c r="B54" t="s">
        <v>605</v>
      </c>
      <c r="C54" t="s">
        <v>653</v>
      </c>
      <c r="D54" t="s">
        <v>670</v>
      </c>
      <c r="E54" t="s">
        <v>771</v>
      </c>
    </row>
    <row r="55" spans="1:5">
      <c r="A55" s="127" t="s">
        <v>337</v>
      </c>
      <c r="B55" t="s">
        <v>605</v>
      </c>
      <c r="C55" t="s">
        <v>653</v>
      </c>
      <c r="D55" t="s">
        <v>655</v>
      </c>
      <c r="E55" t="s">
        <v>762</v>
      </c>
    </row>
    <row r="56" spans="1:5">
      <c r="A56" s="127" t="s">
        <v>337</v>
      </c>
      <c r="B56" t="s">
        <v>605</v>
      </c>
      <c r="C56" t="s">
        <v>653</v>
      </c>
      <c r="D56" t="s">
        <v>671</v>
      </c>
      <c r="E56" t="s">
        <v>772</v>
      </c>
    </row>
    <row r="57" spans="1:5">
      <c r="A57" s="127" t="s">
        <v>337</v>
      </c>
      <c r="B57" t="s">
        <v>605</v>
      </c>
      <c r="C57" t="s">
        <v>653</v>
      </c>
      <c r="D57" t="s">
        <v>672</v>
      </c>
      <c r="E57" t="s">
        <v>773</v>
      </c>
    </row>
    <row r="58" spans="1:5">
      <c r="A58" s="121" t="s">
        <v>413</v>
      </c>
      <c r="B58" t="s">
        <v>605</v>
      </c>
      <c r="C58" t="s">
        <v>676</v>
      </c>
      <c r="D58" t="s">
        <v>677</v>
      </c>
      <c r="E58" t="s">
        <v>774</v>
      </c>
    </row>
    <row r="59" spans="1:5">
      <c r="A59" s="128" t="s">
        <v>450</v>
      </c>
      <c r="B59" t="s">
        <v>605</v>
      </c>
      <c r="C59" t="s">
        <v>676</v>
      </c>
      <c r="D59" t="s">
        <v>677</v>
      </c>
      <c r="E59" t="s">
        <v>775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4F202-B91A-4FEA-8AA4-3D417A27FC7B}">
  <sheetPr>
    <tabColor theme="2" tint="-0.249977111117893"/>
  </sheetPr>
  <dimension ref="A2:AD104"/>
  <sheetViews>
    <sheetView showGridLines="0" topLeftCell="A95" zoomScaleNormal="100" workbookViewId="0">
      <selection activeCell="F83" sqref="F83:F104"/>
    </sheetView>
  </sheetViews>
  <sheetFormatPr defaultRowHeight="15"/>
  <cols>
    <col min="1" max="1" width="5.42578125" customWidth="1"/>
    <col min="2" max="2" width="35.85546875" customWidth="1"/>
    <col min="3" max="3" width="33" customWidth="1"/>
    <col min="4" max="4" width="85.28515625" customWidth="1"/>
    <col min="5" max="5" width="26.28515625" customWidth="1"/>
    <col min="6" max="6" width="39.5703125" style="85" customWidth="1"/>
    <col min="7" max="7" width="4" customWidth="1"/>
  </cols>
  <sheetData>
    <row r="2" spans="1:30" ht="36">
      <c r="B2" s="78" t="s">
        <v>448</v>
      </c>
      <c r="D2" s="81" t="s">
        <v>0</v>
      </c>
      <c r="E2" s="81"/>
      <c r="I2" s="82"/>
      <c r="U2" s="82"/>
    </row>
    <row r="3" spans="1:30">
      <c r="B3" s="76" t="s">
        <v>221</v>
      </c>
      <c r="C3" s="76" t="s">
        <v>579</v>
      </c>
      <c r="D3" s="76" t="s">
        <v>580</v>
      </c>
      <c r="E3" s="76"/>
      <c r="F3" s="88" t="s">
        <v>228</v>
      </c>
      <c r="G3" s="4" t="s">
        <v>224</v>
      </c>
      <c r="AD3" t="s">
        <v>224</v>
      </c>
    </row>
    <row r="4" spans="1:30">
      <c r="A4">
        <f>LEN(D4)</f>
        <v>49</v>
      </c>
      <c r="B4" s="75" t="s">
        <v>222</v>
      </c>
      <c r="C4" s="54" t="s">
        <v>160</v>
      </c>
      <c r="D4" s="94" t="s">
        <v>161</v>
      </c>
      <c r="E4" s="94"/>
      <c r="F4" s="77" t="str">
        <f t="shared" ref="F4:F48" si="0">IF(D4="","",""""&amp;C4&amp;" "&amp;IF(C4="[FOOTER RULE - STRICT]",D4,IF(RIGHT(D4,6)=" | "&amp;CHAR(34)&amp;" &amp;",D4,D4&amp;" | "&amp;CHAR(34)&amp;" &amp;")))</f>
        <v>"[ROLE] Friendly tutor specializing in " &amp; $I$2 &amp; " | " &amp;</v>
      </c>
      <c r="G4" s="54" t="s">
        <v>224</v>
      </c>
    </row>
    <row r="5" spans="1:30">
      <c r="A5">
        <f t="shared" ref="A5:A49" si="1">LEN(D5)</f>
        <v>16</v>
      </c>
      <c r="B5" s="75" t="s">
        <v>222</v>
      </c>
      <c r="C5" s="54" t="s">
        <v>164</v>
      </c>
      <c r="D5" s="94" t="s">
        <v>165</v>
      </c>
      <c r="E5" s="94"/>
      <c r="F5" s="77" t="str">
        <f t="shared" si="0"/>
        <v>"[TOPIC] " &amp; I9 &amp; " | " &amp;</v>
      </c>
      <c r="G5" s="54" t="s">
        <v>224</v>
      </c>
    </row>
    <row r="6" spans="1:30">
      <c r="A6">
        <f t="shared" si="1"/>
        <v>16</v>
      </c>
      <c r="B6" s="75" t="s">
        <v>222</v>
      </c>
      <c r="C6" s="54" t="s">
        <v>166</v>
      </c>
      <c r="D6" s="94" t="s">
        <v>167</v>
      </c>
      <c r="E6" s="94"/>
      <c r="F6" s="77" t="str">
        <f t="shared" si="0"/>
        <v>"[LEVEL] " &amp; G9 &amp; " | " &amp;</v>
      </c>
      <c r="G6" s="54" t="s">
        <v>224</v>
      </c>
    </row>
    <row r="7" spans="1:30">
      <c r="A7">
        <f t="shared" si="1"/>
        <v>25</v>
      </c>
      <c r="B7" s="75" t="s">
        <v>222</v>
      </c>
      <c r="C7" s="54" t="s">
        <v>168</v>
      </c>
      <c r="D7" s="94" t="s">
        <v>169</v>
      </c>
      <c r="E7" s="94"/>
      <c r="F7" s="77" t="str">
        <f t="shared" si="0"/>
        <v>"[COUNT] " &amp; D9 &amp; " examples | " &amp;</v>
      </c>
      <c r="G7" s="54" t="s">
        <v>224</v>
      </c>
    </row>
    <row r="8" spans="1:30">
      <c r="A8">
        <f t="shared" si="1"/>
        <v>18</v>
      </c>
      <c r="B8" s="75" t="s">
        <v>222</v>
      </c>
      <c r="C8" s="54" t="s">
        <v>229</v>
      </c>
      <c r="D8" s="94" t="s">
        <v>267</v>
      </c>
      <c r="E8" s="94"/>
      <c r="F8" s="77" t="str">
        <f t="shared" si="0"/>
        <v>"[LIBRARY BEING LEARNED] " &amp; $I$3 &amp; " | " &amp;</v>
      </c>
      <c r="G8" s="54" t="s">
        <v>224</v>
      </c>
    </row>
    <row r="9" spans="1:30">
      <c r="A9">
        <f t="shared" si="1"/>
        <v>496</v>
      </c>
      <c r="B9" s="75" t="s">
        <v>222</v>
      </c>
      <c r="C9" s="32" t="s">
        <v>225</v>
      </c>
      <c r="D9" s="94" t="str">
        <f>"If a module or ecosystem like "&amp; Variables!E6 &amp;" is specified in "&amp; Variables!E7 &amp;", you are CRITICALLY FORBIDDEN from using "&amp; Variables!E8 &amp;". You MUST enforce the "&amp; Variables!E9 &amp;" and data structures of that specific library."</f>
        <v>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v>
      </c>
      <c r="E9" s="94"/>
      <c r="F9" s="77" t="str">
        <f t="shared" si="0"/>
        <v>"[ECOSYSTEM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v>
      </c>
      <c r="G9" s="54" t="s">
        <v>224</v>
      </c>
    </row>
    <row r="10" spans="1:30">
      <c r="A10">
        <f t="shared" si="1"/>
        <v>406</v>
      </c>
      <c r="B10" s="75" t="s">
        <v>222</v>
      </c>
      <c r="C10" s="54" t="s">
        <v>172</v>
      </c>
      <c r="D10" s="94" t="s">
        <v>173</v>
      </c>
      <c r="E10" s="94"/>
      <c r="F10"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G10" s="54" t="s">
        <v>224</v>
      </c>
    </row>
    <row r="11" spans="1:30">
      <c r="A11">
        <f t="shared" si="1"/>
        <v>214</v>
      </c>
      <c r="B11" s="75" t="s">
        <v>222</v>
      </c>
      <c r="C11" s="54" t="s">
        <v>491</v>
      </c>
      <c r="D11" s="94" t="s">
        <v>483</v>
      </c>
      <c r="E11" s="94"/>
      <c r="F11" s="77" t="str">
        <f t="shared" si="0"/>
        <v>"[LANGUAGE SEED CONTEXT] " &amp; IF($AE$7 = "", "Language Seed Not Necessary", "You MUST strictly follow this seed context to enhance, adapt, and naturalize your tone, vocabulary, and instructional quality in " &amp; $B$6 &amp; ": " &amp; $AE$7) &amp; " | " &amp;</v>
      </c>
      <c r="G11" s="54" t="s">
        <v>224</v>
      </c>
    </row>
    <row r="12" spans="1:30">
      <c r="A12">
        <f t="shared" si="1"/>
        <v>18</v>
      </c>
      <c r="B12" s="75" t="s">
        <v>222</v>
      </c>
      <c r="C12" s="54" t="s">
        <v>218</v>
      </c>
      <c r="D12" s="94" t="s">
        <v>219</v>
      </c>
      <c r="E12" s="94"/>
      <c r="F12" s="77" t="str">
        <f t="shared" si="0"/>
        <v>"[LANGUAGE] " &amp; $B$6 &amp; " | " &amp;</v>
      </c>
      <c r="G12" s="54" t="s">
        <v>224</v>
      </c>
    </row>
    <row r="13" spans="1:30">
      <c r="A13">
        <f t="shared" si="1"/>
        <v>255</v>
      </c>
      <c r="B13" s="75" t="s">
        <v>222</v>
      </c>
      <c r="C13" s="54" t="s">
        <v>231</v>
      </c>
      <c r="D13" s="94" t="s">
        <v>776</v>
      </c>
      <c r="E13" s="94"/>
      <c r="F13" s="77" t="str">
        <f t="shared" si="0"/>
        <v>"[EXECUTIVE CONSTRAINTS] Each example MUST include: - Internal data OR dataset usage - Print key intermediate steps and the final result - MUST NOT exceed exactly " &amp; $C9 &amp; " lines of EXECUTABLE code (STRICT: Do NOT count comments or blank lines). - NEVER exceed this limit. | " &amp;</v>
      </c>
      <c r="G13" s="54" t="s">
        <v>224</v>
      </c>
    </row>
    <row r="14" spans="1:30">
      <c r="A14">
        <f t="shared" si="1"/>
        <v>361</v>
      </c>
      <c r="B14" s="75" t="s">
        <v>222</v>
      </c>
      <c r="C14" s="32" t="s">
        <v>179</v>
      </c>
      <c r="D14" s="94" t="str">
        <f>"Rule: " &amp; CHAR(34) &amp; " &amp; IF(G9=" &amp; CHAR(34) &amp; "Beginner" &amp; CHAR(34) &amp; "," &amp; CHAR(34) &amp; Variables!E10 &amp; CHAR(34) &amp; ", IF(G9=" &amp; CHAR(34) &amp; "Intermediate" &amp; CHAR(34) &amp; ", " &amp; CHAR(34) &amp; Variables!E11 &amp; CHAR(34) &amp; ", " &amp; CHAR(34) &amp; Variables!E13 &amp; CHAR(34) &amp; ")) &amp; " &amp; CHAR(34) &amp; " | " &amp; CHAR(34) &amp; " &amp;"</f>
        <v>Rule: " &amp; IF(G9="Beginner","Focus: basic function definitions, return values, positional/keyword arguments, and list/dict comprehensions.", IF(G9="Intermediate", "Integrate generator functions using yield, closures, functools utilities (partial, lru_cache), and decorators.", "Dictionaries, Tuples, Namedtuples, or TypedDicts with strict type hints")) &amp; " | " &amp;</v>
      </c>
      <c r="E14" s="94"/>
      <c r="F14" s="77" t="str">
        <f t="shared" si="0"/>
        <v>"[FUNCTION RULE] Rule: " &amp; IF(G9="Beginner","Focus: basic function definitions, return values, positional/keyword arguments, and list/dict comprehensions.", IF(G9="Intermediate", "Integrate generator functions using yield, closures, functools utilities (partial, lru_cache), and decorators.", "Dictionaries, Tuples, Namedtuples, or TypedDicts with strict type hints")) &amp; " | " &amp;</v>
      </c>
      <c r="G14" s="54" t="s">
        <v>224</v>
      </c>
    </row>
    <row r="15" spans="1:30">
      <c r="A15">
        <f t="shared" si="1"/>
        <v>0</v>
      </c>
      <c r="B15" s="83" t="s">
        <v>223</v>
      </c>
      <c r="C15" s="54" t="s">
        <v>230</v>
      </c>
      <c r="D15" s="94"/>
      <c r="E15" s="94"/>
      <c r="F15" s="77" t="str">
        <f t="shared" si="0"/>
        <v/>
      </c>
      <c r="G15" s="54" t="s">
        <v>224</v>
      </c>
    </row>
    <row r="16" spans="1:30">
      <c r="A16">
        <f t="shared" si="1"/>
        <v>0</v>
      </c>
      <c r="B16" s="83" t="s">
        <v>223</v>
      </c>
      <c r="C16" s="54" t="s">
        <v>230</v>
      </c>
      <c r="D16" s="94"/>
      <c r="E16" s="94"/>
      <c r="F16" s="77" t="str">
        <f t="shared" si="0"/>
        <v/>
      </c>
      <c r="G16" s="54" t="s">
        <v>224</v>
      </c>
    </row>
    <row r="17" spans="1:7">
      <c r="A17">
        <f t="shared" si="1"/>
        <v>0</v>
      </c>
      <c r="B17" s="83" t="s">
        <v>223</v>
      </c>
      <c r="C17" s="54" t="s">
        <v>230</v>
      </c>
      <c r="D17" s="94"/>
      <c r="E17" s="94"/>
      <c r="F17" s="77" t="str">
        <f t="shared" si="0"/>
        <v/>
      </c>
      <c r="G17" s="54" t="s">
        <v>224</v>
      </c>
    </row>
    <row r="18" spans="1:7">
      <c r="A18">
        <f t="shared" si="1"/>
        <v>298</v>
      </c>
      <c r="B18" s="83" t="s">
        <v>223</v>
      </c>
      <c r="C18" s="32" t="s">
        <v>612</v>
      </c>
      <c r="D18" s="94" t="str">
        <f>"Each example MUST: - Use " &amp; Variables!E13 &amp; " - Print steps &amp; result via " &amp; Variables!E14 &amp; " - MAX " &amp; CHAR(34) &amp; " &amp; $C9 &amp; " &amp; CHAR(34) &amp; " executable lines (comments/blanks excluded) - NEVER exceed limit. | " &amp; CHAR(34) &amp; " &amp;"</f>
        <v>Each example MUST: - Use Dictionaries, Tuples, Namedtuples, or TypedDicts with strict type hints - Print steps &amp; result via print() or logging.info()/logging.error() inside functional scopes or error handlers - MAX " &amp; $C9 &amp; " executable lines (comments/blanks excluded) - NEVER exceed limit. | " &amp;</v>
      </c>
      <c r="E18" s="94"/>
      <c r="F18" s="77" t="str">
        <f t="shared" si="0"/>
        <v>"[CODE_CONSTRAINTS_RULE] Each example MUST: - Use Dictionaries, Tuples, Namedtuples, or TypedDicts with strict type hints - Print steps &amp; result via print() or logging.info()/logging.error() inside functional scopes or error handlers - MAX " &amp; $C9 &amp; " executable lines (comments/blanks excluded) - NEVER exceed limit. | " &amp;</v>
      </c>
      <c r="G18" s="54" t="s">
        <v>224</v>
      </c>
    </row>
    <row r="19" spans="1:7">
      <c r="A19">
        <f t="shared" si="1"/>
        <v>213</v>
      </c>
      <c r="B19" s="84" t="s">
        <v>223</v>
      </c>
      <c r="C19" s="32" t="s">
        <v>602</v>
      </c>
      <c r="D19" s="94" t="str">
        <f>"Use " &amp; Variables!E15 &amp; " and gracefully handle " &amp; Variables!E16 &amp; " when applicable. | " &amp; CHAR(34) &amp; " &amp;"</f>
        <v>Use pathlib.Path, open() with context managers, or sys.stdin/sys.stdout streams and gracefully handle Typed Tuples like Tuple[bool, str], Namedtuples, or Dict[str, Any] with type annotations when applicable. | " &amp;</v>
      </c>
      <c r="E19" s="94"/>
      <c r="F19" s="77" t="str">
        <f t="shared" si="0"/>
        <v>"[I_O_PARADIGM] Use pathlib.Path, open() with context managers, or sys.stdin/sys.stdout streams and gracefully handle Typed Tuples like Tuple[bool, str], Namedtuples, or Dict[str, Any] with type annotations when applicable. | " &amp;</v>
      </c>
      <c r="G19" s="54" t="s">
        <v>224</v>
      </c>
    </row>
    <row r="20" spans="1:7">
      <c r="A20">
        <f t="shared" si="1"/>
        <v>214</v>
      </c>
      <c r="B20" s="84" t="s">
        <v>223</v>
      </c>
      <c r="C20" s="32" t="s">
        <v>603</v>
      </c>
      <c r="D20" s="94" t="str">
        <f>"If using external packages, use " &amp; Variables!E17 &amp; " at the top of the code block. Assume no project configuration file exists. | " &amp; CHAR(34) &amp; " &amp;"</f>
        <v>If using external packages, use Standard requirements.txt file or inline pip install comments (# requirements: package_name&gt;=version) at the top of the code block. Assume no project configuration file exists. | " &amp;</v>
      </c>
      <c r="E20" s="94"/>
      <c r="F20" s="77" t="str">
        <f t="shared" si="0"/>
        <v>"[INLINE_PACKAGE_MANAGER] If using external packages, use Standard requirements.txt file or inline pip install comments (# requirements: package_name&gt;=version) at the top of the code block. Assume no project configuration file exists. | " &amp;</v>
      </c>
      <c r="G20" s="54" t="s">
        <v>224</v>
      </c>
    </row>
    <row r="21" spans="1:7">
      <c r="A21">
        <f t="shared" si="1"/>
        <v>474</v>
      </c>
      <c r="B21" s="83" t="s">
        <v>223</v>
      </c>
      <c r="C21" s="32" t="s">
        <v>604</v>
      </c>
      <c r="D21" s="94" t="str">
        <f>"For " &amp; Variables!E18 &amp; ", NEVER use " &amp; Variables!E19 &amp; ". Use " &amp; Variables!E20 &amp; ", as " &amp; Variables!E19 &amp; " fail in standalone execution environments. | " &amp; CHAR(34) &amp; " &amp;"</f>
        <v>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 &amp;</v>
      </c>
      <c r="E21" s="94"/>
      <c r="F21" s="77" t="str">
        <f t="shared" si="0"/>
        <v>"[TESTING_FRAMEWORK_LIMITS]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 &amp;</v>
      </c>
      <c r="G21" s="54" t="s">
        <v>224</v>
      </c>
    </row>
    <row r="22" spans="1:7">
      <c r="A22">
        <f t="shared" si="1"/>
        <v>169</v>
      </c>
      <c r="B22" s="84" t="s">
        <v>271</v>
      </c>
      <c r="C22" s="54" t="s">
        <v>180</v>
      </c>
      <c r="D22" s="94" t="s">
        <v>715</v>
      </c>
      <c r="E22" s="94"/>
      <c r="F22" s="77" t="str">
        <f t="shared" si="0"/>
        <v>"[CODE QUALITY RULE] Code MUST be clean, readable, educational, executable and produce correct results. Safely handle missing/malformed/inconsistent data, using pattern matching if possible. | " &amp;</v>
      </c>
      <c r="G22" s="54" t="s">
        <v>224</v>
      </c>
    </row>
    <row r="23" spans="1:7">
      <c r="A23">
        <f t="shared" si="1"/>
        <v>159</v>
      </c>
      <c r="B23" s="84" t="s">
        <v>271</v>
      </c>
      <c r="C23" s="54" t="s">
        <v>596</v>
      </c>
      <c r="D23" s="94" t="s">
        <v>716</v>
      </c>
      <c r="E23" s="94"/>
      <c r="F23" s="77" t="str">
        <f t="shared" si="0"/>
        <v>"[COMMENT CONSTRAINTS] Code MUST include enough inline comments explaining WHAT it does AND WHY. Density: Beginner=high, Intermediate=medium, Advanced=lower but present in key logic. | " &amp;</v>
      </c>
      <c r="G23" s="54" t="s">
        <v>224</v>
      </c>
    </row>
    <row r="24" spans="1:7">
      <c r="A24">
        <f t="shared" si="1"/>
        <v>39</v>
      </c>
      <c r="B24" s="84" t="s">
        <v>271</v>
      </c>
      <c r="C24" s="54" t="s">
        <v>207</v>
      </c>
      <c r="D24" s="94" t="s">
        <v>280</v>
      </c>
      <c r="E24" s="94"/>
      <c r="F24" s="77" t="str">
        <f t="shared" si="0"/>
        <v>"[FORMAT RULE] Only valid markdown code blocks allowed | " &amp;</v>
      </c>
      <c r="G24" s="54" t="s">
        <v>224</v>
      </c>
    </row>
    <row r="25" spans="1:7">
      <c r="A25">
        <f t="shared" si="1"/>
        <v>114</v>
      </c>
      <c r="B25" s="84" t="s">
        <v>271</v>
      </c>
      <c r="C25" s="54" t="s">
        <v>209</v>
      </c>
      <c r="D25" s="94" t="s">
        <v>599</v>
      </c>
      <c r="E25" s="94"/>
      <c r="F25" s="77" t="str">
        <f t="shared" si="0"/>
        <v>"[LANGUAGE TAG RULE] ALWAYS label markdown code blocks with the correct underlying programming language (e.g., elixir, javascript, sql) | " &amp;</v>
      </c>
      <c r="G25" s="54" t="s">
        <v>224</v>
      </c>
    </row>
    <row r="26" spans="1:7">
      <c r="A26">
        <f t="shared" si="1"/>
        <v>324</v>
      </c>
      <c r="B26" s="84" t="s">
        <v>271</v>
      </c>
      <c r="C26" s="54" t="s">
        <v>215</v>
      </c>
      <c r="D26" s="94" t="s">
        <v>581</v>
      </c>
      <c r="E26" s="94"/>
      <c r="F26" s="77" t="str">
        <f t="shared" si="0"/>
        <v>"[HEADER RULE - STRICT] 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v>
      </c>
      <c r="G26" s="54" t="s">
        <v>224</v>
      </c>
    </row>
    <row r="27" spans="1:7">
      <c r="A27">
        <f t="shared" si="1"/>
        <v>451</v>
      </c>
      <c r="B27" s="84" t="s">
        <v>271</v>
      </c>
      <c r="C27" s="54" t="s">
        <v>187</v>
      </c>
      <c r="D27" s="94" t="s">
        <v>713</v>
      </c>
      <c r="E27" s="94"/>
      <c r="F27" s="77" t="str">
        <f t="shared" si="0"/>
        <v>"[INTRO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v>
      </c>
      <c r="G27" s="54" t="s">
        <v>224</v>
      </c>
    </row>
    <row r="28" spans="1:7">
      <c r="A28">
        <f t="shared" si="1"/>
        <v>36</v>
      </c>
      <c r="B28" s="84" t="s">
        <v>271</v>
      </c>
      <c r="C28" s="54" t="s">
        <v>170</v>
      </c>
      <c r="D28" s="94" t="s">
        <v>171</v>
      </c>
      <c r="E28" s="94"/>
      <c r="F28" s="77" t="str">
        <f t="shared" si="0"/>
        <v>"[PERSONA RULE] Act as a friendly, clear tutor | " &amp;</v>
      </c>
      <c r="G28" s="54" t="s">
        <v>224</v>
      </c>
    </row>
    <row r="29" spans="1:7">
      <c r="A29">
        <f t="shared" si="1"/>
        <v>67</v>
      </c>
      <c r="B29" s="84" t="s">
        <v>271</v>
      </c>
      <c r="C29" s="54" t="s">
        <v>162</v>
      </c>
      <c r="D29" s="94" t="s">
        <v>163</v>
      </c>
      <c r="E29" s="94"/>
      <c r="F29" s="77" t="str">
        <f t="shared" si="0"/>
        <v>"[TASK] Teach and explain concepts clearly with correct code examples | " &amp;</v>
      </c>
      <c r="G29" s="54" t="s">
        <v>224</v>
      </c>
    </row>
    <row r="30" spans="1:7">
      <c r="A30">
        <f t="shared" si="1"/>
        <v>545</v>
      </c>
      <c r="B30" s="84" t="s">
        <v>271</v>
      </c>
      <c r="C30" s="54" t="s">
        <v>177</v>
      </c>
      <c r="D30" s="94" t="s">
        <v>714</v>
      </c>
      <c r="E30" s="94"/>
      <c r="F30" s="77" t="str">
        <f t="shared" si="0"/>
        <v>"[OUTPUT CONTRACT] EXACTLY " &amp; D9 &amp; "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v>
      </c>
      <c r="G30" s="54" t="s">
        <v>224</v>
      </c>
    </row>
    <row r="31" spans="1:7">
      <c r="A31">
        <f t="shared" si="1"/>
        <v>101</v>
      </c>
      <c r="B31" s="84" t="s">
        <v>271</v>
      </c>
      <c r="C31" s="54" t="s">
        <v>180</v>
      </c>
      <c r="D31" s="94" t="s">
        <v>227</v>
      </c>
      <c r="E31" s="94"/>
      <c r="F31" s="77" t="str">
        <f t="shared" si="0"/>
        <v>"[CODE QUALITY RULE] Code MUST be clean, readable, educational, executable, and produce correct and accurate results | " &amp;</v>
      </c>
      <c r="G31" s="54" t="s">
        <v>224</v>
      </c>
    </row>
    <row r="32" spans="1:7">
      <c r="A32">
        <f t="shared" si="1"/>
        <v>96</v>
      </c>
      <c r="B32" s="84" t="s">
        <v>271</v>
      </c>
      <c r="C32" s="54" t="s">
        <v>181</v>
      </c>
      <c r="D32" s="94" t="s">
        <v>182</v>
      </c>
      <c r="E32" s="94"/>
      <c r="F32" s="77" t="str">
        <f t="shared" si="0"/>
        <v>"[COMMENT RULE - STRICT] Code MUST include sufficient inline comments explaining important lines and logical blocks | " &amp;</v>
      </c>
      <c r="G32" s="54" t="s">
        <v>224</v>
      </c>
    </row>
    <row r="33" spans="1:7">
      <c r="A33">
        <f t="shared" si="1"/>
        <v>77</v>
      </c>
      <c r="B33" s="84" t="s">
        <v>271</v>
      </c>
      <c r="C33" s="54" t="s">
        <v>183</v>
      </c>
      <c r="D33" s="94" t="s">
        <v>184</v>
      </c>
      <c r="E33" s="94"/>
      <c r="F33" s="77" t="str">
        <f t="shared" si="0"/>
        <v>"[COMMENT DEPTH RULE] Comments MUST explain WHAT the code does AND WHY it is written that way | " &amp;</v>
      </c>
      <c r="G33" s="54" t="s">
        <v>224</v>
      </c>
    </row>
    <row r="34" spans="1:7">
      <c r="A34">
        <f t="shared" si="1"/>
        <v>101</v>
      </c>
      <c r="B34" s="84" t="s">
        <v>271</v>
      </c>
      <c r="C34" s="54" t="s">
        <v>197</v>
      </c>
      <c r="D34" s="94" t="s">
        <v>198</v>
      </c>
      <c r="E34" s="94"/>
      <c r="F34" s="77" t="str">
        <f t="shared" si="0"/>
        <v>"[EXPLANATION RULE] Explanation within 'Mini-Lección' MUST explain WHAT, WHY, HOW, and real-world context concisely | " &amp;</v>
      </c>
      <c r="G34" s="54" t="s">
        <v>224</v>
      </c>
    </row>
    <row r="35" spans="1:7">
      <c r="A35">
        <f t="shared" si="1"/>
        <v>47</v>
      </c>
      <c r="B35" s="84" t="s">
        <v>271</v>
      </c>
      <c r="C35" s="54" t="s">
        <v>199</v>
      </c>
      <c r="D35" s="94" t="s">
        <v>200</v>
      </c>
      <c r="E35" s="94"/>
      <c r="F35" s="77" t="str">
        <f t="shared" si="0"/>
        <v>"[LEARNING RULE] Each example MUST highlight a key insight | " &amp;</v>
      </c>
      <c r="G35" s="54" t="s">
        <v>224</v>
      </c>
    </row>
    <row r="36" spans="1:7">
      <c r="A36">
        <f t="shared" si="1"/>
        <v>53</v>
      </c>
      <c r="B36" s="84" t="s">
        <v>271</v>
      </c>
      <c r="C36" s="54" t="s">
        <v>201</v>
      </c>
      <c r="D36" s="94" t="s">
        <v>202</v>
      </c>
      <c r="E36" s="94"/>
      <c r="F36" s="77" t="str">
        <f t="shared" si="0"/>
        <v>"[COMMON MISTAKES RULE] Include a short mistake note after each example | " &amp;</v>
      </c>
      <c r="G36" s="54" t="s">
        <v>224</v>
      </c>
    </row>
    <row r="37" spans="1:7">
      <c r="A37">
        <f t="shared" si="1"/>
        <v>63</v>
      </c>
      <c r="B37" s="84" t="s">
        <v>271</v>
      </c>
      <c r="C37" s="54" t="s">
        <v>203</v>
      </c>
      <c r="D37" s="94" t="s">
        <v>204</v>
      </c>
      <c r="E37" s="94"/>
      <c r="F37" s="77" t="str">
        <f t="shared" si="0"/>
        <v>"[MINI CHALLENGE RULE] Include a short reinforcement question after each example | " &amp;</v>
      </c>
      <c r="G37" s="54" t="s">
        <v>224</v>
      </c>
    </row>
    <row r="38" spans="1:7">
      <c r="A38">
        <f t="shared" si="1"/>
        <v>51</v>
      </c>
      <c r="B38" s="84" t="s">
        <v>271</v>
      </c>
      <c r="C38" s="54" t="s">
        <v>205</v>
      </c>
      <c r="D38" s="94" t="s">
        <v>206</v>
      </c>
      <c r="E38" s="94"/>
      <c r="F38" s="77" t="str">
        <f t="shared" si="0"/>
        <v>"[REAL WORLD RULE] Connect each example to a real-world use case | " &amp;</v>
      </c>
      <c r="G38" s="54" t="s">
        <v>224</v>
      </c>
    </row>
    <row r="39" spans="1:7">
      <c r="A39">
        <f t="shared" si="1"/>
        <v>45</v>
      </c>
      <c r="B39" s="84" t="s">
        <v>271</v>
      </c>
      <c r="C39" s="54" t="s">
        <v>207</v>
      </c>
      <c r="D39" s="94" t="s">
        <v>208</v>
      </c>
      <c r="E39" s="94"/>
      <c r="F39" s="77" t="str">
        <f t="shared" si="0"/>
        <v>"[FORMAT RULE] Only valid markdown code blocks allowed | " &amp;</v>
      </c>
      <c r="G39" s="54" t="s">
        <v>224</v>
      </c>
    </row>
    <row r="40" spans="1:7">
      <c r="A40">
        <f t="shared" si="1"/>
        <v>120</v>
      </c>
      <c r="B40" s="84" t="s">
        <v>271</v>
      </c>
      <c r="C40" s="54" t="s">
        <v>209</v>
      </c>
      <c r="D40" s="94" t="s">
        <v>210</v>
      </c>
      <c r="E40" s="94"/>
      <c r="F40" s="77" t="str">
        <f t="shared" si="0"/>
        <v>"[LANGUAGE TAG RULE] ALWAYS label markdown code blocks with the correct underlying programming language (e.g., python, javascript, sql) | " &amp;</v>
      </c>
      <c r="G40" s="54" t="s">
        <v>224</v>
      </c>
    </row>
    <row r="41" spans="1:7">
      <c r="A41">
        <f t="shared" si="1"/>
        <v>58</v>
      </c>
      <c r="B41" s="84" t="s">
        <v>271</v>
      </c>
      <c r="C41" s="54" t="s">
        <v>212</v>
      </c>
      <c r="D41" s="94" t="s">
        <v>213</v>
      </c>
      <c r="E41" s="94"/>
      <c r="F41" s="77" t="str">
        <f t="shared" si="0"/>
        <v>"[CONSISTENCY RULE] All examples MUST have similar complexity and length | " &amp;</v>
      </c>
      <c r="G41" s="54" t="s">
        <v>224</v>
      </c>
    </row>
    <row r="42" spans="1:7">
      <c r="A42">
        <f t="shared" si="1"/>
        <v>75</v>
      </c>
      <c r="B42" s="84" t="s">
        <v>271</v>
      </c>
      <c r="C42" s="54" t="s">
        <v>214</v>
      </c>
      <c r="D42" s="94" t="s">
        <v>232</v>
      </c>
      <c r="E42" s="94"/>
      <c r="F42" s="77" t="str">
        <f t="shared" si="0"/>
        <v>"[FINAL OUTPUT RULE] Include Key Takeaway section at the end | " &amp; IF(AJ9&lt;&gt;"", AJ9, "") &amp;" | " &amp;</v>
      </c>
      <c r="G42" s="54" t="s">
        <v>224</v>
      </c>
    </row>
    <row r="43" spans="1:7">
      <c r="A43">
        <f t="shared" si="1"/>
        <v>422</v>
      </c>
      <c r="B43" s="84" t="s">
        <v>271</v>
      </c>
      <c r="C43" s="54" t="s">
        <v>174</v>
      </c>
      <c r="D43" s="94" t="s">
        <v>717</v>
      </c>
      <c r="E43" s="94"/>
      <c r="F43" s="77" t="str">
        <f t="shared" si="0"/>
        <v>"[DATA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v>
      </c>
      <c r="G43" s="54" t="s">
        <v>224</v>
      </c>
    </row>
    <row r="44" spans="1:7">
      <c r="A44">
        <f t="shared" si="1"/>
        <v>152</v>
      </c>
      <c r="B44" s="84" t="s">
        <v>271</v>
      </c>
      <c r="C44" s="54" t="s">
        <v>175</v>
      </c>
      <c r="D44" s="94" t="s">
        <v>176</v>
      </c>
      <c r="E44" s="94"/>
      <c r="F44" s="77" t="str">
        <f t="shared" si="0"/>
        <v>"[DATA SUMMARY FORMAT RULE] When a dataset is present, you MUST display IMMEDIATELY AFTER THE HEADER: Dataset Summary: - File Type: - Columns / Fields: - Data Types: - Notes: | " &amp;</v>
      </c>
      <c r="G44" s="54" t="s">
        <v>224</v>
      </c>
    </row>
    <row r="45" spans="1:7">
      <c r="A45">
        <f t="shared" si="1"/>
        <v>28</v>
      </c>
      <c r="B45" s="84" t="s">
        <v>271</v>
      </c>
      <c r="C45" s="54" t="s">
        <v>192</v>
      </c>
      <c r="D45" s="94" t="s">
        <v>193</v>
      </c>
      <c r="E45" s="94"/>
      <c r="F45" s="77" t="str">
        <f t="shared" si="0"/>
        <v>"[DATA CONSISTENCY RULE] Respect dataset schema | " &amp;</v>
      </c>
      <c r="G45" s="54" t="s">
        <v>224</v>
      </c>
    </row>
    <row r="46" spans="1:7">
      <c r="A46">
        <f t="shared" si="1"/>
        <v>87</v>
      </c>
      <c r="B46" s="84" t="s">
        <v>271</v>
      </c>
      <c r="C46" s="54" t="s">
        <v>185</v>
      </c>
      <c r="D46" s="94" t="s">
        <v>186</v>
      </c>
      <c r="E46" s="94"/>
      <c r="F46" s="77" t="str">
        <f t="shared" si="0"/>
        <v>"[COMMENT DENSITY RULE] Beginner = high, Intermediate = medium, Advanced = lower but present in key logic | " &amp;</v>
      </c>
      <c r="G46" s="54" t="s">
        <v>224</v>
      </c>
    </row>
    <row r="47" spans="1:7">
      <c r="A47">
        <f t="shared" si="1"/>
        <v>33</v>
      </c>
      <c r="B47" s="84" t="s">
        <v>271</v>
      </c>
      <c r="C47" s="54" t="s">
        <v>195</v>
      </c>
      <c r="D47" s="94" t="s">
        <v>196</v>
      </c>
      <c r="E47" s="94"/>
      <c r="F47" s="77" t="str">
        <f t="shared" si="0"/>
        <v>"[DIFFICULTY RULE] Complexity MUST match level | " &amp;</v>
      </c>
      <c r="G47" s="54" t="s">
        <v>224</v>
      </c>
    </row>
    <row r="48" spans="1:7">
      <c r="A48">
        <f t="shared" si="1"/>
        <v>78</v>
      </c>
      <c r="B48" s="84" t="s">
        <v>271</v>
      </c>
      <c r="C48" s="54" t="s">
        <v>216</v>
      </c>
      <c r="D48" s="94" t="s">
        <v>217</v>
      </c>
      <c r="E48" s="94"/>
      <c r="F48" s="77" t="str">
        <f t="shared" si="0"/>
        <v>"[OUTPUT] Only header, introduction, examples, outputs, notes, summary, and footer | " &amp;</v>
      </c>
      <c r="G48" s="54" t="s">
        <v>224</v>
      </c>
    </row>
    <row r="49" spans="1:7">
      <c r="A49">
        <f t="shared" si="1"/>
        <v>166</v>
      </c>
      <c r="B49" s="84" t="s">
        <v>271</v>
      </c>
      <c r="C49" s="54" t="s">
        <v>220</v>
      </c>
      <c r="D49" s="94" t="s">
        <v>233</v>
      </c>
      <c r="E49" s="94"/>
      <c r="F49" s="77" t="str">
        <f>IF(D49="","",""""&amp;C49&amp;" "&amp;IF(C49="[FOOTER RULE - STRICT]",D49,IF(RIGHT(D49,6)=" | "&amp;CHAR(34)&amp;" &amp;",D49,D49&amp;" | "&amp;CHAR(34)&amp;" &amp;")))</f>
        <v>"[FOOTER RULE - STRICT] End your entire response EXACTLY with this markdown string (ensure all code blocks are closed before it): ⚡ *Coding5s System — Learn Programming by Writing Code* | ",</v>
      </c>
      <c r="G49" s="54" t="s">
        <v>224</v>
      </c>
    </row>
    <row r="50" spans="1:7">
      <c r="B50" s="84"/>
      <c r="C50" s="54"/>
      <c r="D50" s="94"/>
      <c r="E50" s="94"/>
      <c r="F50" s="88" t="str">
        <f>"IF(H9=""PROJECT"", Z9, """"))"</f>
        <v>IF(H9="PROJECT", Z9, ""))</v>
      </c>
      <c r="G50" s="54"/>
    </row>
    <row r="51" spans="1:7">
      <c r="B51" s="74"/>
      <c r="C51" s="74"/>
      <c r="F51" s="86"/>
    </row>
    <row r="52" spans="1:7">
      <c r="B52" s="74"/>
      <c r="C52" s="74"/>
      <c r="F52" s="86"/>
    </row>
    <row r="53" spans="1:7" ht="36">
      <c r="B53" s="79" t="s">
        <v>447</v>
      </c>
      <c r="C53" s="74"/>
      <c r="F53" s="86"/>
    </row>
    <row r="54" spans="1:7">
      <c r="B54" s="76" t="s">
        <v>264</v>
      </c>
      <c r="C54" s="76" t="s">
        <v>579</v>
      </c>
      <c r="D54" s="76" t="s">
        <v>580</v>
      </c>
      <c r="E54" s="76"/>
      <c r="F54" s="88" t="s">
        <v>265</v>
      </c>
      <c r="G54" s="32" t="s">
        <v>224</v>
      </c>
    </row>
    <row r="55" spans="1:7">
      <c r="B55" s="54" t="s">
        <v>222</v>
      </c>
      <c r="C55" s="54" t="s">
        <v>162</v>
      </c>
      <c r="D55" s="94" t="s">
        <v>268</v>
      </c>
      <c r="E55" s="94"/>
      <c r="F55" s="77" t="str">
        <f>IF(D55="","",""""&amp;C55&amp;" "&amp;IF(C55="[FOOTER RULE - STRICT]",D55,IF(RIGHT(D55,6)=" | "&amp;CHAR(34)&amp;" &amp;",D55,D55&amp;" | "&amp;CHAR(34)&amp;" &amp;")))</f>
        <v>"[TASK] Teach through a practical " &amp; $I$2 &amp; " - " &amp; $I$3 &amp; " project following the micro-learning methodology, acting as a supportive tutor, creating a project about  " &amp; I9 &amp; " | " &amp;</v>
      </c>
      <c r="G55" s="32" t="s">
        <v>224</v>
      </c>
    </row>
    <row r="56" spans="1:7">
      <c r="B56" s="54" t="s">
        <v>222</v>
      </c>
      <c r="C56" s="54" t="s">
        <v>253</v>
      </c>
      <c r="D56" s="94" t="s">
        <v>777</v>
      </c>
      <c r="E56" s="94"/>
      <c r="F56" s="77" t="str">
        <f t="shared" ref="F56:F79" si="2">IF(D56="","",""""&amp;C56&amp;" "&amp;IF(C56="[FOOTER RULE - STRICT]",D56,IF(RIGHT(D56,6)=" | "&amp;CHAR(34)&amp;" &amp;",D56,D56&amp;" | "&amp;CHAR(34)&amp;" &amp;")))</f>
        <v>"[TOPICS USED] " &amp; A9 &amp; " | " &amp;</v>
      </c>
      <c r="G56" s="32" t="s">
        <v>224</v>
      </c>
    </row>
    <row r="57" spans="1:7">
      <c r="B57" s="54" t="s">
        <v>222</v>
      </c>
      <c r="C57" s="54" t="s">
        <v>166</v>
      </c>
      <c r="D57" s="94" t="s">
        <v>167</v>
      </c>
      <c r="E57" s="94"/>
      <c r="F57" s="77" t="str">
        <f t="shared" si="2"/>
        <v>"[LEVEL] " &amp; G9 &amp; " | " &amp;</v>
      </c>
      <c r="G57" s="32" t="s">
        <v>224</v>
      </c>
    </row>
    <row r="58" spans="1:7">
      <c r="B58" s="54" t="s">
        <v>222</v>
      </c>
      <c r="C58" s="54" t="s">
        <v>229</v>
      </c>
      <c r="D58" s="94" t="s">
        <v>267</v>
      </c>
      <c r="E58" s="94"/>
      <c r="F58" s="77" t="str">
        <f t="shared" si="2"/>
        <v>"[LIBRARY BEING LEARNED] " &amp; $I$3 &amp; " | " &amp;</v>
      </c>
      <c r="G58" s="32" t="s">
        <v>224</v>
      </c>
    </row>
    <row r="59" spans="1:7">
      <c r="B59" s="75" t="s">
        <v>222</v>
      </c>
      <c r="C59" s="54" t="s">
        <v>225</v>
      </c>
      <c r="D59" s="94" t="str">
        <f>"If a module or ecosystem like "&amp; Variables!E6 &amp;" is specified in "&amp; Variables!E7 &amp;", you are CRITICALLY FORBIDDEN from using "&amp; Variables!E8 &amp;". You MUST enforce the "&amp; Variables!E9 &amp;" and data structures of that specific library."</f>
        <v>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v>
      </c>
      <c r="E59" s="94"/>
      <c r="F59" s="77"/>
      <c r="G59" s="32"/>
    </row>
    <row r="60" spans="1:7">
      <c r="B60" s="54" t="s">
        <v>222</v>
      </c>
      <c r="C60" s="54" t="s">
        <v>172</v>
      </c>
      <c r="D60" s="94" t="s">
        <v>254</v>
      </c>
      <c r="E60" s="94"/>
      <c r="F60" s="7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G60" s="32" t="s">
        <v>224</v>
      </c>
    </row>
    <row r="61" spans="1:7">
      <c r="B61" s="54" t="s">
        <v>222</v>
      </c>
      <c r="C61" s="54" t="s">
        <v>491</v>
      </c>
      <c r="D61" s="94" t="s">
        <v>483</v>
      </c>
      <c r="E61" s="94"/>
      <c r="F61" s="77" t="str">
        <f t="shared" si="2"/>
        <v>"[LANGUAGE SEED CONTEXT] " &amp; IF($AE$7 = "", "Language Seed Not Necessary", "You MUST strictly follow this seed context to enhance, adapt, and naturalize your tone, vocabulary, and instructional quality in " &amp; $B$6 &amp; ": " &amp; $AE$7) &amp; " | " &amp;</v>
      </c>
      <c r="G61" s="32" t="s">
        <v>224</v>
      </c>
    </row>
    <row r="62" spans="1:7">
      <c r="B62" s="54" t="s">
        <v>222</v>
      </c>
      <c r="C62" s="54" t="s">
        <v>218</v>
      </c>
      <c r="D62" s="94" t="s">
        <v>219</v>
      </c>
      <c r="E62" s="94"/>
      <c r="F62" s="77" t="str">
        <f t="shared" si="2"/>
        <v>"[LANGUAGE] " &amp; $B$6 &amp; " | " &amp;</v>
      </c>
      <c r="G62" s="32" t="s">
        <v>224</v>
      </c>
    </row>
    <row r="63" spans="1:7">
      <c r="B63" s="54" t="s">
        <v>223</v>
      </c>
      <c r="C63" s="54" t="s">
        <v>230</v>
      </c>
      <c r="D63" s="94"/>
      <c r="E63" s="94"/>
      <c r="F63" s="77" t="str">
        <f t="shared" ref="F63:F64" si="3">IF(D63="","",""""&amp;C63&amp;" "&amp;IF(C63="[FOOTER RULE - STRICT]",D63,IF(RIGHT(D63,6)=" | "&amp;CHAR(34)&amp;" &amp;",D63,D63&amp;" | "&amp;CHAR(34)&amp;" &amp;")))</f>
        <v/>
      </c>
      <c r="G63" s="32" t="s">
        <v>224</v>
      </c>
    </row>
    <row r="64" spans="1:7">
      <c r="B64" s="54" t="s">
        <v>223</v>
      </c>
      <c r="C64" s="54" t="s">
        <v>230</v>
      </c>
      <c r="D64" s="94"/>
      <c r="E64" s="94"/>
      <c r="F64" s="77" t="str">
        <f t="shared" si="3"/>
        <v/>
      </c>
      <c r="G64" s="32" t="s">
        <v>224</v>
      </c>
    </row>
    <row r="65" spans="2:7">
      <c r="B65" s="54" t="s">
        <v>223</v>
      </c>
      <c r="C65" s="54" t="s">
        <v>603</v>
      </c>
      <c r="D65" s="94" t="str">
        <f>"If the project requires an external package, you MUST use " &amp; Variables!E17 &amp; " at the top. | " &amp; CHAR(34) &amp; " &amp;"</f>
        <v>If the project requires an external package, you MUST use Standard requirements.txt file or inline pip install comments (# requirements: package_name&gt;=version) at the top. | " &amp;</v>
      </c>
      <c r="E65" s="94"/>
      <c r="F65" s="77" t="str">
        <f t="shared" si="2"/>
        <v>"[INLINE_PACKAGE_MANAGER] If the project requires an external package, you MUST use Standard requirements.txt file or inline pip install comments (# requirements: package_name&gt;=version) at the top. | " &amp;</v>
      </c>
      <c r="G65" s="32" t="s">
        <v>224</v>
      </c>
    </row>
    <row r="66" spans="2:7">
      <c r="B66" s="54" t="s">
        <v>223</v>
      </c>
      <c r="C66" s="54" t="s">
        <v>624</v>
      </c>
      <c r="D66" s="94" t="str">
        <f>"Rule: " &amp; IF(G9="Beginner", Variables!E10, IF(G9="Intermediate", Variables!E11, Variables!E12)) &amp; " | " &amp; CHAR(34) &amp; " &amp;"</f>
        <v>Rule: Build scripts: async/await coroutines with asyncio, subprocess execution, signal trapping, and custom context managers. | " &amp;</v>
      </c>
      <c r="E66" s="94"/>
      <c r="F66" s="77" t="str">
        <f t="shared" si="2"/>
        <v>"[SCOPE_ARCHITECTURE_RULE] Rule: Build scripts: async/await coroutines with asyncio, subprocess execution, signal trapping, and custom context managers. | " &amp;</v>
      </c>
      <c r="G66" s="32" t="s">
        <v>224</v>
      </c>
    </row>
    <row r="67" spans="2:7">
      <c r="B67" s="54" t="s">
        <v>223</v>
      </c>
      <c r="C67" s="54" t="s">
        <v>625</v>
      </c>
      <c r="D67" s="94" t="str">
        <f>"1. Use " &amp; Variables!E21 &amp; " to map code to the planning phase. 2. Use " &amp; Variables!E22 &amp; ". 3. CRITICAL: NO comment or docstring line may exceed " &amp; Variables!E23 &amp; " in width. | " &amp; CHAR(34) &amp; " &amp;"</f>
        <v>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 &amp;</v>
      </c>
      <c r="E67" s="94"/>
      <c r="F67" s="77" t="str">
        <f t="shared" si="2"/>
        <v>"[VISUAL_ARCHITECTURE_COMMENTS]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 &amp;</v>
      </c>
      <c r="G67" s="32" t="s">
        <v>224</v>
      </c>
    </row>
    <row r="68" spans="2:7">
      <c r="B68" s="84" t="s">
        <v>271</v>
      </c>
      <c r="C68" s="54" t="s">
        <v>190</v>
      </c>
      <c r="D68" s="94" t="s">
        <v>419</v>
      </c>
      <c r="E68" s="94"/>
      <c r="F68" s="77" t="str">
        <f t="shared" si="2"/>
        <v>"[DATA ROBUSTNESS RULE] Handle real-world data safely | " &amp;</v>
      </c>
      <c r="G68" s="32" t="s">
        <v>224</v>
      </c>
    </row>
    <row r="69" spans="2:7">
      <c r="B69" s="84" t="s">
        <v>271</v>
      </c>
      <c r="C69" s="54" t="s">
        <v>178</v>
      </c>
      <c r="D69" s="94" t="s">
        <v>600</v>
      </c>
      <c r="E69" s="94"/>
      <c r="F69" s="77" t="str">
        <f t="shared" si="2"/>
        <v>"[CODE CONSTRAINTS] MUST be between " &amp; IF(G9="Beginner", "25–40", IF(G9="Intermediate", "30–60", "40–100")) &amp; " lines (STRICT) - Multi-step flow | " &amp;</v>
      </c>
      <c r="G69" s="32" t="s">
        <v>224</v>
      </c>
    </row>
    <row r="70" spans="2:7">
      <c r="B70" s="84" t="s">
        <v>271</v>
      </c>
      <c r="C70" s="54" t="s">
        <v>194</v>
      </c>
      <c r="D70" s="94" t="s">
        <v>425</v>
      </c>
      <c r="E70" s="94"/>
      <c r="F70" s="77" t="str">
        <f t="shared" si="2"/>
        <v>"[SUPPORT FILES RULE] Include config files before code if needed | " &amp;</v>
      </c>
      <c r="G70" s="32" t="s">
        <v>224</v>
      </c>
    </row>
    <row r="71" spans="2:7">
      <c r="B71" s="84" t="s">
        <v>271</v>
      </c>
      <c r="C71" s="54" t="s">
        <v>174</v>
      </c>
      <c r="D71" s="94" t="s">
        <v>255</v>
      </c>
      <c r="E71" s="94"/>
      <c r="F71" s="77" t="str">
        <f t="shared" si="2"/>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v>
      </c>
      <c r="G71" s="32" t="s">
        <v>224</v>
      </c>
    </row>
    <row r="72" spans="2:7">
      <c r="B72" s="84" t="s">
        <v>271</v>
      </c>
      <c r="C72" s="54" t="s">
        <v>177</v>
      </c>
      <c r="D72" s="94" t="s">
        <v>256</v>
      </c>
      <c r="E72" s="94"/>
      <c r="F72" s="77" t="str">
        <f t="shared" si="2"/>
        <v>"[OUTPUT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v>
      </c>
      <c r="G72" s="32" t="s">
        <v>224</v>
      </c>
    </row>
    <row r="73" spans="2:7">
      <c r="B73" s="84" t="s">
        <v>271</v>
      </c>
      <c r="C73" s="54" t="s">
        <v>180</v>
      </c>
      <c r="D73" s="94" t="s">
        <v>257</v>
      </c>
      <c r="E73" s="94"/>
      <c r="F73" s="77" t="str">
        <f t="shared" si="2"/>
        <v>"[CODE QUALITY RULE] Code MUST be clean, readable, correct, and educational | " &amp;</v>
      </c>
      <c r="G73" s="32" t="s">
        <v>224</v>
      </c>
    </row>
    <row r="74" spans="2:7">
      <c r="B74" s="84" t="s">
        <v>271</v>
      </c>
      <c r="C74" s="54" t="s">
        <v>207</v>
      </c>
      <c r="D74" s="94" t="s">
        <v>258</v>
      </c>
      <c r="E74" s="94"/>
      <c r="F74" s="77" t="str">
        <f t="shared" si="2"/>
        <v>"[FORMAT RULE] Only markdown code blocks allowed | " &amp;</v>
      </c>
      <c r="G74" s="32" t="s">
        <v>224</v>
      </c>
    </row>
    <row r="75" spans="2:7">
      <c r="B75" s="84" t="s">
        <v>271</v>
      </c>
      <c r="C75" s="54" t="s">
        <v>259</v>
      </c>
      <c r="D75" s="94" t="s">
        <v>260</v>
      </c>
      <c r="E75" s="94"/>
      <c r="F75" s="77" t="str">
        <f t="shared" si="2"/>
        <v>"[EXECUTION RULE] Code MUST run and produce correct output | " &amp;</v>
      </c>
      <c r="G75" s="32" t="s">
        <v>224</v>
      </c>
    </row>
    <row r="76" spans="2:7">
      <c r="B76" s="84" t="s">
        <v>271</v>
      </c>
      <c r="C76" s="54" t="s">
        <v>212</v>
      </c>
      <c r="D76" s="94" t="s">
        <v>261</v>
      </c>
      <c r="E76" s="94"/>
      <c r="F76" s="77" t="str">
        <f t="shared" si="2"/>
        <v>"[CONSISTENCY RULE] Project must match objective | " &amp;</v>
      </c>
      <c r="G76" s="32" t="s">
        <v>224</v>
      </c>
    </row>
    <row r="77" spans="2:7">
      <c r="B77" s="84" t="s">
        <v>271</v>
      </c>
      <c r="C77" s="54" t="s">
        <v>215</v>
      </c>
      <c r="D77" s="94" t="s">
        <v>582</v>
      </c>
      <c r="E77" s="94"/>
      <c r="F77" s="77" t="str">
        <f t="shared" si="2"/>
        <v>"[HEADER RULE - STRICT] 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v>
      </c>
      <c r="G77" s="32" t="s">
        <v>224</v>
      </c>
    </row>
    <row r="78" spans="2:7">
      <c r="B78" s="84" t="s">
        <v>271</v>
      </c>
      <c r="C78" s="54" t="s">
        <v>216</v>
      </c>
      <c r="D78" s="94" t="s">
        <v>262</v>
      </c>
      <c r="E78" s="94"/>
      <c r="F78" s="77" t="str">
        <f t="shared" si="2"/>
        <v>"[OUTPUT] Only header, dataset notice, objective, support file, code planning, expected output, code, and footer | " &amp;</v>
      </c>
      <c r="G78" s="32" t="s">
        <v>224</v>
      </c>
    </row>
    <row r="79" spans="2:7">
      <c r="B79" s="84" t="s">
        <v>271</v>
      </c>
      <c r="C79" s="54" t="s">
        <v>220</v>
      </c>
      <c r="D79" s="94" t="s">
        <v>263</v>
      </c>
      <c r="E79" s="94"/>
      <c r="F79" s="77" t="str">
        <f t="shared" si="2"/>
        <v>"[FOOTER RULE - STRICT] End your entire response EXACTLY with this markdown string (ensure all code blocks are closed before it):" &amp; CHAR(10) &amp; "---" &amp; CHAR(10) &amp; "⚡ *Coding5s System — Learn Programming by Writing Code*")</v>
      </c>
      <c r="G79" s="32" t="s">
        <v>224</v>
      </c>
    </row>
    <row r="80" spans="2:7">
      <c r="F80" s="86"/>
      <c r="G80" t="s">
        <v>224</v>
      </c>
    </row>
    <row r="82" spans="2:7" ht="36">
      <c r="B82" s="80" t="s">
        <v>269</v>
      </c>
    </row>
    <row r="83" spans="2:7">
      <c r="B83" s="76" t="s">
        <v>221</v>
      </c>
      <c r="C83" s="76" t="s">
        <v>579</v>
      </c>
      <c r="D83" s="76" t="s">
        <v>580</v>
      </c>
      <c r="E83" s="76"/>
      <c r="F83" s="88" t="s">
        <v>234</v>
      </c>
      <c r="G83" s="54" t="s">
        <v>224</v>
      </c>
    </row>
    <row r="84" spans="2:7">
      <c r="B84" s="54" t="s">
        <v>222</v>
      </c>
      <c r="C84" s="54" t="s">
        <v>235</v>
      </c>
      <c r="D84" s="94" t="s">
        <v>249</v>
      </c>
      <c r="E84" s="94"/>
      <c r="F84" s="77" t="str">
        <f t="shared" ref="F84:F104" si="4">IF(D84="","",""""&amp;C84&amp;" "&amp;IF(C84="[FOOTER RULE - STRICT]",D84,IF(RIGHT(D84,6)=" | "&amp;CHAR(34)&amp;" &amp;",D84,D84&amp;" | "&amp;CHAR(34)&amp;" &amp;")))</f>
        <v>"[MENTOR_S1_SAFE_GUIDE] Act as 'The Safe Guide' (El Hermano Mayor) - a World-Class Elite Technical Mentor for Stage 1 Practice specializing in " &amp; $I$2 &amp; " - " &amp; $I$3 &amp;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v>
      </c>
      <c r="G84" s="54" t="s">
        <v>224</v>
      </c>
    </row>
    <row r="85" spans="2:7">
      <c r="B85" s="54" t="s">
        <v>222</v>
      </c>
      <c r="C85" s="54" t="s">
        <v>236</v>
      </c>
      <c r="D85" s="94" t="s">
        <v>245</v>
      </c>
      <c r="E85" s="94"/>
      <c r="F85" s="77" t="str">
        <f t="shared" si="4"/>
        <v>"[CULTURAL &amp; JARGON RULE] If the language (" &amp; $B$6 &amp; ")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v>
      </c>
      <c r="G85" s="54" t="s">
        <v>224</v>
      </c>
    </row>
    <row r="86" spans="2:7">
      <c r="B86" s="54" t="s">
        <v>222</v>
      </c>
      <c r="C86" s="54" t="s">
        <v>237</v>
      </c>
      <c r="D86" s="94" t="s">
        <v>778</v>
      </c>
      <c r="E86" s="94"/>
      <c r="F86" s="77" t="str">
        <f t="shared" si="4"/>
        <v>"[CONTEXT] You are helping a Junior Developer who is " &amp; IF(UPPER(H9)="PROJECT", "building a PROJECT: " &amp; I9 &amp; ". Topics applied in this project: " &amp; A9 &amp; ". Project objective: " &amp; J9, "learning: " &amp; I9 &amp; ". Topic details: " &amp; J9) &amp; " | " &amp;</v>
      </c>
      <c r="G86" s="54" t="s">
        <v>224</v>
      </c>
    </row>
    <row r="87" spans="2:7">
      <c r="B87" s="54" t="s">
        <v>222</v>
      </c>
      <c r="C87" s="54" t="s">
        <v>229</v>
      </c>
      <c r="D87" s="94" t="s">
        <v>267</v>
      </c>
      <c r="E87" s="94"/>
      <c r="F87" s="77"/>
      <c r="G87" s="54"/>
    </row>
    <row r="88" spans="2:7">
      <c r="B88" s="54" t="s">
        <v>222</v>
      </c>
      <c r="C88" s="54" t="s">
        <v>172</v>
      </c>
      <c r="D88" s="94" t="s">
        <v>247</v>
      </c>
      <c r="E88" s="94"/>
      <c r="F88" s="77" t="str">
        <f t="shared" si="4"/>
        <v>"[LANGUAGE CONSISTENCY RULE] ALL output text MUST be written strictly in (" &amp; $B$6 &amp; "). | " &amp;</v>
      </c>
      <c r="G88" s="54" t="s">
        <v>224</v>
      </c>
    </row>
    <row r="89" spans="2:7">
      <c r="B89" s="54" t="s">
        <v>222</v>
      </c>
      <c r="C89" s="54" t="s">
        <v>491</v>
      </c>
      <c r="D89" s="94" t="s">
        <v>483</v>
      </c>
      <c r="E89" s="94"/>
      <c r="F89" s="77" t="str">
        <f t="shared" si="4"/>
        <v>"[LANGUAGE SEED CONTEXT] " &amp; IF($AE$7 = "", "Language Seed Not Necessary", "You MUST strictly follow this seed context to enhance, adapt, and naturalize your tone, vocabulary, and instructional quality in " &amp; $B$6 &amp; ": " &amp; $AE$7) &amp; " | " &amp;</v>
      </c>
      <c r="G89" s="54" t="s">
        <v>224</v>
      </c>
    </row>
    <row r="90" spans="2:7">
      <c r="B90" s="54" t="s">
        <v>222</v>
      </c>
      <c r="C90" s="54" t="s">
        <v>218</v>
      </c>
      <c r="D90" s="94" t="s">
        <v>250</v>
      </c>
      <c r="E90" s="94"/>
      <c r="F90" s="77" t="str">
        <f>IF(D90="","",""""&amp;C90&amp;" "&amp;IF(C90="[FOOTER RULE - STRICT]",D90,IF(RIGHT(D90,6)=" | "&amp;CHAR(34)&amp;" &amp;",D90,D90&amp;" | "&amp;CHAR(34)&amp;" &amp;")))</f>
        <v>"[LANGUAGE] " &amp; $B$6 &amp;" | " &amp;</v>
      </c>
      <c r="G90" s="54" t="s">
        <v>224</v>
      </c>
    </row>
    <row r="91" spans="2:7">
      <c r="B91" s="54" t="s">
        <v>223</v>
      </c>
      <c r="C91" s="54" t="s">
        <v>230</v>
      </c>
      <c r="D91" s="94"/>
      <c r="E91" s="94"/>
      <c r="F91" s="77" t="str">
        <f t="shared" ref="F91:F92" si="5">IF(D91="","",""""&amp;C91&amp;" "&amp;IF(C91="[FOOTER RULE - STRICT]",D91,IF(RIGHT(D91,6)=" | "&amp;CHAR(34)&amp;" &amp;",D91,D91&amp;" | "&amp;CHAR(34)&amp;" &amp;")))</f>
        <v/>
      </c>
      <c r="G91" s="54" t="s">
        <v>224</v>
      </c>
    </row>
    <row r="92" spans="2:7">
      <c r="B92" s="54" t="s">
        <v>223</v>
      </c>
      <c r="C92" s="54" t="s">
        <v>230</v>
      </c>
      <c r="D92" s="94"/>
      <c r="E92" s="94"/>
      <c r="F92" s="77" t="str">
        <f t="shared" si="5"/>
        <v/>
      </c>
      <c r="G92" s="54" t="s">
        <v>224</v>
      </c>
    </row>
    <row r="93" spans="2:7">
      <c r="B93" s="54" t="s">
        <v>223</v>
      </c>
      <c r="C93" s="54" t="s">
        <v>629</v>
      </c>
      <c r="D93" s="94" t="str">
        <f>CHAR(34) &amp; " &amp; IF(G9=" &amp; CHAR(34) &amp; "Beginner" &amp; CHAR(34) &amp; ", " &amp; CHAR(34) &amp; Variables!E24 &amp; CHAR(34) &amp; ", IF(G9=" &amp; CHAR(34) &amp; "Intermediate" &amp; CHAR(34) &amp; ", " &amp; CHAR(34) &amp; Variables!E25 &amp; CHAR(34) &amp; ", " &amp; CHAR(34) &amp; Variables!E26 &amp; CHAR(34) &amp; ")) &amp; " &amp; CHAR(34) &amp; " | " &amp; CHAR(34) &amp; " &amp;"</f>
        <v>" &amp; IF(G9="Beginner", "Evaluate based on basic functions, data structures, and conditional logic. Do NOT expect decorators, generators, or asyncio unless explicitly demanded.", IF(G9="Intermediate",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v>
      </c>
      <c r="E93" s="94" t="str">
        <f>" &amp; IF(G9=" &amp; CHAR(34) &amp; "Beginner" &amp; CHAR(34) &amp; ", " &amp; CHAR(34) &amp; Variables!E24 &amp; CHAR(34) &amp; ", IF(G9=" &amp; CHAR(34) &amp; "Intermediate" &amp; CHAR(34) &amp; ", " &amp; CHAR(34) &amp; Variables!E25 &amp; CHAR(34) &amp; ", " &amp; CHAR(34) &amp; Variables!E26 &amp; CHAR(34) &amp; ")) &amp; " &amp; CHAR(34) &amp; " | " &amp; CHAR(34) &amp; " &amp;"</f>
        <v xml:space="preserve"> &amp; IF(G9="Beginner", "Evaluate based on basic functions, data structures, and conditional logic. Do NOT expect decorators, generators, or asyncio unless explicitly demanded.", IF(G9="Intermediate",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v>
      </c>
      <c r="F93" s="77" t="str">
        <f>IF(D93="","",""""&amp;C93&amp;" "&amp;IF(C93="[FOOTER RULE - STRICT]",D93,IF(RIGHT(D93,6)=" | "&amp;CHAR(34)&amp;" &amp;",D93,D93&amp;" | "&amp;CHAR(34)&amp;" &amp;")))</f>
        <v>"[MENTOR_SCOPE_EXPECTATIONS] " &amp; IF(G9="Beginner", "Evaluate based on basic functions, data structures, and conditional logic. Do NOT expect decorators, generators, or asyncio unless explicitly demanded.", IF(G9="Intermediate",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v>
      </c>
      <c r="G93" s="54" t="s">
        <v>224</v>
      </c>
    </row>
    <row r="94" spans="2:7">
      <c r="B94" s="54" t="s">
        <v>223</v>
      </c>
      <c r="C94" s="54" t="s">
        <v>630</v>
      </c>
      <c r="D94" s="94" t="str">
        <f>"Code MUST be idiomatic Elixir. " &amp; Variables!E27 &amp; " " &amp; Variables!E28 &amp; " " &amp; Variables!E29 &amp; " " &amp; Variables!E30 &amp; " | " &amp; CHAR(34) &amp; " &amp; IF(AJ9&lt;&gt;" &amp; CHAR(34) &amp; CHAR(34) &amp; ", " &amp; CHAR(34) &amp; "[MENTOR CONTEXT ALERT] Be aware of the following infrastructure limitation for this exercise: " &amp; CHAR(34) &amp; " &amp; AJ9 &amp; " &amp; CHAR(34) &amp; " Use this knowledge to reassure the student if they present an environment error. | " &amp; CHAR(34) &amp; ", " &amp; CHAR(34) &amp; CHAR(34) &amp; ") &amp; " &amp; CHAR(34) &amp; " | " &amp; CHAR(34) &amp; " &amp;"</f>
        <v>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&amp; IF(AJ9&lt;&gt;"", "[MENTOR CONTEXT ALERT] Be aware of the following infrastructure limitation for this exercise: " &amp; AJ9 &amp; " Use this knowledge to reassure the student if they present an environment error. | ", "") &amp; " | " &amp;</v>
      </c>
      <c r="E94" s="94" t="str">
        <f>"Code MUST be idiomatic Elixir. " &amp; Variables!E27 &amp; " " &amp; Variables!E28 &amp; " " &amp; Variables!E29 &amp; " " &amp; Variables!E30 &amp; " | " &amp; CHAR(34) &amp; " &amp; IF(AJ9&lt;&gt;" &amp; CHAR(34) &amp; CHAR(34) &amp; ", " &amp; CHAR(34) &amp; "[MENTOR CONTEXT ALERT] Be aware of the following infrastructure limitation for this exercise: " &amp; CHAR(34) &amp; " &amp; AJ9 &amp; " &amp; CHAR(34) &amp; " Use this knowledge to reassure the student if they present an environment error. | " &amp; CHAR(34) &amp; ", " &amp; CHAR(34) &amp; CHAR(34) &amp; ") &amp; " &amp; CHAR(34) &amp; " | " &amp; CHAR(34) &amp; " &amp;"</f>
        <v>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&amp; IF(AJ9&lt;&gt;"", "[MENTOR CONTEXT ALERT] Be aware of the following infrastructure limitation for this exercise: " &amp; AJ9 &amp; " Use this knowledge to reassure the student if they present an environment error. | ", "") &amp; " | " &amp;</v>
      </c>
      <c r="F94" s="77" t="str">
        <f>IF(D94="","",""""&amp;C94&amp;" "&amp;IF(C94="[FOOTER RULE - STRICT]",D94,IF(RIGHT(D94,6)=" | "&amp;CHAR(34)&amp;" &amp;",D94,D94&amp;" | "&amp;CHAR(34)&amp;" &amp;")))</f>
        <v>"[CODE_QUALITY_POLICIES]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&amp; IF(AJ9&lt;&gt;"", "[MENTOR CONTEXT ALERT] Be aware of the following infrastructure limitation for this exercise: " &amp; AJ9 &amp; " Use this knowledge to reassure the student if they present an environment error. | ", "") &amp; " | " &amp;</v>
      </c>
      <c r="G94" s="54" t="s">
        <v>224</v>
      </c>
    </row>
    <row r="95" spans="2:7">
      <c r="B95" s="84" t="s">
        <v>271</v>
      </c>
      <c r="C95" s="54" t="s">
        <v>174</v>
      </c>
      <c r="D95" s="94" t="s">
        <v>248</v>
      </c>
      <c r="E95" s="94"/>
      <c r="F95" s="77" t="str">
        <f t="shared" si="4"/>
        <v>"[DATA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v>
      </c>
      <c r="G95" s="54" t="s">
        <v>224</v>
      </c>
    </row>
    <row r="96" spans="2:7">
      <c r="B96" s="84" t="s">
        <v>271</v>
      </c>
      <c r="C96" s="54" t="s">
        <v>238</v>
      </c>
      <c r="D96" s="94" t="s">
        <v>251</v>
      </c>
      <c r="E96" s="94"/>
      <c r="F96" s="77" t="str">
        <f t="shared" si="4"/>
        <v>"[EMPTY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v>
      </c>
      <c r="G96" s="54" t="s">
        <v>224</v>
      </c>
    </row>
    <row r="97" spans="2:7">
      <c r="B97" s="84" t="s">
        <v>271</v>
      </c>
      <c r="C97" s="54" t="s">
        <v>162</v>
      </c>
      <c r="D97" s="94" t="s">
        <v>246</v>
      </c>
      <c r="E97" s="94"/>
      <c r="F97" s="77" t="str">
        <f>IF(D97="","",""""&amp;C97&amp;" "&amp;IF(C97="[FOOTER RULE - STRICT]",D97,IF(RIGHT(D97,6)=" | "&amp;CHAR(34)&amp;" &amp;",D97,D97&amp;" | "&amp;CHAR(34)&amp;" &amp;")))</f>
        <v>"[TASK] Analyze the student's code and explanation. If the code is perfect, congratulate them warmly and provide 2 'Bonus Challenges'. Otherwise, follow the 2-PHASE MENTORING PROTOCOL | " &amp;</v>
      </c>
      <c r="G97" s="54" t="s">
        <v>224</v>
      </c>
    </row>
    <row r="98" spans="2:7">
      <c r="B98" s="84" t="s">
        <v>271</v>
      </c>
      <c r="C98" s="54" t="s">
        <v>239</v>
      </c>
      <c r="D98" s="94" t="s">
        <v>311</v>
      </c>
      <c r="E98" s="94"/>
      <c r="F98" s="77" t="str">
        <f t="shared" si="4"/>
        <v>"[ATOMIC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v>
      </c>
      <c r="G98" s="54" t="s">
        <v>224</v>
      </c>
    </row>
    <row r="99" spans="2:7">
      <c r="B99" s="84" t="s">
        <v>271</v>
      </c>
      <c r="C99" s="54" t="s">
        <v>240</v>
      </c>
      <c r="D99" s="94" t="s">
        <v>307</v>
      </c>
      <c r="E99" s="94"/>
      <c r="F99" s="77" t="str">
        <f t="shared" si="4"/>
        <v>"[PHASE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v>
      </c>
      <c r="G99" s="54" t="s">
        <v>224</v>
      </c>
    </row>
    <row r="100" spans="2:7">
      <c r="B100" s="84" t="s">
        <v>271</v>
      </c>
      <c r="C100" s="54" t="s">
        <v>241</v>
      </c>
      <c r="D100" s="94" t="s">
        <v>310</v>
      </c>
      <c r="E100" s="94"/>
      <c r="F100" s="77" t="str">
        <f t="shared" si="4"/>
        <v>"[EXPLANATION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v>
      </c>
      <c r="G100" s="54" t="s">
        <v>224</v>
      </c>
    </row>
    <row r="101" spans="2:7">
      <c r="B101" s="84" t="s">
        <v>271</v>
      </c>
      <c r="C101" s="54" t="s">
        <v>242</v>
      </c>
      <c r="D101" s="94" t="s">
        <v>252</v>
      </c>
      <c r="E101" s="94"/>
      <c r="F101" s="77" t="str">
        <f t="shared" si="4"/>
        <v>"[MINIMAL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v>
      </c>
      <c r="G101" s="54" t="s">
        <v>224</v>
      </c>
    </row>
    <row r="102" spans="2:7">
      <c r="B102" s="84" t="s">
        <v>271</v>
      </c>
      <c r="C102" s="54" t="s">
        <v>244</v>
      </c>
      <c r="D102" s="94" t="s">
        <v>308</v>
      </c>
      <c r="E102" s="94"/>
      <c r="F102" s="77" t="str">
        <f t="shared" si="4"/>
        <v>"[PHASE 2: FULL SOLUTION - STRICT] 1. Provide the clean, idiomatic " &amp; $I$2 &amp; " code, and fully functional " &amp; $I$2 &amp; "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 | " &amp;</v>
      </c>
      <c r="G102" s="54" t="s">
        <v>224</v>
      </c>
    </row>
    <row r="103" spans="2:7">
      <c r="B103" s="84" t="s">
        <v>271</v>
      </c>
      <c r="C103" s="54" t="s">
        <v>215</v>
      </c>
      <c r="D103" s="94" t="s">
        <v>583</v>
      </c>
      <c r="E103" s="94"/>
      <c r="F103" s="77" t="str">
        <f t="shared" si="4"/>
        <v>"[HEADER RULE - STRICT] 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v>
      </c>
      <c r="G103" s="54" t="s">
        <v>224</v>
      </c>
    </row>
    <row r="104" spans="2:7">
      <c r="B104" s="84" t="s">
        <v>271</v>
      </c>
      <c r="C104" s="54" t="s">
        <v>220</v>
      </c>
      <c r="D104" s="94" t="s">
        <v>309</v>
      </c>
      <c r="E104" s="94"/>
      <c r="F104" s="77" t="str">
        <f t="shared" si="4"/>
        <v>"[FOOTER RULE - STRICT] End your response with: '--- ⚡ *Coding5s Mentor System — Eliminating Epistemic Debt*' | ","")</v>
      </c>
      <c r="G104" s="54" t="s">
        <v>224</v>
      </c>
    </row>
  </sheetData>
  <conditionalFormatting sqref="B1:B1048576">
    <cfRule type="cellIs" dxfId="56" priority="16" operator="equal">
      <formula>"The Immutable ""Kernel"""</formula>
    </cfRule>
    <cfRule type="cellIs" dxfId="55" priority="17" operator="equal">
      <formula>"Paradigm &amp; Ecosystem"</formula>
    </cfRule>
    <cfRule type="cellIs" dxfId="54" priority="18" operator="equal">
      <formula>"Global Variables &amp; Configuration"</formula>
    </cfRule>
  </conditionalFormatting>
  <conditionalFormatting sqref="C4:C50">
    <cfRule type="expression" dxfId="53" priority="13">
      <formula>$B4="The Immutable Kernel"</formula>
    </cfRule>
    <cfRule type="expression" dxfId="52" priority="14">
      <formula>$B4="Paradigm &amp; Ecosystem"</formula>
    </cfRule>
    <cfRule type="expression" dxfId="51" priority="15">
      <formula>$B4="Global Variables &amp; Configuration"</formula>
    </cfRule>
  </conditionalFormatting>
  <conditionalFormatting sqref="C55:C79">
    <cfRule type="expression" dxfId="50" priority="1">
      <formula>$B55="The Immutable Kernel"</formula>
    </cfRule>
    <cfRule type="expression" dxfId="49" priority="2">
      <formula>$B55="Paradigm &amp; Ecosystem"</formula>
    </cfRule>
    <cfRule type="expression" dxfId="48" priority="3">
      <formula>$B55="Global Variables &amp; Configuration"</formula>
    </cfRule>
  </conditionalFormatting>
  <conditionalFormatting sqref="C84:C104">
    <cfRule type="expression" dxfId="47" priority="7">
      <formula>$B84="The Immutable Kernel"</formula>
    </cfRule>
    <cfRule type="expression" dxfId="46" priority="8">
      <formula>$B84="Paradigm &amp; Ecosystem"</formula>
    </cfRule>
    <cfRule type="expression" dxfId="45" priority="9">
      <formula>$B84="Global Variables &amp; Configuration"</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44C0D-B07E-409E-B83B-9ECCA7DC7C4D}">
  <sheetPr>
    <tabColor theme="8" tint="0.79998168889431442"/>
  </sheetPr>
  <dimension ref="A2:AC100"/>
  <sheetViews>
    <sheetView showGridLines="0" topLeftCell="A76" zoomScaleNormal="100" workbookViewId="0">
      <selection activeCell="E80" sqref="E80:E97"/>
    </sheetView>
  </sheetViews>
  <sheetFormatPr defaultRowHeight="15"/>
  <cols>
    <col min="1" max="1" width="5.42578125" customWidth="1"/>
    <col min="2" max="2" width="37.42578125" customWidth="1"/>
    <col min="3" max="3" width="33" customWidth="1"/>
    <col min="4" max="4" width="85.28515625" customWidth="1"/>
    <col min="5" max="5" width="39.5703125" style="85" customWidth="1"/>
    <col min="6" max="6" width="4" customWidth="1"/>
  </cols>
  <sheetData>
    <row r="2" spans="1:29" ht="36">
      <c r="B2" s="78" t="s">
        <v>446</v>
      </c>
      <c r="D2" s="81" t="s">
        <v>270</v>
      </c>
      <c r="H2" s="82"/>
      <c r="T2" s="82"/>
    </row>
    <row r="3" spans="1:29">
      <c r="B3" s="76" t="s">
        <v>221</v>
      </c>
      <c r="C3" s="76" t="s">
        <v>579</v>
      </c>
      <c r="D3" s="76" t="s">
        <v>580</v>
      </c>
      <c r="E3" s="88" t="s">
        <v>228</v>
      </c>
      <c r="F3" s="4" t="s">
        <v>224</v>
      </c>
      <c r="AC3" t="s">
        <v>224</v>
      </c>
    </row>
    <row r="4" spans="1:29">
      <c r="A4">
        <f>LEN(D4)</f>
        <v>31</v>
      </c>
      <c r="B4" s="75" t="s">
        <v>222</v>
      </c>
      <c r="C4" s="54" t="s">
        <v>160</v>
      </c>
      <c r="D4" s="93" t="s">
        <v>272</v>
      </c>
      <c r="E4" s="77" t="str">
        <f t="shared" ref="E4:E41" si="0">IF(D4="","",""""&amp;C4&amp;" "&amp;IF(C4="[FOOTER RULE - STRICT]",D4,IF(RIGHT(D4,6)=" | "&amp;CHAR(34)&amp;" &amp;",D4,D4&amp;" | "&amp;CHAR(34)&amp;" &amp;")))</f>
        <v>"[ROLE] Careless " &amp; $I$2 &amp; " Developer | " &amp;</v>
      </c>
      <c r="F4" s="54" t="s">
        <v>224</v>
      </c>
    </row>
    <row r="5" spans="1:29">
      <c r="A5">
        <f t="shared" ref="A5:A42" si="1">LEN(D5)</f>
        <v>47</v>
      </c>
      <c r="B5" s="75" t="s">
        <v>222</v>
      </c>
      <c r="C5" s="54" t="s">
        <v>162</v>
      </c>
      <c r="D5" s="93" t="s">
        <v>273</v>
      </c>
      <c r="E5" s="77" t="str">
        <f t="shared" si="0"/>
        <v>"[TASK] Generate debugging challenges in " &amp; $I$2 &amp; " | | " &amp;</v>
      </c>
      <c r="F5" s="54" t="s">
        <v>224</v>
      </c>
    </row>
    <row r="6" spans="1:29">
      <c r="A6">
        <f t="shared" si="1"/>
        <v>12</v>
      </c>
      <c r="B6" s="75" t="s">
        <v>222</v>
      </c>
      <c r="C6" s="54" t="s">
        <v>164</v>
      </c>
      <c r="D6" s="93" t="s">
        <v>274</v>
      </c>
      <c r="E6" s="77" t="str">
        <f t="shared" si="0"/>
        <v>"[TOPIC] " &amp; I9 &amp; " | | " &amp;</v>
      </c>
      <c r="F6" s="54" t="s">
        <v>224</v>
      </c>
    </row>
    <row r="7" spans="1:29">
      <c r="A7">
        <f t="shared" si="1"/>
        <v>12</v>
      </c>
      <c r="B7" s="75" t="s">
        <v>222</v>
      </c>
      <c r="C7" s="54" t="s">
        <v>166</v>
      </c>
      <c r="D7" s="93" t="s">
        <v>275</v>
      </c>
      <c r="E7" s="77" t="str">
        <f t="shared" si="0"/>
        <v>"[LEVEL] " &amp; G9 &amp; " | | " &amp;</v>
      </c>
      <c r="F7" s="54" t="s">
        <v>224</v>
      </c>
    </row>
    <row r="8" spans="1:29">
      <c r="A8">
        <f t="shared" si="1"/>
        <v>21</v>
      </c>
      <c r="B8" s="75" t="s">
        <v>222</v>
      </c>
      <c r="C8" s="54" t="s">
        <v>168</v>
      </c>
      <c r="D8" s="93" t="s">
        <v>276</v>
      </c>
      <c r="E8" s="77" t="str">
        <f t="shared" si="0"/>
        <v>"[COUNT] " &amp; D9 &amp; " challenges | " &amp;</v>
      </c>
      <c r="F8" s="54" t="s">
        <v>224</v>
      </c>
    </row>
    <row r="9" spans="1:29">
      <c r="A9">
        <f t="shared" si="1"/>
        <v>18</v>
      </c>
      <c r="B9" s="75" t="s">
        <v>222</v>
      </c>
      <c r="C9" s="54" t="s">
        <v>229</v>
      </c>
      <c r="D9" s="93" t="s">
        <v>267</v>
      </c>
      <c r="E9" s="77" t="str">
        <f t="shared" si="0"/>
        <v>"[LIBRARY BEING LEARNED] " &amp; $I$3 &amp; " | " &amp;</v>
      </c>
      <c r="F9" s="54" t="s">
        <v>224</v>
      </c>
    </row>
    <row r="10" spans="1:29">
      <c r="A10">
        <f t="shared" si="1"/>
        <v>496</v>
      </c>
      <c r="B10" s="75" t="s">
        <v>222</v>
      </c>
      <c r="C10" s="32" t="s">
        <v>225</v>
      </c>
      <c r="D10" s="93" t="str">
        <f>"If a module or ecosystem like "&amp; Variables!E6 &amp;" is specified in "&amp; Variables!E7 &amp;", you are CRITICALLY FORBIDDEN from using "&amp; Variables!E8 &amp;". You MUST enforce the "&amp; Variables!E9 &amp;" and data structures of that specific library."</f>
        <v>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v>
      </c>
      <c r="E10" s="77" t="str">
        <f t="shared" si="0"/>
        <v>"[ECOSYSTEM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v>
      </c>
      <c r="F10" s="54" t="s">
        <v>224</v>
      </c>
    </row>
    <row r="11" spans="1:29">
      <c r="A11">
        <f t="shared" si="1"/>
        <v>313</v>
      </c>
      <c r="B11" s="75" t="s">
        <v>222</v>
      </c>
      <c r="C11" s="54" t="s">
        <v>215</v>
      </c>
      <c r="D11" s="93" t="s">
        <v>584</v>
      </c>
      <c r="E11" s="77" t="str">
        <f t="shared" si="0"/>
        <v>"[HEADER RULE - STRICT] 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 | " &amp;</v>
      </c>
      <c r="F11" s="54" t="s">
        <v>224</v>
      </c>
    </row>
    <row r="12" spans="1:29">
      <c r="A12">
        <f t="shared" si="1"/>
        <v>406</v>
      </c>
      <c r="B12" s="75" t="s">
        <v>222</v>
      </c>
      <c r="C12" s="54" t="s">
        <v>172</v>
      </c>
      <c r="D12" s="93" t="s">
        <v>173</v>
      </c>
      <c r="E12"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2" s="54" t="s">
        <v>224</v>
      </c>
    </row>
    <row r="13" spans="1:29">
      <c r="A13">
        <f t="shared" si="1"/>
        <v>214</v>
      </c>
      <c r="B13" s="75" t="s">
        <v>222</v>
      </c>
      <c r="C13" s="54" t="s">
        <v>491</v>
      </c>
      <c r="D13" s="93" t="s">
        <v>483</v>
      </c>
      <c r="E13" s="77" t="str">
        <f t="shared" si="0"/>
        <v>"[LANGUAGE SEED CONTEXT] " &amp; IF($AE$7 = "", "Language Seed Not Necessary", "You MUST strictly follow this seed context to enhance, adapt, and naturalize your tone, vocabulary, and instructional quality in " &amp; $B$6 &amp; ": " &amp; $AE$7) &amp; " | " &amp;</v>
      </c>
      <c r="F13" s="54" t="s">
        <v>224</v>
      </c>
    </row>
    <row r="14" spans="1:29">
      <c r="A14">
        <f t="shared" si="1"/>
        <v>0</v>
      </c>
      <c r="B14" s="83" t="s">
        <v>223</v>
      </c>
      <c r="C14" s="54" t="s">
        <v>230</v>
      </c>
      <c r="D14" s="93"/>
      <c r="E14" s="77" t="str">
        <f t="shared" si="0"/>
        <v/>
      </c>
      <c r="F14" s="54" t="s">
        <v>224</v>
      </c>
    </row>
    <row r="15" spans="1:29">
      <c r="A15">
        <f t="shared" si="1"/>
        <v>0</v>
      </c>
      <c r="B15" s="83" t="s">
        <v>223</v>
      </c>
      <c r="C15" s="54" t="s">
        <v>230</v>
      </c>
      <c r="D15" s="93"/>
      <c r="E15" s="77" t="str">
        <f t="shared" si="0"/>
        <v/>
      </c>
      <c r="F15" s="54" t="s">
        <v>224</v>
      </c>
    </row>
    <row r="16" spans="1:29">
      <c r="A16">
        <f t="shared" si="1"/>
        <v>489</v>
      </c>
      <c r="B16" s="83" t="s">
        <v>223</v>
      </c>
      <c r="C16" s="32" t="s">
        <v>188</v>
      </c>
      <c r="D16" s="93" t="str">
        <f>Variables!E31 &amp; " | " &amp; Variables!E32 &amp; " | " &amp; Variables!E33 &amp; " | " &amp; CHAR(34) &amp; " &amp;"</f>
        <v>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 &amp;</v>
      </c>
      <c r="E16" s="77" t="str">
        <f t="shared" si="0"/>
        <v>"[FILE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 &amp;</v>
      </c>
      <c r="F16" s="54" t="s">
        <v>224</v>
      </c>
    </row>
    <row r="17" spans="1:6">
      <c r="A17">
        <f t="shared" si="1"/>
        <v>168</v>
      </c>
      <c r="B17" s="83" t="s">
        <v>223</v>
      </c>
      <c r="C17" s="32" t="s">
        <v>598</v>
      </c>
      <c r="D17" s="93" t="str">
        <f>Variables!E34 &amp; " | " &amp; CHAR(34) &amp; " &amp;"</f>
        <v>Always use pytest or native test functions. You MUST use native assert statements or pytest.raises() for exception testing. Avoid defining TestClasses or methods. | " &amp;</v>
      </c>
      <c r="E17" s="77" t="str">
        <f t="shared" si="0"/>
        <v>"[EXUNIT RULE] Always use pytest or native test functions. You MUST use native assert statements or pytest.raises() for exception testing. Avoid defining TestClasses or methods. | " &amp;</v>
      </c>
      <c r="F17" s="54" t="s">
        <v>224</v>
      </c>
    </row>
    <row r="18" spans="1:6">
      <c r="A18">
        <f t="shared" si="1"/>
        <v>133</v>
      </c>
      <c r="B18" s="54" t="s">
        <v>223</v>
      </c>
      <c r="C18" s="32" t="s">
        <v>597</v>
      </c>
      <c r="D18" s="93" t="str">
        <f>Variables!E35 &amp; " | " &amp; CHAR(34) &amp; " &amp;"</f>
        <v>Assume a standard Python runtime context. External PyPI dependencies MUST be specified strictly within a requirements.txt file. | " &amp;</v>
      </c>
      <c r="E18" s="77" t="str">
        <f t="shared" si="0"/>
        <v>"[HEX DEPENDENCIES RULE] Assume a standard Python runtime context. External PyPI dependencies MUST be specified strictly within a requirements.txt file. | " &amp;</v>
      </c>
      <c r="F18" s="54" t="s">
        <v>224</v>
      </c>
    </row>
    <row r="19" spans="1:6">
      <c r="A19">
        <f t="shared" si="1"/>
        <v>481</v>
      </c>
      <c r="B19" s="54" t="s">
        <v>223</v>
      </c>
      <c r="C19" s="32" t="s">
        <v>178</v>
      </c>
      <c r="D19" s="93" t="str">
        <f>Variables!E36 &amp; " - " &amp; CHAR(34) &amp; " &amp; IF(G9=" &amp; CHAR(34) &amp; "Beginner" &amp; CHAR(34) &amp; ", " &amp; CHAR(34) &amp; "5–15" &amp; CHAR(34) &amp; ", IF(G9=" &amp; CHAR(34) &amp; "Intermediate" &amp; CHAR(34) &amp; ", " &amp; CHAR(34) &amp; "10–25" &amp; CHAR(34) &amp; ", " &amp; CHAR(34) &amp; "15–35" &amp; CHAR(34) &amp; ")) &amp; " &amp; CHAR(34) &amp; " " &amp; Variables!E37 &amp; " | " &amp; Variables!E38 &amp; " | " &amp; CHAR(34) &amp; " &amp;"</f>
        <v>Each challenge MUST include: - At least 1 functional iterator/generator or comprehension - Explicit type annotations - At least 1 error handling try/except block - " &amp; IF(G9="Beginner", "5–15", IF(G9="Intermediate", "10–25", "15–35")) &amp; " lines of EXECUTABLE broken Python code per example (STRICT: Do NOT count blank lines). Enforce PEP 8, type hints, and NO OOP class structures. | All challenges MUST have similar functional abstraction depth and architectural complexity. | " &amp;</v>
      </c>
      <c r="E19" s="77" t="str">
        <f t="shared" si="0"/>
        <v>"[CODE CONSTRAINTS] Each challenge MUST include: - At least 1 functional iterator/generator or comprehension - Explicit type annotations - At least 1 error handling try/except block - " &amp; IF(G9="Beginner", "5–15", IF(G9="Intermediate", "10–25", "15–35")) &amp; " lines of EXECUTABLE broken Python code per example (STRICT: Do NOT count blank lines). Enforce PEP 8, type hints, and NO OOP class structures. | All challenges MUST have similar functional abstraction depth and architectural complexity. | " &amp;</v>
      </c>
      <c r="F19" s="54" t="s">
        <v>224</v>
      </c>
    </row>
    <row r="20" spans="1:6">
      <c r="A20">
        <f t="shared" si="1"/>
        <v>888</v>
      </c>
      <c r="B20" s="54" t="s">
        <v>271</v>
      </c>
      <c r="C20" s="54" t="s">
        <v>187</v>
      </c>
      <c r="D20" s="93" t="s">
        <v>718</v>
      </c>
      <c r="E20" s="77" t="str">
        <f t="shared" si="0"/>
        <v>"[INTRO RULE] The intro MUST be a dynamically generated, urgent, unprofessional email in " &amp; $B$6 &amp; " with this EXACT format: '📥 From: [Random Dev Name]' / '📤 To: [Insert my user name if known from context, otherwise use " &amp; $I$2 &amp; "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v>
      </c>
      <c r="F20" s="54" t="s">
        <v>224</v>
      </c>
    </row>
    <row r="21" spans="1:6">
      <c r="A21">
        <f t="shared" si="1"/>
        <v>40</v>
      </c>
      <c r="B21" s="54" t="s">
        <v>271</v>
      </c>
      <c r="C21" s="54" t="s">
        <v>278</v>
      </c>
      <c r="D21" s="93" t="s">
        <v>279</v>
      </c>
      <c r="E21" s="77" t="str">
        <f t="shared" si="0"/>
        <v>"[COMMENT RULE] Do NOT include comments that reveal bugs | " &amp;</v>
      </c>
      <c r="F21" s="54" t="s">
        <v>224</v>
      </c>
    </row>
    <row r="22" spans="1:6">
      <c r="A22">
        <f t="shared" si="1"/>
        <v>39</v>
      </c>
      <c r="B22" s="54" t="s">
        <v>271</v>
      </c>
      <c r="C22" s="54" t="s">
        <v>207</v>
      </c>
      <c r="D22" s="93" t="s">
        <v>280</v>
      </c>
      <c r="E22" s="77" t="str">
        <f t="shared" si="0"/>
        <v>"[FORMAT RULE] Only valid markdown code blocks allowed | " &amp;</v>
      </c>
      <c r="F22" s="54" t="s">
        <v>224</v>
      </c>
    </row>
    <row r="23" spans="1:6">
      <c r="A23">
        <f t="shared" si="1"/>
        <v>114</v>
      </c>
      <c r="B23" s="54" t="s">
        <v>271</v>
      </c>
      <c r="C23" s="54" t="s">
        <v>209</v>
      </c>
      <c r="D23" s="93" t="s">
        <v>281</v>
      </c>
      <c r="E23" s="77" t="str">
        <f t="shared" si="0"/>
        <v>"[LANGUAGE TAG RULE] ALWAYS label markdown code blocks with the correct underlying programming language (e.g., python, javascript, sql) | " &amp;</v>
      </c>
      <c r="F23" s="54" t="s">
        <v>224</v>
      </c>
    </row>
    <row r="24" spans="1:6">
      <c r="A24">
        <f t="shared" si="1"/>
        <v>51</v>
      </c>
      <c r="B24" s="54" t="s">
        <v>271</v>
      </c>
      <c r="C24" s="54" t="s">
        <v>282</v>
      </c>
      <c r="D24" s="93" t="s">
        <v>283</v>
      </c>
      <c r="E24" s="77" t="str">
        <f t="shared" si="0"/>
        <v>"[STRICT MODE] If ANY rule is violated, regenerate entire response | " &amp;</v>
      </c>
      <c r="F24" s="54" t="s">
        <v>224</v>
      </c>
    </row>
    <row r="25" spans="1:6">
      <c r="A25">
        <f t="shared" si="1"/>
        <v>57</v>
      </c>
      <c r="B25" s="54" t="s">
        <v>271</v>
      </c>
      <c r="C25" s="54" t="s">
        <v>170</v>
      </c>
      <c r="D25" s="93" t="s">
        <v>284</v>
      </c>
      <c r="E25" s="77" t="str">
        <f t="shared" si="0"/>
        <v>"[PERSONA RULE] Use a careless, messy, slightly frustrated developer tone | " &amp;</v>
      </c>
      <c r="F25" s="54" t="s">
        <v>224</v>
      </c>
    </row>
    <row r="26" spans="1:6">
      <c r="A26">
        <f t="shared" si="1"/>
        <v>330</v>
      </c>
      <c r="B26" s="54" t="s">
        <v>271</v>
      </c>
      <c r="C26" s="54" t="s">
        <v>177</v>
      </c>
      <c r="D26" s="93" t="s">
        <v>285</v>
      </c>
      <c r="E26" s="77" t="str">
        <f t="shared" si="0"/>
        <v>"[OUTPUT CONTRACT] EXACTLY " &amp; D9 &amp; "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v>
      </c>
      <c r="F26" s="54" t="s">
        <v>224</v>
      </c>
    </row>
    <row r="27" spans="1:6">
      <c r="A27">
        <f t="shared" si="1"/>
        <v>74</v>
      </c>
      <c r="B27" s="54" t="s">
        <v>271</v>
      </c>
      <c r="C27" s="54" t="s">
        <v>216</v>
      </c>
      <c r="D27" s="93" t="s">
        <v>286</v>
      </c>
      <c r="E27" s="77" t="str">
        <f t="shared" si="0"/>
        <v>"[OUTPUT] Only header, dataset summary (if any), email intro, challenges, and footer | " &amp;</v>
      </c>
      <c r="F27" s="54" t="s">
        <v>224</v>
      </c>
    </row>
    <row r="28" spans="1:6">
      <c r="A28">
        <f t="shared" si="1"/>
        <v>109</v>
      </c>
      <c r="B28" s="54" t="s">
        <v>271</v>
      </c>
      <c r="C28" s="54" t="s">
        <v>287</v>
      </c>
      <c r="D28" s="93" t="s">
        <v>288</v>
      </c>
      <c r="E28" s="77" t="str">
        <f t="shared" si="0"/>
        <v>"[STRUCTURE RULE] Do NOT rename sections. Do NOT add titles. Do NOT add extra text (except when required by SUPPORT FILES RULE) | " &amp;</v>
      </c>
      <c r="F28" s="54" t="s">
        <v>224</v>
      </c>
    </row>
    <row r="29" spans="1:6">
      <c r="A29">
        <f t="shared" si="1"/>
        <v>54</v>
      </c>
      <c r="B29" s="54" t="s">
        <v>271</v>
      </c>
      <c r="C29" s="54" t="s">
        <v>212</v>
      </c>
      <c r="D29" s="93" t="s">
        <v>289</v>
      </c>
      <c r="E29" s="77" t="str">
        <f t="shared" si="0"/>
        <v>"[CONSISTENCY RULE] All challenges MUST have similar complexity and length | " &amp;</v>
      </c>
      <c r="F29" s="54" t="s">
        <v>224</v>
      </c>
    </row>
    <row r="30" spans="1:6">
      <c r="A30">
        <f t="shared" si="1"/>
        <v>61</v>
      </c>
      <c r="B30" s="54" t="s">
        <v>271</v>
      </c>
      <c r="C30" s="54" t="s">
        <v>290</v>
      </c>
      <c r="D30" s="93" t="s">
        <v>291</v>
      </c>
      <c r="E30" s="77" t="str">
        <f t="shared" si="0"/>
        <v>"[BUG COMPLEXITY RULE] Must align with score (3 basic, 4 intermediate, 5 multi-step) | " &amp;</v>
      </c>
      <c r="F30" s="54" t="s">
        <v>224</v>
      </c>
    </row>
    <row r="31" spans="1:6">
      <c r="A31">
        <f t="shared" si="1"/>
        <v>37</v>
      </c>
      <c r="B31" s="54" t="s">
        <v>271</v>
      </c>
      <c r="C31" s="54" t="s">
        <v>292</v>
      </c>
      <c r="D31" s="93" t="s">
        <v>293</v>
      </c>
      <c r="E31" s="77" t="str">
        <f t="shared" si="0"/>
        <v>"[BUG RULE] Each challenge MUST include 2–3 bugs. | " &amp;</v>
      </c>
      <c r="F31" s="54" t="s">
        <v>224</v>
      </c>
    </row>
    <row r="32" spans="1:6">
      <c r="A32">
        <f t="shared" si="1"/>
        <v>487</v>
      </c>
      <c r="B32" s="54" t="s">
        <v>271</v>
      </c>
      <c r="C32" s="54" t="s">
        <v>294</v>
      </c>
      <c r="D32" s="93" t="s">
        <v>719</v>
      </c>
      <c r="E32" s="77" t="str">
        <f t="shared" si="0"/>
        <v>"[CORRECTNESS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v>
      </c>
      <c r="F32" s="54" t="s">
        <v>224</v>
      </c>
    </row>
    <row r="33" spans="1:6">
      <c r="A33">
        <f t="shared" si="1"/>
        <v>84</v>
      </c>
      <c r="B33" s="54" t="s">
        <v>271</v>
      </c>
      <c r="C33" s="54" t="s">
        <v>259</v>
      </c>
      <c r="D33" s="93" t="s">
        <v>295</v>
      </c>
      <c r="E33" s="77" t="str">
        <f t="shared" si="0"/>
        <v>"[EXECUTION RULE] Code must fail due to syntax errors, runtime exceptions, or produce incorrect output | " &amp;</v>
      </c>
      <c r="F33" s="54" t="s">
        <v>224</v>
      </c>
    </row>
    <row r="34" spans="1:6">
      <c r="A34">
        <f t="shared" si="1"/>
        <v>510</v>
      </c>
      <c r="B34" s="54" t="s">
        <v>271</v>
      </c>
      <c r="C34" s="54" t="s">
        <v>174</v>
      </c>
      <c r="D34" s="93" t="s">
        <v>720</v>
      </c>
      <c r="E34" s="77" t="str">
        <f t="shared" si="0"/>
        <v>"[DATA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v>
      </c>
      <c r="F34" s="54" t="s">
        <v>224</v>
      </c>
    </row>
    <row r="35" spans="1:6">
      <c r="A35">
        <f t="shared" si="1"/>
        <v>358</v>
      </c>
      <c r="B35" s="54" t="s">
        <v>271</v>
      </c>
      <c r="C35" s="54" t="s">
        <v>296</v>
      </c>
      <c r="D35" s="93" t="s">
        <v>297</v>
      </c>
      <c r="E35" s="77" t="str">
        <f t="shared" si="0"/>
        <v>"[CRITICAL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v>
      </c>
      <c r="F35" s="54" t="s">
        <v>224</v>
      </c>
    </row>
    <row r="36" spans="1:6">
      <c r="A36">
        <f t="shared" si="1"/>
        <v>72</v>
      </c>
      <c r="B36" s="54" t="s">
        <v>271</v>
      </c>
      <c r="C36" s="54" t="s">
        <v>175</v>
      </c>
      <c r="D36" s="93" t="s">
        <v>298</v>
      </c>
      <c r="E36" s="77" t="str">
        <f t="shared" si="0"/>
        <v>"[DATA SUMMARY FORMAT RULE] Dataset Summary: - File Type: - Columns / Fields: - Data Types: - Notes: | " &amp;</v>
      </c>
      <c r="F36" s="54" t="s">
        <v>224</v>
      </c>
    </row>
    <row r="37" spans="1:6">
      <c r="A37">
        <f t="shared" si="1"/>
        <v>129</v>
      </c>
      <c r="B37" s="54" t="s">
        <v>271</v>
      </c>
      <c r="C37" s="54" t="s">
        <v>299</v>
      </c>
      <c r="D37" s="93" t="s">
        <v>300</v>
      </c>
      <c r="E37" s="77" t="str">
        <f t="shared" si="0"/>
        <v>"[SUPPORT FILES RULE - STRICT] If env/config is used, MUST include: 1. Instructional sentence 2. File content in markdown code block 3. BEFORE the broken code | | " &amp;</v>
      </c>
      <c r="F37" s="54" t="s">
        <v>224</v>
      </c>
    </row>
    <row r="38" spans="1:6">
      <c r="A38">
        <f t="shared" si="1"/>
        <v>88</v>
      </c>
      <c r="B38" s="54" t="s">
        <v>271</v>
      </c>
      <c r="C38" s="54" t="s">
        <v>301</v>
      </c>
      <c r="D38" s="93" t="s">
        <v>302</v>
      </c>
      <c r="E38" s="77" t="str">
        <f t="shared" si="0"/>
        <v>"[SUPPORT FILES QUALITY RULE] Support files (.env, .env.example, .gitignore) MUST be fully correct and contain NO bugs | " &amp;</v>
      </c>
      <c r="F38" s="54" t="s">
        <v>224</v>
      </c>
    </row>
    <row r="39" spans="1:6">
      <c r="A39">
        <f t="shared" si="1"/>
        <v>208</v>
      </c>
      <c r="B39" s="54" t="s">
        <v>271</v>
      </c>
      <c r="C39" s="54" t="s">
        <v>303</v>
      </c>
      <c r="D39" s="93" t="s">
        <v>304</v>
      </c>
      <c r="E39" s="77" t="str">
        <f t="shared" si="0"/>
        <v>"[NO SOLUTION RULE - STRICT] You are generating an EXAM. You MUST NOT provide the fixed code, bug diagnosis, hints, explanations, or takeaways. Output ONLY the broken code. Do NOT solve your own challenges. Let the student find the bugs. | " &amp;</v>
      </c>
      <c r="F39" s="54" t="s">
        <v>224</v>
      </c>
    </row>
    <row r="40" spans="1:6">
      <c r="A40">
        <f t="shared" si="1"/>
        <v>210</v>
      </c>
      <c r="B40" s="54" t="s">
        <v>271</v>
      </c>
      <c r="C40" s="54" t="s">
        <v>220</v>
      </c>
      <c r="D40" s="93" t="s">
        <v>306</v>
      </c>
      <c r="E40" s="77" t="str">
        <f t="shared" si="0"/>
        <v>"[FOOTER RULE - STRICT] End your entire response EXACTLY with this markdown string (ensure all code blocks are closed before it):" &amp; CHAR(10) &amp; "---" &amp; CHAR(10) &amp; "⚡ Coding5s System - Learn Programming by Writing Code - Coding5S.com",</v>
      </c>
      <c r="F40" s="54" t="s">
        <v>224</v>
      </c>
    </row>
    <row r="41" spans="1:6">
      <c r="A41">
        <f t="shared" si="1"/>
        <v>0</v>
      </c>
      <c r="B41" s="54" t="s">
        <v>271</v>
      </c>
      <c r="C41" s="54"/>
      <c r="D41" s="93"/>
      <c r="E41" s="77" t="str">
        <f t="shared" si="0"/>
        <v/>
      </c>
      <c r="F41" s="54" t="s">
        <v>224</v>
      </c>
    </row>
    <row r="42" spans="1:6">
      <c r="A42">
        <f t="shared" si="1"/>
        <v>0</v>
      </c>
      <c r="B42" s="54" t="s">
        <v>271</v>
      </c>
      <c r="C42" s="54"/>
      <c r="D42" s="93"/>
      <c r="E42" s="88" t="s">
        <v>305</v>
      </c>
      <c r="F42" s="54"/>
    </row>
    <row r="43" spans="1:6">
      <c r="B43" s="74"/>
      <c r="C43" s="74"/>
      <c r="E43" s="86"/>
    </row>
    <row r="44" spans="1:6">
      <c r="B44" s="74"/>
      <c r="C44" s="74"/>
      <c r="E44" s="86"/>
    </row>
    <row r="45" spans="1:6" ht="36">
      <c r="B45" s="79" t="s">
        <v>445</v>
      </c>
      <c r="C45" s="74"/>
      <c r="E45" s="86"/>
    </row>
    <row r="46" spans="1:6">
      <c r="B46" s="76" t="s">
        <v>264</v>
      </c>
      <c r="C46" s="76" t="s">
        <v>579</v>
      </c>
      <c r="D46" s="76" t="s">
        <v>580</v>
      </c>
      <c r="E46" s="88" t="s">
        <v>265</v>
      </c>
      <c r="F46" s="32" t="s">
        <v>224</v>
      </c>
    </row>
    <row r="47" spans="1:6">
      <c r="B47" s="54" t="s">
        <v>222</v>
      </c>
      <c r="C47" s="54" t="s">
        <v>160</v>
      </c>
      <c r="D47" s="93" t="s">
        <v>272</v>
      </c>
      <c r="E47" s="77" t="str">
        <f>IF(D47="","",""""&amp;C47&amp;" "&amp;IF(C47="[FOOTER RULE - STRICT]",D47,IF(RIGHT(D47,6)=" | "&amp;CHAR(34)&amp;" &amp;",D47,D47&amp;" | "&amp;CHAR(34)&amp;" &amp;")))</f>
        <v>"[ROLE] Careless " &amp; $I$2 &amp; " Developer | " &amp;</v>
      </c>
      <c r="F47" s="32" t="s">
        <v>224</v>
      </c>
    </row>
    <row r="48" spans="1:6">
      <c r="B48" s="54" t="s">
        <v>222</v>
      </c>
      <c r="C48" s="54" t="s">
        <v>162</v>
      </c>
      <c r="D48" s="93" t="s">
        <v>312</v>
      </c>
      <c r="E48" s="77" t="str">
        <f t="shared" ref="E48:E76" si="2">IF(D48="","",""""&amp;C48&amp;" "&amp;IF(C48="[FOOTER RULE - STRICT]",D48,IF(RIGHT(D48,6)=" | "&amp;CHAR(34)&amp;" &amp;",D48,D48&amp;" | "&amp;CHAR(34)&amp;" &amp;")))</f>
        <v>"[TASK] Generate debugging project in " &amp; $I$2 &amp; " | " &amp;</v>
      </c>
      <c r="F48" s="32" t="s">
        <v>224</v>
      </c>
    </row>
    <row r="49" spans="2:6">
      <c r="B49" s="54" t="s">
        <v>222</v>
      </c>
      <c r="C49" s="54" t="s">
        <v>313</v>
      </c>
      <c r="D49" s="93" t="s">
        <v>165</v>
      </c>
      <c r="E49" s="77" t="str">
        <f t="shared" si="2"/>
        <v>"[PROJECT] " &amp; I9 &amp; " | " &amp;</v>
      </c>
      <c r="F49" s="32" t="s">
        <v>224</v>
      </c>
    </row>
    <row r="50" spans="2:6">
      <c r="B50" s="54" t="s">
        <v>222</v>
      </c>
      <c r="C50" s="54" t="s">
        <v>253</v>
      </c>
      <c r="D50" s="93" t="s">
        <v>777</v>
      </c>
      <c r="E50" s="77" t="str">
        <f t="shared" si="2"/>
        <v>"[TOPICS USED] " &amp; A9 &amp; " | " &amp;</v>
      </c>
      <c r="F50" s="32" t="s">
        <v>224</v>
      </c>
    </row>
    <row r="51" spans="2:6">
      <c r="B51" s="54" t="s">
        <v>222</v>
      </c>
      <c r="C51" s="54" t="s">
        <v>166</v>
      </c>
      <c r="D51" s="93" t="s">
        <v>167</v>
      </c>
      <c r="E51" s="77" t="str">
        <f t="shared" si="2"/>
        <v>"[LEVEL] " &amp; G9 &amp; " | " &amp;</v>
      </c>
      <c r="F51" s="32" t="s">
        <v>224</v>
      </c>
    </row>
    <row r="52" spans="2:6">
      <c r="B52" s="54" t="s">
        <v>222</v>
      </c>
      <c r="C52" s="54" t="s">
        <v>216</v>
      </c>
      <c r="D52" s="93" t="s">
        <v>314</v>
      </c>
      <c r="E52" s="77" t="str">
        <f t="shared" si="2"/>
        <v>"[OUTPUT] Only header, dataset summary or statement (if any), email intro, objective, expected output, broken code, and footer | " &amp;</v>
      </c>
      <c r="F52" s="32" t="s">
        <v>224</v>
      </c>
    </row>
    <row r="53" spans="2:6">
      <c r="B53" s="54" t="s">
        <v>222</v>
      </c>
      <c r="C53" s="54" t="s">
        <v>215</v>
      </c>
      <c r="D53" s="93" t="s">
        <v>585</v>
      </c>
      <c r="E53" s="77" t="str">
        <f t="shared" si="2"/>
        <v>"[HEADER RULE - STRICT] 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v>
      </c>
      <c r="F53" s="32" t="s">
        <v>224</v>
      </c>
    </row>
    <row r="54" spans="2:6">
      <c r="B54" s="54" t="s">
        <v>222</v>
      </c>
      <c r="C54" s="54" t="s">
        <v>229</v>
      </c>
      <c r="D54" s="93" t="s">
        <v>267</v>
      </c>
      <c r="E54" s="77" t="str">
        <f t="shared" si="2"/>
        <v>"[LIBRARY BEING LEARNED] " &amp; $I$3 &amp; " | " &amp;</v>
      </c>
      <c r="F54" s="32" t="s">
        <v>224</v>
      </c>
    </row>
    <row r="55" spans="2:6">
      <c r="B55" s="54" t="s">
        <v>222</v>
      </c>
      <c r="C55" s="54" t="s">
        <v>225</v>
      </c>
      <c r="D55" s="93" t="str">
        <f>"If a module or ecosystem like "&amp; Variables!E6 &amp;" is specified in "&amp; Variables!E7 &amp;", you are CRITICALLY FORBIDDEN from using "&amp; Variables!E8 &amp;". You MUST enforce the "&amp; Variables!E9 &amp;" and data structures of that specific library."</f>
        <v>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v>
      </c>
      <c r="E55" s="77" t="str">
        <f t="shared" si="2"/>
        <v>"[ECOSYSTEM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v>
      </c>
      <c r="F55" s="32" t="s">
        <v>224</v>
      </c>
    </row>
    <row r="56" spans="2:6">
      <c r="B56" s="54" t="s">
        <v>222</v>
      </c>
      <c r="C56" s="54" t="s">
        <v>172</v>
      </c>
      <c r="D56" s="93" t="s">
        <v>315</v>
      </c>
      <c r="E56" s="77" t="str">
        <f t="shared" si="2"/>
        <v>"[LANGUAGE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v>
      </c>
      <c r="F56" s="32" t="s">
        <v>224</v>
      </c>
    </row>
    <row r="57" spans="2:6">
      <c r="B57" s="54" t="s">
        <v>222</v>
      </c>
      <c r="C57" s="54" t="s">
        <v>491</v>
      </c>
      <c r="D57" s="93" t="s">
        <v>483</v>
      </c>
      <c r="E57" s="77" t="str">
        <f t="shared" si="2"/>
        <v>"[LANGUAGE SEED CONTEXT] " &amp; IF($AE$7 = "", "Language Seed Not Necessary", "You MUST strictly follow this seed context to enhance, adapt, and naturalize your tone, vocabulary, and instructional quality in " &amp; $B$6 &amp; ": " &amp; $AE$7) &amp; " | " &amp;</v>
      </c>
      <c r="F57" s="32" t="s">
        <v>224</v>
      </c>
    </row>
    <row r="58" spans="2:6">
      <c r="B58" s="54" t="s">
        <v>223</v>
      </c>
      <c r="C58" s="54" t="s">
        <v>230</v>
      </c>
      <c r="D58" s="93"/>
      <c r="E58" s="77" t="str">
        <f t="shared" si="2"/>
        <v/>
      </c>
      <c r="F58" s="32" t="s">
        <v>224</v>
      </c>
    </row>
    <row r="59" spans="2:6">
      <c r="B59" s="54" t="s">
        <v>223</v>
      </c>
      <c r="C59" s="54" t="s">
        <v>292</v>
      </c>
      <c r="D59" s="93" t="str">
        <f>Variables!E39 &amp; " " &amp; Variables!E40 &amp; " " &amp; Variables!E41 &amp; " " &amp; Variables!E42 &amp; " | " &amp; CHAR(34) &amp; " &amp;"</f>
        <v>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 &amp;</v>
      </c>
      <c r="E59" s="77" t="str">
        <f t="shared" si="2"/>
        <v>"[BUG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 &amp;</v>
      </c>
      <c r="F59" s="32" t="s">
        <v>224</v>
      </c>
    </row>
    <row r="60" spans="2:6">
      <c r="B60" s="54" t="s">
        <v>271</v>
      </c>
      <c r="C60" s="54" t="s">
        <v>277</v>
      </c>
      <c r="D60" s="93" t="s">
        <v>316</v>
      </c>
      <c r="E60" s="77" t="str">
        <f t="shared" si="2"/>
        <v>"[ENV USAGE RULE] Bugs ONLY in code logic, not config files | " &amp;</v>
      </c>
      <c r="F60" s="32" t="s">
        <v>224</v>
      </c>
    </row>
    <row r="61" spans="2:6">
      <c r="B61" s="54" t="s">
        <v>271</v>
      </c>
      <c r="C61" s="54" t="s">
        <v>194</v>
      </c>
      <c r="D61" s="93" t="s">
        <v>317</v>
      </c>
      <c r="E61" s="77" t="str">
        <f t="shared" si="2"/>
        <v>"[SUPPORT FILES RULE] IF an external configuration or data file is needed, include: 1. Short instructional sentence 2. File content in markdown code block 3. Place it strictly BEFORE the main code. | " &amp;</v>
      </c>
      <c r="F61" s="32" t="s">
        <v>224</v>
      </c>
    </row>
    <row r="62" spans="2:6">
      <c r="B62" s="54" t="s">
        <v>271</v>
      </c>
      <c r="C62" s="54" t="s">
        <v>303</v>
      </c>
      <c r="D62" s="93" t="s">
        <v>601</v>
      </c>
      <c r="E62" s="77" t="str">
        <f t="shared" si="2"/>
        <v>"[NO SOLUTION RULE - STRICT] You are generating an EXAM. Do NOT provide the fixed code, diagnosis, hints, or explanations. Output ONLY the broken code. Do NOT include comments that reveal the bugs. Let the student find them. | " &amp;</v>
      </c>
      <c r="F62" s="32" t="s">
        <v>224</v>
      </c>
    </row>
    <row r="63" spans="2:6">
      <c r="B63" s="54" t="s">
        <v>271</v>
      </c>
      <c r="C63" s="54" t="s">
        <v>170</v>
      </c>
      <c r="D63" s="93" t="s">
        <v>318</v>
      </c>
      <c r="E63" s="77" t="str">
        <f t="shared" si="2"/>
        <v>"[PERSONA RULE] Use a messy, careless developer tone | " &amp;</v>
      </c>
      <c r="F63" s="32" t="s">
        <v>224</v>
      </c>
    </row>
    <row r="64" spans="2:6">
      <c r="B64" s="54" t="s">
        <v>271</v>
      </c>
      <c r="C64" s="54" t="s">
        <v>187</v>
      </c>
      <c r="D64" s="93" t="s">
        <v>319</v>
      </c>
      <c r="E64" s="77" t="str">
        <f t="shared" si="2"/>
        <v>"[INTRO RULE] The intro MUST be a dynamically generated, urgent, unprofessional email in " &amp; $B$6 &amp; " with this EXACT format translated to " &amp; $B$6 &amp; ": 'From: [Random Dev Name]' / 'To: [Insert my user name if you know it from context, otherwise use " &amp; $I$2 &amp; "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v>
      </c>
      <c r="F64" s="32" t="s">
        <v>224</v>
      </c>
    </row>
    <row r="65" spans="2:6">
      <c r="B65" s="54" t="s">
        <v>271</v>
      </c>
      <c r="C65" s="54" t="s">
        <v>177</v>
      </c>
      <c r="D65" s="93" t="s">
        <v>320</v>
      </c>
      <c r="E65" s="77" t="str">
        <f t="shared" si="2"/>
        <v>"[OUTPUT CONTRACT] EXACTLY 1 project. Structure MUST be: 'Project:' followed by 'Objective: maximum 6 lines.', then 'Expected Output: standalone markdown code block.', and finally 'Broken Code' | " &amp;</v>
      </c>
      <c r="F65" s="32" t="s">
        <v>224</v>
      </c>
    </row>
    <row r="66" spans="2:6">
      <c r="B66" s="54" t="s">
        <v>271</v>
      </c>
      <c r="C66" s="54" t="s">
        <v>287</v>
      </c>
      <c r="D66" s="93" t="s">
        <v>321</v>
      </c>
      <c r="E66" s="77" t="str">
        <f t="shared" si="2"/>
        <v>"[STRUCTURE RULE] Do NOT add extra sections or explanations (except when required by SUPPORT FILES RULE) | " &amp;</v>
      </c>
      <c r="F66" s="32" t="s">
        <v>224</v>
      </c>
    </row>
    <row r="67" spans="2:6">
      <c r="B67" s="54" t="s">
        <v>271</v>
      </c>
      <c r="C67" s="54" t="s">
        <v>178</v>
      </c>
      <c r="D67" s="93" t="s">
        <v>322</v>
      </c>
      <c r="E67" s="77" t="str">
        <f t="shared" si="2"/>
        <v>"[CODE CONSTRAINTS] - " &amp; IF(G9="Beginner", "25–40", IF(G9="Intermediate", "30–60", "40–100")) &amp; " lines of EXECUTABLE code (STRICT: Do NOT count blank lines towards this limit) - Multi-step flow - 2–4 functions ONLY - main() as entry point " &amp; IF(G9&lt;&gt;"Advanced", "- NO classes | ", "") &amp; " | " &amp;</v>
      </c>
      <c r="F67" s="32" t="s">
        <v>224</v>
      </c>
    </row>
    <row r="68" spans="2:6">
      <c r="B68" s="54" t="s">
        <v>271</v>
      </c>
      <c r="C68" s="54" t="s">
        <v>259</v>
      </c>
      <c r="D68" s="93" t="s">
        <v>295</v>
      </c>
      <c r="E68" s="77" t="str">
        <f t="shared" si="2"/>
        <v>"[EXECUTION RULE] Code must fail due to syntax errors, runtime exceptions, or produce incorrect output | " &amp;</v>
      </c>
      <c r="F68" s="32" t="s">
        <v>224</v>
      </c>
    </row>
    <row r="69" spans="2:6">
      <c r="B69" s="54" t="s">
        <v>271</v>
      </c>
      <c r="C69" s="54" t="s">
        <v>174</v>
      </c>
      <c r="D69" s="93" t="s">
        <v>323</v>
      </c>
      <c r="E69" s="77" t="str">
        <f t="shared" si="2"/>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v>
      </c>
      <c r="F69" s="32" t="s">
        <v>224</v>
      </c>
    </row>
    <row r="70" spans="2:6">
      <c r="B70" s="54" t="s">
        <v>271</v>
      </c>
      <c r="C70" s="54" t="s">
        <v>207</v>
      </c>
      <c r="D70" s="93" t="s">
        <v>324</v>
      </c>
      <c r="E70" s="77" t="str">
        <f t="shared" si="2"/>
        <v>"[FORMAT RULE] Only valid markdown code blocks | " &amp;</v>
      </c>
      <c r="F70" s="32" t="s">
        <v>224</v>
      </c>
    </row>
    <row r="71" spans="2:6">
      <c r="B71" s="54" t="s">
        <v>271</v>
      </c>
      <c r="C71" s="54" t="s">
        <v>209</v>
      </c>
      <c r="D71" s="93" t="s">
        <v>281</v>
      </c>
      <c r="E71" s="77" t="str">
        <f t="shared" si="2"/>
        <v>"[LANGUAGE TAG RULE] ALWAYS label markdown code blocks with the correct underlying programming language (e.g., python, javascript, sql) | " &amp;</v>
      </c>
      <c r="F71" s="32" t="s">
        <v>224</v>
      </c>
    </row>
    <row r="72" spans="2:6">
      <c r="B72" s="54" t="s">
        <v>271</v>
      </c>
      <c r="C72" s="54" t="s">
        <v>282</v>
      </c>
      <c r="D72" s="93" t="s">
        <v>325</v>
      </c>
      <c r="E72" s="77" t="str">
        <f t="shared" si="2"/>
        <v>"[STRICT MODE] Enforce all rules strictly | " &amp;</v>
      </c>
      <c r="F72" s="32" t="s">
        <v>224</v>
      </c>
    </row>
    <row r="73" spans="2:6">
      <c r="B73" s="54" t="s">
        <v>271</v>
      </c>
      <c r="C73" s="54" t="s">
        <v>220</v>
      </c>
      <c r="D73" s="93" t="s">
        <v>326</v>
      </c>
      <c r="E73" s="77" t="str">
        <f t="shared" si="2"/>
        <v>"[FOOTER RULE - STRICT] End your entire response EXACTLY with this markdown string (ensure all code blocks are closed before it):" &amp; CHAR(10) &amp; "---" &amp; CHAR(10) &amp; "⚡ Coding5s System - Learn Programming by Writing Code - Coding5S.com" )</v>
      </c>
      <c r="F73" s="32" t="s">
        <v>224</v>
      </c>
    </row>
    <row r="74" spans="2:6">
      <c r="B74" s="54"/>
      <c r="C74" s="54"/>
      <c r="D74" s="93"/>
      <c r="E74" s="77" t="str">
        <f t="shared" si="2"/>
        <v/>
      </c>
      <c r="F74" s="32" t="s">
        <v>224</v>
      </c>
    </row>
    <row r="75" spans="2:6">
      <c r="B75" s="54"/>
      <c r="C75" s="54"/>
      <c r="D75" s="93"/>
      <c r="E75" s="77" t="str">
        <f t="shared" si="2"/>
        <v/>
      </c>
      <c r="F75" s="32" t="s">
        <v>224</v>
      </c>
    </row>
    <row r="76" spans="2:6">
      <c r="B76" s="54"/>
      <c r="C76" s="54"/>
      <c r="D76" s="93"/>
      <c r="E76" s="77" t="str">
        <f t="shared" si="2"/>
        <v/>
      </c>
      <c r="F76" s="32" t="s">
        <v>224</v>
      </c>
    </row>
    <row r="77" spans="2:6">
      <c r="E77" s="86"/>
      <c r="F77" t="s">
        <v>224</v>
      </c>
    </row>
    <row r="79" spans="2:6" ht="36">
      <c r="B79" s="80" t="s">
        <v>444</v>
      </c>
    </row>
    <row r="80" spans="2:6">
      <c r="B80" s="76" t="s">
        <v>221</v>
      </c>
      <c r="C80" s="76" t="s">
        <v>579</v>
      </c>
      <c r="D80" s="76" t="s">
        <v>580</v>
      </c>
      <c r="E80" s="88" t="s">
        <v>234</v>
      </c>
      <c r="F80" s="54" t="s">
        <v>224</v>
      </c>
    </row>
    <row r="81" spans="2:6">
      <c r="B81" s="54" t="s">
        <v>222</v>
      </c>
      <c r="C81" s="54" t="s">
        <v>327</v>
      </c>
      <c r="D81" s="93" t="s">
        <v>381</v>
      </c>
      <c r="E81" s="17" t="str">
        <f t="shared" ref="E81:E94" si="3">IF(D81="","",""""&amp;C81&amp;" "&amp;IF(OR(C81="[FOOTER RULE - STRICT]",C81="[FOOTER RULE]"),D81,IF(RIGHT(D81,6)=" | "&amp;CHAR(34)&amp;" &amp;",D81,D81&amp;" | "&amp;CHAR(34)&amp;" &amp;")))</f>
        <v>"[MENTOR_S2_DETECTIVE] Act as 'The Analytical Partner' (El Detective con Café) - a World-Class Elite Technical Mentor for Stage 2 Debugging specializing in " &amp; $I$2 &amp; ".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v>
      </c>
      <c r="F81" s="54" t="s">
        <v>224</v>
      </c>
    </row>
    <row r="82" spans="2:6">
      <c r="B82" s="54" t="s">
        <v>222</v>
      </c>
      <c r="C82" s="54" t="s">
        <v>236</v>
      </c>
      <c r="D82" s="93" t="s">
        <v>328</v>
      </c>
      <c r="E82" s="17" t="str">
        <f t="shared" si="3"/>
        <v>"[CULTURAL &amp; JARGON RULE] If the language (" &amp; $B$6 &amp; ")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v>
      </c>
      <c r="F82" s="54" t="s">
        <v>224</v>
      </c>
    </row>
    <row r="83" spans="2:6">
      <c r="B83" s="54" t="s">
        <v>222</v>
      </c>
      <c r="C83" s="54" t="s">
        <v>237</v>
      </c>
      <c r="D83" s="93" t="s">
        <v>779</v>
      </c>
      <c r="E83" s="17" t="str">
        <f t="shared" si="3"/>
        <v>"[CONTEXT] You are helping a Junior Developer debug a " &amp; IF(UPPER(H9)="PROJECT", "PROJECT: " &amp; I9 &amp; ". Topics involved: " &amp; A9 &amp; ". Project objective: " &amp; J9, "TOPIC: " &amp; I9 &amp; ". Topic details: " &amp; J9) &amp; " | " &amp;</v>
      </c>
      <c r="F83" s="54" t="s">
        <v>224</v>
      </c>
    </row>
    <row r="84" spans="2:6">
      <c r="B84" s="54" t="s">
        <v>222</v>
      </c>
      <c r="C84" s="54" t="s">
        <v>162</v>
      </c>
      <c r="D84" s="93" t="s">
        <v>329</v>
      </c>
      <c r="E84" s="17" t="str">
        <f t="shared" si="3"/>
        <v>"[TASK] Analyze the student's code, explanation, and error. If the code is already fixed and correct, recognize their 'debugging skill' and provide a 'Pro-Tip' for prevention. Otherwise, follow the 2-PHASE MENTORING PROTOCOL | " &amp;</v>
      </c>
      <c r="F84" s="54" t="s">
        <v>224</v>
      </c>
    </row>
    <row r="85" spans="2:6">
      <c r="B85" s="54" t="s">
        <v>222</v>
      </c>
      <c r="C85" s="54" t="s">
        <v>229</v>
      </c>
      <c r="D85" s="93" t="s">
        <v>267</v>
      </c>
      <c r="E85" s="17" t="str">
        <f t="shared" si="3"/>
        <v>"[LIBRARY BEING LEARNED] " &amp; $I$3 &amp; " | " &amp;</v>
      </c>
      <c r="F85" s="54" t="s">
        <v>224</v>
      </c>
    </row>
    <row r="86" spans="2:6">
      <c r="B86" s="54" t="s">
        <v>222</v>
      </c>
      <c r="C86" s="54" t="s">
        <v>172</v>
      </c>
      <c r="D86" s="93" t="s">
        <v>254</v>
      </c>
      <c r="E86" s="17" t="str">
        <f t="shared" si="3"/>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491</v>
      </c>
      <c r="D87" s="93" t="s">
        <v>483</v>
      </c>
      <c r="E87" s="17" t="str">
        <f t="shared" si="3"/>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3" t="s">
        <v>586</v>
      </c>
      <c r="E88" s="17" t="str">
        <f t="shared" si="3"/>
        <v>"[HEADER RULE - STRICT] 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v>
      </c>
      <c r="F88" s="54" t="s">
        <v>224</v>
      </c>
    </row>
    <row r="89" spans="2:6">
      <c r="B89" s="54" t="s">
        <v>223</v>
      </c>
      <c r="C89" s="54" t="s">
        <v>230</v>
      </c>
      <c r="D89" s="93"/>
      <c r="E89" s="17" t="str">
        <f t="shared" si="3"/>
        <v/>
      </c>
      <c r="F89" s="54" t="s">
        <v>224</v>
      </c>
    </row>
    <row r="90" spans="2:6">
      <c r="B90" s="54" t="s">
        <v>223</v>
      </c>
      <c r="C90" s="54" t="s">
        <v>243</v>
      </c>
      <c r="D90" s="93" t="str">
        <f>Variables!E43 &amp; " " &amp; Variables!E44 &amp; " " &amp; Variables!E45 &amp; " " &amp; Variables!E46 &amp; " | " &amp; CHAR(34) &amp; " &amp;"</f>
        <v>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 &amp;</v>
      </c>
      <c r="E90" s="17" t="str">
        <f t="shared" si="3"/>
        <v>"[PYTHON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 &amp;</v>
      </c>
      <c r="F90" s="54" t="s">
        <v>224</v>
      </c>
    </row>
    <row r="91" spans="2:6">
      <c r="B91" s="54" t="s">
        <v>271</v>
      </c>
      <c r="C91" s="54" t="s">
        <v>238</v>
      </c>
      <c r="D91" s="93" t="s">
        <v>332</v>
      </c>
      <c r="E91" s="17" t="str">
        <f t="shared" si="3"/>
        <v>"[EMPTY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v>
      </c>
      <c r="F91" s="54" t="s">
        <v>224</v>
      </c>
    </row>
    <row r="92" spans="2:6">
      <c r="B92" s="54" t="s">
        <v>271</v>
      </c>
      <c r="C92" s="54" t="s">
        <v>240</v>
      </c>
      <c r="D92" s="93" t="s">
        <v>333</v>
      </c>
      <c r="E92" s="17" t="str">
        <f t="shared" si="3"/>
        <v>"[PHASE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v>
      </c>
      <c r="F92" s="54" t="s">
        <v>224</v>
      </c>
    </row>
    <row r="93" spans="2:6">
      <c r="B93" s="54" t="s">
        <v>271</v>
      </c>
      <c r="C93" s="54" t="s">
        <v>241</v>
      </c>
      <c r="D93" s="93" t="s">
        <v>331</v>
      </c>
      <c r="E93" s="17" t="str">
        <f t="shared" si="3"/>
        <v>"[EXPLANATION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v>
      </c>
      <c r="F93" s="54" t="s">
        <v>224</v>
      </c>
    </row>
    <row r="94" spans="2:6">
      <c r="B94" s="54" t="s">
        <v>271</v>
      </c>
      <c r="C94" s="54" t="s">
        <v>244</v>
      </c>
      <c r="D94" s="93" t="s">
        <v>334</v>
      </c>
      <c r="E94" s="17" t="str">
        <f t="shared" si="3"/>
        <v>"[PHASE 2: FULL SOLUTION - STRICT] 1. Provide the clean, " &amp; $I$2 &amp; " code, and fully functional " &amp; $I$2 &amp; "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v>
      </c>
      <c r="F94" s="54" t="s">
        <v>224</v>
      </c>
    </row>
    <row r="95" spans="2:6">
      <c r="B95" s="54" t="s">
        <v>271</v>
      </c>
      <c r="C95" s="54" t="s">
        <v>492</v>
      </c>
      <c r="D95" s="93" t="s">
        <v>493</v>
      </c>
      <c r="E95" s="17" t="str">
        <f>IF(D95="","",""""&amp;C95&amp;" "&amp;IF(OR(C95="[FOOTER RULE - STRICT]",C95="[FOOTER RULE]"),D95,IF(RIGHT(D95,6)=" | "&amp;CHAR(34)&amp;" &amp;",D95,D95&amp;" | "&amp;CHAR(34)&amp;" &amp;")))</f>
        <v>"[MINIMAL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v>
      </c>
      <c r="F95" s="54" t="s">
        <v>224</v>
      </c>
    </row>
    <row r="96" spans="2:6">
      <c r="B96" s="54" t="s">
        <v>271</v>
      </c>
      <c r="C96" s="54" t="s">
        <v>330</v>
      </c>
      <c r="D96" s="93" t="s">
        <v>335</v>
      </c>
      <c r="E96" s="17" t="str">
        <f>IF(D96="","",""""&amp;C96&amp;" "&amp;IF(OR(C96="[FOOTER RULE - STRICT]",C96="[FOOTER RULE]"),D96,IF(RIGHT(D96,6)=" | "&amp;CHAR(34)&amp;" &amp;",D96,D96&amp;" | "&amp;CHAR(34)&amp;" &amp;")))</f>
        <v>"[FOOTER RULE] End your response with: '--- ⚡ *Coding5s Mentor System — Eliminating Epistemic Debt &amp; Hunting Bugs*</v>
      </c>
      <c r="F96" s="54" t="s">
        <v>224</v>
      </c>
    </row>
    <row r="97" spans="2:6">
      <c r="B97" s="54"/>
      <c r="C97" s="54"/>
      <c r="D97" s="93"/>
      <c r="E97" s="88" t="s">
        <v>336</v>
      </c>
      <c r="F97" s="54" t="s">
        <v>224</v>
      </c>
    </row>
    <row r="98" spans="2:6">
      <c r="B98" s="54"/>
      <c r="C98" s="54"/>
      <c r="D98" s="93"/>
      <c r="E98" s="77" t="str">
        <f t="shared" ref="E98:E100" si="4">IF(D98="","",""""&amp;C98&amp;" "&amp;IF(C98="[FOOTER RULE - STRICT]",D98,IF(RIGHT(D98,6)=" | "&amp;CHAR(34)&amp;" &amp;",D98,D98&amp;" | "&amp;CHAR(34)&amp;" &amp;")))</f>
        <v/>
      </c>
      <c r="F98" s="54" t="s">
        <v>224</v>
      </c>
    </row>
    <row r="99" spans="2:6">
      <c r="B99" s="54"/>
      <c r="C99" s="54"/>
      <c r="D99" s="93"/>
      <c r="E99" s="77" t="str">
        <f t="shared" si="4"/>
        <v/>
      </c>
      <c r="F99" s="54" t="s">
        <v>224</v>
      </c>
    </row>
    <row r="100" spans="2:6">
      <c r="B100" s="54"/>
      <c r="C100" s="54"/>
      <c r="D100" s="93"/>
      <c r="E100" s="77" t="str">
        <f t="shared" si="4"/>
        <v/>
      </c>
      <c r="F100" s="54" t="s">
        <v>224</v>
      </c>
    </row>
  </sheetData>
  <conditionalFormatting sqref="B1:B1048576">
    <cfRule type="cellIs" dxfId="44" priority="10" operator="equal">
      <formula>"The Immutable Kernel"</formula>
    </cfRule>
    <cfRule type="cellIs" dxfId="43" priority="11" operator="equal">
      <formula>"Paradigm &amp; Ecosystem"</formula>
    </cfRule>
    <cfRule type="cellIs" dxfId="42" priority="12" operator="equal">
      <formula>"Global Variables &amp; Configuration"</formula>
    </cfRule>
  </conditionalFormatting>
  <conditionalFormatting sqref="C4:C42">
    <cfRule type="expression" dxfId="41" priority="7">
      <formula>$B4="The Immutable Kernel"</formula>
    </cfRule>
    <cfRule type="expression" dxfId="40" priority="8">
      <formula>$B4="Paradigm &amp; Ecosystem"</formula>
    </cfRule>
    <cfRule type="expression" dxfId="39" priority="9">
      <formula>$B4="Global Variables &amp; Configuration"</formula>
    </cfRule>
  </conditionalFormatting>
  <conditionalFormatting sqref="C47:C76">
    <cfRule type="expression" dxfId="38" priority="4">
      <formula>$B47="The Immutable Kernel"</formula>
    </cfRule>
    <cfRule type="expression" dxfId="37" priority="5">
      <formula>$B47="Paradigm &amp; Ecosystem"</formula>
    </cfRule>
    <cfRule type="expression" dxfId="36" priority="6">
      <formula>$B47="Global Variables &amp; Configuration"</formula>
    </cfRule>
  </conditionalFormatting>
  <conditionalFormatting sqref="C81:C100">
    <cfRule type="expression" dxfId="35" priority="1">
      <formula>$B81="The Immutable Kernel"</formula>
    </cfRule>
    <cfRule type="expression" dxfId="34" priority="2">
      <formula>$B81="Paradigm &amp; Ecosystem"</formula>
    </cfRule>
    <cfRule type="expression" dxfId="33" priority="3">
      <formula>$B81="Global Variables &amp; Configuration"</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D3BC9-B2EF-4F3D-8F73-57D435228023}">
  <sheetPr>
    <tabColor rgb="FFFFFF99"/>
  </sheetPr>
  <dimension ref="B2:AC100"/>
  <sheetViews>
    <sheetView showGridLines="0" topLeftCell="A73" zoomScaleNormal="100" workbookViewId="0">
      <selection activeCell="E80" sqref="E80:E96"/>
    </sheetView>
  </sheetViews>
  <sheetFormatPr defaultRowHeight="15"/>
  <cols>
    <col min="1" max="1" width="5.42578125" customWidth="1"/>
    <col min="2" max="2" width="36.28515625" customWidth="1"/>
    <col min="3" max="3" width="33" customWidth="1"/>
    <col min="4" max="4" width="85.28515625" customWidth="1"/>
    <col min="5" max="5" width="39.5703125" style="85" customWidth="1"/>
    <col min="6" max="6" width="4" customWidth="1"/>
  </cols>
  <sheetData>
    <row r="2" spans="2:29" ht="36">
      <c r="B2" s="78" t="s">
        <v>442</v>
      </c>
      <c r="D2" s="81" t="s">
        <v>337</v>
      </c>
      <c r="H2" s="82"/>
      <c r="T2" s="82"/>
    </row>
    <row r="3" spans="2:29">
      <c r="B3" s="76" t="s">
        <v>221</v>
      </c>
      <c r="C3" s="76" t="s">
        <v>579</v>
      </c>
      <c r="D3" s="76" t="s">
        <v>580</v>
      </c>
      <c r="E3" s="88" t="s">
        <v>228</v>
      </c>
      <c r="F3" s="4" t="s">
        <v>224</v>
      </c>
      <c r="AC3" t="s">
        <v>224</v>
      </c>
    </row>
    <row r="4" spans="2:29">
      <c r="B4" s="75" t="s">
        <v>222</v>
      </c>
      <c r="C4" s="54" t="s">
        <v>160</v>
      </c>
      <c r="D4" s="92" t="s">
        <v>338</v>
      </c>
      <c r="E4" s="77" t="str">
        <f t="shared" ref="E4:E37" si="0">IF(D4="","",""""&amp;C4&amp;" "&amp;IF(C4="[FOOTER RULE - STRICT]",D4,IF(RIGHT(D4,6)=" | "&amp;CHAR(34)&amp;" &amp;",D4,D4&amp;" | "&amp;CHAR(34)&amp;" &amp;")))</f>
        <v>"[ROLE] Tech Lead | " &amp;</v>
      </c>
      <c r="F4" s="54" t="s">
        <v>224</v>
      </c>
    </row>
    <row r="5" spans="2:29">
      <c r="B5" s="75" t="s">
        <v>222</v>
      </c>
      <c r="C5" s="54" t="s">
        <v>162</v>
      </c>
      <c r="D5" s="92" t="s">
        <v>339</v>
      </c>
      <c r="E5" s="77" t="str">
        <f t="shared" si="0"/>
        <v>"[TASK] Assign incomplete " &amp; $I$2 &amp; " script challenges | " &amp;</v>
      </c>
      <c r="F5" s="54" t="s">
        <v>224</v>
      </c>
    </row>
    <row r="6" spans="2:29">
      <c r="B6" s="75" t="s">
        <v>222</v>
      </c>
      <c r="C6" s="54" t="s">
        <v>164</v>
      </c>
      <c r="D6" s="92" t="s">
        <v>165</v>
      </c>
      <c r="E6" s="77" t="str">
        <f t="shared" si="0"/>
        <v>"[TOPIC] " &amp; I9 &amp; " | " &amp;</v>
      </c>
      <c r="F6" s="54" t="s">
        <v>224</v>
      </c>
    </row>
    <row r="7" spans="2:29">
      <c r="B7" s="75" t="s">
        <v>222</v>
      </c>
      <c r="C7" s="54" t="s">
        <v>166</v>
      </c>
      <c r="D7" s="92" t="s">
        <v>167</v>
      </c>
      <c r="E7" s="77" t="str">
        <f t="shared" si="0"/>
        <v>"[LEVEL] " &amp; G9 &amp; " | " &amp;</v>
      </c>
      <c r="F7" s="54" t="s">
        <v>224</v>
      </c>
    </row>
    <row r="8" spans="2:29">
      <c r="B8" s="75" t="s">
        <v>222</v>
      </c>
      <c r="C8" s="54" t="s">
        <v>168</v>
      </c>
      <c r="D8" s="92" t="s">
        <v>276</v>
      </c>
      <c r="E8" s="77" t="str">
        <f t="shared" si="0"/>
        <v>"[COUNT] " &amp; D9 &amp; " challenges | " &amp;</v>
      </c>
      <c r="F8" s="54" t="s">
        <v>224</v>
      </c>
    </row>
    <row r="9" spans="2:29">
      <c r="B9" s="75" t="s">
        <v>222</v>
      </c>
      <c r="C9" s="54" t="s">
        <v>229</v>
      </c>
      <c r="D9" s="92" t="s">
        <v>267</v>
      </c>
      <c r="E9" s="77" t="str">
        <f t="shared" si="0"/>
        <v>"[LIBRARY BEING LEARNED] " &amp; $I$3 &amp; " | " &amp;</v>
      </c>
      <c r="F9" s="54" t="s">
        <v>224</v>
      </c>
    </row>
    <row r="10" spans="2:29">
      <c r="B10" s="75" t="s">
        <v>222</v>
      </c>
      <c r="C10" s="54" t="s">
        <v>225</v>
      </c>
      <c r="D10" s="92" t="str">
        <f>"If a module or ecosystem like "&amp; Variables!E6 &amp;" is specified in "&amp; Variables!E7 &amp;", you are CRITICALLY FORBIDDEN from using "&amp; Variables!E8 &amp;". You MUST enforce the "&amp; Variables!E9 &amp;" and data structures of that specific library."</f>
        <v>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v>
      </c>
      <c r="E10" s="77" t="str">
        <f t="shared" si="0"/>
        <v>"[ECOSYSTEM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v>
      </c>
      <c r="F10" s="54" t="s">
        <v>224</v>
      </c>
    </row>
    <row r="11" spans="2:29">
      <c r="B11" s="75" t="s">
        <v>222</v>
      </c>
      <c r="C11" s="54" t="s">
        <v>215</v>
      </c>
      <c r="D11" s="92" t="s">
        <v>587</v>
      </c>
      <c r="E11" s="77" t="str">
        <f t="shared" si="0"/>
        <v>"[HEADER RULE - STRICT] 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v>
      </c>
      <c r="F11" s="54" t="s">
        <v>224</v>
      </c>
    </row>
    <row r="12" spans="2:29">
      <c r="B12" s="75" t="s">
        <v>222</v>
      </c>
      <c r="C12" s="54" t="s">
        <v>172</v>
      </c>
      <c r="D12" s="92" t="s">
        <v>173</v>
      </c>
      <c r="E12"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2" s="54" t="s">
        <v>224</v>
      </c>
    </row>
    <row r="13" spans="2:29">
      <c r="B13" s="75" t="s">
        <v>222</v>
      </c>
      <c r="C13" s="54" t="s">
        <v>491</v>
      </c>
      <c r="D13" s="92" t="s">
        <v>483</v>
      </c>
      <c r="E13" s="77" t="str">
        <f t="shared" si="0"/>
        <v>"[LANGUAGE SEED CONTEXT] " &amp; IF($AE$7 = "", "Language Seed Not Necessary", "You MUST strictly follow this seed context to enhance, adapt, and naturalize your tone, vocabulary, and instructional quality in " &amp; $B$6 &amp; ": " &amp; $AE$7) &amp; " | " &amp;</v>
      </c>
      <c r="F13" s="54" t="s">
        <v>224</v>
      </c>
    </row>
    <row r="14" spans="2:29">
      <c r="B14" s="83" t="s">
        <v>223</v>
      </c>
      <c r="C14" s="54" t="s">
        <v>230</v>
      </c>
      <c r="D14" s="92"/>
      <c r="E14" s="77" t="str">
        <f t="shared" si="0"/>
        <v/>
      </c>
      <c r="F14" s="54" t="s">
        <v>224</v>
      </c>
    </row>
    <row r="15" spans="2:29">
      <c r="B15" s="83" t="s">
        <v>223</v>
      </c>
      <c r="C15" s="54" t="s">
        <v>663</v>
      </c>
      <c r="D15" s="92" t="str">
        <f>Variables!E47 &amp; " | " &amp; CHAR(34) &amp; " &amp;"</f>
        <v>External PyPI packages MUST be specified inside a standard requirements.txt file. Do not use inline system pip commands. | " &amp;</v>
      </c>
      <c r="E15" s="77" t="str">
        <f t="shared" si="0"/>
        <v>"[EXTERNAL_PACKAGE_PROTOCOL] External PyPI packages MUST be specified inside a standard requirements.txt file. Do not use inline system pip commands. | " &amp;</v>
      </c>
      <c r="F15" s="54" t="s">
        <v>224</v>
      </c>
    </row>
    <row r="16" spans="2:29">
      <c r="B16" s="83" t="s">
        <v>223</v>
      </c>
      <c r="C16" s="54" t="s">
        <v>664</v>
      </c>
      <c r="D16" s="92" t="str">
        <f>Variables!E48 &amp; " | " &amp; CHAR(34) &amp; " &amp;"</f>
        <v>Tests MUST isolate functional logic. NEVER mutate global state; use native assert statements or pytest fixtures to verify function outputs. | " &amp;</v>
      </c>
      <c r="E16" s="77" t="str">
        <f t="shared" si="0"/>
        <v>"[TESTING_FRAMEWORK_PROTOCOL] Tests MUST isolate functional logic. NEVER mutate global state; use native assert statements or pytest fixtures to verify function outputs. | " &amp;</v>
      </c>
      <c r="F16" s="54" t="s">
        <v>224</v>
      </c>
    </row>
    <row r="17" spans="2:6">
      <c r="B17" s="83" t="s">
        <v>223</v>
      </c>
      <c r="C17" s="54" t="s">
        <v>665</v>
      </c>
      <c r="D17" s="92" t="str">
        <f>Variables!E49 &amp; " - " &amp; CHAR(34) &amp; " &amp; IF(G9=" &amp; CHAR(34) &amp; "Beginner" &amp; CHAR(34) &amp; "," &amp; CHAR(34) &amp; "5–15" &amp; CHAR(34) &amp; ", IF(G9=" &amp; CHAR(34) &amp; "Intermediate" &amp; CHAR(34) &amp; "," &amp; CHAR(34) &amp; "10–25" &amp; CHAR(34) &amp; "," &amp; CHAR(34) &amp; "15–35" &amp; CHAR(34) &amp; ")) &amp; " &amp; CHAR(34) &amp; " " &amp; Variables!E50 &amp; " | " &amp; CHAR(34) &amp; " &amp;"</f>
        <v>Each challenge MUST include: - A functional module or script using closures, generators, or functools to manage continuous state with strict type hints. - " &amp; IF(G9="Beginner","5–15", IF(G9="Intermediate","10–25","15–35")) &amp; " lines of EXECUTABLE base Python code (STRICT: Do NOT count comments or TODOs). Length MUST vary. Enforce type hints, PEP 8, and NO classes. | " &amp;</v>
      </c>
      <c r="E17" s="77" t="str">
        <f t="shared" si="0"/>
        <v>"[CHALLENGE_CONSTRAINTS_POLICY] Each challenge MUST include: - A functional module or script using closures, generators, or functools to manage continuous state with strict type hints. - " &amp; IF(G9="Beginner","5–15", IF(G9="Intermediate","10–25","15–35")) &amp; " lines of EXECUTABLE base Python code (STRICT: Do NOT count comments or TODOs). Length MUST vary. Enforce type hints, PEP 8, and NO classes. | " &amp;</v>
      </c>
      <c r="F17" s="54" t="s">
        <v>224</v>
      </c>
    </row>
    <row r="18" spans="2:6">
      <c r="B18" s="83" t="s">
        <v>271</v>
      </c>
      <c r="C18" s="54" t="s">
        <v>207</v>
      </c>
      <c r="D18" s="92" t="s">
        <v>658</v>
      </c>
      <c r="E18" s="77" t="str">
        <f t="shared" si="0"/>
        <v>"[FORMAT RULE] ALWAYS label markdown code blocks with the correct underlying programming language (e.g., elixir, python, javascript, sql) | " &amp;</v>
      </c>
      <c r="F18" s="54" t="s">
        <v>224</v>
      </c>
    </row>
    <row r="19" spans="2:6">
      <c r="B19" s="84" t="s">
        <v>271</v>
      </c>
      <c r="C19" s="54" t="s">
        <v>207</v>
      </c>
      <c r="D19" s="92" t="s">
        <v>280</v>
      </c>
      <c r="E19" s="77" t="str">
        <f t="shared" si="0"/>
        <v>"[FORMAT RULE] Only valid markdown code blocks allowed | " &amp;</v>
      </c>
      <c r="F19" s="54" t="s">
        <v>224</v>
      </c>
    </row>
    <row r="20" spans="2:6">
      <c r="B20" s="84" t="s">
        <v>271</v>
      </c>
      <c r="C20" s="54" t="s">
        <v>340</v>
      </c>
      <c r="D20" s="92" t="s">
        <v>367</v>
      </c>
      <c r="E20" s="77" t="str">
        <f t="shared" si="0"/>
        <v>"[SCORING ENFORCEMENT RULE] Score MUST be ONLY 3, 4, or 5 | " &amp;</v>
      </c>
      <c r="F20" s="54" t="s">
        <v>224</v>
      </c>
    </row>
    <row r="21" spans="2:6">
      <c r="B21" s="84" t="s">
        <v>271</v>
      </c>
      <c r="C21" s="54" t="s">
        <v>341</v>
      </c>
      <c r="D21" s="92" t="s">
        <v>342</v>
      </c>
      <c r="E21" s="77" t="str">
        <f t="shared" si="0"/>
        <v>"[DATA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21" s="54" t="s">
        <v>224</v>
      </c>
    </row>
    <row r="22" spans="2:6">
      <c r="B22" s="84" t="s">
        <v>271</v>
      </c>
      <c r="C22" s="54" t="s">
        <v>209</v>
      </c>
      <c r="D22" s="92" t="s">
        <v>281</v>
      </c>
      <c r="E22" s="77" t="str">
        <f t="shared" si="0"/>
        <v>"[LANGUAGE TAG RULE] ALWAYS label markdown code blocks with the correct underlying programming language (e.g., python, javascript, sql) | " &amp;</v>
      </c>
      <c r="F22" s="54" t="s">
        <v>224</v>
      </c>
    </row>
    <row r="23" spans="2:6">
      <c r="B23" s="84" t="s">
        <v>271</v>
      </c>
      <c r="C23" s="54" t="s">
        <v>187</v>
      </c>
      <c r="D23" s="92" t="s">
        <v>343</v>
      </c>
      <c r="E23" s="77" t="str">
        <f t="shared" si="0"/>
        <v>"[INTRO RULE] Intro MUST be a dynamically generated email in " &amp; $B$6 &amp; " with this EXACT format translated to " &amp; $B$6 &amp; ": '📥 From: [Generate NEW random full name] - Tech Lead' / '📤 To: [Insert my user name if known, else Junior] - " &amp; $I$2 &amp; "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v>
      </c>
      <c r="F23" s="54" t="s">
        <v>224</v>
      </c>
    </row>
    <row r="24" spans="2:6">
      <c r="B24" s="84" t="s">
        <v>271</v>
      </c>
      <c r="C24" s="54" t="s">
        <v>177</v>
      </c>
      <c r="D24" s="92" t="s">
        <v>344</v>
      </c>
      <c r="E24" s="77" t="str">
        <f t="shared" si="0"/>
        <v>"[OUTPUT CONTRACT] EXACTLY " &amp; D9 &amp; "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v>
      </c>
      <c r="F24" s="54" t="s">
        <v>224</v>
      </c>
    </row>
    <row r="25" spans="2:6">
      <c r="B25" s="54" t="s">
        <v>271</v>
      </c>
      <c r="C25" s="54" t="s">
        <v>345</v>
      </c>
      <c r="D25" s="92" t="s">
        <v>346</v>
      </c>
      <c r="E25" s="77" t="str">
        <f t="shared" si="0"/>
        <v>"[OUTPUT TRUNCATION RULE - STRICT] If expected output is long, display ONLY the first 5 lines. Ensure accuracy. Do NOT use ellipsis (...) | " &amp;</v>
      </c>
      <c r="F25" s="54" t="s">
        <v>224</v>
      </c>
    </row>
    <row r="26" spans="2:6">
      <c r="B26" s="54" t="s">
        <v>271</v>
      </c>
      <c r="C26" s="54" t="s">
        <v>347</v>
      </c>
      <c r="D26" s="92" t="s">
        <v>348</v>
      </c>
      <c r="E26" s="77" t="str">
        <f t="shared" si="0"/>
        <v>"[OUTPUT EXECUTION RULE - STRICT] Expected output MUST be explicit, complete, and produced via print() (at least one print already in base code). Monetary values must include '$' | " &amp;</v>
      </c>
      <c r="F26" s="54" t="s">
        <v>224</v>
      </c>
    </row>
    <row r="27" spans="2:6">
      <c r="B27" s="54" t="s">
        <v>271</v>
      </c>
      <c r="C27" s="54" t="s">
        <v>349</v>
      </c>
      <c r="D27" s="92" t="s">
        <v>350</v>
      </c>
      <c r="E27" s="77" t="str">
        <f t="shared" si="0"/>
        <v>"[BASE CODE INTEGRITY RULE - STRICT] Code outside the TODO block MUST be 100% valid, logically correct, and run without errors. Do NOT simulate bugs using 'pass', '...', None, or wrong variable types outside the TODO. Variables used outside TODO must be initialized before TODO. | " &amp;</v>
      </c>
      <c r="F27" s="54" t="s">
        <v>224</v>
      </c>
    </row>
    <row r="28" spans="2:6">
      <c r="B28" s="54" t="s">
        <v>271</v>
      </c>
      <c r="C28" s="54" t="s">
        <v>351</v>
      </c>
      <c r="D28" s="92" t="s">
        <v>352</v>
      </c>
      <c r="E28" s="77" t="str">
        <f t="shared" si="0"/>
        <v>"[TODO VARIATION RULE] TODO sections MUST vary: Single-line TODO, Multiple TODOs, Small blocks (2–4 lines). | " &amp;</v>
      </c>
      <c r="F28" s="54" t="s">
        <v>224</v>
      </c>
    </row>
    <row r="29" spans="2:6">
      <c r="B29" s="54" t="s">
        <v>271</v>
      </c>
      <c r="C29" s="54" t="s">
        <v>353</v>
      </c>
      <c r="D29" s="92" t="s">
        <v>354</v>
      </c>
      <c r="E29" s="77" t="str">
        <f t="shared" si="0"/>
        <v>"[VARIABILITY RULE - STRICT] Each challenge MUST be structurally different. Vary: Code length, Logic type, Position of TODO, Number of TODOs (1–3), Data flow. | " &amp;</v>
      </c>
      <c r="F29" s="54" t="s">
        <v>224</v>
      </c>
    </row>
    <row r="30" spans="2:6">
      <c r="B30" s="54" t="s">
        <v>271</v>
      </c>
      <c r="C30" s="54" t="s">
        <v>355</v>
      </c>
      <c r="D30" s="92" t="s">
        <v>356</v>
      </c>
      <c r="E30" s="77" t="str">
        <f t="shared" si="0"/>
        <v>"[TODO REALISM RULE - STRICT] TODOs MUST represent realistic mistakes based on the topic: " &amp; I9 &amp; ". Describe what is incorrect or incomplete. Avoid imperative instructions. | " &amp;</v>
      </c>
      <c r="F30" s="54" t="s">
        <v>224</v>
      </c>
    </row>
    <row r="31" spans="2:6">
      <c r="B31" s="54" t="s">
        <v>271</v>
      </c>
      <c r="C31" s="54" t="s">
        <v>357</v>
      </c>
      <c r="D31" s="92" t="s">
        <v>358</v>
      </c>
      <c r="E31" s="77" t="str">
        <f t="shared" si="0"/>
        <v>"[TODO ISOLATION RULE - STRICT] ALL missing, incorrect, or output-affecting logic MUST exist ONLY inside the TODO block. | " &amp;</v>
      </c>
      <c r="F31" s="54" t="s">
        <v>224</v>
      </c>
    </row>
    <row r="32" spans="2:6">
      <c r="B32" s="54" t="s">
        <v>271</v>
      </c>
      <c r="C32" s="54" t="s">
        <v>303</v>
      </c>
      <c r="D32" s="92" t="s">
        <v>359</v>
      </c>
      <c r="E32" s="77" t="str">
        <f t="shared" si="0"/>
        <v>"[NO SOLUTION RULE - STRICT] The code under the # TODO MUST be left empty or with a 'pass'. DO NOT write the actual solution. | " &amp;</v>
      </c>
      <c r="F32" s="54" t="s">
        <v>224</v>
      </c>
    </row>
    <row r="33" spans="2:6">
      <c r="B33" s="54" t="s">
        <v>271</v>
      </c>
      <c r="C33" s="54" t="s">
        <v>360</v>
      </c>
      <c r="D33" s="92" t="s">
        <v>361</v>
      </c>
      <c r="E33" s="77" t="str">
        <f t="shared" si="0"/>
        <v>"[OUTPUT VERIFICATION RULE] The base code MUST print the final variables/results evaluated in the TODO block to verify correctness. | " &amp;</v>
      </c>
      <c r="F33" s="54" t="s">
        <v>224</v>
      </c>
    </row>
    <row r="34" spans="2:6">
      <c r="B34" s="54" t="s">
        <v>271</v>
      </c>
      <c r="C34" s="54" t="s">
        <v>362</v>
      </c>
      <c r="D34" s="92" t="s">
        <v>363</v>
      </c>
      <c r="E34" s="77" t="str">
        <f t="shared" si="0"/>
        <v>"[TODO GUIDANCE RULE] Rule " &amp; IF(G9="Beginner", "Clear explicit hint (no code) | ", IF(G9="Intermediate", "Brief hint | ", "Minimal hint | ")) &amp; " | " &amp;</v>
      </c>
      <c r="F34" s="54" t="s">
        <v>224</v>
      </c>
    </row>
    <row r="35" spans="2:6">
      <c r="B35" s="54" t="s">
        <v>271</v>
      </c>
      <c r="C35" s="54" t="s">
        <v>216</v>
      </c>
      <c r="D35" s="92" t="s">
        <v>364</v>
      </c>
      <c r="E35" s="77" t="str">
        <f t="shared" si="0"/>
        <v>"[OUTPUT] Only header, dataset summary or statement (if any), intro message, challenges (objective, expected output, incomplete code), and footer | " &amp;</v>
      </c>
      <c r="F35" s="54" t="s">
        <v>224</v>
      </c>
    </row>
    <row r="36" spans="2:6">
      <c r="B36" s="54" t="s">
        <v>271</v>
      </c>
      <c r="C36" s="54" t="s">
        <v>220</v>
      </c>
      <c r="D36" s="92" t="s">
        <v>366</v>
      </c>
      <c r="E36" s="77" t="str">
        <f t="shared" si="0"/>
        <v>"[FOOTER RULE - STRICT] End your entire response EXACTLY with this markdown string (ensure all code blocks are closed before it):" &amp; CHAR(10) &amp; "---" &amp; CHAR(10) &amp; "⚡ *Coding5s System - Learn Programming by Writing Code - Coding5S.com*",</v>
      </c>
      <c r="F36" s="54" t="s">
        <v>224</v>
      </c>
    </row>
    <row r="37" spans="2:6">
      <c r="B37" s="54"/>
      <c r="C37" s="54"/>
      <c r="D37" s="92"/>
      <c r="E37" s="77" t="str">
        <f t="shared" si="0"/>
        <v/>
      </c>
      <c r="F37" s="54" t="s">
        <v>224</v>
      </c>
    </row>
    <row r="38" spans="2:6">
      <c r="B38" s="54"/>
      <c r="C38" s="54"/>
      <c r="D38" s="92"/>
      <c r="E38" s="88" t="s">
        <v>365</v>
      </c>
      <c r="F38" s="54" t="s">
        <v>224</v>
      </c>
    </row>
    <row r="39" spans="2:6">
      <c r="B39" s="54"/>
      <c r="C39" s="54"/>
      <c r="D39" s="92"/>
      <c r="E39" s="77"/>
      <c r="F39" s="54" t="s">
        <v>224</v>
      </c>
    </row>
    <row r="40" spans="2:6">
      <c r="B40" s="54"/>
      <c r="C40" s="54"/>
      <c r="D40" s="92"/>
      <c r="E40" s="77"/>
      <c r="F40" s="54" t="s">
        <v>224</v>
      </c>
    </row>
    <row r="41" spans="2:6">
      <c r="B41" s="54"/>
      <c r="C41" s="54"/>
      <c r="D41" s="92"/>
      <c r="E41" s="77"/>
      <c r="F41" s="54" t="s">
        <v>224</v>
      </c>
    </row>
    <row r="42" spans="2:6">
      <c r="B42" s="54"/>
      <c r="C42" s="54"/>
      <c r="D42" s="92"/>
      <c r="E42" s="77"/>
      <c r="F42" s="54"/>
    </row>
    <row r="43" spans="2:6">
      <c r="B43" s="74"/>
      <c r="C43" s="74"/>
      <c r="E43" s="86"/>
    </row>
    <row r="44" spans="2:6">
      <c r="B44" s="74"/>
      <c r="C44" s="74"/>
      <c r="E44" s="86"/>
    </row>
    <row r="45" spans="2:6" ht="36">
      <c r="B45" s="79" t="s">
        <v>443</v>
      </c>
      <c r="C45" s="74"/>
      <c r="E45" s="86"/>
    </row>
    <row r="46" spans="2:6">
      <c r="B46" s="76" t="s">
        <v>264</v>
      </c>
      <c r="C46" s="76" t="s">
        <v>579</v>
      </c>
      <c r="D46" s="76" t="s">
        <v>580</v>
      </c>
      <c r="E46" s="88" t="s">
        <v>265</v>
      </c>
      <c r="F46" s="32" t="s">
        <v>224</v>
      </c>
    </row>
    <row r="47" spans="2:6">
      <c r="B47" s="54" t="s">
        <v>222</v>
      </c>
      <c r="C47" s="54" t="s">
        <v>160</v>
      </c>
      <c r="D47" s="92" t="s">
        <v>338</v>
      </c>
      <c r="E47" s="77" t="str">
        <f t="shared" ref="E47:E52" si="1">IF(D47="","",""""&amp;C47&amp;" "&amp;IF(C47="[FOOTER RULE - STRICT]",D47,IF(RIGHT(D47,6)=" | "&amp;CHAR(34)&amp;" &amp;",D47,D47&amp;" | "&amp;CHAR(34)&amp;" &amp;")))</f>
        <v>"[ROLE] Tech Lead | " &amp;</v>
      </c>
      <c r="F47" s="32" t="s">
        <v>224</v>
      </c>
    </row>
    <row r="48" spans="2:6">
      <c r="B48" s="54" t="s">
        <v>222</v>
      </c>
      <c r="C48" s="54" t="s">
        <v>162</v>
      </c>
      <c r="D48" s="92" t="s">
        <v>368</v>
      </c>
      <c r="E48" s="77" t="str">
        <f t="shared" si="1"/>
        <v>"[TASK] Assign incomplete project script | " &amp;</v>
      </c>
      <c r="F48" s="32" t="s">
        <v>224</v>
      </c>
    </row>
    <row r="49" spans="2:6">
      <c r="B49" s="54" t="s">
        <v>222</v>
      </c>
      <c r="C49" s="54" t="s">
        <v>313</v>
      </c>
      <c r="D49" s="92" t="s">
        <v>165</v>
      </c>
      <c r="E49" s="77" t="str">
        <f t="shared" si="1"/>
        <v>"[PROJECT] " &amp; I9 &amp; " | " &amp;</v>
      </c>
      <c r="F49" s="32" t="s">
        <v>224</v>
      </c>
    </row>
    <row r="50" spans="2:6">
      <c r="B50" s="54" t="s">
        <v>222</v>
      </c>
      <c r="C50" s="54" t="s">
        <v>253</v>
      </c>
      <c r="D50" s="92" t="s">
        <v>777</v>
      </c>
      <c r="E50" s="77" t="str">
        <f t="shared" si="1"/>
        <v>"[TOPICS USED] " &amp; A9 &amp; " | " &amp;</v>
      </c>
      <c r="F50" s="32" t="s">
        <v>224</v>
      </c>
    </row>
    <row r="51" spans="2:6">
      <c r="B51" s="54" t="s">
        <v>222</v>
      </c>
      <c r="C51" s="54" t="s">
        <v>166</v>
      </c>
      <c r="D51" s="92" t="s">
        <v>167</v>
      </c>
      <c r="E51" s="77" t="str">
        <f t="shared" si="1"/>
        <v>"[LEVEL] " &amp; G9 &amp; " | " &amp;</v>
      </c>
      <c r="F51" s="32" t="s">
        <v>224</v>
      </c>
    </row>
    <row r="52" spans="2:6">
      <c r="B52" s="54" t="s">
        <v>222</v>
      </c>
      <c r="C52" s="54" t="s">
        <v>229</v>
      </c>
      <c r="D52" s="92" t="s">
        <v>267</v>
      </c>
      <c r="E52" s="77" t="str">
        <f t="shared" si="1"/>
        <v>"[LIBRARY BEING LEARNED] " &amp; $I$3 &amp; " | " &amp;</v>
      </c>
      <c r="F52" s="32" t="s">
        <v>224</v>
      </c>
    </row>
    <row r="53" spans="2:6">
      <c r="B53" s="75" t="s">
        <v>222</v>
      </c>
      <c r="C53" s="54" t="s">
        <v>225</v>
      </c>
      <c r="D53" s="92" t="str">
        <f>"If a module or ecosystem like "&amp; Variables!E6 &amp;" is specified in "&amp; Variables!E7 &amp;", you are CRITICALLY FORBIDDEN from using "&amp; Variables!E8 &amp;". You MUST enforce the "&amp; Variables!E9 &amp;" and data structures of that specific library."</f>
        <v>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v>
      </c>
      <c r="E53" s="77"/>
      <c r="F53" s="32"/>
    </row>
    <row r="54" spans="2:6">
      <c r="B54" s="54" t="s">
        <v>222</v>
      </c>
      <c r="C54" s="54" t="s">
        <v>172</v>
      </c>
      <c r="D54" s="92" t="s">
        <v>254</v>
      </c>
      <c r="E54" s="77" t="str">
        <f t="shared" ref="E54:E76" si="2">IF(D54="","",""""&amp;C54&amp;" "&amp;IF(C54="[FOOTER RULE - STRICT]",D54,IF(RIGHT(D54,6)=" | "&amp;CHAR(34)&amp;" &amp;",D54,D54&amp;" | "&amp;CHAR(34)&amp;" &amp;")))</f>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4" s="32" t="s">
        <v>224</v>
      </c>
    </row>
    <row r="55" spans="2:6">
      <c r="B55" s="54" t="s">
        <v>222</v>
      </c>
      <c r="C55" s="54" t="s">
        <v>491</v>
      </c>
      <c r="D55" s="92" t="s">
        <v>483</v>
      </c>
      <c r="E55" s="77" t="str">
        <f t="shared" si="2"/>
        <v>"[LANGUAGE SEED CONTEXT] " &amp; IF($AE$7 = "", "Language Seed Not Necessary", "You MUST strictly follow this seed context to enhance, adapt, and naturalize your tone, vocabulary, and instructional quality in " &amp; $B$6 &amp; ": " &amp; $AE$7) &amp; " | " &amp;</v>
      </c>
      <c r="F55" s="32" t="s">
        <v>224</v>
      </c>
    </row>
    <row r="56" spans="2:6">
      <c r="B56" s="54" t="s">
        <v>222</v>
      </c>
      <c r="C56" s="54" t="s">
        <v>215</v>
      </c>
      <c r="D56" s="92" t="s">
        <v>588</v>
      </c>
      <c r="E56" s="77" t="str">
        <f t="shared" si="2"/>
        <v>"[HEADER RULE - STRICT] 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v>
      </c>
      <c r="F56" s="32" t="s">
        <v>224</v>
      </c>
    </row>
    <row r="57" spans="2:6">
      <c r="B57" s="54" t="s">
        <v>223</v>
      </c>
      <c r="C57" s="54" t="s">
        <v>663</v>
      </c>
      <c r="D57" s="92" t="str">
        <f>Variables!E51 &amp; " | " &amp; CHAR(34) &amp; " &amp;"</f>
        <v>Require standard pip tooling and requirements.txt for dependencies. | " &amp;</v>
      </c>
      <c r="E57" s="77" t="str">
        <f t="shared" si="2"/>
        <v>"[EXTERNAL_PACKAGE_PROTOCOL] Require standard pip tooling and requirements.txt for dependencies. | " &amp;</v>
      </c>
      <c r="F57" s="32" t="s">
        <v>224</v>
      </c>
    </row>
    <row r="58" spans="2:6">
      <c r="B58" s="54" t="s">
        <v>223</v>
      </c>
      <c r="C58" s="54" t="s">
        <v>665</v>
      </c>
      <c r="D58" s="92" t="str">
        <f>Variables!E52 &amp; " " &amp; CHAR(34) &amp; " &amp; IF(G9=" &amp; CHAR(34) &amp; "Beginner" &amp; CHAR(34) &amp; "," &amp; CHAR(34) &amp; "25–40" &amp; CHAR(34) &amp; ", IF(G9=" &amp; CHAR(34) &amp; "Intermediate" &amp; CHAR(34) &amp; "," &amp; CHAR(34) &amp; "30–60" &amp; CHAR(34) &amp; "," &amp; CHAR(34) &amp; "40–100" &amp; CHAR(34) &amp; ")) &amp; " &amp; CHAR(34) &amp; " " &amp; Variables!E53 &amp; " | " &amp; CHAR(34) &amp; " &amp;"</f>
        <v>MUST be between " &amp; IF(G9="Beginner","25–40", IF(G9="Intermediate","30–60","40–100")) &amp; " lines of EXECUTABLE base Python code (STRICT: Do NOT count comments or TODOs). Must feature functional data pipelines or asynchronous asyncio flows. | " &amp;</v>
      </c>
      <c r="E58" s="77" t="str">
        <f t="shared" si="2"/>
        <v>"[CHALLENGE_CONSTRAINTS_POLICY] MUST be between " &amp; IF(G9="Beginner","25–40", IF(G9="Intermediate","30–60","40–100")) &amp; " lines of EXECUTABLE base Python code (STRICT: Do NOT count comments or TODOs). Must feature functional data pipelines or asynchronous asyncio flows. | " &amp;</v>
      </c>
      <c r="F58" s="32" t="s">
        <v>224</v>
      </c>
    </row>
    <row r="59" spans="2:6">
      <c r="B59" s="54" t="s">
        <v>271</v>
      </c>
      <c r="C59" s="54" t="s">
        <v>207</v>
      </c>
      <c r="D59" s="92" t="s">
        <v>280</v>
      </c>
      <c r="E59" s="77" t="str">
        <f t="shared" si="2"/>
        <v>"[FORMAT RULE] Only valid markdown code blocks allowed | " &amp;</v>
      </c>
      <c r="F59" s="32" t="s">
        <v>224</v>
      </c>
    </row>
    <row r="60" spans="2:6">
      <c r="B60" s="54" t="s">
        <v>271</v>
      </c>
      <c r="C60" s="54" t="s">
        <v>209</v>
      </c>
      <c r="D60" s="92" t="s">
        <v>281</v>
      </c>
      <c r="E60" s="77" t="str">
        <f t="shared" si="2"/>
        <v>"[LANGUAGE TAG RULE] ALWAYS label markdown code blocks with the correct underlying programming language (e.g., python, javascript, sql) | " &amp;</v>
      </c>
      <c r="F60" s="32" t="s">
        <v>224</v>
      </c>
    </row>
    <row r="61" spans="2:6">
      <c r="B61" s="54" t="s">
        <v>271</v>
      </c>
      <c r="C61" s="54" t="s">
        <v>341</v>
      </c>
      <c r="D61" s="92" t="s">
        <v>369</v>
      </c>
      <c r="E61" s="77" t="str">
        <f t="shared" si="2"/>
        <v>"[DATA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61" s="32" t="s">
        <v>224</v>
      </c>
    </row>
    <row r="62" spans="2:6">
      <c r="B62" s="54" t="s">
        <v>271</v>
      </c>
      <c r="C62" s="54" t="s">
        <v>187</v>
      </c>
      <c r="D62" s="92" t="s">
        <v>370</v>
      </c>
      <c r="E62" s="77" t="str">
        <f t="shared" si="2"/>
        <v>"[INTRO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v>
      </c>
      <c r="F62" s="32" t="s">
        <v>224</v>
      </c>
    </row>
    <row r="63" spans="2:6">
      <c r="B63" s="54" t="s">
        <v>271</v>
      </c>
      <c r="C63" s="54" t="s">
        <v>177</v>
      </c>
      <c r="D63" s="92" t="s">
        <v>371</v>
      </c>
      <c r="E63" s="77" t="str">
        <f t="shared" si="2"/>
        <v>"[OUTPUT CONTRACT] EXACTLY 1 project. Structure MUST be: Tech Lead Intro Message, Project: Objective (max 6 lines), Expected Output (code block), Incomplete Code | " &amp;</v>
      </c>
      <c r="F63" s="32" t="s">
        <v>224</v>
      </c>
    </row>
    <row r="64" spans="2:6">
      <c r="B64" s="54" t="s">
        <v>271</v>
      </c>
      <c r="C64" s="54" t="s">
        <v>372</v>
      </c>
      <c r="D64" s="92" t="s">
        <v>373</v>
      </c>
      <c r="E64" s="77" t="str">
        <f t="shared" si="2"/>
        <v>"[OUTPUT TRUNCATION RULE] If output is large, show only first 5 lines. Do NOT use ellipsis (...) | " &amp;</v>
      </c>
      <c r="F64" s="32" t="s">
        <v>224</v>
      </c>
    </row>
    <row r="65" spans="2:6">
      <c r="B65" s="54" t="s">
        <v>271</v>
      </c>
      <c r="C65" s="54" t="s">
        <v>347</v>
      </c>
      <c r="D65" s="92" t="s">
        <v>374</v>
      </c>
      <c r="E65" s="77" t="str">
        <f t="shared" si="2"/>
        <v>"[OUTPUT EXECUTION RULE - STRICT] Expected output MUST be explicit, complete, and produced via final print(). | " &amp;</v>
      </c>
      <c r="F65" s="32" t="s">
        <v>224</v>
      </c>
    </row>
    <row r="66" spans="2:6">
      <c r="B66" s="54" t="s">
        <v>271</v>
      </c>
      <c r="C66" s="54" t="s">
        <v>349</v>
      </c>
      <c r="D66" s="92" t="s">
        <v>375</v>
      </c>
      <c r="E66" s="77" t="str">
        <f t="shared" si="2"/>
        <v>"[BASE CODE INTEGRITY RULE - STRICT] Code outside the TODO block MUST be 100% valid, logically correct, and run without errors. Do NOT use 'pass', '...', or empty placeholders outside the TODO. | " &amp;</v>
      </c>
      <c r="F66" s="32" t="s">
        <v>224</v>
      </c>
    </row>
    <row r="67" spans="2:6">
      <c r="B67" s="54" t="s">
        <v>271</v>
      </c>
      <c r="C67" s="54" t="s">
        <v>376</v>
      </c>
      <c r="D67" s="92" t="s">
        <v>377</v>
      </c>
      <c r="E67" s="77" t="str">
        <f t="shared" si="2"/>
        <v>"[TODO REALISM RULE] TODO must represent realistic integration bugs. Describe what is incorrect/incomplete. | " &amp;</v>
      </c>
      <c r="F67" s="32" t="s">
        <v>224</v>
      </c>
    </row>
    <row r="68" spans="2:6">
      <c r="B68" s="54" t="s">
        <v>271</v>
      </c>
      <c r="C68" s="54" t="s">
        <v>357</v>
      </c>
      <c r="D68" s="92" t="s">
        <v>378</v>
      </c>
      <c r="E68" s="77" t="str">
        <f t="shared" si="2"/>
        <v>"[TODO ISOLATION RULE - STRICT] ALL missing, incorrect, or output-affecting logic MUST exist ONLY inside the TODO block. Replace ONLY integration logic. | " &amp;</v>
      </c>
      <c r="F68" s="32" t="s">
        <v>224</v>
      </c>
    </row>
    <row r="69" spans="2:6">
      <c r="B69" s="54" t="s">
        <v>271</v>
      </c>
      <c r="C69" s="54" t="s">
        <v>303</v>
      </c>
      <c r="D69" s="92" t="s">
        <v>359</v>
      </c>
      <c r="E69" s="77" t="str">
        <f t="shared" si="2"/>
        <v>"[NO SOLUTION RULE - STRICT] The code under the # TODO MUST be left empty or with a 'pass'. DO NOT write the actual solution. | " &amp;</v>
      </c>
      <c r="F69" s="32" t="s">
        <v>224</v>
      </c>
    </row>
    <row r="70" spans="2:6">
      <c r="B70" s="54" t="s">
        <v>271</v>
      </c>
      <c r="C70" s="54" t="s">
        <v>216</v>
      </c>
      <c r="D70" s="92" t="s">
        <v>379</v>
      </c>
      <c r="E70" s="77" t="str">
        <f t="shared" si="2"/>
        <v>"[OUTPUT] Only header, dataset summary or statement (if any), intro message, objective, expected output, incomplete code, and footer | " &amp;</v>
      </c>
      <c r="F70" s="32" t="s">
        <v>224</v>
      </c>
    </row>
    <row r="71" spans="2:6">
      <c r="B71" s="54" t="s">
        <v>271</v>
      </c>
      <c r="C71" s="54" t="s">
        <v>220</v>
      </c>
      <c r="D71" s="92" t="s">
        <v>380</v>
      </c>
      <c r="E71" s="77" t="str">
        <f t="shared" si="2"/>
        <v>"[FOOTER RULE - STRICT] End your entire response EXACTLY with this markdown string (ensure all code blocks are closed before it):" &amp; CHAR(10) &amp; "---" &amp; CHAR(10) &amp; "⚡ *Coding5s System - Learn Programming by Writing Code - Coding5S.com*")</v>
      </c>
      <c r="F71" s="32" t="s">
        <v>224</v>
      </c>
    </row>
    <row r="72" spans="2:6">
      <c r="B72" s="54"/>
      <c r="C72" s="54"/>
      <c r="D72" s="92"/>
      <c r="E72" s="77" t="str">
        <f t="shared" si="2"/>
        <v/>
      </c>
      <c r="F72" s="32" t="s">
        <v>224</v>
      </c>
    </row>
    <row r="73" spans="2:6">
      <c r="B73" s="54"/>
      <c r="C73" s="54"/>
      <c r="D73" s="92"/>
      <c r="E73" s="77" t="str">
        <f t="shared" si="2"/>
        <v/>
      </c>
      <c r="F73" s="32" t="s">
        <v>224</v>
      </c>
    </row>
    <row r="74" spans="2:6">
      <c r="B74" s="54"/>
      <c r="C74" s="54"/>
      <c r="D74" s="92"/>
      <c r="E74" s="77" t="str">
        <f t="shared" si="2"/>
        <v/>
      </c>
      <c r="F74" s="32" t="s">
        <v>224</v>
      </c>
    </row>
    <row r="75" spans="2:6">
      <c r="B75" s="54"/>
      <c r="C75" s="54"/>
      <c r="D75" s="92"/>
      <c r="E75" s="77" t="str">
        <f t="shared" si="2"/>
        <v/>
      </c>
      <c r="F75" s="32" t="s">
        <v>224</v>
      </c>
    </row>
    <row r="76" spans="2:6">
      <c r="B76" s="54"/>
      <c r="C76" s="54"/>
      <c r="D76" s="92"/>
      <c r="E76" s="77" t="str">
        <f t="shared" si="2"/>
        <v/>
      </c>
      <c r="F76" s="32" t="s">
        <v>224</v>
      </c>
    </row>
    <row r="77" spans="2:6">
      <c r="E77" s="86"/>
      <c r="F77" t="s">
        <v>224</v>
      </c>
    </row>
    <row r="79" spans="2:6" ht="36">
      <c r="B79" s="80" t="s">
        <v>441</v>
      </c>
    </row>
    <row r="80" spans="2:6">
      <c r="B80" s="76" t="s">
        <v>221</v>
      </c>
      <c r="C80" s="76" t="s">
        <v>579</v>
      </c>
      <c r="D80" s="76" t="s">
        <v>580</v>
      </c>
      <c r="E80" s="89" t="s">
        <v>234</v>
      </c>
      <c r="F80" s="54" t="s">
        <v>224</v>
      </c>
    </row>
    <row r="81" spans="2:6">
      <c r="B81" s="54" t="s">
        <v>222</v>
      </c>
      <c r="C81" s="54" t="s">
        <v>382</v>
      </c>
      <c r="D81" s="92" t="s">
        <v>383</v>
      </c>
      <c r="E81" s="17" t="str">
        <f t="shared" ref="E81:E95" si="3">IF(D81="","",""""&amp;C81&amp;" "&amp;IF(OR(C81="[FOOTER RULE - STRICT]",C81="[FOOTER RULE]"),D81,IF(RIGHT(D81,6)=" | "&amp;CHAR(34)&amp;" &amp;",D81,D81&amp;" | "&amp;CHAR(34)&amp;" &amp;")))</f>
        <v>"[MENTOR_S3_BUILDER] Act as 'The Logical Scaffold' (El Maestro de Obra) - a World-Class Elite Technical Mentor for Stage 3 Code Completion specializing in " &amp; $I$2 &amp; ".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v>
      </c>
      <c r="F81" s="54" t="s">
        <v>224</v>
      </c>
    </row>
    <row r="82" spans="2:6">
      <c r="B82" s="54" t="s">
        <v>222</v>
      </c>
      <c r="C82" s="54" t="s">
        <v>236</v>
      </c>
      <c r="D82" s="92" t="s">
        <v>384</v>
      </c>
      <c r="E82" s="17" t="str">
        <f t="shared" si="3"/>
        <v>"[CULTURAL &amp; JARGON RULE] If the language (" &amp; $B$6 &amp; ")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v>
      </c>
      <c r="F82" s="54" t="s">
        <v>224</v>
      </c>
    </row>
    <row r="83" spans="2:6">
      <c r="B83" s="54" t="s">
        <v>222</v>
      </c>
      <c r="C83" s="54" t="s">
        <v>237</v>
      </c>
      <c r="D83" s="92" t="s">
        <v>780</v>
      </c>
      <c r="E83" s="17" t="str">
        <f t="shared" si="3"/>
        <v>"[CONTEXT] You are helping a Junior Developer complete a " &amp; IF(UPPER(H9)="PROJECT", "PROJECT: " &amp; I9 &amp; ". Topics involved: " &amp; A9 &amp; ". Project objective: " &amp; J9, "TOPIC: " &amp; I9 &amp; ". Topic details: " &amp; J9) &amp; " | " &amp;</v>
      </c>
      <c r="F83" s="54" t="s">
        <v>224</v>
      </c>
    </row>
    <row r="84" spans="2:6">
      <c r="B84" s="54" t="s">
        <v>222</v>
      </c>
      <c r="C84" s="54" t="s">
        <v>162</v>
      </c>
      <c r="D84" s="92" t="s">
        <v>385</v>
      </c>
      <c r="E84" s="17" t="str">
        <f t="shared" si="3"/>
        <v>"[TASK] Analyze the student's code and explanation. If they completed the data flow perfectly, celebrate the 'solid foundation' and offer a 'System Extension' challenge. Otherwise, follow the 2-PHASE MENTORING PROTOCOL | " &amp;</v>
      </c>
      <c r="F84" s="54" t="s">
        <v>224</v>
      </c>
    </row>
    <row r="85" spans="2:6">
      <c r="B85" s="54" t="s">
        <v>222</v>
      </c>
      <c r="C85" s="54" t="s">
        <v>229</v>
      </c>
      <c r="D85" s="92" t="s">
        <v>267</v>
      </c>
      <c r="E85" s="17" t="str">
        <f t="shared" si="3"/>
        <v>"[LIBRARY BEING LEARNED] " &amp; $I$3 &amp; " | " &amp;</v>
      </c>
      <c r="F85" s="54" t="s">
        <v>224</v>
      </c>
    </row>
    <row r="86" spans="2:6">
      <c r="B86" s="54" t="s">
        <v>222</v>
      </c>
      <c r="C86" s="54" t="s">
        <v>172</v>
      </c>
      <c r="D86" s="92" t="s">
        <v>254</v>
      </c>
      <c r="E86" s="17" t="str">
        <f t="shared" si="3"/>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491</v>
      </c>
      <c r="D87" s="92" t="s">
        <v>483</v>
      </c>
      <c r="E87" s="17" t="str">
        <f t="shared" si="3"/>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2" t="s">
        <v>589</v>
      </c>
      <c r="E88" s="17" t="str">
        <f t="shared" si="3"/>
        <v>"[HEADER RULE - STRICT] 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v>
      </c>
      <c r="F88" s="54" t="s">
        <v>224</v>
      </c>
    </row>
    <row r="89" spans="2:6">
      <c r="B89" s="54" t="s">
        <v>223</v>
      </c>
      <c r="C89" s="54" t="s">
        <v>230</v>
      </c>
      <c r="D89" s="92"/>
      <c r="E89" s="17" t="str">
        <f t="shared" si="3"/>
        <v/>
      </c>
      <c r="F89" s="54" t="s">
        <v>224</v>
      </c>
    </row>
    <row r="90" spans="2:6">
      <c r="B90" s="54" t="s">
        <v>223</v>
      </c>
      <c r="C90" s="54" t="s">
        <v>243</v>
      </c>
      <c r="D90" s="92" t="str">
        <f>Variables!E54 &amp; " " &amp; Variables!E55 &amp; " " &amp; Variables!E56 &amp; " " &amp; Variables!E57 &amp; " | " &amp; CHAR(34) &amp; " &amp;"</f>
        <v>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 &amp;</v>
      </c>
      <c r="E90" s="17" t="str">
        <f t="shared" si="3"/>
        <v>"[PYTHON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 &amp;</v>
      </c>
      <c r="F90" s="54" t="s">
        <v>224</v>
      </c>
    </row>
    <row r="91" spans="2:6">
      <c r="B91" s="54" t="s">
        <v>271</v>
      </c>
      <c r="C91" s="54" t="s">
        <v>238</v>
      </c>
      <c r="D91" s="92" t="s">
        <v>386</v>
      </c>
      <c r="E91" s="17" t="str">
        <f t="shared" si="3"/>
        <v>"[EMPTY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v>
      </c>
      <c r="F91" s="54" t="s">
        <v>224</v>
      </c>
    </row>
    <row r="92" spans="2:6">
      <c r="B92" s="54" t="s">
        <v>271</v>
      </c>
      <c r="C92" s="54" t="s">
        <v>240</v>
      </c>
      <c r="D92" s="92" t="s">
        <v>387</v>
      </c>
      <c r="E92" s="17" t="str">
        <f t="shared" si="3"/>
        <v>"[PHASE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v>
      </c>
      <c r="F92" s="54" t="s">
        <v>224</v>
      </c>
    </row>
    <row r="93" spans="2:6">
      <c r="B93" s="54" t="s">
        <v>271</v>
      </c>
      <c r="C93" s="54" t="s">
        <v>241</v>
      </c>
      <c r="D93" s="92" t="s">
        <v>388</v>
      </c>
      <c r="E93" s="17" t="str">
        <f t="shared" si="3"/>
        <v>"[EXPLANATION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v>
      </c>
      <c r="F93" s="54" t="s">
        <v>224</v>
      </c>
    </row>
    <row r="94" spans="2:6">
      <c r="B94" s="54" t="s">
        <v>271</v>
      </c>
      <c r="C94" s="54" t="s">
        <v>244</v>
      </c>
      <c r="D94" s="92" t="s">
        <v>389</v>
      </c>
      <c r="E94" s="17" t="str">
        <f t="shared" si="3"/>
        <v>"[PHASE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v>
      </c>
      <c r="F94" s="54" t="s">
        <v>224</v>
      </c>
    </row>
    <row r="95" spans="2:6">
      <c r="B95" s="54" t="s">
        <v>271</v>
      </c>
      <c r="C95" s="54" t="s">
        <v>330</v>
      </c>
      <c r="D95" s="92" t="s">
        <v>390</v>
      </c>
      <c r="E95" s="17" t="str">
        <f t="shared" si="3"/>
        <v>"[FOOTER RULE] End your response with: '--- ⚡ *Coding5s Mentor System — Eliminating Epistemic Debt &amp; Connecting the Flow*',</v>
      </c>
      <c r="F95" s="54" t="s">
        <v>224</v>
      </c>
    </row>
    <row r="96" spans="2:6">
      <c r="B96" s="54"/>
      <c r="C96" s="54"/>
      <c r="D96" s="54"/>
      <c r="E96" s="89" t="s">
        <v>336</v>
      </c>
      <c r="F96" s="54" t="s">
        <v>224</v>
      </c>
    </row>
    <row r="97" spans="2:6">
      <c r="B97" s="54"/>
      <c r="C97" s="54"/>
      <c r="D97" s="54"/>
      <c r="E97" s="77" t="str">
        <f t="shared" ref="E97:E100" si="4">IF(D97="","",""""&amp;C97&amp;" "&amp;IF(C97="[FOOTER RULE - STRICT]",D97,IF(RIGHT(D97,6)=" | "&amp;CHAR(34)&amp;" &amp;",D97,D97&amp;" | "&amp;CHAR(34)&amp;" &amp;")))</f>
        <v/>
      </c>
      <c r="F97" s="54" t="s">
        <v>224</v>
      </c>
    </row>
    <row r="98" spans="2:6">
      <c r="B98" s="54"/>
      <c r="C98" s="54"/>
      <c r="D98" s="54"/>
      <c r="E98" s="77" t="str">
        <f t="shared" si="4"/>
        <v/>
      </c>
      <c r="F98" s="54" t="s">
        <v>224</v>
      </c>
    </row>
    <row r="99" spans="2:6">
      <c r="B99" s="54"/>
      <c r="C99" s="54"/>
      <c r="D99" s="54"/>
      <c r="E99" s="77" t="str">
        <f t="shared" si="4"/>
        <v/>
      </c>
      <c r="F99" s="54" t="s">
        <v>224</v>
      </c>
    </row>
    <row r="100" spans="2:6">
      <c r="B100" s="54"/>
      <c r="C100" s="54"/>
      <c r="D100" s="54"/>
      <c r="E100" s="77" t="str">
        <f t="shared" si="4"/>
        <v/>
      </c>
      <c r="F100" s="54" t="s">
        <v>224</v>
      </c>
    </row>
  </sheetData>
  <conditionalFormatting sqref="B1:B1048576">
    <cfRule type="cellIs" dxfId="32" priority="10" operator="equal">
      <formula>"The Immutable Kernel"</formula>
    </cfRule>
    <cfRule type="cellIs" dxfId="31" priority="11" operator="equal">
      <formula>"Paradigm &amp; Ecosystem"</formula>
    </cfRule>
    <cfRule type="cellIs" dxfId="30" priority="12" operator="equal">
      <formula>"Global Variables &amp; Configuration"</formula>
    </cfRule>
  </conditionalFormatting>
  <conditionalFormatting sqref="C4:C42 C47:C76">
    <cfRule type="expression" dxfId="29" priority="7">
      <formula>$B4="The Immutable Kernel"</formula>
    </cfRule>
    <cfRule type="expression" dxfId="28" priority="8">
      <formula>$B4="Paradigm &amp; Ecosystem"</formula>
    </cfRule>
    <cfRule type="expression" dxfId="27" priority="9">
      <formula>$B4="Global Variables &amp; Configuration"</formula>
    </cfRule>
  </conditionalFormatting>
  <conditionalFormatting sqref="C81:C100">
    <cfRule type="expression" dxfId="26" priority="1">
      <formula>$B81="The Immutable Kernel"</formula>
    </cfRule>
    <cfRule type="expression" dxfId="25" priority="2">
      <formula>$B81="Paradigm &amp; Ecosystem"</formula>
    </cfRule>
    <cfRule type="expression" dxfId="24" priority="3">
      <formula>$B81="Global Variables &amp; Configuration"</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2F814-CC28-465C-954B-342AA4B9A726}">
  <sheetPr>
    <tabColor theme="9" tint="0.79998168889431442"/>
  </sheetPr>
  <dimension ref="B2:AC100"/>
  <sheetViews>
    <sheetView showGridLines="0" topLeftCell="A83" zoomScaleNormal="100" workbookViewId="0">
      <selection activeCell="E80" sqref="E80:E97"/>
    </sheetView>
  </sheetViews>
  <sheetFormatPr defaultRowHeight="15"/>
  <cols>
    <col min="1" max="1" width="5.42578125" customWidth="1"/>
    <col min="2" max="2" width="36.85546875" customWidth="1"/>
    <col min="3" max="3" width="33" customWidth="1"/>
    <col min="4" max="4" width="85.28515625" customWidth="1"/>
    <col min="5" max="5" width="39.5703125" style="85" customWidth="1"/>
    <col min="6" max="6" width="4" customWidth="1"/>
  </cols>
  <sheetData>
    <row r="2" spans="2:29" ht="36">
      <c r="B2" s="78" t="s">
        <v>440</v>
      </c>
      <c r="D2" s="81" t="s">
        <v>413</v>
      </c>
      <c r="H2" s="82"/>
      <c r="T2" s="82"/>
    </row>
    <row r="3" spans="2:29">
      <c r="B3" s="76" t="s">
        <v>221</v>
      </c>
      <c r="C3" s="76" t="s">
        <v>579</v>
      </c>
      <c r="D3" s="76" t="s">
        <v>580</v>
      </c>
      <c r="E3" s="88" t="s">
        <v>228</v>
      </c>
      <c r="F3" s="4" t="s">
        <v>224</v>
      </c>
      <c r="AC3" t="s">
        <v>224</v>
      </c>
    </row>
    <row r="4" spans="2:29">
      <c r="B4" s="75" t="s">
        <v>222</v>
      </c>
      <c r="C4" s="54" t="s">
        <v>160</v>
      </c>
      <c r="D4" s="90" t="s">
        <v>338</v>
      </c>
      <c r="E4" s="77" t="str">
        <f t="shared" ref="E4:E39" si="0">IF(D4="","",""""&amp;C4&amp;" "&amp;IF(C4="[FOOTER RULE - STRICT]",D4,IF(RIGHT(D4,6)=" | "&amp;CHAR(34)&amp;" &amp;",D4,D4&amp;" | "&amp;CHAR(34)&amp;" &amp;")))</f>
        <v>"[ROLE] Tech Lead | " &amp;</v>
      </c>
      <c r="F4" s="54" t="s">
        <v>224</v>
      </c>
    </row>
    <row r="5" spans="2:29">
      <c r="B5" s="75" t="s">
        <v>222</v>
      </c>
      <c r="C5" s="54" t="s">
        <v>162</v>
      </c>
      <c r="D5" s="90" t="s">
        <v>391</v>
      </c>
      <c r="E5" s="77" t="str">
        <f t="shared" si="0"/>
        <v>"[TASK] Provide intentionally messy but functional code for learning debugging and improvement | " &amp;</v>
      </c>
      <c r="F5" s="54" t="s">
        <v>224</v>
      </c>
    </row>
    <row r="6" spans="2:29">
      <c r="B6" s="75" t="s">
        <v>222</v>
      </c>
      <c r="C6" s="54" t="s">
        <v>164</v>
      </c>
      <c r="D6" s="90" t="s">
        <v>165</v>
      </c>
      <c r="E6" s="77" t="str">
        <f t="shared" si="0"/>
        <v>"[TOPIC] " &amp; I9 &amp; " | " &amp;</v>
      </c>
      <c r="F6" s="54" t="s">
        <v>224</v>
      </c>
    </row>
    <row r="7" spans="2:29">
      <c r="B7" s="75" t="s">
        <v>222</v>
      </c>
      <c r="C7" s="54" t="s">
        <v>166</v>
      </c>
      <c r="D7" s="90" t="s">
        <v>167</v>
      </c>
      <c r="E7" s="77" t="str">
        <f t="shared" si="0"/>
        <v>"[LEVEL] " &amp; G9 &amp; " | " &amp;</v>
      </c>
      <c r="F7" s="54" t="s">
        <v>224</v>
      </c>
    </row>
    <row r="8" spans="2:29">
      <c r="B8" s="75" t="s">
        <v>222</v>
      </c>
      <c r="C8" s="54" t="s">
        <v>168</v>
      </c>
      <c r="D8" s="90" t="s">
        <v>276</v>
      </c>
      <c r="E8" s="77" t="str">
        <f t="shared" si="0"/>
        <v>"[COUNT] " &amp; D9 &amp; " challenges | " &amp;</v>
      </c>
      <c r="F8" s="54" t="s">
        <v>224</v>
      </c>
    </row>
    <row r="9" spans="2:29">
      <c r="B9" s="75" t="s">
        <v>222</v>
      </c>
      <c r="C9" s="54" t="s">
        <v>229</v>
      </c>
      <c r="D9" s="90" t="s">
        <v>267</v>
      </c>
      <c r="E9" s="77" t="str">
        <f t="shared" si="0"/>
        <v>"[LIBRARY BEING LEARNED] " &amp; $I$3 &amp; " | " &amp;</v>
      </c>
      <c r="F9" s="54" t="s">
        <v>224</v>
      </c>
    </row>
    <row r="10" spans="2:29">
      <c r="B10" s="75" t="s">
        <v>222</v>
      </c>
      <c r="C10" s="54" t="s">
        <v>225</v>
      </c>
      <c r="D10" s="90" t="str">
        <f>"If a module or ecosystem like "&amp; Variables!E6 &amp;" is specified in "&amp; Variables!E7 &amp;", you are CRITICALLY FORBIDDEN from using "&amp; Variables!E8 &amp;". You MUST enforce the "&amp; Variables!E9 &amp;" and data structures of that specific library."</f>
        <v>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v>
      </c>
      <c r="E10" s="77" t="str">
        <f t="shared" si="0"/>
        <v>"[ECOSYSTEM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v>
      </c>
      <c r="F10" s="54" t="s">
        <v>224</v>
      </c>
    </row>
    <row r="11" spans="2:29">
      <c r="B11" s="75" t="s">
        <v>222</v>
      </c>
      <c r="C11" s="54" t="s">
        <v>170</v>
      </c>
      <c r="D11" s="90" t="s">
        <v>392</v>
      </c>
      <c r="E11" s="77" t="str">
        <f t="shared" si="0"/>
        <v>"[PERSONA RULE] Act as a Tech Lead. A junior wrote this working but messy code. Tone: professional but exhausted by the code quality | " &amp;</v>
      </c>
      <c r="F11" s="54" t="s">
        <v>224</v>
      </c>
    </row>
    <row r="12" spans="2:29">
      <c r="B12" s="75" t="s">
        <v>222</v>
      </c>
      <c r="C12" s="54" t="s">
        <v>172</v>
      </c>
      <c r="D12" s="90" t="s">
        <v>393</v>
      </c>
      <c r="E12" s="77" t="str">
        <f t="shared" si="0"/>
        <v>"[LANGUAGE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v>
      </c>
      <c r="F12" s="54" t="s">
        <v>224</v>
      </c>
    </row>
    <row r="13" spans="2:29">
      <c r="B13" s="75" t="s">
        <v>222</v>
      </c>
      <c r="C13" s="54" t="s">
        <v>215</v>
      </c>
      <c r="D13" s="90" t="s">
        <v>590</v>
      </c>
      <c r="E13" s="77" t="str">
        <f t="shared" si="0"/>
        <v>"[HEADER RULE - STRICT] 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v>
      </c>
      <c r="F13" s="54" t="s">
        <v>224</v>
      </c>
    </row>
    <row r="14" spans="2:29">
      <c r="B14" s="83" t="s">
        <v>222</v>
      </c>
      <c r="C14" s="54" t="s">
        <v>491</v>
      </c>
      <c r="D14" s="90" t="s">
        <v>483</v>
      </c>
      <c r="E14" s="77" t="str">
        <f t="shared" si="0"/>
        <v>"[LANGUAGE SEED CONTEXT] " &amp; IF($AE$7 = "", "Language Seed Not Necessary", "You MUST strictly follow this seed context to enhance, adapt, and naturalize your tone, vocabulary, and instructional quality in " &amp; $B$6 &amp; ": " &amp; $AE$7) &amp; " | " &amp;</v>
      </c>
      <c r="F14" s="54" t="s">
        <v>224</v>
      </c>
    </row>
    <row r="15" spans="2:29">
      <c r="B15" s="83" t="s">
        <v>223</v>
      </c>
      <c r="C15" s="54" t="s">
        <v>230</v>
      </c>
      <c r="D15" s="90"/>
      <c r="E15" s="77" t="str">
        <f t="shared" si="0"/>
        <v/>
      </c>
      <c r="F15" s="54" t="s">
        <v>224</v>
      </c>
    </row>
    <row r="16" spans="2:29">
      <c r="B16" s="83" t="s">
        <v>223</v>
      </c>
      <c r="C16" s="54" t="s">
        <v>230</v>
      </c>
      <c r="D16" s="90"/>
      <c r="E16" s="77" t="str">
        <f t="shared" si="0"/>
        <v/>
      </c>
      <c r="F16" s="54" t="s">
        <v>224</v>
      </c>
    </row>
    <row r="17" spans="2:6">
      <c r="B17" s="83" t="s">
        <v>223</v>
      </c>
      <c r="C17" s="54" t="s">
        <v>230</v>
      </c>
      <c r="D17" s="90"/>
      <c r="E17" s="77" t="str">
        <f t="shared" si="0"/>
        <v/>
      </c>
      <c r="F17" s="54" t="s">
        <v>224</v>
      </c>
    </row>
    <row r="18" spans="2:6">
      <c r="B18" s="54" t="s">
        <v>271</v>
      </c>
      <c r="C18" s="54" t="s">
        <v>180</v>
      </c>
      <c r="D18" s="90" t="s">
        <v>394</v>
      </c>
      <c r="E18" s="77" t="str">
        <f t="shared" si="0"/>
        <v>"[CODE QUALITY RULE] Code MUST be executable and correct BUT intentionally messy, inconsistent, or suboptimal | " &amp;</v>
      </c>
      <c r="F18" s="54" t="s">
        <v>224</v>
      </c>
    </row>
    <row r="19" spans="2:6">
      <c r="B19" s="54" t="s">
        <v>271</v>
      </c>
      <c r="C19" s="54" t="s">
        <v>395</v>
      </c>
      <c r="D19" s="90" t="s">
        <v>396</v>
      </c>
      <c r="E19" s="77" t="str">
        <f t="shared" si="0"/>
        <v>"[DIRTY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v>
      </c>
      <c r="F19" s="54" t="s">
        <v>224</v>
      </c>
    </row>
    <row r="20" spans="2:6">
      <c r="B20" s="54" t="s">
        <v>271</v>
      </c>
      <c r="C20" s="54" t="s">
        <v>397</v>
      </c>
      <c r="D20" s="90" t="s">
        <v>398</v>
      </c>
      <c r="E20" s="77" t="str">
        <f t="shared" si="0"/>
        <v>"[STYLE INCONSISTENCY RULE] Each challenge should feel like it was written at a different time with different formatting styles | " &amp;</v>
      </c>
      <c r="F20" s="54" t="s">
        <v>224</v>
      </c>
    </row>
    <row r="21" spans="2:6">
      <c r="B21" s="54" t="s">
        <v>271</v>
      </c>
      <c r="C21" s="54" t="s">
        <v>188</v>
      </c>
      <c r="D21" s="90" t="s">
        <v>675</v>
      </c>
      <c r="E21" s="77" t="str">
        <f t="shared" si="0"/>
        <v>"[FILE HANDLING RULE] Use correct loaders and enforce encoding='utf-8' and newline='' when applicable if the programming language supports it. | " &amp;</v>
      </c>
      <c r="F21" s="54" t="s">
        <v>224</v>
      </c>
    </row>
    <row r="22" spans="2:6">
      <c r="B22" s="54" t="s">
        <v>271</v>
      </c>
      <c r="C22" s="54" t="s">
        <v>189</v>
      </c>
      <c r="D22" s="90" t="s">
        <v>674</v>
      </c>
      <c r="E22" s="77" t="str">
        <f t="shared" si="0"/>
        <v>"[DATA TYPE RULE] Explicit casting required before calculations when the programming language requires it. | " &amp;</v>
      </c>
      <c r="F22" s="54" t="s">
        <v>224</v>
      </c>
    </row>
    <row r="23" spans="2:6">
      <c r="B23" s="54" t="s">
        <v>271</v>
      </c>
      <c r="C23" s="54" t="s">
        <v>190</v>
      </c>
      <c r="D23" s="90" t="s">
        <v>399</v>
      </c>
      <c r="E23" s="77" t="str">
        <f t="shared" si="0"/>
        <v>"[DATA ROBUSTNESS RULE] Handle missing, malformed, or inconsistent data safely | " &amp;</v>
      </c>
      <c r="F23" s="54" t="s">
        <v>224</v>
      </c>
    </row>
    <row r="24" spans="2:6">
      <c r="B24" s="54" t="s">
        <v>271</v>
      </c>
      <c r="C24" s="54" t="s">
        <v>191</v>
      </c>
      <c r="D24" s="90" t="s">
        <v>673</v>
      </c>
      <c r="E24" s="77" t="str">
        <f t="shared" si="0"/>
        <v>"[BOOLEAN HANDLING RULE] Normalize boolean values before comparison when the programming language requires it. | " &amp;</v>
      </c>
      <c r="F24" s="54" t="s">
        <v>224</v>
      </c>
    </row>
    <row r="25" spans="2:6">
      <c r="B25" s="54" t="s">
        <v>271</v>
      </c>
      <c r="C25" s="54" t="s">
        <v>192</v>
      </c>
      <c r="D25" s="90" t="s">
        <v>400</v>
      </c>
      <c r="E25" s="77" t="str">
        <f t="shared" si="0"/>
        <v>"[DATA CONSISTENCY RULE] Respect dataset schema | " &amp;</v>
      </c>
      <c r="F25" s="54" t="s">
        <v>224</v>
      </c>
    </row>
    <row r="26" spans="2:6">
      <c r="B26" s="54" t="s">
        <v>271</v>
      </c>
      <c r="C26" s="54" t="s">
        <v>207</v>
      </c>
      <c r="D26" s="90" t="s">
        <v>280</v>
      </c>
      <c r="E26" s="77" t="str">
        <f t="shared" si="0"/>
        <v>"[FORMAT RULE] Only valid markdown code blocks allowed | " &amp;</v>
      </c>
      <c r="F26" s="54" t="s">
        <v>224</v>
      </c>
    </row>
    <row r="27" spans="2:6">
      <c r="B27" s="54" t="s">
        <v>271</v>
      </c>
      <c r="C27" s="54" t="s">
        <v>209</v>
      </c>
      <c r="D27" s="90" t="s">
        <v>281</v>
      </c>
      <c r="E27" s="77" t="str">
        <f t="shared" si="0"/>
        <v>"[LANGUAGE TAG RULE] ALWAYS label markdown code blocks with the correct underlying programming language (e.g., python, javascript, sql) | " &amp;</v>
      </c>
      <c r="F27" s="54" t="s">
        <v>224</v>
      </c>
    </row>
    <row r="28" spans="2:6">
      <c r="B28" s="54" t="s">
        <v>271</v>
      </c>
      <c r="C28" s="54" t="s">
        <v>211</v>
      </c>
      <c r="D28" s="90" t="s">
        <v>401</v>
      </c>
      <c r="E28" s="77" t="str">
        <f t="shared" si="0"/>
        <v>"[OUTPUT FORMAT RULE] Monetary values formatted with '$', commas, 2 decimals | " &amp;</v>
      </c>
      <c r="F28" s="54" t="s">
        <v>224</v>
      </c>
    </row>
    <row r="29" spans="2:6">
      <c r="B29" s="54" t="s">
        <v>271</v>
      </c>
      <c r="C29" s="54" t="s">
        <v>216</v>
      </c>
      <c r="D29" s="90" t="s">
        <v>402</v>
      </c>
      <c r="E29" s="77" t="str">
        <f t="shared" si="0"/>
        <v>"[OUTPUT] Only header, dataset summary or statement (if any), intro, challenges, code, outputs, and footer | " &amp;</v>
      </c>
      <c r="F29" s="54" t="s">
        <v>224</v>
      </c>
    </row>
    <row r="30" spans="2:6">
      <c r="B30" s="54" t="s">
        <v>271</v>
      </c>
      <c r="C30" s="54" t="s">
        <v>174</v>
      </c>
      <c r="D30" s="90" t="s">
        <v>342</v>
      </c>
      <c r="E30" s="77" t="str">
        <f t="shared" si="0"/>
        <v>"[DATA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30" s="54" t="s">
        <v>224</v>
      </c>
    </row>
    <row r="31" spans="2:6">
      <c r="B31" s="54" t="s">
        <v>271</v>
      </c>
      <c r="C31" s="54" t="s">
        <v>175</v>
      </c>
      <c r="D31" s="90" t="s">
        <v>403</v>
      </c>
      <c r="E31" s="77" t="str">
        <f t="shared" si="0"/>
        <v>"[DATA SUMMARY FORMAT RULE] When a dataset is present, you MUST display IMMEDIATELY AFTER THE HEADER: Dataset Summary: - File Type: - Columns / Fields: - Data Types: - Notes: | " &amp;</v>
      </c>
      <c r="F31" s="54" t="s">
        <v>224</v>
      </c>
    </row>
    <row r="32" spans="2:6">
      <c r="B32" s="54" t="s">
        <v>271</v>
      </c>
      <c r="C32" s="54" t="s">
        <v>187</v>
      </c>
      <c r="D32" s="90" t="s">
        <v>404</v>
      </c>
      <c r="E32" s="77" t="str">
        <f t="shared" si="0"/>
        <v>"[INTRO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 '🚨 **Your objective in this lesson:** You must copy the code blocks from each Challenge exactly as they and paste them into your IDE, then refactor the code by rewriting it professionally until you achieve the exact Program Output when running the refactored program.' | " &amp;</v>
      </c>
      <c r="F32" s="54" t="s">
        <v>224</v>
      </c>
    </row>
    <row r="33" spans="2:6">
      <c r="B33" s="54" t="s">
        <v>271</v>
      </c>
      <c r="C33" s="54" t="s">
        <v>177</v>
      </c>
      <c r="D33" s="90" t="s">
        <v>405</v>
      </c>
      <c r="E33" s="77" t="str">
        <f t="shared" si="0"/>
        <v>"[OUTPUT CONTRACT] EXACTLY " &amp; D9 &amp; "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v>
      </c>
      <c r="F33" s="54" t="s">
        <v>224</v>
      </c>
    </row>
    <row r="34" spans="2:6">
      <c r="B34" s="54" t="s">
        <v>271</v>
      </c>
      <c r="C34" s="54" t="s">
        <v>406</v>
      </c>
      <c r="D34" s="90" t="s">
        <v>407</v>
      </c>
      <c r="E34" s="77" t="str">
        <f t="shared" si="0"/>
        <v>"[REVIEW INTENT RULE] The user is expected to review, identify issues, and refactor the code to production-level quality | " &amp;</v>
      </c>
      <c r="F34" s="54" t="s">
        <v>224</v>
      </c>
    </row>
    <row r="35" spans="2:6">
      <c r="B35" s="54" t="s">
        <v>271</v>
      </c>
      <c r="C35" s="54" t="s">
        <v>178</v>
      </c>
      <c r="D35" s="90" t="s">
        <v>408</v>
      </c>
      <c r="E35" s="77" t="str">
        <f t="shared" si="0"/>
        <v>"[CODE CONSTRAINTS] 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 | " &amp;</v>
      </c>
      <c r="F35" s="54" t="s">
        <v>224</v>
      </c>
    </row>
    <row r="36" spans="2:6">
      <c r="B36" s="54" t="s">
        <v>271</v>
      </c>
      <c r="C36" s="54" t="s">
        <v>194</v>
      </c>
      <c r="D36" s="90" t="s">
        <v>409</v>
      </c>
      <c r="E36" s="77" t="str">
        <f t="shared" si="0"/>
        <v>"[SUPPORT FILES RULE] If env/config is used, include: 1. Instructional sentence 2. File content in markdown code block 3. BEFORE the main code | " &amp;</v>
      </c>
      <c r="F36" s="54" t="s">
        <v>224</v>
      </c>
    </row>
    <row r="37" spans="2:6">
      <c r="B37" s="54" t="s">
        <v>271</v>
      </c>
      <c r="C37" s="54" t="s">
        <v>195</v>
      </c>
      <c r="D37" s="90" t="s">
        <v>410</v>
      </c>
      <c r="E37" s="77" t="str">
        <f t="shared" si="0"/>
        <v>"[DIFFICULTY RULE] Complexity MUST match level | " &amp;</v>
      </c>
      <c r="F37" s="54" t="s">
        <v>224</v>
      </c>
    </row>
    <row r="38" spans="2:6">
      <c r="B38" s="54" t="s">
        <v>271</v>
      </c>
      <c r="C38" s="54" t="s">
        <v>411</v>
      </c>
      <c r="D38" s="90" t="s">
        <v>412</v>
      </c>
      <c r="E38" s="77" t="str">
        <f t="shared" si="0"/>
        <v>"[DIFFICULTY CONSISTENCY RULE] All challenges MUST have similar complexity and length, even if coding styles differ | " &amp;</v>
      </c>
      <c r="F38" s="54" t="s">
        <v>224</v>
      </c>
    </row>
    <row r="39" spans="2:6">
      <c r="B39" s="54" t="s">
        <v>271</v>
      </c>
      <c r="C39" s="54" t="s">
        <v>220</v>
      </c>
      <c r="D39" s="90" t="s">
        <v>366</v>
      </c>
      <c r="E39" s="77" t="str">
        <f t="shared" si="0"/>
        <v>"[FOOTER RULE - STRICT] End your entire response EXACTLY with this markdown string (ensure all code blocks are closed before it):" &amp; CHAR(10) &amp; "---" &amp; CHAR(10) &amp; "⚡ *Coding5s System - Learn Programming by Writing Code - Coding5S.com*",</v>
      </c>
      <c r="F39" s="54" t="s">
        <v>224</v>
      </c>
    </row>
    <row r="40" spans="2:6">
      <c r="B40" s="54"/>
      <c r="C40" s="54"/>
      <c r="D40" s="90"/>
      <c r="E40" s="88" t="s">
        <v>414</v>
      </c>
      <c r="F40" s="54" t="s">
        <v>224</v>
      </c>
    </row>
    <row r="41" spans="2:6">
      <c r="B41" s="54"/>
      <c r="C41" s="54"/>
      <c r="D41" s="90"/>
      <c r="E41" s="77"/>
      <c r="F41" s="54"/>
    </row>
    <row r="42" spans="2:6">
      <c r="B42" s="74"/>
      <c r="C42" s="74"/>
      <c r="E42" s="86"/>
    </row>
    <row r="43" spans="2:6">
      <c r="B43" s="74"/>
      <c r="C43" s="74"/>
      <c r="E43" s="86"/>
    </row>
    <row r="44" spans="2:6" ht="36">
      <c r="B44" s="79" t="s">
        <v>439</v>
      </c>
      <c r="C44" s="74"/>
      <c r="E44" s="86"/>
    </row>
    <row r="45" spans="2:6">
      <c r="B45" s="76" t="s">
        <v>264</v>
      </c>
      <c r="C45" s="76" t="s">
        <v>579</v>
      </c>
      <c r="D45" s="76" t="s">
        <v>580</v>
      </c>
      <c r="E45" s="88" t="s">
        <v>265</v>
      </c>
      <c r="F45" s="32" t="s">
        <v>224</v>
      </c>
    </row>
    <row r="46" spans="2:6">
      <c r="B46" s="54" t="s">
        <v>222</v>
      </c>
      <c r="C46" s="54" t="s">
        <v>160</v>
      </c>
      <c r="D46" s="90" t="s">
        <v>338</v>
      </c>
      <c r="E46" s="77" t="str">
        <f>IF(D46="","",""""&amp;C46&amp;" "&amp;IF(C46="[FOOTER RULE - STRICT]",D46,IF(RIGHT(D46,6)=" | "&amp;CHAR(34)&amp;" &amp;",D46,D46&amp;" | "&amp;CHAR(34)&amp;" &amp;")))</f>
        <v>"[ROLE] Tech Lead | " &amp;</v>
      </c>
      <c r="F46" s="32" t="s">
        <v>224</v>
      </c>
    </row>
    <row r="47" spans="2:6">
      <c r="B47" s="54" t="s">
        <v>222</v>
      </c>
      <c r="C47" s="54" t="s">
        <v>162</v>
      </c>
      <c r="D47" s="90" t="s">
        <v>415</v>
      </c>
      <c r="E47" s="77" t="str">
        <f t="shared" ref="E47:E76" si="1">IF(D47="","",""""&amp;C47&amp;" "&amp;IF(C47="[FOOTER RULE - STRICT]",D47,IF(RIGHT(D47,6)=" | "&amp;CHAR(34)&amp;" &amp;",D47,D47&amp;" | "&amp;CHAR(34)&amp;" &amp;")))</f>
        <v>"[TASK] Provide a messy but functional project for refactoring | " &amp;</v>
      </c>
      <c r="F47" s="32" t="s">
        <v>224</v>
      </c>
    </row>
    <row r="48" spans="2:6">
      <c r="B48" s="54" t="s">
        <v>222</v>
      </c>
      <c r="C48" s="54" t="s">
        <v>313</v>
      </c>
      <c r="D48" s="90" t="s">
        <v>165</v>
      </c>
      <c r="E48" s="77" t="str">
        <f t="shared" si="1"/>
        <v>"[PROJECT] " &amp; I9 &amp; " | " &amp;</v>
      </c>
      <c r="F48" s="32" t="s">
        <v>224</v>
      </c>
    </row>
    <row r="49" spans="2:6">
      <c r="B49" s="54" t="s">
        <v>222</v>
      </c>
      <c r="C49" s="54" t="s">
        <v>253</v>
      </c>
      <c r="D49" s="90" t="s">
        <v>777</v>
      </c>
      <c r="E49" s="77" t="str">
        <f t="shared" si="1"/>
        <v>"[TOPICS USED] " &amp; A9 &amp; " | " &amp;</v>
      </c>
      <c r="F49" s="32" t="s">
        <v>224</v>
      </c>
    </row>
    <row r="50" spans="2:6">
      <c r="B50" s="54" t="s">
        <v>222</v>
      </c>
      <c r="C50" s="54" t="s">
        <v>166</v>
      </c>
      <c r="D50" s="90" t="s">
        <v>167</v>
      </c>
      <c r="E50" s="77" t="str">
        <f t="shared" si="1"/>
        <v>"[LEVEL] " &amp; G9 &amp; " | " &amp;</v>
      </c>
      <c r="F50" s="32" t="s">
        <v>224</v>
      </c>
    </row>
    <row r="51" spans="2:6">
      <c r="B51" s="54" t="s">
        <v>222</v>
      </c>
      <c r="C51" s="54" t="s">
        <v>170</v>
      </c>
      <c r="D51" s="90" t="s">
        <v>416</v>
      </c>
      <c r="E51" s="77" t="str">
        <f t="shared" si="1"/>
        <v>"[PERSONA RULE] Act as a Tech Lead. A junior wrote this working but messy code. Tone: professional but exhausted | " &amp;</v>
      </c>
      <c r="F51" s="32" t="s">
        <v>224</v>
      </c>
    </row>
    <row r="52" spans="2:6">
      <c r="B52" s="54" t="s">
        <v>222</v>
      </c>
      <c r="C52" s="54" t="s">
        <v>215</v>
      </c>
      <c r="D52" s="90" t="s">
        <v>591</v>
      </c>
      <c r="E52" s="77" t="str">
        <f t="shared" si="1"/>
        <v>"[HEADER RULE - STRICT] 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v>
      </c>
      <c r="F52" s="32" t="s">
        <v>224</v>
      </c>
    </row>
    <row r="53" spans="2:6">
      <c r="B53" s="54" t="s">
        <v>222</v>
      </c>
      <c r="C53" s="54" t="s">
        <v>229</v>
      </c>
      <c r="D53" s="90" t="s">
        <v>267</v>
      </c>
      <c r="E53" s="77" t="str">
        <f t="shared" si="1"/>
        <v>"[LIBRARY BEING LEARNED] " &amp; $I$3 &amp; " | " &amp;</v>
      </c>
      <c r="F53" s="32" t="s">
        <v>224</v>
      </c>
    </row>
    <row r="54" spans="2:6">
      <c r="B54" s="75" t="s">
        <v>222</v>
      </c>
      <c r="C54" s="54" t="s">
        <v>225</v>
      </c>
      <c r="D54" s="90" t="str">
        <f>"If a module or ecosystem like "&amp; Variables!E6 &amp;" is specified in "&amp; Variables!E7 &amp;", you are CRITICALLY FORBIDDEN from using "&amp; Variables!E8 &amp;". You MUST enforce the "&amp; Variables!E9 &amp;" and data structures of that specific library."</f>
        <v>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v>
      </c>
      <c r="E54" s="77"/>
      <c r="F54" s="32" t="s">
        <v>224</v>
      </c>
    </row>
    <row r="55" spans="2:6">
      <c r="B55" s="54" t="s">
        <v>222</v>
      </c>
      <c r="C55" s="54" t="s">
        <v>172</v>
      </c>
      <c r="D55" s="90" t="s">
        <v>254</v>
      </c>
      <c r="E55" s="77" t="str">
        <f t="shared" si="1"/>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5" s="32" t="s">
        <v>224</v>
      </c>
    </row>
    <row r="56" spans="2:6">
      <c r="B56" s="54" t="s">
        <v>222</v>
      </c>
      <c r="C56" s="54" t="s">
        <v>491</v>
      </c>
      <c r="D56" s="90" t="s">
        <v>483</v>
      </c>
      <c r="E56" s="77" t="str">
        <f t="shared" si="1"/>
        <v>"[LANGUAGE SEED CONTEXT] " &amp; IF($AE$7 = "", "Language Seed Not Necessary", "You MUST strictly follow this seed context to enhance, adapt, and naturalize your tone, vocabulary, and instructional quality in " &amp; $B$6 &amp; ": " &amp; $AE$7) &amp; " | " &amp;</v>
      </c>
      <c r="F56" s="32" t="s">
        <v>224</v>
      </c>
    </row>
    <row r="57" spans="2:6">
      <c r="B57" s="54" t="s">
        <v>223</v>
      </c>
      <c r="C57" s="54" t="s">
        <v>230</v>
      </c>
      <c r="D57" s="90"/>
      <c r="E57" s="77" t="str">
        <f t="shared" si="1"/>
        <v/>
      </c>
      <c r="F57" s="32" t="s">
        <v>224</v>
      </c>
    </row>
    <row r="58" spans="2:6">
      <c r="B58" s="54" t="s">
        <v>223</v>
      </c>
      <c r="C58" s="54" t="s">
        <v>230</v>
      </c>
      <c r="D58" s="90"/>
      <c r="E58" s="77" t="str">
        <f t="shared" si="1"/>
        <v/>
      </c>
      <c r="F58" s="32" t="s">
        <v>224</v>
      </c>
    </row>
    <row r="59" spans="2:6">
      <c r="B59" s="54" t="s">
        <v>223</v>
      </c>
      <c r="C59" s="54" t="s">
        <v>230</v>
      </c>
      <c r="D59" s="90"/>
      <c r="E59" s="77" t="str">
        <f t="shared" si="1"/>
        <v/>
      </c>
      <c r="F59" s="32" t="s">
        <v>224</v>
      </c>
    </row>
    <row r="60" spans="2:6">
      <c r="B60" s="54" t="s">
        <v>271</v>
      </c>
      <c r="C60" s="54" t="s">
        <v>180</v>
      </c>
      <c r="D60" s="90" t="s">
        <v>417</v>
      </c>
      <c r="E60" s="77" t="str">
        <f t="shared" si="1"/>
        <v>"[CODE QUALITY RULE] Code MUST be correct and executable but not perfectly clean | " &amp;</v>
      </c>
      <c r="F60" s="32" t="s">
        <v>224</v>
      </c>
    </row>
    <row r="61" spans="2:6">
      <c r="B61" s="54" t="s">
        <v>271</v>
      </c>
      <c r="C61" s="54" t="s">
        <v>395</v>
      </c>
      <c r="D61" s="90" t="s">
        <v>418</v>
      </c>
      <c r="E61" s="77" t="str">
        <f t="shared" si="1"/>
        <v>"[DIRTY CODE RULE] Code MUST NOT include ANY comments and should include inconsistent naming, redundant logic, minor structural issues, and slightly messy organization while still remaining understandable as a complete working program | " &amp;</v>
      </c>
      <c r="F61" s="32" t="s">
        <v>224</v>
      </c>
    </row>
    <row r="62" spans="2:6">
      <c r="B62" s="54" t="s">
        <v>271</v>
      </c>
      <c r="C62" s="54" t="s">
        <v>190</v>
      </c>
      <c r="D62" s="90" t="s">
        <v>419</v>
      </c>
      <c r="E62" s="77" t="str">
        <f t="shared" si="1"/>
        <v>"[DATA ROBUSTNESS RULE] Handle real-world data safely | " &amp;</v>
      </c>
      <c r="F62" s="32" t="s">
        <v>224</v>
      </c>
    </row>
    <row r="63" spans="2:6">
      <c r="B63" s="54" t="s">
        <v>271</v>
      </c>
      <c r="C63" s="54" t="s">
        <v>207</v>
      </c>
      <c r="D63" s="90" t="s">
        <v>280</v>
      </c>
      <c r="E63" s="77" t="str">
        <f t="shared" si="1"/>
        <v>"[FORMAT RULE] Only valid markdown code blocks allowed | " &amp;</v>
      </c>
      <c r="F63" s="32" t="s">
        <v>224</v>
      </c>
    </row>
    <row r="64" spans="2:6">
      <c r="B64" s="54" t="s">
        <v>271</v>
      </c>
      <c r="C64" s="54" t="s">
        <v>209</v>
      </c>
      <c r="D64" s="90" t="s">
        <v>281</v>
      </c>
      <c r="E64" s="77" t="str">
        <f t="shared" si="1"/>
        <v>"[LANGUAGE TAG RULE] ALWAYS label markdown code blocks with the correct underlying programming language (e.g., python, javascript, sql) | " &amp;</v>
      </c>
      <c r="F64" s="32" t="s">
        <v>224</v>
      </c>
    </row>
    <row r="65" spans="2:6">
      <c r="B65" s="54" t="s">
        <v>271</v>
      </c>
      <c r="C65" s="54" t="s">
        <v>174</v>
      </c>
      <c r="D65" s="90" t="s">
        <v>420</v>
      </c>
      <c r="E65" s="77"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v>
      </c>
      <c r="F65" s="32" t="s">
        <v>224</v>
      </c>
    </row>
    <row r="66" spans="2:6">
      <c r="B66" s="54" t="s">
        <v>271</v>
      </c>
      <c r="C66" s="54" t="s">
        <v>187</v>
      </c>
      <c r="D66" s="90" t="s">
        <v>421</v>
      </c>
      <c r="E66" s="77" t="str">
        <f t="shared" si="1"/>
        <v>"[INTRO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v>
      </c>
      <c r="F66" s="32" t="s">
        <v>224</v>
      </c>
    </row>
    <row r="67" spans="2:6">
      <c r="B67" s="54" t="s">
        <v>271</v>
      </c>
      <c r="C67" s="54" t="s">
        <v>177</v>
      </c>
      <c r="D67" s="90" t="s">
        <v>422</v>
      </c>
      <c r="E67" s="77" t="str">
        <f t="shared" si="1"/>
        <v>"[OUTPUT CONTRACT] EXACTLY 1 project. Structure MUST be: 1. Tech Lead Intro Email 2. Project: Objective (max 6 lines), Expected Output (code block), Dirty Code | " &amp;</v>
      </c>
      <c r="F67" s="32" t="s">
        <v>224</v>
      </c>
    </row>
    <row r="68" spans="2:6">
      <c r="B68" s="54" t="s">
        <v>271</v>
      </c>
      <c r="C68" s="54" t="s">
        <v>406</v>
      </c>
      <c r="D68" s="90" t="s">
        <v>423</v>
      </c>
      <c r="E68" s="77" t="str">
        <f t="shared" si="1"/>
        <v>"[REVIEW INTENT RULE] The user is expected to review and refactor the project to improve structure, readability, and maintainability | " &amp;</v>
      </c>
      <c r="F68" s="32" t="s">
        <v>224</v>
      </c>
    </row>
    <row r="69" spans="2:6">
      <c r="B69" s="54" t="s">
        <v>271</v>
      </c>
      <c r="C69" s="54" t="s">
        <v>178</v>
      </c>
      <c r="D69" s="90" t="s">
        <v>424</v>
      </c>
      <c r="E69" s="77" t="str">
        <f t="shared" si="1"/>
        <v>"[CODE CONSTRAINTS] MUST be between " &amp; IF(G9="Beginner", "25–40", IF(G9="Intermediate", "30–60", "40–100")) &amp; " lines of EXECUTABLE code (STRICT: Do NOT count blank lines towards this limit) - Multi-step flow - NO classes - Code MUST run correctly BUT be slightly messy and contain NO comments | " &amp;</v>
      </c>
      <c r="F69" s="32" t="s">
        <v>224</v>
      </c>
    </row>
    <row r="70" spans="2:6">
      <c r="B70" s="54" t="s">
        <v>271</v>
      </c>
      <c r="C70" s="54" t="s">
        <v>194</v>
      </c>
      <c r="D70" s="90" t="s">
        <v>425</v>
      </c>
      <c r="E70" s="77" t="str">
        <f t="shared" si="1"/>
        <v>"[SUPPORT FILES RULE] Include config files before code if needed | " &amp;</v>
      </c>
      <c r="F70" s="32" t="s">
        <v>224</v>
      </c>
    </row>
    <row r="71" spans="2:6">
      <c r="B71" s="54" t="s">
        <v>271</v>
      </c>
      <c r="C71" s="54" t="s">
        <v>259</v>
      </c>
      <c r="D71" s="90" t="s">
        <v>426</v>
      </c>
      <c r="E71" s="77" t="str">
        <f t="shared" si="1"/>
        <v>"[EXECUTION RULE] Code MUST run and produce correct output | " &amp;</v>
      </c>
      <c r="F71" s="32" t="s">
        <v>224</v>
      </c>
    </row>
    <row r="72" spans="2:6">
      <c r="B72" s="54" t="s">
        <v>271</v>
      </c>
      <c r="C72" s="54" t="s">
        <v>212</v>
      </c>
      <c r="D72" s="90" t="s">
        <v>427</v>
      </c>
      <c r="E72" s="77" t="str">
        <f t="shared" si="1"/>
        <v>"[CONSISTENCY RULE] Project must match objective | " &amp;</v>
      </c>
      <c r="F72" s="32" t="s">
        <v>224</v>
      </c>
    </row>
    <row r="73" spans="2:6">
      <c r="B73" s="54" t="s">
        <v>271</v>
      </c>
      <c r="C73" s="54" t="s">
        <v>216</v>
      </c>
      <c r="D73" s="90" t="s">
        <v>428</v>
      </c>
      <c r="E73" s="77" t="str">
        <f t="shared" si="1"/>
        <v>"[OUTPUT] Only header, dataset summary or statement (if any), intro email, objective, expected output, code, and footer | " &amp;</v>
      </c>
      <c r="F73" s="32" t="s">
        <v>224</v>
      </c>
    </row>
    <row r="74" spans="2:6">
      <c r="B74" s="54" t="s">
        <v>271</v>
      </c>
      <c r="C74" s="54" t="s">
        <v>220</v>
      </c>
      <c r="D74" s="90" t="s">
        <v>380</v>
      </c>
      <c r="E74" s="77" t="str">
        <f t="shared" si="1"/>
        <v>"[FOOTER RULE - STRICT] End your entire response EXACTLY with this markdown string (ensure all code blocks are closed before it):" &amp; CHAR(10) &amp; "---" &amp; CHAR(10) &amp; "⚡ *Coding5s System - Learn Programming by Writing Code - Coding5S.com*")</v>
      </c>
      <c r="F74" s="32" t="s">
        <v>224</v>
      </c>
    </row>
    <row r="75" spans="2:6">
      <c r="B75" s="54"/>
      <c r="C75" s="54"/>
      <c r="D75" s="90"/>
      <c r="E75" s="77" t="str">
        <f t="shared" si="1"/>
        <v/>
      </c>
      <c r="F75" s="32" t="s">
        <v>224</v>
      </c>
    </row>
    <row r="76" spans="2:6">
      <c r="B76" s="54"/>
      <c r="C76" s="54"/>
      <c r="D76" s="90"/>
      <c r="E76" s="77" t="str">
        <f t="shared" si="1"/>
        <v/>
      </c>
      <c r="F76" s="32" t="s">
        <v>224</v>
      </c>
    </row>
    <row r="77" spans="2:6">
      <c r="E77" s="86"/>
      <c r="F77" t="s">
        <v>224</v>
      </c>
    </row>
    <row r="79" spans="2:6" ht="36">
      <c r="B79" s="80" t="s">
        <v>438</v>
      </c>
    </row>
    <row r="80" spans="2:6">
      <c r="B80" s="76" t="s">
        <v>221</v>
      </c>
      <c r="C80" s="76" t="s">
        <v>579</v>
      </c>
      <c r="D80" s="76" t="s">
        <v>580</v>
      </c>
      <c r="E80" s="89" t="s">
        <v>234</v>
      </c>
      <c r="F80" s="54" t="s">
        <v>224</v>
      </c>
    </row>
    <row r="81" spans="2:6">
      <c r="B81" s="54" t="s">
        <v>222</v>
      </c>
      <c r="C81" s="54" t="s">
        <v>429</v>
      </c>
      <c r="D81" s="90" t="s">
        <v>430</v>
      </c>
      <c r="E81" s="17" t="str">
        <f t="shared" ref="E81:E96" si="2">IF(D81="","",""""&amp;C81&amp;" "&amp;IF(OR(C81="[FOOTER RULE - STRICT]",C81="[FOOTER RULE]"),D81,IF(RIGHT(D81,6)=" | "&amp;CHAR(34)&amp;" &amp;",D81,D81&amp;" | "&amp;CHAR(34)&amp;" &amp;")))</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v>
      </c>
      <c r="F81" s="54" t="s">
        <v>224</v>
      </c>
    </row>
    <row r="82" spans="2:6">
      <c r="B82" s="54" t="s">
        <v>222</v>
      </c>
      <c r="C82" s="54" t="s">
        <v>236</v>
      </c>
      <c r="D82" s="90" t="s">
        <v>431</v>
      </c>
      <c r="E82" s="17" t="str">
        <f t="shared" si="2"/>
        <v>"[CULTURAL &amp; JARGON RULE] If the language (" &amp; $B$6 &amp; ")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v>
      </c>
      <c r="F82" s="54" t="s">
        <v>224</v>
      </c>
    </row>
    <row r="83" spans="2:6">
      <c r="B83" s="54" t="s">
        <v>222</v>
      </c>
      <c r="C83" s="54" t="s">
        <v>237</v>
      </c>
      <c r="D83" s="90" t="s">
        <v>781</v>
      </c>
      <c r="E83" s="17" t="str">
        <f t="shared" si="2"/>
        <v>"[CONTEXT] You are performing a Code Review for a " &amp; IF(UPPER(H9)="PROJECT", "PROJECT: " &amp; I9 &amp; ". Topics involved: " &amp; A9 &amp; ". Project objective: " &amp; J9, "TOPIC: " &amp; I9 &amp; ". Topic details: " &amp; J9) &amp; " | " &amp;</v>
      </c>
      <c r="F83" s="54" t="s">
        <v>224</v>
      </c>
    </row>
    <row r="84" spans="2:6">
      <c r="B84" s="54" t="s">
        <v>222</v>
      </c>
      <c r="C84" s="54" t="s">
        <v>162</v>
      </c>
      <c r="D84" s="90" t="s">
        <v>432</v>
      </c>
      <c r="E84" s="17" t="str">
        <f t="shared" si="2"/>
        <v>"[TASK]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v>
      </c>
      <c r="F84" s="54" t="s">
        <v>224</v>
      </c>
    </row>
    <row r="85" spans="2:6">
      <c r="B85" s="54" t="s">
        <v>222</v>
      </c>
      <c r="C85" s="54" t="s">
        <v>229</v>
      </c>
      <c r="D85" s="90" t="s">
        <v>267</v>
      </c>
      <c r="E85" s="17" t="str">
        <f t="shared" si="2"/>
        <v>"[LIBRARY BEING LEARNED] " &amp; $I$3 &amp; " | " &amp;</v>
      </c>
      <c r="F85" s="54" t="s">
        <v>224</v>
      </c>
    </row>
    <row r="86" spans="2:6">
      <c r="B86" s="54" t="s">
        <v>222</v>
      </c>
      <c r="C86" s="54" t="s">
        <v>172</v>
      </c>
      <c r="D86" s="90" t="s">
        <v>254</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491</v>
      </c>
      <c r="D87" s="90" t="s">
        <v>483</v>
      </c>
      <c r="E87" s="17" t="str">
        <f t="shared" si="2"/>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0" t="s">
        <v>592</v>
      </c>
      <c r="E88" s="17" t="str">
        <f t="shared" si="2"/>
        <v>"[HEADER RULE - STRICT] 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v>
      </c>
      <c r="F88" s="54" t="s">
        <v>224</v>
      </c>
    </row>
    <row r="89" spans="2:6">
      <c r="B89" s="54" t="s">
        <v>223</v>
      </c>
      <c r="C89" s="54" t="s">
        <v>230</v>
      </c>
      <c r="D89" s="90"/>
      <c r="E89" s="17" t="str">
        <f t="shared" si="2"/>
        <v/>
      </c>
      <c r="F89" s="54" t="s">
        <v>224</v>
      </c>
    </row>
    <row r="90" spans="2:6">
      <c r="B90" s="54" t="s">
        <v>223</v>
      </c>
      <c r="C90" s="54" t="s">
        <v>230</v>
      </c>
      <c r="D90" s="90"/>
      <c r="E90" s="17" t="str">
        <f t="shared" si="2"/>
        <v/>
      </c>
      <c r="F90" s="54" t="s">
        <v>224</v>
      </c>
    </row>
    <row r="91" spans="2:6">
      <c r="B91" s="54" t="s">
        <v>223</v>
      </c>
      <c r="C91" s="54" t="s">
        <v>243</v>
      </c>
      <c r="D91" s="90" t="str">
        <f>Variables!E58 &amp; " | " &amp; CHAR(34) &amp; " &amp;"</f>
        <v>Code MUST adhere strictly to PEP 8 guidelines. Use snake_case for variables/functions, UPPER_CASE for constants, snake_case for files. Avoid global state; emphasize strict type hints, functools, and clean functional architectures without OOP classes. | " &amp;</v>
      </c>
      <c r="E91" s="17" t="str">
        <f t="shared" si="2"/>
        <v>"[PYTHON QUALITY RULE - STRICT] Code MUST adhere strictly to PEP 8 guidelines. Use snake_case for variables/functions, UPPER_CASE for constants, snake_case for files. Avoid global state; emphasize strict type hints, functools, and clean functional architectures without OOP classes. | " &amp;</v>
      </c>
      <c r="F91" s="54" t="s">
        <v>224</v>
      </c>
    </row>
    <row r="92" spans="2:6">
      <c r="B92" s="54" t="s">
        <v>271</v>
      </c>
      <c r="C92" s="54" t="s">
        <v>238</v>
      </c>
      <c r="D92" s="90" t="s">
        <v>433</v>
      </c>
      <c r="E92" s="17" t="str">
        <f t="shared" si="2"/>
        <v>"[EMPTY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v>
      </c>
      <c r="F92" s="54" t="s">
        <v>224</v>
      </c>
    </row>
    <row r="93" spans="2:6">
      <c r="B93" s="54" t="s">
        <v>271</v>
      </c>
      <c r="C93" s="54" t="s">
        <v>240</v>
      </c>
      <c r="D93" s="90" t="s">
        <v>434</v>
      </c>
      <c r="E93" s="17" t="str">
        <f t="shared" si="2"/>
        <v>"[PHASE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v>
      </c>
      <c r="F93" s="54" t="s">
        <v>224</v>
      </c>
    </row>
    <row r="94" spans="2:6">
      <c r="B94" s="54" t="s">
        <v>271</v>
      </c>
      <c r="C94" s="54" t="s">
        <v>241</v>
      </c>
      <c r="D94" s="90" t="s">
        <v>435</v>
      </c>
      <c r="E94" s="17" t="str">
        <f t="shared" si="2"/>
        <v>"[EXPLANATION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v>
      </c>
      <c r="F94" s="54" t="s">
        <v>224</v>
      </c>
    </row>
    <row r="95" spans="2:6">
      <c r="B95" s="54" t="s">
        <v>271</v>
      </c>
      <c r="C95" s="54" t="s">
        <v>244</v>
      </c>
      <c r="D95" s="90" t="s">
        <v>436</v>
      </c>
      <c r="E95" s="17" t="str">
        <f t="shared" si="2"/>
        <v>"[PHASE 2: FULL SOLUTION - STRICT] 1. Provide the 'Senior' version: clean, elegant, and good " &amp; $I$2 &amp; "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v>
      </c>
      <c r="F95" s="54" t="s">
        <v>224</v>
      </c>
    </row>
    <row r="96" spans="2:6">
      <c r="B96" s="54" t="s">
        <v>271</v>
      </c>
      <c r="C96" s="54" t="s">
        <v>330</v>
      </c>
      <c r="D96" s="90" t="s">
        <v>500</v>
      </c>
      <c r="E96" s="17" t="str">
        <f t="shared" si="2"/>
        <v>"[FOOTER RULE] End your response with: '--- ⚡ *Coding5s Mentor System — Eliminating Technical Debt with Elegance*'",</v>
      </c>
      <c r="F96" s="54" t="s">
        <v>224</v>
      </c>
    </row>
    <row r="97" spans="2:6">
      <c r="B97" s="54"/>
      <c r="C97" s="54"/>
      <c r="D97" s="90"/>
      <c r="E97" s="88" t="s">
        <v>437</v>
      </c>
      <c r="F97" s="54" t="s">
        <v>224</v>
      </c>
    </row>
    <row r="98" spans="2:6">
      <c r="B98" s="54"/>
      <c r="C98" s="54"/>
      <c r="D98" s="90"/>
      <c r="E98" s="77" t="str">
        <f t="shared" ref="E98:E100" si="3">IF(D98="","",""""&amp;C98&amp;" "&amp;IF(C98="[FOOTER RULE - STRICT]",D98,IF(RIGHT(D98,6)=" | "&amp;CHAR(34)&amp;" &amp;",D98,D98&amp;" | "&amp;CHAR(34)&amp;" &amp;")))</f>
        <v/>
      </c>
      <c r="F98" s="54" t="s">
        <v>224</v>
      </c>
    </row>
    <row r="99" spans="2:6">
      <c r="B99" s="54"/>
      <c r="C99" s="54"/>
      <c r="D99" s="90"/>
      <c r="E99" s="77" t="str">
        <f t="shared" si="3"/>
        <v/>
      </c>
      <c r="F99" s="54" t="s">
        <v>224</v>
      </c>
    </row>
    <row r="100" spans="2:6">
      <c r="B100" s="54"/>
      <c r="C100" s="54"/>
      <c r="D100" s="90"/>
      <c r="E100" s="77" t="str">
        <f t="shared" si="3"/>
        <v/>
      </c>
      <c r="F100" s="54" t="s">
        <v>224</v>
      </c>
    </row>
  </sheetData>
  <conditionalFormatting sqref="B1:B1048576">
    <cfRule type="cellIs" dxfId="23" priority="13" operator="equal">
      <formula>"The Immutable Kernel"</formula>
    </cfRule>
    <cfRule type="cellIs" dxfId="22" priority="14" operator="equal">
      <formula>"Paradigm &amp; Ecosystem"</formula>
    </cfRule>
    <cfRule type="cellIs" dxfId="21" priority="15" operator="equal">
      <formula>"Global Variables &amp; Configuration"</formula>
    </cfRule>
  </conditionalFormatting>
  <conditionalFormatting sqref="C4:C41">
    <cfRule type="expression" dxfId="20" priority="10">
      <formula>$B4="The Immutable Kernel"</formula>
    </cfRule>
    <cfRule type="expression" dxfId="19" priority="11">
      <formula>$B4="Paradigm &amp; Ecosystem"</formula>
    </cfRule>
    <cfRule type="expression" dxfId="18" priority="12">
      <formula>$B4="Global Variables &amp; Configuration"</formula>
    </cfRule>
  </conditionalFormatting>
  <conditionalFormatting sqref="C46:C76">
    <cfRule type="expression" dxfId="17" priority="1">
      <formula>$B46="The Immutable Kernel"</formula>
    </cfRule>
    <cfRule type="expression" dxfId="16" priority="2">
      <formula>$B46="Paradigm &amp; Ecosystem"</formula>
    </cfRule>
    <cfRule type="expression" dxfId="15" priority="3">
      <formula>$B46="Global Variables &amp; Configuration"</formula>
    </cfRule>
  </conditionalFormatting>
  <conditionalFormatting sqref="C81:C100">
    <cfRule type="expression" dxfId="14" priority="4">
      <formula>$B81="The Immutable Kernel"</formula>
    </cfRule>
    <cfRule type="expression" dxfId="13" priority="5">
      <formula>$B81="Paradigm &amp; Ecosystem"</formula>
    </cfRule>
    <cfRule type="expression" dxfId="12" priority="6">
      <formula>$B81="Global Variables &amp; Configuration"</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25615-307B-4FE6-8E0D-5A0ED377C484}">
  <sheetPr>
    <tabColor theme="4" tint="0.79998168889431442"/>
  </sheetPr>
  <dimension ref="B2:AC100"/>
  <sheetViews>
    <sheetView showGridLines="0" topLeftCell="A76" zoomScaleNormal="100" workbookViewId="0">
      <selection activeCell="E80" sqref="E80:E96"/>
    </sheetView>
  </sheetViews>
  <sheetFormatPr defaultRowHeight="15"/>
  <cols>
    <col min="1" max="1" width="5.42578125" customWidth="1"/>
    <col min="2" max="2" width="36.85546875" customWidth="1"/>
    <col min="3" max="3" width="33" customWidth="1"/>
    <col min="4" max="4" width="85.28515625" customWidth="1"/>
    <col min="5" max="5" width="39.5703125" style="85" customWidth="1"/>
    <col min="6" max="6" width="4" customWidth="1"/>
  </cols>
  <sheetData>
    <row r="2" spans="2:29" ht="36">
      <c r="B2" s="78" t="s">
        <v>449</v>
      </c>
      <c r="D2" s="81" t="s">
        <v>450</v>
      </c>
      <c r="H2" s="82"/>
      <c r="T2" s="82"/>
    </row>
    <row r="3" spans="2:29">
      <c r="B3" s="76" t="s">
        <v>221</v>
      </c>
      <c r="C3" s="76" t="s">
        <v>579</v>
      </c>
      <c r="D3" s="76" t="s">
        <v>580</v>
      </c>
      <c r="E3" s="88" t="s">
        <v>228</v>
      </c>
      <c r="F3" s="4" t="s">
        <v>224</v>
      </c>
      <c r="AC3" t="s">
        <v>224</v>
      </c>
    </row>
    <row r="4" spans="2:29">
      <c r="B4" s="75" t="s">
        <v>222</v>
      </c>
      <c r="C4" s="54" t="s">
        <v>160</v>
      </c>
      <c r="D4" s="91" t="s">
        <v>453</v>
      </c>
      <c r="E4" s="77" t="str">
        <f t="shared" ref="E4:E41" si="0">IF(D4="","",""""&amp;C4&amp;" "&amp;IF(C4="[FOOTER RULE - STRICT]",D4,IF(RIGHT(D4,6)=" | "&amp;CHAR(34)&amp;" &amp;",D4,D4&amp;" | "&amp;CHAR(34)&amp;" &amp;")))</f>
        <v>"[ROLE] Tech Product Manager assigning a " &amp; $I$2 &amp; " Jira Ticket | " &amp;</v>
      </c>
      <c r="F4" s="54" t="s">
        <v>224</v>
      </c>
    </row>
    <row r="5" spans="2:29">
      <c r="B5" s="75" t="s">
        <v>222</v>
      </c>
      <c r="C5" s="54" t="s">
        <v>162</v>
      </c>
      <c r="D5" s="91" t="s">
        <v>454</v>
      </c>
      <c r="E5" s="77" t="str">
        <f t="shared" si="0"/>
        <v>"[TASK] Provide a guided implementation exercise with full solution for learning purposes | " &amp;</v>
      </c>
      <c r="F5" s="54" t="s">
        <v>224</v>
      </c>
    </row>
    <row r="6" spans="2:29">
      <c r="B6" s="75" t="s">
        <v>222</v>
      </c>
      <c r="C6" s="54" t="s">
        <v>164</v>
      </c>
      <c r="D6" s="91" t="s">
        <v>165</v>
      </c>
      <c r="E6" s="77" t="str">
        <f t="shared" si="0"/>
        <v>"[TOPIC] " &amp; I9 &amp; " | " &amp;</v>
      </c>
      <c r="F6" s="54" t="s">
        <v>224</v>
      </c>
    </row>
    <row r="7" spans="2:29">
      <c r="B7" s="75" t="s">
        <v>222</v>
      </c>
      <c r="C7" s="54" t="s">
        <v>166</v>
      </c>
      <c r="D7" s="91" t="s">
        <v>167</v>
      </c>
      <c r="E7" s="77" t="str">
        <f t="shared" si="0"/>
        <v>"[LEVEL] " &amp; G9 &amp; " | " &amp;</v>
      </c>
      <c r="F7" s="54" t="s">
        <v>224</v>
      </c>
    </row>
    <row r="8" spans="2:29">
      <c r="B8" s="75" t="s">
        <v>222</v>
      </c>
      <c r="C8" s="54" t="s">
        <v>229</v>
      </c>
      <c r="D8" s="91" t="s">
        <v>267</v>
      </c>
      <c r="E8" s="77" t="str">
        <f t="shared" si="0"/>
        <v>"[LIBRARY BEING LEARNED] " &amp; $I$3 &amp; " | " &amp;</v>
      </c>
      <c r="F8" s="54" t="s">
        <v>224</v>
      </c>
    </row>
    <row r="9" spans="2:29">
      <c r="B9" s="75" t="s">
        <v>222</v>
      </c>
      <c r="C9" s="54" t="s">
        <v>225</v>
      </c>
      <c r="D9" s="91" t="str">
        <f>"If a module or ecosystem like "&amp; Variables!E6 &amp;" is specified in "&amp; Variables!E7 &amp;", you are CRITICALLY FORBIDDEN from using "&amp; Variables!E8 &amp;". You MUST enforce the "&amp; Variables!E9 &amp;" and data structures of that specific library."</f>
        <v>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v>
      </c>
      <c r="E9" s="77" t="str">
        <f t="shared" si="0"/>
        <v>"[ECOSYSTEM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v>
      </c>
      <c r="F9" s="54" t="s">
        <v>224</v>
      </c>
    </row>
    <row r="10" spans="2:29">
      <c r="B10" s="75" t="s">
        <v>222</v>
      </c>
      <c r="C10" s="54" t="s">
        <v>170</v>
      </c>
      <c r="D10" s="91" t="s">
        <v>455</v>
      </c>
      <c r="E10" s="77" t="str">
        <f t="shared" si="0"/>
        <v>"[PERSONA RULE] Act as a professional Tech Product Manager writing clear Jira tickets | " &amp;</v>
      </c>
      <c r="F10" s="54" t="s">
        <v>224</v>
      </c>
    </row>
    <row r="11" spans="2:29">
      <c r="B11" s="75" t="s">
        <v>222</v>
      </c>
      <c r="C11" s="54" t="s">
        <v>172</v>
      </c>
      <c r="D11" s="91" t="s">
        <v>393</v>
      </c>
      <c r="E11" s="77" t="str">
        <f t="shared" si="0"/>
        <v>"[LANGUAGE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v>
      </c>
      <c r="F11" s="54" t="s">
        <v>224</v>
      </c>
    </row>
    <row r="12" spans="2:29">
      <c r="B12" s="75" t="s">
        <v>222</v>
      </c>
      <c r="C12" s="54" t="s">
        <v>491</v>
      </c>
      <c r="D12" s="91" t="s">
        <v>483</v>
      </c>
      <c r="E12" s="77" t="str">
        <f t="shared" si="0"/>
        <v>"[LANGUAGE SEED CONTEXT] " &amp; IF($AE$7 = "", "Language Seed Not Necessary", "You MUST strictly follow this seed context to enhance, adapt, and naturalize your tone, vocabulary, and instructional quality in " &amp; $B$6 &amp; ": " &amp; $AE$7) &amp; " | " &amp;</v>
      </c>
      <c r="F12" s="54" t="s">
        <v>224</v>
      </c>
    </row>
    <row r="13" spans="2:29">
      <c r="B13" s="75" t="s">
        <v>222</v>
      </c>
      <c r="C13" s="54" t="s">
        <v>215</v>
      </c>
      <c r="D13" s="91" t="s">
        <v>593</v>
      </c>
      <c r="E13" s="77" t="str">
        <f t="shared" si="0"/>
        <v>"[HEADER RULE - STRICT] 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v>
      </c>
      <c r="F13" s="54" t="s">
        <v>224</v>
      </c>
    </row>
    <row r="14" spans="2:29">
      <c r="B14" s="83" t="s">
        <v>223</v>
      </c>
      <c r="C14" s="54" t="s">
        <v>230</v>
      </c>
      <c r="D14" s="91"/>
      <c r="E14" s="77" t="str">
        <f t="shared" si="0"/>
        <v/>
      </c>
      <c r="F14" s="54" t="s">
        <v>224</v>
      </c>
    </row>
    <row r="15" spans="2:29">
      <c r="B15" s="83" t="s">
        <v>223</v>
      </c>
      <c r="C15" s="54" t="s">
        <v>230</v>
      </c>
      <c r="D15" s="91"/>
      <c r="E15" s="77" t="str">
        <f t="shared" si="0"/>
        <v/>
      </c>
      <c r="F15" s="54" t="s">
        <v>224</v>
      </c>
    </row>
    <row r="16" spans="2:29">
      <c r="B16" s="54" t="s">
        <v>271</v>
      </c>
      <c r="C16" s="54" t="s">
        <v>682</v>
      </c>
      <c r="D16" s="91" t="s">
        <v>460</v>
      </c>
      <c r="E16" s="77" t="str">
        <f t="shared" si="0"/>
        <v>"[FUNCTIONAL_STRUCTURE_POLICY] Rule: " &amp; IF(G9="Beginner", "Use simple scripts or minimal functions. ", IF(G9="Intermediate", "Use functions where appropriate. ", "Use modular functions with clear structure. ")) &amp; " | " &amp;</v>
      </c>
      <c r="F16" s="54" t="s">
        <v>224</v>
      </c>
    </row>
    <row r="17" spans="2:6">
      <c r="B17" s="54" t="s">
        <v>271</v>
      </c>
      <c r="C17" s="54" t="s">
        <v>681</v>
      </c>
      <c r="D17" s="91" t="s">
        <v>683</v>
      </c>
      <c r="E17" s="77" t="str">
        <f t="shared" si="0"/>
        <v>"[DETERMINISTIC_OUTPUT_PROTOCOL]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v>
      </c>
      <c r="F17" s="54" t="s">
        <v>224</v>
      </c>
    </row>
    <row r="18" spans="2:6">
      <c r="B18" s="54" t="s">
        <v>271</v>
      </c>
      <c r="C18" s="54" t="s">
        <v>180</v>
      </c>
      <c r="D18" s="91" t="s">
        <v>461</v>
      </c>
      <c r="E18" s="77" t="str">
        <f t="shared" si="0"/>
        <v>"[CODE QUALITY RULE] Code MUST be clean, readable, and production-like | " &amp;</v>
      </c>
      <c r="F18" s="54" t="s">
        <v>224</v>
      </c>
    </row>
    <row r="19" spans="2:6">
      <c r="B19" s="54" t="s">
        <v>271</v>
      </c>
      <c r="C19" s="54" t="s">
        <v>188</v>
      </c>
      <c r="D19" s="91" t="s">
        <v>680</v>
      </c>
      <c r="E19" s="77" t="str">
        <f t="shared" si="0"/>
        <v>"[FILE HANDLING RULE] Use correct loaders and enforce encoding='utf-8' and newline=' when applicable or supported by the programming language. | " &amp;</v>
      </c>
      <c r="F19" s="54" t="s">
        <v>224</v>
      </c>
    </row>
    <row r="20" spans="2:6">
      <c r="B20" s="54" t="s">
        <v>271</v>
      </c>
      <c r="C20" s="54" t="s">
        <v>189</v>
      </c>
      <c r="D20" s="91" t="s">
        <v>679</v>
      </c>
      <c r="E20" s="77" t="str">
        <f t="shared" si="0"/>
        <v>"[DATA TYPE RULE] Explicit casting required before calculations if the programming language requires it. | " &amp;</v>
      </c>
      <c r="F20" s="54" t="s">
        <v>224</v>
      </c>
    </row>
    <row r="21" spans="2:6">
      <c r="B21" s="54" t="s">
        <v>271</v>
      </c>
      <c r="C21" s="54" t="s">
        <v>190</v>
      </c>
      <c r="D21" s="91" t="s">
        <v>462</v>
      </c>
      <c r="E21" s="77" t="str">
        <f t="shared" si="0"/>
        <v>"[DATA ROBUSTNESS RULE] Handle missing or malformed data safely | " &amp;</v>
      </c>
      <c r="F21" s="54" t="s">
        <v>224</v>
      </c>
    </row>
    <row r="22" spans="2:6">
      <c r="B22" s="54" t="s">
        <v>271</v>
      </c>
      <c r="C22" s="54" t="s">
        <v>191</v>
      </c>
      <c r="D22" s="91" t="s">
        <v>678</v>
      </c>
      <c r="E22" s="77" t="str">
        <f t="shared" si="0"/>
        <v>"[BOOLEAN HANDLING RULE] Normalize boolean values before comparison if the programming language requires it. | " &amp;</v>
      </c>
      <c r="F22" s="54" t="s">
        <v>224</v>
      </c>
    </row>
    <row r="23" spans="2:6">
      <c r="B23" s="54" t="s">
        <v>271</v>
      </c>
      <c r="C23" s="54" t="s">
        <v>192</v>
      </c>
      <c r="D23" s="91" t="s">
        <v>400</v>
      </c>
      <c r="E23" s="77" t="str">
        <f t="shared" si="0"/>
        <v>"[DATA CONSISTENCY RULE] Respect dataset schema | " &amp;</v>
      </c>
      <c r="F23" s="54" t="s">
        <v>224</v>
      </c>
    </row>
    <row r="24" spans="2:6">
      <c r="B24" s="54" t="s">
        <v>271</v>
      </c>
      <c r="C24" s="54" t="s">
        <v>456</v>
      </c>
      <c r="D24" s="91" t="s">
        <v>457</v>
      </c>
      <c r="E24" s="77" t="str">
        <f t="shared" si="0"/>
        <v>"[TICKET FORMAT RULE - STRICT] The 'Context &amp; Ticket' section MUST begin with this EXACT text (translated to " &amp; $B$6 &amp; "):" &amp; CHAR(10) &amp;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v>
      </c>
      <c r="F24" s="54" t="s">
        <v>224</v>
      </c>
    </row>
    <row r="25" spans="2:6">
      <c r="B25" s="54" t="s">
        <v>271</v>
      </c>
      <c r="C25" s="54" t="s">
        <v>174</v>
      </c>
      <c r="D25" s="91" t="s">
        <v>685</v>
      </c>
      <c r="E25" s="77" t="str">
        <f t="shared" si="0"/>
        <v>"[DATA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v>
      </c>
      <c r="F25" s="54" t="s">
        <v>224</v>
      </c>
    </row>
    <row r="26" spans="2:6">
      <c r="B26" s="54" t="s">
        <v>271</v>
      </c>
      <c r="C26" s="54" t="s">
        <v>175</v>
      </c>
      <c r="D26" s="91" t="s">
        <v>403</v>
      </c>
      <c r="E26" s="77" t="str">
        <f t="shared" si="0"/>
        <v>"[DATA SUMMARY FORMAT RULE] When a dataset is present, you MUST display IMMEDIATELY AFTER THE HEADER: Dataset Summary: - File Type: - Columns / Fields: - Data Types: - Notes: | " &amp;</v>
      </c>
      <c r="F26" s="54" t="s">
        <v>224</v>
      </c>
    </row>
    <row r="27" spans="2:6">
      <c r="B27" s="54" t="s">
        <v>271</v>
      </c>
      <c r="C27" s="54" t="s">
        <v>177</v>
      </c>
      <c r="D27" s="91" t="s">
        <v>490</v>
      </c>
      <c r="E27" s="77" t="str">
        <f t="shared" si="0"/>
        <v>"[OUTPUT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v>
      </c>
      <c r="F27" s="54" t="s">
        <v>224</v>
      </c>
    </row>
    <row r="28" spans="2:6">
      <c r="B28" s="54" t="s">
        <v>271</v>
      </c>
      <c r="C28" s="54" t="s">
        <v>178</v>
      </c>
      <c r="D28" s="91" t="s">
        <v>458</v>
      </c>
      <c r="E28" s="77" t="str">
        <f t="shared" si="0"/>
        <v>"[CODE CONSTRAINTS] V1.0 MUST be between " &amp; IF(G9="Beginner", "10–20", IF(G9="Intermediate", "15–30", "25–40")) &amp; " lines of EXECUTABLE code (STRICT) - V1.1 MUST be between " &amp; IF(G9="Beginner", "15–30", IF(G9="Intermediate", "25–45", "35–60")) &amp; " lines of EXECUTABLE code (STRICT) - Do NOT count comments or blank lines towards these limits - ALL code MUST run without errors - MUST be executable and realistic - MUST include a clear integration point - MUST NOT include unused imports - NO classes - NO unnecessary complexity | " &amp;</v>
      </c>
      <c r="F28" s="54" t="s">
        <v>224</v>
      </c>
    </row>
    <row r="29" spans="2:6">
      <c r="B29" s="54" t="s">
        <v>271</v>
      </c>
      <c r="C29" s="54" t="s">
        <v>299</v>
      </c>
      <c r="D29" s="91" t="s">
        <v>463</v>
      </c>
      <c r="E29" s="77" t="str">
        <f t="shared" si="0"/>
        <v>"[SUPPORT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v>
      </c>
      <c r="F29" s="54" t="s">
        <v>224</v>
      </c>
    </row>
    <row r="30" spans="2:6">
      <c r="B30" s="54" t="s">
        <v>271</v>
      </c>
      <c r="C30" s="54" t="s">
        <v>195</v>
      </c>
      <c r="D30" s="91" t="s">
        <v>410</v>
      </c>
      <c r="E30" s="77" t="str">
        <f t="shared" si="0"/>
        <v>"[DIFFICULTY RULE] Complexity MUST match level | " &amp;</v>
      </c>
      <c r="F30" s="54" t="s">
        <v>224</v>
      </c>
    </row>
    <row r="31" spans="2:6">
      <c r="B31" s="54" t="s">
        <v>271</v>
      </c>
      <c r="C31" s="54" t="s">
        <v>207</v>
      </c>
      <c r="D31" s="91" t="s">
        <v>280</v>
      </c>
      <c r="E31" s="77" t="str">
        <f t="shared" si="0"/>
        <v>"[FORMAT RULE] Only valid markdown code blocks allowed | " &amp;</v>
      </c>
      <c r="F31" s="54" t="s">
        <v>224</v>
      </c>
    </row>
    <row r="32" spans="2:6">
      <c r="B32" s="54" t="s">
        <v>271</v>
      </c>
      <c r="C32" s="54" t="s">
        <v>209</v>
      </c>
      <c r="D32" s="91" t="s">
        <v>281</v>
      </c>
      <c r="E32" s="77" t="str">
        <f t="shared" si="0"/>
        <v>"[LANGUAGE TAG RULE] ALWAYS label markdown code blocks with the correct underlying programming language (e.g., python, javascript, sql) | " &amp;</v>
      </c>
      <c r="F32" s="54" t="s">
        <v>224</v>
      </c>
    </row>
    <row r="33" spans="2:6">
      <c r="B33" s="54" t="s">
        <v>271</v>
      </c>
      <c r="C33" s="54" t="s">
        <v>216</v>
      </c>
      <c r="D33" s="91" t="s">
        <v>464</v>
      </c>
      <c r="E33" s="77" t="str">
        <f t="shared" si="0"/>
        <v>"[OUTPUT] Only header, dataset summary or statement (if any), the defined sections, and footer | " &amp;</v>
      </c>
      <c r="F33" s="54" t="s">
        <v>224</v>
      </c>
    </row>
    <row r="34" spans="2:6">
      <c r="B34" s="54" t="s">
        <v>271</v>
      </c>
      <c r="C34" s="54" t="s">
        <v>220</v>
      </c>
      <c r="D34" s="91" t="s">
        <v>465</v>
      </c>
      <c r="E34" s="77" t="str">
        <f t="shared" si="0"/>
        <v>"[FOOTER RULE - STRICT] End your entire response EXACTLY with this markdown string (ensure all code blocks are closed before it):" &amp; CHAR(10) &amp; "---" &amp; CHAR(10) &amp; "⚡ *Coding5s System — Learn Programming by Writing Code*",</v>
      </c>
      <c r="F34" s="54" t="s">
        <v>224</v>
      </c>
    </row>
    <row r="35" spans="2:6">
      <c r="B35" s="54"/>
      <c r="C35" s="54"/>
      <c r="D35" s="91"/>
      <c r="E35" s="88" t="s">
        <v>466</v>
      </c>
      <c r="F35" s="54" t="s">
        <v>224</v>
      </c>
    </row>
    <row r="36" spans="2:6">
      <c r="B36" s="54"/>
      <c r="C36" s="54"/>
      <c r="D36" s="91"/>
      <c r="E36" s="77" t="str">
        <f t="shared" si="0"/>
        <v/>
      </c>
      <c r="F36" s="54" t="s">
        <v>224</v>
      </c>
    </row>
    <row r="37" spans="2:6">
      <c r="B37" s="54"/>
      <c r="C37" s="54"/>
      <c r="D37" s="91"/>
      <c r="E37" s="77" t="str">
        <f t="shared" si="0"/>
        <v/>
      </c>
      <c r="F37" s="54" t="s">
        <v>224</v>
      </c>
    </row>
    <row r="38" spans="2:6">
      <c r="B38" s="54"/>
      <c r="C38" s="54"/>
      <c r="D38" s="91"/>
      <c r="E38" s="77" t="str">
        <f t="shared" si="0"/>
        <v/>
      </c>
      <c r="F38" s="54" t="s">
        <v>224</v>
      </c>
    </row>
    <row r="39" spans="2:6">
      <c r="B39" s="54"/>
      <c r="C39" s="54"/>
      <c r="D39" s="91"/>
      <c r="E39" s="77" t="str">
        <f t="shared" si="0"/>
        <v/>
      </c>
      <c r="F39" s="54" t="s">
        <v>224</v>
      </c>
    </row>
    <row r="40" spans="2:6">
      <c r="B40" s="54"/>
      <c r="C40" s="54"/>
      <c r="D40" s="91"/>
      <c r="E40" s="77" t="str">
        <f t="shared" si="0"/>
        <v/>
      </c>
      <c r="F40" s="54" t="s">
        <v>224</v>
      </c>
    </row>
    <row r="41" spans="2:6">
      <c r="B41" s="54"/>
      <c r="C41" s="54"/>
      <c r="D41" s="91"/>
      <c r="E41" s="77" t="str">
        <f t="shared" si="0"/>
        <v/>
      </c>
      <c r="F41" s="54" t="s">
        <v>224</v>
      </c>
    </row>
    <row r="42" spans="2:6">
      <c r="B42" s="54"/>
      <c r="C42" s="54"/>
      <c r="D42" s="91"/>
      <c r="E42" s="77"/>
      <c r="F42" s="54"/>
    </row>
    <row r="43" spans="2:6">
      <c r="B43" s="74"/>
      <c r="C43" s="74"/>
      <c r="E43" s="86"/>
    </row>
    <row r="44" spans="2:6">
      <c r="B44" s="74"/>
      <c r="C44" s="74"/>
      <c r="E44" s="86"/>
    </row>
    <row r="45" spans="2:6" ht="36">
      <c r="B45" s="79" t="s">
        <v>451</v>
      </c>
      <c r="C45" s="74"/>
      <c r="E45" s="86"/>
    </row>
    <row r="46" spans="2:6">
      <c r="B46" s="76" t="s">
        <v>264</v>
      </c>
      <c r="C46" s="76" t="s">
        <v>579</v>
      </c>
      <c r="D46" s="76" t="s">
        <v>580</v>
      </c>
      <c r="E46" s="88" t="s">
        <v>265</v>
      </c>
      <c r="F46" s="32" t="s">
        <v>224</v>
      </c>
    </row>
    <row r="47" spans="2:6">
      <c r="B47" s="54" t="s">
        <v>222</v>
      </c>
      <c r="C47" s="54" t="s">
        <v>160</v>
      </c>
      <c r="D47" s="91" t="s">
        <v>453</v>
      </c>
      <c r="E47" s="77" t="str">
        <f>IF(D47="","",""""&amp;C47&amp;" "&amp;IF(C47="[FOOTER RULE - STRICT]",D47,IF(RIGHT(D47,6)=" | "&amp;CHAR(34)&amp;" &amp;",D47,D47&amp;" | "&amp;CHAR(34)&amp;" &amp;")))</f>
        <v>"[ROLE] Tech Product Manager assigning a " &amp; $I$2 &amp; " Jira Ticket | " &amp;</v>
      </c>
      <c r="F47" s="32" t="s">
        <v>224</v>
      </c>
    </row>
    <row r="48" spans="2:6">
      <c r="B48" s="54" t="s">
        <v>222</v>
      </c>
      <c r="C48" s="54" t="s">
        <v>162</v>
      </c>
      <c r="D48" s="91" t="s">
        <v>467</v>
      </c>
      <c r="E48" s="77" t="str">
        <f t="shared" ref="E48:E76" si="1">IF(D48="","",""""&amp;C48&amp;" "&amp;IF(C48="[FOOTER RULE - STRICT]",D48,IF(RIGHT(D48,6)=" | "&amp;CHAR(34)&amp;" &amp;",D48,D48&amp;" | "&amp;CHAR(34)&amp;" &amp;")))</f>
        <v>"[TASK] Provide a guided project implementation with full solution | " &amp;</v>
      </c>
      <c r="F48" s="32" t="s">
        <v>224</v>
      </c>
    </row>
    <row r="49" spans="2:6">
      <c r="B49" s="54" t="s">
        <v>222</v>
      </c>
      <c r="C49" s="54" t="s">
        <v>313</v>
      </c>
      <c r="D49" s="91" t="s">
        <v>165</v>
      </c>
      <c r="E49" s="77" t="str">
        <f t="shared" si="1"/>
        <v>"[PROJECT] " &amp; I9 &amp; " | " &amp;</v>
      </c>
      <c r="F49" s="32" t="s">
        <v>224</v>
      </c>
    </row>
    <row r="50" spans="2:6">
      <c r="B50" s="54" t="s">
        <v>222</v>
      </c>
      <c r="C50" s="54" t="s">
        <v>253</v>
      </c>
      <c r="D50" s="91" t="s">
        <v>777</v>
      </c>
      <c r="E50" s="77" t="str">
        <f t="shared" si="1"/>
        <v>"[TOPICS USED] " &amp; A9 &amp; " | " &amp;</v>
      </c>
      <c r="F50" s="32" t="s">
        <v>224</v>
      </c>
    </row>
    <row r="51" spans="2:6">
      <c r="B51" s="54" t="s">
        <v>222</v>
      </c>
      <c r="C51" s="54" t="s">
        <v>166</v>
      </c>
      <c r="D51" s="91" t="s">
        <v>167</v>
      </c>
      <c r="E51" s="77" t="str">
        <f t="shared" si="1"/>
        <v>"[LEVEL] " &amp; G9 &amp; " | " &amp;</v>
      </c>
      <c r="F51" s="32" t="s">
        <v>224</v>
      </c>
    </row>
    <row r="52" spans="2:6">
      <c r="B52" s="54" t="s">
        <v>222</v>
      </c>
      <c r="C52" s="54" t="s">
        <v>170</v>
      </c>
      <c r="D52" s="91" t="s">
        <v>468</v>
      </c>
      <c r="E52" s="77" t="str">
        <f t="shared" si="1"/>
        <v>"[PERSONA RULE] Act as a professional Tech Product Manager defining a project ticket | " &amp;</v>
      </c>
      <c r="F52" s="32" t="s">
        <v>224</v>
      </c>
    </row>
    <row r="53" spans="2:6">
      <c r="B53" s="54" t="s">
        <v>222</v>
      </c>
      <c r="C53" s="54" t="s">
        <v>229</v>
      </c>
      <c r="D53" s="91" t="s">
        <v>267</v>
      </c>
      <c r="E53" s="77" t="str">
        <f t="shared" si="1"/>
        <v>"[LIBRARY BEING LEARNED] " &amp; $I$3 &amp; " | " &amp;</v>
      </c>
      <c r="F53" s="32" t="s">
        <v>224</v>
      </c>
    </row>
    <row r="54" spans="2:6">
      <c r="B54" s="54" t="s">
        <v>222</v>
      </c>
      <c r="C54" s="54" t="s">
        <v>225</v>
      </c>
      <c r="D54" s="91" t="str">
        <f>"If a module or ecosystem like "&amp; Variables!E6 &amp;" is specified in "&amp; Variables!E7 &amp;", you are CRITICALLY FORBIDDEN from using "&amp; Variables!E8 &amp;". You MUST enforce the "&amp; Variables!E9 &amp;" and data structures of that specific library."</f>
        <v>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v>
      </c>
      <c r="E54" s="77" t="str">
        <f t="shared" si="1"/>
        <v>"[ECOSYSTEM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v>
      </c>
      <c r="F54" s="32" t="s">
        <v>224</v>
      </c>
    </row>
    <row r="55" spans="2:6">
      <c r="B55" s="54" t="s">
        <v>222</v>
      </c>
      <c r="C55" s="54" t="s">
        <v>215</v>
      </c>
      <c r="D55" s="91" t="s">
        <v>594</v>
      </c>
      <c r="E55" s="77" t="str">
        <f t="shared" si="1"/>
        <v>"[HEADER RULE - STRICT] 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v>
      </c>
      <c r="F55" s="32" t="s">
        <v>224</v>
      </c>
    </row>
    <row r="56" spans="2:6">
      <c r="B56" s="54" t="s">
        <v>222</v>
      </c>
      <c r="C56" s="54" t="s">
        <v>172</v>
      </c>
      <c r="D56" s="91" t="s">
        <v>469</v>
      </c>
      <c r="E56" s="77" t="str">
        <f t="shared" si="1"/>
        <v>"[LANGUAGE CONSISTENCY RULE] ALL output MUST be strictly in " &amp; $B$6 &amp; ".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v>
      </c>
      <c r="F56" s="32" t="s">
        <v>224</v>
      </c>
    </row>
    <row r="57" spans="2:6">
      <c r="B57" s="54" t="s">
        <v>222</v>
      </c>
      <c r="C57" s="54" t="s">
        <v>491</v>
      </c>
      <c r="D57" s="91" t="s">
        <v>483</v>
      </c>
      <c r="E57" s="77" t="str">
        <f t="shared" si="1"/>
        <v>"[LANGUAGE SEED CONTEXT] " &amp; IF($AE$7 = "", "Language Seed Not Necessary", "You MUST strictly follow this seed context to enhance, adapt, and naturalize your tone, vocabulary, and instructional quality in " &amp; $B$6 &amp; ": " &amp; $AE$7) &amp; " | " &amp;</v>
      </c>
      <c r="F57" s="32" t="s">
        <v>224</v>
      </c>
    </row>
    <row r="58" spans="2:6">
      <c r="B58" s="54" t="s">
        <v>223</v>
      </c>
      <c r="C58" s="54" t="s">
        <v>230</v>
      </c>
      <c r="D58" s="91"/>
      <c r="E58" s="77" t="str">
        <f t="shared" si="1"/>
        <v/>
      </c>
      <c r="F58" s="32" t="s">
        <v>224</v>
      </c>
    </row>
    <row r="59" spans="2:6">
      <c r="B59" s="54" t="s">
        <v>223</v>
      </c>
      <c r="C59" s="54" t="s">
        <v>230</v>
      </c>
      <c r="D59" s="91"/>
      <c r="E59" s="77" t="str">
        <f t="shared" si="1"/>
        <v/>
      </c>
      <c r="F59" s="32" t="s">
        <v>224</v>
      </c>
    </row>
    <row r="60" spans="2:6">
      <c r="B60" s="54" t="s">
        <v>271</v>
      </c>
      <c r="C60" s="54" t="s">
        <v>178</v>
      </c>
      <c r="D60" s="91" t="s">
        <v>684</v>
      </c>
      <c r="E60" s="77" t="str">
        <f t="shared" si="1"/>
        <v>"[CODE CONSTRAINTS] 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 | " &amp;</v>
      </c>
      <c r="F60" s="32" t="s">
        <v>224</v>
      </c>
    </row>
    <row r="61" spans="2:6">
      <c r="B61" s="54" t="s">
        <v>271</v>
      </c>
      <c r="C61" s="54" t="s">
        <v>459</v>
      </c>
      <c r="D61" s="91" t="s">
        <v>470</v>
      </c>
      <c r="E61" s="77" t="str">
        <f t="shared" si="1"/>
        <v>"[CRITICAL OUTPUT RULE] Output MUST match real execution - Convert sets to sorted lists before printing | " &amp;</v>
      </c>
      <c r="F61" s="32" t="s">
        <v>224</v>
      </c>
    </row>
    <row r="62" spans="2:6">
      <c r="B62" s="54" t="s">
        <v>271</v>
      </c>
      <c r="C62" s="54" t="s">
        <v>179</v>
      </c>
      <c r="D62" s="91" t="s">
        <v>471</v>
      </c>
      <c r="E62" s="77" t="str">
        <f t="shared" si="1"/>
        <v>"[FUNCTION RULE] " &amp; IF(G9="Beginner", "Avoid complex structure. ", IF(G9="Intermediate", "Functions optional. ", "Use structured modular functions. ")) &amp; " | " &amp;</v>
      </c>
      <c r="F62" s="32" t="s">
        <v>224</v>
      </c>
    </row>
    <row r="63" spans="2:6">
      <c r="B63" s="54" t="s">
        <v>271</v>
      </c>
      <c r="C63" s="54" t="s">
        <v>456</v>
      </c>
      <c r="D63" s="91" t="s">
        <v>472</v>
      </c>
      <c r="E63" s="77" t="str">
        <f t="shared" si="1"/>
        <v>"[TICKET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v>
      </c>
      <c r="F63" s="32" t="s">
        <v>224</v>
      </c>
    </row>
    <row r="64" spans="2:6">
      <c r="B64" s="54" t="s">
        <v>271</v>
      </c>
      <c r="C64" s="54" t="s">
        <v>174</v>
      </c>
      <c r="D64" s="91" t="s">
        <v>473</v>
      </c>
      <c r="E64" s="77"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v>
      </c>
      <c r="F64" s="32" t="s">
        <v>224</v>
      </c>
    </row>
    <row r="65" spans="2:6">
      <c r="B65" s="54" t="s">
        <v>271</v>
      </c>
      <c r="C65" s="54" t="s">
        <v>177</v>
      </c>
      <c r="D65" s="91" t="s">
        <v>474</v>
      </c>
      <c r="E65" s="77" t="str">
        <f t="shared" si="1"/>
        <v>"[OUTPUT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v>
      </c>
      <c r="F65" s="32" t="s">
        <v>224</v>
      </c>
    </row>
    <row r="66" spans="2:6">
      <c r="B66" s="54" t="s">
        <v>271</v>
      </c>
      <c r="C66" s="54" t="s">
        <v>180</v>
      </c>
      <c r="D66" s="91" t="s">
        <v>475</v>
      </c>
      <c r="E66" s="77" t="str">
        <f t="shared" si="1"/>
        <v>"[CODE QUALITY RULE] Code MUST be clean and realistic | " &amp;</v>
      </c>
      <c r="F66" s="32" t="s">
        <v>224</v>
      </c>
    </row>
    <row r="67" spans="2:6">
      <c r="B67" s="54" t="s">
        <v>271</v>
      </c>
      <c r="C67" s="54" t="s">
        <v>190</v>
      </c>
      <c r="D67" s="91" t="s">
        <v>419</v>
      </c>
      <c r="E67" s="77" t="str">
        <f t="shared" si="1"/>
        <v>"[DATA ROBUSTNESS RULE] Handle real-world data safely | " &amp;</v>
      </c>
      <c r="F67" s="32" t="s">
        <v>224</v>
      </c>
    </row>
    <row r="68" spans="2:6">
      <c r="B68" s="54" t="s">
        <v>271</v>
      </c>
      <c r="C68" s="54" t="s">
        <v>207</v>
      </c>
      <c r="D68" s="91" t="s">
        <v>476</v>
      </c>
      <c r="E68" s="77" t="str">
        <f t="shared" si="1"/>
        <v>"[FORMAT RULE] Only markdown code blocks allowed | " &amp;</v>
      </c>
      <c r="F68" s="32" t="s">
        <v>224</v>
      </c>
    </row>
    <row r="69" spans="2:6">
      <c r="B69" s="54" t="s">
        <v>271</v>
      </c>
      <c r="C69" s="54" t="s">
        <v>209</v>
      </c>
      <c r="D69" s="91" t="s">
        <v>281</v>
      </c>
      <c r="E69" s="77" t="str">
        <f t="shared" si="1"/>
        <v>"[LANGUAGE TAG RULE] ALWAYS label markdown code blocks with the correct underlying programming language (e.g., python, javascript, sql) | " &amp;</v>
      </c>
      <c r="F69" s="32" t="s">
        <v>224</v>
      </c>
    </row>
    <row r="70" spans="2:6">
      <c r="B70" s="54" t="s">
        <v>271</v>
      </c>
      <c r="C70" s="54" t="s">
        <v>259</v>
      </c>
      <c r="D70" s="91" t="s">
        <v>477</v>
      </c>
      <c r="E70" s="77" t="str">
        <f t="shared" si="1"/>
        <v>"[EXECUTION RULE] Code MUST run correctly | " &amp;</v>
      </c>
      <c r="F70" s="32" t="s">
        <v>224</v>
      </c>
    </row>
    <row r="71" spans="2:6">
      <c r="B71" s="54" t="s">
        <v>271</v>
      </c>
      <c r="C71" s="54" t="s">
        <v>216</v>
      </c>
      <c r="D71" s="91" t="s">
        <v>478</v>
      </c>
      <c r="E71" s="77" t="str">
        <f t="shared" si="1"/>
        <v>"[OUTPUT] Only header, dataset summary or statement (if any), defined sections, and footer, | " &amp;</v>
      </c>
      <c r="F71" s="32" t="s">
        <v>224</v>
      </c>
    </row>
    <row r="72" spans="2:6">
      <c r="B72" s="54" t="s">
        <v>271</v>
      </c>
      <c r="C72" s="54" t="s">
        <v>220</v>
      </c>
      <c r="D72" s="91" t="s">
        <v>263</v>
      </c>
      <c r="E72" s="77" t="str">
        <f t="shared" si="1"/>
        <v>"[FOOTER RULE - STRICT] End your entire response EXACTLY with this markdown string (ensure all code blocks are closed before it):" &amp; CHAR(10) &amp; "---" &amp; CHAR(10) &amp; "⚡ *Coding5s System — Learn Programming by Writing Code*")</v>
      </c>
      <c r="F72" s="32" t="s">
        <v>224</v>
      </c>
    </row>
    <row r="73" spans="2:6">
      <c r="B73" s="54"/>
      <c r="C73" s="54"/>
      <c r="D73" s="91"/>
      <c r="E73" s="77" t="str">
        <f t="shared" si="1"/>
        <v/>
      </c>
      <c r="F73" s="32" t="s">
        <v>224</v>
      </c>
    </row>
    <row r="74" spans="2:6">
      <c r="B74" s="54"/>
      <c r="C74" s="54"/>
      <c r="D74" s="91"/>
      <c r="E74" s="77" t="str">
        <f t="shared" si="1"/>
        <v/>
      </c>
      <c r="F74" s="32" t="s">
        <v>224</v>
      </c>
    </row>
    <row r="75" spans="2:6">
      <c r="B75" s="54"/>
      <c r="C75" s="54"/>
      <c r="D75" s="91"/>
      <c r="E75" s="77" t="str">
        <f t="shared" si="1"/>
        <v/>
      </c>
      <c r="F75" s="32" t="s">
        <v>224</v>
      </c>
    </row>
    <row r="76" spans="2:6">
      <c r="B76" s="54"/>
      <c r="C76" s="54"/>
      <c r="D76" s="91"/>
      <c r="E76" s="77" t="str">
        <f t="shared" si="1"/>
        <v/>
      </c>
      <c r="F76" s="32" t="s">
        <v>224</v>
      </c>
    </row>
    <row r="77" spans="2:6">
      <c r="E77" s="86"/>
      <c r="F77" t="s">
        <v>224</v>
      </c>
    </row>
    <row r="79" spans="2:6" ht="36">
      <c r="B79" s="80" t="s">
        <v>452</v>
      </c>
    </row>
    <row r="80" spans="2:6">
      <c r="B80" s="76" t="s">
        <v>221</v>
      </c>
      <c r="C80" s="76" t="s">
        <v>579</v>
      </c>
      <c r="D80" s="76" t="s">
        <v>580</v>
      </c>
      <c r="E80" s="89" t="s">
        <v>234</v>
      </c>
      <c r="F80" s="54" t="s">
        <v>224</v>
      </c>
    </row>
    <row r="81" spans="2:6">
      <c r="B81" s="54" t="s">
        <v>222</v>
      </c>
      <c r="C81" s="54" t="s">
        <v>479</v>
      </c>
      <c r="D81" s="91" t="s">
        <v>480</v>
      </c>
      <c r="E81" s="17" t="str">
        <f t="shared" ref="E81:E95" si="2">IF(D81="","",""""&amp;C81&amp;" "&amp;IF(OR(C81="[FOOTER RULE - STRICT]",C81="[FOOTER RULE]"),D81,IF(RIGHT(D81,6)=" | "&amp;CHAR(34)&amp;" &amp;",D81,D81&amp;" | "&amp;CHAR(34)&amp;" &amp;")))</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v>
      </c>
      <c r="F81" s="54" t="s">
        <v>224</v>
      </c>
    </row>
    <row r="82" spans="2:6">
      <c r="B82" s="54" t="s">
        <v>222</v>
      </c>
      <c r="C82" s="54" t="s">
        <v>236</v>
      </c>
      <c r="D82" s="91" t="s">
        <v>481</v>
      </c>
      <c r="E82" s="17" t="str">
        <f t="shared" si="2"/>
        <v>"[CULTURAL &amp; JARGON RULE] If the language (" &amp; $B$6 &amp; ") is Portuguese, act like an 'Arquiteto de Software Sênior' using local jargon (e.g., 'subir pra produção', 'vai escalar?', 'casos extremos'). If Spanish, use Latin American tech terminology (e.g., 'subir a producción', '¿esto escala?', 'casos borde'). Match the cultural vibe of a strategic tech lead. | " &amp;</v>
      </c>
      <c r="F82" s="54" t="s">
        <v>224</v>
      </c>
    </row>
    <row r="83" spans="2:6">
      <c r="B83" s="54" t="s">
        <v>222</v>
      </c>
      <c r="C83" s="54" t="s">
        <v>237</v>
      </c>
      <c r="D83" s="91" t="s">
        <v>782</v>
      </c>
      <c r="E83" s="17" t="str">
        <f t="shared" si="2"/>
        <v>"[CONTEXT] You are reviewing the final implementation of a new feature for a " &amp; IF(UPPER(H9)="PROJECT", "PROJECT: " &amp; I9 &amp; ". Topics integrated: " &amp; A9 &amp; ". Business Goal: " &amp; J9, "TOPIC: " &amp; I9 &amp; ". Goal: " &amp; J9) &amp; " | " &amp;</v>
      </c>
      <c r="F83" s="54" t="s">
        <v>224</v>
      </c>
    </row>
    <row r="84" spans="2:6">
      <c r="B84" s="54" t="s">
        <v>222</v>
      </c>
      <c r="C84" s="54" t="s">
        <v>162</v>
      </c>
      <c r="D84" s="91" t="s">
        <v>482</v>
      </c>
      <c r="E84" s="17" t="str">
        <f t="shared" si="2"/>
        <v>"[TASK] Analyze the extension code. If they already anticipated the edge cases and scalability issues (e.g., using generators or async patterns), give them the 'Architect's Approval' and discuss a more advanced trade-off. Otherwise, follow the 2-PHASE MENTORING PROTOCOL | " &amp;</v>
      </c>
      <c r="F84" s="54" t="s">
        <v>224</v>
      </c>
    </row>
    <row r="85" spans="2:6">
      <c r="B85" s="54" t="s">
        <v>222</v>
      </c>
      <c r="C85" s="54" t="s">
        <v>229</v>
      </c>
      <c r="D85" s="91" t="s">
        <v>267</v>
      </c>
      <c r="E85" s="17" t="str">
        <f t="shared" si="2"/>
        <v>"[LIBRARY BEING LEARNED] " &amp; $I$3 &amp; " | " &amp;</v>
      </c>
      <c r="F85" s="54" t="s">
        <v>224</v>
      </c>
    </row>
    <row r="86" spans="2:6">
      <c r="B86" s="54" t="s">
        <v>222</v>
      </c>
      <c r="C86" s="54" t="s">
        <v>172</v>
      </c>
      <c r="D86" s="91" t="s">
        <v>254</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491</v>
      </c>
      <c r="D87" s="91" t="s">
        <v>483</v>
      </c>
      <c r="E87" s="17" t="str">
        <f t="shared" si="2"/>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1" t="s">
        <v>595</v>
      </c>
      <c r="E88" s="17" t="str">
        <f t="shared" si="2"/>
        <v>"[HEADER RULE - STRICT] 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v>
      </c>
      <c r="F88" s="54" t="s">
        <v>224</v>
      </c>
    </row>
    <row r="89" spans="2:6">
      <c r="B89" s="54" t="s">
        <v>223</v>
      </c>
      <c r="C89" s="54" t="s">
        <v>230</v>
      </c>
      <c r="D89" s="91"/>
      <c r="E89" s="17" t="str">
        <f t="shared" si="2"/>
        <v/>
      </c>
      <c r="F89" s="54" t="s">
        <v>224</v>
      </c>
    </row>
    <row r="90" spans="2:6">
      <c r="B90" s="54" t="s">
        <v>223</v>
      </c>
      <c r="C90" s="54" t="s">
        <v>676</v>
      </c>
      <c r="D90" s="91" t="str">
        <f>Variables!E59 &amp; " | " &amp; CHAR(34) &amp; " &amp;"</f>
        <v>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v>
      </c>
      <c r="E90" s="17" t="str">
        <f t="shared" si="2"/>
        <v>"[CODE_QUALITY_PROTOCOL]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v>
      </c>
      <c r="F90" s="54" t="s">
        <v>224</v>
      </c>
    </row>
    <row r="91" spans="2:6">
      <c r="B91" s="54" t="s">
        <v>271</v>
      </c>
      <c r="C91" s="54" t="s">
        <v>238</v>
      </c>
      <c r="D91" s="91" t="s">
        <v>484</v>
      </c>
      <c r="E91" s="17" t="str">
        <f t="shared" si="2"/>
        <v>"[EMPTY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v>
      </c>
      <c r="F91" s="54" t="s">
        <v>224</v>
      </c>
    </row>
    <row r="92" spans="2:6">
      <c r="B92" s="54" t="s">
        <v>271</v>
      </c>
      <c r="C92" s="54" t="s">
        <v>240</v>
      </c>
      <c r="D92" s="91" t="s">
        <v>485</v>
      </c>
      <c r="E92" s="17" t="str">
        <f t="shared" si="2"/>
        <v>"[PHASE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v>
      </c>
      <c r="F92" s="54" t="s">
        <v>224</v>
      </c>
    </row>
    <row r="93" spans="2:6">
      <c r="B93" s="54" t="s">
        <v>271</v>
      </c>
      <c r="C93" s="54" t="s">
        <v>241</v>
      </c>
      <c r="D93" s="91" t="s">
        <v>486</v>
      </c>
      <c r="E93" s="17" t="str">
        <f t="shared" si="2"/>
        <v>"[EXPLANATION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v>
      </c>
      <c r="F93" s="54" t="s">
        <v>224</v>
      </c>
    </row>
    <row r="94" spans="2:6">
      <c r="B94" s="54" t="s">
        <v>271</v>
      </c>
      <c r="C94" s="54" t="s">
        <v>487</v>
      </c>
      <c r="D94" s="91" t="s">
        <v>488</v>
      </c>
      <c r="E94" s="17" t="str">
        <f t="shared" si="2"/>
        <v>"[PHASE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v>
      </c>
      <c r="F94" s="54" t="s">
        <v>224</v>
      </c>
    </row>
    <row r="95" spans="2:6">
      <c r="B95" s="54" t="s">
        <v>271</v>
      </c>
      <c r="C95" s="54" t="s">
        <v>330</v>
      </c>
      <c r="D95" s="91" t="s">
        <v>489</v>
      </c>
      <c r="E95" s="17" t="str">
        <f t="shared" si="2"/>
        <v>"[FOOTER RULE] End your response with: '--- ⚡ *Coding5s Mentor System — Eliminating Epistemic Debt &amp; Shipping to Production*'",</v>
      </c>
      <c r="F95" s="54" t="s">
        <v>224</v>
      </c>
    </row>
    <row r="96" spans="2:6">
      <c r="B96" s="54"/>
      <c r="C96" s="54"/>
      <c r="D96" s="91"/>
      <c r="E96" s="89" t="s">
        <v>437</v>
      </c>
      <c r="F96" s="54" t="s">
        <v>224</v>
      </c>
    </row>
    <row r="97" spans="2:6">
      <c r="B97" s="54"/>
      <c r="C97" s="54"/>
      <c r="D97" s="91"/>
      <c r="E97" s="77" t="str">
        <f t="shared" ref="E97:E100" si="3">IF(D97="","",""""&amp;C97&amp;" "&amp;IF(C97="[FOOTER RULE - STRICT]",D97,IF(RIGHT(D97,6)=" | "&amp;CHAR(34)&amp;" &amp;",D97,D97&amp;" | "&amp;CHAR(34)&amp;" &amp;")))</f>
        <v/>
      </c>
      <c r="F97" s="54" t="s">
        <v>224</v>
      </c>
    </row>
    <row r="98" spans="2:6">
      <c r="B98" s="54"/>
      <c r="C98" s="54"/>
      <c r="D98" s="91"/>
      <c r="E98" s="77" t="str">
        <f t="shared" si="3"/>
        <v/>
      </c>
      <c r="F98" s="54" t="s">
        <v>224</v>
      </c>
    </row>
    <row r="99" spans="2:6">
      <c r="B99" s="54"/>
      <c r="C99" s="54"/>
      <c r="D99" s="91"/>
      <c r="E99" s="77" t="str">
        <f t="shared" si="3"/>
        <v/>
      </c>
      <c r="F99" s="54" t="s">
        <v>224</v>
      </c>
    </row>
    <row r="100" spans="2:6">
      <c r="B100" s="54"/>
      <c r="C100" s="54"/>
      <c r="D100" s="91"/>
      <c r="E100" s="77" t="str">
        <f t="shared" si="3"/>
        <v/>
      </c>
      <c r="F100" s="54" t="s">
        <v>224</v>
      </c>
    </row>
  </sheetData>
  <conditionalFormatting sqref="B1:B1048576">
    <cfRule type="cellIs" dxfId="11" priority="10" operator="equal">
      <formula>"The Immutable Kernel"</formula>
    </cfRule>
    <cfRule type="cellIs" dxfId="10" priority="11" operator="equal">
      <formula>"Paradigm &amp; Ecosystem"</formula>
    </cfRule>
    <cfRule type="cellIs" dxfId="9" priority="12" operator="equal">
      <formula>"Global Variables &amp; Configuration"</formula>
    </cfRule>
  </conditionalFormatting>
  <conditionalFormatting sqref="C4:C42">
    <cfRule type="expression" dxfId="8" priority="7">
      <formula>$B4="The Immutable Kernel"</formula>
    </cfRule>
    <cfRule type="expression" dxfId="7" priority="8">
      <formula>$B4="Paradigm &amp; Ecosystem"</formula>
    </cfRule>
    <cfRule type="expression" dxfId="6" priority="9">
      <formula>$B4="Global Variables &amp; Configuration"</formula>
    </cfRule>
  </conditionalFormatting>
  <conditionalFormatting sqref="C47:C76">
    <cfRule type="expression" dxfId="5" priority="4">
      <formula>$B47="The Immutable Kernel"</formula>
    </cfRule>
    <cfRule type="expression" dxfId="4" priority="5">
      <formula>$B47="Paradigm &amp; Ecosystem"</formula>
    </cfRule>
    <cfRule type="expression" dxfId="3" priority="6">
      <formula>$B47="Global Variables &amp; Configuration"</formula>
    </cfRule>
  </conditionalFormatting>
  <conditionalFormatting sqref="C81:C100">
    <cfRule type="expression" dxfId="2" priority="1">
      <formula>$B81="The Immutable Kernel"</formula>
    </cfRule>
    <cfRule type="expression" dxfId="1" priority="2">
      <formula>$B81="Paradigm &amp; Ecosystem"</formula>
    </cfRule>
    <cfRule type="expression" dxfId="0" priority="3">
      <formula>$B81="Global Variables &amp; Configuration"</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967FC-E7C3-4DC7-B5E1-4045F280E864}">
  <dimension ref="B2:E19"/>
  <sheetViews>
    <sheetView workbookViewId="0">
      <selection activeCell="E6" sqref="E6"/>
    </sheetView>
  </sheetViews>
  <sheetFormatPr defaultRowHeight="15"/>
  <cols>
    <col min="2" max="2" width="6.42578125" customWidth="1"/>
    <col min="3" max="3" width="34.5703125" bestFit="1" customWidth="1"/>
    <col min="4" max="4" width="8.7109375" bestFit="1" customWidth="1"/>
    <col min="5" max="5" width="152.85546875" bestFit="1" customWidth="1"/>
  </cols>
  <sheetData>
    <row r="2" spans="2:5">
      <c r="B2" t="s">
        <v>550</v>
      </c>
      <c r="C2" t="s">
        <v>521</v>
      </c>
      <c r="D2" t="s">
        <v>23</v>
      </c>
      <c r="E2" t="s">
        <v>551</v>
      </c>
    </row>
    <row r="3" spans="2:5">
      <c r="B3" t="s">
        <v>522</v>
      </c>
      <c r="C3" t="s">
        <v>18</v>
      </c>
      <c r="D3" t="s">
        <v>523</v>
      </c>
      <c r="E3" t="s">
        <v>552</v>
      </c>
    </row>
    <row r="4" spans="2:5">
      <c r="B4" t="s">
        <v>524</v>
      </c>
      <c r="C4" t="s">
        <v>542</v>
      </c>
      <c r="D4" t="s">
        <v>523</v>
      </c>
      <c r="E4" t="s">
        <v>553</v>
      </c>
    </row>
    <row r="5" spans="2:5">
      <c r="B5" t="s">
        <v>525</v>
      </c>
      <c r="C5" t="s">
        <v>21</v>
      </c>
      <c r="D5" t="s">
        <v>523</v>
      </c>
      <c r="E5" t="s">
        <v>554</v>
      </c>
    </row>
    <row r="6" spans="2:5">
      <c r="B6" t="s">
        <v>526</v>
      </c>
      <c r="C6" t="s">
        <v>22</v>
      </c>
      <c r="D6" t="s">
        <v>523</v>
      </c>
      <c r="E6" t="s">
        <v>555</v>
      </c>
    </row>
    <row r="7" spans="2:5">
      <c r="B7" t="s">
        <v>527</v>
      </c>
      <c r="C7" t="s">
        <v>23</v>
      </c>
      <c r="D7" t="s">
        <v>523</v>
      </c>
      <c r="E7" t="s">
        <v>556</v>
      </c>
    </row>
    <row r="8" spans="2:5">
      <c r="B8" t="s">
        <v>528</v>
      </c>
      <c r="C8" t="s">
        <v>24</v>
      </c>
      <c r="D8" t="s">
        <v>523</v>
      </c>
      <c r="E8" t="s">
        <v>557</v>
      </c>
    </row>
    <row r="9" spans="2:5">
      <c r="B9" t="s">
        <v>529</v>
      </c>
      <c r="C9" t="s">
        <v>25</v>
      </c>
      <c r="D9" t="s">
        <v>523</v>
      </c>
      <c r="E9" t="s">
        <v>558</v>
      </c>
    </row>
    <row r="10" spans="2:5">
      <c r="B10" t="s">
        <v>530</v>
      </c>
      <c r="C10" t="s">
        <v>45</v>
      </c>
      <c r="D10" t="s">
        <v>531</v>
      </c>
      <c r="E10" t="s">
        <v>559</v>
      </c>
    </row>
    <row r="11" spans="2:5">
      <c r="B11" t="s">
        <v>532</v>
      </c>
      <c r="C11" t="s">
        <v>533</v>
      </c>
      <c r="D11" t="s">
        <v>531</v>
      </c>
      <c r="E11" t="s">
        <v>560</v>
      </c>
    </row>
    <row r="12" spans="2:5">
      <c r="B12" t="s">
        <v>534</v>
      </c>
      <c r="C12" t="s">
        <v>543</v>
      </c>
      <c r="D12" t="s">
        <v>531</v>
      </c>
      <c r="E12" t="s">
        <v>561</v>
      </c>
    </row>
    <row r="13" spans="2:5">
      <c r="B13" t="s">
        <v>535</v>
      </c>
      <c r="C13" t="s">
        <v>498</v>
      </c>
      <c r="D13" t="s">
        <v>531</v>
      </c>
      <c r="E13" t="s">
        <v>562</v>
      </c>
    </row>
    <row r="14" spans="2:5">
      <c r="B14" t="s">
        <v>536</v>
      </c>
      <c r="C14" t="s">
        <v>544</v>
      </c>
      <c r="D14" t="s">
        <v>523</v>
      </c>
      <c r="E14" t="s">
        <v>563</v>
      </c>
    </row>
    <row r="15" spans="2:5">
      <c r="B15" t="s">
        <v>537</v>
      </c>
      <c r="C15" t="s">
        <v>545</v>
      </c>
      <c r="D15" t="s">
        <v>523</v>
      </c>
      <c r="E15" t="s">
        <v>564</v>
      </c>
    </row>
    <row r="16" spans="2:5">
      <c r="B16" t="s">
        <v>538</v>
      </c>
      <c r="C16" t="s">
        <v>546</v>
      </c>
      <c r="D16" t="s">
        <v>523</v>
      </c>
      <c r="E16" t="s">
        <v>565</v>
      </c>
    </row>
    <row r="17" spans="2:5">
      <c r="B17" t="s">
        <v>539</v>
      </c>
      <c r="C17" t="s">
        <v>547</v>
      </c>
      <c r="D17" t="s">
        <v>523</v>
      </c>
      <c r="E17" t="s">
        <v>566</v>
      </c>
    </row>
    <row r="18" spans="2:5">
      <c r="B18" t="s">
        <v>540</v>
      </c>
      <c r="C18" t="s">
        <v>548</v>
      </c>
      <c r="D18" t="s">
        <v>523</v>
      </c>
      <c r="E18" t="s">
        <v>567</v>
      </c>
    </row>
    <row r="19" spans="2:5">
      <c r="B19" t="s">
        <v>541</v>
      </c>
      <c r="C19" t="s">
        <v>549</v>
      </c>
      <c r="D19" t="s">
        <v>523</v>
      </c>
      <c r="E19" t="s">
        <v>568</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7C0CD-3B2A-4DA0-A954-04B702664FC8}">
  <dimension ref="B2:K25"/>
  <sheetViews>
    <sheetView showGridLines="0" workbookViewId="0">
      <selection activeCell="A26" sqref="A26"/>
    </sheetView>
  </sheetViews>
  <sheetFormatPr defaultRowHeight="15"/>
  <cols>
    <col min="1" max="1" width="3.140625" customWidth="1"/>
  </cols>
  <sheetData>
    <row r="2" spans="2:11">
      <c r="B2" s="105" t="s">
        <v>502</v>
      </c>
      <c r="C2" s="106"/>
      <c r="D2" s="106"/>
      <c r="E2" s="106"/>
      <c r="F2" s="106"/>
      <c r="G2" s="106"/>
      <c r="H2" s="106"/>
      <c r="I2" s="106"/>
      <c r="J2" s="106"/>
      <c r="K2" s="107"/>
    </row>
    <row r="3" spans="2:11">
      <c r="B3" s="108"/>
      <c r="K3" s="109"/>
    </row>
    <row r="4" spans="2:11">
      <c r="B4" s="108" t="s">
        <v>503</v>
      </c>
      <c r="K4" s="109"/>
    </row>
    <row r="5" spans="2:11">
      <c r="B5" s="108"/>
      <c r="K5" s="109"/>
    </row>
    <row r="6" spans="2:11">
      <c r="B6" s="110" t="s">
        <v>504</v>
      </c>
      <c r="K6" s="109"/>
    </row>
    <row r="7" spans="2:11">
      <c r="B7" s="110" t="s">
        <v>505</v>
      </c>
      <c r="K7" s="109"/>
    </row>
    <row r="8" spans="2:11">
      <c r="B8" s="110" t="s">
        <v>506</v>
      </c>
      <c r="K8" s="109"/>
    </row>
    <row r="9" spans="2:11">
      <c r="B9" s="110" t="s">
        <v>507</v>
      </c>
      <c r="K9" s="109"/>
    </row>
    <row r="10" spans="2:11">
      <c r="B10" s="110" t="s">
        <v>508</v>
      </c>
      <c r="K10" s="109"/>
    </row>
    <row r="11" spans="2:11">
      <c r="B11" s="110" t="s">
        <v>509</v>
      </c>
      <c r="K11" s="109"/>
    </row>
    <row r="12" spans="2:11">
      <c r="B12" s="110"/>
      <c r="K12" s="109"/>
    </row>
    <row r="13" spans="2:11">
      <c r="B13" s="110" t="s">
        <v>510</v>
      </c>
      <c r="K13" s="109"/>
    </row>
    <row r="14" spans="2:11">
      <c r="B14" s="110" t="s">
        <v>511</v>
      </c>
      <c r="K14" s="109"/>
    </row>
    <row r="15" spans="2:11">
      <c r="B15" s="110"/>
      <c r="K15" s="109"/>
    </row>
    <row r="16" spans="2:11">
      <c r="B16" s="110" t="s">
        <v>512</v>
      </c>
      <c r="K16" s="109"/>
    </row>
    <row r="17" spans="2:11">
      <c r="B17" s="110" t="s">
        <v>513</v>
      </c>
      <c r="K17" s="109"/>
    </row>
    <row r="18" spans="2:11">
      <c r="B18" s="110" t="s">
        <v>514</v>
      </c>
      <c r="K18" s="109"/>
    </row>
    <row r="19" spans="2:11">
      <c r="B19" s="110" t="s">
        <v>515</v>
      </c>
      <c r="K19" s="109"/>
    </row>
    <row r="20" spans="2:11">
      <c r="B20" s="110" t="s">
        <v>516</v>
      </c>
      <c r="K20" s="109"/>
    </row>
    <row r="21" spans="2:11">
      <c r="B21" s="110" t="s">
        <v>517</v>
      </c>
      <c r="K21" s="109"/>
    </row>
    <row r="22" spans="2:11">
      <c r="B22" s="110" t="s">
        <v>518</v>
      </c>
      <c r="K22" s="109"/>
    </row>
    <row r="23" spans="2:11">
      <c r="B23" s="110"/>
      <c r="K23" s="109"/>
    </row>
    <row r="24" spans="2:11">
      <c r="B24" s="110" t="s">
        <v>519</v>
      </c>
      <c r="D24" s="114" t="s">
        <v>520</v>
      </c>
      <c r="K24" s="109"/>
    </row>
    <row r="25" spans="2:11">
      <c r="B25" s="111" t="s">
        <v>721</v>
      </c>
      <c r="C25" s="112"/>
      <c r="D25" s="135" t="s">
        <v>722</v>
      </c>
      <c r="E25" s="112"/>
      <c r="F25" s="112"/>
      <c r="G25" s="112"/>
      <c r="H25" s="112"/>
      <c r="I25" s="112"/>
      <c r="J25" s="112"/>
      <c r="K25" s="113"/>
    </row>
  </sheetData>
  <hyperlinks>
    <hyperlink ref="D24" r:id="rId1" xr:uid="{C1585F6D-E84E-4BDD-BFC6-8C9DE04D69FF}"/>
    <hyperlink ref="D25" r:id="rId2" xr:uid="{A95008B9-006C-4ED2-8260-C9DECD11B083}"/>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58C24-33BE-44DB-863E-82947C8C3CEA}">
  <dimension ref="A1:A16"/>
  <sheetViews>
    <sheetView showGridLines="0" workbookViewId="0">
      <selection activeCell="F14" sqref="F14"/>
    </sheetView>
  </sheetViews>
  <sheetFormatPr defaultRowHeight="15"/>
  <sheetData>
    <row r="1" spans="1:1" ht="18">
      <c r="A1" s="115" t="s">
        <v>569</v>
      </c>
    </row>
    <row r="3" spans="1:1">
      <c r="A3" t="s">
        <v>570</v>
      </c>
    </row>
    <row r="4" spans="1:1">
      <c r="A4" s="116"/>
    </row>
    <row r="5" spans="1:1">
      <c r="A5" s="117" t="s">
        <v>571</v>
      </c>
    </row>
    <row r="6" spans="1:1">
      <c r="A6" s="118"/>
    </row>
    <row r="7" spans="1:1">
      <c r="A7" s="119" t="s">
        <v>572</v>
      </c>
    </row>
    <row r="8" spans="1:1">
      <c r="A8" s="119" t="s">
        <v>573</v>
      </c>
    </row>
    <row r="9" spans="1:1">
      <c r="A9" s="116"/>
    </row>
    <row r="10" spans="1:1">
      <c r="A10" s="117" t="s">
        <v>574</v>
      </c>
    </row>
    <row r="11" spans="1:1">
      <c r="A11" s="118"/>
    </row>
    <row r="12" spans="1:1">
      <c r="A12" s="118" t="s">
        <v>575</v>
      </c>
    </row>
    <row r="13" spans="1:1">
      <c r="A13" s="118" t="s">
        <v>576</v>
      </c>
    </row>
    <row r="14" spans="1:1">
      <c r="A14" s="118" t="s">
        <v>577</v>
      </c>
    </row>
    <row r="15" spans="1:1">
      <c r="A15" s="116"/>
    </row>
    <row r="16" spans="1:1">
      <c r="A16" s="117" t="s">
        <v>578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PromptGenerator</vt:lpstr>
      <vt:lpstr>HowToStudy</vt:lpstr>
      <vt:lpstr>Variables</vt:lpstr>
      <vt:lpstr>FGen_S1</vt:lpstr>
      <vt:lpstr>FGen_S2</vt:lpstr>
      <vt:lpstr>FGen_S3</vt:lpstr>
      <vt:lpstr>FGen_S4</vt:lpstr>
      <vt:lpstr>FGen_S5</vt:lpstr>
      <vt:lpstr>CellReference</vt:lpstr>
      <vt:lpstr>License</vt:lpstr>
      <vt:lpstr>HowTo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 Barrios</dc:creator>
  <cp:lastModifiedBy>Wil Barrios</cp:lastModifiedBy>
  <dcterms:created xsi:type="dcterms:W3CDTF">2026-06-26T06:07:42Z</dcterms:created>
  <dcterms:modified xsi:type="dcterms:W3CDTF">2026-07-27T03:35:38Z</dcterms:modified>
</cp:coreProperties>
</file>